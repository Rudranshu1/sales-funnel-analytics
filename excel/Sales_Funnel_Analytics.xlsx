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tage Order" sheetId="3" state="visible" r:id="rId3"/>
    <sheet xmlns:r="http://schemas.openxmlformats.org/officeDocument/2006/relationships" name="Funnel" sheetId="4" state="visible" r:id="rId4"/>
    <sheet xmlns:r="http://schemas.openxmlformats.org/officeDocument/2006/relationships" name="Win Rate by Source" sheetId="5" state="visible" r:id="rId5"/>
    <sheet xmlns:r="http://schemas.openxmlformats.org/officeDocument/2006/relationships" name="Speed to Lead" sheetId="6" state="visible" r:id="rId6"/>
    <sheet xmlns:r="http://schemas.openxmlformats.org/officeDocument/2006/relationships" name="Lost Value by Reason" sheetId="7" state="visible" r:id="rId7"/>
    <sheet xmlns:r="http://schemas.openxmlformats.org/officeDocument/2006/relationships" name="Rep Leaderboard" sheetId="8" state="visible" r:id="rId8"/>
    <sheet xmlns:r="http://schemas.openxmlformats.org/officeDocument/2006/relationships" name="Monthly Tre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8"/>
      <sz val="16"/>
    </font>
    <font>
      <name val="Arial"/>
      <color rgb="00595959"/>
      <sz val="11"/>
    </font>
    <font>
      <name val="Arial"/>
      <sz val="11"/>
    </font>
    <font>
      <name val="Arial"/>
      <b val="1"/>
      <color rgb="001F4E78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0" borderId="0" pivotButton="0" quotePrefix="0" xfId="0"/>
    <xf numFmtId="166" fontId="5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16" customWidth="1" min="4" max="4"/>
    <col width="18" customWidth="1" min="5" max="5"/>
  </cols>
  <sheetData>
    <row r="1">
      <c r="A1" s="1" t="inlineStr">
        <is>
          <t>Sales Funnel Analytics</t>
        </is>
      </c>
    </row>
    <row r="2">
      <c r="A2" s="2" t="inlineStr">
        <is>
          <t>Key metrics computed live from the Data sheet - change a row there and these update.</t>
        </is>
      </c>
    </row>
    <row r="4">
      <c r="A4" s="3" t="inlineStr">
        <is>
          <t>Total Leads</t>
        </is>
      </c>
      <c r="B4" s="3" t="inlineStr">
        <is>
          <t>Win Rate</t>
        </is>
      </c>
      <c r="C4" s="3" t="inlineStr">
        <is>
          <t>Revenue Won</t>
        </is>
      </c>
      <c r="D4" s="3" t="inlineStr">
        <is>
          <t>Avg Deal Size</t>
        </is>
      </c>
    </row>
    <row r="5">
      <c r="A5" s="4">
        <f>COUNTA(Data!$A$2:$A$7001)</f>
        <v/>
      </c>
      <c r="B5" s="5">
        <f>ROUND(COUNTIF(Data!$I$2:$I$7001,"Won")/A5,3)</f>
        <v/>
      </c>
      <c r="C5" s="6">
        <f>ROUND(SUMIFS(Data!$K$2:$K$7001,Data!$I$2:$I$7001,"Won"),2)</f>
        <v/>
      </c>
      <c r="D5" s="6">
        <f>ROUND(AVERAGEIFS(Data!$K$2:$K$7001,Data!$I$2:$I$7001,"Won"),2)</f>
        <v/>
      </c>
    </row>
    <row r="7">
      <c r="A7" s="3" t="inlineStr">
        <is>
          <t>Top Source by Win Rate</t>
        </is>
      </c>
      <c r="C7" s="3" t="inlineStr">
        <is>
          <t>Top Lost Reason by Value</t>
        </is>
      </c>
      <c r="E7" s="3" t="inlineStr">
        <is>
          <t>Top Rep by Revenue</t>
        </is>
      </c>
    </row>
    <row r="8">
      <c r="A8" s="7">
        <f>INDEX('Win Rate by Source'!A2:A8,MATCH(MAX('Win Rate by Source'!D2:D8),'Win Rate by Source'!D2:D8,0))</f>
        <v/>
      </c>
      <c r="C8" s="7">
        <f>INDEX('Lost Value by Reason'!A2:A6,MATCH(MAX('Lost Value by Reason'!C2:C6),'Lost Value by Reason'!C2:C6,0))</f>
        <v/>
      </c>
      <c r="E8" s="7">
        <f>INDEX('Rep Leaderboard'!A2:A16,MATCH(MAX('Rep Leaderboard'!E2:E16),'Rep Leaderboard'!E2:E16,0))</f>
        <v/>
      </c>
    </row>
    <row r="10">
      <c r="A10" s="3" t="inlineStr">
        <is>
          <t>Top Funnel Drop-off Stage (biggest % lost vs. previous stage)</t>
        </is>
      </c>
    </row>
    <row r="11">
      <c r="A11" s="3" t="inlineStr">
        <is>
          <t>See the Funnel sheet - stage-by-stage percentages are listed there.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6" customWidth="1" min="3" max="3"/>
    <col width="18" customWidth="1" min="4" max="4"/>
    <col width="15" customWidth="1" min="5" max="5"/>
    <col width="9" customWidth="1" min="6" max="6"/>
    <col width="12" customWidth="1" min="7" max="7"/>
    <col width="15" customWidth="1" min="8" max="8"/>
    <col width="9" customWidth="1" min="9" max="9"/>
    <col width="20" customWidth="1" min="10" max="10"/>
    <col width="12" customWidth="1" min="11" max="11"/>
    <col width="19" customWidth="1" min="12" max="12"/>
    <col width="11" customWidth="1" min="13" max="13"/>
    <col width="17" customWidth="1" min="14" max="14"/>
    <col width="14" customWidth="1" min="15" max="15"/>
  </cols>
  <sheetData>
    <row r="1">
      <c r="A1" s="8" t="inlineStr">
        <is>
          <t>lead_id</t>
        </is>
      </c>
      <c r="B1" s="8" t="inlineStr">
        <is>
          <t>created_at</t>
        </is>
      </c>
      <c r="C1" s="8" t="inlineStr">
        <is>
          <t>source</t>
        </is>
      </c>
      <c r="D1" s="8" t="inlineStr">
        <is>
          <t>product</t>
        </is>
      </c>
      <c r="E1" s="8" t="inlineStr">
        <is>
          <t>region</t>
        </is>
      </c>
      <c r="F1" s="8" t="inlineStr">
        <is>
          <t>rep</t>
        </is>
      </c>
      <c r="G1" s="8" t="inlineStr">
        <is>
          <t>response_time_hours</t>
        </is>
      </c>
      <c r="H1" s="8" t="inlineStr">
        <is>
          <t>stage_reached</t>
        </is>
      </c>
      <c r="I1" s="8" t="inlineStr">
        <is>
          <t>status</t>
        </is>
      </c>
      <c r="J1" s="8" t="inlineStr">
        <is>
          <t>lost_reason</t>
        </is>
      </c>
      <c r="K1" s="8" t="inlineStr">
        <is>
          <t>deal_value</t>
        </is>
      </c>
      <c r="L1" s="8" t="inlineStr">
        <is>
          <t>closed_at</t>
        </is>
      </c>
      <c r="M1" s="8" t="inlineStr">
        <is>
          <t>stage_num</t>
        </is>
      </c>
      <c r="N1" s="8" t="inlineStr">
        <is>
          <t>response_bucket</t>
        </is>
      </c>
      <c r="O1" s="8" t="inlineStr">
        <is>
          <t>created_month</t>
        </is>
      </c>
    </row>
    <row r="2">
      <c r="A2" t="inlineStr">
        <is>
          <t>LD-300000</t>
        </is>
      </c>
      <c r="B2" t="inlineStr">
        <is>
          <t>2025-11-14 14:30:00</t>
        </is>
      </c>
      <c r="C2" t="inlineStr">
        <is>
          <t>Webinar</t>
        </is>
      </c>
      <c r="D2" t="inlineStr">
        <is>
          <t>Coding for Kids</t>
        </is>
      </c>
      <c r="E2" t="inlineStr">
        <is>
          <t>International</t>
        </is>
      </c>
      <c r="F2" t="inlineStr">
        <is>
          <t>Rep_15</t>
        </is>
      </c>
      <c r="G2" t="n">
        <v>0.57</v>
      </c>
      <c r="H2" t="inlineStr">
        <is>
          <t>Closed</t>
        </is>
      </c>
      <c r="I2" t="inlineStr">
        <is>
          <t>Won</t>
        </is>
      </c>
      <c r="K2" t="n">
        <v>574.72</v>
      </c>
      <c r="L2" t="inlineStr">
        <is>
          <t>2025-12-15 09:41:11.226466</t>
        </is>
      </c>
      <c r="M2">
        <f>VLOOKUP(H2,'Stage Order'!$A$2:$B$8,2,FALSE)</f>
        <v/>
      </c>
      <c r="N2">
        <f>IF(G2&lt;=1,"1. Under 1 hour",IF(G2&lt;=24,"2. 1-24 hours",IF(G2&lt;=72,"3. 1-3 days","4. Over 3 days")))</f>
        <v/>
      </c>
      <c r="O2">
        <f>TEXT(B2,"YYYY-MM")</f>
        <v/>
      </c>
    </row>
    <row r="3">
      <c r="A3" t="inlineStr">
        <is>
          <t>LD-300001</t>
        </is>
      </c>
      <c r="B3" t="inlineStr">
        <is>
          <t>2026-06-12 16:52:00</t>
        </is>
      </c>
      <c r="C3" t="inlineStr">
        <is>
          <t>Organic Search</t>
        </is>
      </c>
      <c r="D3" t="inlineStr">
        <is>
          <t>Language Learning</t>
        </is>
      </c>
      <c r="E3" t="inlineStr">
        <is>
          <t>North Region</t>
        </is>
      </c>
      <c r="F3" t="inlineStr">
        <is>
          <t>Rep_01</t>
        </is>
      </c>
      <c r="G3" t="n">
        <v>2.72</v>
      </c>
      <c r="H3" t="inlineStr">
        <is>
          <t>Contacted</t>
        </is>
      </c>
      <c r="I3" t="inlineStr">
        <is>
          <t>Open</t>
        </is>
      </c>
      <c r="M3">
        <f>VLOOKUP(H3,'Stage Order'!$A$2:$B$8,2,FALSE)</f>
        <v/>
      </c>
      <c r="N3">
        <f>IF(G3&lt;=1,"1. Under 1 hour",IF(G3&lt;=24,"2. 1-24 hours",IF(G3&lt;=72,"3. 1-3 days","4. Over 3 days")))</f>
        <v/>
      </c>
      <c r="O3">
        <f>TEXT(B3,"YYYY-MM")</f>
        <v/>
      </c>
    </row>
    <row r="4">
      <c r="A4" t="inlineStr">
        <is>
          <t>LD-300002</t>
        </is>
      </c>
      <c r="B4" t="inlineStr">
        <is>
          <t>2026-01-21 15:02:00</t>
        </is>
      </c>
      <c r="C4" t="inlineStr">
        <is>
          <t>Organic Search</t>
        </is>
      </c>
      <c r="D4" t="inlineStr">
        <is>
          <t>Coding for Kids</t>
        </is>
      </c>
      <c r="E4" t="inlineStr">
        <is>
          <t>South Region</t>
        </is>
      </c>
      <c r="F4" t="inlineStr">
        <is>
          <t>Rep_12</t>
        </is>
      </c>
      <c r="G4" t="n">
        <v>1.63</v>
      </c>
      <c r="H4" t="inlineStr">
        <is>
          <t>Demo Completed</t>
        </is>
      </c>
      <c r="I4" t="inlineStr">
        <is>
          <t>Lost</t>
        </is>
      </c>
      <c r="J4" t="inlineStr">
        <is>
          <t>Went With Competitor</t>
        </is>
      </c>
      <c r="K4" t="n">
        <v>673.3200000000001</v>
      </c>
      <c r="L4" t="inlineStr">
        <is>
          <t>2026-02-25 19:23:42.793161</t>
        </is>
      </c>
      <c r="M4">
        <f>VLOOKUP(H4,'Stage Order'!$A$2:$B$8,2,FALSE)</f>
        <v/>
      </c>
      <c r="N4">
        <f>IF(G4&lt;=1,"1. Under 1 hour",IF(G4&lt;=24,"2. 1-24 hours",IF(G4&lt;=72,"3. 1-3 days","4. Over 3 days")))</f>
        <v/>
      </c>
      <c r="O4">
        <f>TEXT(B4,"YYYY-MM")</f>
        <v/>
      </c>
    </row>
    <row r="5">
      <c r="A5" t="inlineStr">
        <is>
          <t>LD-300003</t>
        </is>
      </c>
      <c r="B5" t="inlineStr">
        <is>
          <t>2025-08-28 15:26:00</t>
        </is>
      </c>
      <c r="C5" t="inlineStr">
        <is>
          <t>Referral</t>
        </is>
      </c>
      <c r="D5" t="inlineStr">
        <is>
          <t>K-12 Math</t>
        </is>
      </c>
      <c r="E5" t="inlineStr">
        <is>
          <t>South Region</t>
        </is>
      </c>
      <c r="F5" t="inlineStr">
        <is>
          <t>Rep_07</t>
        </is>
      </c>
      <c r="G5" t="n">
        <v>1.77</v>
      </c>
      <c r="H5" t="inlineStr">
        <is>
          <t>Contacted</t>
        </is>
      </c>
      <c r="I5" t="inlineStr">
        <is>
          <t>Open</t>
        </is>
      </c>
      <c r="M5">
        <f>VLOOKUP(H5,'Stage Order'!$A$2:$B$8,2,FALSE)</f>
        <v/>
      </c>
      <c r="N5">
        <f>IF(G5&lt;=1,"1. Under 1 hour",IF(G5&lt;=24,"2. 1-24 hours",IF(G5&lt;=72,"3. 1-3 days","4. Over 3 days")))</f>
        <v/>
      </c>
      <c r="O5">
        <f>TEXT(B5,"YYYY-MM")</f>
        <v/>
      </c>
    </row>
    <row r="6">
      <c r="A6" t="inlineStr">
        <is>
          <t>LD-300004</t>
        </is>
      </c>
      <c r="B6" t="inlineStr">
        <is>
          <t>2026-06-03 10:00:00</t>
        </is>
      </c>
      <c r="C6" t="inlineStr">
        <is>
          <t>Paid Search</t>
        </is>
      </c>
      <c r="D6" t="inlineStr">
        <is>
          <t>Language Learning</t>
        </is>
      </c>
      <c r="E6" t="inlineStr">
        <is>
          <t>West Region</t>
        </is>
      </c>
      <c r="F6" t="inlineStr">
        <is>
          <t>Rep_13</t>
        </is>
      </c>
      <c r="G6" t="n">
        <v>2.73</v>
      </c>
      <c r="H6" t="inlineStr">
        <is>
          <t>Lead</t>
        </is>
      </c>
      <c r="I6" t="inlineStr">
        <is>
          <t>Open</t>
        </is>
      </c>
      <c r="M6">
        <f>VLOOKUP(H6,'Stage Order'!$A$2:$B$8,2,FALSE)</f>
        <v/>
      </c>
      <c r="N6">
        <f>IF(G6&lt;=1,"1. Under 1 hour",IF(G6&lt;=24,"2. 1-24 hours",IF(G6&lt;=72,"3. 1-3 days","4. Over 3 days")))</f>
        <v/>
      </c>
      <c r="O6">
        <f>TEXT(B6,"YYYY-MM")</f>
        <v/>
      </c>
    </row>
    <row r="7">
      <c r="A7" t="inlineStr">
        <is>
          <t>LD-300005</t>
        </is>
      </c>
      <c r="B7" t="inlineStr">
        <is>
          <t>2025-09-19 20:36:00</t>
        </is>
      </c>
      <c r="C7" t="inlineStr">
        <is>
          <t>Organic Search</t>
        </is>
      </c>
      <c r="D7" t="inlineStr">
        <is>
          <t>K-12 Math</t>
        </is>
      </c>
      <c r="E7" t="inlineStr">
        <is>
          <t>International</t>
        </is>
      </c>
      <c r="F7" t="inlineStr">
        <is>
          <t>Rep_15</t>
        </is>
      </c>
      <c r="G7" t="n">
        <v>2.29</v>
      </c>
      <c r="H7" t="inlineStr">
        <is>
          <t>Contacted</t>
        </is>
      </c>
      <c r="I7" t="inlineStr">
        <is>
          <t>Open</t>
        </is>
      </c>
      <c r="M7">
        <f>VLOOKUP(H7,'Stage Order'!$A$2:$B$8,2,FALSE)</f>
        <v/>
      </c>
      <c r="N7">
        <f>IF(G7&lt;=1,"1. Under 1 hour",IF(G7&lt;=24,"2. 1-24 hours",IF(G7&lt;=72,"3. 1-3 days","4. Over 3 days")))</f>
        <v/>
      </c>
      <c r="O7">
        <f>TEXT(B7,"YYYY-MM")</f>
        <v/>
      </c>
    </row>
    <row r="8">
      <c r="A8" t="inlineStr">
        <is>
          <t>LD-300006</t>
        </is>
      </c>
      <c r="B8" t="inlineStr">
        <is>
          <t>2025-11-14 14:03:00</t>
        </is>
      </c>
      <c r="C8" t="inlineStr">
        <is>
          <t>Paid Search</t>
        </is>
      </c>
      <c r="D8" t="inlineStr">
        <is>
          <t>K-12 Math</t>
        </is>
      </c>
      <c r="E8" t="inlineStr">
        <is>
          <t>North Region</t>
        </is>
      </c>
      <c r="F8" t="inlineStr">
        <is>
          <t>Rep_06</t>
        </is>
      </c>
      <c r="G8" t="n">
        <v>3.21</v>
      </c>
      <c r="H8" t="inlineStr">
        <is>
          <t>Contacted</t>
        </is>
      </c>
      <c r="I8" t="inlineStr">
        <is>
          <t>Open</t>
        </is>
      </c>
      <c r="M8">
        <f>VLOOKUP(H8,'Stage Order'!$A$2:$B$8,2,FALSE)</f>
        <v/>
      </c>
      <c r="N8">
        <f>IF(G8&lt;=1,"1. Under 1 hour",IF(G8&lt;=24,"2. 1-24 hours",IF(G8&lt;=72,"3. 1-3 days","4. Over 3 days")))</f>
        <v/>
      </c>
      <c r="O8">
        <f>TEXT(B8,"YYYY-MM")</f>
        <v/>
      </c>
    </row>
    <row r="9">
      <c r="A9" t="inlineStr">
        <is>
          <t>LD-300007</t>
        </is>
      </c>
      <c r="B9" t="inlineStr">
        <is>
          <t>2025-09-01 17:03:00</t>
        </is>
      </c>
      <c r="C9" t="inlineStr">
        <is>
          <t>Paid Search</t>
        </is>
      </c>
      <c r="D9" t="inlineStr">
        <is>
          <t>K-12 Math</t>
        </is>
      </c>
      <c r="E9" t="inlineStr">
        <is>
          <t>North Region</t>
        </is>
      </c>
      <c r="F9" t="inlineStr">
        <is>
          <t>Rep_01</t>
        </is>
      </c>
      <c r="G9" t="n">
        <v>0.48</v>
      </c>
      <c r="H9" t="inlineStr">
        <is>
          <t>Contacted</t>
        </is>
      </c>
      <c r="I9" t="inlineStr">
        <is>
          <t>Open</t>
        </is>
      </c>
      <c r="M9">
        <f>VLOOKUP(H9,'Stage Order'!$A$2:$B$8,2,FALSE)</f>
        <v/>
      </c>
      <c r="N9">
        <f>IF(G9&lt;=1,"1. Under 1 hour",IF(G9&lt;=24,"2. 1-24 hours",IF(G9&lt;=72,"3. 1-3 days","4. Over 3 days")))</f>
        <v/>
      </c>
      <c r="O9">
        <f>TEXT(B9,"YYYY-MM")</f>
        <v/>
      </c>
    </row>
    <row r="10">
      <c r="A10" t="inlineStr">
        <is>
          <t>LD-300008</t>
        </is>
      </c>
      <c r="B10" t="inlineStr">
        <is>
          <t>2025-08-25 19:40:00</t>
        </is>
      </c>
      <c r="C10" t="inlineStr">
        <is>
          <t>Referral</t>
        </is>
      </c>
      <c r="D10" t="inlineStr">
        <is>
          <t>Coding for Kids</t>
        </is>
      </c>
      <c r="E10" t="inlineStr">
        <is>
          <t>South Region</t>
        </is>
      </c>
      <c r="F10" t="inlineStr">
        <is>
          <t>Rep_07</t>
        </is>
      </c>
      <c r="G10" t="n">
        <v>2.55</v>
      </c>
      <c r="H10" t="inlineStr">
        <is>
          <t>Closed</t>
        </is>
      </c>
      <c r="I10" t="inlineStr">
        <is>
          <t>Won</t>
        </is>
      </c>
      <c r="K10" t="n">
        <v>723.67</v>
      </c>
      <c r="L10" t="inlineStr">
        <is>
          <t>2025-10-16 20:41:44.872095</t>
        </is>
      </c>
      <c r="M10">
        <f>VLOOKUP(H10,'Stage Order'!$A$2:$B$8,2,FALSE)</f>
        <v/>
      </c>
      <c r="N10">
        <f>IF(G10&lt;=1,"1. Under 1 hour",IF(G10&lt;=24,"2. 1-24 hours",IF(G10&lt;=72,"3. 1-3 days","4. Over 3 days")))</f>
        <v/>
      </c>
      <c r="O10">
        <f>TEXT(B10,"YYYY-MM")</f>
        <v/>
      </c>
    </row>
    <row r="11">
      <c r="A11" t="inlineStr">
        <is>
          <t>LD-300009</t>
        </is>
      </c>
      <c r="B11" t="inlineStr">
        <is>
          <t>2026-06-03 14:05:00</t>
        </is>
      </c>
      <c r="C11" t="inlineStr">
        <is>
          <t>Paid Search</t>
        </is>
      </c>
      <c r="D11" t="inlineStr">
        <is>
          <t>K-12 Math</t>
        </is>
      </c>
      <c r="E11" t="inlineStr">
        <is>
          <t>South Region</t>
        </is>
      </c>
      <c r="F11" t="inlineStr">
        <is>
          <t>Rep_12</t>
        </is>
      </c>
      <c r="G11" t="n">
        <v>6.24</v>
      </c>
      <c r="H11" t="inlineStr">
        <is>
          <t>Contacted</t>
        </is>
      </c>
      <c r="I11" t="inlineStr">
        <is>
          <t>Open</t>
        </is>
      </c>
      <c r="M11">
        <f>VLOOKUP(H11,'Stage Order'!$A$2:$B$8,2,FALSE)</f>
        <v/>
      </c>
      <c r="N11">
        <f>IF(G11&lt;=1,"1. Under 1 hour",IF(G11&lt;=24,"2. 1-24 hours",IF(G11&lt;=72,"3. 1-3 days","4. Over 3 days")))</f>
        <v/>
      </c>
      <c r="O11">
        <f>TEXT(B11,"YYYY-MM")</f>
        <v/>
      </c>
    </row>
    <row r="12">
      <c r="A12" t="inlineStr">
        <is>
          <t>LD-300010</t>
        </is>
      </c>
      <c r="B12" t="inlineStr">
        <is>
          <t>2026-06-22 11:08:00</t>
        </is>
      </c>
      <c r="C12" t="inlineStr">
        <is>
          <t>Partner Channel</t>
        </is>
      </c>
      <c r="D12" t="inlineStr">
        <is>
          <t>Competitive Exam Prep</t>
        </is>
      </c>
      <c r="E12" t="inlineStr">
        <is>
          <t>International</t>
        </is>
      </c>
      <c r="F12" t="inlineStr">
        <is>
          <t>Rep_05</t>
        </is>
      </c>
      <c r="G12" t="n">
        <v>2.95</v>
      </c>
      <c r="H12" t="inlineStr">
        <is>
          <t>Contacted</t>
        </is>
      </c>
      <c r="I12" t="inlineStr">
        <is>
          <t>Open</t>
        </is>
      </c>
      <c r="M12">
        <f>VLOOKUP(H12,'Stage Order'!$A$2:$B$8,2,FALSE)</f>
        <v/>
      </c>
      <c r="N12">
        <f>IF(G12&lt;=1,"1. Under 1 hour",IF(G12&lt;=24,"2. 1-24 hours",IF(G12&lt;=72,"3. 1-3 days","4. Over 3 days")))</f>
        <v/>
      </c>
      <c r="O12">
        <f>TEXT(B12,"YYYY-MM")</f>
        <v/>
      </c>
    </row>
    <row r="13">
      <c r="A13" t="inlineStr">
        <is>
          <t>LD-300011</t>
        </is>
      </c>
      <c r="B13" t="inlineStr">
        <is>
          <t>2025-11-11 15:49:00</t>
        </is>
      </c>
      <c r="C13" t="inlineStr">
        <is>
          <t>Cold Outreach</t>
        </is>
      </c>
      <c r="D13" t="inlineStr">
        <is>
          <t>Competitive Exam Prep</t>
        </is>
      </c>
      <c r="E13" t="inlineStr">
        <is>
          <t>International</t>
        </is>
      </c>
      <c r="F13" t="inlineStr">
        <is>
          <t>Rep_10</t>
        </is>
      </c>
      <c r="G13" t="n">
        <v>1</v>
      </c>
      <c r="H13" t="inlineStr">
        <is>
          <t>Lead</t>
        </is>
      </c>
      <c r="I13" t="inlineStr">
        <is>
          <t>Open</t>
        </is>
      </c>
      <c r="M13">
        <f>VLOOKUP(H13,'Stage Order'!$A$2:$B$8,2,FALSE)</f>
        <v/>
      </c>
      <c r="N13">
        <f>IF(G13&lt;=1,"1. Under 1 hour",IF(G13&lt;=24,"2. 1-24 hours",IF(G13&lt;=72,"3. 1-3 days","4. Over 3 days")))</f>
        <v/>
      </c>
      <c r="O13">
        <f>TEXT(B13,"YYYY-MM")</f>
        <v/>
      </c>
    </row>
    <row r="14">
      <c r="A14" t="inlineStr">
        <is>
          <t>LD-300012</t>
        </is>
      </c>
      <c r="B14" t="inlineStr">
        <is>
          <t>2025-03-28 14:32:00</t>
        </is>
      </c>
      <c r="C14" t="inlineStr">
        <is>
          <t>Webinar</t>
        </is>
      </c>
      <c r="D14" t="inlineStr">
        <is>
          <t>Coding for Kids</t>
        </is>
      </c>
      <c r="E14" t="inlineStr">
        <is>
          <t>West Region</t>
        </is>
      </c>
      <c r="F14" t="inlineStr">
        <is>
          <t>Rep_13</t>
        </is>
      </c>
      <c r="G14" t="n">
        <v>3</v>
      </c>
      <c r="H14" t="inlineStr">
        <is>
          <t>Closed</t>
        </is>
      </c>
      <c r="I14" t="inlineStr">
        <is>
          <t>Won</t>
        </is>
      </c>
      <c r="K14" t="n">
        <v>603.05</v>
      </c>
      <c r="L14" t="inlineStr">
        <is>
          <t>2025-05-02 11:58:34.056521</t>
        </is>
      </c>
      <c r="M14">
        <f>VLOOKUP(H14,'Stage Order'!$A$2:$B$8,2,FALSE)</f>
        <v/>
      </c>
      <c r="N14">
        <f>IF(G14&lt;=1,"1. Under 1 hour",IF(G14&lt;=24,"2. 1-24 hours",IF(G14&lt;=72,"3. 1-3 days","4. Over 3 days")))</f>
        <v/>
      </c>
      <c r="O14">
        <f>TEXT(B14,"YYYY-MM")</f>
        <v/>
      </c>
    </row>
    <row r="15">
      <c r="A15" t="inlineStr">
        <is>
          <t>LD-300013</t>
        </is>
      </c>
      <c r="B15" t="inlineStr">
        <is>
          <t>2025-03-10 20:45:00</t>
        </is>
      </c>
      <c r="C15" t="inlineStr">
        <is>
          <t>Referral</t>
        </is>
      </c>
      <c r="D15" t="inlineStr">
        <is>
          <t>Coding for Kids</t>
        </is>
      </c>
      <c r="E15" t="inlineStr">
        <is>
          <t>North Region</t>
        </is>
      </c>
      <c r="F15" t="inlineStr">
        <is>
          <t>Rep_06</t>
        </is>
      </c>
      <c r="G15" t="n">
        <v>4.93</v>
      </c>
      <c r="H15" t="inlineStr">
        <is>
          <t>Contacted</t>
        </is>
      </c>
      <c r="I15" t="inlineStr">
        <is>
          <t>Open</t>
        </is>
      </c>
      <c r="M15">
        <f>VLOOKUP(H15,'Stage Order'!$A$2:$B$8,2,FALSE)</f>
        <v/>
      </c>
      <c r="N15">
        <f>IF(G15&lt;=1,"1. Under 1 hour",IF(G15&lt;=24,"2. 1-24 hours",IF(G15&lt;=72,"3. 1-3 days","4. Over 3 days")))</f>
        <v/>
      </c>
      <c r="O15">
        <f>TEXT(B15,"YYYY-MM")</f>
        <v/>
      </c>
    </row>
    <row r="16">
      <c r="A16" t="inlineStr">
        <is>
          <t>LD-300014</t>
        </is>
      </c>
      <c r="B16" t="inlineStr">
        <is>
          <t>2026-05-04 17:50:00</t>
        </is>
      </c>
      <c r="C16" t="inlineStr">
        <is>
          <t>Cold Outreach</t>
        </is>
      </c>
      <c r="D16" t="inlineStr">
        <is>
          <t>Language Learning</t>
        </is>
      </c>
      <c r="E16" t="inlineStr">
        <is>
          <t>East Region</t>
        </is>
      </c>
      <c r="F16" t="inlineStr">
        <is>
          <t>Rep_04</t>
        </is>
      </c>
      <c r="G16" t="n">
        <v>2.18</v>
      </c>
      <c r="H16" t="inlineStr">
        <is>
          <t>Lead</t>
        </is>
      </c>
      <c r="I16" t="inlineStr">
        <is>
          <t>Open</t>
        </is>
      </c>
      <c r="M16">
        <f>VLOOKUP(H16,'Stage Order'!$A$2:$B$8,2,FALSE)</f>
        <v/>
      </c>
      <c r="N16">
        <f>IF(G16&lt;=1,"1. Under 1 hour",IF(G16&lt;=24,"2. 1-24 hours",IF(G16&lt;=72,"3. 1-3 days","4. Over 3 days")))</f>
        <v/>
      </c>
      <c r="O16">
        <f>TEXT(B16,"YYYY-MM")</f>
        <v/>
      </c>
    </row>
    <row r="17">
      <c r="A17" t="inlineStr">
        <is>
          <t>LD-300015</t>
        </is>
      </c>
      <c r="B17" t="inlineStr">
        <is>
          <t>2025-06-11 07:10:00</t>
        </is>
      </c>
      <c r="C17" t="inlineStr">
        <is>
          <t>Organic Search</t>
        </is>
      </c>
      <c r="D17" t="inlineStr">
        <is>
          <t>K-12 Math</t>
        </is>
      </c>
      <c r="E17" t="inlineStr">
        <is>
          <t>South Region</t>
        </is>
      </c>
      <c r="F17" t="inlineStr">
        <is>
          <t>Rep_02</t>
        </is>
      </c>
      <c r="G17" t="n">
        <v>5.4</v>
      </c>
      <c r="H17" t="inlineStr">
        <is>
          <t>Contacted</t>
        </is>
      </c>
      <c r="I17" t="inlineStr">
        <is>
          <t>Open</t>
        </is>
      </c>
      <c r="M17">
        <f>VLOOKUP(H17,'Stage Order'!$A$2:$B$8,2,FALSE)</f>
        <v/>
      </c>
      <c r="N17">
        <f>IF(G17&lt;=1,"1. Under 1 hour",IF(G17&lt;=24,"2. 1-24 hours",IF(G17&lt;=72,"3. 1-3 days","4. Over 3 days")))</f>
        <v/>
      </c>
      <c r="O17">
        <f>TEXT(B17,"YYYY-MM")</f>
        <v/>
      </c>
    </row>
    <row r="18">
      <c r="A18" t="inlineStr">
        <is>
          <t>LD-300016</t>
        </is>
      </c>
      <c r="B18" t="inlineStr">
        <is>
          <t>2025-02-28 09:06:00</t>
        </is>
      </c>
      <c r="C18" t="inlineStr">
        <is>
          <t>Paid Search</t>
        </is>
      </c>
      <c r="D18" t="inlineStr">
        <is>
          <t>Study Abroad Prep</t>
        </is>
      </c>
      <c r="E18" t="inlineStr">
        <is>
          <t>West Region</t>
        </is>
      </c>
      <c r="F18" t="inlineStr">
        <is>
          <t>Rep_13</t>
        </is>
      </c>
      <c r="G18" t="n">
        <v>6.82</v>
      </c>
      <c r="H18" t="inlineStr">
        <is>
          <t>Demo Completed</t>
        </is>
      </c>
      <c r="I18" t="inlineStr">
        <is>
          <t>Lost</t>
        </is>
      </c>
      <c r="J18" t="inlineStr">
        <is>
          <t>No Response / Ghosted</t>
        </is>
      </c>
      <c r="K18" t="n">
        <v>1379.65</v>
      </c>
      <c r="L18" t="inlineStr">
        <is>
          <t>2025-03-28 10:20:43.782866</t>
        </is>
      </c>
      <c r="M18">
        <f>VLOOKUP(H18,'Stage Order'!$A$2:$B$8,2,FALSE)</f>
        <v/>
      </c>
      <c r="N18">
        <f>IF(G18&lt;=1,"1. Under 1 hour",IF(G18&lt;=24,"2. 1-24 hours",IF(G18&lt;=72,"3. 1-3 days","4. Over 3 days")))</f>
        <v/>
      </c>
      <c r="O18">
        <f>TEXT(B18,"YYYY-MM")</f>
        <v/>
      </c>
    </row>
    <row r="19">
      <c r="A19" t="inlineStr">
        <is>
          <t>LD-300017</t>
        </is>
      </c>
      <c r="B19" t="inlineStr">
        <is>
          <t>2026-04-04 11:09:00</t>
        </is>
      </c>
      <c r="C19" t="inlineStr">
        <is>
          <t>Webinar</t>
        </is>
      </c>
      <c r="D19" t="inlineStr">
        <is>
          <t>Competitive Exam Prep</t>
        </is>
      </c>
      <c r="E19" t="inlineStr">
        <is>
          <t>East Region</t>
        </is>
      </c>
      <c r="F19" t="inlineStr">
        <is>
          <t>Rep_04</t>
        </is>
      </c>
      <c r="G19" t="n">
        <v>4.1</v>
      </c>
      <c r="H19" t="inlineStr">
        <is>
          <t>Contacted</t>
        </is>
      </c>
      <c r="I19" t="inlineStr">
        <is>
          <t>Open</t>
        </is>
      </c>
      <c r="M19">
        <f>VLOOKUP(H19,'Stage Order'!$A$2:$B$8,2,FALSE)</f>
        <v/>
      </c>
      <c r="N19">
        <f>IF(G19&lt;=1,"1. Under 1 hour",IF(G19&lt;=24,"2. 1-24 hours",IF(G19&lt;=72,"3. 1-3 days","4. Over 3 days")))</f>
        <v/>
      </c>
      <c r="O19">
        <f>TEXT(B19,"YYYY-MM")</f>
        <v/>
      </c>
    </row>
    <row r="20">
      <c r="A20" t="inlineStr">
        <is>
          <t>LD-300018</t>
        </is>
      </c>
      <c r="B20" t="inlineStr">
        <is>
          <t>2025-09-29 09:35:00</t>
        </is>
      </c>
      <c r="C20" t="inlineStr">
        <is>
          <t>Referral</t>
        </is>
      </c>
      <c r="D20" t="inlineStr">
        <is>
          <t>Coding for Kids</t>
        </is>
      </c>
      <c r="E20" t="inlineStr">
        <is>
          <t>North Region</t>
        </is>
      </c>
      <c r="F20" t="inlineStr">
        <is>
          <t>Rep_06</t>
        </is>
      </c>
      <c r="G20" t="n">
        <v>5.16</v>
      </c>
      <c r="H20" t="inlineStr">
        <is>
          <t>Contacted</t>
        </is>
      </c>
      <c r="I20" t="inlineStr">
        <is>
          <t>Open</t>
        </is>
      </c>
      <c r="M20">
        <f>VLOOKUP(H20,'Stage Order'!$A$2:$B$8,2,FALSE)</f>
        <v/>
      </c>
      <c r="N20">
        <f>IF(G20&lt;=1,"1. Under 1 hour",IF(G20&lt;=24,"2. 1-24 hours",IF(G20&lt;=72,"3. 1-3 days","4. Over 3 days")))</f>
        <v/>
      </c>
      <c r="O20">
        <f>TEXT(B20,"YYYY-MM")</f>
        <v/>
      </c>
    </row>
    <row r="21">
      <c r="A21" t="inlineStr">
        <is>
          <t>LD-300019</t>
        </is>
      </c>
      <c r="B21" t="inlineStr">
        <is>
          <t>2025-07-17 11:05:00</t>
        </is>
      </c>
      <c r="C21" t="inlineStr">
        <is>
          <t>Cold Outreach</t>
        </is>
      </c>
      <c r="D21" t="inlineStr">
        <is>
          <t>Study Abroad Prep</t>
        </is>
      </c>
      <c r="E21" t="inlineStr">
        <is>
          <t>North Region</t>
        </is>
      </c>
      <c r="F21" t="inlineStr">
        <is>
          <t>Rep_11</t>
        </is>
      </c>
      <c r="G21" t="n">
        <v>3.97</v>
      </c>
      <c r="H21" t="inlineStr">
        <is>
          <t>Lead</t>
        </is>
      </c>
      <c r="I21" t="inlineStr">
        <is>
          <t>Open</t>
        </is>
      </c>
      <c r="M21">
        <f>VLOOKUP(H21,'Stage Order'!$A$2:$B$8,2,FALSE)</f>
        <v/>
      </c>
      <c r="N21">
        <f>IF(G21&lt;=1,"1. Under 1 hour",IF(G21&lt;=24,"2. 1-24 hours",IF(G21&lt;=72,"3. 1-3 days","4. Over 3 days")))</f>
        <v/>
      </c>
      <c r="O21">
        <f>TEXT(B21,"YYYY-MM")</f>
        <v/>
      </c>
    </row>
    <row r="22">
      <c r="A22" t="inlineStr">
        <is>
          <t>LD-300020</t>
        </is>
      </c>
      <c r="B22" t="inlineStr">
        <is>
          <t>2025-12-27 10:09:00</t>
        </is>
      </c>
      <c r="C22" t="inlineStr">
        <is>
          <t>Paid Search</t>
        </is>
      </c>
      <c r="D22" t="inlineStr">
        <is>
          <t>K-12 Math</t>
        </is>
      </c>
      <c r="E22" t="inlineStr">
        <is>
          <t>South Region</t>
        </is>
      </c>
      <c r="F22" t="inlineStr">
        <is>
          <t>Rep_07</t>
        </is>
      </c>
      <c r="G22" t="n">
        <v>1.97</v>
      </c>
      <c r="H22" t="inlineStr">
        <is>
          <t>Closed</t>
        </is>
      </c>
      <c r="I22" t="inlineStr">
        <is>
          <t>Won</t>
        </is>
      </c>
      <c r="K22" t="n">
        <v>423.65</v>
      </c>
      <c r="L22" t="inlineStr">
        <is>
          <t>2026-01-31 19:29:05.287792</t>
        </is>
      </c>
      <c r="M22">
        <f>VLOOKUP(H22,'Stage Order'!$A$2:$B$8,2,FALSE)</f>
        <v/>
      </c>
      <c r="N22">
        <f>IF(G22&lt;=1,"1. Under 1 hour",IF(G22&lt;=24,"2. 1-24 hours",IF(G22&lt;=72,"3. 1-3 days","4. Over 3 days")))</f>
        <v/>
      </c>
      <c r="O22">
        <f>TEXT(B22,"YYYY-MM")</f>
        <v/>
      </c>
    </row>
    <row r="23">
      <c r="A23" t="inlineStr">
        <is>
          <t>LD-300021</t>
        </is>
      </c>
      <c r="B23" t="inlineStr">
        <is>
          <t>2025-07-07 17:46:00</t>
        </is>
      </c>
      <c r="C23" t="inlineStr">
        <is>
          <t>Paid Search</t>
        </is>
      </c>
      <c r="D23" t="inlineStr">
        <is>
          <t>K-12 Math</t>
        </is>
      </c>
      <c r="E23" t="inlineStr">
        <is>
          <t>East Region</t>
        </is>
      </c>
      <c r="F23" t="inlineStr">
        <is>
          <t>Rep_09</t>
        </is>
      </c>
      <c r="G23" t="n">
        <v>3.27</v>
      </c>
      <c r="H23" t="inlineStr">
        <is>
          <t>Demo Completed</t>
        </is>
      </c>
      <c r="I23" t="inlineStr">
        <is>
          <t>Lost</t>
        </is>
      </c>
      <c r="J23" t="inlineStr">
        <is>
          <t>Bad Timing</t>
        </is>
      </c>
      <c r="K23" t="n">
        <v>491.48</v>
      </c>
      <c r="L23" t="inlineStr">
        <is>
          <t>2025-07-31 00:34:05.025358</t>
        </is>
      </c>
      <c r="M23">
        <f>VLOOKUP(H23,'Stage Order'!$A$2:$B$8,2,FALSE)</f>
        <v/>
      </c>
      <c r="N23">
        <f>IF(G23&lt;=1,"1. Under 1 hour",IF(G23&lt;=24,"2. 1-24 hours",IF(G23&lt;=72,"3. 1-3 days","4. Over 3 days")))</f>
        <v/>
      </c>
      <c r="O23">
        <f>TEXT(B23,"YYYY-MM")</f>
        <v/>
      </c>
    </row>
    <row r="24">
      <c r="A24" t="inlineStr">
        <is>
          <t>LD-300022</t>
        </is>
      </c>
      <c r="B24" t="inlineStr">
        <is>
          <t>2025-04-09 19:52:00</t>
        </is>
      </c>
      <c r="C24" t="inlineStr">
        <is>
          <t>Referral</t>
        </is>
      </c>
      <c r="D24" t="inlineStr">
        <is>
          <t>K-12 Math</t>
        </is>
      </c>
      <c r="E24" t="inlineStr">
        <is>
          <t>West Region</t>
        </is>
      </c>
      <c r="F24" t="inlineStr">
        <is>
          <t>Rep_08</t>
        </is>
      </c>
      <c r="G24" t="n">
        <v>1.76</v>
      </c>
      <c r="H24" t="inlineStr">
        <is>
          <t>Closed</t>
        </is>
      </c>
      <c r="I24" t="inlineStr">
        <is>
          <t>Won</t>
        </is>
      </c>
      <c r="K24" t="n">
        <v>443.38</v>
      </c>
      <c r="L24" t="inlineStr">
        <is>
          <t>2025-05-14 21:34:45.733557</t>
        </is>
      </c>
      <c r="M24">
        <f>VLOOKUP(H24,'Stage Order'!$A$2:$B$8,2,FALSE)</f>
        <v/>
      </c>
      <c r="N24">
        <f>IF(G24&lt;=1,"1. Under 1 hour",IF(G24&lt;=24,"2. 1-24 hours",IF(G24&lt;=72,"3. 1-3 days","4. Over 3 days")))</f>
        <v/>
      </c>
      <c r="O24">
        <f>TEXT(B24,"YYYY-MM")</f>
        <v/>
      </c>
    </row>
    <row r="25">
      <c r="A25" t="inlineStr">
        <is>
          <t>LD-300023</t>
        </is>
      </c>
      <c r="B25" t="inlineStr">
        <is>
          <t>2025-01-30 18:27:00</t>
        </is>
      </c>
      <c r="C25" t="inlineStr">
        <is>
          <t>Webinar</t>
        </is>
      </c>
      <c r="D25" t="inlineStr">
        <is>
          <t>Study Abroad Prep</t>
        </is>
      </c>
      <c r="E25" t="inlineStr">
        <is>
          <t>International</t>
        </is>
      </c>
      <c r="F25" t="inlineStr">
        <is>
          <t>Rep_10</t>
        </is>
      </c>
      <c r="G25" t="n">
        <v>7.24</v>
      </c>
      <c r="H25" t="inlineStr">
        <is>
          <t>Contacted</t>
        </is>
      </c>
      <c r="I25" t="inlineStr">
        <is>
          <t>Open</t>
        </is>
      </c>
      <c r="M25">
        <f>VLOOKUP(H25,'Stage Order'!$A$2:$B$8,2,FALSE)</f>
        <v/>
      </c>
      <c r="N25">
        <f>IF(G25&lt;=1,"1. Under 1 hour",IF(G25&lt;=24,"2. 1-24 hours",IF(G25&lt;=72,"3. 1-3 days","4. Over 3 days")))</f>
        <v/>
      </c>
      <c r="O25">
        <f>TEXT(B25,"YYYY-MM")</f>
        <v/>
      </c>
    </row>
    <row r="26">
      <c r="A26" t="inlineStr">
        <is>
          <t>LD-300024</t>
        </is>
      </c>
      <c r="B26" t="inlineStr">
        <is>
          <t>2025-04-18 09:52:00</t>
        </is>
      </c>
      <c r="C26" t="inlineStr">
        <is>
          <t>Webinar</t>
        </is>
      </c>
      <c r="D26" t="inlineStr">
        <is>
          <t>Language Learning</t>
        </is>
      </c>
      <c r="E26" t="inlineStr">
        <is>
          <t>South Region</t>
        </is>
      </c>
      <c r="F26" t="inlineStr">
        <is>
          <t>Rep_12</t>
        </is>
      </c>
      <c r="G26" t="n">
        <v>2.76</v>
      </c>
      <c r="H26" t="inlineStr">
        <is>
          <t>Contacted</t>
        </is>
      </c>
      <c r="I26" t="inlineStr">
        <is>
          <t>Open</t>
        </is>
      </c>
      <c r="M26">
        <f>VLOOKUP(H26,'Stage Order'!$A$2:$B$8,2,FALSE)</f>
        <v/>
      </c>
      <c r="N26">
        <f>IF(G26&lt;=1,"1. Under 1 hour",IF(G26&lt;=24,"2. 1-24 hours",IF(G26&lt;=72,"3. 1-3 days","4. Over 3 days")))</f>
        <v/>
      </c>
      <c r="O26">
        <f>TEXT(B26,"YYYY-MM")</f>
        <v/>
      </c>
    </row>
    <row r="27">
      <c r="A27" t="inlineStr">
        <is>
          <t>LD-300025</t>
        </is>
      </c>
      <c r="B27" t="inlineStr">
        <is>
          <t>2025-08-25 14:06:00</t>
        </is>
      </c>
      <c r="C27" t="inlineStr">
        <is>
          <t>Social Media</t>
        </is>
      </c>
      <c r="D27" t="inlineStr">
        <is>
          <t>Language Learning</t>
        </is>
      </c>
      <c r="E27" t="inlineStr">
        <is>
          <t>South Region</t>
        </is>
      </c>
      <c r="F27" t="inlineStr">
        <is>
          <t>Rep_07</t>
        </is>
      </c>
      <c r="G27" t="n">
        <v>6.56</v>
      </c>
      <c r="H27" t="inlineStr">
        <is>
          <t>Lead</t>
        </is>
      </c>
      <c r="I27" t="inlineStr">
        <is>
          <t>Open</t>
        </is>
      </c>
      <c r="M27">
        <f>VLOOKUP(H27,'Stage Order'!$A$2:$B$8,2,FALSE)</f>
        <v/>
      </c>
      <c r="N27">
        <f>IF(G27&lt;=1,"1. Under 1 hour",IF(G27&lt;=24,"2. 1-24 hours",IF(G27&lt;=72,"3. 1-3 days","4. Over 3 days")))</f>
        <v/>
      </c>
      <c r="O27">
        <f>TEXT(B27,"YYYY-MM")</f>
        <v/>
      </c>
    </row>
    <row r="28">
      <c r="A28" t="inlineStr">
        <is>
          <t>LD-300026</t>
        </is>
      </c>
      <c r="B28" t="inlineStr">
        <is>
          <t>2025-07-18 12:47:00</t>
        </is>
      </c>
      <c r="C28" t="inlineStr">
        <is>
          <t>Webinar</t>
        </is>
      </c>
      <c r="D28" t="inlineStr">
        <is>
          <t>Study Abroad Prep</t>
        </is>
      </c>
      <c r="E28" t="inlineStr">
        <is>
          <t>North Region</t>
        </is>
      </c>
      <c r="F28" t="inlineStr">
        <is>
          <t>Rep_01</t>
        </is>
      </c>
      <c r="G28" t="n">
        <v>1.39</v>
      </c>
      <c r="H28" t="inlineStr">
        <is>
          <t>Demo Scheduled</t>
        </is>
      </c>
      <c r="I28" t="inlineStr">
        <is>
          <t>Open</t>
        </is>
      </c>
      <c r="M28">
        <f>VLOOKUP(H28,'Stage Order'!$A$2:$B$8,2,FALSE)</f>
        <v/>
      </c>
      <c r="N28">
        <f>IF(G28&lt;=1,"1. Under 1 hour",IF(G28&lt;=24,"2. 1-24 hours",IF(G28&lt;=72,"3. 1-3 days","4. Over 3 days")))</f>
        <v/>
      </c>
      <c r="O28">
        <f>TEXT(B28,"YYYY-MM")</f>
        <v/>
      </c>
    </row>
    <row r="29">
      <c r="A29" t="inlineStr">
        <is>
          <t>LD-300027</t>
        </is>
      </c>
      <c r="B29" t="inlineStr">
        <is>
          <t>2025-02-28 08:10:00</t>
        </is>
      </c>
      <c r="C29" t="inlineStr">
        <is>
          <t>Social Media</t>
        </is>
      </c>
      <c r="D29" t="inlineStr">
        <is>
          <t>Competitive Exam Prep</t>
        </is>
      </c>
      <c r="E29" t="inlineStr">
        <is>
          <t>East Region</t>
        </is>
      </c>
      <c r="F29" t="inlineStr">
        <is>
          <t>Rep_04</t>
        </is>
      </c>
      <c r="G29" t="n">
        <v>1.33</v>
      </c>
      <c r="H29" t="inlineStr">
        <is>
          <t>Lead</t>
        </is>
      </c>
      <c r="I29" t="inlineStr">
        <is>
          <t>Open</t>
        </is>
      </c>
      <c r="M29">
        <f>VLOOKUP(H29,'Stage Order'!$A$2:$B$8,2,FALSE)</f>
        <v/>
      </c>
      <c r="N29">
        <f>IF(G29&lt;=1,"1. Under 1 hour",IF(G29&lt;=24,"2. 1-24 hours",IF(G29&lt;=72,"3. 1-3 days","4. Over 3 days")))</f>
        <v/>
      </c>
      <c r="O29">
        <f>TEXT(B29,"YYYY-MM")</f>
        <v/>
      </c>
    </row>
    <row r="30">
      <c r="A30" t="inlineStr">
        <is>
          <t>LD-300028</t>
        </is>
      </c>
      <c r="B30" t="inlineStr">
        <is>
          <t>2026-02-13 10:50:00</t>
        </is>
      </c>
      <c r="C30" t="inlineStr">
        <is>
          <t>Social Media</t>
        </is>
      </c>
      <c r="D30" t="inlineStr">
        <is>
          <t>K-12 Math</t>
        </is>
      </c>
      <c r="E30" t="inlineStr">
        <is>
          <t>South Region</t>
        </is>
      </c>
      <c r="F30" t="inlineStr">
        <is>
          <t>Rep_12</t>
        </is>
      </c>
      <c r="G30" t="n">
        <v>1.08</v>
      </c>
      <c r="H30" t="inlineStr">
        <is>
          <t>Demo Scheduled</t>
        </is>
      </c>
      <c r="I30" t="inlineStr">
        <is>
          <t>Open</t>
        </is>
      </c>
      <c r="M30">
        <f>VLOOKUP(H30,'Stage Order'!$A$2:$B$8,2,FALSE)</f>
        <v/>
      </c>
      <c r="N30">
        <f>IF(G30&lt;=1,"1. Under 1 hour",IF(G30&lt;=24,"2. 1-24 hours",IF(G30&lt;=72,"3. 1-3 days","4. Over 3 days")))</f>
        <v/>
      </c>
      <c r="O30">
        <f>TEXT(B30,"YYYY-MM")</f>
        <v/>
      </c>
    </row>
    <row r="31">
      <c r="A31" t="inlineStr">
        <is>
          <t>LD-300029</t>
        </is>
      </c>
      <c r="B31" t="inlineStr">
        <is>
          <t>2025-05-16 19:39:00</t>
        </is>
      </c>
      <c r="C31" t="inlineStr">
        <is>
          <t>Paid Search</t>
        </is>
      </c>
      <c r="D31" t="inlineStr">
        <is>
          <t>K-12 Math</t>
        </is>
      </c>
      <c r="E31" t="inlineStr">
        <is>
          <t>North Region</t>
        </is>
      </c>
      <c r="F31" t="inlineStr">
        <is>
          <t>Rep_01</t>
        </is>
      </c>
      <c r="G31" t="n">
        <v>3.12</v>
      </c>
      <c r="H31" t="inlineStr">
        <is>
          <t>Contacted</t>
        </is>
      </c>
      <c r="I31" t="inlineStr">
        <is>
          <t>Open</t>
        </is>
      </c>
      <c r="M31">
        <f>VLOOKUP(H31,'Stage Order'!$A$2:$B$8,2,FALSE)</f>
        <v/>
      </c>
      <c r="N31">
        <f>IF(G31&lt;=1,"1. Under 1 hour",IF(G31&lt;=24,"2. 1-24 hours",IF(G31&lt;=72,"3. 1-3 days","4. Over 3 days")))</f>
        <v/>
      </c>
      <c r="O31">
        <f>TEXT(B31,"YYYY-MM")</f>
        <v/>
      </c>
    </row>
    <row r="32">
      <c r="A32" t="inlineStr">
        <is>
          <t>LD-300030</t>
        </is>
      </c>
      <c r="B32" t="inlineStr">
        <is>
          <t>2025-11-27 13:56:00</t>
        </is>
      </c>
      <c r="C32" t="inlineStr">
        <is>
          <t>Referral</t>
        </is>
      </c>
      <c r="D32" t="inlineStr">
        <is>
          <t>K-12 Math</t>
        </is>
      </c>
      <c r="E32" t="inlineStr">
        <is>
          <t>West Region</t>
        </is>
      </c>
      <c r="F32" t="inlineStr">
        <is>
          <t>Rep_03</t>
        </is>
      </c>
      <c r="G32" t="n">
        <v>4.02</v>
      </c>
      <c r="H32" t="inlineStr">
        <is>
          <t>Negotiation</t>
        </is>
      </c>
      <c r="I32" t="inlineStr">
        <is>
          <t>Lost</t>
        </is>
      </c>
      <c r="J32" t="inlineStr">
        <is>
          <t>Price Objection</t>
        </is>
      </c>
      <c r="K32" t="n">
        <v>447.9</v>
      </c>
      <c r="L32" t="inlineStr">
        <is>
          <t>2026-01-24 08:30:40.903513</t>
        </is>
      </c>
      <c r="M32">
        <f>VLOOKUP(H32,'Stage Order'!$A$2:$B$8,2,FALSE)</f>
        <v/>
      </c>
      <c r="N32">
        <f>IF(G32&lt;=1,"1. Under 1 hour",IF(G32&lt;=24,"2. 1-24 hours",IF(G32&lt;=72,"3. 1-3 days","4. Over 3 days")))</f>
        <v/>
      </c>
      <c r="O32">
        <f>TEXT(B32,"YYYY-MM")</f>
        <v/>
      </c>
    </row>
    <row r="33">
      <c r="A33" t="inlineStr">
        <is>
          <t>LD-300031</t>
        </is>
      </c>
      <c r="B33" t="inlineStr">
        <is>
          <t>2026-02-06 14:26:00</t>
        </is>
      </c>
      <c r="C33" t="inlineStr">
        <is>
          <t>Cold Outreach</t>
        </is>
      </c>
      <c r="D33" t="inlineStr">
        <is>
          <t>K-12 Math</t>
        </is>
      </c>
      <c r="E33" t="inlineStr">
        <is>
          <t>South Region</t>
        </is>
      </c>
      <c r="F33" t="inlineStr">
        <is>
          <t>Rep_07</t>
        </is>
      </c>
      <c r="G33" t="n">
        <v>22.8</v>
      </c>
      <c r="H33" t="inlineStr">
        <is>
          <t>Contacted</t>
        </is>
      </c>
      <c r="I33" t="inlineStr">
        <is>
          <t>Open</t>
        </is>
      </c>
      <c r="M33">
        <f>VLOOKUP(H33,'Stage Order'!$A$2:$B$8,2,FALSE)</f>
        <v/>
      </c>
      <c r="N33">
        <f>IF(G33&lt;=1,"1. Under 1 hour",IF(G33&lt;=24,"2. 1-24 hours",IF(G33&lt;=72,"3. 1-3 days","4. Over 3 days")))</f>
        <v/>
      </c>
      <c r="O33">
        <f>TEXT(B33,"YYYY-MM")</f>
        <v/>
      </c>
    </row>
    <row r="34">
      <c r="A34" t="inlineStr">
        <is>
          <t>LD-300032</t>
        </is>
      </c>
      <c r="B34" t="inlineStr">
        <is>
          <t>2026-04-12 19:06:00</t>
        </is>
      </c>
      <c r="C34" t="inlineStr">
        <is>
          <t>Webinar</t>
        </is>
      </c>
      <c r="D34" t="inlineStr">
        <is>
          <t>Coding for Kids</t>
        </is>
      </c>
      <c r="E34" t="inlineStr">
        <is>
          <t>East Region</t>
        </is>
      </c>
      <c r="F34" t="inlineStr">
        <is>
          <t>Rep_14</t>
        </is>
      </c>
      <c r="G34" t="n">
        <v>8.48</v>
      </c>
      <c r="H34" t="inlineStr">
        <is>
          <t>Proposal Sent</t>
        </is>
      </c>
      <c r="I34" t="inlineStr">
        <is>
          <t>Lost</t>
        </is>
      </c>
      <c r="J34" t="inlineStr">
        <is>
          <t>Price Objection</t>
        </is>
      </c>
      <c r="K34" t="n">
        <v>549.71</v>
      </c>
      <c r="L34" t="inlineStr">
        <is>
          <t>2026-05-23 18:53:38.125827</t>
        </is>
      </c>
      <c r="M34">
        <f>VLOOKUP(H34,'Stage Order'!$A$2:$B$8,2,FALSE)</f>
        <v/>
      </c>
      <c r="N34">
        <f>IF(G34&lt;=1,"1. Under 1 hour",IF(G34&lt;=24,"2. 1-24 hours",IF(G34&lt;=72,"3. 1-3 days","4. Over 3 days")))</f>
        <v/>
      </c>
      <c r="O34">
        <f>TEXT(B34,"YYYY-MM")</f>
        <v/>
      </c>
    </row>
    <row r="35">
      <c r="A35" t="inlineStr">
        <is>
          <t>LD-300033</t>
        </is>
      </c>
      <c r="B35" t="inlineStr">
        <is>
          <t>2025-04-03 20:22:00</t>
        </is>
      </c>
      <c r="C35" t="inlineStr">
        <is>
          <t>Webinar</t>
        </is>
      </c>
      <c r="D35" t="inlineStr">
        <is>
          <t>Competitive Exam Prep</t>
        </is>
      </c>
      <c r="E35" t="inlineStr">
        <is>
          <t>East Region</t>
        </is>
      </c>
      <c r="F35" t="inlineStr">
        <is>
          <t>Rep_09</t>
        </is>
      </c>
      <c r="G35" t="n">
        <v>7.92</v>
      </c>
      <c r="H35" t="inlineStr">
        <is>
          <t>Negotiation</t>
        </is>
      </c>
      <c r="I35" t="inlineStr">
        <is>
          <t>Lost</t>
        </is>
      </c>
      <c r="J35" t="inlineStr">
        <is>
          <t>Price Objection</t>
        </is>
      </c>
      <c r="K35" t="n">
        <v>813.36</v>
      </c>
      <c r="L35" t="inlineStr">
        <is>
          <t>2025-05-31 22:08:19.446724</t>
        </is>
      </c>
      <c r="M35">
        <f>VLOOKUP(H35,'Stage Order'!$A$2:$B$8,2,FALSE)</f>
        <v/>
      </c>
      <c r="N35">
        <f>IF(G35&lt;=1,"1. Under 1 hour",IF(G35&lt;=24,"2. 1-24 hours",IF(G35&lt;=72,"3. 1-3 days","4. Over 3 days")))</f>
        <v/>
      </c>
      <c r="O35">
        <f>TEXT(B35,"YYYY-MM")</f>
        <v/>
      </c>
    </row>
    <row r="36">
      <c r="A36" t="inlineStr">
        <is>
          <t>LD-300034</t>
        </is>
      </c>
      <c r="B36" t="inlineStr">
        <is>
          <t>2025-12-24 20:45:00</t>
        </is>
      </c>
      <c r="C36" t="inlineStr">
        <is>
          <t>Paid Search</t>
        </is>
      </c>
      <c r="D36" t="inlineStr">
        <is>
          <t>Language Learning</t>
        </is>
      </c>
      <c r="E36" t="inlineStr">
        <is>
          <t>West Region</t>
        </is>
      </c>
      <c r="F36" t="inlineStr">
        <is>
          <t>Rep_08</t>
        </is>
      </c>
      <c r="G36" t="n">
        <v>6.48</v>
      </c>
      <c r="H36" t="inlineStr">
        <is>
          <t>Contacted</t>
        </is>
      </c>
      <c r="I36" t="inlineStr">
        <is>
          <t>Open</t>
        </is>
      </c>
      <c r="M36">
        <f>VLOOKUP(H36,'Stage Order'!$A$2:$B$8,2,FALSE)</f>
        <v/>
      </c>
      <c r="N36">
        <f>IF(G36&lt;=1,"1. Under 1 hour",IF(G36&lt;=24,"2. 1-24 hours",IF(G36&lt;=72,"3. 1-3 days","4. Over 3 days")))</f>
        <v/>
      </c>
      <c r="O36">
        <f>TEXT(B36,"YYYY-MM")</f>
        <v/>
      </c>
    </row>
    <row r="37">
      <c r="A37" t="inlineStr">
        <is>
          <t>LD-300035</t>
        </is>
      </c>
      <c r="B37" t="inlineStr">
        <is>
          <t>2025-01-20 20:37:00</t>
        </is>
      </c>
      <c r="C37" t="inlineStr">
        <is>
          <t>Social Media</t>
        </is>
      </c>
      <c r="D37" t="inlineStr">
        <is>
          <t>Coding for Kids</t>
        </is>
      </c>
      <c r="E37" t="inlineStr">
        <is>
          <t>West Region</t>
        </is>
      </c>
      <c r="F37" t="inlineStr">
        <is>
          <t>Rep_03</t>
        </is>
      </c>
      <c r="G37" t="n">
        <v>1.46</v>
      </c>
      <c r="H37" t="inlineStr">
        <is>
          <t>Demo Completed</t>
        </is>
      </c>
      <c r="I37" t="inlineStr">
        <is>
          <t>Lost</t>
        </is>
      </c>
      <c r="J37" t="inlineStr">
        <is>
          <t>No Response / Ghosted</t>
        </is>
      </c>
      <c r="K37" t="n">
        <v>727.15</v>
      </c>
      <c r="L37" t="inlineStr">
        <is>
          <t>2025-02-21 23:44:22.327292</t>
        </is>
      </c>
      <c r="M37">
        <f>VLOOKUP(H37,'Stage Order'!$A$2:$B$8,2,FALSE)</f>
        <v/>
      </c>
      <c r="N37">
        <f>IF(G37&lt;=1,"1. Under 1 hour",IF(G37&lt;=24,"2. 1-24 hours",IF(G37&lt;=72,"3. 1-3 days","4. Over 3 days")))</f>
        <v/>
      </c>
      <c r="O37">
        <f>TEXT(B37,"YYYY-MM")</f>
        <v/>
      </c>
    </row>
    <row r="38">
      <c r="A38" t="inlineStr">
        <is>
          <t>LD-300036</t>
        </is>
      </c>
      <c r="B38" t="inlineStr">
        <is>
          <t>2025-03-25 13:49:00</t>
        </is>
      </c>
      <c r="C38" t="inlineStr">
        <is>
          <t>Webinar</t>
        </is>
      </c>
      <c r="D38" t="inlineStr">
        <is>
          <t>Coding for Kids</t>
        </is>
      </c>
      <c r="E38" t="inlineStr">
        <is>
          <t>West Region</t>
        </is>
      </c>
      <c r="F38" t="inlineStr">
        <is>
          <t>Rep_08</t>
        </is>
      </c>
      <c r="G38" t="n">
        <v>1.36</v>
      </c>
      <c r="H38" t="inlineStr">
        <is>
          <t>Negotiation</t>
        </is>
      </c>
      <c r="I38" t="inlineStr">
        <is>
          <t>Lost</t>
        </is>
      </c>
      <c r="J38" t="inlineStr">
        <is>
          <t>No Response / Ghosted</t>
        </is>
      </c>
      <c r="K38" t="n">
        <v>703.8</v>
      </c>
      <c r="L38" t="inlineStr">
        <is>
          <t>2025-05-04 10:39:20.298738</t>
        </is>
      </c>
      <c r="M38">
        <f>VLOOKUP(H38,'Stage Order'!$A$2:$B$8,2,FALSE)</f>
        <v/>
      </c>
      <c r="N38">
        <f>IF(G38&lt;=1,"1. Under 1 hour",IF(G38&lt;=24,"2. 1-24 hours",IF(G38&lt;=72,"3. 1-3 days","4. Over 3 days")))</f>
        <v/>
      </c>
      <c r="O38">
        <f>TEXT(B38,"YYYY-MM")</f>
        <v/>
      </c>
    </row>
    <row r="39">
      <c r="A39" t="inlineStr">
        <is>
          <t>LD-300037</t>
        </is>
      </c>
      <c r="B39" t="inlineStr">
        <is>
          <t>2026-05-04 07:42:00</t>
        </is>
      </c>
      <c r="C39" t="inlineStr">
        <is>
          <t>Cold Outreach</t>
        </is>
      </c>
      <c r="D39" t="inlineStr">
        <is>
          <t>Coding for Kids</t>
        </is>
      </c>
      <c r="E39" t="inlineStr">
        <is>
          <t>West Region</t>
        </is>
      </c>
      <c r="F39" t="inlineStr">
        <is>
          <t>Rep_08</t>
        </is>
      </c>
      <c r="G39" t="n">
        <v>1.37</v>
      </c>
      <c r="H39" t="inlineStr">
        <is>
          <t>Lead</t>
        </is>
      </c>
      <c r="I39" t="inlineStr">
        <is>
          <t>Open</t>
        </is>
      </c>
      <c r="M39">
        <f>VLOOKUP(H39,'Stage Order'!$A$2:$B$8,2,FALSE)</f>
        <v/>
      </c>
      <c r="N39">
        <f>IF(G39&lt;=1,"1. Under 1 hour",IF(G39&lt;=24,"2. 1-24 hours",IF(G39&lt;=72,"3. 1-3 days","4. Over 3 days")))</f>
        <v/>
      </c>
      <c r="O39">
        <f>TEXT(B39,"YYYY-MM")</f>
        <v/>
      </c>
    </row>
    <row r="40">
      <c r="A40" t="inlineStr">
        <is>
          <t>LD-300038</t>
        </is>
      </c>
      <c r="B40" t="inlineStr">
        <is>
          <t>2025-05-16 15:22:00</t>
        </is>
      </c>
      <c r="C40" t="inlineStr">
        <is>
          <t>Paid Search</t>
        </is>
      </c>
      <c r="D40" t="inlineStr">
        <is>
          <t>Competitive Exam Prep</t>
        </is>
      </c>
      <c r="E40" t="inlineStr">
        <is>
          <t>South Region</t>
        </is>
      </c>
      <c r="F40" t="inlineStr">
        <is>
          <t>Rep_07</t>
        </is>
      </c>
      <c r="G40" t="n">
        <v>1.25</v>
      </c>
      <c r="H40" t="inlineStr">
        <is>
          <t>Contacted</t>
        </is>
      </c>
      <c r="I40" t="inlineStr">
        <is>
          <t>Open</t>
        </is>
      </c>
      <c r="M40">
        <f>VLOOKUP(H40,'Stage Order'!$A$2:$B$8,2,FALSE)</f>
        <v/>
      </c>
      <c r="N40">
        <f>IF(G40&lt;=1,"1. Under 1 hour",IF(G40&lt;=24,"2. 1-24 hours",IF(G40&lt;=72,"3. 1-3 days","4. Over 3 days")))</f>
        <v/>
      </c>
      <c r="O40">
        <f>TEXT(B40,"YYYY-MM")</f>
        <v/>
      </c>
    </row>
    <row r="41">
      <c r="A41" t="inlineStr">
        <is>
          <t>LD-300039</t>
        </is>
      </c>
      <c r="B41" t="inlineStr">
        <is>
          <t>2026-02-26 20:16:00</t>
        </is>
      </c>
      <c r="C41" t="inlineStr">
        <is>
          <t>Paid Search</t>
        </is>
      </c>
      <c r="D41" t="inlineStr">
        <is>
          <t>K-12 Math</t>
        </is>
      </c>
      <c r="E41" t="inlineStr">
        <is>
          <t>East Region</t>
        </is>
      </c>
      <c r="F41" t="inlineStr">
        <is>
          <t>Rep_14</t>
        </is>
      </c>
      <c r="G41" t="n">
        <v>18.15</v>
      </c>
      <c r="H41" t="inlineStr">
        <is>
          <t>Lead</t>
        </is>
      </c>
      <c r="I41" t="inlineStr">
        <is>
          <t>Open</t>
        </is>
      </c>
      <c r="M41">
        <f>VLOOKUP(H41,'Stage Order'!$A$2:$B$8,2,FALSE)</f>
        <v/>
      </c>
      <c r="N41">
        <f>IF(G41&lt;=1,"1. Under 1 hour",IF(G41&lt;=24,"2. 1-24 hours",IF(G41&lt;=72,"3. 1-3 days","4. Over 3 days")))</f>
        <v/>
      </c>
      <c r="O41">
        <f>TEXT(B41,"YYYY-MM")</f>
        <v/>
      </c>
    </row>
    <row r="42">
      <c r="A42" t="inlineStr">
        <is>
          <t>LD-300040</t>
        </is>
      </c>
      <c r="B42" t="inlineStr">
        <is>
          <t>2025-03-13 08:13:00</t>
        </is>
      </c>
      <c r="C42" t="inlineStr">
        <is>
          <t>Paid Search</t>
        </is>
      </c>
      <c r="D42" t="inlineStr">
        <is>
          <t>Competitive Exam Prep</t>
        </is>
      </c>
      <c r="E42" t="inlineStr">
        <is>
          <t>North Region</t>
        </is>
      </c>
      <c r="F42" t="inlineStr">
        <is>
          <t>Rep_11</t>
        </is>
      </c>
      <c r="G42" t="n">
        <v>5.64</v>
      </c>
      <c r="H42" t="inlineStr">
        <is>
          <t>Contacted</t>
        </is>
      </c>
      <c r="I42" t="inlineStr">
        <is>
          <t>Open</t>
        </is>
      </c>
      <c r="M42">
        <f>VLOOKUP(H42,'Stage Order'!$A$2:$B$8,2,FALSE)</f>
        <v/>
      </c>
      <c r="N42">
        <f>IF(G42&lt;=1,"1. Under 1 hour",IF(G42&lt;=24,"2. 1-24 hours",IF(G42&lt;=72,"3. 1-3 days","4. Over 3 days")))</f>
        <v/>
      </c>
      <c r="O42">
        <f>TEXT(B42,"YYYY-MM")</f>
        <v/>
      </c>
    </row>
    <row r="43">
      <c r="A43" t="inlineStr">
        <is>
          <t>LD-300041</t>
        </is>
      </c>
      <c r="B43" t="inlineStr">
        <is>
          <t>2026-03-18 17:40:00</t>
        </is>
      </c>
      <c r="C43" t="inlineStr">
        <is>
          <t>Paid Search</t>
        </is>
      </c>
      <c r="D43" t="inlineStr">
        <is>
          <t>Coding for Kids</t>
        </is>
      </c>
      <c r="E43" t="inlineStr">
        <is>
          <t>North Region</t>
        </is>
      </c>
      <c r="F43" t="inlineStr">
        <is>
          <t>Rep_06</t>
        </is>
      </c>
      <c r="G43" t="n">
        <v>8.359999999999999</v>
      </c>
      <c r="H43" t="inlineStr">
        <is>
          <t>Lead</t>
        </is>
      </c>
      <c r="I43" t="inlineStr">
        <is>
          <t>Open</t>
        </is>
      </c>
      <c r="M43">
        <f>VLOOKUP(H43,'Stage Order'!$A$2:$B$8,2,FALSE)</f>
        <v/>
      </c>
      <c r="N43">
        <f>IF(G43&lt;=1,"1. Under 1 hour",IF(G43&lt;=24,"2. 1-24 hours",IF(G43&lt;=72,"3. 1-3 days","4. Over 3 days")))</f>
        <v/>
      </c>
      <c r="O43">
        <f>TEXT(B43,"YYYY-MM")</f>
        <v/>
      </c>
    </row>
    <row r="44">
      <c r="A44" t="inlineStr">
        <is>
          <t>LD-300042</t>
        </is>
      </c>
      <c r="B44" t="inlineStr">
        <is>
          <t>2026-03-14 17:30:00</t>
        </is>
      </c>
      <c r="C44" t="inlineStr">
        <is>
          <t>Webinar</t>
        </is>
      </c>
      <c r="D44" t="inlineStr">
        <is>
          <t>Competitive Exam Prep</t>
        </is>
      </c>
      <c r="E44" t="inlineStr">
        <is>
          <t>North Region</t>
        </is>
      </c>
      <c r="F44" t="inlineStr">
        <is>
          <t>Rep_01</t>
        </is>
      </c>
      <c r="G44" t="n">
        <v>1.37</v>
      </c>
      <c r="H44" t="inlineStr">
        <is>
          <t>Closed</t>
        </is>
      </c>
      <c r="I44" t="inlineStr">
        <is>
          <t>Won</t>
        </is>
      </c>
      <c r="K44" t="n">
        <v>904.9</v>
      </c>
      <c r="L44" t="inlineStr">
        <is>
          <t>2026-04-30 00:05:39.115725</t>
        </is>
      </c>
      <c r="M44">
        <f>VLOOKUP(H44,'Stage Order'!$A$2:$B$8,2,FALSE)</f>
        <v/>
      </c>
      <c r="N44">
        <f>IF(G44&lt;=1,"1. Under 1 hour",IF(G44&lt;=24,"2. 1-24 hours",IF(G44&lt;=72,"3. 1-3 days","4. Over 3 days")))</f>
        <v/>
      </c>
      <c r="O44">
        <f>TEXT(B44,"YYYY-MM")</f>
        <v/>
      </c>
    </row>
    <row r="45">
      <c r="A45" t="inlineStr">
        <is>
          <t>LD-300043</t>
        </is>
      </c>
      <c r="B45" t="inlineStr">
        <is>
          <t>2025-08-05 07:38:00</t>
        </is>
      </c>
      <c r="C45" t="inlineStr">
        <is>
          <t>Webinar</t>
        </is>
      </c>
      <c r="D45" t="inlineStr">
        <is>
          <t>Coding for Kids</t>
        </is>
      </c>
      <c r="E45" t="inlineStr">
        <is>
          <t>North Region</t>
        </is>
      </c>
      <c r="F45" t="inlineStr">
        <is>
          <t>Rep_06</t>
        </is>
      </c>
      <c r="G45" t="n">
        <v>2.98</v>
      </c>
      <c r="H45" t="inlineStr">
        <is>
          <t>Contacted</t>
        </is>
      </c>
      <c r="I45" t="inlineStr">
        <is>
          <t>Open</t>
        </is>
      </c>
      <c r="M45">
        <f>VLOOKUP(H45,'Stage Order'!$A$2:$B$8,2,FALSE)</f>
        <v/>
      </c>
      <c r="N45">
        <f>IF(G45&lt;=1,"1. Under 1 hour",IF(G45&lt;=24,"2. 1-24 hours",IF(G45&lt;=72,"3. 1-3 days","4. Over 3 days")))</f>
        <v/>
      </c>
      <c r="O45">
        <f>TEXT(B45,"YYYY-MM")</f>
        <v/>
      </c>
    </row>
    <row r="46">
      <c r="A46" t="inlineStr">
        <is>
          <t>LD-300044</t>
        </is>
      </c>
      <c r="B46" t="inlineStr">
        <is>
          <t>2026-02-23 19:16:00</t>
        </is>
      </c>
      <c r="C46" t="inlineStr">
        <is>
          <t>Referral</t>
        </is>
      </c>
      <c r="D46" t="inlineStr">
        <is>
          <t>Language Learning</t>
        </is>
      </c>
      <c r="E46" t="inlineStr">
        <is>
          <t>East Region</t>
        </is>
      </c>
      <c r="F46" t="inlineStr">
        <is>
          <t>Rep_09</t>
        </is>
      </c>
      <c r="G46" t="n">
        <v>0.92</v>
      </c>
      <c r="H46" t="inlineStr">
        <is>
          <t>Negotiation</t>
        </is>
      </c>
      <c r="I46" t="inlineStr">
        <is>
          <t>Lost</t>
        </is>
      </c>
      <c r="J46" t="inlineStr">
        <is>
          <t>Price Objection</t>
        </is>
      </c>
      <c r="K46" t="n">
        <v>311.45</v>
      </c>
      <c r="L46" t="inlineStr">
        <is>
          <t>2026-03-24 04:39:50.403026</t>
        </is>
      </c>
      <c r="M46">
        <f>VLOOKUP(H46,'Stage Order'!$A$2:$B$8,2,FALSE)</f>
        <v/>
      </c>
      <c r="N46">
        <f>IF(G46&lt;=1,"1. Under 1 hour",IF(G46&lt;=24,"2. 1-24 hours",IF(G46&lt;=72,"3. 1-3 days","4. Over 3 days")))</f>
        <v/>
      </c>
      <c r="O46">
        <f>TEXT(B46,"YYYY-MM")</f>
        <v/>
      </c>
    </row>
    <row r="47">
      <c r="A47" t="inlineStr">
        <is>
          <t>LD-300045</t>
        </is>
      </c>
      <c r="B47" t="inlineStr">
        <is>
          <t>2026-06-05 13:50:00</t>
        </is>
      </c>
      <c r="C47" t="inlineStr">
        <is>
          <t>Organic Search</t>
        </is>
      </c>
      <c r="D47" t="inlineStr">
        <is>
          <t>K-12 Math</t>
        </is>
      </c>
      <c r="E47" t="inlineStr">
        <is>
          <t>East Region</t>
        </is>
      </c>
      <c r="F47" t="inlineStr">
        <is>
          <t>Rep_04</t>
        </is>
      </c>
      <c r="G47" t="n">
        <v>5.34</v>
      </c>
      <c r="H47" t="inlineStr">
        <is>
          <t>Contacted</t>
        </is>
      </c>
      <c r="I47" t="inlineStr">
        <is>
          <t>Open</t>
        </is>
      </c>
      <c r="M47">
        <f>VLOOKUP(H47,'Stage Order'!$A$2:$B$8,2,FALSE)</f>
        <v/>
      </c>
      <c r="N47">
        <f>IF(G47&lt;=1,"1. Under 1 hour",IF(G47&lt;=24,"2. 1-24 hours",IF(G47&lt;=72,"3. 1-3 days","4. Over 3 days")))</f>
        <v/>
      </c>
      <c r="O47">
        <f>TEXT(B47,"YYYY-MM")</f>
        <v/>
      </c>
    </row>
    <row r="48">
      <c r="A48" t="inlineStr">
        <is>
          <t>LD-300046</t>
        </is>
      </c>
      <c r="B48" t="inlineStr">
        <is>
          <t>2025-09-14 18:40:00</t>
        </is>
      </c>
      <c r="C48" t="inlineStr">
        <is>
          <t>Cold Outreach</t>
        </is>
      </c>
      <c r="D48" t="inlineStr">
        <is>
          <t>Coding for Kids</t>
        </is>
      </c>
      <c r="E48" t="inlineStr">
        <is>
          <t>North Region</t>
        </is>
      </c>
      <c r="F48" t="inlineStr">
        <is>
          <t>Rep_01</t>
        </is>
      </c>
      <c r="G48" t="n">
        <v>3.62</v>
      </c>
      <c r="H48" t="inlineStr">
        <is>
          <t>Lead</t>
        </is>
      </c>
      <c r="I48" t="inlineStr">
        <is>
          <t>Open</t>
        </is>
      </c>
      <c r="M48">
        <f>VLOOKUP(H48,'Stage Order'!$A$2:$B$8,2,FALSE)</f>
        <v/>
      </c>
      <c r="N48">
        <f>IF(G48&lt;=1,"1. Under 1 hour",IF(G48&lt;=24,"2. 1-24 hours",IF(G48&lt;=72,"3. 1-3 days","4. Over 3 days")))</f>
        <v/>
      </c>
      <c r="O48">
        <f>TEXT(B48,"YYYY-MM")</f>
        <v/>
      </c>
    </row>
    <row r="49">
      <c r="A49" t="inlineStr">
        <is>
          <t>LD-300047</t>
        </is>
      </c>
      <c r="B49" t="inlineStr">
        <is>
          <t>2025-07-15 17:56:00</t>
        </is>
      </c>
      <c r="C49" t="inlineStr">
        <is>
          <t>Partner Channel</t>
        </is>
      </c>
      <c r="D49" t="inlineStr">
        <is>
          <t>Study Abroad Prep</t>
        </is>
      </c>
      <c r="E49" t="inlineStr">
        <is>
          <t>North Region</t>
        </is>
      </c>
      <c r="F49" t="inlineStr">
        <is>
          <t>Rep_01</t>
        </is>
      </c>
      <c r="G49" t="n">
        <v>7.02</v>
      </c>
      <c r="H49" t="inlineStr">
        <is>
          <t>Contacted</t>
        </is>
      </c>
      <c r="I49" t="inlineStr">
        <is>
          <t>Open</t>
        </is>
      </c>
      <c r="M49">
        <f>VLOOKUP(H49,'Stage Order'!$A$2:$B$8,2,FALSE)</f>
        <v/>
      </c>
      <c r="N49">
        <f>IF(G49&lt;=1,"1. Under 1 hour",IF(G49&lt;=24,"2. 1-24 hours",IF(G49&lt;=72,"3. 1-3 days","4. Over 3 days")))</f>
        <v/>
      </c>
      <c r="O49">
        <f>TEXT(B49,"YYYY-MM")</f>
        <v/>
      </c>
    </row>
    <row r="50">
      <c r="A50" t="inlineStr">
        <is>
          <t>LD-300048</t>
        </is>
      </c>
      <c r="B50" t="inlineStr">
        <is>
          <t>2026-05-27 20:22:00</t>
        </is>
      </c>
      <c r="C50" t="inlineStr">
        <is>
          <t>Referral</t>
        </is>
      </c>
      <c r="D50" t="inlineStr">
        <is>
          <t>Coding for Kids</t>
        </is>
      </c>
      <c r="E50" t="inlineStr">
        <is>
          <t>West Region</t>
        </is>
      </c>
      <c r="F50" t="inlineStr">
        <is>
          <t>Rep_08</t>
        </is>
      </c>
      <c r="G50" t="n">
        <v>3.41</v>
      </c>
      <c r="H50" t="inlineStr">
        <is>
          <t>Closed</t>
        </is>
      </c>
      <c r="I50" t="inlineStr">
        <is>
          <t>Won</t>
        </is>
      </c>
      <c r="K50" t="n">
        <v>572.7</v>
      </c>
      <c r="L50" t="inlineStr">
        <is>
          <t>2026-06-29 01:06:46.159443</t>
        </is>
      </c>
      <c r="M50">
        <f>VLOOKUP(H50,'Stage Order'!$A$2:$B$8,2,FALSE)</f>
        <v/>
      </c>
      <c r="N50">
        <f>IF(G50&lt;=1,"1. Under 1 hour",IF(G50&lt;=24,"2. 1-24 hours",IF(G50&lt;=72,"3. 1-3 days","4. Over 3 days")))</f>
        <v/>
      </c>
      <c r="O50">
        <f>TEXT(B50,"YYYY-MM")</f>
        <v/>
      </c>
    </row>
    <row r="51">
      <c r="A51" t="inlineStr">
        <is>
          <t>LD-300049</t>
        </is>
      </c>
      <c r="B51" t="inlineStr">
        <is>
          <t>2025-05-28 11:58:00</t>
        </is>
      </c>
      <c r="C51" t="inlineStr">
        <is>
          <t>Partner Channel</t>
        </is>
      </c>
      <c r="D51" t="inlineStr">
        <is>
          <t>K-12 Math</t>
        </is>
      </c>
      <c r="E51" t="inlineStr">
        <is>
          <t>East Region</t>
        </is>
      </c>
      <c r="F51" t="inlineStr">
        <is>
          <t>Rep_09</t>
        </is>
      </c>
      <c r="G51" t="n">
        <v>1.27</v>
      </c>
      <c r="H51" t="inlineStr">
        <is>
          <t>Demo Completed</t>
        </is>
      </c>
      <c r="I51" t="inlineStr">
        <is>
          <t>Lost</t>
        </is>
      </c>
      <c r="J51" t="inlineStr">
        <is>
          <t>No Response / Ghosted</t>
        </is>
      </c>
      <c r="K51" t="n">
        <v>459.38</v>
      </c>
      <c r="L51" t="inlineStr">
        <is>
          <t>2025-06-21 00:50:06.965092</t>
        </is>
      </c>
      <c r="M51">
        <f>VLOOKUP(H51,'Stage Order'!$A$2:$B$8,2,FALSE)</f>
        <v/>
      </c>
      <c r="N51">
        <f>IF(G51&lt;=1,"1. Under 1 hour",IF(G51&lt;=24,"2. 1-24 hours",IF(G51&lt;=72,"3. 1-3 days","4. Over 3 days")))</f>
        <v/>
      </c>
      <c r="O51">
        <f>TEXT(B51,"YYYY-MM")</f>
        <v/>
      </c>
    </row>
    <row r="52">
      <c r="A52" t="inlineStr">
        <is>
          <t>LD-300050</t>
        </is>
      </c>
      <c r="B52" t="inlineStr">
        <is>
          <t>2026-02-18 20:45:00</t>
        </is>
      </c>
      <c r="C52" t="inlineStr">
        <is>
          <t>Referral</t>
        </is>
      </c>
      <c r="D52" t="inlineStr">
        <is>
          <t>K-12 Math</t>
        </is>
      </c>
      <c r="E52" t="inlineStr">
        <is>
          <t>East Region</t>
        </is>
      </c>
      <c r="F52" t="inlineStr">
        <is>
          <t>Rep_04</t>
        </is>
      </c>
      <c r="G52" t="n">
        <v>0.27</v>
      </c>
      <c r="H52" t="inlineStr">
        <is>
          <t>Closed</t>
        </is>
      </c>
      <c r="I52" t="inlineStr">
        <is>
          <t>Won</t>
        </is>
      </c>
      <c r="K52" t="n">
        <v>464.24</v>
      </c>
      <c r="L52" t="inlineStr">
        <is>
          <t>2026-04-01 16:27:38.559368</t>
        </is>
      </c>
      <c r="M52">
        <f>VLOOKUP(H52,'Stage Order'!$A$2:$B$8,2,FALSE)</f>
        <v/>
      </c>
      <c r="N52">
        <f>IF(G52&lt;=1,"1. Under 1 hour",IF(G52&lt;=24,"2. 1-24 hours",IF(G52&lt;=72,"3. 1-3 days","4. Over 3 days")))</f>
        <v/>
      </c>
      <c r="O52">
        <f>TEXT(B52,"YYYY-MM")</f>
        <v/>
      </c>
    </row>
    <row r="53">
      <c r="A53" t="inlineStr">
        <is>
          <t>LD-300051</t>
        </is>
      </c>
      <c r="B53" t="inlineStr">
        <is>
          <t>2026-01-27 17:56:00</t>
        </is>
      </c>
      <c r="C53" t="inlineStr">
        <is>
          <t>Webinar</t>
        </is>
      </c>
      <c r="D53" t="inlineStr">
        <is>
          <t>Competitive Exam Prep</t>
        </is>
      </c>
      <c r="E53" t="inlineStr">
        <is>
          <t>West Region</t>
        </is>
      </c>
      <c r="F53" t="inlineStr">
        <is>
          <t>Rep_08</t>
        </is>
      </c>
      <c r="G53" t="n">
        <v>1.12</v>
      </c>
      <c r="H53" t="inlineStr">
        <is>
          <t>Contacted</t>
        </is>
      </c>
      <c r="I53" t="inlineStr">
        <is>
          <t>Open</t>
        </is>
      </c>
      <c r="M53">
        <f>VLOOKUP(H53,'Stage Order'!$A$2:$B$8,2,FALSE)</f>
        <v/>
      </c>
      <c r="N53">
        <f>IF(G53&lt;=1,"1. Under 1 hour",IF(G53&lt;=24,"2. 1-24 hours",IF(G53&lt;=72,"3. 1-3 days","4. Over 3 days")))</f>
        <v/>
      </c>
      <c r="O53">
        <f>TEXT(B53,"YYYY-MM")</f>
        <v/>
      </c>
    </row>
    <row r="54">
      <c r="A54" t="inlineStr">
        <is>
          <t>LD-300052</t>
        </is>
      </c>
      <c r="B54" t="inlineStr">
        <is>
          <t>2025-11-02 16:13:00</t>
        </is>
      </c>
      <c r="C54" t="inlineStr">
        <is>
          <t>Paid Search</t>
        </is>
      </c>
      <c r="D54" t="inlineStr">
        <is>
          <t>Competitive Exam Prep</t>
        </is>
      </c>
      <c r="E54" t="inlineStr">
        <is>
          <t>East Region</t>
        </is>
      </c>
      <c r="F54" t="inlineStr">
        <is>
          <t>Rep_04</t>
        </is>
      </c>
      <c r="G54" t="n">
        <v>8.27</v>
      </c>
      <c r="H54" t="inlineStr">
        <is>
          <t>Negotiation</t>
        </is>
      </c>
      <c r="I54" t="inlineStr">
        <is>
          <t>Lost</t>
        </is>
      </c>
      <c r="J54" t="inlineStr">
        <is>
          <t>Price Objection</t>
        </is>
      </c>
      <c r="K54" t="n">
        <v>1000.06</v>
      </c>
      <c r="L54" t="inlineStr">
        <is>
          <t>2025-12-11 05:57:50.501004</t>
        </is>
      </c>
      <c r="M54">
        <f>VLOOKUP(H54,'Stage Order'!$A$2:$B$8,2,FALSE)</f>
        <v/>
      </c>
      <c r="N54">
        <f>IF(G54&lt;=1,"1. Under 1 hour",IF(G54&lt;=24,"2. 1-24 hours",IF(G54&lt;=72,"3. 1-3 days","4. Over 3 days")))</f>
        <v/>
      </c>
      <c r="O54">
        <f>TEXT(B54,"YYYY-MM")</f>
        <v/>
      </c>
    </row>
    <row r="55">
      <c r="A55" t="inlineStr">
        <is>
          <t>LD-300053</t>
        </is>
      </c>
      <c r="B55" t="inlineStr">
        <is>
          <t>2025-10-14 08:23:00</t>
        </is>
      </c>
      <c r="C55" t="inlineStr">
        <is>
          <t>Cold Outreach</t>
        </is>
      </c>
      <c r="D55" t="inlineStr">
        <is>
          <t>Competitive Exam Prep</t>
        </is>
      </c>
      <c r="E55" t="inlineStr">
        <is>
          <t>East Region</t>
        </is>
      </c>
      <c r="F55" t="inlineStr">
        <is>
          <t>Rep_04</t>
        </is>
      </c>
      <c r="G55" t="n">
        <v>2.19</v>
      </c>
      <c r="H55" t="inlineStr">
        <is>
          <t>Lead</t>
        </is>
      </c>
      <c r="I55" t="inlineStr">
        <is>
          <t>Open</t>
        </is>
      </c>
      <c r="M55">
        <f>VLOOKUP(H55,'Stage Order'!$A$2:$B$8,2,FALSE)</f>
        <v/>
      </c>
      <c r="N55">
        <f>IF(G55&lt;=1,"1. Under 1 hour",IF(G55&lt;=24,"2. 1-24 hours",IF(G55&lt;=72,"3. 1-3 days","4. Over 3 days")))</f>
        <v/>
      </c>
      <c r="O55">
        <f>TEXT(B55,"YYYY-MM")</f>
        <v/>
      </c>
    </row>
    <row r="56">
      <c r="A56" t="inlineStr">
        <is>
          <t>LD-300054</t>
        </is>
      </c>
      <c r="B56" t="inlineStr">
        <is>
          <t>2025-09-02 19:57:00</t>
        </is>
      </c>
      <c r="C56" t="inlineStr">
        <is>
          <t>Organic Search</t>
        </is>
      </c>
      <c r="D56" t="inlineStr">
        <is>
          <t>Coding for Kids</t>
        </is>
      </c>
      <c r="E56" t="inlineStr">
        <is>
          <t>South Region</t>
        </is>
      </c>
      <c r="F56" t="inlineStr">
        <is>
          <t>Rep_12</t>
        </is>
      </c>
      <c r="G56" t="n">
        <v>2.6</v>
      </c>
      <c r="H56" t="inlineStr">
        <is>
          <t>Contacted</t>
        </is>
      </c>
      <c r="I56" t="inlineStr">
        <is>
          <t>Open</t>
        </is>
      </c>
      <c r="M56">
        <f>VLOOKUP(H56,'Stage Order'!$A$2:$B$8,2,FALSE)</f>
        <v/>
      </c>
      <c r="N56">
        <f>IF(G56&lt;=1,"1. Under 1 hour",IF(G56&lt;=24,"2. 1-24 hours",IF(G56&lt;=72,"3. 1-3 days","4. Over 3 days")))</f>
        <v/>
      </c>
      <c r="O56">
        <f>TEXT(B56,"YYYY-MM")</f>
        <v/>
      </c>
    </row>
    <row r="57">
      <c r="A57" t="inlineStr">
        <is>
          <t>LD-300055</t>
        </is>
      </c>
      <c r="B57" t="inlineStr">
        <is>
          <t>2025-08-22 13:58:00</t>
        </is>
      </c>
      <c r="C57" t="inlineStr">
        <is>
          <t>Partner Channel</t>
        </is>
      </c>
      <c r="D57" t="inlineStr">
        <is>
          <t>Competitive Exam Prep</t>
        </is>
      </c>
      <c r="E57" t="inlineStr">
        <is>
          <t>North Region</t>
        </is>
      </c>
      <c r="F57" t="inlineStr">
        <is>
          <t>Rep_06</t>
        </is>
      </c>
      <c r="G57" t="n">
        <v>2.89</v>
      </c>
      <c r="H57" t="inlineStr">
        <is>
          <t>Contacted</t>
        </is>
      </c>
      <c r="I57" t="inlineStr">
        <is>
          <t>Open</t>
        </is>
      </c>
      <c r="M57">
        <f>VLOOKUP(H57,'Stage Order'!$A$2:$B$8,2,FALSE)</f>
        <v/>
      </c>
      <c r="N57">
        <f>IF(G57&lt;=1,"1. Under 1 hour",IF(G57&lt;=24,"2. 1-24 hours",IF(G57&lt;=72,"3. 1-3 days","4. Over 3 days")))</f>
        <v/>
      </c>
      <c r="O57">
        <f>TEXT(B57,"YYYY-MM")</f>
        <v/>
      </c>
    </row>
    <row r="58">
      <c r="A58" t="inlineStr">
        <is>
          <t>LD-300056</t>
        </is>
      </c>
      <c r="B58" t="inlineStr">
        <is>
          <t>2025-05-08 20:34:00</t>
        </is>
      </c>
      <c r="C58" t="inlineStr">
        <is>
          <t>Referral</t>
        </is>
      </c>
      <c r="D58" t="inlineStr">
        <is>
          <t>Competitive Exam Prep</t>
        </is>
      </c>
      <c r="E58" t="inlineStr">
        <is>
          <t>West Region</t>
        </is>
      </c>
      <c r="F58" t="inlineStr">
        <is>
          <t>Rep_08</t>
        </is>
      </c>
      <c r="G58" t="n">
        <v>2.61</v>
      </c>
      <c r="H58" t="inlineStr">
        <is>
          <t>Closed</t>
        </is>
      </c>
      <c r="I58" t="inlineStr">
        <is>
          <t>Won</t>
        </is>
      </c>
      <c r="K58" t="n">
        <v>960.65</v>
      </c>
      <c r="L58" t="inlineStr">
        <is>
          <t>2025-06-16 17:50:27.592409</t>
        </is>
      </c>
      <c r="M58">
        <f>VLOOKUP(H58,'Stage Order'!$A$2:$B$8,2,FALSE)</f>
        <v/>
      </c>
      <c r="N58">
        <f>IF(G58&lt;=1,"1. Under 1 hour",IF(G58&lt;=24,"2. 1-24 hours",IF(G58&lt;=72,"3. 1-3 days","4. Over 3 days")))</f>
        <v/>
      </c>
      <c r="O58">
        <f>TEXT(B58,"YYYY-MM")</f>
        <v/>
      </c>
    </row>
    <row r="59">
      <c r="A59" t="inlineStr">
        <is>
          <t>LD-300057</t>
        </is>
      </c>
      <c r="B59" t="inlineStr">
        <is>
          <t>2025-08-13 10:46:00</t>
        </is>
      </c>
      <c r="C59" t="inlineStr">
        <is>
          <t>Social Media</t>
        </is>
      </c>
      <c r="D59" t="inlineStr">
        <is>
          <t>Coding for Kids</t>
        </is>
      </c>
      <c r="E59" t="inlineStr">
        <is>
          <t>West Region</t>
        </is>
      </c>
      <c r="F59" t="inlineStr">
        <is>
          <t>Rep_08</t>
        </is>
      </c>
      <c r="G59" t="n">
        <v>15.1</v>
      </c>
      <c r="H59" t="inlineStr">
        <is>
          <t>Demo Completed</t>
        </is>
      </c>
      <c r="I59" t="inlineStr">
        <is>
          <t>Lost</t>
        </is>
      </c>
      <c r="J59" t="inlineStr">
        <is>
          <t>Price Objection</t>
        </is>
      </c>
      <c r="K59" t="n">
        <v>574.74</v>
      </c>
      <c r="L59" t="inlineStr">
        <is>
          <t>2025-09-16 07:25:05.485357</t>
        </is>
      </c>
      <c r="M59">
        <f>VLOOKUP(H59,'Stage Order'!$A$2:$B$8,2,FALSE)</f>
        <v/>
      </c>
      <c r="N59">
        <f>IF(G59&lt;=1,"1. Under 1 hour",IF(G59&lt;=24,"2. 1-24 hours",IF(G59&lt;=72,"3. 1-3 days","4. Over 3 days")))</f>
        <v/>
      </c>
      <c r="O59">
        <f>TEXT(B59,"YYYY-MM")</f>
        <v/>
      </c>
    </row>
    <row r="60">
      <c r="A60" t="inlineStr">
        <is>
          <t>LD-300058</t>
        </is>
      </c>
      <c r="B60" t="inlineStr">
        <is>
          <t>2025-09-26 13:29:00</t>
        </is>
      </c>
      <c r="C60" t="inlineStr">
        <is>
          <t>Organic Search</t>
        </is>
      </c>
      <c r="D60" t="inlineStr">
        <is>
          <t>K-12 Math</t>
        </is>
      </c>
      <c r="E60" t="inlineStr">
        <is>
          <t>South Region</t>
        </is>
      </c>
      <c r="F60" t="inlineStr">
        <is>
          <t>Rep_12</t>
        </is>
      </c>
      <c r="G60" t="n">
        <v>2.14</v>
      </c>
      <c r="H60" t="inlineStr">
        <is>
          <t>Demo Scheduled</t>
        </is>
      </c>
      <c r="I60" t="inlineStr">
        <is>
          <t>Open</t>
        </is>
      </c>
      <c r="M60">
        <f>VLOOKUP(H60,'Stage Order'!$A$2:$B$8,2,FALSE)</f>
        <v/>
      </c>
      <c r="N60">
        <f>IF(G60&lt;=1,"1. Under 1 hour",IF(G60&lt;=24,"2. 1-24 hours",IF(G60&lt;=72,"3. 1-3 days","4. Over 3 days")))</f>
        <v/>
      </c>
      <c r="O60">
        <f>TEXT(B60,"YYYY-MM")</f>
        <v/>
      </c>
    </row>
    <row r="61">
      <c r="A61" t="inlineStr">
        <is>
          <t>LD-300059</t>
        </is>
      </c>
      <c r="B61" t="inlineStr">
        <is>
          <t>2026-02-20 17:48:00</t>
        </is>
      </c>
      <c r="C61" t="inlineStr">
        <is>
          <t>Webinar</t>
        </is>
      </c>
      <c r="D61" t="inlineStr">
        <is>
          <t>Competitive Exam Prep</t>
        </is>
      </c>
      <c r="E61" t="inlineStr">
        <is>
          <t>East Region</t>
        </is>
      </c>
      <c r="F61" t="inlineStr">
        <is>
          <t>Rep_04</t>
        </is>
      </c>
      <c r="G61" t="n">
        <v>3.49</v>
      </c>
      <c r="H61" t="inlineStr">
        <is>
          <t>Contacted</t>
        </is>
      </c>
      <c r="I61" t="inlineStr">
        <is>
          <t>Open</t>
        </is>
      </c>
      <c r="M61">
        <f>VLOOKUP(H61,'Stage Order'!$A$2:$B$8,2,FALSE)</f>
        <v/>
      </c>
      <c r="N61">
        <f>IF(G61&lt;=1,"1. Under 1 hour",IF(G61&lt;=24,"2. 1-24 hours",IF(G61&lt;=72,"3. 1-3 days","4. Over 3 days")))</f>
        <v/>
      </c>
      <c r="O61">
        <f>TEXT(B61,"YYYY-MM")</f>
        <v/>
      </c>
    </row>
    <row r="62">
      <c r="A62" t="inlineStr">
        <is>
          <t>LD-300060</t>
        </is>
      </c>
      <c r="B62" t="inlineStr">
        <is>
          <t>2025-11-26 16:14:00</t>
        </is>
      </c>
      <c r="C62" t="inlineStr">
        <is>
          <t>Organic Search</t>
        </is>
      </c>
      <c r="D62" t="inlineStr">
        <is>
          <t>K-12 Math</t>
        </is>
      </c>
      <c r="E62" t="inlineStr">
        <is>
          <t>South Region</t>
        </is>
      </c>
      <c r="F62" t="inlineStr">
        <is>
          <t>Rep_07</t>
        </is>
      </c>
      <c r="G62" t="n">
        <v>1.72</v>
      </c>
      <c r="H62" t="inlineStr">
        <is>
          <t>Proposal Sent</t>
        </is>
      </c>
      <c r="I62" t="inlineStr">
        <is>
          <t>Lost</t>
        </is>
      </c>
      <c r="J62" t="inlineStr">
        <is>
          <t>Price Objection</t>
        </is>
      </c>
      <c r="K62" t="n">
        <v>552.96</v>
      </c>
      <c r="L62" t="inlineStr">
        <is>
          <t>2025-12-22 02:45:06.304175</t>
        </is>
      </c>
      <c r="M62">
        <f>VLOOKUP(H62,'Stage Order'!$A$2:$B$8,2,FALSE)</f>
        <v/>
      </c>
      <c r="N62">
        <f>IF(G62&lt;=1,"1. Under 1 hour",IF(G62&lt;=24,"2. 1-24 hours",IF(G62&lt;=72,"3. 1-3 days","4. Over 3 days")))</f>
        <v/>
      </c>
      <c r="O62">
        <f>TEXT(B62,"YYYY-MM")</f>
        <v/>
      </c>
    </row>
    <row r="63">
      <c r="A63" t="inlineStr">
        <is>
          <t>LD-300061</t>
        </is>
      </c>
      <c r="B63" t="inlineStr">
        <is>
          <t>2026-04-17 12:12:00</t>
        </is>
      </c>
      <c r="C63" t="inlineStr">
        <is>
          <t>Cold Outreach</t>
        </is>
      </c>
      <c r="D63" t="inlineStr">
        <is>
          <t>Competitive Exam Prep</t>
        </is>
      </c>
      <c r="E63" t="inlineStr">
        <is>
          <t>West Region</t>
        </is>
      </c>
      <c r="F63" t="inlineStr">
        <is>
          <t>Rep_13</t>
        </is>
      </c>
      <c r="G63" t="n">
        <v>2.8</v>
      </c>
      <c r="H63" t="inlineStr">
        <is>
          <t>Contacted</t>
        </is>
      </c>
      <c r="I63" t="inlineStr">
        <is>
          <t>Open</t>
        </is>
      </c>
      <c r="M63">
        <f>VLOOKUP(H63,'Stage Order'!$A$2:$B$8,2,FALSE)</f>
        <v/>
      </c>
      <c r="N63">
        <f>IF(G63&lt;=1,"1. Under 1 hour",IF(G63&lt;=24,"2. 1-24 hours",IF(G63&lt;=72,"3. 1-3 days","4. Over 3 days")))</f>
        <v/>
      </c>
      <c r="O63">
        <f>TEXT(B63,"YYYY-MM")</f>
        <v/>
      </c>
    </row>
    <row r="64">
      <c r="A64" t="inlineStr">
        <is>
          <t>LD-300062</t>
        </is>
      </c>
      <c r="B64" t="inlineStr">
        <is>
          <t>2026-03-10 20:40:00</t>
        </is>
      </c>
      <c r="C64" t="inlineStr">
        <is>
          <t>Referral</t>
        </is>
      </c>
      <c r="D64" t="inlineStr">
        <is>
          <t>Competitive Exam Prep</t>
        </is>
      </c>
      <c r="E64" t="inlineStr">
        <is>
          <t>North Region</t>
        </is>
      </c>
      <c r="F64" t="inlineStr">
        <is>
          <t>Rep_01</t>
        </is>
      </c>
      <c r="G64" t="n">
        <v>12.16</v>
      </c>
      <c r="H64" t="inlineStr">
        <is>
          <t>Contacted</t>
        </is>
      </c>
      <c r="I64" t="inlineStr">
        <is>
          <t>Open</t>
        </is>
      </c>
      <c r="M64">
        <f>VLOOKUP(H64,'Stage Order'!$A$2:$B$8,2,FALSE)</f>
        <v/>
      </c>
      <c r="N64">
        <f>IF(G64&lt;=1,"1. Under 1 hour",IF(G64&lt;=24,"2. 1-24 hours",IF(G64&lt;=72,"3. 1-3 days","4. Over 3 days")))</f>
        <v/>
      </c>
      <c r="O64">
        <f>TEXT(B64,"YYYY-MM")</f>
        <v/>
      </c>
    </row>
    <row r="65">
      <c r="A65" t="inlineStr">
        <is>
          <t>LD-300063</t>
        </is>
      </c>
      <c r="B65" t="inlineStr">
        <is>
          <t>2026-06-19 08:42:00</t>
        </is>
      </c>
      <c r="C65" t="inlineStr">
        <is>
          <t>Paid Search</t>
        </is>
      </c>
      <c r="D65" t="inlineStr">
        <is>
          <t>Study Abroad Prep</t>
        </is>
      </c>
      <c r="E65" t="inlineStr">
        <is>
          <t>North Region</t>
        </is>
      </c>
      <c r="F65" t="inlineStr">
        <is>
          <t>Rep_01</t>
        </is>
      </c>
      <c r="G65" t="n">
        <v>5.18</v>
      </c>
      <c r="H65" t="inlineStr">
        <is>
          <t>Contacted</t>
        </is>
      </c>
      <c r="I65" t="inlineStr">
        <is>
          <t>Open</t>
        </is>
      </c>
      <c r="M65">
        <f>VLOOKUP(H65,'Stage Order'!$A$2:$B$8,2,FALSE)</f>
        <v/>
      </c>
      <c r="N65">
        <f>IF(G65&lt;=1,"1. Under 1 hour",IF(G65&lt;=24,"2. 1-24 hours",IF(G65&lt;=72,"3. 1-3 days","4. Over 3 days")))</f>
        <v/>
      </c>
      <c r="O65">
        <f>TEXT(B65,"YYYY-MM")</f>
        <v/>
      </c>
    </row>
    <row r="66">
      <c r="A66" t="inlineStr">
        <is>
          <t>LD-300064</t>
        </is>
      </c>
      <c r="B66" t="inlineStr">
        <is>
          <t>2026-05-19 13:50:00</t>
        </is>
      </c>
      <c r="C66" t="inlineStr">
        <is>
          <t>Webinar</t>
        </is>
      </c>
      <c r="D66" t="inlineStr">
        <is>
          <t>Coding for Kids</t>
        </is>
      </c>
      <c r="E66" t="inlineStr">
        <is>
          <t>International</t>
        </is>
      </c>
      <c r="F66" t="inlineStr">
        <is>
          <t>Rep_10</t>
        </is>
      </c>
      <c r="G66" t="n">
        <v>2.27</v>
      </c>
      <c r="H66" t="inlineStr">
        <is>
          <t>Contacted</t>
        </is>
      </c>
      <c r="I66" t="inlineStr">
        <is>
          <t>Open</t>
        </is>
      </c>
      <c r="M66">
        <f>VLOOKUP(H66,'Stage Order'!$A$2:$B$8,2,FALSE)</f>
        <v/>
      </c>
      <c r="N66">
        <f>IF(G66&lt;=1,"1. Under 1 hour",IF(G66&lt;=24,"2. 1-24 hours",IF(G66&lt;=72,"3. 1-3 days","4. Over 3 days")))</f>
        <v/>
      </c>
      <c r="O66">
        <f>TEXT(B66,"YYYY-MM")</f>
        <v/>
      </c>
    </row>
    <row r="67">
      <c r="A67" t="inlineStr">
        <is>
          <t>LD-300065</t>
        </is>
      </c>
      <c r="B67" t="inlineStr">
        <is>
          <t>2026-01-19 19:04:00</t>
        </is>
      </c>
      <c r="C67" t="inlineStr">
        <is>
          <t>Paid Search</t>
        </is>
      </c>
      <c r="D67" t="inlineStr">
        <is>
          <t>Competitive Exam Prep</t>
        </is>
      </c>
      <c r="E67" t="inlineStr">
        <is>
          <t>International</t>
        </is>
      </c>
      <c r="F67" t="inlineStr">
        <is>
          <t>Rep_15</t>
        </is>
      </c>
      <c r="G67" t="n">
        <v>1.32</v>
      </c>
      <c r="H67" t="inlineStr">
        <is>
          <t>Contacted</t>
        </is>
      </c>
      <c r="I67" t="inlineStr">
        <is>
          <t>Open</t>
        </is>
      </c>
      <c r="M67">
        <f>VLOOKUP(H67,'Stage Order'!$A$2:$B$8,2,FALSE)</f>
        <v/>
      </c>
      <c r="N67">
        <f>IF(G67&lt;=1,"1. Under 1 hour",IF(G67&lt;=24,"2. 1-24 hours",IF(G67&lt;=72,"3. 1-3 days","4. Over 3 days")))</f>
        <v/>
      </c>
      <c r="O67">
        <f>TEXT(B67,"YYYY-MM")</f>
        <v/>
      </c>
    </row>
    <row r="68">
      <c r="A68" t="inlineStr">
        <is>
          <t>LD-300066</t>
        </is>
      </c>
      <c r="B68" t="inlineStr">
        <is>
          <t>2026-02-12 12:13:00</t>
        </is>
      </c>
      <c r="C68" t="inlineStr">
        <is>
          <t>Social Media</t>
        </is>
      </c>
      <c r="D68" t="inlineStr">
        <is>
          <t>Competitive Exam Prep</t>
        </is>
      </c>
      <c r="E68" t="inlineStr">
        <is>
          <t>South Region</t>
        </is>
      </c>
      <c r="F68" t="inlineStr">
        <is>
          <t>Rep_12</t>
        </is>
      </c>
      <c r="G68" t="n">
        <v>4.01</v>
      </c>
      <c r="H68" t="inlineStr">
        <is>
          <t>Contacted</t>
        </is>
      </c>
      <c r="I68" t="inlineStr">
        <is>
          <t>Open</t>
        </is>
      </c>
      <c r="M68">
        <f>VLOOKUP(H68,'Stage Order'!$A$2:$B$8,2,FALSE)</f>
        <v/>
      </c>
      <c r="N68">
        <f>IF(G68&lt;=1,"1. Under 1 hour",IF(G68&lt;=24,"2. 1-24 hours",IF(G68&lt;=72,"3. 1-3 days","4. Over 3 days")))</f>
        <v/>
      </c>
      <c r="O68">
        <f>TEXT(B68,"YYYY-MM")</f>
        <v/>
      </c>
    </row>
    <row r="69">
      <c r="A69" t="inlineStr">
        <is>
          <t>LD-300067</t>
        </is>
      </c>
      <c r="B69" t="inlineStr">
        <is>
          <t>2025-01-24 14:28:00</t>
        </is>
      </c>
      <c r="C69" t="inlineStr">
        <is>
          <t>Webinar</t>
        </is>
      </c>
      <c r="D69" t="inlineStr">
        <is>
          <t>K-12 Math</t>
        </is>
      </c>
      <c r="E69" t="inlineStr">
        <is>
          <t>North Region</t>
        </is>
      </c>
      <c r="F69" t="inlineStr">
        <is>
          <t>Rep_11</t>
        </is>
      </c>
      <c r="G69" t="n">
        <v>2.48</v>
      </c>
      <c r="H69" t="inlineStr">
        <is>
          <t>Closed</t>
        </is>
      </c>
      <c r="I69" t="inlineStr">
        <is>
          <t>Won</t>
        </is>
      </c>
      <c r="K69" t="n">
        <v>485.63</v>
      </c>
      <c r="L69" t="inlineStr">
        <is>
          <t>2025-02-24 23:37:36.990452</t>
        </is>
      </c>
      <c r="M69">
        <f>VLOOKUP(H69,'Stage Order'!$A$2:$B$8,2,FALSE)</f>
        <v/>
      </c>
      <c r="N69">
        <f>IF(G69&lt;=1,"1. Under 1 hour",IF(G69&lt;=24,"2. 1-24 hours",IF(G69&lt;=72,"3. 1-3 days","4. Over 3 days")))</f>
        <v/>
      </c>
      <c r="O69">
        <f>TEXT(B69,"YYYY-MM")</f>
        <v/>
      </c>
    </row>
    <row r="70">
      <c r="A70" t="inlineStr">
        <is>
          <t>LD-300068</t>
        </is>
      </c>
      <c r="B70" t="inlineStr">
        <is>
          <t>2026-05-15 15:56:00</t>
        </is>
      </c>
      <c r="C70" t="inlineStr">
        <is>
          <t>Paid Search</t>
        </is>
      </c>
      <c r="D70" t="inlineStr">
        <is>
          <t>Coding for Kids</t>
        </is>
      </c>
      <c r="E70" t="inlineStr">
        <is>
          <t>West Region</t>
        </is>
      </c>
      <c r="F70" t="inlineStr">
        <is>
          <t>Rep_03</t>
        </is>
      </c>
      <c r="G70" t="n">
        <v>2.03</v>
      </c>
      <c r="H70" t="inlineStr">
        <is>
          <t>Contacted</t>
        </is>
      </c>
      <c r="I70" t="inlineStr">
        <is>
          <t>Open</t>
        </is>
      </c>
      <c r="M70">
        <f>VLOOKUP(H70,'Stage Order'!$A$2:$B$8,2,FALSE)</f>
        <v/>
      </c>
      <c r="N70">
        <f>IF(G70&lt;=1,"1. Under 1 hour",IF(G70&lt;=24,"2. 1-24 hours",IF(G70&lt;=72,"3. 1-3 days","4. Over 3 days")))</f>
        <v/>
      </c>
      <c r="O70">
        <f>TEXT(B70,"YYYY-MM")</f>
        <v/>
      </c>
    </row>
    <row r="71">
      <c r="A71" t="inlineStr">
        <is>
          <t>LD-300069</t>
        </is>
      </c>
      <c r="B71" t="inlineStr">
        <is>
          <t>2025-06-19 09:43:00</t>
        </is>
      </c>
      <c r="C71" t="inlineStr">
        <is>
          <t>Organic Search</t>
        </is>
      </c>
      <c r="D71" t="inlineStr">
        <is>
          <t>Study Abroad Prep</t>
        </is>
      </c>
      <c r="E71" t="inlineStr">
        <is>
          <t>South Region</t>
        </is>
      </c>
      <c r="F71" t="inlineStr">
        <is>
          <t>Rep_02</t>
        </is>
      </c>
      <c r="G71" t="n">
        <v>0.44</v>
      </c>
      <c r="H71" t="inlineStr">
        <is>
          <t>Lead</t>
        </is>
      </c>
      <c r="I71" t="inlineStr">
        <is>
          <t>Open</t>
        </is>
      </c>
      <c r="M71">
        <f>VLOOKUP(H71,'Stage Order'!$A$2:$B$8,2,FALSE)</f>
        <v/>
      </c>
      <c r="N71">
        <f>IF(G71&lt;=1,"1. Under 1 hour",IF(G71&lt;=24,"2. 1-24 hours",IF(G71&lt;=72,"3. 1-3 days","4. Over 3 days")))</f>
        <v/>
      </c>
      <c r="O71">
        <f>TEXT(B71,"YYYY-MM")</f>
        <v/>
      </c>
    </row>
    <row r="72">
      <c r="A72" t="inlineStr">
        <is>
          <t>LD-300070</t>
        </is>
      </c>
      <c r="B72" t="inlineStr">
        <is>
          <t>2025-09-18 20:47:00</t>
        </is>
      </c>
      <c r="C72" t="inlineStr">
        <is>
          <t>Social Media</t>
        </is>
      </c>
      <c r="D72" t="inlineStr">
        <is>
          <t>Coding for Kids</t>
        </is>
      </c>
      <c r="E72" t="inlineStr">
        <is>
          <t>West Region</t>
        </is>
      </c>
      <c r="F72" t="inlineStr">
        <is>
          <t>Rep_03</t>
        </is>
      </c>
      <c r="G72" t="n">
        <v>6.31</v>
      </c>
      <c r="H72" t="inlineStr">
        <is>
          <t>Negotiation</t>
        </is>
      </c>
      <c r="I72" t="inlineStr">
        <is>
          <t>Lost</t>
        </is>
      </c>
      <c r="J72" t="inlineStr">
        <is>
          <t>Price Objection</t>
        </is>
      </c>
      <c r="K72" t="n">
        <v>529.34</v>
      </c>
      <c r="L72" t="inlineStr">
        <is>
          <t>2025-10-28 04:15:35.442355</t>
        </is>
      </c>
      <c r="M72">
        <f>VLOOKUP(H72,'Stage Order'!$A$2:$B$8,2,FALSE)</f>
        <v/>
      </c>
      <c r="N72">
        <f>IF(G72&lt;=1,"1. Under 1 hour",IF(G72&lt;=24,"2. 1-24 hours",IF(G72&lt;=72,"3. 1-3 days","4. Over 3 days")))</f>
        <v/>
      </c>
      <c r="O72">
        <f>TEXT(B72,"YYYY-MM")</f>
        <v/>
      </c>
    </row>
    <row r="73">
      <c r="A73" t="inlineStr">
        <is>
          <t>LD-300071</t>
        </is>
      </c>
      <c r="B73" t="inlineStr">
        <is>
          <t>2025-11-21 10:23:00</t>
        </is>
      </c>
      <c r="C73" t="inlineStr">
        <is>
          <t>Cold Outreach</t>
        </is>
      </c>
      <c r="D73" t="inlineStr">
        <is>
          <t>Coding for Kids</t>
        </is>
      </c>
      <c r="E73" t="inlineStr">
        <is>
          <t>North Region</t>
        </is>
      </c>
      <c r="F73" t="inlineStr">
        <is>
          <t>Rep_11</t>
        </is>
      </c>
      <c r="G73" t="n">
        <v>8.56</v>
      </c>
      <c r="H73" t="inlineStr">
        <is>
          <t>Demo Scheduled</t>
        </is>
      </c>
      <c r="I73" t="inlineStr">
        <is>
          <t>Open</t>
        </is>
      </c>
      <c r="M73">
        <f>VLOOKUP(H73,'Stage Order'!$A$2:$B$8,2,FALSE)</f>
        <v/>
      </c>
      <c r="N73">
        <f>IF(G73&lt;=1,"1. Under 1 hour",IF(G73&lt;=24,"2. 1-24 hours",IF(G73&lt;=72,"3. 1-3 days","4. Over 3 days")))</f>
        <v/>
      </c>
      <c r="O73">
        <f>TEXT(B73,"YYYY-MM")</f>
        <v/>
      </c>
    </row>
    <row r="74">
      <c r="A74" t="inlineStr">
        <is>
          <t>LD-300072</t>
        </is>
      </c>
      <c r="B74" t="inlineStr">
        <is>
          <t>2025-04-22 08:15:00</t>
        </is>
      </c>
      <c r="C74" t="inlineStr">
        <is>
          <t>Cold Outreach</t>
        </is>
      </c>
      <c r="D74" t="inlineStr">
        <is>
          <t>Competitive Exam Prep</t>
        </is>
      </c>
      <c r="E74" t="inlineStr">
        <is>
          <t>South Region</t>
        </is>
      </c>
      <c r="F74" t="inlineStr">
        <is>
          <t>Rep_02</t>
        </is>
      </c>
      <c r="G74" t="n">
        <v>19.31</v>
      </c>
      <c r="H74" t="inlineStr">
        <is>
          <t>Lead</t>
        </is>
      </c>
      <c r="I74" t="inlineStr">
        <is>
          <t>Open</t>
        </is>
      </c>
      <c r="M74">
        <f>VLOOKUP(H74,'Stage Order'!$A$2:$B$8,2,FALSE)</f>
        <v/>
      </c>
      <c r="N74">
        <f>IF(G74&lt;=1,"1. Under 1 hour",IF(G74&lt;=24,"2. 1-24 hours",IF(G74&lt;=72,"3. 1-3 days","4. Over 3 days")))</f>
        <v/>
      </c>
      <c r="O74">
        <f>TEXT(B74,"YYYY-MM")</f>
        <v/>
      </c>
    </row>
    <row r="75">
      <c r="A75" t="inlineStr">
        <is>
          <t>LD-300073</t>
        </is>
      </c>
      <c r="B75" t="inlineStr">
        <is>
          <t>2025-10-11 16:06:00</t>
        </is>
      </c>
      <c r="C75" t="inlineStr">
        <is>
          <t>Organic Search</t>
        </is>
      </c>
      <c r="D75" t="inlineStr">
        <is>
          <t>K-12 Math</t>
        </is>
      </c>
      <c r="E75" t="inlineStr">
        <is>
          <t>West Region</t>
        </is>
      </c>
      <c r="F75" t="inlineStr">
        <is>
          <t>Rep_08</t>
        </is>
      </c>
      <c r="G75" t="n">
        <v>5.22</v>
      </c>
      <c r="H75" t="inlineStr">
        <is>
          <t>Closed</t>
        </is>
      </c>
      <c r="I75" t="inlineStr">
        <is>
          <t>Won</t>
        </is>
      </c>
      <c r="K75" t="n">
        <v>414.78</v>
      </c>
      <c r="L75" t="inlineStr">
        <is>
          <t>2025-11-13 01:28:41.921589</t>
        </is>
      </c>
      <c r="M75">
        <f>VLOOKUP(H75,'Stage Order'!$A$2:$B$8,2,FALSE)</f>
        <v/>
      </c>
      <c r="N75">
        <f>IF(G75&lt;=1,"1. Under 1 hour",IF(G75&lt;=24,"2. 1-24 hours",IF(G75&lt;=72,"3. 1-3 days","4. Over 3 days")))</f>
        <v/>
      </c>
      <c r="O75">
        <f>TEXT(B75,"YYYY-MM")</f>
        <v/>
      </c>
    </row>
    <row r="76">
      <c r="A76" t="inlineStr">
        <is>
          <t>LD-300074</t>
        </is>
      </c>
      <c r="B76" t="inlineStr">
        <is>
          <t>2025-05-02 18:19:00</t>
        </is>
      </c>
      <c r="C76" t="inlineStr">
        <is>
          <t>Cold Outreach</t>
        </is>
      </c>
      <c r="D76" t="inlineStr">
        <is>
          <t>Competitive Exam Prep</t>
        </is>
      </c>
      <c r="E76" t="inlineStr">
        <is>
          <t>South Region</t>
        </is>
      </c>
      <c r="F76" t="inlineStr">
        <is>
          <t>Rep_12</t>
        </is>
      </c>
      <c r="G76" t="n">
        <v>3.25</v>
      </c>
      <c r="H76" t="inlineStr">
        <is>
          <t>Demo Completed</t>
        </is>
      </c>
      <c r="I76" t="inlineStr">
        <is>
          <t>Lost</t>
        </is>
      </c>
      <c r="J76" t="inlineStr">
        <is>
          <t>Went With Competitor</t>
        </is>
      </c>
      <c r="K76" t="n">
        <v>1164.37</v>
      </c>
      <c r="L76" t="inlineStr">
        <is>
          <t>2025-06-04 05:01:54.067642</t>
        </is>
      </c>
      <c r="M76">
        <f>VLOOKUP(H76,'Stage Order'!$A$2:$B$8,2,FALSE)</f>
        <v/>
      </c>
      <c r="N76">
        <f>IF(G76&lt;=1,"1. Under 1 hour",IF(G76&lt;=24,"2. 1-24 hours",IF(G76&lt;=72,"3. 1-3 days","4. Over 3 days")))</f>
        <v/>
      </c>
      <c r="O76">
        <f>TEXT(B76,"YYYY-MM")</f>
        <v/>
      </c>
    </row>
    <row r="77">
      <c r="A77" t="inlineStr">
        <is>
          <t>LD-300075</t>
        </is>
      </c>
      <c r="B77" t="inlineStr">
        <is>
          <t>2025-08-28 14:07:00</t>
        </is>
      </c>
      <c r="C77" t="inlineStr">
        <is>
          <t>Organic Search</t>
        </is>
      </c>
      <c r="D77" t="inlineStr">
        <is>
          <t>Study Abroad Prep</t>
        </is>
      </c>
      <c r="E77" t="inlineStr">
        <is>
          <t>West Region</t>
        </is>
      </c>
      <c r="F77" t="inlineStr">
        <is>
          <t>Rep_03</t>
        </is>
      </c>
      <c r="G77" t="n">
        <v>5.77</v>
      </c>
      <c r="H77" t="inlineStr">
        <is>
          <t>Contacted</t>
        </is>
      </c>
      <c r="I77" t="inlineStr">
        <is>
          <t>Open</t>
        </is>
      </c>
      <c r="M77">
        <f>VLOOKUP(H77,'Stage Order'!$A$2:$B$8,2,FALSE)</f>
        <v/>
      </c>
      <c r="N77">
        <f>IF(G77&lt;=1,"1. Under 1 hour",IF(G77&lt;=24,"2. 1-24 hours",IF(G77&lt;=72,"3. 1-3 days","4. Over 3 days")))</f>
        <v/>
      </c>
      <c r="O77">
        <f>TEXT(B77,"YYYY-MM")</f>
        <v/>
      </c>
    </row>
    <row r="78">
      <c r="A78" t="inlineStr">
        <is>
          <t>LD-300076</t>
        </is>
      </c>
      <c r="B78" t="inlineStr">
        <is>
          <t>2026-05-18 20:21:00</t>
        </is>
      </c>
      <c r="C78" t="inlineStr">
        <is>
          <t>Organic Search</t>
        </is>
      </c>
      <c r="D78" t="inlineStr">
        <is>
          <t>K-12 Math</t>
        </is>
      </c>
      <c r="E78" t="inlineStr">
        <is>
          <t>South Region</t>
        </is>
      </c>
      <c r="F78" t="inlineStr">
        <is>
          <t>Rep_12</t>
        </is>
      </c>
      <c r="G78" t="n">
        <v>8.49</v>
      </c>
      <c r="H78" t="inlineStr">
        <is>
          <t>Contacted</t>
        </is>
      </c>
      <c r="I78" t="inlineStr">
        <is>
          <t>Open</t>
        </is>
      </c>
      <c r="M78">
        <f>VLOOKUP(H78,'Stage Order'!$A$2:$B$8,2,FALSE)</f>
        <v/>
      </c>
      <c r="N78">
        <f>IF(G78&lt;=1,"1. Under 1 hour",IF(G78&lt;=24,"2. 1-24 hours",IF(G78&lt;=72,"3. 1-3 days","4. Over 3 days")))</f>
        <v/>
      </c>
      <c r="O78">
        <f>TEXT(B78,"YYYY-MM")</f>
        <v/>
      </c>
    </row>
    <row r="79">
      <c r="A79" t="inlineStr">
        <is>
          <t>LD-300077</t>
        </is>
      </c>
      <c r="B79" t="inlineStr">
        <is>
          <t>2025-03-06 09:24:00</t>
        </is>
      </c>
      <c r="C79" t="inlineStr">
        <is>
          <t>Organic Search</t>
        </is>
      </c>
      <c r="D79" t="inlineStr">
        <is>
          <t>Coding for Kids</t>
        </is>
      </c>
      <c r="E79" t="inlineStr">
        <is>
          <t>North Region</t>
        </is>
      </c>
      <c r="F79" t="inlineStr">
        <is>
          <t>Rep_11</t>
        </is>
      </c>
      <c r="G79" t="n">
        <v>6.65</v>
      </c>
      <c r="H79" t="inlineStr">
        <is>
          <t>Lead</t>
        </is>
      </c>
      <c r="I79" t="inlineStr">
        <is>
          <t>Open</t>
        </is>
      </c>
      <c r="M79">
        <f>VLOOKUP(H79,'Stage Order'!$A$2:$B$8,2,FALSE)</f>
        <v/>
      </c>
      <c r="N79">
        <f>IF(G79&lt;=1,"1. Under 1 hour",IF(G79&lt;=24,"2. 1-24 hours",IF(G79&lt;=72,"3. 1-3 days","4. Over 3 days")))</f>
        <v/>
      </c>
      <c r="O79">
        <f>TEXT(B79,"YYYY-MM")</f>
        <v/>
      </c>
    </row>
    <row r="80">
      <c r="A80" t="inlineStr">
        <is>
          <t>LD-300078</t>
        </is>
      </c>
      <c r="B80" t="inlineStr">
        <is>
          <t>2025-08-06 14:15:00</t>
        </is>
      </c>
      <c r="C80" t="inlineStr">
        <is>
          <t>Social Media</t>
        </is>
      </c>
      <c r="D80" t="inlineStr">
        <is>
          <t>Coding for Kids</t>
        </is>
      </c>
      <c r="E80" t="inlineStr">
        <is>
          <t>North Region</t>
        </is>
      </c>
      <c r="F80" t="inlineStr">
        <is>
          <t>Rep_01</t>
        </is>
      </c>
      <c r="G80" t="n">
        <v>2.92</v>
      </c>
      <c r="H80" t="inlineStr">
        <is>
          <t>Contacted</t>
        </is>
      </c>
      <c r="I80" t="inlineStr">
        <is>
          <t>Open</t>
        </is>
      </c>
      <c r="M80">
        <f>VLOOKUP(H80,'Stage Order'!$A$2:$B$8,2,FALSE)</f>
        <v/>
      </c>
      <c r="N80">
        <f>IF(G80&lt;=1,"1. Under 1 hour",IF(G80&lt;=24,"2. 1-24 hours",IF(G80&lt;=72,"3. 1-3 days","4. Over 3 days")))</f>
        <v/>
      </c>
      <c r="O80">
        <f>TEXT(B80,"YYYY-MM")</f>
        <v/>
      </c>
    </row>
    <row r="81">
      <c r="A81" t="inlineStr">
        <is>
          <t>LD-300079</t>
        </is>
      </c>
      <c r="B81" t="inlineStr">
        <is>
          <t>2026-04-26 14:59:00</t>
        </is>
      </c>
      <c r="C81" t="inlineStr">
        <is>
          <t>Organic Search</t>
        </is>
      </c>
      <c r="D81" t="inlineStr">
        <is>
          <t>Study Abroad Prep</t>
        </is>
      </c>
      <c r="E81" t="inlineStr">
        <is>
          <t>International</t>
        </is>
      </c>
      <c r="F81" t="inlineStr">
        <is>
          <t>Rep_05</t>
        </is>
      </c>
      <c r="G81" t="n">
        <v>9.220000000000001</v>
      </c>
      <c r="H81" t="inlineStr">
        <is>
          <t>Proposal Sent</t>
        </is>
      </c>
      <c r="I81" t="inlineStr">
        <is>
          <t>Lost</t>
        </is>
      </c>
      <c r="J81" t="inlineStr">
        <is>
          <t>Price Objection</t>
        </is>
      </c>
      <c r="K81" t="n">
        <v>1493.43</v>
      </c>
      <c r="L81" t="inlineStr">
        <is>
          <t>2026-06-19 09:03:14.537196</t>
        </is>
      </c>
      <c r="M81">
        <f>VLOOKUP(H81,'Stage Order'!$A$2:$B$8,2,FALSE)</f>
        <v/>
      </c>
      <c r="N81">
        <f>IF(G81&lt;=1,"1. Under 1 hour",IF(G81&lt;=24,"2. 1-24 hours",IF(G81&lt;=72,"3. 1-3 days","4. Over 3 days")))</f>
        <v/>
      </c>
      <c r="O81">
        <f>TEXT(B81,"YYYY-MM")</f>
        <v/>
      </c>
    </row>
    <row r="82">
      <c r="A82" t="inlineStr">
        <is>
          <t>LD-300080</t>
        </is>
      </c>
      <c r="B82" t="inlineStr">
        <is>
          <t>2025-09-26 12:56:00</t>
        </is>
      </c>
      <c r="C82" t="inlineStr">
        <is>
          <t>Paid Search</t>
        </is>
      </c>
      <c r="D82" t="inlineStr">
        <is>
          <t>Coding for Kids</t>
        </is>
      </c>
      <c r="E82" t="inlineStr">
        <is>
          <t>North Region</t>
        </is>
      </c>
      <c r="F82" t="inlineStr">
        <is>
          <t>Rep_06</t>
        </is>
      </c>
      <c r="G82" t="n">
        <v>5.8</v>
      </c>
      <c r="H82" t="inlineStr">
        <is>
          <t>Lead</t>
        </is>
      </c>
      <c r="I82" t="inlineStr">
        <is>
          <t>Open</t>
        </is>
      </c>
      <c r="M82">
        <f>VLOOKUP(H82,'Stage Order'!$A$2:$B$8,2,FALSE)</f>
        <v/>
      </c>
      <c r="N82">
        <f>IF(G82&lt;=1,"1. Under 1 hour",IF(G82&lt;=24,"2. 1-24 hours",IF(G82&lt;=72,"3. 1-3 days","4. Over 3 days")))</f>
        <v/>
      </c>
      <c r="O82">
        <f>TEXT(B82,"YYYY-MM")</f>
        <v/>
      </c>
    </row>
    <row r="83">
      <c r="A83" t="inlineStr">
        <is>
          <t>LD-300081</t>
        </is>
      </c>
      <c r="B83" t="inlineStr">
        <is>
          <t>2025-08-27 20:08:00</t>
        </is>
      </c>
      <c r="C83" t="inlineStr">
        <is>
          <t>Webinar</t>
        </is>
      </c>
      <c r="D83" t="inlineStr">
        <is>
          <t>K-12 Math</t>
        </is>
      </c>
      <c r="E83" t="inlineStr">
        <is>
          <t>International</t>
        </is>
      </c>
      <c r="F83" t="inlineStr">
        <is>
          <t>Rep_15</t>
        </is>
      </c>
      <c r="G83" t="n">
        <v>1.32</v>
      </c>
      <c r="H83" t="inlineStr">
        <is>
          <t>Contacted</t>
        </is>
      </c>
      <c r="I83" t="inlineStr">
        <is>
          <t>Open</t>
        </is>
      </c>
      <c r="M83">
        <f>VLOOKUP(H83,'Stage Order'!$A$2:$B$8,2,FALSE)</f>
        <v/>
      </c>
      <c r="N83">
        <f>IF(G83&lt;=1,"1. Under 1 hour",IF(G83&lt;=24,"2. 1-24 hours",IF(G83&lt;=72,"3. 1-3 days","4. Over 3 days")))</f>
        <v/>
      </c>
      <c r="O83">
        <f>TEXT(B83,"YYYY-MM")</f>
        <v/>
      </c>
    </row>
    <row r="84">
      <c r="A84" t="inlineStr">
        <is>
          <t>LD-300082</t>
        </is>
      </c>
      <c r="B84" t="inlineStr">
        <is>
          <t>2025-07-24 14:36:00</t>
        </is>
      </c>
      <c r="C84" t="inlineStr">
        <is>
          <t>Social Media</t>
        </is>
      </c>
      <c r="D84" t="inlineStr">
        <is>
          <t>Competitive Exam Prep</t>
        </is>
      </c>
      <c r="E84" t="inlineStr">
        <is>
          <t>North Region</t>
        </is>
      </c>
      <c r="F84" t="inlineStr">
        <is>
          <t>Rep_01</t>
        </is>
      </c>
      <c r="G84" t="n">
        <v>2.76</v>
      </c>
      <c r="H84" t="inlineStr">
        <is>
          <t>Lead</t>
        </is>
      </c>
      <c r="I84" t="inlineStr">
        <is>
          <t>Open</t>
        </is>
      </c>
      <c r="M84">
        <f>VLOOKUP(H84,'Stage Order'!$A$2:$B$8,2,FALSE)</f>
        <v/>
      </c>
      <c r="N84">
        <f>IF(G84&lt;=1,"1. Under 1 hour",IF(G84&lt;=24,"2. 1-24 hours",IF(G84&lt;=72,"3. 1-3 days","4. Over 3 days")))</f>
        <v/>
      </c>
      <c r="O84">
        <f>TEXT(B84,"YYYY-MM")</f>
        <v/>
      </c>
    </row>
    <row r="85">
      <c r="A85" t="inlineStr">
        <is>
          <t>LD-300083</t>
        </is>
      </c>
      <c r="B85" t="inlineStr">
        <is>
          <t>2026-05-08 19:43:00</t>
        </is>
      </c>
      <c r="C85" t="inlineStr">
        <is>
          <t>Organic Search</t>
        </is>
      </c>
      <c r="D85" t="inlineStr">
        <is>
          <t>K-12 Math</t>
        </is>
      </c>
      <c r="E85" t="inlineStr">
        <is>
          <t>North Region</t>
        </is>
      </c>
      <c r="F85" t="inlineStr">
        <is>
          <t>Rep_01</t>
        </is>
      </c>
      <c r="G85" t="n">
        <v>1.34</v>
      </c>
      <c r="H85" t="inlineStr">
        <is>
          <t>Proposal Sent</t>
        </is>
      </c>
      <c r="I85" t="inlineStr">
        <is>
          <t>Lost</t>
        </is>
      </c>
      <c r="J85" t="inlineStr">
        <is>
          <t>Price Objection</t>
        </is>
      </c>
      <c r="K85" t="n">
        <v>467.4</v>
      </c>
      <c r="L85" t="inlineStr">
        <is>
          <t>2026-06-12 00:03:20.076902</t>
        </is>
      </c>
      <c r="M85">
        <f>VLOOKUP(H85,'Stage Order'!$A$2:$B$8,2,FALSE)</f>
        <v/>
      </c>
      <c r="N85">
        <f>IF(G85&lt;=1,"1. Under 1 hour",IF(G85&lt;=24,"2. 1-24 hours",IF(G85&lt;=72,"3. 1-3 days","4. Over 3 days")))</f>
        <v/>
      </c>
      <c r="O85">
        <f>TEXT(B85,"YYYY-MM")</f>
        <v/>
      </c>
    </row>
    <row r="86">
      <c r="A86" t="inlineStr">
        <is>
          <t>LD-300084</t>
        </is>
      </c>
      <c r="B86" t="inlineStr">
        <is>
          <t>2025-12-04 19:27:00</t>
        </is>
      </c>
      <c r="C86" t="inlineStr">
        <is>
          <t>Social Media</t>
        </is>
      </c>
      <c r="D86" t="inlineStr">
        <is>
          <t>Language Learning</t>
        </is>
      </c>
      <c r="E86" t="inlineStr">
        <is>
          <t>West Region</t>
        </is>
      </c>
      <c r="F86" t="inlineStr">
        <is>
          <t>Rep_08</t>
        </is>
      </c>
      <c r="G86" t="n">
        <v>0.52</v>
      </c>
      <c r="H86" t="inlineStr">
        <is>
          <t>Closed</t>
        </is>
      </c>
      <c r="I86" t="inlineStr">
        <is>
          <t>Won</t>
        </is>
      </c>
      <c r="K86" t="n">
        <v>303.78</v>
      </c>
      <c r="L86" t="inlineStr">
        <is>
          <t>2026-01-05 05:54:32.836208</t>
        </is>
      </c>
      <c r="M86">
        <f>VLOOKUP(H86,'Stage Order'!$A$2:$B$8,2,FALSE)</f>
        <v/>
      </c>
      <c r="N86">
        <f>IF(G86&lt;=1,"1. Under 1 hour",IF(G86&lt;=24,"2. 1-24 hours",IF(G86&lt;=72,"3. 1-3 days","4. Over 3 days")))</f>
        <v/>
      </c>
      <c r="O86">
        <f>TEXT(B86,"YYYY-MM")</f>
        <v/>
      </c>
    </row>
    <row r="87">
      <c r="A87" t="inlineStr">
        <is>
          <t>LD-300085</t>
        </is>
      </c>
      <c r="B87" t="inlineStr">
        <is>
          <t>2026-03-18 18:31:00</t>
        </is>
      </c>
      <c r="C87" t="inlineStr">
        <is>
          <t>Social Media</t>
        </is>
      </c>
      <c r="D87" t="inlineStr">
        <is>
          <t>K-12 Math</t>
        </is>
      </c>
      <c r="E87" t="inlineStr">
        <is>
          <t>West Region</t>
        </is>
      </c>
      <c r="F87" t="inlineStr">
        <is>
          <t>Rep_13</t>
        </is>
      </c>
      <c r="G87" t="n">
        <v>2.82</v>
      </c>
      <c r="H87" t="inlineStr">
        <is>
          <t>Contacted</t>
        </is>
      </c>
      <c r="I87" t="inlineStr">
        <is>
          <t>Open</t>
        </is>
      </c>
      <c r="M87">
        <f>VLOOKUP(H87,'Stage Order'!$A$2:$B$8,2,FALSE)</f>
        <v/>
      </c>
      <c r="N87">
        <f>IF(G87&lt;=1,"1. Under 1 hour",IF(G87&lt;=24,"2. 1-24 hours",IF(G87&lt;=72,"3. 1-3 days","4. Over 3 days")))</f>
        <v/>
      </c>
      <c r="O87">
        <f>TEXT(B87,"YYYY-MM")</f>
        <v/>
      </c>
    </row>
    <row r="88">
      <c r="A88" t="inlineStr">
        <is>
          <t>LD-300086</t>
        </is>
      </c>
      <c r="B88" t="inlineStr">
        <is>
          <t>2026-03-20 14:44:00</t>
        </is>
      </c>
      <c r="C88" t="inlineStr">
        <is>
          <t>Social Media</t>
        </is>
      </c>
      <c r="D88" t="inlineStr">
        <is>
          <t>Language Learning</t>
        </is>
      </c>
      <c r="E88" t="inlineStr">
        <is>
          <t>West Region</t>
        </is>
      </c>
      <c r="F88" t="inlineStr">
        <is>
          <t>Rep_03</t>
        </is>
      </c>
      <c r="G88" t="n">
        <v>2.96</v>
      </c>
      <c r="H88" t="inlineStr">
        <is>
          <t>Lead</t>
        </is>
      </c>
      <c r="I88" t="inlineStr">
        <is>
          <t>Open</t>
        </is>
      </c>
      <c r="M88">
        <f>VLOOKUP(H88,'Stage Order'!$A$2:$B$8,2,FALSE)</f>
        <v/>
      </c>
      <c r="N88">
        <f>IF(G88&lt;=1,"1. Under 1 hour",IF(G88&lt;=24,"2. 1-24 hours",IF(G88&lt;=72,"3. 1-3 days","4. Over 3 days")))</f>
        <v/>
      </c>
      <c r="O88">
        <f>TEXT(B88,"YYYY-MM")</f>
        <v/>
      </c>
    </row>
    <row r="89">
      <c r="A89" t="inlineStr">
        <is>
          <t>LD-300087</t>
        </is>
      </c>
      <c r="B89" t="inlineStr">
        <is>
          <t>2025-10-09 17:46:00</t>
        </is>
      </c>
      <c r="C89" t="inlineStr">
        <is>
          <t>Paid Search</t>
        </is>
      </c>
      <c r="D89" t="inlineStr">
        <is>
          <t>Language Learning</t>
        </is>
      </c>
      <c r="E89" t="inlineStr">
        <is>
          <t>North Region</t>
        </is>
      </c>
      <c r="F89" t="inlineStr">
        <is>
          <t>Rep_06</t>
        </is>
      </c>
      <c r="G89" t="n">
        <v>2.58</v>
      </c>
      <c r="H89" t="inlineStr">
        <is>
          <t>Lead</t>
        </is>
      </c>
      <c r="I89" t="inlineStr">
        <is>
          <t>Open</t>
        </is>
      </c>
      <c r="M89">
        <f>VLOOKUP(H89,'Stage Order'!$A$2:$B$8,2,FALSE)</f>
        <v/>
      </c>
      <c r="N89">
        <f>IF(G89&lt;=1,"1. Under 1 hour",IF(G89&lt;=24,"2. 1-24 hours",IF(G89&lt;=72,"3. 1-3 days","4. Over 3 days")))</f>
        <v/>
      </c>
      <c r="O89">
        <f>TEXT(B89,"YYYY-MM")</f>
        <v/>
      </c>
    </row>
    <row r="90">
      <c r="A90" t="inlineStr">
        <is>
          <t>LD-300088</t>
        </is>
      </c>
      <c r="B90" t="inlineStr">
        <is>
          <t>2026-06-26 14:23:00</t>
        </is>
      </c>
      <c r="C90" t="inlineStr">
        <is>
          <t>Social Media</t>
        </is>
      </c>
      <c r="D90" t="inlineStr">
        <is>
          <t>Competitive Exam Prep</t>
        </is>
      </c>
      <c r="E90" t="inlineStr">
        <is>
          <t>South Region</t>
        </is>
      </c>
      <c r="F90" t="inlineStr">
        <is>
          <t>Rep_12</t>
        </is>
      </c>
      <c r="G90" t="n">
        <v>2.02</v>
      </c>
      <c r="H90" t="inlineStr">
        <is>
          <t>Contacted</t>
        </is>
      </c>
      <c r="I90" t="inlineStr">
        <is>
          <t>Open</t>
        </is>
      </c>
      <c r="M90">
        <f>VLOOKUP(H90,'Stage Order'!$A$2:$B$8,2,FALSE)</f>
        <v/>
      </c>
      <c r="N90">
        <f>IF(G90&lt;=1,"1. Under 1 hour",IF(G90&lt;=24,"2. 1-24 hours",IF(G90&lt;=72,"3. 1-3 days","4. Over 3 days")))</f>
        <v/>
      </c>
      <c r="O90">
        <f>TEXT(B90,"YYYY-MM")</f>
        <v/>
      </c>
    </row>
    <row r="91">
      <c r="A91" t="inlineStr">
        <is>
          <t>LD-300089</t>
        </is>
      </c>
      <c r="B91" t="inlineStr">
        <is>
          <t>2025-12-04 20:54:00</t>
        </is>
      </c>
      <c r="C91" t="inlineStr">
        <is>
          <t>Organic Search</t>
        </is>
      </c>
      <c r="D91" t="inlineStr">
        <is>
          <t>Study Abroad Prep</t>
        </is>
      </c>
      <c r="E91" t="inlineStr">
        <is>
          <t>West Region</t>
        </is>
      </c>
      <c r="F91" t="inlineStr">
        <is>
          <t>Rep_13</t>
        </is>
      </c>
      <c r="G91" t="n">
        <v>1.59</v>
      </c>
      <c r="H91" t="inlineStr">
        <is>
          <t>Contacted</t>
        </is>
      </c>
      <c r="I91" t="inlineStr">
        <is>
          <t>Open</t>
        </is>
      </c>
      <c r="M91">
        <f>VLOOKUP(H91,'Stage Order'!$A$2:$B$8,2,FALSE)</f>
        <v/>
      </c>
      <c r="N91">
        <f>IF(G91&lt;=1,"1. Under 1 hour",IF(G91&lt;=24,"2. 1-24 hours",IF(G91&lt;=72,"3. 1-3 days","4. Over 3 days")))</f>
        <v/>
      </c>
      <c r="O91">
        <f>TEXT(B91,"YYYY-MM")</f>
        <v/>
      </c>
    </row>
    <row r="92">
      <c r="A92" t="inlineStr">
        <is>
          <t>LD-300090</t>
        </is>
      </c>
      <c r="B92" t="inlineStr">
        <is>
          <t>2026-02-23 09:31:00</t>
        </is>
      </c>
      <c r="C92" t="inlineStr">
        <is>
          <t>Paid Search</t>
        </is>
      </c>
      <c r="D92" t="inlineStr">
        <is>
          <t>Coding for Kids</t>
        </is>
      </c>
      <c r="E92" t="inlineStr">
        <is>
          <t>East Region</t>
        </is>
      </c>
      <c r="F92" t="inlineStr">
        <is>
          <t>Rep_09</t>
        </is>
      </c>
      <c r="G92" t="n">
        <v>8.890000000000001</v>
      </c>
      <c r="H92" t="inlineStr">
        <is>
          <t>Demo Scheduled</t>
        </is>
      </c>
      <c r="I92" t="inlineStr">
        <is>
          <t>Open</t>
        </is>
      </c>
      <c r="M92">
        <f>VLOOKUP(H92,'Stage Order'!$A$2:$B$8,2,FALSE)</f>
        <v/>
      </c>
      <c r="N92">
        <f>IF(G92&lt;=1,"1. Under 1 hour",IF(G92&lt;=24,"2. 1-24 hours",IF(G92&lt;=72,"3. 1-3 days","4. Over 3 days")))</f>
        <v/>
      </c>
      <c r="O92">
        <f>TEXT(B92,"YYYY-MM")</f>
        <v/>
      </c>
    </row>
    <row r="93">
      <c r="A93" t="inlineStr">
        <is>
          <t>LD-300091</t>
        </is>
      </c>
      <c r="B93" t="inlineStr">
        <is>
          <t>2025-08-07 08:26:00</t>
        </is>
      </c>
      <c r="C93" t="inlineStr">
        <is>
          <t>Referral</t>
        </is>
      </c>
      <c r="D93" t="inlineStr">
        <is>
          <t>Competitive Exam Prep</t>
        </is>
      </c>
      <c r="E93" t="inlineStr">
        <is>
          <t>East Region</t>
        </is>
      </c>
      <c r="F93" t="inlineStr">
        <is>
          <t>Rep_14</t>
        </is>
      </c>
      <c r="G93" t="n">
        <v>4.16</v>
      </c>
      <c r="H93" t="inlineStr">
        <is>
          <t>Negotiation</t>
        </is>
      </c>
      <c r="I93" t="inlineStr">
        <is>
          <t>Lost</t>
        </is>
      </c>
      <c r="J93" t="inlineStr">
        <is>
          <t>Price Objection</t>
        </is>
      </c>
      <c r="K93" t="n">
        <v>1181.29</v>
      </c>
      <c r="L93" t="inlineStr">
        <is>
          <t>2025-09-16 10:00:49.420102</t>
        </is>
      </c>
      <c r="M93">
        <f>VLOOKUP(H93,'Stage Order'!$A$2:$B$8,2,FALSE)</f>
        <v/>
      </c>
      <c r="N93">
        <f>IF(G93&lt;=1,"1. Under 1 hour",IF(G93&lt;=24,"2. 1-24 hours",IF(G93&lt;=72,"3. 1-3 days","4. Over 3 days")))</f>
        <v/>
      </c>
      <c r="O93">
        <f>TEXT(B93,"YYYY-MM")</f>
        <v/>
      </c>
    </row>
    <row r="94">
      <c r="A94" t="inlineStr">
        <is>
          <t>LD-300092</t>
        </is>
      </c>
      <c r="B94" t="inlineStr">
        <is>
          <t>2025-01-17 13:02:00</t>
        </is>
      </c>
      <c r="C94" t="inlineStr">
        <is>
          <t>Cold Outreach</t>
        </is>
      </c>
      <c r="D94" t="inlineStr">
        <is>
          <t>Coding for Kids</t>
        </is>
      </c>
      <c r="E94" t="inlineStr">
        <is>
          <t>East Region</t>
        </is>
      </c>
      <c r="F94" t="inlineStr">
        <is>
          <t>Rep_14</t>
        </is>
      </c>
      <c r="G94" t="n">
        <v>2.7</v>
      </c>
      <c r="H94" t="inlineStr">
        <is>
          <t>Lead</t>
        </is>
      </c>
      <c r="I94" t="inlineStr">
        <is>
          <t>Open</t>
        </is>
      </c>
      <c r="M94">
        <f>VLOOKUP(H94,'Stage Order'!$A$2:$B$8,2,FALSE)</f>
        <v/>
      </c>
      <c r="N94">
        <f>IF(G94&lt;=1,"1. Under 1 hour",IF(G94&lt;=24,"2. 1-24 hours",IF(G94&lt;=72,"3. 1-3 days","4. Over 3 days")))</f>
        <v/>
      </c>
      <c r="O94">
        <f>TEXT(B94,"YYYY-MM")</f>
        <v/>
      </c>
    </row>
    <row r="95">
      <c r="A95" t="inlineStr">
        <is>
          <t>LD-300093</t>
        </is>
      </c>
      <c r="B95" t="inlineStr">
        <is>
          <t>2025-09-05 07:05:00</t>
        </is>
      </c>
      <c r="C95" t="inlineStr">
        <is>
          <t>Organic Search</t>
        </is>
      </c>
      <c r="D95" t="inlineStr">
        <is>
          <t>K-12 Math</t>
        </is>
      </c>
      <c r="E95" t="inlineStr">
        <is>
          <t>South Region</t>
        </is>
      </c>
      <c r="F95" t="inlineStr">
        <is>
          <t>Rep_12</t>
        </is>
      </c>
      <c r="G95" t="n">
        <v>0.99</v>
      </c>
      <c r="H95" t="inlineStr">
        <is>
          <t>Closed</t>
        </is>
      </c>
      <c r="I95" t="inlineStr">
        <is>
          <t>Won</t>
        </is>
      </c>
      <c r="K95" t="n">
        <v>496.76</v>
      </c>
      <c r="L95" t="inlineStr">
        <is>
          <t>2025-10-16 12:05:33.132715</t>
        </is>
      </c>
      <c r="M95">
        <f>VLOOKUP(H95,'Stage Order'!$A$2:$B$8,2,FALSE)</f>
        <v/>
      </c>
      <c r="N95">
        <f>IF(G95&lt;=1,"1. Under 1 hour",IF(G95&lt;=24,"2. 1-24 hours",IF(G95&lt;=72,"3. 1-3 days","4. Over 3 days")))</f>
        <v/>
      </c>
      <c r="O95">
        <f>TEXT(B95,"YYYY-MM")</f>
        <v/>
      </c>
    </row>
    <row r="96">
      <c r="A96" t="inlineStr">
        <is>
          <t>LD-300094</t>
        </is>
      </c>
      <c r="B96" t="inlineStr">
        <is>
          <t>2025-08-14 19:49:00</t>
        </is>
      </c>
      <c r="C96" t="inlineStr">
        <is>
          <t>Organic Search</t>
        </is>
      </c>
      <c r="D96" t="inlineStr">
        <is>
          <t>Competitive Exam Prep</t>
        </is>
      </c>
      <c r="E96" t="inlineStr">
        <is>
          <t>South Region</t>
        </is>
      </c>
      <c r="F96" t="inlineStr">
        <is>
          <t>Rep_07</t>
        </is>
      </c>
      <c r="G96" t="n">
        <v>1.57</v>
      </c>
      <c r="H96" t="inlineStr">
        <is>
          <t>Proposal Sent</t>
        </is>
      </c>
      <c r="I96" t="inlineStr">
        <is>
          <t>Lost</t>
        </is>
      </c>
      <c r="J96" t="inlineStr">
        <is>
          <t>Bad Timing</t>
        </is>
      </c>
      <c r="K96" t="n">
        <v>914.85</v>
      </c>
      <c r="L96" t="inlineStr">
        <is>
          <t>2025-10-07 02:50:04.365043</t>
        </is>
      </c>
      <c r="M96">
        <f>VLOOKUP(H96,'Stage Order'!$A$2:$B$8,2,FALSE)</f>
        <v/>
      </c>
      <c r="N96">
        <f>IF(G96&lt;=1,"1. Under 1 hour",IF(G96&lt;=24,"2. 1-24 hours",IF(G96&lt;=72,"3. 1-3 days","4. Over 3 days")))</f>
        <v/>
      </c>
      <c r="O96">
        <f>TEXT(B96,"YYYY-MM")</f>
        <v/>
      </c>
    </row>
    <row r="97">
      <c r="A97" t="inlineStr">
        <is>
          <t>LD-300095</t>
        </is>
      </c>
      <c r="B97" t="inlineStr">
        <is>
          <t>2025-02-04 08:16:00</t>
        </is>
      </c>
      <c r="C97" t="inlineStr">
        <is>
          <t>Paid Search</t>
        </is>
      </c>
      <c r="D97" t="inlineStr">
        <is>
          <t>Language Learning</t>
        </is>
      </c>
      <c r="E97" t="inlineStr">
        <is>
          <t>West Region</t>
        </is>
      </c>
      <c r="F97" t="inlineStr">
        <is>
          <t>Rep_13</t>
        </is>
      </c>
      <c r="G97" t="n">
        <v>3.37</v>
      </c>
      <c r="H97" t="inlineStr">
        <is>
          <t>Demo Scheduled</t>
        </is>
      </c>
      <c r="I97" t="inlineStr">
        <is>
          <t>Open</t>
        </is>
      </c>
      <c r="M97">
        <f>VLOOKUP(H97,'Stage Order'!$A$2:$B$8,2,FALSE)</f>
        <v/>
      </c>
      <c r="N97">
        <f>IF(G97&lt;=1,"1. Under 1 hour",IF(G97&lt;=24,"2. 1-24 hours",IF(G97&lt;=72,"3. 1-3 days","4. Over 3 days")))</f>
        <v/>
      </c>
      <c r="O97">
        <f>TEXT(B97,"YYYY-MM")</f>
        <v/>
      </c>
    </row>
    <row r="98">
      <c r="A98" t="inlineStr">
        <is>
          <t>LD-300096</t>
        </is>
      </c>
      <c r="B98" t="inlineStr">
        <is>
          <t>2025-06-05 11:09:00</t>
        </is>
      </c>
      <c r="C98" t="inlineStr">
        <is>
          <t>Cold Outreach</t>
        </is>
      </c>
      <c r="D98" t="inlineStr">
        <is>
          <t>Competitive Exam Prep</t>
        </is>
      </c>
      <c r="E98" t="inlineStr">
        <is>
          <t>North Region</t>
        </is>
      </c>
      <c r="F98" t="inlineStr">
        <is>
          <t>Rep_01</t>
        </is>
      </c>
      <c r="G98" t="n">
        <v>0.79</v>
      </c>
      <c r="H98" t="inlineStr">
        <is>
          <t>Contacted</t>
        </is>
      </c>
      <c r="I98" t="inlineStr">
        <is>
          <t>Open</t>
        </is>
      </c>
      <c r="M98">
        <f>VLOOKUP(H98,'Stage Order'!$A$2:$B$8,2,FALSE)</f>
        <v/>
      </c>
      <c r="N98">
        <f>IF(G98&lt;=1,"1. Under 1 hour",IF(G98&lt;=24,"2. 1-24 hours",IF(G98&lt;=72,"3. 1-3 days","4. Over 3 days")))</f>
        <v/>
      </c>
      <c r="O98">
        <f>TEXT(B98,"YYYY-MM")</f>
        <v/>
      </c>
    </row>
    <row r="99">
      <c r="A99" t="inlineStr">
        <is>
          <t>LD-300097</t>
        </is>
      </c>
      <c r="B99" t="inlineStr">
        <is>
          <t>2025-11-26 19:33:00</t>
        </is>
      </c>
      <c r="C99" t="inlineStr">
        <is>
          <t>Organic Search</t>
        </is>
      </c>
      <c r="D99" t="inlineStr">
        <is>
          <t>Competitive Exam Prep</t>
        </is>
      </c>
      <c r="E99" t="inlineStr">
        <is>
          <t>South Region</t>
        </is>
      </c>
      <c r="F99" t="inlineStr">
        <is>
          <t>Rep_12</t>
        </is>
      </c>
      <c r="G99" t="n">
        <v>1.27</v>
      </c>
      <c r="H99" t="inlineStr">
        <is>
          <t>Contacted</t>
        </is>
      </c>
      <c r="I99" t="inlineStr">
        <is>
          <t>Open</t>
        </is>
      </c>
      <c r="M99">
        <f>VLOOKUP(H99,'Stage Order'!$A$2:$B$8,2,FALSE)</f>
        <v/>
      </c>
      <c r="N99">
        <f>IF(G99&lt;=1,"1. Under 1 hour",IF(G99&lt;=24,"2. 1-24 hours",IF(G99&lt;=72,"3. 1-3 days","4. Over 3 days")))</f>
        <v/>
      </c>
      <c r="O99">
        <f>TEXT(B99,"YYYY-MM")</f>
        <v/>
      </c>
    </row>
    <row r="100">
      <c r="A100" t="inlineStr">
        <is>
          <t>LD-300098</t>
        </is>
      </c>
      <c r="B100" t="inlineStr">
        <is>
          <t>2025-04-03 12:49:00</t>
        </is>
      </c>
      <c r="C100" t="inlineStr">
        <is>
          <t>Social Media</t>
        </is>
      </c>
      <c r="D100" t="inlineStr">
        <is>
          <t>Competitive Exam Prep</t>
        </is>
      </c>
      <c r="E100" t="inlineStr">
        <is>
          <t>International</t>
        </is>
      </c>
      <c r="F100" t="inlineStr">
        <is>
          <t>Rep_05</t>
        </is>
      </c>
      <c r="G100" t="n">
        <v>0.61</v>
      </c>
      <c r="H100" t="inlineStr">
        <is>
          <t>Contacted</t>
        </is>
      </c>
      <c r="I100" t="inlineStr">
        <is>
          <t>Open</t>
        </is>
      </c>
      <c r="M100">
        <f>VLOOKUP(H100,'Stage Order'!$A$2:$B$8,2,FALSE)</f>
        <v/>
      </c>
      <c r="N100">
        <f>IF(G100&lt;=1,"1. Under 1 hour",IF(G100&lt;=24,"2. 1-24 hours",IF(G100&lt;=72,"3. 1-3 days","4. Over 3 days")))</f>
        <v/>
      </c>
      <c r="O100">
        <f>TEXT(B100,"YYYY-MM")</f>
        <v/>
      </c>
    </row>
    <row r="101">
      <c r="A101" t="inlineStr">
        <is>
          <t>LD-300099</t>
        </is>
      </c>
      <c r="B101" t="inlineStr">
        <is>
          <t>2025-01-19 11:49:00</t>
        </is>
      </c>
      <c r="C101" t="inlineStr">
        <is>
          <t>Partner Channel</t>
        </is>
      </c>
      <c r="D101" t="inlineStr">
        <is>
          <t>K-12 Math</t>
        </is>
      </c>
      <c r="E101" t="inlineStr">
        <is>
          <t>North Region</t>
        </is>
      </c>
      <c r="F101" t="inlineStr">
        <is>
          <t>Rep_11</t>
        </is>
      </c>
      <c r="G101" t="n">
        <v>2.67</v>
      </c>
      <c r="H101" t="inlineStr">
        <is>
          <t>Closed</t>
        </is>
      </c>
      <c r="I101" t="inlineStr">
        <is>
          <t>Won</t>
        </is>
      </c>
      <c r="K101" t="n">
        <v>434.29</v>
      </c>
      <c r="L101" t="inlineStr">
        <is>
          <t>2025-03-14 19:33:26.178526</t>
        </is>
      </c>
      <c r="M101">
        <f>VLOOKUP(H101,'Stage Order'!$A$2:$B$8,2,FALSE)</f>
        <v/>
      </c>
      <c r="N101">
        <f>IF(G101&lt;=1,"1. Under 1 hour",IF(G101&lt;=24,"2. 1-24 hours",IF(G101&lt;=72,"3. 1-3 days","4. Over 3 days")))</f>
        <v/>
      </c>
      <c r="O101">
        <f>TEXT(B101,"YYYY-MM")</f>
        <v/>
      </c>
    </row>
    <row r="102">
      <c r="A102" t="inlineStr">
        <is>
          <t>LD-300100</t>
        </is>
      </c>
      <c r="B102" t="inlineStr">
        <is>
          <t>2026-01-06 12:47:00</t>
        </is>
      </c>
      <c r="C102" t="inlineStr">
        <is>
          <t>Social Media</t>
        </is>
      </c>
      <c r="D102" t="inlineStr">
        <is>
          <t>Coding for Kids</t>
        </is>
      </c>
      <c r="E102" t="inlineStr">
        <is>
          <t>International</t>
        </is>
      </c>
      <c r="F102" t="inlineStr">
        <is>
          <t>Rep_15</t>
        </is>
      </c>
      <c r="G102" t="n">
        <v>2.16</v>
      </c>
      <c r="H102" t="inlineStr">
        <is>
          <t>Lead</t>
        </is>
      </c>
      <c r="I102" t="inlineStr">
        <is>
          <t>Open</t>
        </is>
      </c>
      <c r="M102">
        <f>VLOOKUP(H102,'Stage Order'!$A$2:$B$8,2,FALSE)</f>
        <v/>
      </c>
      <c r="N102">
        <f>IF(G102&lt;=1,"1. Under 1 hour",IF(G102&lt;=24,"2. 1-24 hours",IF(G102&lt;=72,"3. 1-3 days","4. Over 3 days")))</f>
        <v/>
      </c>
      <c r="O102">
        <f>TEXT(B102,"YYYY-MM")</f>
        <v/>
      </c>
    </row>
    <row r="103">
      <c r="A103" t="inlineStr">
        <is>
          <t>LD-300101</t>
        </is>
      </c>
      <c r="B103" t="inlineStr">
        <is>
          <t>2026-03-06 19:14:00</t>
        </is>
      </c>
      <c r="C103" t="inlineStr">
        <is>
          <t>Organic Search</t>
        </is>
      </c>
      <c r="D103" t="inlineStr">
        <is>
          <t>Study Abroad Prep</t>
        </is>
      </c>
      <c r="E103" t="inlineStr">
        <is>
          <t>North Region</t>
        </is>
      </c>
      <c r="F103" t="inlineStr">
        <is>
          <t>Rep_06</t>
        </is>
      </c>
      <c r="G103" t="n">
        <v>3.05</v>
      </c>
      <c r="H103" t="inlineStr">
        <is>
          <t>Lead</t>
        </is>
      </c>
      <c r="I103" t="inlineStr">
        <is>
          <t>Open</t>
        </is>
      </c>
      <c r="M103">
        <f>VLOOKUP(H103,'Stage Order'!$A$2:$B$8,2,FALSE)</f>
        <v/>
      </c>
      <c r="N103">
        <f>IF(G103&lt;=1,"1. Under 1 hour",IF(G103&lt;=24,"2. 1-24 hours",IF(G103&lt;=72,"3. 1-3 days","4. Over 3 days")))</f>
        <v/>
      </c>
      <c r="O103">
        <f>TEXT(B103,"YYYY-MM")</f>
        <v/>
      </c>
    </row>
    <row r="104">
      <c r="A104" t="inlineStr">
        <is>
          <t>LD-300102</t>
        </is>
      </c>
      <c r="B104" t="inlineStr">
        <is>
          <t>2025-01-10 15:21:00</t>
        </is>
      </c>
      <c r="C104" t="inlineStr">
        <is>
          <t>Webinar</t>
        </is>
      </c>
      <c r="D104" t="inlineStr">
        <is>
          <t>K-12 Math</t>
        </is>
      </c>
      <c r="E104" t="inlineStr">
        <is>
          <t>North Region</t>
        </is>
      </c>
      <c r="F104" t="inlineStr">
        <is>
          <t>Rep_11</t>
        </is>
      </c>
      <c r="G104" t="n">
        <v>13.92</v>
      </c>
      <c r="H104" t="inlineStr">
        <is>
          <t>Contacted</t>
        </is>
      </c>
      <c r="I104" t="inlineStr">
        <is>
          <t>Open</t>
        </is>
      </c>
      <c r="M104">
        <f>VLOOKUP(H104,'Stage Order'!$A$2:$B$8,2,FALSE)</f>
        <v/>
      </c>
      <c r="N104">
        <f>IF(G104&lt;=1,"1. Under 1 hour",IF(G104&lt;=24,"2. 1-24 hours",IF(G104&lt;=72,"3. 1-3 days","4. Over 3 days")))</f>
        <v/>
      </c>
      <c r="O104">
        <f>TEXT(B104,"YYYY-MM")</f>
        <v/>
      </c>
    </row>
    <row r="105">
      <c r="A105" t="inlineStr">
        <is>
          <t>LD-300103</t>
        </is>
      </c>
      <c r="B105" t="inlineStr">
        <is>
          <t>2026-03-27 15:41:00</t>
        </is>
      </c>
      <c r="C105" t="inlineStr">
        <is>
          <t>Cold Outreach</t>
        </is>
      </c>
      <c r="D105" t="inlineStr">
        <is>
          <t>K-12 Math</t>
        </is>
      </c>
      <c r="E105" t="inlineStr">
        <is>
          <t>West Region</t>
        </is>
      </c>
      <c r="F105" t="inlineStr">
        <is>
          <t>Rep_03</t>
        </is>
      </c>
      <c r="G105" t="n">
        <v>9.57</v>
      </c>
      <c r="H105" t="inlineStr">
        <is>
          <t>Lead</t>
        </is>
      </c>
      <c r="I105" t="inlineStr">
        <is>
          <t>Open</t>
        </is>
      </c>
      <c r="M105">
        <f>VLOOKUP(H105,'Stage Order'!$A$2:$B$8,2,FALSE)</f>
        <v/>
      </c>
      <c r="N105">
        <f>IF(G105&lt;=1,"1. Under 1 hour",IF(G105&lt;=24,"2. 1-24 hours",IF(G105&lt;=72,"3. 1-3 days","4. Over 3 days")))</f>
        <v/>
      </c>
      <c r="O105">
        <f>TEXT(B105,"YYYY-MM")</f>
        <v/>
      </c>
    </row>
    <row r="106">
      <c r="A106" t="inlineStr">
        <is>
          <t>LD-300104</t>
        </is>
      </c>
      <c r="B106" t="inlineStr">
        <is>
          <t>2026-02-23 09:31:00</t>
        </is>
      </c>
      <c r="C106" t="inlineStr">
        <is>
          <t>Social Media</t>
        </is>
      </c>
      <c r="D106" t="inlineStr">
        <is>
          <t>Coding for Kids</t>
        </is>
      </c>
      <c r="E106" t="inlineStr">
        <is>
          <t>International</t>
        </is>
      </c>
      <c r="F106" t="inlineStr">
        <is>
          <t>Rep_10</t>
        </is>
      </c>
      <c r="G106" t="n">
        <v>9.449999999999999</v>
      </c>
      <c r="H106" t="inlineStr">
        <is>
          <t>Contacted</t>
        </is>
      </c>
      <c r="I106" t="inlineStr">
        <is>
          <t>Open</t>
        </is>
      </c>
      <c r="M106">
        <f>VLOOKUP(H106,'Stage Order'!$A$2:$B$8,2,FALSE)</f>
        <v/>
      </c>
      <c r="N106">
        <f>IF(G106&lt;=1,"1. Under 1 hour",IF(G106&lt;=24,"2. 1-24 hours",IF(G106&lt;=72,"3. 1-3 days","4. Over 3 days")))</f>
        <v/>
      </c>
      <c r="O106">
        <f>TEXT(B106,"YYYY-MM")</f>
        <v/>
      </c>
    </row>
    <row r="107">
      <c r="A107" t="inlineStr">
        <is>
          <t>LD-300105</t>
        </is>
      </c>
      <c r="B107" t="inlineStr">
        <is>
          <t>2026-02-16 20:25:00</t>
        </is>
      </c>
      <c r="C107" t="inlineStr">
        <is>
          <t>Webinar</t>
        </is>
      </c>
      <c r="D107" t="inlineStr">
        <is>
          <t>K-12 Math</t>
        </is>
      </c>
      <c r="E107" t="inlineStr">
        <is>
          <t>South Region</t>
        </is>
      </c>
      <c r="F107" t="inlineStr">
        <is>
          <t>Rep_02</t>
        </is>
      </c>
      <c r="G107" t="n">
        <v>2.12</v>
      </c>
      <c r="H107" t="inlineStr">
        <is>
          <t>Contacted</t>
        </is>
      </c>
      <c r="I107" t="inlineStr">
        <is>
          <t>Open</t>
        </is>
      </c>
      <c r="M107">
        <f>VLOOKUP(H107,'Stage Order'!$A$2:$B$8,2,FALSE)</f>
        <v/>
      </c>
      <c r="N107">
        <f>IF(G107&lt;=1,"1. Under 1 hour",IF(G107&lt;=24,"2. 1-24 hours",IF(G107&lt;=72,"3. 1-3 days","4. Over 3 days")))</f>
        <v/>
      </c>
      <c r="O107">
        <f>TEXT(B107,"YYYY-MM")</f>
        <v/>
      </c>
    </row>
    <row r="108">
      <c r="A108" t="inlineStr">
        <is>
          <t>LD-300106</t>
        </is>
      </c>
      <c r="B108" t="inlineStr">
        <is>
          <t>2025-12-29 12:38:00</t>
        </is>
      </c>
      <c r="C108" t="inlineStr">
        <is>
          <t>Social Media</t>
        </is>
      </c>
      <c r="D108" t="inlineStr">
        <is>
          <t>Competitive Exam Prep</t>
        </is>
      </c>
      <c r="E108" t="inlineStr">
        <is>
          <t>South Region</t>
        </is>
      </c>
      <c r="F108" t="inlineStr">
        <is>
          <t>Rep_12</t>
        </is>
      </c>
      <c r="G108" t="n">
        <v>1.59</v>
      </c>
      <c r="H108" t="inlineStr">
        <is>
          <t>Demo Completed</t>
        </is>
      </c>
      <c r="I108" t="inlineStr">
        <is>
          <t>Lost</t>
        </is>
      </c>
      <c r="J108" t="inlineStr">
        <is>
          <t>Went With Competitor</t>
        </is>
      </c>
      <c r="K108" t="n">
        <v>1150.37</v>
      </c>
      <c r="L108" t="inlineStr">
        <is>
          <t>2026-01-31 10:46:27.534180</t>
        </is>
      </c>
      <c r="M108">
        <f>VLOOKUP(H108,'Stage Order'!$A$2:$B$8,2,FALSE)</f>
        <v/>
      </c>
      <c r="N108">
        <f>IF(G108&lt;=1,"1. Under 1 hour",IF(G108&lt;=24,"2. 1-24 hours",IF(G108&lt;=72,"3. 1-3 days","4. Over 3 days")))</f>
        <v/>
      </c>
      <c r="O108">
        <f>TEXT(B108,"YYYY-MM")</f>
        <v/>
      </c>
    </row>
    <row r="109">
      <c r="A109" t="inlineStr">
        <is>
          <t>LD-300107</t>
        </is>
      </c>
      <c r="B109" t="inlineStr">
        <is>
          <t>2026-04-24 12:11:00</t>
        </is>
      </c>
      <c r="C109" t="inlineStr">
        <is>
          <t>Social Media</t>
        </is>
      </c>
      <c r="D109" t="inlineStr">
        <is>
          <t>Coding for Kids</t>
        </is>
      </c>
      <c r="E109" t="inlineStr">
        <is>
          <t>International</t>
        </is>
      </c>
      <c r="F109" t="inlineStr">
        <is>
          <t>Rep_10</t>
        </is>
      </c>
      <c r="G109" t="n">
        <v>3.72</v>
      </c>
      <c r="H109" t="inlineStr">
        <is>
          <t>Lead</t>
        </is>
      </c>
      <c r="I109" t="inlineStr">
        <is>
          <t>Open</t>
        </is>
      </c>
      <c r="M109">
        <f>VLOOKUP(H109,'Stage Order'!$A$2:$B$8,2,FALSE)</f>
        <v/>
      </c>
      <c r="N109">
        <f>IF(G109&lt;=1,"1. Under 1 hour",IF(G109&lt;=24,"2. 1-24 hours",IF(G109&lt;=72,"3. 1-3 days","4. Over 3 days")))</f>
        <v/>
      </c>
      <c r="O109">
        <f>TEXT(B109,"YYYY-MM")</f>
        <v/>
      </c>
    </row>
    <row r="110">
      <c r="A110" t="inlineStr">
        <is>
          <t>LD-300108</t>
        </is>
      </c>
      <c r="B110" t="inlineStr">
        <is>
          <t>2026-03-16 16:15:00</t>
        </is>
      </c>
      <c r="C110" t="inlineStr">
        <is>
          <t>Referral</t>
        </is>
      </c>
      <c r="D110" t="inlineStr">
        <is>
          <t>Language Learning</t>
        </is>
      </c>
      <c r="E110" t="inlineStr">
        <is>
          <t>South Region</t>
        </is>
      </c>
      <c r="F110" t="inlineStr">
        <is>
          <t>Rep_12</t>
        </is>
      </c>
      <c r="G110" t="n">
        <v>10.12</v>
      </c>
      <c r="H110" t="inlineStr">
        <is>
          <t>Closed</t>
        </is>
      </c>
      <c r="I110" t="inlineStr">
        <is>
          <t>Won</t>
        </is>
      </c>
      <c r="K110" t="n">
        <v>367.36</v>
      </c>
      <c r="L110" t="inlineStr">
        <is>
          <t>2026-04-30 10:57:30.587351</t>
        </is>
      </c>
      <c r="M110">
        <f>VLOOKUP(H110,'Stage Order'!$A$2:$B$8,2,FALSE)</f>
        <v/>
      </c>
      <c r="N110">
        <f>IF(G110&lt;=1,"1. Under 1 hour",IF(G110&lt;=24,"2. 1-24 hours",IF(G110&lt;=72,"3. 1-3 days","4. Over 3 days")))</f>
        <v/>
      </c>
      <c r="O110">
        <f>TEXT(B110,"YYYY-MM")</f>
        <v/>
      </c>
    </row>
    <row r="111">
      <c r="A111" t="inlineStr">
        <is>
          <t>LD-300109</t>
        </is>
      </c>
      <c r="B111" t="inlineStr">
        <is>
          <t>2025-03-31 15:13:00</t>
        </is>
      </c>
      <c r="C111" t="inlineStr">
        <is>
          <t>Paid Search</t>
        </is>
      </c>
      <c r="D111" t="inlineStr">
        <is>
          <t>Language Learning</t>
        </is>
      </c>
      <c r="E111" t="inlineStr">
        <is>
          <t>South Region</t>
        </is>
      </c>
      <c r="F111" t="inlineStr">
        <is>
          <t>Rep_07</t>
        </is>
      </c>
      <c r="G111" t="n">
        <v>12.52</v>
      </c>
      <c r="H111" t="inlineStr">
        <is>
          <t>Contacted</t>
        </is>
      </c>
      <c r="I111" t="inlineStr">
        <is>
          <t>Open</t>
        </is>
      </c>
      <c r="M111">
        <f>VLOOKUP(H111,'Stage Order'!$A$2:$B$8,2,FALSE)</f>
        <v/>
      </c>
      <c r="N111">
        <f>IF(G111&lt;=1,"1. Under 1 hour",IF(G111&lt;=24,"2. 1-24 hours",IF(G111&lt;=72,"3. 1-3 days","4. Over 3 days")))</f>
        <v/>
      </c>
      <c r="O111">
        <f>TEXT(B111,"YYYY-MM")</f>
        <v/>
      </c>
    </row>
    <row r="112">
      <c r="A112" t="inlineStr">
        <is>
          <t>LD-300110</t>
        </is>
      </c>
      <c r="B112" t="inlineStr">
        <is>
          <t>2026-01-31 15:13:00</t>
        </is>
      </c>
      <c r="C112" t="inlineStr">
        <is>
          <t>Organic Search</t>
        </is>
      </c>
      <c r="D112" t="inlineStr">
        <is>
          <t>Language Learning</t>
        </is>
      </c>
      <c r="E112" t="inlineStr">
        <is>
          <t>South Region</t>
        </is>
      </c>
      <c r="F112" t="inlineStr">
        <is>
          <t>Rep_12</t>
        </is>
      </c>
      <c r="G112" t="n">
        <v>1.81</v>
      </c>
      <c r="H112" t="inlineStr">
        <is>
          <t>Negotiation</t>
        </is>
      </c>
      <c r="I112" t="inlineStr">
        <is>
          <t>Lost</t>
        </is>
      </c>
      <c r="J112" t="inlineStr">
        <is>
          <t>Went With Competitor</t>
        </is>
      </c>
      <c r="K112" t="n">
        <v>291.39</v>
      </c>
      <c r="L112" t="inlineStr">
        <is>
          <t>2026-03-14 06:13:13.093744</t>
        </is>
      </c>
      <c r="M112">
        <f>VLOOKUP(H112,'Stage Order'!$A$2:$B$8,2,FALSE)</f>
        <v/>
      </c>
      <c r="N112">
        <f>IF(G112&lt;=1,"1. Under 1 hour",IF(G112&lt;=24,"2. 1-24 hours",IF(G112&lt;=72,"3. 1-3 days","4. Over 3 days")))</f>
        <v/>
      </c>
      <c r="O112">
        <f>TEXT(B112,"YYYY-MM")</f>
        <v/>
      </c>
    </row>
    <row r="113">
      <c r="A113" t="inlineStr">
        <is>
          <t>LD-300111</t>
        </is>
      </c>
      <c r="B113" t="inlineStr">
        <is>
          <t>2025-02-03 13:50:00</t>
        </is>
      </c>
      <c r="C113" t="inlineStr">
        <is>
          <t>Paid Search</t>
        </is>
      </c>
      <c r="D113" t="inlineStr">
        <is>
          <t>K-12 Math</t>
        </is>
      </c>
      <c r="E113" t="inlineStr">
        <is>
          <t>West Region</t>
        </is>
      </c>
      <c r="F113" t="inlineStr">
        <is>
          <t>Rep_03</t>
        </is>
      </c>
      <c r="G113" t="n">
        <v>3.88</v>
      </c>
      <c r="H113" t="inlineStr">
        <is>
          <t>Contacted</t>
        </is>
      </c>
      <c r="I113" t="inlineStr">
        <is>
          <t>Open</t>
        </is>
      </c>
      <c r="M113">
        <f>VLOOKUP(H113,'Stage Order'!$A$2:$B$8,2,FALSE)</f>
        <v/>
      </c>
      <c r="N113">
        <f>IF(G113&lt;=1,"1. Under 1 hour",IF(G113&lt;=24,"2. 1-24 hours",IF(G113&lt;=72,"3. 1-3 days","4. Over 3 days")))</f>
        <v/>
      </c>
      <c r="O113">
        <f>TEXT(B113,"YYYY-MM")</f>
        <v/>
      </c>
    </row>
    <row r="114">
      <c r="A114" t="inlineStr">
        <is>
          <t>LD-300112</t>
        </is>
      </c>
      <c r="B114" t="inlineStr">
        <is>
          <t>2025-12-26 08:15:00</t>
        </is>
      </c>
      <c r="C114" t="inlineStr">
        <is>
          <t>Organic Search</t>
        </is>
      </c>
      <c r="D114" t="inlineStr">
        <is>
          <t>Competitive Exam Prep</t>
        </is>
      </c>
      <c r="E114" t="inlineStr">
        <is>
          <t>South Region</t>
        </is>
      </c>
      <c r="F114" t="inlineStr">
        <is>
          <t>Rep_12</t>
        </is>
      </c>
      <c r="G114" t="n">
        <v>5.55</v>
      </c>
      <c r="H114" t="inlineStr">
        <is>
          <t>Contacted</t>
        </is>
      </c>
      <c r="I114" t="inlineStr">
        <is>
          <t>Open</t>
        </is>
      </c>
      <c r="M114">
        <f>VLOOKUP(H114,'Stage Order'!$A$2:$B$8,2,FALSE)</f>
        <v/>
      </c>
      <c r="N114">
        <f>IF(G114&lt;=1,"1. Under 1 hour",IF(G114&lt;=24,"2. 1-24 hours",IF(G114&lt;=72,"3. 1-3 days","4. Over 3 days")))</f>
        <v/>
      </c>
      <c r="O114">
        <f>TEXT(B114,"YYYY-MM")</f>
        <v/>
      </c>
    </row>
    <row r="115">
      <c r="A115" t="inlineStr">
        <is>
          <t>LD-300113</t>
        </is>
      </c>
      <c r="B115" t="inlineStr">
        <is>
          <t>2025-07-04 20:29:00</t>
        </is>
      </c>
      <c r="C115" t="inlineStr">
        <is>
          <t>Webinar</t>
        </is>
      </c>
      <c r="D115" t="inlineStr">
        <is>
          <t>K-12 Math</t>
        </is>
      </c>
      <c r="E115" t="inlineStr">
        <is>
          <t>West Region</t>
        </is>
      </c>
      <c r="F115" t="inlineStr">
        <is>
          <t>Rep_08</t>
        </is>
      </c>
      <c r="G115" t="n">
        <v>3.88</v>
      </c>
      <c r="H115" t="inlineStr">
        <is>
          <t>Demo Completed</t>
        </is>
      </c>
      <c r="I115" t="inlineStr">
        <is>
          <t>Lost</t>
        </is>
      </c>
      <c r="J115" t="inlineStr">
        <is>
          <t>Bad Timing</t>
        </is>
      </c>
      <c r="K115" t="n">
        <v>596.97</v>
      </c>
      <c r="L115" t="inlineStr">
        <is>
          <t>2025-08-14 05:35:53.477437</t>
        </is>
      </c>
      <c r="M115">
        <f>VLOOKUP(H115,'Stage Order'!$A$2:$B$8,2,FALSE)</f>
        <v/>
      </c>
      <c r="N115">
        <f>IF(G115&lt;=1,"1. Under 1 hour",IF(G115&lt;=24,"2. 1-24 hours",IF(G115&lt;=72,"3. 1-3 days","4. Over 3 days")))</f>
        <v/>
      </c>
      <c r="O115">
        <f>TEXT(B115,"YYYY-MM")</f>
        <v/>
      </c>
    </row>
    <row r="116">
      <c r="A116" t="inlineStr">
        <is>
          <t>LD-300114</t>
        </is>
      </c>
      <c r="B116" t="inlineStr">
        <is>
          <t>2026-03-06 17:56:00</t>
        </is>
      </c>
      <c r="C116" t="inlineStr">
        <is>
          <t>Paid Search</t>
        </is>
      </c>
      <c r="D116" t="inlineStr">
        <is>
          <t>Coding for Kids</t>
        </is>
      </c>
      <c r="E116" t="inlineStr">
        <is>
          <t>International</t>
        </is>
      </c>
      <c r="F116" t="inlineStr">
        <is>
          <t>Rep_10</t>
        </is>
      </c>
      <c r="G116" t="n">
        <v>7.21</v>
      </c>
      <c r="H116" t="inlineStr">
        <is>
          <t>Contacted</t>
        </is>
      </c>
      <c r="I116" t="inlineStr">
        <is>
          <t>Open</t>
        </is>
      </c>
      <c r="M116">
        <f>VLOOKUP(H116,'Stage Order'!$A$2:$B$8,2,FALSE)</f>
        <v/>
      </c>
      <c r="N116">
        <f>IF(G116&lt;=1,"1. Under 1 hour",IF(G116&lt;=24,"2. 1-24 hours",IF(G116&lt;=72,"3. 1-3 days","4. Over 3 days")))</f>
        <v/>
      </c>
      <c r="O116">
        <f>TEXT(B116,"YYYY-MM")</f>
        <v/>
      </c>
    </row>
    <row r="117">
      <c r="A117" t="inlineStr">
        <is>
          <t>LD-300115</t>
        </is>
      </c>
      <c r="B117" t="inlineStr">
        <is>
          <t>2025-08-15 13:56:00</t>
        </is>
      </c>
      <c r="C117" t="inlineStr">
        <is>
          <t>Referral</t>
        </is>
      </c>
      <c r="D117" t="inlineStr">
        <is>
          <t>Coding for Kids</t>
        </is>
      </c>
      <c r="E117" t="inlineStr">
        <is>
          <t>South Region</t>
        </is>
      </c>
      <c r="F117" t="inlineStr">
        <is>
          <t>Rep_12</t>
        </is>
      </c>
      <c r="G117" t="n">
        <v>1.2</v>
      </c>
      <c r="H117" t="inlineStr">
        <is>
          <t>Closed</t>
        </is>
      </c>
      <c r="I117" t="inlineStr">
        <is>
          <t>Won</t>
        </is>
      </c>
      <c r="K117" t="n">
        <v>731.11</v>
      </c>
      <c r="L117" t="inlineStr">
        <is>
          <t>2025-09-22 16:20:26.051770</t>
        </is>
      </c>
      <c r="M117">
        <f>VLOOKUP(H117,'Stage Order'!$A$2:$B$8,2,FALSE)</f>
        <v/>
      </c>
      <c r="N117">
        <f>IF(G117&lt;=1,"1. Under 1 hour",IF(G117&lt;=24,"2. 1-24 hours",IF(G117&lt;=72,"3. 1-3 days","4. Over 3 days")))</f>
        <v/>
      </c>
      <c r="O117">
        <f>TEXT(B117,"YYYY-MM")</f>
        <v/>
      </c>
    </row>
    <row r="118">
      <c r="A118" t="inlineStr">
        <is>
          <t>LD-300116</t>
        </is>
      </c>
      <c r="B118" t="inlineStr">
        <is>
          <t>2026-03-28 17:10:00</t>
        </is>
      </c>
      <c r="C118" t="inlineStr">
        <is>
          <t>Cold Outreach</t>
        </is>
      </c>
      <c r="D118" t="inlineStr">
        <is>
          <t>Competitive Exam Prep</t>
        </is>
      </c>
      <c r="E118" t="inlineStr">
        <is>
          <t>West Region</t>
        </is>
      </c>
      <c r="F118" t="inlineStr">
        <is>
          <t>Rep_13</t>
        </is>
      </c>
      <c r="G118" t="n">
        <v>3.41</v>
      </c>
      <c r="H118" t="inlineStr">
        <is>
          <t>Demo Completed</t>
        </is>
      </c>
      <c r="I118" t="inlineStr">
        <is>
          <t>Lost</t>
        </is>
      </c>
      <c r="J118" t="inlineStr">
        <is>
          <t>No Response / Ghosted</t>
        </is>
      </c>
      <c r="K118" t="n">
        <v>1181.44</v>
      </c>
      <c r="L118" t="inlineStr">
        <is>
          <t>2026-04-28 17:46:14.907042</t>
        </is>
      </c>
      <c r="M118">
        <f>VLOOKUP(H118,'Stage Order'!$A$2:$B$8,2,FALSE)</f>
        <v/>
      </c>
      <c r="N118">
        <f>IF(G118&lt;=1,"1. Under 1 hour",IF(G118&lt;=24,"2. 1-24 hours",IF(G118&lt;=72,"3. 1-3 days","4. Over 3 days")))</f>
        <v/>
      </c>
      <c r="O118">
        <f>TEXT(B118,"YYYY-MM")</f>
        <v/>
      </c>
    </row>
    <row r="119">
      <c r="A119" t="inlineStr">
        <is>
          <t>LD-300117</t>
        </is>
      </c>
      <c r="B119" t="inlineStr">
        <is>
          <t>2025-08-06 10:08:00</t>
        </is>
      </c>
      <c r="C119" t="inlineStr">
        <is>
          <t>Organic Search</t>
        </is>
      </c>
      <c r="D119" t="inlineStr">
        <is>
          <t>Competitive Exam Prep</t>
        </is>
      </c>
      <c r="E119" t="inlineStr">
        <is>
          <t>International</t>
        </is>
      </c>
      <c r="F119" t="inlineStr">
        <is>
          <t>Rep_10</t>
        </is>
      </c>
      <c r="G119" t="n">
        <v>0.6899999999999999</v>
      </c>
      <c r="H119" t="inlineStr">
        <is>
          <t>Contacted</t>
        </is>
      </c>
      <c r="I119" t="inlineStr">
        <is>
          <t>Open</t>
        </is>
      </c>
      <c r="M119">
        <f>VLOOKUP(H119,'Stage Order'!$A$2:$B$8,2,FALSE)</f>
        <v/>
      </c>
      <c r="N119">
        <f>IF(G119&lt;=1,"1. Under 1 hour",IF(G119&lt;=24,"2. 1-24 hours",IF(G119&lt;=72,"3. 1-3 days","4. Over 3 days")))</f>
        <v/>
      </c>
      <c r="O119">
        <f>TEXT(B119,"YYYY-MM")</f>
        <v/>
      </c>
    </row>
    <row r="120">
      <c r="A120" t="inlineStr">
        <is>
          <t>LD-300118</t>
        </is>
      </c>
      <c r="B120" t="inlineStr">
        <is>
          <t>2026-01-30 18:35:00</t>
        </is>
      </c>
      <c r="C120" t="inlineStr">
        <is>
          <t>Social Media</t>
        </is>
      </c>
      <c r="D120" t="inlineStr">
        <is>
          <t>K-12 Math</t>
        </is>
      </c>
      <c r="E120" t="inlineStr">
        <is>
          <t>South Region</t>
        </is>
      </c>
      <c r="F120" t="inlineStr">
        <is>
          <t>Rep_07</t>
        </is>
      </c>
      <c r="G120" t="n">
        <v>2.21</v>
      </c>
      <c r="H120" t="inlineStr">
        <is>
          <t>Lead</t>
        </is>
      </c>
      <c r="I120" t="inlineStr">
        <is>
          <t>Open</t>
        </is>
      </c>
      <c r="M120">
        <f>VLOOKUP(H120,'Stage Order'!$A$2:$B$8,2,FALSE)</f>
        <v/>
      </c>
      <c r="N120">
        <f>IF(G120&lt;=1,"1. Under 1 hour",IF(G120&lt;=24,"2. 1-24 hours",IF(G120&lt;=72,"3. 1-3 days","4. Over 3 days")))</f>
        <v/>
      </c>
      <c r="O120">
        <f>TEXT(B120,"YYYY-MM")</f>
        <v/>
      </c>
    </row>
    <row r="121">
      <c r="A121" t="inlineStr">
        <is>
          <t>LD-300119</t>
        </is>
      </c>
      <c r="B121" t="inlineStr">
        <is>
          <t>2025-07-31 11:23:00</t>
        </is>
      </c>
      <c r="C121" t="inlineStr">
        <is>
          <t>Partner Channel</t>
        </is>
      </c>
      <c r="D121" t="inlineStr">
        <is>
          <t>K-12 Math</t>
        </is>
      </c>
      <c r="E121" t="inlineStr">
        <is>
          <t>International</t>
        </is>
      </c>
      <c r="F121" t="inlineStr">
        <is>
          <t>Rep_05</t>
        </is>
      </c>
      <c r="G121" t="n">
        <v>1.59</v>
      </c>
      <c r="H121" t="inlineStr">
        <is>
          <t>Negotiation</t>
        </is>
      </c>
      <c r="I121" t="inlineStr">
        <is>
          <t>Lost</t>
        </is>
      </c>
      <c r="J121" t="inlineStr">
        <is>
          <t>Price Objection</t>
        </is>
      </c>
      <c r="K121" t="n">
        <v>438.6</v>
      </c>
      <c r="L121" t="inlineStr">
        <is>
          <t>2025-09-17 06:39:05.328985</t>
        </is>
      </c>
      <c r="M121">
        <f>VLOOKUP(H121,'Stage Order'!$A$2:$B$8,2,FALSE)</f>
        <v/>
      </c>
      <c r="N121">
        <f>IF(G121&lt;=1,"1. Under 1 hour",IF(G121&lt;=24,"2. 1-24 hours",IF(G121&lt;=72,"3. 1-3 days","4. Over 3 days")))</f>
        <v/>
      </c>
      <c r="O121">
        <f>TEXT(B121,"YYYY-MM")</f>
        <v/>
      </c>
    </row>
    <row r="122">
      <c r="A122" t="inlineStr">
        <is>
          <t>LD-300120</t>
        </is>
      </c>
      <c r="B122" t="inlineStr">
        <is>
          <t>2026-01-02 07:59:00</t>
        </is>
      </c>
      <c r="C122" t="inlineStr">
        <is>
          <t>Organic Search</t>
        </is>
      </c>
      <c r="D122" t="inlineStr">
        <is>
          <t>K-12 Math</t>
        </is>
      </c>
      <c r="E122" t="inlineStr">
        <is>
          <t>West Region</t>
        </is>
      </c>
      <c r="F122" t="inlineStr">
        <is>
          <t>Rep_13</t>
        </is>
      </c>
      <c r="G122" t="n">
        <v>0.83</v>
      </c>
      <c r="H122" t="inlineStr">
        <is>
          <t>Proposal Sent</t>
        </is>
      </c>
      <c r="I122" t="inlineStr">
        <is>
          <t>Lost</t>
        </is>
      </c>
      <c r="J122" t="inlineStr">
        <is>
          <t>No Response / Ghosted</t>
        </is>
      </c>
      <c r="K122" t="n">
        <v>503</v>
      </c>
      <c r="L122" t="inlineStr">
        <is>
          <t>2026-02-08 09:23:26.333811</t>
        </is>
      </c>
      <c r="M122">
        <f>VLOOKUP(H122,'Stage Order'!$A$2:$B$8,2,FALSE)</f>
        <v/>
      </c>
      <c r="N122">
        <f>IF(G122&lt;=1,"1. Under 1 hour",IF(G122&lt;=24,"2. 1-24 hours",IF(G122&lt;=72,"3. 1-3 days","4. Over 3 days")))</f>
        <v/>
      </c>
      <c r="O122">
        <f>TEXT(B122,"YYYY-MM")</f>
        <v/>
      </c>
    </row>
    <row r="123">
      <c r="A123" t="inlineStr">
        <is>
          <t>LD-300121</t>
        </is>
      </c>
      <c r="B123" t="inlineStr">
        <is>
          <t>2025-08-15 10:12:00</t>
        </is>
      </c>
      <c r="C123" t="inlineStr">
        <is>
          <t>Paid Search</t>
        </is>
      </c>
      <c r="D123" t="inlineStr">
        <is>
          <t>Study Abroad Prep</t>
        </is>
      </c>
      <c r="E123" t="inlineStr">
        <is>
          <t>East Region</t>
        </is>
      </c>
      <c r="F123" t="inlineStr">
        <is>
          <t>Rep_04</t>
        </is>
      </c>
      <c r="G123" t="n">
        <v>1.28</v>
      </c>
      <c r="H123" t="inlineStr">
        <is>
          <t>Lead</t>
        </is>
      </c>
      <c r="I123" t="inlineStr">
        <is>
          <t>Open</t>
        </is>
      </c>
      <c r="M123">
        <f>VLOOKUP(H123,'Stage Order'!$A$2:$B$8,2,FALSE)</f>
        <v/>
      </c>
      <c r="N123">
        <f>IF(G123&lt;=1,"1. Under 1 hour",IF(G123&lt;=24,"2. 1-24 hours",IF(G123&lt;=72,"3. 1-3 days","4. Over 3 days")))</f>
        <v/>
      </c>
      <c r="O123">
        <f>TEXT(B123,"YYYY-MM")</f>
        <v/>
      </c>
    </row>
    <row r="124">
      <c r="A124" t="inlineStr">
        <is>
          <t>LD-300122</t>
        </is>
      </c>
      <c r="B124" t="inlineStr">
        <is>
          <t>2025-05-09 11:54:00</t>
        </is>
      </c>
      <c r="C124" t="inlineStr">
        <is>
          <t>Paid Search</t>
        </is>
      </c>
      <c r="D124" t="inlineStr">
        <is>
          <t>Competitive Exam Prep</t>
        </is>
      </c>
      <c r="E124" t="inlineStr">
        <is>
          <t>East Region</t>
        </is>
      </c>
      <c r="F124" t="inlineStr">
        <is>
          <t>Rep_09</t>
        </is>
      </c>
      <c r="G124" t="n">
        <v>9.23</v>
      </c>
      <c r="H124" t="inlineStr">
        <is>
          <t>Contacted</t>
        </is>
      </c>
      <c r="I124" t="inlineStr">
        <is>
          <t>Open</t>
        </is>
      </c>
      <c r="M124">
        <f>VLOOKUP(H124,'Stage Order'!$A$2:$B$8,2,FALSE)</f>
        <v/>
      </c>
      <c r="N124">
        <f>IF(G124&lt;=1,"1. Under 1 hour",IF(G124&lt;=24,"2. 1-24 hours",IF(G124&lt;=72,"3. 1-3 days","4. Over 3 days")))</f>
        <v/>
      </c>
      <c r="O124">
        <f>TEXT(B124,"YYYY-MM")</f>
        <v/>
      </c>
    </row>
    <row r="125">
      <c r="A125" t="inlineStr">
        <is>
          <t>LD-300123</t>
        </is>
      </c>
      <c r="B125" t="inlineStr">
        <is>
          <t>2025-10-17 16:18:00</t>
        </is>
      </c>
      <c r="C125" t="inlineStr">
        <is>
          <t>Organic Search</t>
        </is>
      </c>
      <c r="D125" t="inlineStr">
        <is>
          <t>K-12 Math</t>
        </is>
      </c>
      <c r="E125" t="inlineStr">
        <is>
          <t>South Region</t>
        </is>
      </c>
      <c r="F125" t="inlineStr">
        <is>
          <t>Rep_12</t>
        </is>
      </c>
      <c r="G125" t="n">
        <v>4.69</v>
      </c>
      <c r="H125" t="inlineStr">
        <is>
          <t>Contacted</t>
        </is>
      </c>
      <c r="I125" t="inlineStr">
        <is>
          <t>Open</t>
        </is>
      </c>
      <c r="M125">
        <f>VLOOKUP(H125,'Stage Order'!$A$2:$B$8,2,FALSE)</f>
        <v/>
      </c>
      <c r="N125">
        <f>IF(G125&lt;=1,"1. Under 1 hour",IF(G125&lt;=24,"2. 1-24 hours",IF(G125&lt;=72,"3. 1-3 days","4. Over 3 days")))</f>
        <v/>
      </c>
      <c r="O125">
        <f>TEXT(B125,"YYYY-MM")</f>
        <v/>
      </c>
    </row>
    <row r="126">
      <c r="A126" t="inlineStr">
        <is>
          <t>LD-300124</t>
        </is>
      </c>
      <c r="B126" t="inlineStr">
        <is>
          <t>2026-04-18 07:09:00</t>
        </is>
      </c>
      <c r="C126" t="inlineStr">
        <is>
          <t>Partner Channel</t>
        </is>
      </c>
      <c r="D126" t="inlineStr">
        <is>
          <t>Coding for Kids</t>
        </is>
      </c>
      <c r="E126" t="inlineStr">
        <is>
          <t>South Region</t>
        </is>
      </c>
      <c r="F126" t="inlineStr">
        <is>
          <t>Rep_02</t>
        </is>
      </c>
      <c r="G126" t="n">
        <v>3.77</v>
      </c>
      <c r="H126" t="inlineStr">
        <is>
          <t>Proposal Sent</t>
        </is>
      </c>
      <c r="I126" t="inlineStr">
        <is>
          <t>Lost</t>
        </is>
      </c>
      <c r="J126" t="inlineStr">
        <is>
          <t>Price Objection</t>
        </is>
      </c>
      <c r="K126" t="n">
        <v>724.34</v>
      </c>
      <c r="L126" t="inlineStr">
        <is>
          <t>2026-05-21 00:42:56.478330</t>
        </is>
      </c>
      <c r="M126">
        <f>VLOOKUP(H126,'Stage Order'!$A$2:$B$8,2,FALSE)</f>
        <v/>
      </c>
      <c r="N126">
        <f>IF(G126&lt;=1,"1. Under 1 hour",IF(G126&lt;=24,"2. 1-24 hours",IF(G126&lt;=72,"3. 1-3 days","4. Over 3 days")))</f>
        <v/>
      </c>
      <c r="O126">
        <f>TEXT(B126,"YYYY-MM")</f>
        <v/>
      </c>
    </row>
    <row r="127">
      <c r="A127" t="inlineStr">
        <is>
          <t>LD-300125</t>
        </is>
      </c>
      <c r="B127" t="inlineStr">
        <is>
          <t>2025-10-23 16:30:00</t>
        </is>
      </c>
      <c r="C127" t="inlineStr">
        <is>
          <t>Paid Search</t>
        </is>
      </c>
      <c r="D127" t="inlineStr">
        <is>
          <t>Coding for Kids</t>
        </is>
      </c>
      <c r="E127" t="inlineStr">
        <is>
          <t>West Region</t>
        </is>
      </c>
      <c r="F127" t="inlineStr">
        <is>
          <t>Rep_03</t>
        </is>
      </c>
      <c r="G127" t="n">
        <v>13.52</v>
      </c>
      <c r="H127" t="inlineStr">
        <is>
          <t>Contacted</t>
        </is>
      </c>
      <c r="I127" t="inlineStr">
        <is>
          <t>Open</t>
        </is>
      </c>
      <c r="M127">
        <f>VLOOKUP(H127,'Stage Order'!$A$2:$B$8,2,FALSE)</f>
        <v/>
      </c>
      <c r="N127">
        <f>IF(G127&lt;=1,"1. Under 1 hour",IF(G127&lt;=24,"2. 1-24 hours",IF(G127&lt;=72,"3. 1-3 days","4. Over 3 days")))</f>
        <v/>
      </c>
      <c r="O127">
        <f>TEXT(B127,"YYYY-MM")</f>
        <v/>
      </c>
    </row>
    <row r="128">
      <c r="A128" t="inlineStr">
        <is>
          <t>LD-300126</t>
        </is>
      </c>
      <c r="B128" t="inlineStr">
        <is>
          <t>2025-04-08 17:38:00</t>
        </is>
      </c>
      <c r="C128" t="inlineStr">
        <is>
          <t>Organic Search</t>
        </is>
      </c>
      <c r="D128" t="inlineStr">
        <is>
          <t>K-12 Math</t>
        </is>
      </c>
      <c r="E128" t="inlineStr">
        <is>
          <t>North Region</t>
        </is>
      </c>
      <c r="F128" t="inlineStr">
        <is>
          <t>Rep_06</t>
        </is>
      </c>
      <c r="G128" t="n">
        <v>9.44</v>
      </c>
      <c r="H128" t="inlineStr">
        <is>
          <t>Demo Scheduled</t>
        </is>
      </c>
      <c r="I128" t="inlineStr">
        <is>
          <t>Open</t>
        </is>
      </c>
      <c r="M128">
        <f>VLOOKUP(H128,'Stage Order'!$A$2:$B$8,2,FALSE)</f>
        <v/>
      </c>
      <c r="N128">
        <f>IF(G128&lt;=1,"1. Under 1 hour",IF(G128&lt;=24,"2. 1-24 hours",IF(G128&lt;=72,"3. 1-3 days","4. Over 3 days")))</f>
        <v/>
      </c>
      <c r="O128">
        <f>TEXT(B128,"YYYY-MM")</f>
        <v/>
      </c>
    </row>
    <row r="129">
      <c r="A129" t="inlineStr">
        <is>
          <t>LD-300127</t>
        </is>
      </c>
      <c r="B129" t="inlineStr">
        <is>
          <t>2025-07-19 07:11:00</t>
        </is>
      </c>
      <c r="C129" t="inlineStr">
        <is>
          <t>Social Media</t>
        </is>
      </c>
      <c r="D129" t="inlineStr">
        <is>
          <t>Competitive Exam Prep</t>
        </is>
      </c>
      <c r="E129" t="inlineStr">
        <is>
          <t>South Region</t>
        </is>
      </c>
      <c r="F129" t="inlineStr">
        <is>
          <t>Rep_02</t>
        </is>
      </c>
      <c r="G129" t="n">
        <v>4.44</v>
      </c>
      <c r="H129" t="inlineStr">
        <is>
          <t>Contacted</t>
        </is>
      </c>
      <c r="I129" t="inlineStr">
        <is>
          <t>Open</t>
        </is>
      </c>
      <c r="M129">
        <f>VLOOKUP(H129,'Stage Order'!$A$2:$B$8,2,FALSE)</f>
        <v/>
      </c>
      <c r="N129">
        <f>IF(G129&lt;=1,"1. Under 1 hour",IF(G129&lt;=24,"2. 1-24 hours",IF(G129&lt;=72,"3. 1-3 days","4. Over 3 days")))</f>
        <v/>
      </c>
      <c r="O129">
        <f>TEXT(B129,"YYYY-MM")</f>
        <v/>
      </c>
    </row>
    <row r="130">
      <c r="A130" t="inlineStr">
        <is>
          <t>LD-300128</t>
        </is>
      </c>
      <c r="B130" t="inlineStr">
        <is>
          <t>2025-12-19 11:51:00</t>
        </is>
      </c>
      <c r="C130" t="inlineStr">
        <is>
          <t>Cold Outreach</t>
        </is>
      </c>
      <c r="D130" t="inlineStr">
        <is>
          <t>Competitive Exam Prep</t>
        </is>
      </c>
      <c r="E130" t="inlineStr">
        <is>
          <t>West Region</t>
        </is>
      </c>
      <c r="F130" t="inlineStr">
        <is>
          <t>Rep_03</t>
        </is>
      </c>
      <c r="G130" t="n">
        <v>0.65</v>
      </c>
      <c r="H130" t="inlineStr">
        <is>
          <t>Lead</t>
        </is>
      </c>
      <c r="I130" t="inlineStr">
        <is>
          <t>Open</t>
        </is>
      </c>
      <c r="M130">
        <f>VLOOKUP(H130,'Stage Order'!$A$2:$B$8,2,FALSE)</f>
        <v/>
      </c>
      <c r="N130">
        <f>IF(G130&lt;=1,"1. Under 1 hour",IF(G130&lt;=24,"2. 1-24 hours",IF(G130&lt;=72,"3. 1-3 days","4. Over 3 days")))</f>
        <v/>
      </c>
      <c r="O130">
        <f>TEXT(B130,"YYYY-MM")</f>
        <v/>
      </c>
    </row>
    <row r="131">
      <c r="A131" t="inlineStr">
        <is>
          <t>LD-300129</t>
        </is>
      </c>
      <c r="B131" t="inlineStr">
        <is>
          <t>2025-12-07 19:48:00</t>
        </is>
      </c>
      <c r="C131" t="inlineStr">
        <is>
          <t>Social Media</t>
        </is>
      </c>
      <c r="D131" t="inlineStr">
        <is>
          <t>K-12 Math</t>
        </is>
      </c>
      <c r="E131" t="inlineStr">
        <is>
          <t>South Region</t>
        </is>
      </c>
      <c r="F131" t="inlineStr">
        <is>
          <t>Rep_07</t>
        </is>
      </c>
      <c r="G131" t="n">
        <v>1</v>
      </c>
      <c r="H131" t="inlineStr">
        <is>
          <t>Lead</t>
        </is>
      </c>
      <c r="I131" t="inlineStr">
        <is>
          <t>Open</t>
        </is>
      </c>
      <c r="M131">
        <f>VLOOKUP(H131,'Stage Order'!$A$2:$B$8,2,FALSE)</f>
        <v/>
      </c>
      <c r="N131">
        <f>IF(G131&lt;=1,"1. Under 1 hour",IF(G131&lt;=24,"2. 1-24 hours",IF(G131&lt;=72,"3. 1-3 days","4. Over 3 days")))</f>
        <v/>
      </c>
      <c r="O131">
        <f>TEXT(B131,"YYYY-MM")</f>
        <v/>
      </c>
    </row>
    <row r="132">
      <c r="A132" t="inlineStr">
        <is>
          <t>LD-300130</t>
        </is>
      </c>
      <c r="B132" t="inlineStr">
        <is>
          <t>2026-02-06 18:15:00</t>
        </is>
      </c>
      <c r="C132" t="inlineStr">
        <is>
          <t>Paid Search</t>
        </is>
      </c>
      <c r="D132" t="inlineStr">
        <is>
          <t>Competitive Exam Prep</t>
        </is>
      </c>
      <c r="E132" t="inlineStr">
        <is>
          <t>International</t>
        </is>
      </c>
      <c r="F132" t="inlineStr">
        <is>
          <t>Rep_05</t>
        </is>
      </c>
      <c r="G132" t="n">
        <v>1.35</v>
      </c>
      <c r="H132" t="inlineStr">
        <is>
          <t>Lead</t>
        </is>
      </c>
      <c r="I132" t="inlineStr">
        <is>
          <t>Open</t>
        </is>
      </c>
      <c r="M132">
        <f>VLOOKUP(H132,'Stage Order'!$A$2:$B$8,2,FALSE)</f>
        <v/>
      </c>
      <c r="N132">
        <f>IF(G132&lt;=1,"1. Under 1 hour",IF(G132&lt;=24,"2. 1-24 hours",IF(G132&lt;=72,"3. 1-3 days","4. Over 3 days")))</f>
        <v/>
      </c>
      <c r="O132">
        <f>TEXT(B132,"YYYY-MM")</f>
        <v/>
      </c>
    </row>
    <row r="133">
      <c r="A133" t="inlineStr">
        <is>
          <t>LD-300131</t>
        </is>
      </c>
      <c r="B133" t="inlineStr">
        <is>
          <t>2025-04-28 17:02:00</t>
        </is>
      </c>
      <c r="C133" t="inlineStr">
        <is>
          <t>Paid Search</t>
        </is>
      </c>
      <c r="D133" t="inlineStr">
        <is>
          <t>Competitive Exam Prep</t>
        </is>
      </c>
      <c r="E133" t="inlineStr">
        <is>
          <t>North Region</t>
        </is>
      </c>
      <c r="F133" t="inlineStr">
        <is>
          <t>Rep_11</t>
        </is>
      </c>
      <c r="G133" t="n">
        <v>1.07</v>
      </c>
      <c r="H133" t="inlineStr">
        <is>
          <t>Proposal Sent</t>
        </is>
      </c>
      <c r="I133" t="inlineStr">
        <is>
          <t>Lost</t>
        </is>
      </c>
      <c r="J133" t="inlineStr">
        <is>
          <t>Bad Timing</t>
        </is>
      </c>
      <c r="K133" t="n">
        <v>892.09</v>
      </c>
      <c r="L133" t="inlineStr">
        <is>
          <t>2025-05-29 03:59:37.554165</t>
        </is>
      </c>
      <c r="M133">
        <f>VLOOKUP(H133,'Stage Order'!$A$2:$B$8,2,FALSE)</f>
        <v/>
      </c>
      <c r="N133">
        <f>IF(G133&lt;=1,"1. Under 1 hour",IF(G133&lt;=24,"2. 1-24 hours",IF(G133&lt;=72,"3. 1-3 days","4. Over 3 days")))</f>
        <v/>
      </c>
      <c r="O133">
        <f>TEXT(B133,"YYYY-MM")</f>
        <v/>
      </c>
    </row>
    <row r="134">
      <c r="A134" t="inlineStr">
        <is>
          <t>LD-300132</t>
        </is>
      </c>
      <c r="B134" t="inlineStr">
        <is>
          <t>2025-02-25 19:43:00</t>
        </is>
      </c>
      <c r="C134" t="inlineStr">
        <is>
          <t>Social Media</t>
        </is>
      </c>
      <c r="D134" t="inlineStr">
        <is>
          <t>K-12 Math</t>
        </is>
      </c>
      <c r="E134" t="inlineStr">
        <is>
          <t>North Region</t>
        </is>
      </c>
      <c r="F134" t="inlineStr">
        <is>
          <t>Rep_11</t>
        </is>
      </c>
      <c r="G134" t="n">
        <v>2.9</v>
      </c>
      <c r="H134" t="inlineStr">
        <is>
          <t>Contacted</t>
        </is>
      </c>
      <c r="I134" t="inlineStr">
        <is>
          <t>Open</t>
        </is>
      </c>
      <c r="M134">
        <f>VLOOKUP(H134,'Stage Order'!$A$2:$B$8,2,FALSE)</f>
        <v/>
      </c>
      <c r="N134">
        <f>IF(G134&lt;=1,"1. Under 1 hour",IF(G134&lt;=24,"2. 1-24 hours",IF(G134&lt;=72,"3. 1-3 days","4. Over 3 days")))</f>
        <v/>
      </c>
      <c r="O134">
        <f>TEXT(B134,"YYYY-MM")</f>
        <v/>
      </c>
    </row>
    <row r="135">
      <c r="A135" t="inlineStr">
        <is>
          <t>LD-300133</t>
        </is>
      </c>
      <c r="B135" t="inlineStr">
        <is>
          <t>2025-03-07 11:27:00</t>
        </is>
      </c>
      <c r="C135" t="inlineStr">
        <is>
          <t>Paid Search</t>
        </is>
      </c>
      <c r="D135" t="inlineStr">
        <is>
          <t>Coding for Kids</t>
        </is>
      </c>
      <c r="E135" t="inlineStr">
        <is>
          <t>South Region</t>
        </is>
      </c>
      <c r="F135" t="inlineStr">
        <is>
          <t>Rep_07</t>
        </is>
      </c>
      <c r="G135" t="n">
        <v>6.26</v>
      </c>
      <c r="H135" t="inlineStr">
        <is>
          <t>Contacted</t>
        </is>
      </c>
      <c r="I135" t="inlineStr">
        <is>
          <t>Open</t>
        </is>
      </c>
      <c r="M135">
        <f>VLOOKUP(H135,'Stage Order'!$A$2:$B$8,2,FALSE)</f>
        <v/>
      </c>
      <c r="N135">
        <f>IF(G135&lt;=1,"1. Under 1 hour",IF(G135&lt;=24,"2. 1-24 hours",IF(G135&lt;=72,"3. 1-3 days","4. Over 3 days")))</f>
        <v/>
      </c>
      <c r="O135">
        <f>TEXT(B135,"YYYY-MM")</f>
        <v/>
      </c>
    </row>
    <row r="136">
      <c r="A136" t="inlineStr">
        <is>
          <t>LD-300134</t>
        </is>
      </c>
      <c r="B136" t="inlineStr">
        <is>
          <t>2025-05-01 16:22:00</t>
        </is>
      </c>
      <c r="C136" t="inlineStr">
        <is>
          <t>Cold Outreach</t>
        </is>
      </c>
      <c r="D136" t="inlineStr">
        <is>
          <t>Language Learning</t>
        </is>
      </c>
      <c r="E136" t="inlineStr">
        <is>
          <t>West Region</t>
        </is>
      </c>
      <c r="F136" t="inlineStr">
        <is>
          <t>Rep_13</t>
        </is>
      </c>
      <c r="G136" t="n">
        <v>5.86</v>
      </c>
      <c r="H136" t="inlineStr">
        <is>
          <t>Contacted</t>
        </is>
      </c>
      <c r="I136" t="inlineStr">
        <is>
          <t>Open</t>
        </is>
      </c>
      <c r="M136">
        <f>VLOOKUP(H136,'Stage Order'!$A$2:$B$8,2,FALSE)</f>
        <v/>
      </c>
      <c r="N136">
        <f>IF(G136&lt;=1,"1. Under 1 hour",IF(G136&lt;=24,"2. 1-24 hours",IF(G136&lt;=72,"3. 1-3 days","4. Over 3 days")))</f>
        <v/>
      </c>
      <c r="O136">
        <f>TEXT(B136,"YYYY-MM")</f>
        <v/>
      </c>
    </row>
    <row r="137">
      <c r="A137" t="inlineStr">
        <is>
          <t>LD-300135</t>
        </is>
      </c>
      <c r="B137" t="inlineStr">
        <is>
          <t>2025-11-05 10:35:00</t>
        </is>
      </c>
      <c r="C137" t="inlineStr">
        <is>
          <t>Paid Search</t>
        </is>
      </c>
      <c r="D137" t="inlineStr">
        <is>
          <t>K-12 Math</t>
        </is>
      </c>
      <c r="E137" t="inlineStr">
        <is>
          <t>West Region</t>
        </is>
      </c>
      <c r="F137" t="inlineStr">
        <is>
          <t>Rep_03</t>
        </is>
      </c>
      <c r="G137" t="n">
        <v>0.67</v>
      </c>
      <c r="H137" t="inlineStr">
        <is>
          <t>Contacted</t>
        </is>
      </c>
      <c r="I137" t="inlineStr">
        <is>
          <t>Open</t>
        </is>
      </c>
      <c r="M137">
        <f>VLOOKUP(H137,'Stage Order'!$A$2:$B$8,2,FALSE)</f>
        <v/>
      </c>
      <c r="N137">
        <f>IF(G137&lt;=1,"1. Under 1 hour",IF(G137&lt;=24,"2. 1-24 hours",IF(G137&lt;=72,"3. 1-3 days","4. Over 3 days")))</f>
        <v/>
      </c>
      <c r="O137">
        <f>TEXT(B137,"YYYY-MM")</f>
        <v/>
      </c>
    </row>
    <row r="138">
      <c r="A138" t="inlineStr">
        <is>
          <t>LD-300136</t>
        </is>
      </c>
      <c r="B138" t="inlineStr">
        <is>
          <t>2025-03-10 18:34:00</t>
        </is>
      </c>
      <c r="C138" t="inlineStr">
        <is>
          <t>Organic Search</t>
        </is>
      </c>
      <c r="D138" t="inlineStr">
        <is>
          <t>K-12 Math</t>
        </is>
      </c>
      <c r="E138" t="inlineStr">
        <is>
          <t>South Region</t>
        </is>
      </c>
      <c r="F138" t="inlineStr">
        <is>
          <t>Rep_02</t>
        </is>
      </c>
      <c r="G138" t="n">
        <v>1.54</v>
      </c>
      <c r="H138" t="inlineStr">
        <is>
          <t>Contacted</t>
        </is>
      </c>
      <c r="I138" t="inlineStr">
        <is>
          <t>Open</t>
        </is>
      </c>
      <c r="M138">
        <f>VLOOKUP(H138,'Stage Order'!$A$2:$B$8,2,FALSE)</f>
        <v/>
      </c>
      <c r="N138">
        <f>IF(G138&lt;=1,"1. Under 1 hour",IF(G138&lt;=24,"2. 1-24 hours",IF(G138&lt;=72,"3. 1-3 days","4. Over 3 days")))</f>
        <v/>
      </c>
      <c r="O138">
        <f>TEXT(B138,"YYYY-MM")</f>
        <v/>
      </c>
    </row>
    <row r="139">
      <c r="A139" t="inlineStr">
        <is>
          <t>LD-300137</t>
        </is>
      </c>
      <c r="B139" t="inlineStr">
        <is>
          <t>2026-06-29 14:58:00</t>
        </is>
      </c>
      <c r="C139" t="inlineStr">
        <is>
          <t>Paid Search</t>
        </is>
      </c>
      <c r="D139" t="inlineStr">
        <is>
          <t>Coding for Kids</t>
        </is>
      </c>
      <c r="E139" t="inlineStr">
        <is>
          <t>West Region</t>
        </is>
      </c>
      <c r="F139" t="inlineStr">
        <is>
          <t>Rep_13</t>
        </is>
      </c>
      <c r="G139" t="n">
        <v>1.17</v>
      </c>
      <c r="H139" t="inlineStr">
        <is>
          <t>Contacted</t>
        </is>
      </c>
      <c r="I139" t="inlineStr">
        <is>
          <t>Open</t>
        </is>
      </c>
      <c r="M139">
        <f>VLOOKUP(H139,'Stage Order'!$A$2:$B$8,2,FALSE)</f>
        <v/>
      </c>
      <c r="N139">
        <f>IF(G139&lt;=1,"1. Under 1 hour",IF(G139&lt;=24,"2. 1-24 hours",IF(G139&lt;=72,"3. 1-3 days","4. Over 3 days")))</f>
        <v/>
      </c>
      <c r="O139">
        <f>TEXT(B139,"YYYY-MM")</f>
        <v/>
      </c>
    </row>
    <row r="140">
      <c r="A140" t="inlineStr">
        <is>
          <t>LD-300138</t>
        </is>
      </c>
      <c r="B140" t="inlineStr">
        <is>
          <t>2026-02-25 10:21:00</t>
        </is>
      </c>
      <c r="C140" t="inlineStr">
        <is>
          <t>Social Media</t>
        </is>
      </c>
      <c r="D140" t="inlineStr">
        <is>
          <t>Competitive Exam Prep</t>
        </is>
      </c>
      <c r="E140" t="inlineStr">
        <is>
          <t>South Region</t>
        </is>
      </c>
      <c r="F140" t="inlineStr">
        <is>
          <t>Rep_07</t>
        </is>
      </c>
      <c r="G140" t="n">
        <v>3.37</v>
      </c>
      <c r="H140" t="inlineStr">
        <is>
          <t>Contacted</t>
        </is>
      </c>
      <c r="I140" t="inlineStr">
        <is>
          <t>Open</t>
        </is>
      </c>
      <c r="M140">
        <f>VLOOKUP(H140,'Stage Order'!$A$2:$B$8,2,FALSE)</f>
        <v/>
      </c>
      <c r="N140">
        <f>IF(G140&lt;=1,"1. Under 1 hour",IF(G140&lt;=24,"2. 1-24 hours",IF(G140&lt;=72,"3. 1-3 days","4. Over 3 days")))</f>
        <v/>
      </c>
      <c r="O140">
        <f>TEXT(B140,"YYYY-MM")</f>
        <v/>
      </c>
    </row>
    <row r="141">
      <c r="A141" t="inlineStr">
        <is>
          <t>LD-300139</t>
        </is>
      </c>
      <c r="B141" t="inlineStr">
        <is>
          <t>2025-11-10 07:24:00</t>
        </is>
      </c>
      <c r="C141" t="inlineStr">
        <is>
          <t>Organic Search</t>
        </is>
      </c>
      <c r="D141" t="inlineStr">
        <is>
          <t>K-12 Math</t>
        </is>
      </c>
      <c r="E141" t="inlineStr">
        <is>
          <t>International</t>
        </is>
      </c>
      <c r="F141" t="inlineStr">
        <is>
          <t>Rep_10</t>
        </is>
      </c>
      <c r="G141" t="n">
        <v>1.49</v>
      </c>
      <c r="H141" t="inlineStr">
        <is>
          <t>Demo Scheduled</t>
        </is>
      </c>
      <c r="I141" t="inlineStr">
        <is>
          <t>Open</t>
        </is>
      </c>
      <c r="M141">
        <f>VLOOKUP(H141,'Stage Order'!$A$2:$B$8,2,FALSE)</f>
        <v/>
      </c>
      <c r="N141">
        <f>IF(G141&lt;=1,"1. Under 1 hour",IF(G141&lt;=24,"2. 1-24 hours",IF(G141&lt;=72,"3. 1-3 days","4. Over 3 days")))</f>
        <v/>
      </c>
      <c r="O141">
        <f>TEXT(B141,"YYYY-MM")</f>
        <v/>
      </c>
    </row>
    <row r="142">
      <c r="A142" t="inlineStr">
        <is>
          <t>LD-300140</t>
        </is>
      </c>
      <c r="B142" t="inlineStr">
        <is>
          <t>2026-04-08 09:09:00</t>
        </is>
      </c>
      <c r="C142" t="inlineStr">
        <is>
          <t>Paid Search</t>
        </is>
      </c>
      <c r="D142" t="inlineStr">
        <is>
          <t>K-12 Math</t>
        </is>
      </c>
      <c r="E142" t="inlineStr">
        <is>
          <t>West Region</t>
        </is>
      </c>
      <c r="F142" t="inlineStr">
        <is>
          <t>Rep_08</t>
        </is>
      </c>
      <c r="G142" t="n">
        <v>1.61</v>
      </c>
      <c r="H142" t="inlineStr">
        <is>
          <t>Proposal Sent</t>
        </is>
      </c>
      <c r="I142" t="inlineStr">
        <is>
          <t>Lost</t>
        </is>
      </c>
      <c r="J142" t="inlineStr">
        <is>
          <t>Price Objection</t>
        </is>
      </c>
      <c r="K142" t="n">
        <v>463.67</v>
      </c>
      <c r="L142" t="inlineStr">
        <is>
          <t>2026-05-11 21:49:35.040118</t>
        </is>
      </c>
      <c r="M142">
        <f>VLOOKUP(H142,'Stage Order'!$A$2:$B$8,2,FALSE)</f>
        <v/>
      </c>
      <c r="N142">
        <f>IF(G142&lt;=1,"1. Under 1 hour",IF(G142&lt;=24,"2. 1-24 hours",IF(G142&lt;=72,"3. 1-3 days","4. Over 3 days")))</f>
        <v/>
      </c>
      <c r="O142">
        <f>TEXT(B142,"YYYY-MM")</f>
        <v/>
      </c>
    </row>
    <row r="143">
      <c r="A143" t="inlineStr">
        <is>
          <t>LD-300141</t>
        </is>
      </c>
      <c r="B143" t="inlineStr">
        <is>
          <t>2026-04-07 20:55:00</t>
        </is>
      </c>
      <c r="C143" t="inlineStr">
        <is>
          <t>Organic Search</t>
        </is>
      </c>
      <c r="D143" t="inlineStr">
        <is>
          <t>Competitive Exam Prep</t>
        </is>
      </c>
      <c r="E143" t="inlineStr">
        <is>
          <t>West Region</t>
        </is>
      </c>
      <c r="F143" t="inlineStr">
        <is>
          <t>Rep_03</t>
        </is>
      </c>
      <c r="G143" t="n">
        <v>2.51</v>
      </c>
      <c r="H143" t="inlineStr">
        <is>
          <t>Contacted</t>
        </is>
      </c>
      <c r="I143" t="inlineStr">
        <is>
          <t>Open</t>
        </is>
      </c>
      <c r="M143">
        <f>VLOOKUP(H143,'Stage Order'!$A$2:$B$8,2,FALSE)</f>
        <v/>
      </c>
      <c r="N143">
        <f>IF(G143&lt;=1,"1. Under 1 hour",IF(G143&lt;=24,"2. 1-24 hours",IF(G143&lt;=72,"3. 1-3 days","4. Over 3 days")))</f>
        <v/>
      </c>
      <c r="O143">
        <f>TEXT(B143,"YYYY-MM")</f>
        <v/>
      </c>
    </row>
    <row r="144">
      <c r="A144" t="inlineStr">
        <is>
          <t>LD-300142</t>
        </is>
      </c>
      <c r="B144" t="inlineStr">
        <is>
          <t>2026-03-20 09:28:00</t>
        </is>
      </c>
      <c r="C144" t="inlineStr">
        <is>
          <t>Organic Search</t>
        </is>
      </c>
      <c r="D144" t="inlineStr">
        <is>
          <t>Language Learning</t>
        </is>
      </c>
      <c r="E144" t="inlineStr">
        <is>
          <t>East Region</t>
        </is>
      </c>
      <c r="F144" t="inlineStr">
        <is>
          <t>Rep_14</t>
        </is>
      </c>
      <c r="G144" t="n">
        <v>3.09</v>
      </c>
      <c r="H144" t="inlineStr">
        <is>
          <t>Contacted</t>
        </is>
      </c>
      <c r="I144" t="inlineStr">
        <is>
          <t>Open</t>
        </is>
      </c>
      <c r="M144">
        <f>VLOOKUP(H144,'Stage Order'!$A$2:$B$8,2,FALSE)</f>
        <v/>
      </c>
      <c r="N144">
        <f>IF(G144&lt;=1,"1. Under 1 hour",IF(G144&lt;=24,"2. 1-24 hours",IF(G144&lt;=72,"3. 1-3 days","4. Over 3 days")))</f>
        <v/>
      </c>
      <c r="O144">
        <f>TEXT(B144,"YYYY-MM")</f>
        <v/>
      </c>
    </row>
    <row r="145">
      <c r="A145" t="inlineStr">
        <is>
          <t>LD-300143</t>
        </is>
      </c>
      <c r="B145" t="inlineStr">
        <is>
          <t>2025-12-09 13:14:00</t>
        </is>
      </c>
      <c r="C145" t="inlineStr">
        <is>
          <t>Social Media</t>
        </is>
      </c>
      <c r="D145" t="inlineStr">
        <is>
          <t>Competitive Exam Prep</t>
        </is>
      </c>
      <c r="E145" t="inlineStr">
        <is>
          <t>South Region</t>
        </is>
      </c>
      <c r="F145" t="inlineStr">
        <is>
          <t>Rep_12</t>
        </is>
      </c>
      <c r="G145" t="n">
        <v>0.91</v>
      </c>
      <c r="H145" t="inlineStr">
        <is>
          <t>Closed</t>
        </is>
      </c>
      <c r="I145" t="inlineStr">
        <is>
          <t>Won</t>
        </is>
      </c>
      <c r="K145" t="n">
        <v>998.27</v>
      </c>
      <c r="L145" t="inlineStr">
        <is>
          <t>2026-01-07 16:32:10.563562</t>
        </is>
      </c>
      <c r="M145">
        <f>VLOOKUP(H145,'Stage Order'!$A$2:$B$8,2,FALSE)</f>
        <v/>
      </c>
      <c r="N145">
        <f>IF(G145&lt;=1,"1. Under 1 hour",IF(G145&lt;=24,"2. 1-24 hours",IF(G145&lt;=72,"3. 1-3 days","4. Over 3 days")))</f>
        <v/>
      </c>
      <c r="O145">
        <f>TEXT(B145,"YYYY-MM")</f>
        <v/>
      </c>
    </row>
    <row r="146">
      <c r="A146" t="inlineStr">
        <is>
          <t>LD-300144</t>
        </is>
      </c>
      <c r="B146" t="inlineStr">
        <is>
          <t>2026-03-09 16:41:00</t>
        </is>
      </c>
      <c r="C146" t="inlineStr">
        <is>
          <t>Cold Outreach</t>
        </is>
      </c>
      <c r="D146" t="inlineStr">
        <is>
          <t>Competitive Exam Prep</t>
        </is>
      </c>
      <c r="E146" t="inlineStr">
        <is>
          <t>South Region</t>
        </is>
      </c>
      <c r="F146" t="inlineStr">
        <is>
          <t>Rep_12</t>
        </is>
      </c>
      <c r="G146" t="n">
        <v>4.36</v>
      </c>
      <c r="H146" t="inlineStr">
        <is>
          <t>Demo Scheduled</t>
        </is>
      </c>
      <c r="I146" t="inlineStr">
        <is>
          <t>Open</t>
        </is>
      </c>
      <c r="M146">
        <f>VLOOKUP(H146,'Stage Order'!$A$2:$B$8,2,FALSE)</f>
        <v/>
      </c>
      <c r="N146">
        <f>IF(G146&lt;=1,"1. Under 1 hour",IF(G146&lt;=24,"2. 1-24 hours",IF(G146&lt;=72,"3. 1-3 days","4. Over 3 days")))</f>
        <v/>
      </c>
      <c r="O146">
        <f>TEXT(B146,"YYYY-MM")</f>
        <v/>
      </c>
    </row>
    <row r="147">
      <c r="A147" t="inlineStr">
        <is>
          <t>LD-300145</t>
        </is>
      </c>
      <c r="B147" t="inlineStr">
        <is>
          <t>2026-06-02 15:07:00</t>
        </is>
      </c>
      <c r="C147" t="inlineStr">
        <is>
          <t>Partner Channel</t>
        </is>
      </c>
      <c r="D147" t="inlineStr">
        <is>
          <t>Competitive Exam Prep</t>
        </is>
      </c>
      <c r="E147" t="inlineStr">
        <is>
          <t>West Region</t>
        </is>
      </c>
      <c r="F147" t="inlineStr">
        <is>
          <t>Rep_03</t>
        </is>
      </c>
      <c r="G147" t="n">
        <v>9.44</v>
      </c>
      <c r="H147" t="inlineStr">
        <is>
          <t>Demo Completed</t>
        </is>
      </c>
      <c r="I147" t="inlineStr">
        <is>
          <t>Lost</t>
        </is>
      </c>
      <c r="J147" t="inlineStr">
        <is>
          <t>Price Objection</t>
        </is>
      </c>
      <c r="K147" t="n">
        <v>979.1900000000001</v>
      </c>
      <c r="L147" t="inlineStr">
        <is>
          <t>2026-06-29 09:56:55.168991</t>
        </is>
      </c>
      <c r="M147">
        <f>VLOOKUP(H147,'Stage Order'!$A$2:$B$8,2,FALSE)</f>
        <v/>
      </c>
      <c r="N147">
        <f>IF(G147&lt;=1,"1. Under 1 hour",IF(G147&lt;=24,"2. 1-24 hours",IF(G147&lt;=72,"3. 1-3 days","4. Over 3 days")))</f>
        <v/>
      </c>
      <c r="O147">
        <f>TEXT(B147,"YYYY-MM")</f>
        <v/>
      </c>
    </row>
    <row r="148">
      <c r="A148" t="inlineStr">
        <is>
          <t>LD-300146</t>
        </is>
      </c>
      <c r="B148" t="inlineStr">
        <is>
          <t>2025-06-09 07:15:00</t>
        </is>
      </c>
      <c r="C148" t="inlineStr">
        <is>
          <t>Organic Search</t>
        </is>
      </c>
      <c r="D148" t="inlineStr">
        <is>
          <t>Competitive Exam Prep</t>
        </is>
      </c>
      <c r="E148" t="inlineStr">
        <is>
          <t>North Region</t>
        </is>
      </c>
      <c r="F148" t="inlineStr">
        <is>
          <t>Rep_11</t>
        </is>
      </c>
      <c r="G148" t="n">
        <v>3.12</v>
      </c>
      <c r="H148" t="inlineStr">
        <is>
          <t>Contacted</t>
        </is>
      </c>
      <c r="I148" t="inlineStr">
        <is>
          <t>Open</t>
        </is>
      </c>
      <c r="M148">
        <f>VLOOKUP(H148,'Stage Order'!$A$2:$B$8,2,FALSE)</f>
        <v/>
      </c>
      <c r="N148">
        <f>IF(G148&lt;=1,"1. Under 1 hour",IF(G148&lt;=24,"2. 1-24 hours",IF(G148&lt;=72,"3. 1-3 days","4. Over 3 days")))</f>
        <v/>
      </c>
      <c r="O148">
        <f>TEXT(B148,"YYYY-MM")</f>
        <v/>
      </c>
    </row>
    <row r="149">
      <c r="A149" t="inlineStr">
        <is>
          <t>LD-300147</t>
        </is>
      </c>
      <c r="B149" t="inlineStr">
        <is>
          <t>2025-07-02 16:09:00</t>
        </is>
      </c>
      <c r="C149" t="inlineStr">
        <is>
          <t>Cold Outreach</t>
        </is>
      </c>
      <c r="D149" t="inlineStr">
        <is>
          <t>Language Learning</t>
        </is>
      </c>
      <c r="E149" t="inlineStr">
        <is>
          <t>South Region</t>
        </is>
      </c>
      <c r="F149" t="inlineStr">
        <is>
          <t>Rep_07</t>
        </is>
      </c>
      <c r="G149" t="n">
        <v>1.3</v>
      </c>
      <c r="H149" t="inlineStr">
        <is>
          <t>Lead</t>
        </is>
      </c>
      <c r="I149" t="inlineStr">
        <is>
          <t>Open</t>
        </is>
      </c>
      <c r="M149">
        <f>VLOOKUP(H149,'Stage Order'!$A$2:$B$8,2,FALSE)</f>
        <v/>
      </c>
      <c r="N149">
        <f>IF(G149&lt;=1,"1. Under 1 hour",IF(G149&lt;=24,"2. 1-24 hours",IF(G149&lt;=72,"3. 1-3 days","4. Over 3 days")))</f>
        <v/>
      </c>
      <c r="O149">
        <f>TEXT(B149,"YYYY-MM")</f>
        <v/>
      </c>
    </row>
    <row r="150">
      <c r="A150" t="inlineStr">
        <is>
          <t>LD-300148</t>
        </is>
      </c>
      <c r="B150" t="inlineStr">
        <is>
          <t>2025-03-14 15:06:00</t>
        </is>
      </c>
      <c r="C150" t="inlineStr">
        <is>
          <t>Cold Outreach</t>
        </is>
      </c>
      <c r="D150" t="inlineStr">
        <is>
          <t>Study Abroad Prep</t>
        </is>
      </c>
      <c r="E150" t="inlineStr">
        <is>
          <t>South Region</t>
        </is>
      </c>
      <c r="F150" t="inlineStr">
        <is>
          <t>Rep_07</t>
        </is>
      </c>
      <c r="G150" t="n">
        <v>8.720000000000001</v>
      </c>
      <c r="H150" t="inlineStr">
        <is>
          <t>Lead</t>
        </is>
      </c>
      <c r="I150" t="inlineStr">
        <is>
          <t>Open</t>
        </is>
      </c>
      <c r="M150">
        <f>VLOOKUP(H150,'Stage Order'!$A$2:$B$8,2,FALSE)</f>
        <v/>
      </c>
      <c r="N150">
        <f>IF(G150&lt;=1,"1. Under 1 hour",IF(G150&lt;=24,"2. 1-24 hours",IF(G150&lt;=72,"3. 1-3 days","4. Over 3 days")))</f>
        <v/>
      </c>
      <c r="O150">
        <f>TEXT(B150,"YYYY-MM")</f>
        <v/>
      </c>
    </row>
    <row r="151">
      <c r="A151" t="inlineStr">
        <is>
          <t>LD-300149</t>
        </is>
      </c>
      <c r="B151" t="inlineStr">
        <is>
          <t>2025-01-30 16:53:00</t>
        </is>
      </c>
      <c r="C151" t="inlineStr">
        <is>
          <t>Social Media</t>
        </is>
      </c>
      <c r="D151" t="inlineStr">
        <is>
          <t>Competitive Exam Prep</t>
        </is>
      </c>
      <c r="E151" t="inlineStr">
        <is>
          <t>International</t>
        </is>
      </c>
      <c r="F151" t="inlineStr">
        <is>
          <t>Rep_05</t>
        </is>
      </c>
      <c r="G151" t="n">
        <v>8.85</v>
      </c>
      <c r="H151" t="inlineStr">
        <is>
          <t>Contacted</t>
        </is>
      </c>
      <c r="I151" t="inlineStr">
        <is>
          <t>Open</t>
        </is>
      </c>
      <c r="M151">
        <f>VLOOKUP(H151,'Stage Order'!$A$2:$B$8,2,FALSE)</f>
        <v/>
      </c>
      <c r="N151">
        <f>IF(G151&lt;=1,"1. Under 1 hour",IF(G151&lt;=24,"2. 1-24 hours",IF(G151&lt;=72,"3. 1-3 days","4. Over 3 days")))</f>
        <v/>
      </c>
      <c r="O151">
        <f>TEXT(B151,"YYYY-MM")</f>
        <v/>
      </c>
    </row>
    <row r="152">
      <c r="A152" t="inlineStr">
        <is>
          <t>LD-300150</t>
        </is>
      </c>
      <c r="B152" t="inlineStr">
        <is>
          <t>2025-06-30 20:11:00</t>
        </is>
      </c>
      <c r="C152" t="inlineStr">
        <is>
          <t>Social Media</t>
        </is>
      </c>
      <c r="D152" t="inlineStr">
        <is>
          <t>Study Abroad Prep</t>
        </is>
      </c>
      <c r="E152" t="inlineStr">
        <is>
          <t>North Region</t>
        </is>
      </c>
      <c r="F152" t="inlineStr">
        <is>
          <t>Rep_01</t>
        </is>
      </c>
      <c r="G152" t="n">
        <v>1.69</v>
      </c>
      <c r="H152" t="inlineStr">
        <is>
          <t>Lead</t>
        </is>
      </c>
      <c r="I152" t="inlineStr">
        <is>
          <t>Open</t>
        </is>
      </c>
      <c r="M152">
        <f>VLOOKUP(H152,'Stage Order'!$A$2:$B$8,2,FALSE)</f>
        <v/>
      </c>
      <c r="N152">
        <f>IF(G152&lt;=1,"1. Under 1 hour",IF(G152&lt;=24,"2. 1-24 hours",IF(G152&lt;=72,"3. 1-3 days","4. Over 3 days")))</f>
        <v/>
      </c>
      <c r="O152">
        <f>TEXT(B152,"YYYY-MM")</f>
        <v/>
      </c>
    </row>
    <row r="153">
      <c r="A153" t="inlineStr">
        <is>
          <t>LD-300151</t>
        </is>
      </c>
      <c r="B153" t="inlineStr">
        <is>
          <t>2025-12-07 08:53:00</t>
        </is>
      </c>
      <c r="C153" t="inlineStr">
        <is>
          <t>Organic Search</t>
        </is>
      </c>
      <c r="D153" t="inlineStr">
        <is>
          <t>Coding for Kids</t>
        </is>
      </c>
      <c r="E153" t="inlineStr">
        <is>
          <t>West Region</t>
        </is>
      </c>
      <c r="F153" t="inlineStr">
        <is>
          <t>Rep_13</t>
        </is>
      </c>
      <c r="G153" t="n">
        <v>1.48</v>
      </c>
      <c r="H153" t="inlineStr">
        <is>
          <t>Demo Completed</t>
        </is>
      </c>
      <c r="I153" t="inlineStr">
        <is>
          <t>Lost</t>
        </is>
      </c>
      <c r="J153" t="inlineStr">
        <is>
          <t>Went With Competitor</t>
        </is>
      </c>
      <c r="K153" t="n">
        <v>648.59</v>
      </c>
      <c r="L153" t="inlineStr">
        <is>
          <t>2026-01-11 07:04:40.118489</t>
        </is>
      </c>
      <c r="M153">
        <f>VLOOKUP(H153,'Stage Order'!$A$2:$B$8,2,FALSE)</f>
        <v/>
      </c>
      <c r="N153">
        <f>IF(G153&lt;=1,"1. Under 1 hour",IF(G153&lt;=24,"2. 1-24 hours",IF(G153&lt;=72,"3. 1-3 days","4. Over 3 days")))</f>
        <v/>
      </c>
      <c r="O153">
        <f>TEXT(B153,"YYYY-MM")</f>
        <v/>
      </c>
    </row>
    <row r="154">
      <c r="A154" t="inlineStr">
        <is>
          <t>LD-300152</t>
        </is>
      </c>
      <c r="B154" t="inlineStr">
        <is>
          <t>2025-01-21 10:18:00</t>
        </is>
      </c>
      <c r="C154" t="inlineStr">
        <is>
          <t>Partner Channel</t>
        </is>
      </c>
      <c r="D154" t="inlineStr">
        <is>
          <t>Competitive Exam Prep</t>
        </is>
      </c>
      <c r="E154" t="inlineStr">
        <is>
          <t>West Region</t>
        </is>
      </c>
      <c r="F154" t="inlineStr">
        <is>
          <t>Rep_08</t>
        </is>
      </c>
      <c r="G154" t="n">
        <v>1.14</v>
      </c>
      <c r="H154" t="inlineStr">
        <is>
          <t>Demo Completed</t>
        </is>
      </c>
      <c r="I154" t="inlineStr">
        <is>
          <t>Lost</t>
        </is>
      </c>
      <c r="J154" t="inlineStr">
        <is>
          <t>No Response / Ghosted</t>
        </is>
      </c>
      <c r="K154" t="n">
        <v>913.27</v>
      </c>
      <c r="L154" t="inlineStr">
        <is>
          <t>2025-03-11 05:50:06.615876</t>
        </is>
      </c>
      <c r="M154">
        <f>VLOOKUP(H154,'Stage Order'!$A$2:$B$8,2,FALSE)</f>
        <v/>
      </c>
      <c r="N154">
        <f>IF(G154&lt;=1,"1. Under 1 hour",IF(G154&lt;=24,"2. 1-24 hours",IF(G154&lt;=72,"3. 1-3 days","4. Over 3 days")))</f>
        <v/>
      </c>
      <c r="O154">
        <f>TEXT(B154,"YYYY-MM")</f>
        <v/>
      </c>
    </row>
    <row r="155">
      <c r="A155" t="inlineStr">
        <is>
          <t>LD-300153</t>
        </is>
      </c>
      <c r="B155" t="inlineStr">
        <is>
          <t>2026-04-09 14:07:00</t>
        </is>
      </c>
      <c r="C155" t="inlineStr">
        <is>
          <t>Organic Search</t>
        </is>
      </c>
      <c r="D155" t="inlineStr">
        <is>
          <t>Competitive Exam Prep</t>
        </is>
      </c>
      <c r="E155" t="inlineStr">
        <is>
          <t>West Region</t>
        </is>
      </c>
      <c r="F155" t="inlineStr">
        <is>
          <t>Rep_03</t>
        </is>
      </c>
      <c r="G155" t="n">
        <v>5.66</v>
      </c>
      <c r="H155" t="inlineStr">
        <is>
          <t>Demo Completed</t>
        </is>
      </c>
      <c r="I155" t="inlineStr">
        <is>
          <t>Lost</t>
        </is>
      </c>
      <c r="J155" t="inlineStr">
        <is>
          <t>Went With Competitor</t>
        </is>
      </c>
      <c r="K155" t="n">
        <v>1124.65</v>
      </c>
      <c r="L155" t="inlineStr">
        <is>
          <t>2026-05-16 13:41:15.429469</t>
        </is>
      </c>
      <c r="M155">
        <f>VLOOKUP(H155,'Stage Order'!$A$2:$B$8,2,FALSE)</f>
        <v/>
      </c>
      <c r="N155">
        <f>IF(G155&lt;=1,"1. Under 1 hour",IF(G155&lt;=24,"2. 1-24 hours",IF(G155&lt;=72,"3. 1-3 days","4. Over 3 days")))</f>
        <v/>
      </c>
      <c r="O155">
        <f>TEXT(B155,"YYYY-MM")</f>
        <v/>
      </c>
    </row>
    <row r="156">
      <c r="A156" t="inlineStr">
        <is>
          <t>LD-300154</t>
        </is>
      </c>
      <c r="B156" t="inlineStr">
        <is>
          <t>2026-01-30 12:12:00</t>
        </is>
      </c>
      <c r="C156" t="inlineStr">
        <is>
          <t>Webinar</t>
        </is>
      </c>
      <c r="D156" t="inlineStr">
        <is>
          <t>Competitive Exam Prep</t>
        </is>
      </c>
      <c r="E156" t="inlineStr">
        <is>
          <t>East Region</t>
        </is>
      </c>
      <c r="F156" t="inlineStr">
        <is>
          <t>Rep_14</t>
        </is>
      </c>
      <c r="G156" t="n">
        <v>3.6</v>
      </c>
      <c r="H156" t="inlineStr">
        <is>
          <t>Proposal Sent</t>
        </is>
      </c>
      <c r="I156" t="inlineStr">
        <is>
          <t>Lost</t>
        </is>
      </c>
      <c r="J156" t="inlineStr">
        <is>
          <t>Price Objection</t>
        </is>
      </c>
      <c r="K156" t="n">
        <v>1009.47</v>
      </c>
      <c r="L156" t="inlineStr">
        <is>
          <t>2026-03-24 08:28:33.181285</t>
        </is>
      </c>
      <c r="M156">
        <f>VLOOKUP(H156,'Stage Order'!$A$2:$B$8,2,FALSE)</f>
        <v/>
      </c>
      <c r="N156">
        <f>IF(G156&lt;=1,"1. Under 1 hour",IF(G156&lt;=24,"2. 1-24 hours",IF(G156&lt;=72,"3. 1-3 days","4. Over 3 days")))</f>
        <v/>
      </c>
      <c r="O156">
        <f>TEXT(B156,"YYYY-MM")</f>
        <v/>
      </c>
    </row>
    <row r="157">
      <c r="A157" t="inlineStr">
        <is>
          <t>LD-300155</t>
        </is>
      </c>
      <c r="B157" t="inlineStr">
        <is>
          <t>2025-03-07 08:51:00</t>
        </is>
      </c>
      <c r="C157" t="inlineStr">
        <is>
          <t>Referral</t>
        </is>
      </c>
      <c r="D157" t="inlineStr">
        <is>
          <t>Language Learning</t>
        </is>
      </c>
      <c r="E157" t="inlineStr">
        <is>
          <t>West Region</t>
        </is>
      </c>
      <c r="F157" t="inlineStr">
        <is>
          <t>Rep_13</t>
        </is>
      </c>
      <c r="G157" t="n">
        <v>2.33</v>
      </c>
      <c r="H157" t="inlineStr">
        <is>
          <t>Contacted</t>
        </is>
      </c>
      <c r="I157" t="inlineStr">
        <is>
          <t>Open</t>
        </is>
      </c>
      <c r="M157">
        <f>VLOOKUP(H157,'Stage Order'!$A$2:$B$8,2,FALSE)</f>
        <v/>
      </c>
      <c r="N157">
        <f>IF(G157&lt;=1,"1. Under 1 hour",IF(G157&lt;=24,"2. 1-24 hours",IF(G157&lt;=72,"3. 1-3 days","4. Over 3 days")))</f>
        <v/>
      </c>
      <c r="O157">
        <f>TEXT(B157,"YYYY-MM")</f>
        <v/>
      </c>
    </row>
    <row r="158">
      <c r="A158" t="inlineStr">
        <is>
          <t>LD-300156</t>
        </is>
      </c>
      <c r="B158" t="inlineStr">
        <is>
          <t>2025-03-01 10:26:00</t>
        </is>
      </c>
      <c r="C158" t="inlineStr">
        <is>
          <t>Paid Search</t>
        </is>
      </c>
      <c r="D158" t="inlineStr">
        <is>
          <t>Competitive Exam Prep</t>
        </is>
      </c>
      <c r="E158" t="inlineStr">
        <is>
          <t>South Region</t>
        </is>
      </c>
      <c r="F158" t="inlineStr">
        <is>
          <t>Rep_12</t>
        </is>
      </c>
      <c r="G158" t="n">
        <v>3.08</v>
      </c>
      <c r="H158" t="inlineStr">
        <is>
          <t>Proposal Sent</t>
        </is>
      </c>
      <c r="I158" t="inlineStr">
        <is>
          <t>Lost</t>
        </is>
      </c>
      <c r="J158" t="inlineStr">
        <is>
          <t>Went With Competitor</t>
        </is>
      </c>
      <c r="K158" t="n">
        <v>968.12</v>
      </c>
      <c r="L158" t="inlineStr">
        <is>
          <t>2025-04-09 13:59:19.728308</t>
        </is>
      </c>
      <c r="M158">
        <f>VLOOKUP(H158,'Stage Order'!$A$2:$B$8,2,FALSE)</f>
        <v/>
      </c>
      <c r="N158">
        <f>IF(G158&lt;=1,"1. Under 1 hour",IF(G158&lt;=24,"2. 1-24 hours",IF(G158&lt;=72,"3. 1-3 days","4. Over 3 days")))</f>
        <v/>
      </c>
      <c r="O158">
        <f>TEXT(B158,"YYYY-MM")</f>
        <v/>
      </c>
    </row>
    <row r="159">
      <c r="A159" t="inlineStr">
        <is>
          <t>LD-300157</t>
        </is>
      </c>
      <c r="B159" t="inlineStr">
        <is>
          <t>2026-06-29 14:28:00</t>
        </is>
      </c>
      <c r="C159" t="inlineStr">
        <is>
          <t>Paid Search</t>
        </is>
      </c>
      <c r="D159" t="inlineStr">
        <is>
          <t>Competitive Exam Prep</t>
        </is>
      </c>
      <c r="E159" t="inlineStr">
        <is>
          <t>West Region</t>
        </is>
      </c>
      <c r="F159" t="inlineStr">
        <is>
          <t>Rep_13</t>
        </is>
      </c>
      <c r="G159" t="n">
        <v>1.88</v>
      </c>
      <c r="H159" t="inlineStr">
        <is>
          <t>Lead</t>
        </is>
      </c>
      <c r="I159" t="inlineStr">
        <is>
          <t>Open</t>
        </is>
      </c>
      <c r="M159">
        <f>VLOOKUP(H159,'Stage Order'!$A$2:$B$8,2,FALSE)</f>
        <v/>
      </c>
      <c r="N159">
        <f>IF(G159&lt;=1,"1. Under 1 hour",IF(G159&lt;=24,"2. 1-24 hours",IF(G159&lt;=72,"3. 1-3 days","4. Over 3 days")))</f>
        <v/>
      </c>
      <c r="O159">
        <f>TEXT(B159,"YYYY-MM")</f>
        <v/>
      </c>
    </row>
    <row r="160">
      <c r="A160" t="inlineStr">
        <is>
          <t>LD-300158</t>
        </is>
      </c>
      <c r="B160" t="inlineStr">
        <is>
          <t>2025-04-09 13:40:00</t>
        </is>
      </c>
      <c r="C160" t="inlineStr">
        <is>
          <t>Webinar</t>
        </is>
      </c>
      <c r="D160" t="inlineStr">
        <is>
          <t>Language Learning</t>
        </is>
      </c>
      <c r="E160" t="inlineStr">
        <is>
          <t>West Region</t>
        </is>
      </c>
      <c r="F160" t="inlineStr">
        <is>
          <t>Rep_03</t>
        </is>
      </c>
      <c r="G160" t="n">
        <v>2.46</v>
      </c>
      <c r="H160" t="inlineStr">
        <is>
          <t>Contacted</t>
        </is>
      </c>
      <c r="I160" t="inlineStr">
        <is>
          <t>Open</t>
        </is>
      </c>
      <c r="M160">
        <f>VLOOKUP(H160,'Stage Order'!$A$2:$B$8,2,FALSE)</f>
        <v/>
      </c>
      <c r="N160">
        <f>IF(G160&lt;=1,"1. Under 1 hour",IF(G160&lt;=24,"2. 1-24 hours",IF(G160&lt;=72,"3. 1-3 days","4. Over 3 days")))</f>
        <v/>
      </c>
      <c r="O160">
        <f>TEXT(B160,"YYYY-MM")</f>
        <v/>
      </c>
    </row>
    <row r="161">
      <c r="A161" t="inlineStr">
        <is>
          <t>LD-300159</t>
        </is>
      </c>
      <c r="B161" t="inlineStr">
        <is>
          <t>2025-11-15 19:42:00</t>
        </is>
      </c>
      <c r="C161" t="inlineStr">
        <is>
          <t>Paid Search</t>
        </is>
      </c>
      <c r="D161" t="inlineStr">
        <is>
          <t>Coding for Kids</t>
        </is>
      </c>
      <c r="E161" t="inlineStr">
        <is>
          <t>West Region</t>
        </is>
      </c>
      <c r="F161" t="inlineStr">
        <is>
          <t>Rep_08</t>
        </is>
      </c>
      <c r="G161" t="n">
        <v>3.67</v>
      </c>
      <c r="H161" t="inlineStr">
        <is>
          <t>Contacted</t>
        </is>
      </c>
      <c r="I161" t="inlineStr">
        <is>
          <t>Open</t>
        </is>
      </c>
      <c r="M161">
        <f>VLOOKUP(H161,'Stage Order'!$A$2:$B$8,2,FALSE)</f>
        <v/>
      </c>
      <c r="N161">
        <f>IF(G161&lt;=1,"1. Under 1 hour",IF(G161&lt;=24,"2. 1-24 hours",IF(G161&lt;=72,"3. 1-3 days","4. Over 3 days")))</f>
        <v/>
      </c>
      <c r="O161">
        <f>TEXT(B161,"YYYY-MM")</f>
        <v/>
      </c>
    </row>
    <row r="162">
      <c r="A162" t="inlineStr">
        <is>
          <t>LD-300160</t>
        </is>
      </c>
      <c r="B162" t="inlineStr">
        <is>
          <t>2026-04-21 07:09:00</t>
        </is>
      </c>
      <c r="C162" t="inlineStr">
        <is>
          <t>Social Media</t>
        </is>
      </c>
      <c r="D162" t="inlineStr">
        <is>
          <t>Language Learning</t>
        </is>
      </c>
      <c r="E162" t="inlineStr">
        <is>
          <t>South Region</t>
        </is>
      </c>
      <c r="F162" t="inlineStr">
        <is>
          <t>Rep_12</t>
        </is>
      </c>
      <c r="G162" t="n">
        <v>0.36</v>
      </c>
      <c r="H162" t="inlineStr">
        <is>
          <t>Demo Completed</t>
        </is>
      </c>
      <c r="I162" t="inlineStr">
        <is>
          <t>Lost</t>
        </is>
      </c>
      <c r="J162" t="inlineStr">
        <is>
          <t>Price Objection</t>
        </is>
      </c>
      <c r="K162" t="n">
        <v>364.32</v>
      </c>
      <c r="L162" t="inlineStr">
        <is>
          <t>2026-05-10 12:00:02.146823</t>
        </is>
      </c>
      <c r="M162">
        <f>VLOOKUP(H162,'Stage Order'!$A$2:$B$8,2,FALSE)</f>
        <v/>
      </c>
      <c r="N162">
        <f>IF(G162&lt;=1,"1. Under 1 hour",IF(G162&lt;=24,"2. 1-24 hours",IF(G162&lt;=72,"3. 1-3 days","4. Over 3 days")))</f>
        <v/>
      </c>
      <c r="O162">
        <f>TEXT(B162,"YYYY-MM")</f>
        <v/>
      </c>
    </row>
    <row r="163">
      <c r="A163" t="inlineStr">
        <is>
          <t>LD-300161</t>
        </is>
      </c>
      <c r="B163" t="inlineStr">
        <is>
          <t>2025-03-21 16:35:00</t>
        </is>
      </c>
      <c r="C163" t="inlineStr">
        <is>
          <t>Cold Outreach</t>
        </is>
      </c>
      <c r="D163" t="inlineStr">
        <is>
          <t>K-12 Math</t>
        </is>
      </c>
      <c r="E163" t="inlineStr">
        <is>
          <t>East Region</t>
        </is>
      </c>
      <c r="F163" t="inlineStr">
        <is>
          <t>Rep_14</t>
        </is>
      </c>
      <c r="G163" t="n">
        <v>3.64</v>
      </c>
      <c r="H163" t="inlineStr">
        <is>
          <t>Lead</t>
        </is>
      </c>
      <c r="I163" t="inlineStr">
        <is>
          <t>Open</t>
        </is>
      </c>
      <c r="M163">
        <f>VLOOKUP(H163,'Stage Order'!$A$2:$B$8,2,FALSE)</f>
        <v/>
      </c>
      <c r="N163">
        <f>IF(G163&lt;=1,"1. Under 1 hour",IF(G163&lt;=24,"2. 1-24 hours",IF(G163&lt;=72,"3. 1-3 days","4. Over 3 days")))</f>
        <v/>
      </c>
      <c r="O163">
        <f>TEXT(B163,"YYYY-MM")</f>
        <v/>
      </c>
    </row>
    <row r="164">
      <c r="A164" t="inlineStr">
        <is>
          <t>LD-300162</t>
        </is>
      </c>
      <c r="B164" t="inlineStr">
        <is>
          <t>2025-10-31 17:15:00</t>
        </is>
      </c>
      <c r="C164" t="inlineStr">
        <is>
          <t>Cold Outreach</t>
        </is>
      </c>
      <c r="D164" t="inlineStr">
        <is>
          <t>K-12 Math</t>
        </is>
      </c>
      <c r="E164" t="inlineStr">
        <is>
          <t>North Region</t>
        </is>
      </c>
      <c r="F164" t="inlineStr">
        <is>
          <t>Rep_11</t>
        </is>
      </c>
      <c r="G164" t="n">
        <v>2.59</v>
      </c>
      <c r="H164" t="inlineStr">
        <is>
          <t>Contacted</t>
        </is>
      </c>
      <c r="I164" t="inlineStr">
        <is>
          <t>Open</t>
        </is>
      </c>
      <c r="M164">
        <f>VLOOKUP(H164,'Stage Order'!$A$2:$B$8,2,FALSE)</f>
        <v/>
      </c>
      <c r="N164">
        <f>IF(G164&lt;=1,"1. Under 1 hour",IF(G164&lt;=24,"2. 1-24 hours",IF(G164&lt;=72,"3. 1-3 days","4. Over 3 days")))</f>
        <v/>
      </c>
      <c r="O164">
        <f>TEXT(B164,"YYYY-MM")</f>
        <v/>
      </c>
    </row>
    <row r="165">
      <c r="A165" t="inlineStr">
        <is>
          <t>LD-300163</t>
        </is>
      </c>
      <c r="B165" t="inlineStr">
        <is>
          <t>2025-01-10 09:07:00</t>
        </is>
      </c>
      <c r="C165" t="inlineStr">
        <is>
          <t>Webinar</t>
        </is>
      </c>
      <c r="D165" t="inlineStr">
        <is>
          <t>K-12 Math</t>
        </is>
      </c>
      <c r="E165" t="inlineStr">
        <is>
          <t>South Region</t>
        </is>
      </c>
      <c r="F165" t="inlineStr">
        <is>
          <t>Rep_12</t>
        </is>
      </c>
      <c r="G165" t="n">
        <v>3.83</v>
      </c>
      <c r="H165" t="inlineStr">
        <is>
          <t>Closed</t>
        </is>
      </c>
      <c r="I165" t="inlineStr">
        <is>
          <t>Won</t>
        </is>
      </c>
      <c r="K165" t="n">
        <v>541.66</v>
      </c>
      <c r="L165" t="inlineStr">
        <is>
          <t>2025-02-12 23:49:00.342015</t>
        </is>
      </c>
      <c r="M165">
        <f>VLOOKUP(H165,'Stage Order'!$A$2:$B$8,2,FALSE)</f>
        <v/>
      </c>
      <c r="N165">
        <f>IF(G165&lt;=1,"1. Under 1 hour",IF(G165&lt;=24,"2. 1-24 hours",IF(G165&lt;=72,"3. 1-3 days","4. Over 3 days")))</f>
        <v/>
      </c>
      <c r="O165">
        <f>TEXT(B165,"YYYY-MM")</f>
        <v/>
      </c>
    </row>
    <row r="166">
      <c r="A166" t="inlineStr">
        <is>
          <t>LD-300164</t>
        </is>
      </c>
      <c r="B166" t="inlineStr">
        <is>
          <t>2026-03-15 16:06:00</t>
        </is>
      </c>
      <c r="C166" t="inlineStr">
        <is>
          <t>Referral</t>
        </is>
      </c>
      <c r="D166" t="inlineStr">
        <is>
          <t>Study Abroad Prep</t>
        </is>
      </c>
      <c r="E166" t="inlineStr">
        <is>
          <t>South Region</t>
        </is>
      </c>
      <c r="F166" t="inlineStr">
        <is>
          <t>Rep_12</t>
        </is>
      </c>
      <c r="G166" t="n">
        <v>2.06</v>
      </c>
      <c r="H166" t="inlineStr">
        <is>
          <t>Contacted</t>
        </is>
      </c>
      <c r="I166" t="inlineStr">
        <is>
          <t>Open</t>
        </is>
      </c>
      <c r="M166">
        <f>VLOOKUP(H166,'Stage Order'!$A$2:$B$8,2,FALSE)</f>
        <v/>
      </c>
      <c r="N166">
        <f>IF(G166&lt;=1,"1. Under 1 hour",IF(G166&lt;=24,"2. 1-24 hours",IF(G166&lt;=72,"3. 1-3 days","4. Over 3 days")))</f>
        <v/>
      </c>
      <c r="O166">
        <f>TEXT(B166,"YYYY-MM")</f>
        <v/>
      </c>
    </row>
    <row r="167">
      <c r="A167" t="inlineStr">
        <is>
          <t>LD-300165</t>
        </is>
      </c>
      <c r="B167" t="inlineStr">
        <is>
          <t>2026-05-03 15:45:00</t>
        </is>
      </c>
      <c r="C167" t="inlineStr">
        <is>
          <t>Paid Search</t>
        </is>
      </c>
      <c r="D167" t="inlineStr">
        <is>
          <t>Language Learning</t>
        </is>
      </c>
      <c r="E167" t="inlineStr">
        <is>
          <t>North Region</t>
        </is>
      </c>
      <c r="F167" t="inlineStr">
        <is>
          <t>Rep_06</t>
        </is>
      </c>
      <c r="G167" t="n">
        <v>1.29</v>
      </c>
      <c r="H167" t="inlineStr">
        <is>
          <t>Contacted</t>
        </is>
      </c>
      <c r="I167" t="inlineStr">
        <is>
          <t>Open</t>
        </is>
      </c>
      <c r="M167">
        <f>VLOOKUP(H167,'Stage Order'!$A$2:$B$8,2,FALSE)</f>
        <v/>
      </c>
      <c r="N167">
        <f>IF(G167&lt;=1,"1. Under 1 hour",IF(G167&lt;=24,"2. 1-24 hours",IF(G167&lt;=72,"3. 1-3 days","4. Over 3 days")))</f>
        <v/>
      </c>
      <c r="O167">
        <f>TEXT(B167,"YYYY-MM")</f>
        <v/>
      </c>
    </row>
    <row r="168">
      <c r="A168" t="inlineStr">
        <is>
          <t>LD-300166</t>
        </is>
      </c>
      <c r="B168" t="inlineStr">
        <is>
          <t>2025-12-26 07:37:00</t>
        </is>
      </c>
      <c r="C168" t="inlineStr">
        <is>
          <t>Referral</t>
        </is>
      </c>
      <c r="D168" t="inlineStr">
        <is>
          <t>Language Learning</t>
        </is>
      </c>
      <c r="E168" t="inlineStr">
        <is>
          <t>South Region</t>
        </is>
      </c>
      <c r="F168" t="inlineStr">
        <is>
          <t>Rep_02</t>
        </is>
      </c>
      <c r="G168" t="n">
        <v>7.1</v>
      </c>
      <c r="H168" t="inlineStr">
        <is>
          <t>Closed</t>
        </is>
      </c>
      <c r="I168" t="inlineStr">
        <is>
          <t>Won</t>
        </is>
      </c>
      <c r="K168" t="n">
        <v>301.61</v>
      </c>
      <c r="L168" t="inlineStr">
        <is>
          <t>2026-02-02 09:33:15.998939</t>
        </is>
      </c>
      <c r="M168">
        <f>VLOOKUP(H168,'Stage Order'!$A$2:$B$8,2,FALSE)</f>
        <v/>
      </c>
      <c r="N168">
        <f>IF(G168&lt;=1,"1. Under 1 hour",IF(G168&lt;=24,"2. 1-24 hours",IF(G168&lt;=72,"3. 1-3 days","4. Over 3 days")))</f>
        <v/>
      </c>
      <c r="O168">
        <f>TEXT(B168,"YYYY-MM")</f>
        <v/>
      </c>
    </row>
    <row r="169">
      <c r="A169" t="inlineStr">
        <is>
          <t>LD-300167</t>
        </is>
      </c>
      <c r="B169" t="inlineStr">
        <is>
          <t>2025-11-23 09:21:00</t>
        </is>
      </c>
      <c r="C169" t="inlineStr">
        <is>
          <t>Webinar</t>
        </is>
      </c>
      <c r="D169" t="inlineStr">
        <is>
          <t>K-12 Math</t>
        </is>
      </c>
      <c r="E169" t="inlineStr">
        <is>
          <t>International</t>
        </is>
      </c>
      <c r="F169" t="inlineStr">
        <is>
          <t>Rep_15</t>
        </is>
      </c>
      <c r="G169" t="n">
        <v>3.13</v>
      </c>
      <c r="H169" t="inlineStr">
        <is>
          <t>Closed</t>
        </is>
      </c>
      <c r="I169" t="inlineStr">
        <is>
          <t>Won</t>
        </is>
      </c>
      <c r="K169" t="n">
        <v>458.4</v>
      </c>
      <c r="L169" t="inlineStr">
        <is>
          <t>2026-01-04 05:41:41.938970</t>
        </is>
      </c>
      <c r="M169">
        <f>VLOOKUP(H169,'Stage Order'!$A$2:$B$8,2,FALSE)</f>
        <v/>
      </c>
      <c r="N169">
        <f>IF(G169&lt;=1,"1. Under 1 hour",IF(G169&lt;=24,"2. 1-24 hours",IF(G169&lt;=72,"3. 1-3 days","4. Over 3 days")))</f>
        <v/>
      </c>
      <c r="O169">
        <f>TEXT(B169,"YYYY-MM")</f>
        <v/>
      </c>
    </row>
    <row r="170">
      <c r="A170" t="inlineStr">
        <is>
          <t>LD-300168</t>
        </is>
      </c>
      <c r="B170" t="inlineStr">
        <is>
          <t>2025-02-27 17:27:00</t>
        </is>
      </c>
      <c r="C170" t="inlineStr">
        <is>
          <t>Organic Search</t>
        </is>
      </c>
      <c r="D170" t="inlineStr">
        <is>
          <t>Study Abroad Prep</t>
        </is>
      </c>
      <c r="E170" t="inlineStr">
        <is>
          <t>South Region</t>
        </is>
      </c>
      <c r="F170" t="inlineStr">
        <is>
          <t>Rep_02</t>
        </is>
      </c>
      <c r="G170" t="n">
        <v>3.24</v>
      </c>
      <c r="H170" t="inlineStr">
        <is>
          <t>Demo Completed</t>
        </is>
      </c>
      <c r="I170" t="inlineStr">
        <is>
          <t>Lost</t>
        </is>
      </c>
      <c r="J170" t="inlineStr">
        <is>
          <t>Bad Timing</t>
        </is>
      </c>
      <c r="K170" t="n">
        <v>1321</v>
      </c>
      <c r="L170" t="inlineStr">
        <is>
          <t>2025-03-31 12:53:27.572940</t>
        </is>
      </c>
      <c r="M170">
        <f>VLOOKUP(H170,'Stage Order'!$A$2:$B$8,2,FALSE)</f>
        <v/>
      </c>
      <c r="N170">
        <f>IF(G170&lt;=1,"1. Under 1 hour",IF(G170&lt;=24,"2. 1-24 hours",IF(G170&lt;=72,"3. 1-3 days","4. Over 3 days")))</f>
        <v/>
      </c>
      <c r="O170">
        <f>TEXT(B170,"YYYY-MM")</f>
        <v/>
      </c>
    </row>
    <row r="171">
      <c r="A171" t="inlineStr">
        <is>
          <t>LD-300169</t>
        </is>
      </c>
      <c r="B171" t="inlineStr">
        <is>
          <t>2025-03-08 09:58:00</t>
        </is>
      </c>
      <c r="C171" t="inlineStr">
        <is>
          <t>Organic Search</t>
        </is>
      </c>
      <c r="D171" t="inlineStr">
        <is>
          <t>Language Learning</t>
        </is>
      </c>
      <c r="E171" t="inlineStr">
        <is>
          <t>West Region</t>
        </is>
      </c>
      <c r="F171" t="inlineStr">
        <is>
          <t>Rep_03</t>
        </is>
      </c>
      <c r="G171" t="n">
        <v>3.82</v>
      </c>
      <c r="H171" t="inlineStr">
        <is>
          <t>Contacted</t>
        </is>
      </c>
      <c r="I171" t="inlineStr">
        <is>
          <t>Open</t>
        </is>
      </c>
      <c r="M171">
        <f>VLOOKUP(H171,'Stage Order'!$A$2:$B$8,2,FALSE)</f>
        <v/>
      </c>
      <c r="N171">
        <f>IF(G171&lt;=1,"1. Under 1 hour",IF(G171&lt;=24,"2. 1-24 hours",IF(G171&lt;=72,"3. 1-3 days","4. Over 3 days")))</f>
        <v/>
      </c>
      <c r="O171">
        <f>TEXT(B171,"YYYY-MM")</f>
        <v/>
      </c>
    </row>
    <row r="172">
      <c r="A172" t="inlineStr">
        <is>
          <t>LD-300170</t>
        </is>
      </c>
      <c r="B172" t="inlineStr">
        <is>
          <t>2025-03-28 11:41:00</t>
        </is>
      </c>
      <c r="C172" t="inlineStr">
        <is>
          <t>Organic Search</t>
        </is>
      </c>
      <c r="D172" t="inlineStr">
        <is>
          <t>Competitive Exam Prep</t>
        </is>
      </c>
      <c r="E172" t="inlineStr">
        <is>
          <t>North Region</t>
        </is>
      </c>
      <c r="F172" t="inlineStr">
        <is>
          <t>Rep_11</t>
        </is>
      </c>
      <c r="G172" t="n">
        <v>3.76</v>
      </c>
      <c r="H172" t="inlineStr">
        <is>
          <t>Contacted</t>
        </is>
      </c>
      <c r="I172" t="inlineStr">
        <is>
          <t>Open</t>
        </is>
      </c>
      <c r="M172">
        <f>VLOOKUP(H172,'Stage Order'!$A$2:$B$8,2,FALSE)</f>
        <v/>
      </c>
      <c r="N172">
        <f>IF(G172&lt;=1,"1. Under 1 hour",IF(G172&lt;=24,"2. 1-24 hours",IF(G172&lt;=72,"3. 1-3 days","4. Over 3 days")))</f>
        <v/>
      </c>
      <c r="O172">
        <f>TEXT(B172,"YYYY-MM")</f>
        <v/>
      </c>
    </row>
    <row r="173">
      <c r="A173" t="inlineStr">
        <is>
          <t>LD-300171</t>
        </is>
      </c>
      <c r="B173" t="inlineStr">
        <is>
          <t>2025-05-04 14:46:00</t>
        </is>
      </c>
      <c r="C173" t="inlineStr">
        <is>
          <t>Referral</t>
        </is>
      </c>
      <c r="D173" t="inlineStr">
        <is>
          <t>K-12 Math</t>
        </is>
      </c>
      <c r="E173" t="inlineStr">
        <is>
          <t>West Region</t>
        </is>
      </c>
      <c r="F173" t="inlineStr">
        <is>
          <t>Rep_08</t>
        </is>
      </c>
      <c r="G173" t="n">
        <v>0.79</v>
      </c>
      <c r="H173" t="inlineStr">
        <is>
          <t>Closed</t>
        </is>
      </c>
      <c r="I173" t="inlineStr">
        <is>
          <t>Won</t>
        </is>
      </c>
      <c r="K173" t="n">
        <v>415.79</v>
      </c>
      <c r="L173" t="inlineStr">
        <is>
          <t>2025-06-14 04:49:31.884130</t>
        </is>
      </c>
      <c r="M173">
        <f>VLOOKUP(H173,'Stage Order'!$A$2:$B$8,2,FALSE)</f>
        <v/>
      </c>
      <c r="N173">
        <f>IF(G173&lt;=1,"1. Under 1 hour",IF(G173&lt;=24,"2. 1-24 hours",IF(G173&lt;=72,"3. 1-3 days","4. Over 3 days")))</f>
        <v/>
      </c>
      <c r="O173">
        <f>TEXT(B173,"YYYY-MM")</f>
        <v/>
      </c>
    </row>
    <row r="174">
      <c r="A174" t="inlineStr">
        <is>
          <t>LD-300172</t>
        </is>
      </c>
      <c r="B174" t="inlineStr">
        <is>
          <t>2025-06-27 19:12:00</t>
        </is>
      </c>
      <c r="C174" t="inlineStr">
        <is>
          <t>Webinar</t>
        </is>
      </c>
      <c r="D174" t="inlineStr">
        <is>
          <t>Language Learning</t>
        </is>
      </c>
      <c r="E174" t="inlineStr">
        <is>
          <t>West Region</t>
        </is>
      </c>
      <c r="F174" t="inlineStr">
        <is>
          <t>Rep_13</t>
        </is>
      </c>
      <c r="G174" t="n">
        <v>4.6</v>
      </c>
      <c r="H174" t="inlineStr">
        <is>
          <t>Closed</t>
        </is>
      </c>
      <c r="I174" t="inlineStr">
        <is>
          <t>Won</t>
        </is>
      </c>
      <c r="K174" t="n">
        <v>382.75</v>
      </c>
      <c r="L174" t="inlineStr">
        <is>
          <t>2025-08-11 02:27:25.542150</t>
        </is>
      </c>
      <c r="M174">
        <f>VLOOKUP(H174,'Stage Order'!$A$2:$B$8,2,FALSE)</f>
        <v/>
      </c>
      <c r="N174">
        <f>IF(G174&lt;=1,"1. Under 1 hour",IF(G174&lt;=24,"2. 1-24 hours",IF(G174&lt;=72,"3. 1-3 days","4. Over 3 days")))</f>
        <v/>
      </c>
      <c r="O174">
        <f>TEXT(B174,"YYYY-MM")</f>
        <v/>
      </c>
    </row>
    <row r="175">
      <c r="A175" t="inlineStr">
        <is>
          <t>LD-300173</t>
        </is>
      </c>
      <c r="B175" t="inlineStr">
        <is>
          <t>2025-05-02 11:06:00</t>
        </is>
      </c>
      <c r="C175" t="inlineStr">
        <is>
          <t>Partner Channel</t>
        </is>
      </c>
      <c r="D175" t="inlineStr">
        <is>
          <t>Coding for Kids</t>
        </is>
      </c>
      <c r="E175" t="inlineStr">
        <is>
          <t>South Region</t>
        </is>
      </c>
      <c r="F175" t="inlineStr">
        <is>
          <t>Rep_07</t>
        </is>
      </c>
      <c r="G175" t="n">
        <v>1.65</v>
      </c>
      <c r="H175" t="inlineStr">
        <is>
          <t>Contacted</t>
        </is>
      </c>
      <c r="I175" t="inlineStr">
        <is>
          <t>Open</t>
        </is>
      </c>
      <c r="M175">
        <f>VLOOKUP(H175,'Stage Order'!$A$2:$B$8,2,FALSE)</f>
        <v/>
      </c>
      <c r="N175">
        <f>IF(G175&lt;=1,"1. Under 1 hour",IF(G175&lt;=24,"2. 1-24 hours",IF(G175&lt;=72,"3. 1-3 days","4. Over 3 days")))</f>
        <v/>
      </c>
      <c r="O175">
        <f>TEXT(B175,"YYYY-MM")</f>
        <v/>
      </c>
    </row>
    <row r="176">
      <c r="A176" t="inlineStr">
        <is>
          <t>LD-300174</t>
        </is>
      </c>
      <c r="B176" t="inlineStr">
        <is>
          <t>2025-06-13 18:14:00</t>
        </is>
      </c>
      <c r="C176" t="inlineStr">
        <is>
          <t>Social Media</t>
        </is>
      </c>
      <c r="D176" t="inlineStr">
        <is>
          <t>Language Learning</t>
        </is>
      </c>
      <c r="E176" t="inlineStr">
        <is>
          <t>South Region</t>
        </is>
      </c>
      <c r="F176" t="inlineStr">
        <is>
          <t>Rep_07</t>
        </is>
      </c>
      <c r="G176" t="n">
        <v>14.17</v>
      </c>
      <c r="H176" t="inlineStr">
        <is>
          <t>Demo Completed</t>
        </is>
      </c>
      <c r="I176" t="inlineStr">
        <is>
          <t>Lost</t>
        </is>
      </c>
      <c r="J176" t="inlineStr">
        <is>
          <t>No Response / Ghosted</t>
        </is>
      </c>
      <c r="K176" t="n">
        <v>349.42</v>
      </c>
      <c r="L176" t="inlineStr">
        <is>
          <t>2025-07-12 09:00:24.522141</t>
        </is>
      </c>
      <c r="M176">
        <f>VLOOKUP(H176,'Stage Order'!$A$2:$B$8,2,FALSE)</f>
        <v/>
      </c>
      <c r="N176">
        <f>IF(G176&lt;=1,"1. Under 1 hour",IF(G176&lt;=24,"2. 1-24 hours",IF(G176&lt;=72,"3. 1-3 days","4. Over 3 days")))</f>
        <v/>
      </c>
      <c r="O176">
        <f>TEXT(B176,"YYYY-MM")</f>
        <v/>
      </c>
    </row>
    <row r="177">
      <c r="A177" t="inlineStr">
        <is>
          <t>LD-300175</t>
        </is>
      </c>
      <c r="B177" t="inlineStr">
        <is>
          <t>2026-04-05 08:56:00</t>
        </is>
      </c>
      <c r="C177" t="inlineStr">
        <is>
          <t>Social Media</t>
        </is>
      </c>
      <c r="D177" t="inlineStr">
        <is>
          <t>Coding for Kids</t>
        </is>
      </c>
      <c r="E177" t="inlineStr">
        <is>
          <t>South Region</t>
        </is>
      </c>
      <c r="F177" t="inlineStr">
        <is>
          <t>Rep_07</t>
        </is>
      </c>
      <c r="G177" t="n">
        <v>2.2</v>
      </c>
      <c r="H177" t="inlineStr">
        <is>
          <t>Proposal Sent</t>
        </is>
      </c>
      <c r="I177" t="inlineStr">
        <is>
          <t>Lost</t>
        </is>
      </c>
      <c r="J177" t="inlineStr">
        <is>
          <t>Went With Competitor</t>
        </is>
      </c>
      <c r="K177" t="n">
        <v>757.04</v>
      </c>
      <c r="L177" t="inlineStr">
        <is>
          <t>2026-05-04 14:37:45.454412</t>
        </is>
      </c>
      <c r="M177">
        <f>VLOOKUP(H177,'Stage Order'!$A$2:$B$8,2,FALSE)</f>
        <v/>
      </c>
      <c r="N177">
        <f>IF(G177&lt;=1,"1. Under 1 hour",IF(G177&lt;=24,"2. 1-24 hours",IF(G177&lt;=72,"3. 1-3 days","4. Over 3 days")))</f>
        <v/>
      </c>
      <c r="O177">
        <f>TEXT(B177,"YYYY-MM")</f>
        <v/>
      </c>
    </row>
    <row r="178">
      <c r="A178" t="inlineStr">
        <is>
          <t>LD-300176</t>
        </is>
      </c>
      <c r="B178" t="inlineStr">
        <is>
          <t>2025-06-20 17:30:00</t>
        </is>
      </c>
      <c r="C178" t="inlineStr">
        <is>
          <t>Paid Search</t>
        </is>
      </c>
      <c r="D178" t="inlineStr">
        <is>
          <t>Language Learning</t>
        </is>
      </c>
      <c r="E178" t="inlineStr">
        <is>
          <t>South Region</t>
        </is>
      </c>
      <c r="F178" t="inlineStr">
        <is>
          <t>Rep_12</t>
        </is>
      </c>
      <c r="G178" t="n">
        <v>1.46</v>
      </c>
      <c r="H178" t="inlineStr">
        <is>
          <t>Lead</t>
        </is>
      </c>
      <c r="I178" t="inlineStr">
        <is>
          <t>Open</t>
        </is>
      </c>
      <c r="M178">
        <f>VLOOKUP(H178,'Stage Order'!$A$2:$B$8,2,FALSE)</f>
        <v/>
      </c>
      <c r="N178">
        <f>IF(G178&lt;=1,"1. Under 1 hour",IF(G178&lt;=24,"2. 1-24 hours",IF(G178&lt;=72,"3. 1-3 days","4. Over 3 days")))</f>
        <v/>
      </c>
      <c r="O178">
        <f>TEXT(B178,"YYYY-MM")</f>
        <v/>
      </c>
    </row>
    <row r="179">
      <c r="A179" t="inlineStr">
        <is>
          <t>LD-300177</t>
        </is>
      </c>
      <c r="B179" t="inlineStr">
        <is>
          <t>2025-07-24 16:31:00</t>
        </is>
      </c>
      <c r="C179" t="inlineStr">
        <is>
          <t>Social Media</t>
        </is>
      </c>
      <c r="D179" t="inlineStr">
        <is>
          <t>Language Learning</t>
        </is>
      </c>
      <c r="E179" t="inlineStr">
        <is>
          <t>North Region</t>
        </is>
      </c>
      <c r="F179" t="inlineStr">
        <is>
          <t>Rep_11</t>
        </is>
      </c>
      <c r="G179" t="n">
        <v>1.4</v>
      </c>
      <c r="H179" t="inlineStr">
        <is>
          <t>Demo Completed</t>
        </is>
      </c>
      <c r="I179" t="inlineStr">
        <is>
          <t>Lost</t>
        </is>
      </c>
      <c r="J179" t="inlineStr">
        <is>
          <t>Went With Competitor</t>
        </is>
      </c>
      <c r="K179" t="n">
        <v>391.35</v>
      </c>
      <c r="L179" t="inlineStr">
        <is>
          <t>2025-08-26 04:26:19.838031</t>
        </is>
      </c>
      <c r="M179">
        <f>VLOOKUP(H179,'Stage Order'!$A$2:$B$8,2,FALSE)</f>
        <v/>
      </c>
      <c r="N179">
        <f>IF(G179&lt;=1,"1. Under 1 hour",IF(G179&lt;=24,"2. 1-24 hours",IF(G179&lt;=72,"3. 1-3 days","4. Over 3 days")))</f>
        <v/>
      </c>
      <c r="O179">
        <f>TEXT(B179,"YYYY-MM")</f>
        <v/>
      </c>
    </row>
    <row r="180">
      <c r="A180" t="inlineStr">
        <is>
          <t>LD-300178</t>
        </is>
      </c>
      <c r="B180" t="inlineStr">
        <is>
          <t>2025-06-04 13:10:00</t>
        </is>
      </c>
      <c r="C180" t="inlineStr">
        <is>
          <t>Organic Search</t>
        </is>
      </c>
      <c r="D180" t="inlineStr">
        <is>
          <t>K-12 Math</t>
        </is>
      </c>
      <c r="E180" t="inlineStr">
        <is>
          <t>West Region</t>
        </is>
      </c>
      <c r="F180" t="inlineStr">
        <is>
          <t>Rep_08</t>
        </is>
      </c>
      <c r="G180" t="n">
        <v>2.13</v>
      </c>
      <c r="H180" t="inlineStr">
        <is>
          <t>Contacted</t>
        </is>
      </c>
      <c r="I180" t="inlineStr">
        <is>
          <t>Open</t>
        </is>
      </c>
      <c r="M180">
        <f>VLOOKUP(H180,'Stage Order'!$A$2:$B$8,2,FALSE)</f>
        <v/>
      </c>
      <c r="N180">
        <f>IF(G180&lt;=1,"1. Under 1 hour",IF(G180&lt;=24,"2. 1-24 hours",IF(G180&lt;=72,"3. 1-3 days","4. Over 3 days")))</f>
        <v/>
      </c>
      <c r="O180">
        <f>TEXT(B180,"YYYY-MM")</f>
        <v/>
      </c>
    </row>
    <row r="181">
      <c r="A181" t="inlineStr">
        <is>
          <t>LD-300179</t>
        </is>
      </c>
      <c r="B181" t="inlineStr">
        <is>
          <t>2026-03-31 11:13:00</t>
        </is>
      </c>
      <c r="C181" t="inlineStr">
        <is>
          <t>Cold Outreach</t>
        </is>
      </c>
      <c r="D181" t="inlineStr">
        <is>
          <t>K-12 Math</t>
        </is>
      </c>
      <c r="E181" t="inlineStr">
        <is>
          <t>East Region</t>
        </is>
      </c>
      <c r="F181" t="inlineStr">
        <is>
          <t>Rep_14</t>
        </is>
      </c>
      <c r="G181" t="n">
        <v>6.19</v>
      </c>
      <c r="H181" t="inlineStr">
        <is>
          <t>Lead</t>
        </is>
      </c>
      <c r="I181" t="inlineStr">
        <is>
          <t>Open</t>
        </is>
      </c>
      <c r="M181">
        <f>VLOOKUP(H181,'Stage Order'!$A$2:$B$8,2,FALSE)</f>
        <v/>
      </c>
      <c r="N181">
        <f>IF(G181&lt;=1,"1. Under 1 hour",IF(G181&lt;=24,"2. 1-24 hours",IF(G181&lt;=72,"3. 1-3 days","4. Over 3 days")))</f>
        <v/>
      </c>
      <c r="O181">
        <f>TEXT(B181,"YYYY-MM")</f>
        <v/>
      </c>
    </row>
    <row r="182">
      <c r="A182" t="inlineStr">
        <is>
          <t>LD-300180</t>
        </is>
      </c>
      <c r="B182" t="inlineStr">
        <is>
          <t>2026-04-24 18:36:00</t>
        </is>
      </c>
      <c r="C182" t="inlineStr">
        <is>
          <t>Paid Search</t>
        </is>
      </c>
      <c r="D182" t="inlineStr">
        <is>
          <t>Language Learning</t>
        </is>
      </c>
      <c r="E182" t="inlineStr">
        <is>
          <t>International</t>
        </is>
      </c>
      <c r="F182" t="inlineStr">
        <is>
          <t>Rep_10</t>
        </is>
      </c>
      <c r="G182" t="n">
        <v>5.49</v>
      </c>
      <c r="H182" t="inlineStr">
        <is>
          <t>Lead</t>
        </is>
      </c>
      <c r="I182" t="inlineStr">
        <is>
          <t>Open</t>
        </is>
      </c>
      <c r="M182">
        <f>VLOOKUP(H182,'Stage Order'!$A$2:$B$8,2,FALSE)</f>
        <v/>
      </c>
      <c r="N182">
        <f>IF(G182&lt;=1,"1. Under 1 hour",IF(G182&lt;=24,"2. 1-24 hours",IF(G182&lt;=72,"3. 1-3 days","4. Over 3 days")))</f>
        <v/>
      </c>
      <c r="O182">
        <f>TEXT(B182,"YYYY-MM")</f>
        <v/>
      </c>
    </row>
    <row r="183">
      <c r="A183" t="inlineStr">
        <is>
          <t>LD-300181</t>
        </is>
      </c>
      <c r="B183" t="inlineStr">
        <is>
          <t>2026-06-16 10:15:00</t>
        </is>
      </c>
      <c r="C183" t="inlineStr">
        <is>
          <t>Organic Search</t>
        </is>
      </c>
      <c r="D183" t="inlineStr">
        <is>
          <t>Coding for Kids</t>
        </is>
      </c>
      <c r="E183" t="inlineStr">
        <is>
          <t>South Region</t>
        </is>
      </c>
      <c r="F183" t="inlineStr">
        <is>
          <t>Rep_02</t>
        </is>
      </c>
      <c r="G183" t="n">
        <v>14.7</v>
      </c>
      <c r="H183" t="inlineStr">
        <is>
          <t>Contacted</t>
        </is>
      </c>
      <c r="I183" t="inlineStr">
        <is>
          <t>Open</t>
        </is>
      </c>
      <c r="M183">
        <f>VLOOKUP(H183,'Stage Order'!$A$2:$B$8,2,FALSE)</f>
        <v/>
      </c>
      <c r="N183">
        <f>IF(G183&lt;=1,"1. Under 1 hour",IF(G183&lt;=24,"2. 1-24 hours",IF(G183&lt;=72,"3. 1-3 days","4. Over 3 days")))</f>
        <v/>
      </c>
      <c r="O183">
        <f>TEXT(B183,"YYYY-MM")</f>
        <v/>
      </c>
    </row>
    <row r="184">
      <c r="A184" t="inlineStr">
        <is>
          <t>LD-300182</t>
        </is>
      </c>
      <c r="B184" t="inlineStr">
        <is>
          <t>2025-07-10 07:53:00</t>
        </is>
      </c>
      <c r="C184" t="inlineStr">
        <is>
          <t>Referral</t>
        </is>
      </c>
      <c r="D184" t="inlineStr">
        <is>
          <t>K-12 Math</t>
        </is>
      </c>
      <c r="E184" t="inlineStr">
        <is>
          <t>South Region</t>
        </is>
      </c>
      <c r="F184" t="inlineStr">
        <is>
          <t>Rep_07</t>
        </is>
      </c>
      <c r="G184" t="n">
        <v>4.66</v>
      </c>
      <c r="H184" t="inlineStr">
        <is>
          <t>Lead</t>
        </is>
      </c>
      <c r="I184" t="inlineStr">
        <is>
          <t>Open</t>
        </is>
      </c>
      <c r="M184">
        <f>VLOOKUP(H184,'Stage Order'!$A$2:$B$8,2,FALSE)</f>
        <v/>
      </c>
      <c r="N184">
        <f>IF(G184&lt;=1,"1. Under 1 hour",IF(G184&lt;=24,"2. 1-24 hours",IF(G184&lt;=72,"3. 1-3 days","4. Over 3 days")))</f>
        <v/>
      </c>
      <c r="O184">
        <f>TEXT(B184,"YYYY-MM")</f>
        <v/>
      </c>
    </row>
    <row r="185">
      <c r="A185" t="inlineStr">
        <is>
          <t>LD-300183</t>
        </is>
      </c>
      <c r="B185" t="inlineStr">
        <is>
          <t>2025-09-16 18:57:00</t>
        </is>
      </c>
      <c r="C185" t="inlineStr">
        <is>
          <t>Webinar</t>
        </is>
      </c>
      <c r="D185" t="inlineStr">
        <is>
          <t>Competitive Exam Prep</t>
        </is>
      </c>
      <c r="E185" t="inlineStr">
        <is>
          <t>North Region</t>
        </is>
      </c>
      <c r="F185" t="inlineStr">
        <is>
          <t>Rep_01</t>
        </is>
      </c>
      <c r="G185" t="n">
        <v>1.09</v>
      </c>
      <c r="H185" t="inlineStr">
        <is>
          <t>Closed</t>
        </is>
      </c>
      <c r="I185" t="inlineStr">
        <is>
          <t>Won</t>
        </is>
      </c>
      <c r="K185" t="n">
        <v>901.66</v>
      </c>
      <c r="L185" t="inlineStr">
        <is>
          <t>2025-10-28 01:05:53.679192</t>
        </is>
      </c>
      <c r="M185">
        <f>VLOOKUP(H185,'Stage Order'!$A$2:$B$8,2,FALSE)</f>
        <v/>
      </c>
      <c r="N185">
        <f>IF(G185&lt;=1,"1. Under 1 hour",IF(G185&lt;=24,"2. 1-24 hours",IF(G185&lt;=72,"3. 1-3 days","4. Over 3 days")))</f>
        <v/>
      </c>
      <c r="O185">
        <f>TEXT(B185,"YYYY-MM")</f>
        <v/>
      </c>
    </row>
    <row r="186">
      <c r="A186" t="inlineStr">
        <is>
          <t>LD-300184</t>
        </is>
      </c>
      <c r="B186" t="inlineStr">
        <is>
          <t>2025-08-12 11:11:00</t>
        </is>
      </c>
      <c r="C186" t="inlineStr">
        <is>
          <t>Paid Search</t>
        </is>
      </c>
      <c r="D186" t="inlineStr">
        <is>
          <t>Study Abroad Prep</t>
        </is>
      </c>
      <c r="E186" t="inlineStr">
        <is>
          <t>North Region</t>
        </is>
      </c>
      <c r="F186" t="inlineStr">
        <is>
          <t>Rep_01</t>
        </is>
      </c>
      <c r="G186" t="n">
        <v>10.61</v>
      </c>
      <c r="H186" t="inlineStr">
        <is>
          <t>Contacted</t>
        </is>
      </c>
      <c r="I186" t="inlineStr">
        <is>
          <t>Open</t>
        </is>
      </c>
      <c r="M186">
        <f>VLOOKUP(H186,'Stage Order'!$A$2:$B$8,2,FALSE)</f>
        <v/>
      </c>
      <c r="N186">
        <f>IF(G186&lt;=1,"1. Under 1 hour",IF(G186&lt;=24,"2. 1-24 hours",IF(G186&lt;=72,"3. 1-3 days","4. Over 3 days")))</f>
        <v/>
      </c>
      <c r="O186">
        <f>TEXT(B186,"YYYY-MM")</f>
        <v/>
      </c>
    </row>
    <row r="187">
      <c r="A187" t="inlineStr">
        <is>
          <t>LD-300185</t>
        </is>
      </c>
      <c r="B187" t="inlineStr">
        <is>
          <t>2025-02-07 10:09:00</t>
        </is>
      </c>
      <c r="C187" t="inlineStr">
        <is>
          <t>Referral</t>
        </is>
      </c>
      <c r="D187" t="inlineStr">
        <is>
          <t>Language Learning</t>
        </is>
      </c>
      <c r="E187" t="inlineStr">
        <is>
          <t>South Region</t>
        </is>
      </c>
      <c r="F187" t="inlineStr">
        <is>
          <t>Rep_12</t>
        </is>
      </c>
      <c r="G187" t="n">
        <v>4.45</v>
      </c>
      <c r="H187" t="inlineStr">
        <is>
          <t>Proposal Sent</t>
        </is>
      </c>
      <c r="I187" t="inlineStr">
        <is>
          <t>Lost</t>
        </is>
      </c>
      <c r="J187" t="inlineStr">
        <is>
          <t>Price Objection</t>
        </is>
      </c>
      <c r="K187" t="n">
        <v>304.02</v>
      </c>
      <c r="L187" t="inlineStr">
        <is>
          <t>2025-03-14 17:53:46.518614</t>
        </is>
      </c>
      <c r="M187">
        <f>VLOOKUP(H187,'Stage Order'!$A$2:$B$8,2,FALSE)</f>
        <v/>
      </c>
      <c r="N187">
        <f>IF(G187&lt;=1,"1. Under 1 hour",IF(G187&lt;=24,"2. 1-24 hours",IF(G187&lt;=72,"3. 1-3 days","4. Over 3 days")))</f>
        <v/>
      </c>
      <c r="O187">
        <f>TEXT(B187,"YYYY-MM")</f>
        <v/>
      </c>
    </row>
    <row r="188">
      <c r="A188" t="inlineStr">
        <is>
          <t>LD-300186</t>
        </is>
      </c>
      <c r="B188" t="inlineStr">
        <is>
          <t>2026-04-28 09:22:00</t>
        </is>
      </c>
      <c r="C188" t="inlineStr">
        <is>
          <t>Organic Search</t>
        </is>
      </c>
      <c r="D188" t="inlineStr">
        <is>
          <t>Competitive Exam Prep</t>
        </is>
      </c>
      <c r="E188" t="inlineStr">
        <is>
          <t>North Region</t>
        </is>
      </c>
      <c r="F188" t="inlineStr">
        <is>
          <t>Rep_11</t>
        </is>
      </c>
      <c r="G188" t="n">
        <v>5.37</v>
      </c>
      <c r="H188" t="inlineStr">
        <is>
          <t>Contacted</t>
        </is>
      </c>
      <c r="I188" t="inlineStr">
        <is>
          <t>Open</t>
        </is>
      </c>
      <c r="M188">
        <f>VLOOKUP(H188,'Stage Order'!$A$2:$B$8,2,FALSE)</f>
        <v/>
      </c>
      <c r="N188">
        <f>IF(G188&lt;=1,"1. Under 1 hour",IF(G188&lt;=24,"2. 1-24 hours",IF(G188&lt;=72,"3. 1-3 days","4. Over 3 days")))</f>
        <v/>
      </c>
      <c r="O188">
        <f>TEXT(B188,"YYYY-MM")</f>
        <v/>
      </c>
    </row>
    <row r="189">
      <c r="A189" t="inlineStr">
        <is>
          <t>LD-300187</t>
        </is>
      </c>
      <c r="B189" t="inlineStr">
        <is>
          <t>2026-05-20 16:56:00</t>
        </is>
      </c>
      <c r="C189" t="inlineStr">
        <is>
          <t>Partner Channel</t>
        </is>
      </c>
      <c r="D189" t="inlineStr">
        <is>
          <t>K-12 Math</t>
        </is>
      </c>
      <c r="E189" t="inlineStr">
        <is>
          <t>West Region</t>
        </is>
      </c>
      <c r="F189" t="inlineStr">
        <is>
          <t>Rep_13</t>
        </is>
      </c>
      <c r="G189" t="n">
        <v>1.75</v>
      </c>
      <c r="H189" t="inlineStr">
        <is>
          <t>Contacted</t>
        </is>
      </c>
      <c r="I189" t="inlineStr">
        <is>
          <t>Open</t>
        </is>
      </c>
      <c r="M189">
        <f>VLOOKUP(H189,'Stage Order'!$A$2:$B$8,2,FALSE)</f>
        <v/>
      </c>
      <c r="N189">
        <f>IF(G189&lt;=1,"1. Under 1 hour",IF(G189&lt;=24,"2. 1-24 hours",IF(G189&lt;=72,"3. 1-3 days","4. Over 3 days")))</f>
        <v/>
      </c>
      <c r="O189">
        <f>TEXT(B189,"YYYY-MM")</f>
        <v/>
      </c>
    </row>
    <row r="190">
      <c r="A190" t="inlineStr">
        <is>
          <t>LD-300188</t>
        </is>
      </c>
      <c r="B190" t="inlineStr">
        <is>
          <t>2026-03-27 15:56:00</t>
        </is>
      </c>
      <c r="C190" t="inlineStr">
        <is>
          <t>Social Media</t>
        </is>
      </c>
      <c r="D190" t="inlineStr">
        <is>
          <t>K-12 Math</t>
        </is>
      </c>
      <c r="E190" t="inlineStr">
        <is>
          <t>East Region</t>
        </is>
      </c>
      <c r="F190" t="inlineStr">
        <is>
          <t>Rep_04</t>
        </is>
      </c>
      <c r="G190" t="n">
        <v>1.09</v>
      </c>
      <c r="H190" t="inlineStr">
        <is>
          <t>Lead</t>
        </is>
      </c>
      <c r="I190" t="inlineStr">
        <is>
          <t>Open</t>
        </is>
      </c>
      <c r="M190">
        <f>VLOOKUP(H190,'Stage Order'!$A$2:$B$8,2,FALSE)</f>
        <v/>
      </c>
      <c r="N190">
        <f>IF(G190&lt;=1,"1. Under 1 hour",IF(G190&lt;=24,"2. 1-24 hours",IF(G190&lt;=72,"3. 1-3 days","4. Over 3 days")))</f>
        <v/>
      </c>
      <c r="O190">
        <f>TEXT(B190,"YYYY-MM")</f>
        <v/>
      </c>
    </row>
    <row r="191">
      <c r="A191" t="inlineStr">
        <is>
          <t>LD-300189</t>
        </is>
      </c>
      <c r="B191" t="inlineStr">
        <is>
          <t>2026-03-23 08:03:00</t>
        </is>
      </c>
      <c r="C191" t="inlineStr">
        <is>
          <t>Organic Search</t>
        </is>
      </c>
      <c r="D191" t="inlineStr">
        <is>
          <t>Language Learning</t>
        </is>
      </c>
      <c r="E191" t="inlineStr">
        <is>
          <t>West Region</t>
        </is>
      </c>
      <c r="F191" t="inlineStr">
        <is>
          <t>Rep_08</t>
        </is>
      </c>
      <c r="G191" t="n">
        <v>1.82</v>
      </c>
      <c r="H191" t="inlineStr">
        <is>
          <t>Closed</t>
        </is>
      </c>
      <c r="I191" t="inlineStr">
        <is>
          <t>Won</t>
        </is>
      </c>
      <c r="K191" t="n">
        <v>375.52</v>
      </c>
      <c r="L191" t="inlineStr">
        <is>
          <t>2026-05-19 06:14:29.251920</t>
        </is>
      </c>
      <c r="M191">
        <f>VLOOKUP(H191,'Stage Order'!$A$2:$B$8,2,FALSE)</f>
        <v/>
      </c>
      <c r="N191">
        <f>IF(G191&lt;=1,"1. Under 1 hour",IF(G191&lt;=24,"2. 1-24 hours",IF(G191&lt;=72,"3. 1-3 days","4. Over 3 days")))</f>
        <v/>
      </c>
      <c r="O191">
        <f>TEXT(B191,"YYYY-MM")</f>
        <v/>
      </c>
    </row>
    <row r="192">
      <c r="A192" t="inlineStr">
        <is>
          <t>LD-300190</t>
        </is>
      </c>
      <c r="B192" t="inlineStr">
        <is>
          <t>2025-07-04 07:15:00</t>
        </is>
      </c>
      <c r="C192" t="inlineStr">
        <is>
          <t>Webinar</t>
        </is>
      </c>
      <c r="D192" t="inlineStr">
        <is>
          <t>K-12 Math</t>
        </is>
      </c>
      <c r="E192" t="inlineStr">
        <is>
          <t>South Region</t>
        </is>
      </c>
      <c r="F192" t="inlineStr">
        <is>
          <t>Rep_02</t>
        </is>
      </c>
      <c r="G192" t="n">
        <v>5.25</v>
      </c>
      <c r="H192" t="inlineStr">
        <is>
          <t>Closed</t>
        </is>
      </c>
      <c r="I192" t="inlineStr">
        <is>
          <t>Won</t>
        </is>
      </c>
      <c r="K192" t="n">
        <v>528.3</v>
      </c>
      <c r="L192" t="inlineStr">
        <is>
          <t>2025-08-18 20:19:34.155664</t>
        </is>
      </c>
      <c r="M192">
        <f>VLOOKUP(H192,'Stage Order'!$A$2:$B$8,2,FALSE)</f>
        <v/>
      </c>
      <c r="N192">
        <f>IF(G192&lt;=1,"1. Under 1 hour",IF(G192&lt;=24,"2. 1-24 hours",IF(G192&lt;=72,"3. 1-3 days","4. Over 3 days")))</f>
        <v/>
      </c>
      <c r="O192">
        <f>TEXT(B192,"YYYY-MM")</f>
        <v/>
      </c>
    </row>
    <row r="193">
      <c r="A193" t="inlineStr">
        <is>
          <t>LD-300191</t>
        </is>
      </c>
      <c r="B193" t="inlineStr">
        <is>
          <t>2026-06-18 12:21:00</t>
        </is>
      </c>
      <c r="C193" t="inlineStr">
        <is>
          <t>Webinar</t>
        </is>
      </c>
      <c r="D193" t="inlineStr">
        <is>
          <t>Coding for Kids</t>
        </is>
      </c>
      <c r="E193" t="inlineStr">
        <is>
          <t>North Region</t>
        </is>
      </c>
      <c r="F193" t="inlineStr">
        <is>
          <t>Rep_01</t>
        </is>
      </c>
      <c r="G193" t="n">
        <v>5.9</v>
      </c>
      <c r="H193" t="inlineStr">
        <is>
          <t>Contacted</t>
        </is>
      </c>
      <c r="I193" t="inlineStr">
        <is>
          <t>Open</t>
        </is>
      </c>
      <c r="M193">
        <f>VLOOKUP(H193,'Stage Order'!$A$2:$B$8,2,FALSE)</f>
        <v/>
      </c>
      <c r="N193">
        <f>IF(G193&lt;=1,"1. Under 1 hour",IF(G193&lt;=24,"2. 1-24 hours",IF(G193&lt;=72,"3. 1-3 days","4. Over 3 days")))</f>
        <v/>
      </c>
      <c r="O193">
        <f>TEXT(B193,"YYYY-MM")</f>
        <v/>
      </c>
    </row>
    <row r="194">
      <c r="A194" t="inlineStr">
        <is>
          <t>LD-300192</t>
        </is>
      </c>
      <c r="B194" t="inlineStr">
        <is>
          <t>2025-08-28 14:27:00</t>
        </is>
      </c>
      <c r="C194" t="inlineStr">
        <is>
          <t>Referral</t>
        </is>
      </c>
      <c r="D194" t="inlineStr">
        <is>
          <t>K-12 Math</t>
        </is>
      </c>
      <c r="E194" t="inlineStr">
        <is>
          <t>West Region</t>
        </is>
      </c>
      <c r="F194" t="inlineStr">
        <is>
          <t>Rep_03</t>
        </is>
      </c>
      <c r="G194" t="n">
        <v>6.23</v>
      </c>
      <c r="H194" t="inlineStr">
        <is>
          <t>Negotiation</t>
        </is>
      </c>
      <c r="I194" t="inlineStr">
        <is>
          <t>Lost</t>
        </is>
      </c>
      <c r="J194" t="inlineStr">
        <is>
          <t>Price Objection</t>
        </is>
      </c>
      <c r="K194" t="n">
        <v>482.65</v>
      </c>
      <c r="L194" t="inlineStr">
        <is>
          <t>2025-10-23 22:07:50.507283</t>
        </is>
      </c>
      <c r="M194">
        <f>VLOOKUP(H194,'Stage Order'!$A$2:$B$8,2,FALSE)</f>
        <v/>
      </c>
      <c r="N194">
        <f>IF(G194&lt;=1,"1. Under 1 hour",IF(G194&lt;=24,"2. 1-24 hours",IF(G194&lt;=72,"3. 1-3 days","4. Over 3 days")))</f>
        <v/>
      </c>
      <c r="O194">
        <f>TEXT(B194,"YYYY-MM")</f>
        <v/>
      </c>
    </row>
    <row r="195">
      <c r="A195" t="inlineStr">
        <is>
          <t>LD-300193</t>
        </is>
      </c>
      <c r="B195" t="inlineStr">
        <is>
          <t>2026-02-05 10:50:00</t>
        </is>
      </c>
      <c r="C195" t="inlineStr">
        <is>
          <t>Cold Outreach</t>
        </is>
      </c>
      <c r="D195" t="inlineStr">
        <is>
          <t>K-12 Math</t>
        </is>
      </c>
      <c r="E195" t="inlineStr">
        <is>
          <t>North Region</t>
        </is>
      </c>
      <c r="F195" t="inlineStr">
        <is>
          <t>Rep_01</t>
        </is>
      </c>
      <c r="G195" t="n">
        <v>3.27</v>
      </c>
      <c r="H195" t="inlineStr">
        <is>
          <t>Contacted</t>
        </is>
      </c>
      <c r="I195" t="inlineStr">
        <is>
          <t>Open</t>
        </is>
      </c>
      <c r="M195">
        <f>VLOOKUP(H195,'Stage Order'!$A$2:$B$8,2,FALSE)</f>
        <v/>
      </c>
      <c r="N195">
        <f>IF(G195&lt;=1,"1. Under 1 hour",IF(G195&lt;=24,"2. 1-24 hours",IF(G195&lt;=72,"3. 1-3 days","4. Over 3 days")))</f>
        <v/>
      </c>
      <c r="O195">
        <f>TEXT(B195,"YYYY-MM")</f>
        <v/>
      </c>
    </row>
    <row r="196">
      <c r="A196" t="inlineStr">
        <is>
          <t>LD-300194</t>
        </is>
      </c>
      <c r="B196" t="inlineStr">
        <is>
          <t>2026-03-10 17:09:00</t>
        </is>
      </c>
      <c r="C196" t="inlineStr">
        <is>
          <t>Organic Search</t>
        </is>
      </c>
      <c r="D196" t="inlineStr">
        <is>
          <t>K-12 Math</t>
        </is>
      </c>
      <c r="E196" t="inlineStr">
        <is>
          <t>International</t>
        </is>
      </c>
      <c r="F196" t="inlineStr">
        <is>
          <t>Rep_10</t>
        </is>
      </c>
      <c r="G196" t="n">
        <v>1.88</v>
      </c>
      <c r="H196" t="inlineStr">
        <is>
          <t>Proposal Sent</t>
        </is>
      </c>
      <c r="I196" t="inlineStr">
        <is>
          <t>Lost</t>
        </is>
      </c>
      <c r="J196" t="inlineStr">
        <is>
          <t>No Response / Ghosted</t>
        </is>
      </c>
      <c r="K196" t="n">
        <v>551.59</v>
      </c>
      <c r="L196" t="inlineStr">
        <is>
          <t>2026-04-18 11:14:30.564780</t>
        </is>
      </c>
      <c r="M196">
        <f>VLOOKUP(H196,'Stage Order'!$A$2:$B$8,2,FALSE)</f>
        <v/>
      </c>
      <c r="N196">
        <f>IF(G196&lt;=1,"1. Under 1 hour",IF(G196&lt;=24,"2. 1-24 hours",IF(G196&lt;=72,"3. 1-3 days","4. Over 3 days")))</f>
        <v/>
      </c>
      <c r="O196">
        <f>TEXT(B196,"YYYY-MM")</f>
        <v/>
      </c>
    </row>
    <row r="197">
      <c r="A197" t="inlineStr">
        <is>
          <t>LD-300195</t>
        </is>
      </c>
      <c r="B197" t="inlineStr">
        <is>
          <t>2025-08-23 09:50:00</t>
        </is>
      </c>
      <c r="C197" t="inlineStr">
        <is>
          <t>Partner Channel</t>
        </is>
      </c>
      <c r="D197" t="inlineStr">
        <is>
          <t>Competitive Exam Prep</t>
        </is>
      </c>
      <c r="E197" t="inlineStr">
        <is>
          <t>East Region</t>
        </is>
      </c>
      <c r="F197" t="inlineStr">
        <is>
          <t>Rep_09</t>
        </is>
      </c>
      <c r="G197" t="n">
        <v>2.19</v>
      </c>
      <c r="H197" t="inlineStr">
        <is>
          <t>Lead</t>
        </is>
      </c>
      <c r="I197" t="inlineStr">
        <is>
          <t>Open</t>
        </is>
      </c>
      <c r="M197">
        <f>VLOOKUP(H197,'Stage Order'!$A$2:$B$8,2,FALSE)</f>
        <v/>
      </c>
      <c r="N197">
        <f>IF(G197&lt;=1,"1. Under 1 hour",IF(G197&lt;=24,"2. 1-24 hours",IF(G197&lt;=72,"3. 1-3 days","4. Over 3 days")))</f>
        <v/>
      </c>
      <c r="O197">
        <f>TEXT(B197,"YYYY-MM")</f>
        <v/>
      </c>
    </row>
    <row r="198">
      <c r="A198" t="inlineStr">
        <is>
          <t>LD-300196</t>
        </is>
      </c>
      <c r="B198" t="inlineStr">
        <is>
          <t>2025-04-15 11:57:00</t>
        </is>
      </c>
      <c r="C198" t="inlineStr">
        <is>
          <t>Paid Search</t>
        </is>
      </c>
      <c r="D198" t="inlineStr">
        <is>
          <t>Competitive Exam Prep</t>
        </is>
      </c>
      <c r="E198" t="inlineStr">
        <is>
          <t>South Region</t>
        </is>
      </c>
      <c r="F198" t="inlineStr">
        <is>
          <t>Rep_07</t>
        </is>
      </c>
      <c r="G198" t="n">
        <v>4.31</v>
      </c>
      <c r="H198" t="inlineStr">
        <is>
          <t>Contacted</t>
        </is>
      </c>
      <c r="I198" t="inlineStr">
        <is>
          <t>Open</t>
        </is>
      </c>
      <c r="M198">
        <f>VLOOKUP(H198,'Stage Order'!$A$2:$B$8,2,FALSE)</f>
        <v/>
      </c>
      <c r="N198">
        <f>IF(G198&lt;=1,"1. Under 1 hour",IF(G198&lt;=24,"2. 1-24 hours",IF(G198&lt;=72,"3. 1-3 days","4. Over 3 days")))</f>
        <v/>
      </c>
      <c r="O198">
        <f>TEXT(B198,"YYYY-MM")</f>
        <v/>
      </c>
    </row>
    <row r="199">
      <c r="A199" t="inlineStr">
        <is>
          <t>LD-300197</t>
        </is>
      </c>
      <c r="B199" t="inlineStr">
        <is>
          <t>2026-06-29 18:11:00</t>
        </is>
      </c>
      <c r="C199" t="inlineStr">
        <is>
          <t>Paid Search</t>
        </is>
      </c>
      <c r="D199" t="inlineStr">
        <is>
          <t>Coding for Kids</t>
        </is>
      </c>
      <c r="E199" t="inlineStr">
        <is>
          <t>International</t>
        </is>
      </c>
      <c r="F199" t="inlineStr">
        <is>
          <t>Rep_05</t>
        </is>
      </c>
      <c r="G199" t="n">
        <v>39.88</v>
      </c>
      <c r="H199" t="inlineStr">
        <is>
          <t>Contacted</t>
        </is>
      </c>
      <c r="I199" t="inlineStr">
        <is>
          <t>Open</t>
        </is>
      </c>
      <c r="M199">
        <f>VLOOKUP(H199,'Stage Order'!$A$2:$B$8,2,FALSE)</f>
        <v/>
      </c>
      <c r="N199">
        <f>IF(G199&lt;=1,"1. Under 1 hour",IF(G199&lt;=24,"2. 1-24 hours",IF(G199&lt;=72,"3. 1-3 days","4. Over 3 days")))</f>
        <v/>
      </c>
      <c r="O199">
        <f>TEXT(B199,"YYYY-MM")</f>
        <v/>
      </c>
    </row>
    <row r="200">
      <c r="A200" t="inlineStr">
        <is>
          <t>LD-300198</t>
        </is>
      </c>
      <c r="B200" t="inlineStr">
        <is>
          <t>2025-09-05 19:44:00</t>
        </is>
      </c>
      <c r="C200" t="inlineStr">
        <is>
          <t>Paid Search</t>
        </is>
      </c>
      <c r="D200" t="inlineStr">
        <is>
          <t>Language Learning</t>
        </is>
      </c>
      <c r="E200" t="inlineStr">
        <is>
          <t>East Region</t>
        </is>
      </c>
      <c r="F200" t="inlineStr">
        <is>
          <t>Rep_14</t>
        </is>
      </c>
      <c r="G200" t="n">
        <v>5.53</v>
      </c>
      <c r="H200" t="inlineStr">
        <is>
          <t>Demo Scheduled</t>
        </is>
      </c>
      <c r="I200" t="inlineStr">
        <is>
          <t>Open</t>
        </is>
      </c>
      <c r="M200">
        <f>VLOOKUP(H200,'Stage Order'!$A$2:$B$8,2,FALSE)</f>
        <v/>
      </c>
      <c r="N200">
        <f>IF(G200&lt;=1,"1. Under 1 hour",IF(G200&lt;=24,"2. 1-24 hours",IF(G200&lt;=72,"3. 1-3 days","4. Over 3 days")))</f>
        <v/>
      </c>
      <c r="O200">
        <f>TEXT(B200,"YYYY-MM")</f>
        <v/>
      </c>
    </row>
    <row r="201">
      <c r="A201" t="inlineStr">
        <is>
          <t>LD-300199</t>
        </is>
      </c>
      <c r="B201" t="inlineStr">
        <is>
          <t>2025-11-11 12:37:00</t>
        </is>
      </c>
      <c r="C201" t="inlineStr">
        <is>
          <t>Paid Search</t>
        </is>
      </c>
      <c r="D201" t="inlineStr">
        <is>
          <t>Competitive Exam Prep</t>
        </is>
      </c>
      <c r="E201" t="inlineStr">
        <is>
          <t>West Region</t>
        </is>
      </c>
      <c r="F201" t="inlineStr">
        <is>
          <t>Rep_13</t>
        </is>
      </c>
      <c r="G201" t="n">
        <v>1.01</v>
      </c>
      <c r="H201" t="inlineStr">
        <is>
          <t>Proposal Sent</t>
        </is>
      </c>
      <c r="I201" t="inlineStr">
        <is>
          <t>Lost</t>
        </is>
      </c>
      <c r="J201" t="inlineStr">
        <is>
          <t>Price Objection</t>
        </is>
      </c>
      <c r="K201" t="n">
        <v>1021.5</v>
      </c>
      <c r="L201" t="inlineStr">
        <is>
          <t>2025-12-17 00:07:14.208179</t>
        </is>
      </c>
      <c r="M201">
        <f>VLOOKUP(H201,'Stage Order'!$A$2:$B$8,2,FALSE)</f>
        <v/>
      </c>
      <c r="N201">
        <f>IF(G201&lt;=1,"1. Under 1 hour",IF(G201&lt;=24,"2. 1-24 hours",IF(G201&lt;=72,"3. 1-3 days","4. Over 3 days")))</f>
        <v/>
      </c>
      <c r="O201">
        <f>TEXT(B201,"YYYY-MM")</f>
        <v/>
      </c>
    </row>
    <row r="202">
      <c r="A202" t="inlineStr">
        <is>
          <t>LD-300200</t>
        </is>
      </c>
      <c r="B202" t="inlineStr">
        <is>
          <t>2026-04-21 14:19:00</t>
        </is>
      </c>
      <c r="C202" t="inlineStr">
        <is>
          <t>Webinar</t>
        </is>
      </c>
      <c r="D202" t="inlineStr">
        <is>
          <t>K-12 Math</t>
        </is>
      </c>
      <c r="E202" t="inlineStr">
        <is>
          <t>East Region</t>
        </is>
      </c>
      <c r="F202" t="inlineStr">
        <is>
          <t>Rep_14</t>
        </is>
      </c>
      <c r="G202" t="n">
        <v>1.26</v>
      </c>
      <c r="H202" t="inlineStr">
        <is>
          <t>Contacted</t>
        </is>
      </c>
      <c r="I202" t="inlineStr">
        <is>
          <t>Open</t>
        </is>
      </c>
      <c r="M202">
        <f>VLOOKUP(H202,'Stage Order'!$A$2:$B$8,2,FALSE)</f>
        <v/>
      </c>
      <c r="N202">
        <f>IF(G202&lt;=1,"1. Under 1 hour",IF(G202&lt;=24,"2. 1-24 hours",IF(G202&lt;=72,"3. 1-3 days","4. Over 3 days")))</f>
        <v/>
      </c>
      <c r="O202">
        <f>TEXT(B202,"YYYY-MM")</f>
        <v/>
      </c>
    </row>
    <row r="203">
      <c r="A203" t="inlineStr">
        <is>
          <t>LD-300201</t>
        </is>
      </c>
      <c r="B203" t="inlineStr">
        <is>
          <t>2025-08-01 16:36:00</t>
        </is>
      </c>
      <c r="C203" t="inlineStr">
        <is>
          <t>Webinar</t>
        </is>
      </c>
      <c r="D203" t="inlineStr">
        <is>
          <t>K-12 Math</t>
        </is>
      </c>
      <c r="E203" t="inlineStr">
        <is>
          <t>East Region</t>
        </is>
      </c>
      <c r="F203" t="inlineStr">
        <is>
          <t>Rep_14</t>
        </is>
      </c>
      <c r="G203" t="n">
        <v>2.63</v>
      </c>
      <c r="H203" t="inlineStr">
        <is>
          <t>Negotiation</t>
        </is>
      </c>
      <c r="I203" t="inlineStr">
        <is>
          <t>Lost</t>
        </is>
      </c>
      <c r="J203" t="inlineStr">
        <is>
          <t>Price Objection</t>
        </is>
      </c>
      <c r="K203" t="n">
        <v>541.28</v>
      </c>
      <c r="L203" t="inlineStr">
        <is>
          <t>2025-10-03 17:43:04.642955</t>
        </is>
      </c>
      <c r="M203">
        <f>VLOOKUP(H203,'Stage Order'!$A$2:$B$8,2,FALSE)</f>
        <v/>
      </c>
      <c r="N203">
        <f>IF(G203&lt;=1,"1. Under 1 hour",IF(G203&lt;=24,"2. 1-24 hours",IF(G203&lt;=72,"3. 1-3 days","4. Over 3 days")))</f>
        <v/>
      </c>
      <c r="O203">
        <f>TEXT(B203,"YYYY-MM")</f>
        <v/>
      </c>
    </row>
    <row r="204">
      <c r="A204" t="inlineStr">
        <is>
          <t>LD-300202</t>
        </is>
      </c>
      <c r="B204" t="inlineStr">
        <is>
          <t>2026-02-19 07:42:00</t>
        </is>
      </c>
      <c r="C204" t="inlineStr">
        <is>
          <t>Social Media</t>
        </is>
      </c>
      <c r="D204" t="inlineStr">
        <is>
          <t>K-12 Math</t>
        </is>
      </c>
      <c r="E204" t="inlineStr">
        <is>
          <t>North Region</t>
        </is>
      </c>
      <c r="F204" t="inlineStr">
        <is>
          <t>Rep_11</t>
        </is>
      </c>
      <c r="G204" t="n">
        <v>4.04</v>
      </c>
      <c r="H204" t="inlineStr">
        <is>
          <t>Demo Completed</t>
        </is>
      </c>
      <c r="I204" t="inlineStr">
        <is>
          <t>Lost</t>
        </is>
      </c>
      <c r="J204" t="inlineStr">
        <is>
          <t>No Response / Ghosted</t>
        </is>
      </c>
      <c r="K204" t="n">
        <v>420.26</v>
      </c>
      <c r="L204" t="inlineStr">
        <is>
          <t>2026-03-22 04:59:31.173606</t>
        </is>
      </c>
      <c r="M204">
        <f>VLOOKUP(H204,'Stage Order'!$A$2:$B$8,2,FALSE)</f>
        <v/>
      </c>
      <c r="N204">
        <f>IF(G204&lt;=1,"1. Under 1 hour",IF(G204&lt;=24,"2. 1-24 hours",IF(G204&lt;=72,"3. 1-3 days","4. Over 3 days")))</f>
        <v/>
      </c>
      <c r="O204">
        <f>TEXT(B204,"YYYY-MM")</f>
        <v/>
      </c>
    </row>
    <row r="205">
      <c r="A205" t="inlineStr">
        <is>
          <t>LD-300203</t>
        </is>
      </c>
      <c r="B205" t="inlineStr">
        <is>
          <t>2025-06-16 19:50:00</t>
        </is>
      </c>
      <c r="C205" t="inlineStr">
        <is>
          <t>Referral</t>
        </is>
      </c>
      <c r="D205" t="inlineStr">
        <is>
          <t>Study Abroad Prep</t>
        </is>
      </c>
      <c r="E205" t="inlineStr">
        <is>
          <t>West Region</t>
        </is>
      </c>
      <c r="F205" t="inlineStr">
        <is>
          <t>Rep_13</t>
        </is>
      </c>
      <c r="G205" t="n">
        <v>5.62</v>
      </c>
      <c r="H205" t="inlineStr">
        <is>
          <t>Negotiation</t>
        </is>
      </c>
      <c r="I205" t="inlineStr">
        <is>
          <t>Lost</t>
        </is>
      </c>
      <c r="J205" t="inlineStr">
        <is>
          <t>Bad Timing</t>
        </is>
      </c>
      <c r="K205" t="n">
        <v>1533.79</v>
      </c>
      <c r="L205" t="inlineStr">
        <is>
          <t>2025-07-29 06:13:51.025540</t>
        </is>
      </c>
      <c r="M205">
        <f>VLOOKUP(H205,'Stage Order'!$A$2:$B$8,2,FALSE)</f>
        <v/>
      </c>
      <c r="N205">
        <f>IF(G205&lt;=1,"1. Under 1 hour",IF(G205&lt;=24,"2. 1-24 hours",IF(G205&lt;=72,"3. 1-3 days","4. Over 3 days")))</f>
        <v/>
      </c>
      <c r="O205">
        <f>TEXT(B205,"YYYY-MM")</f>
        <v/>
      </c>
    </row>
    <row r="206">
      <c r="A206" t="inlineStr">
        <is>
          <t>LD-300204</t>
        </is>
      </c>
      <c r="B206" t="inlineStr">
        <is>
          <t>2025-04-21 10:47:00</t>
        </is>
      </c>
      <c r="C206" t="inlineStr">
        <is>
          <t>Cold Outreach</t>
        </is>
      </c>
      <c r="D206" t="inlineStr">
        <is>
          <t>Study Abroad Prep</t>
        </is>
      </c>
      <c r="E206" t="inlineStr">
        <is>
          <t>North Region</t>
        </is>
      </c>
      <c r="F206" t="inlineStr">
        <is>
          <t>Rep_06</t>
        </is>
      </c>
      <c r="G206" t="n">
        <v>3.57</v>
      </c>
      <c r="H206" t="inlineStr">
        <is>
          <t>Lead</t>
        </is>
      </c>
      <c r="I206" t="inlineStr">
        <is>
          <t>Open</t>
        </is>
      </c>
      <c r="M206">
        <f>VLOOKUP(H206,'Stage Order'!$A$2:$B$8,2,FALSE)</f>
        <v/>
      </c>
      <c r="N206">
        <f>IF(G206&lt;=1,"1. Under 1 hour",IF(G206&lt;=24,"2. 1-24 hours",IF(G206&lt;=72,"3. 1-3 days","4. Over 3 days")))</f>
        <v/>
      </c>
      <c r="O206">
        <f>TEXT(B206,"YYYY-MM")</f>
        <v/>
      </c>
    </row>
    <row r="207">
      <c r="A207" t="inlineStr">
        <is>
          <t>LD-300205</t>
        </is>
      </c>
      <c r="B207" t="inlineStr">
        <is>
          <t>2025-03-22 19:39:00</t>
        </is>
      </c>
      <c r="C207" t="inlineStr">
        <is>
          <t>Referral</t>
        </is>
      </c>
      <c r="D207" t="inlineStr">
        <is>
          <t>Study Abroad Prep</t>
        </is>
      </c>
      <c r="E207" t="inlineStr">
        <is>
          <t>South Region</t>
        </is>
      </c>
      <c r="F207" t="inlineStr">
        <is>
          <t>Rep_07</t>
        </is>
      </c>
      <c r="G207" t="n">
        <v>1.56</v>
      </c>
      <c r="H207" t="inlineStr">
        <is>
          <t>Contacted</t>
        </is>
      </c>
      <c r="I207" t="inlineStr">
        <is>
          <t>Open</t>
        </is>
      </c>
      <c r="M207">
        <f>VLOOKUP(H207,'Stage Order'!$A$2:$B$8,2,FALSE)</f>
        <v/>
      </c>
      <c r="N207">
        <f>IF(G207&lt;=1,"1. Under 1 hour",IF(G207&lt;=24,"2. 1-24 hours",IF(G207&lt;=72,"3. 1-3 days","4. Over 3 days")))</f>
        <v/>
      </c>
      <c r="O207">
        <f>TEXT(B207,"YYYY-MM")</f>
        <v/>
      </c>
    </row>
    <row r="208">
      <c r="A208" t="inlineStr">
        <is>
          <t>LD-300206</t>
        </is>
      </c>
      <c r="B208" t="inlineStr">
        <is>
          <t>2025-02-20 10:44:00</t>
        </is>
      </c>
      <c r="C208" t="inlineStr">
        <is>
          <t>Webinar</t>
        </is>
      </c>
      <c r="D208" t="inlineStr">
        <is>
          <t>Competitive Exam Prep</t>
        </is>
      </c>
      <c r="E208" t="inlineStr">
        <is>
          <t>International</t>
        </is>
      </c>
      <c r="F208" t="inlineStr">
        <is>
          <t>Rep_15</t>
        </is>
      </c>
      <c r="G208" t="n">
        <v>2.84</v>
      </c>
      <c r="H208" t="inlineStr">
        <is>
          <t>Proposal Sent</t>
        </is>
      </c>
      <c r="I208" t="inlineStr">
        <is>
          <t>Lost</t>
        </is>
      </c>
      <c r="J208" t="inlineStr">
        <is>
          <t>No Response / Ghosted</t>
        </is>
      </c>
      <c r="K208" t="n">
        <v>970.7</v>
      </c>
      <c r="L208" t="inlineStr">
        <is>
          <t>2025-03-25 11:59:03.825280</t>
        </is>
      </c>
      <c r="M208">
        <f>VLOOKUP(H208,'Stage Order'!$A$2:$B$8,2,FALSE)</f>
        <v/>
      </c>
      <c r="N208">
        <f>IF(G208&lt;=1,"1. Under 1 hour",IF(G208&lt;=24,"2. 1-24 hours",IF(G208&lt;=72,"3. 1-3 days","4. Over 3 days")))</f>
        <v/>
      </c>
      <c r="O208">
        <f>TEXT(B208,"YYYY-MM")</f>
        <v/>
      </c>
    </row>
    <row r="209">
      <c r="A209" t="inlineStr">
        <is>
          <t>LD-300207</t>
        </is>
      </c>
      <c r="B209" t="inlineStr">
        <is>
          <t>2025-10-21 16:43:00</t>
        </is>
      </c>
      <c r="C209" t="inlineStr">
        <is>
          <t>Referral</t>
        </is>
      </c>
      <c r="D209" t="inlineStr">
        <is>
          <t>Coding for Kids</t>
        </is>
      </c>
      <c r="E209" t="inlineStr">
        <is>
          <t>West Region</t>
        </is>
      </c>
      <c r="F209" t="inlineStr">
        <is>
          <t>Rep_03</t>
        </is>
      </c>
      <c r="G209" t="n">
        <v>3.53</v>
      </c>
      <c r="H209" t="inlineStr">
        <is>
          <t>Contacted</t>
        </is>
      </c>
      <c r="I209" t="inlineStr">
        <is>
          <t>Open</t>
        </is>
      </c>
      <c r="M209">
        <f>VLOOKUP(H209,'Stage Order'!$A$2:$B$8,2,FALSE)</f>
        <v/>
      </c>
      <c r="N209">
        <f>IF(G209&lt;=1,"1. Under 1 hour",IF(G209&lt;=24,"2. 1-24 hours",IF(G209&lt;=72,"3. 1-3 days","4. Over 3 days")))</f>
        <v/>
      </c>
      <c r="O209">
        <f>TEXT(B209,"YYYY-MM")</f>
        <v/>
      </c>
    </row>
    <row r="210">
      <c r="A210" t="inlineStr">
        <is>
          <t>LD-300208</t>
        </is>
      </c>
      <c r="B210" t="inlineStr">
        <is>
          <t>2025-03-07 09:53:00</t>
        </is>
      </c>
      <c r="C210" t="inlineStr">
        <is>
          <t>Social Media</t>
        </is>
      </c>
      <c r="D210" t="inlineStr">
        <is>
          <t>Coding for Kids</t>
        </is>
      </c>
      <c r="E210" t="inlineStr">
        <is>
          <t>East Region</t>
        </is>
      </c>
      <c r="F210" t="inlineStr">
        <is>
          <t>Rep_04</t>
        </is>
      </c>
      <c r="G210" t="n">
        <v>0.5</v>
      </c>
      <c r="H210" t="inlineStr">
        <is>
          <t>Lead</t>
        </is>
      </c>
      <c r="I210" t="inlineStr">
        <is>
          <t>Open</t>
        </is>
      </c>
      <c r="M210">
        <f>VLOOKUP(H210,'Stage Order'!$A$2:$B$8,2,FALSE)</f>
        <v/>
      </c>
      <c r="N210">
        <f>IF(G210&lt;=1,"1. Under 1 hour",IF(G210&lt;=24,"2. 1-24 hours",IF(G210&lt;=72,"3. 1-3 days","4. Over 3 days")))</f>
        <v/>
      </c>
      <c r="O210">
        <f>TEXT(B210,"YYYY-MM")</f>
        <v/>
      </c>
    </row>
    <row r="211">
      <c r="A211" t="inlineStr">
        <is>
          <t>LD-300209</t>
        </is>
      </c>
      <c r="B211" t="inlineStr">
        <is>
          <t>2025-11-28 19:19:00</t>
        </is>
      </c>
      <c r="C211" t="inlineStr">
        <is>
          <t>Organic Search</t>
        </is>
      </c>
      <c r="D211" t="inlineStr">
        <is>
          <t>Study Abroad Prep</t>
        </is>
      </c>
      <c r="E211" t="inlineStr">
        <is>
          <t>North Region</t>
        </is>
      </c>
      <c r="F211" t="inlineStr">
        <is>
          <t>Rep_06</t>
        </is>
      </c>
      <c r="G211" t="n">
        <v>5.13</v>
      </c>
      <c r="H211" t="inlineStr">
        <is>
          <t>Lead</t>
        </is>
      </c>
      <c r="I211" t="inlineStr">
        <is>
          <t>Open</t>
        </is>
      </c>
      <c r="M211">
        <f>VLOOKUP(H211,'Stage Order'!$A$2:$B$8,2,FALSE)</f>
        <v/>
      </c>
      <c r="N211">
        <f>IF(G211&lt;=1,"1. Under 1 hour",IF(G211&lt;=24,"2. 1-24 hours",IF(G211&lt;=72,"3. 1-3 days","4. Over 3 days")))</f>
        <v/>
      </c>
      <c r="O211">
        <f>TEXT(B211,"YYYY-MM")</f>
        <v/>
      </c>
    </row>
    <row r="212">
      <c r="A212" t="inlineStr">
        <is>
          <t>LD-300210</t>
        </is>
      </c>
      <c r="B212" t="inlineStr">
        <is>
          <t>2025-07-30 09:11:00</t>
        </is>
      </c>
      <c r="C212" t="inlineStr">
        <is>
          <t>Organic Search</t>
        </is>
      </c>
      <c r="D212" t="inlineStr">
        <is>
          <t>Language Learning</t>
        </is>
      </c>
      <c r="E212" t="inlineStr">
        <is>
          <t>West Region</t>
        </is>
      </c>
      <c r="F212" t="inlineStr">
        <is>
          <t>Rep_08</t>
        </is>
      </c>
      <c r="G212" t="n">
        <v>2.83</v>
      </c>
      <c r="H212" t="inlineStr">
        <is>
          <t>Contacted</t>
        </is>
      </c>
      <c r="I212" t="inlineStr">
        <is>
          <t>Open</t>
        </is>
      </c>
      <c r="M212">
        <f>VLOOKUP(H212,'Stage Order'!$A$2:$B$8,2,FALSE)</f>
        <v/>
      </c>
      <c r="N212">
        <f>IF(G212&lt;=1,"1. Under 1 hour",IF(G212&lt;=24,"2. 1-24 hours",IF(G212&lt;=72,"3. 1-3 days","4. Over 3 days")))</f>
        <v/>
      </c>
      <c r="O212">
        <f>TEXT(B212,"YYYY-MM")</f>
        <v/>
      </c>
    </row>
    <row r="213">
      <c r="A213" t="inlineStr">
        <is>
          <t>LD-300211</t>
        </is>
      </c>
      <c r="B213" t="inlineStr">
        <is>
          <t>2025-08-21 17:46:00</t>
        </is>
      </c>
      <c r="C213" t="inlineStr">
        <is>
          <t>Partner Channel</t>
        </is>
      </c>
      <c r="D213" t="inlineStr">
        <is>
          <t>Coding for Kids</t>
        </is>
      </c>
      <c r="E213" t="inlineStr">
        <is>
          <t>North Region</t>
        </is>
      </c>
      <c r="F213" t="inlineStr">
        <is>
          <t>Rep_11</t>
        </is>
      </c>
      <c r="G213" t="n">
        <v>23.84</v>
      </c>
      <c r="H213" t="inlineStr">
        <is>
          <t>Closed</t>
        </is>
      </c>
      <c r="I213" t="inlineStr">
        <is>
          <t>Won</t>
        </is>
      </c>
      <c r="K213" t="n">
        <v>649.01</v>
      </c>
      <c r="L213" t="inlineStr">
        <is>
          <t>2025-10-15 21:13:00.992015</t>
        </is>
      </c>
      <c r="M213">
        <f>VLOOKUP(H213,'Stage Order'!$A$2:$B$8,2,FALSE)</f>
        <v/>
      </c>
      <c r="N213">
        <f>IF(G213&lt;=1,"1. Under 1 hour",IF(G213&lt;=24,"2. 1-24 hours",IF(G213&lt;=72,"3. 1-3 days","4. Over 3 days")))</f>
        <v/>
      </c>
      <c r="O213">
        <f>TEXT(B213,"YYYY-MM")</f>
        <v/>
      </c>
    </row>
    <row r="214">
      <c r="A214" t="inlineStr">
        <is>
          <t>LD-300212</t>
        </is>
      </c>
      <c r="B214" t="inlineStr">
        <is>
          <t>2026-05-14 08:05:00</t>
        </is>
      </c>
      <c r="C214" t="inlineStr">
        <is>
          <t>Referral</t>
        </is>
      </c>
      <c r="D214" t="inlineStr">
        <is>
          <t>Competitive Exam Prep</t>
        </is>
      </c>
      <c r="E214" t="inlineStr">
        <is>
          <t>South Region</t>
        </is>
      </c>
      <c r="F214" t="inlineStr">
        <is>
          <t>Rep_02</t>
        </is>
      </c>
      <c r="G214" t="n">
        <v>1.91</v>
      </c>
      <c r="H214" t="inlineStr">
        <is>
          <t>Negotiation</t>
        </is>
      </c>
      <c r="I214" t="inlineStr">
        <is>
          <t>Lost</t>
        </is>
      </c>
      <c r="J214" t="inlineStr">
        <is>
          <t>Price Objection</t>
        </is>
      </c>
      <c r="K214" t="n">
        <v>1168.35</v>
      </c>
      <c r="L214" t="inlineStr">
        <is>
          <t>2026-06-26 01:28:55.645013</t>
        </is>
      </c>
      <c r="M214">
        <f>VLOOKUP(H214,'Stage Order'!$A$2:$B$8,2,FALSE)</f>
        <v/>
      </c>
      <c r="N214">
        <f>IF(G214&lt;=1,"1. Under 1 hour",IF(G214&lt;=24,"2. 1-24 hours",IF(G214&lt;=72,"3. 1-3 days","4. Over 3 days")))</f>
        <v/>
      </c>
      <c r="O214">
        <f>TEXT(B214,"YYYY-MM")</f>
        <v/>
      </c>
    </row>
    <row r="215">
      <c r="A215" t="inlineStr">
        <is>
          <t>LD-300213</t>
        </is>
      </c>
      <c r="B215" t="inlineStr">
        <is>
          <t>2026-06-17 13:43:00</t>
        </is>
      </c>
      <c r="C215" t="inlineStr">
        <is>
          <t>Organic Search</t>
        </is>
      </c>
      <c r="D215" t="inlineStr">
        <is>
          <t>K-12 Math</t>
        </is>
      </c>
      <c r="E215" t="inlineStr">
        <is>
          <t>East Region</t>
        </is>
      </c>
      <c r="F215" t="inlineStr">
        <is>
          <t>Rep_14</t>
        </is>
      </c>
      <c r="G215" t="n">
        <v>2.47</v>
      </c>
      <c r="H215" t="inlineStr">
        <is>
          <t>Closed</t>
        </is>
      </c>
      <c r="I215" t="inlineStr">
        <is>
          <t>Won</t>
        </is>
      </c>
      <c r="K215" t="n">
        <v>437.33</v>
      </c>
      <c r="L215" t="inlineStr">
        <is>
          <t>2026-08-02 06:41:38.275780</t>
        </is>
      </c>
      <c r="M215">
        <f>VLOOKUP(H215,'Stage Order'!$A$2:$B$8,2,FALSE)</f>
        <v/>
      </c>
      <c r="N215">
        <f>IF(G215&lt;=1,"1. Under 1 hour",IF(G215&lt;=24,"2. 1-24 hours",IF(G215&lt;=72,"3. 1-3 days","4. Over 3 days")))</f>
        <v/>
      </c>
      <c r="O215">
        <f>TEXT(B215,"YYYY-MM")</f>
        <v/>
      </c>
    </row>
    <row r="216">
      <c r="A216" t="inlineStr">
        <is>
          <t>LD-300214</t>
        </is>
      </c>
      <c r="B216" t="inlineStr">
        <is>
          <t>2026-03-25 15:38:00</t>
        </is>
      </c>
      <c r="C216" t="inlineStr">
        <is>
          <t>Social Media</t>
        </is>
      </c>
      <c r="D216" t="inlineStr">
        <is>
          <t>Coding for Kids</t>
        </is>
      </c>
      <c r="E216" t="inlineStr">
        <is>
          <t>West Region</t>
        </is>
      </c>
      <c r="F216" t="inlineStr">
        <is>
          <t>Rep_13</t>
        </is>
      </c>
      <c r="G216" t="n">
        <v>2.26</v>
      </c>
      <c r="H216" t="inlineStr">
        <is>
          <t>Negotiation</t>
        </is>
      </c>
      <c r="I216" t="inlineStr">
        <is>
          <t>Lost</t>
        </is>
      </c>
      <c r="J216" t="inlineStr">
        <is>
          <t>Bad Timing</t>
        </is>
      </c>
      <c r="K216" t="n">
        <v>535.15</v>
      </c>
      <c r="L216" t="inlineStr">
        <is>
          <t>2026-05-11 08:12:38.861407</t>
        </is>
      </c>
      <c r="M216">
        <f>VLOOKUP(H216,'Stage Order'!$A$2:$B$8,2,FALSE)</f>
        <v/>
      </c>
      <c r="N216">
        <f>IF(G216&lt;=1,"1. Under 1 hour",IF(G216&lt;=24,"2. 1-24 hours",IF(G216&lt;=72,"3. 1-3 days","4. Over 3 days")))</f>
        <v/>
      </c>
      <c r="O216">
        <f>TEXT(B216,"YYYY-MM")</f>
        <v/>
      </c>
    </row>
    <row r="217">
      <c r="A217" t="inlineStr">
        <is>
          <t>LD-300215</t>
        </is>
      </c>
      <c r="B217" t="inlineStr">
        <is>
          <t>2025-04-04 10:34:00</t>
        </is>
      </c>
      <c r="C217" t="inlineStr">
        <is>
          <t>Webinar</t>
        </is>
      </c>
      <c r="D217" t="inlineStr">
        <is>
          <t>Competitive Exam Prep</t>
        </is>
      </c>
      <c r="E217" t="inlineStr">
        <is>
          <t>West Region</t>
        </is>
      </c>
      <c r="F217" t="inlineStr">
        <is>
          <t>Rep_13</t>
        </is>
      </c>
      <c r="G217" t="n">
        <v>14.63</v>
      </c>
      <c r="H217" t="inlineStr">
        <is>
          <t>Contacted</t>
        </is>
      </c>
      <c r="I217" t="inlineStr">
        <is>
          <t>Open</t>
        </is>
      </c>
      <c r="M217">
        <f>VLOOKUP(H217,'Stage Order'!$A$2:$B$8,2,FALSE)</f>
        <v/>
      </c>
      <c r="N217">
        <f>IF(G217&lt;=1,"1. Under 1 hour",IF(G217&lt;=24,"2. 1-24 hours",IF(G217&lt;=72,"3. 1-3 days","4. Over 3 days")))</f>
        <v/>
      </c>
      <c r="O217">
        <f>TEXT(B217,"YYYY-MM")</f>
        <v/>
      </c>
    </row>
    <row r="218">
      <c r="A218" t="inlineStr">
        <is>
          <t>LD-300216</t>
        </is>
      </c>
      <c r="B218" t="inlineStr">
        <is>
          <t>2026-04-16 11:27:00</t>
        </is>
      </c>
      <c r="C218" t="inlineStr">
        <is>
          <t>Organic Search</t>
        </is>
      </c>
      <c r="D218" t="inlineStr">
        <is>
          <t>Study Abroad Prep</t>
        </is>
      </c>
      <c r="E218" t="inlineStr">
        <is>
          <t>South Region</t>
        </is>
      </c>
      <c r="F218" t="inlineStr">
        <is>
          <t>Rep_02</t>
        </is>
      </c>
      <c r="G218" t="n">
        <v>1.64</v>
      </c>
      <c r="H218" t="inlineStr">
        <is>
          <t>Contacted</t>
        </is>
      </c>
      <c r="I218" t="inlineStr">
        <is>
          <t>Open</t>
        </is>
      </c>
      <c r="M218">
        <f>VLOOKUP(H218,'Stage Order'!$A$2:$B$8,2,FALSE)</f>
        <v/>
      </c>
      <c r="N218">
        <f>IF(G218&lt;=1,"1. Under 1 hour",IF(G218&lt;=24,"2. 1-24 hours",IF(G218&lt;=72,"3. 1-3 days","4. Over 3 days")))</f>
        <v/>
      </c>
      <c r="O218">
        <f>TEXT(B218,"YYYY-MM")</f>
        <v/>
      </c>
    </row>
    <row r="219">
      <c r="A219" t="inlineStr">
        <is>
          <t>LD-300217</t>
        </is>
      </c>
      <c r="B219" t="inlineStr">
        <is>
          <t>2026-02-06 09:36:00</t>
        </is>
      </c>
      <c r="C219" t="inlineStr">
        <is>
          <t>Organic Search</t>
        </is>
      </c>
      <c r="D219" t="inlineStr">
        <is>
          <t>Study Abroad Prep</t>
        </is>
      </c>
      <c r="E219" t="inlineStr">
        <is>
          <t>South Region</t>
        </is>
      </c>
      <c r="F219" t="inlineStr">
        <is>
          <t>Rep_07</t>
        </is>
      </c>
      <c r="G219" t="n">
        <v>3.32</v>
      </c>
      <c r="H219" t="inlineStr">
        <is>
          <t>Contacted</t>
        </is>
      </c>
      <c r="I219" t="inlineStr">
        <is>
          <t>Open</t>
        </is>
      </c>
      <c r="M219">
        <f>VLOOKUP(H219,'Stage Order'!$A$2:$B$8,2,FALSE)</f>
        <v/>
      </c>
      <c r="N219">
        <f>IF(G219&lt;=1,"1. Under 1 hour",IF(G219&lt;=24,"2. 1-24 hours",IF(G219&lt;=72,"3. 1-3 days","4. Over 3 days")))</f>
        <v/>
      </c>
      <c r="O219">
        <f>TEXT(B219,"YYYY-MM")</f>
        <v/>
      </c>
    </row>
    <row r="220">
      <c r="A220" t="inlineStr">
        <is>
          <t>LD-300218</t>
        </is>
      </c>
      <c r="B220" t="inlineStr">
        <is>
          <t>2025-10-01 10:45:00</t>
        </is>
      </c>
      <c r="C220" t="inlineStr">
        <is>
          <t>Social Media</t>
        </is>
      </c>
      <c r="D220" t="inlineStr">
        <is>
          <t>Coding for Kids</t>
        </is>
      </c>
      <c r="E220" t="inlineStr">
        <is>
          <t>East Region</t>
        </is>
      </c>
      <c r="F220" t="inlineStr">
        <is>
          <t>Rep_04</t>
        </is>
      </c>
      <c r="G220" t="n">
        <v>4.79</v>
      </c>
      <c r="H220" t="inlineStr">
        <is>
          <t>Lead</t>
        </is>
      </c>
      <c r="I220" t="inlineStr">
        <is>
          <t>Open</t>
        </is>
      </c>
      <c r="M220">
        <f>VLOOKUP(H220,'Stage Order'!$A$2:$B$8,2,FALSE)</f>
        <v/>
      </c>
      <c r="N220">
        <f>IF(G220&lt;=1,"1. Under 1 hour",IF(G220&lt;=24,"2. 1-24 hours",IF(G220&lt;=72,"3. 1-3 days","4. Over 3 days")))</f>
        <v/>
      </c>
      <c r="O220">
        <f>TEXT(B220,"YYYY-MM")</f>
        <v/>
      </c>
    </row>
    <row r="221">
      <c r="A221" t="inlineStr">
        <is>
          <t>LD-300219</t>
        </is>
      </c>
      <c r="B221" t="inlineStr">
        <is>
          <t>2025-06-11 11:46:00</t>
        </is>
      </c>
      <c r="C221" t="inlineStr">
        <is>
          <t>Organic Search</t>
        </is>
      </c>
      <c r="D221" t="inlineStr">
        <is>
          <t>Competitive Exam Prep</t>
        </is>
      </c>
      <c r="E221" t="inlineStr">
        <is>
          <t>North Region</t>
        </is>
      </c>
      <c r="F221" t="inlineStr">
        <is>
          <t>Rep_06</t>
        </is>
      </c>
      <c r="G221" t="n">
        <v>22.08</v>
      </c>
      <c r="H221" t="inlineStr">
        <is>
          <t>Demo Completed</t>
        </is>
      </c>
      <c r="I221" t="inlineStr">
        <is>
          <t>Lost</t>
        </is>
      </c>
      <c r="J221" t="inlineStr">
        <is>
          <t>Bad Timing</t>
        </is>
      </c>
      <c r="K221" t="n">
        <v>1081.15</v>
      </c>
      <c r="L221" t="inlineStr">
        <is>
          <t>2025-07-12 11:48:17.622681</t>
        </is>
      </c>
      <c r="M221">
        <f>VLOOKUP(H221,'Stage Order'!$A$2:$B$8,2,FALSE)</f>
        <v/>
      </c>
      <c r="N221">
        <f>IF(G221&lt;=1,"1. Under 1 hour",IF(G221&lt;=24,"2. 1-24 hours",IF(G221&lt;=72,"3. 1-3 days","4. Over 3 days")))</f>
        <v/>
      </c>
      <c r="O221">
        <f>TEXT(B221,"YYYY-MM")</f>
        <v/>
      </c>
    </row>
    <row r="222">
      <c r="A222" t="inlineStr">
        <is>
          <t>LD-300220</t>
        </is>
      </c>
      <c r="B222" t="inlineStr">
        <is>
          <t>2025-09-06 16:23:00</t>
        </is>
      </c>
      <c r="C222" t="inlineStr">
        <is>
          <t>Organic Search</t>
        </is>
      </c>
      <c r="D222" t="inlineStr">
        <is>
          <t>K-12 Math</t>
        </is>
      </c>
      <c r="E222" t="inlineStr">
        <is>
          <t>East Region</t>
        </is>
      </c>
      <c r="F222" t="inlineStr">
        <is>
          <t>Rep_09</t>
        </is>
      </c>
      <c r="G222" t="n">
        <v>4.97</v>
      </c>
      <c r="H222" t="inlineStr">
        <is>
          <t>Contacted</t>
        </is>
      </c>
      <c r="I222" t="inlineStr">
        <is>
          <t>Open</t>
        </is>
      </c>
      <c r="M222">
        <f>VLOOKUP(H222,'Stage Order'!$A$2:$B$8,2,FALSE)</f>
        <v/>
      </c>
      <c r="N222">
        <f>IF(G222&lt;=1,"1. Under 1 hour",IF(G222&lt;=24,"2. 1-24 hours",IF(G222&lt;=72,"3. 1-3 days","4. Over 3 days")))</f>
        <v/>
      </c>
      <c r="O222">
        <f>TEXT(B222,"YYYY-MM")</f>
        <v/>
      </c>
    </row>
    <row r="223">
      <c r="A223" t="inlineStr">
        <is>
          <t>LD-300221</t>
        </is>
      </c>
      <c r="B223" t="inlineStr">
        <is>
          <t>2025-02-12 18:19:00</t>
        </is>
      </c>
      <c r="C223" t="inlineStr">
        <is>
          <t>Social Media</t>
        </is>
      </c>
      <c r="D223" t="inlineStr">
        <is>
          <t>K-12 Math</t>
        </is>
      </c>
      <c r="E223" t="inlineStr">
        <is>
          <t>East Region</t>
        </is>
      </c>
      <c r="F223" t="inlineStr">
        <is>
          <t>Rep_09</t>
        </is>
      </c>
      <c r="G223" t="n">
        <v>4.94</v>
      </c>
      <c r="H223" t="inlineStr">
        <is>
          <t>Contacted</t>
        </is>
      </c>
      <c r="I223" t="inlineStr">
        <is>
          <t>Open</t>
        </is>
      </c>
      <c r="M223">
        <f>VLOOKUP(H223,'Stage Order'!$A$2:$B$8,2,FALSE)</f>
        <v/>
      </c>
      <c r="N223">
        <f>IF(G223&lt;=1,"1. Under 1 hour",IF(G223&lt;=24,"2. 1-24 hours",IF(G223&lt;=72,"3. 1-3 days","4. Over 3 days")))</f>
        <v/>
      </c>
      <c r="O223">
        <f>TEXT(B223,"YYYY-MM")</f>
        <v/>
      </c>
    </row>
    <row r="224">
      <c r="A224" t="inlineStr">
        <is>
          <t>LD-300222</t>
        </is>
      </c>
      <c r="B224" t="inlineStr">
        <is>
          <t>2026-04-05 20:47:00</t>
        </is>
      </c>
      <c r="C224" t="inlineStr">
        <is>
          <t>Social Media</t>
        </is>
      </c>
      <c r="D224" t="inlineStr">
        <is>
          <t>Coding for Kids</t>
        </is>
      </c>
      <c r="E224" t="inlineStr">
        <is>
          <t>East Region</t>
        </is>
      </c>
      <c r="F224" t="inlineStr">
        <is>
          <t>Rep_09</t>
        </is>
      </c>
      <c r="G224" t="n">
        <v>0.73</v>
      </c>
      <c r="H224" t="inlineStr">
        <is>
          <t>Proposal Sent</t>
        </is>
      </c>
      <c r="I224" t="inlineStr">
        <is>
          <t>Lost</t>
        </is>
      </c>
      <c r="J224" t="inlineStr">
        <is>
          <t>Went With Competitor</t>
        </is>
      </c>
      <c r="K224" t="n">
        <v>631.51</v>
      </c>
      <c r="L224" t="inlineStr">
        <is>
          <t>2026-05-27 17:12:45.036739</t>
        </is>
      </c>
      <c r="M224">
        <f>VLOOKUP(H224,'Stage Order'!$A$2:$B$8,2,FALSE)</f>
        <v/>
      </c>
      <c r="N224">
        <f>IF(G224&lt;=1,"1. Under 1 hour",IF(G224&lt;=24,"2. 1-24 hours",IF(G224&lt;=72,"3. 1-3 days","4. Over 3 days")))</f>
        <v/>
      </c>
      <c r="O224">
        <f>TEXT(B224,"YYYY-MM")</f>
        <v/>
      </c>
    </row>
    <row r="225">
      <c r="A225" t="inlineStr">
        <is>
          <t>LD-300223</t>
        </is>
      </c>
      <c r="B225" t="inlineStr">
        <is>
          <t>2025-01-24 11:54:00</t>
        </is>
      </c>
      <c r="C225" t="inlineStr">
        <is>
          <t>Social Media</t>
        </is>
      </c>
      <c r="D225" t="inlineStr">
        <is>
          <t>K-12 Math</t>
        </is>
      </c>
      <c r="E225" t="inlineStr">
        <is>
          <t>East Region</t>
        </is>
      </c>
      <c r="F225" t="inlineStr">
        <is>
          <t>Rep_04</t>
        </is>
      </c>
      <c r="G225" t="n">
        <v>0.91</v>
      </c>
      <c r="H225" t="inlineStr">
        <is>
          <t>Closed</t>
        </is>
      </c>
      <c r="I225" t="inlineStr">
        <is>
          <t>Won</t>
        </is>
      </c>
      <c r="K225" t="n">
        <v>517.02</v>
      </c>
      <c r="L225" t="inlineStr">
        <is>
          <t>2025-03-09 03:37:21.728065</t>
        </is>
      </c>
      <c r="M225">
        <f>VLOOKUP(H225,'Stage Order'!$A$2:$B$8,2,FALSE)</f>
        <v/>
      </c>
      <c r="N225">
        <f>IF(G225&lt;=1,"1. Under 1 hour",IF(G225&lt;=24,"2. 1-24 hours",IF(G225&lt;=72,"3. 1-3 days","4. Over 3 days")))</f>
        <v/>
      </c>
      <c r="O225">
        <f>TEXT(B225,"YYYY-MM")</f>
        <v/>
      </c>
    </row>
    <row r="226">
      <c r="A226" t="inlineStr">
        <is>
          <t>LD-300224</t>
        </is>
      </c>
      <c r="B226" t="inlineStr">
        <is>
          <t>2025-04-13 10:09:00</t>
        </is>
      </c>
      <c r="C226" t="inlineStr">
        <is>
          <t>Referral</t>
        </is>
      </c>
      <c r="D226" t="inlineStr">
        <is>
          <t>Competitive Exam Prep</t>
        </is>
      </c>
      <c r="E226" t="inlineStr">
        <is>
          <t>South Region</t>
        </is>
      </c>
      <c r="F226" t="inlineStr">
        <is>
          <t>Rep_02</t>
        </is>
      </c>
      <c r="G226" t="n">
        <v>1.15</v>
      </c>
      <c r="H226" t="inlineStr">
        <is>
          <t>Contacted</t>
        </is>
      </c>
      <c r="I226" t="inlineStr">
        <is>
          <t>Open</t>
        </is>
      </c>
      <c r="M226">
        <f>VLOOKUP(H226,'Stage Order'!$A$2:$B$8,2,FALSE)</f>
        <v/>
      </c>
      <c r="N226">
        <f>IF(G226&lt;=1,"1. Under 1 hour",IF(G226&lt;=24,"2. 1-24 hours",IF(G226&lt;=72,"3. 1-3 days","4. Over 3 days")))</f>
        <v/>
      </c>
      <c r="O226">
        <f>TEXT(B226,"YYYY-MM")</f>
        <v/>
      </c>
    </row>
    <row r="227">
      <c r="A227" t="inlineStr">
        <is>
          <t>LD-300225</t>
        </is>
      </c>
      <c r="B227" t="inlineStr">
        <is>
          <t>2025-07-02 15:54:00</t>
        </is>
      </c>
      <c r="C227" t="inlineStr">
        <is>
          <t>Social Media</t>
        </is>
      </c>
      <c r="D227" t="inlineStr">
        <is>
          <t>Coding for Kids</t>
        </is>
      </c>
      <c r="E227" t="inlineStr">
        <is>
          <t>South Region</t>
        </is>
      </c>
      <c r="F227" t="inlineStr">
        <is>
          <t>Rep_07</t>
        </is>
      </c>
      <c r="G227" t="n">
        <v>1.12</v>
      </c>
      <c r="H227" t="inlineStr">
        <is>
          <t>Contacted</t>
        </is>
      </c>
      <c r="I227" t="inlineStr">
        <is>
          <t>Open</t>
        </is>
      </c>
      <c r="M227">
        <f>VLOOKUP(H227,'Stage Order'!$A$2:$B$8,2,FALSE)</f>
        <v/>
      </c>
      <c r="N227">
        <f>IF(G227&lt;=1,"1. Under 1 hour",IF(G227&lt;=24,"2. 1-24 hours",IF(G227&lt;=72,"3. 1-3 days","4. Over 3 days")))</f>
        <v/>
      </c>
      <c r="O227">
        <f>TEXT(B227,"YYYY-MM")</f>
        <v/>
      </c>
    </row>
    <row r="228">
      <c r="A228" t="inlineStr">
        <is>
          <t>LD-300226</t>
        </is>
      </c>
      <c r="B228" t="inlineStr">
        <is>
          <t>2026-01-10 12:32:00</t>
        </is>
      </c>
      <c r="C228" t="inlineStr">
        <is>
          <t>Social Media</t>
        </is>
      </c>
      <c r="D228" t="inlineStr">
        <is>
          <t>K-12 Math</t>
        </is>
      </c>
      <c r="E228" t="inlineStr">
        <is>
          <t>East Region</t>
        </is>
      </c>
      <c r="F228" t="inlineStr">
        <is>
          <t>Rep_14</t>
        </is>
      </c>
      <c r="G228" t="n">
        <v>4.59</v>
      </c>
      <c r="H228" t="inlineStr">
        <is>
          <t>Contacted</t>
        </is>
      </c>
      <c r="I228" t="inlineStr">
        <is>
          <t>Open</t>
        </is>
      </c>
      <c r="M228">
        <f>VLOOKUP(H228,'Stage Order'!$A$2:$B$8,2,FALSE)</f>
        <v/>
      </c>
      <c r="N228">
        <f>IF(G228&lt;=1,"1. Under 1 hour",IF(G228&lt;=24,"2. 1-24 hours",IF(G228&lt;=72,"3. 1-3 days","4. Over 3 days")))</f>
        <v/>
      </c>
      <c r="O228">
        <f>TEXT(B228,"YYYY-MM")</f>
        <v/>
      </c>
    </row>
    <row r="229">
      <c r="A229" t="inlineStr">
        <is>
          <t>LD-300227</t>
        </is>
      </c>
      <c r="B229" t="inlineStr">
        <is>
          <t>2026-04-22 07:42:00</t>
        </is>
      </c>
      <c r="C229" t="inlineStr">
        <is>
          <t>Paid Search</t>
        </is>
      </c>
      <c r="D229" t="inlineStr">
        <is>
          <t>Coding for Kids</t>
        </is>
      </c>
      <c r="E229" t="inlineStr">
        <is>
          <t>East Region</t>
        </is>
      </c>
      <c r="F229" t="inlineStr">
        <is>
          <t>Rep_04</t>
        </is>
      </c>
      <c r="G229" t="n">
        <v>5.3</v>
      </c>
      <c r="H229" t="inlineStr">
        <is>
          <t>Contacted</t>
        </is>
      </c>
      <c r="I229" t="inlineStr">
        <is>
          <t>Open</t>
        </is>
      </c>
      <c r="M229">
        <f>VLOOKUP(H229,'Stage Order'!$A$2:$B$8,2,FALSE)</f>
        <v/>
      </c>
      <c r="N229">
        <f>IF(G229&lt;=1,"1. Under 1 hour",IF(G229&lt;=24,"2. 1-24 hours",IF(G229&lt;=72,"3. 1-3 days","4. Over 3 days")))</f>
        <v/>
      </c>
      <c r="O229">
        <f>TEXT(B229,"YYYY-MM")</f>
        <v/>
      </c>
    </row>
    <row r="230">
      <c r="A230" t="inlineStr">
        <is>
          <t>LD-300228</t>
        </is>
      </c>
      <c r="B230" t="inlineStr">
        <is>
          <t>2025-06-22 13:33:00</t>
        </is>
      </c>
      <c r="C230" t="inlineStr">
        <is>
          <t>Partner Channel</t>
        </is>
      </c>
      <c r="D230" t="inlineStr">
        <is>
          <t>Language Learning</t>
        </is>
      </c>
      <c r="E230" t="inlineStr">
        <is>
          <t>North Region</t>
        </is>
      </c>
      <c r="F230" t="inlineStr">
        <is>
          <t>Rep_11</t>
        </is>
      </c>
      <c r="G230" t="n">
        <v>1.67</v>
      </c>
      <c r="H230" t="inlineStr">
        <is>
          <t>Closed</t>
        </is>
      </c>
      <c r="I230" t="inlineStr">
        <is>
          <t>Won</t>
        </is>
      </c>
      <c r="K230" t="n">
        <v>385.96</v>
      </c>
      <c r="L230" t="inlineStr">
        <is>
          <t>2025-07-28 07:12:06.238978</t>
        </is>
      </c>
      <c r="M230">
        <f>VLOOKUP(H230,'Stage Order'!$A$2:$B$8,2,FALSE)</f>
        <v/>
      </c>
      <c r="N230">
        <f>IF(G230&lt;=1,"1. Under 1 hour",IF(G230&lt;=24,"2. 1-24 hours",IF(G230&lt;=72,"3. 1-3 days","4. Over 3 days")))</f>
        <v/>
      </c>
      <c r="O230">
        <f>TEXT(B230,"YYYY-MM")</f>
        <v/>
      </c>
    </row>
    <row r="231">
      <c r="A231" t="inlineStr">
        <is>
          <t>LD-300229</t>
        </is>
      </c>
      <c r="B231" t="inlineStr">
        <is>
          <t>2025-09-12 15:33:00</t>
        </is>
      </c>
      <c r="C231" t="inlineStr">
        <is>
          <t>Cold Outreach</t>
        </is>
      </c>
      <c r="D231" t="inlineStr">
        <is>
          <t>Competitive Exam Prep</t>
        </is>
      </c>
      <c r="E231" t="inlineStr">
        <is>
          <t>West Region</t>
        </is>
      </c>
      <c r="F231" t="inlineStr">
        <is>
          <t>Rep_13</t>
        </is>
      </c>
      <c r="G231" t="n">
        <v>4.66</v>
      </c>
      <c r="H231" t="inlineStr">
        <is>
          <t>Contacted</t>
        </is>
      </c>
      <c r="I231" t="inlineStr">
        <is>
          <t>Open</t>
        </is>
      </c>
      <c r="M231">
        <f>VLOOKUP(H231,'Stage Order'!$A$2:$B$8,2,FALSE)</f>
        <v/>
      </c>
      <c r="N231">
        <f>IF(G231&lt;=1,"1. Under 1 hour",IF(G231&lt;=24,"2. 1-24 hours",IF(G231&lt;=72,"3. 1-3 days","4. Over 3 days")))</f>
        <v/>
      </c>
      <c r="O231">
        <f>TEXT(B231,"YYYY-MM")</f>
        <v/>
      </c>
    </row>
    <row r="232">
      <c r="A232" t="inlineStr">
        <is>
          <t>LD-300230</t>
        </is>
      </c>
      <c r="B232" t="inlineStr">
        <is>
          <t>2025-07-29 08:10:00</t>
        </is>
      </c>
      <c r="C232" t="inlineStr">
        <is>
          <t>Organic Search</t>
        </is>
      </c>
      <c r="D232" t="inlineStr">
        <is>
          <t>K-12 Math</t>
        </is>
      </c>
      <c r="E232" t="inlineStr">
        <is>
          <t>West Region</t>
        </is>
      </c>
      <c r="F232" t="inlineStr">
        <is>
          <t>Rep_08</t>
        </is>
      </c>
      <c r="G232" t="n">
        <v>1.27</v>
      </c>
      <c r="H232" t="inlineStr">
        <is>
          <t>Lead</t>
        </is>
      </c>
      <c r="I232" t="inlineStr">
        <is>
          <t>Open</t>
        </is>
      </c>
      <c r="M232">
        <f>VLOOKUP(H232,'Stage Order'!$A$2:$B$8,2,FALSE)</f>
        <v/>
      </c>
      <c r="N232">
        <f>IF(G232&lt;=1,"1. Under 1 hour",IF(G232&lt;=24,"2. 1-24 hours",IF(G232&lt;=72,"3. 1-3 days","4. Over 3 days")))</f>
        <v/>
      </c>
      <c r="O232">
        <f>TEXT(B232,"YYYY-MM")</f>
        <v/>
      </c>
    </row>
    <row r="233">
      <c r="A233" t="inlineStr">
        <is>
          <t>LD-300231</t>
        </is>
      </c>
      <c r="B233" t="inlineStr">
        <is>
          <t>2025-07-18 10:42:00</t>
        </is>
      </c>
      <c r="C233" t="inlineStr">
        <is>
          <t>Social Media</t>
        </is>
      </c>
      <c r="D233" t="inlineStr">
        <is>
          <t>Competitive Exam Prep</t>
        </is>
      </c>
      <c r="E233" t="inlineStr">
        <is>
          <t>South Region</t>
        </is>
      </c>
      <c r="F233" t="inlineStr">
        <is>
          <t>Rep_02</t>
        </is>
      </c>
      <c r="G233" t="n">
        <v>2.5</v>
      </c>
      <c r="H233" t="inlineStr">
        <is>
          <t>Contacted</t>
        </is>
      </c>
      <c r="I233" t="inlineStr">
        <is>
          <t>Open</t>
        </is>
      </c>
      <c r="M233">
        <f>VLOOKUP(H233,'Stage Order'!$A$2:$B$8,2,FALSE)</f>
        <v/>
      </c>
      <c r="N233">
        <f>IF(G233&lt;=1,"1. Under 1 hour",IF(G233&lt;=24,"2. 1-24 hours",IF(G233&lt;=72,"3. 1-3 days","4. Over 3 days")))</f>
        <v/>
      </c>
      <c r="O233">
        <f>TEXT(B233,"YYYY-MM")</f>
        <v/>
      </c>
    </row>
    <row r="234">
      <c r="A234" t="inlineStr">
        <is>
          <t>LD-300232</t>
        </is>
      </c>
      <c r="B234" t="inlineStr">
        <is>
          <t>2026-02-18 15:32:00</t>
        </is>
      </c>
      <c r="C234" t="inlineStr">
        <is>
          <t>Partner Channel</t>
        </is>
      </c>
      <c r="D234" t="inlineStr">
        <is>
          <t>Study Abroad Prep</t>
        </is>
      </c>
      <c r="E234" t="inlineStr">
        <is>
          <t>International</t>
        </is>
      </c>
      <c r="F234" t="inlineStr">
        <is>
          <t>Rep_15</t>
        </is>
      </c>
      <c r="G234" t="n">
        <v>4.65</v>
      </c>
      <c r="H234" t="inlineStr">
        <is>
          <t>Contacted</t>
        </is>
      </c>
      <c r="I234" t="inlineStr">
        <is>
          <t>Open</t>
        </is>
      </c>
      <c r="M234">
        <f>VLOOKUP(H234,'Stage Order'!$A$2:$B$8,2,FALSE)</f>
        <v/>
      </c>
      <c r="N234">
        <f>IF(G234&lt;=1,"1. Under 1 hour",IF(G234&lt;=24,"2. 1-24 hours",IF(G234&lt;=72,"3. 1-3 days","4. Over 3 days")))</f>
        <v/>
      </c>
      <c r="O234">
        <f>TEXT(B234,"YYYY-MM")</f>
        <v/>
      </c>
    </row>
    <row r="235">
      <c r="A235" t="inlineStr">
        <is>
          <t>LD-300233</t>
        </is>
      </c>
      <c r="B235" t="inlineStr">
        <is>
          <t>2026-05-01 11:16:00</t>
        </is>
      </c>
      <c r="C235" t="inlineStr">
        <is>
          <t>Organic Search</t>
        </is>
      </c>
      <c r="D235" t="inlineStr">
        <is>
          <t>Competitive Exam Prep</t>
        </is>
      </c>
      <c r="E235" t="inlineStr">
        <is>
          <t>North Region</t>
        </is>
      </c>
      <c r="F235" t="inlineStr">
        <is>
          <t>Rep_06</t>
        </is>
      </c>
      <c r="G235" t="n">
        <v>7.16</v>
      </c>
      <c r="H235" t="inlineStr">
        <is>
          <t>Demo Scheduled</t>
        </is>
      </c>
      <c r="I235" t="inlineStr">
        <is>
          <t>Open</t>
        </is>
      </c>
      <c r="M235">
        <f>VLOOKUP(H235,'Stage Order'!$A$2:$B$8,2,FALSE)</f>
        <v/>
      </c>
      <c r="N235">
        <f>IF(G235&lt;=1,"1. Under 1 hour",IF(G235&lt;=24,"2. 1-24 hours",IF(G235&lt;=72,"3. 1-3 days","4. Over 3 days")))</f>
        <v/>
      </c>
      <c r="O235">
        <f>TEXT(B235,"YYYY-MM")</f>
        <v/>
      </c>
    </row>
    <row r="236">
      <c r="A236" t="inlineStr">
        <is>
          <t>LD-300234</t>
        </is>
      </c>
      <c r="B236" t="inlineStr">
        <is>
          <t>2025-08-13 14:55:00</t>
        </is>
      </c>
      <c r="C236" t="inlineStr">
        <is>
          <t>Organic Search</t>
        </is>
      </c>
      <c r="D236" t="inlineStr">
        <is>
          <t>Coding for Kids</t>
        </is>
      </c>
      <c r="E236" t="inlineStr">
        <is>
          <t>North Region</t>
        </is>
      </c>
      <c r="F236" t="inlineStr">
        <is>
          <t>Rep_01</t>
        </is>
      </c>
      <c r="G236" t="n">
        <v>0.29</v>
      </c>
      <c r="H236" t="inlineStr">
        <is>
          <t>Proposal Sent</t>
        </is>
      </c>
      <c r="I236" t="inlineStr">
        <is>
          <t>Lost</t>
        </is>
      </c>
      <c r="J236" t="inlineStr">
        <is>
          <t>Price Objection</t>
        </is>
      </c>
      <c r="K236" t="n">
        <v>575.25</v>
      </c>
      <c r="L236" t="inlineStr">
        <is>
          <t>2025-09-10 06:59:51.841941</t>
        </is>
      </c>
      <c r="M236">
        <f>VLOOKUP(H236,'Stage Order'!$A$2:$B$8,2,FALSE)</f>
        <v/>
      </c>
      <c r="N236">
        <f>IF(G236&lt;=1,"1. Under 1 hour",IF(G236&lt;=24,"2. 1-24 hours",IF(G236&lt;=72,"3. 1-3 days","4. Over 3 days")))</f>
        <v/>
      </c>
      <c r="O236">
        <f>TEXT(B236,"YYYY-MM")</f>
        <v/>
      </c>
    </row>
    <row r="237">
      <c r="A237" t="inlineStr">
        <is>
          <t>LD-300235</t>
        </is>
      </c>
      <c r="B237" t="inlineStr">
        <is>
          <t>2025-05-21 16:36:00</t>
        </is>
      </c>
      <c r="C237" t="inlineStr">
        <is>
          <t>Organic Search</t>
        </is>
      </c>
      <c r="D237" t="inlineStr">
        <is>
          <t>Language Learning</t>
        </is>
      </c>
      <c r="E237" t="inlineStr">
        <is>
          <t>West Region</t>
        </is>
      </c>
      <c r="F237" t="inlineStr">
        <is>
          <t>Rep_13</t>
        </is>
      </c>
      <c r="G237" t="n">
        <v>1.53</v>
      </c>
      <c r="H237" t="inlineStr">
        <is>
          <t>Contacted</t>
        </is>
      </c>
      <c r="I237" t="inlineStr">
        <is>
          <t>Open</t>
        </is>
      </c>
      <c r="M237">
        <f>VLOOKUP(H237,'Stage Order'!$A$2:$B$8,2,FALSE)</f>
        <v/>
      </c>
      <c r="N237">
        <f>IF(G237&lt;=1,"1. Under 1 hour",IF(G237&lt;=24,"2. 1-24 hours",IF(G237&lt;=72,"3. 1-3 days","4. Over 3 days")))</f>
        <v/>
      </c>
      <c r="O237">
        <f>TEXT(B237,"YYYY-MM")</f>
        <v/>
      </c>
    </row>
    <row r="238">
      <c r="A238" t="inlineStr">
        <is>
          <t>LD-300236</t>
        </is>
      </c>
      <c r="B238" t="inlineStr">
        <is>
          <t>2025-03-14 08:35:00</t>
        </is>
      </c>
      <c r="C238" t="inlineStr">
        <is>
          <t>Social Media</t>
        </is>
      </c>
      <c r="D238" t="inlineStr">
        <is>
          <t>Study Abroad Prep</t>
        </is>
      </c>
      <c r="E238" t="inlineStr">
        <is>
          <t>East Region</t>
        </is>
      </c>
      <c r="F238" t="inlineStr">
        <is>
          <t>Rep_09</t>
        </is>
      </c>
      <c r="G238" t="n">
        <v>1.78</v>
      </c>
      <c r="H238" t="inlineStr">
        <is>
          <t>Contacted</t>
        </is>
      </c>
      <c r="I238" t="inlineStr">
        <is>
          <t>Open</t>
        </is>
      </c>
      <c r="M238">
        <f>VLOOKUP(H238,'Stage Order'!$A$2:$B$8,2,FALSE)</f>
        <v/>
      </c>
      <c r="N238">
        <f>IF(G238&lt;=1,"1. Under 1 hour",IF(G238&lt;=24,"2. 1-24 hours",IF(G238&lt;=72,"3. 1-3 days","4. Over 3 days")))</f>
        <v/>
      </c>
      <c r="O238">
        <f>TEXT(B238,"YYYY-MM")</f>
        <v/>
      </c>
    </row>
    <row r="239">
      <c r="A239" t="inlineStr">
        <is>
          <t>LD-300237</t>
        </is>
      </c>
      <c r="B239" t="inlineStr">
        <is>
          <t>2026-04-09 20:05:00</t>
        </is>
      </c>
      <c r="C239" t="inlineStr">
        <is>
          <t>Paid Search</t>
        </is>
      </c>
      <c r="D239" t="inlineStr">
        <is>
          <t>Competitive Exam Prep</t>
        </is>
      </c>
      <c r="E239" t="inlineStr">
        <is>
          <t>East Region</t>
        </is>
      </c>
      <c r="F239" t="inlineStr">
        <is>
          <t>Rep_14</t>
        </is>
      </c>
      <c r="G239" t="n">
        <v>6.47</v>
      </c>
      <c r="H239" t="inlineStr">
        <is>
          <t>Lead</t>
        </is>
      </c>
      <c r="I239" t="inlineStr">
        <is>
          <t>Open</t>
        </is>
      </c>
      <c r="M239">
        <f>VLOOKUP(H239,'Stage Order'!$A$2:$B$8,2,FALSE)</f>
        <v/>
      </c>
      <c r="N239">
        <f>IF(G239&lt;=1,"1. Under 1 hour",IF(G239&lt;=24,"2. 1-24 hours",IF(G239&lt;=72,"3. 1-3 days","4. Over 3 days")))</f>
        <v/>
      </c>
      <c r="O239">
        <f>TEXT(B239,"YYYY-MM")</f>
        <v/>
      </c>
    </row>
    <row r="240">
      <c r="A240" t="inlineStr">
        <is>
          <t>LD-300238</t>
        </is>
      </c>
      <c r="B240" t="inlineStr">
        <is>
          <t>2025-03-12 16:03:00</t>
        </is>
      </c>
      <c r="C240" t="inlineStr">
        <is>
          <t>Referral</t>
        </is>
      </c>
      <c r="D240" t="inlineStr">
        <is>
          <t>Competitive Exam Prep</t>
        </is>
      </c>
      <c r="E240" t="inlineStr">
        <is>
          <t>North Region</t>
        </is>
      </c>
      <c r="F240" t="inlineStr">
        <is>
          <t>Rep_06</t>
        </is>
      </c>
      <c r="G240" t="n">
        <v>2.44</v>
      </c>
      <c r="H240" t="inlineStr">
        <is>
          <t>Demo Completed</t>
        </is>
      </c>
      <c r="I240" t="inlineStr">
        <is>
          <t>Lost</t>
        </is>
      </c>
      <c r="J240" t="inlineStr">
        <is>
          <t>No Response / Ghosted</t>
        </is>
      </c>
      <c r="K240" t="n">
        <v>1063.99</v>
      </c>
      <c r="L240" t="inlineStr">
        <is>
          <t>2025-04-18 13:09:11.826767</t>
        </is>
      </c>
      <c r="M240">
        <f>VLOOKUP(H240,'Stage Order'!$A$2:$B$8,2,FALSE)</f>
        <v/>
      </c>
      <c r="N240">
        <f>IF(G240&lt;=1,"1. Under 1 hour",IF(G240&lt;=24,"2. 1-24 hours",IF(G240&lt;=72,"3. 1-3 days","4. Over 3 days")))</f>
        <v/>
      </c>
      <c r="O240">
        <f>TEXT(B240,"YYYY-MM")</f>
        <v/>
      </c>
    </row>
    <row r="241">
      <c r="A241" t="inlineStr">
        <is>
          <t>LD-300239</t>
        </is>
      </c>
      <c r="B241" t="inlineStr">
        <is>
          <t>2025-06-18 15:10:00</t>
        </is>
      </c>
      <c r="C241" t="inlineStr">
        <is>
          <t>Referral</t>
        </is>
      </c>
      <c r="D241" t="inlineStr">
        <is>
          <t>Competitive Exam Prep</t>
        </is>
      </c>
      <c r="E241" t="inlineStr">
        <is>
          <t>South Region</t>
        </is>
      </c>
      <c r="F241" t="inlineStr">
        <is>
          <t>Rep_07</t>
        </is>
      </c>
      <c r="G241" t="n">
        <v>5.52</v>
      </c>
      <c r="H241" t="inlineStr">
        <is>
          <t>Contacted</t>
        </is>
      </c>
      <c r="I241" t="inlineStr">
        <is>
          <t>Open</t>
        </is>
      </c>
      <c r="M241">
        <f>VLOOKUP(H241,'Stage Order'!$A$2:$B$8,2,FALSE)</f>
        <v/>
      </c>
      <c r="N241">
        <f>IF(G241&lt;=1,"1. Under 1 hour",IF(G241&lt;=24,"2. 1-24 hours",IF(G241&lt;=72,"3. 1-3 days","4. Over 3 days")))</f>
        <v/>
      </c>
      <c r="O241">
        <f>TEXT(B241,"YYYY-MM")</f>
        <v/>
      </c>
    </row>
    <row r="242">
      <c r="A242" t="inlineStr">
        <is>
          <t>LD-300240</t>
        </is>
      </c>
      <c r="B242" t="inlineStr">
        <is>
          <t>2025-11-11 14:48:00</t>
        </is>
      </c>
      <c r="C242" t="inlineStr">
        <is>
          <t>Webinar</t>
        </is>
      </c>
      <c r="D242" t="inlineStr">
        <is>
          <t>K-12 Math</t>
        </is>
      </c>
      <c r="E242" t="inlineStr">
        <is>
          <t>International</t>
        </is>
      </c>
      <c r="F242" t="inlineStr">
        <is>
          <t>Rep_05</t>
        </is>
      </c>
      <c r="G242" t="n">
        <v>1.82</v>
      </c>
      <c r="H242" t="inlineStr">
        <is>
          <t>Contacted</t>
        </is>
      </c>
      <c r="I242" t="inlineStr">
        <is>
          <t>Open</t>
        </is>
      </c>
      <c r="M242">
        <f>VLOOKUP(H242,'Stage Order'!$A$2:$B$8,2,FALSE)</f>
        <v/>
      </c>
      <c r="N242">
        <f>IF(G242&lt;=1,"1. Under 1 hour",IF(G242&lt;=24,"2. 1-24 hours",IF(G242&lt;=72,"3. 1-3 days","4. Over 3 days")))</f>
        <v/>
      </c>
      <c r="O242">
        <f>TEXT(B242,"YYYY-MM")</f>
        <v/>
      </c>
    </row>
    <row r="243">
      <c r="A243" t="inlineStr">
        <is>
          <t>LD-300241</t>
        </is>
      </c>
      <c r="B243" t="inlineStr">
        <is>
          <t>2025-04-28 07:57:00</t>
        </is>
      </c>
      <c r="C243" t="inlineStr">
        <is>
          <t>Social Media</t>
        </is>
      </c>
      <c r="D243" t="inlineStr">
        <is>
          <t>Competitive Exam Prep</t>
        </is>
      </c>
      <c r="E243" t="inlineStr">
        <is>
          <t>South Region</t>
        </is>
      </c>
      <c r="F243" t="inlineStr">
        <is>
          <t>Rep_02</t>
        </is>
      </c>
      <c r="G243" t="n">
        <v>1.5</v>
      </c>
      <c r="H243" t="inlineStr">
        <is>
          <t>Contacted</t>
        </is>
      </c>
      <c r="I243" t="inlineStr">
        <is>
          <t>Open</t>
        </is>
      </c>
      <c r="M243">
        <f>VLOOKUP(H243,'Stage Order'!$A$2:$B$8,2,FALSE)</f>
        <v/>
      </c>
      <c r="N243">
        <f>IF(G243&lt;=1,"1. Under 1 hour",IF(G243&lt;=24,"2. 1-24 hours",IF(G243&lt;=72,"3. 1-3 days","4. Over 3 days")))</f>
        <v/>
      </c>
      <c r="O243">
        <f>TEXT(B243,"YYYY-MM")</f>
        <v/>
      </c>
    </row>
    <row r="244">
      <c r="A244" t="inlineStr">
        <is>
          <t>LD-300242</t>
        </is>
      </c>
      <c r="B244" t="inlineStr">
        <is>
          <t>2026-02-24 08:21:00</t>
        </is>
      </c>
      <c r="C244" t="inlineStr">
        <is>
          <t>Social Media</t>
        </is>
      </c>
      <c r="D244" t="inlineStr">
        <is>
          <t>Coding for Kids</t>
        </is>
      </c>
      <c r="E244" t="inlineStr">
        <is>
          <t>West Region</t>
        </is>
      </c>
      <c r="F244" t="inlineStr">
        <is>
          <t>Rep_13</t>
        </is>
      </c>
      <c r="G244" t="n">
        <v>30.85</v>
      </c>
      <c r="H244" t="inlineStr">
        <is>
          <t>Contacted</t>
        </is>
      </c>
      <c r="I244" t="inlineStr">
        <is>
          <t>Open</t>
        </is>
      </c>
      <c r="M244">
        <f>VLOOKUP(H244,'Stage Order'!$A$2:$B$8,2,FALSE)</f>
        <v/>
      </c>
      <c r="N244">
        <f>IF(G244&lt;=1,"1. Under 1 hour",IF(G244&lt;=24,"2. 1-24 hours",IF(G244&lt;=72,"3. 1-3 days","4. Over 3 days")))</f>
        <v/>
      </c>
      <c r="O244">
        <f>TEXT(B244,"YYYY-MM")</f>
        <v/>
      </c>
    </row>
    <row r="245">
      <c r="A245" t="inlineStr">
        <is>
          <t>LD-300243</t>
        </is>
      </c>
      <c r="B245" t="inlineStr">
        <is>
          <t>2026-02-20 09:55:00</t>
        </is>
      </c>
      <c r="C245" t="inlineStr">
        <is>
          <t>Cold Outreach</t>
        </is>
      </c>
      <c r="D245" t="inlineStr">
        <is>
          <t>Coding for Kids</t>
        </is>
      </c>
      <c r="E245" t="inlineStr">
        <is>
          <t>North Region</t>
        </is>
      </c>
      <c r="F245" t="inlineStr">
        <is>
          <t>Rep_06</t>
        </is>
      </c>
      <c r="G245" t="n">
        <v>6.79</v>
      </c>
      <c r="H245" t="inlineStr">
        <is>
          <t>Lead</t>
        </is>
      </c>
      <c r="I245" t="inlineStr">
        <is>
          <t>Open</t>
        </is>
      </c>
      <c r="M245">
        <f>VLOOKUP(H245,'Stage Order'!$A$2:$B$8,2,FALSE)</f>
        <v/>
      </c>
      <c r="N245">
        <f>IF(G245&lt;=1,"1. Under 1 hour",IF(G245&lt;=24,"2. 1-24 hours",IF(G245&lt;=72,"3. 1-3 days","4. Over 3 days")))</f>
        <v/>
      </c>
      <c r="O245">
        <f>TEXT(B245,"YYYY-MM")</f>
        <v/>
      </c>
    </row>
    <row r="246">
      <c r="A246" t="inlineStr">
        <is>
          <t>LD-300244</t>
        </is>
      </c>
      <c r="B246" t="inlineStr">
        <is>
          <t>2025-04-07 18:15:00</t>
        </is>
      </c>
      <c r="C246" t="inlineStr">
        <is>
          <t>Cold Outreach</t>
        </is>
      </c>
      <c r="D246" t="inlineStr">
        <is>
          <t>Study Abroad Prep</t>
        </is>
      </c>
      <c r="E246" t="inlineStr">
        <is>
          <t>North Region</t>
        </is>
      </c>
      <c r="F246" t="inlineStr">
        <is>
          <t>Rep_01</t>
        </is>
      </c>
      <c r="G246" t="n">
        <v>0.9</v>
      </c>
      <c r="H246" t="inlineStr">
        <is>
          <t>Demo Completed</t>
        </is>
      </c>
      <c r="I246" t="inlineStr">
        <is>
          <t>Lost</t>
        </is>
      </c>
      <c r="J246" t="inlineStr">
        <is>
          <t>Went With Competitor</t>
        </is>
      </c>
      <c r="K246" t="n">
        <v>1702.53</v>
      </c>
      <c r="L246" t="inlineStr">
        <is>
          <t>2025-05-09 14:08:57.507606</t>
        </is>
      </c>
      <c r="M246">
        <f>VLOOKUP(H246,'Stage Order'!$A$2:$B$8,2,FALSE)</f>
        <v/>
      </c>
      <c r="N246">
        <f>IF(G246&lt;=1,"1. Under 1 hour",IF(G246&lt;=24,"2. 1-24 hours",IF(G246&lt;=72,"3. 1-3 days","4. Over 3 days")))</f>
        <v/>
      </c>
      <c r="O246">
        <f>TEXT(B246,"YYYY-MM")</f>
        <v/>
      </c>
    </row>
    <row r="247">
      <c r="A247" t="inlineStr">
        <is>
          <t>LD-300245</t>
        </is>
      </c>
      <c r="B247" t="inlineStr">
        <is>
          <t>2025-12-15 07:11:00</t>
        </is>
      </c>
      <c r="C247" t="inlineStr">
        <is>
          <t>Paid Search</t>
        </is>
      </c>
      <c r="D247" t="inlineStr">
        <is>
          <t>Coding for Kids</t>
        </is>
      </c>
      <c r="E247" t="inlineStr">
        <is>
          <t>South Region</t>
        </is>
      </c>
      <c r="F247" t="inlineStr">
        <is>
          <t>Rep_02</t>
        </is>
      </c>
      <c r="G247" t="n">
        <v>1.04</v>
      </c>
      <c r="H247" t="inlineStr">
        <is>
          <t>Contacted</t>
        </is>
      </c>
      <c r="I247" t="inlineStr">
        <is>
          <t>Open</t>
        </is>
      </c>
      <c r="M247">
        <f>VLOOKUP(H247,'Stage Order'!$A$2:$B$8,2,FALSE)</f>
        <v/>
      </c>
      <c r="N247">
        <f>IF(G247&lt;=1,"1. Under 1 hour",IF(G247&lt;=24,"2. 1-24 hours",IF(G247&lt;=72,"3. 1-3 days","4. Over 3 days")))</f>
        <v/>
      </c>
      <c r="O247">
        <f>TEXT(B247,"YYYY-MM")</f>
        <v/>
      </c>
    </row>
    <row r="248">
      <c r="A248" t="inlineStr">
        <is>
          <t>LD-300246</t>
        </is>
      </c>
      <c r="B248" t="inlineStr">
        <is>
          <t>2025-12-24 13:38:00</t>
        </is>
      </c>
      <c r="C248" t="inlineStr">
        <is>
          <t>Organic Search</t>
        </is>
      </c>
      <c r="D248" t="inlineStr">
        <is>
          <t>Coding for Kids</t>
        </is>
      </c>
      <c r="E248" t="inlineStr">
        <is>
          <t>West Region</t>
        </is>
      </c>
      <c r="F248" t="inlineStr">
        <is>
          <t>Rep_03</t>
        </is>
      </c>
      <c r="G248" t="n">
        <v>11.49</v>
      </c>
      <c r="H248" t="inlineStr">
        <is>
          <t>Lead</t>
        </is>
      </c>
      <c r="I248" t="inlineStr">
        <is>
          <t>Open</t>
        </is>
      </c>
      <c r="M248">
        <f>VLOOKUP(H248,'Stage Order'!$A$2:$B$8,2,FALSE)</f>
        <v/>
      </c>
      <c r="N248">
        <f>IF(G248&lt;=1,"1. Under 1 hour",IF(G248&lt;=24,"2. 1-24 hours",IF(G248&lt;=72,"3. 1-3 days","4. Over 3 days")))</f>
        <v/>
      </c>
      <c r="O248">
        <f>TEXT(B248,"YYYY-MM")</f>
        <v/>
      </c>
    </row>
    <row r="249">
      <c r="A249" t="inlineStr">
        <is>
          <t>LD-300247</t>
        </is>
      </c>
      <c r="B249" t="inlineStr">
        <is>
          <t>2025-12-05 09:18:00</t>
        </is>
      </c>
      <c r="C249" t="inlineStr">
        <is>
          <t>Referral</t>
        </is>
      </c>
      <c r="D249" t="inlineStr">
        <is>
          <t>Study Abroad Prep</t>
        </is>
      </c>
      <c r="E249" t="inlineStr">
        <is>
          <t>International</t>
        </is>
      </c>
      <c r="F249" t="inlineStr">
        <is>
          <t>Rep_15</t>
        </is>
      </c>
      <c r="G249" t="n">
        <v>8.76</v>
      </c>
      <c r="H249" t="inlineStr">
        <is>
          <t>Contacted</t>
        </is>
      </c>
      <c r="I249" t="inlineStr">
        <is>
          <t>Open</t>
        </is>
      </c>
      <c r="M249">
        <f>VLOOKUP(H249,'Stage Order'!$A$2:$B$8,2,FALSE)</f>
        <v/>
      </c>
      <c r="N249">
        <f>IF(G249&lt;=1,"1. Under 1 hour",IF(G249&lt;=24,"2. 1-24 hours",IF(G249&lt;=72,"3. 1-3 days","4. Over 3 days")))</f>
        <v/>
      </c>
      <c r="O249">
        <f>TEXT(B249,"YYYY-MM")</f>
        <v/>
      </c>
    </row>
    <row r="250">
      <c r="A250" t="inlineStr">
        <is>
          <t>LD-300248</t>
        </is>
      </c>
      <c r="B250" t="inlineStr">
        <is>
          <t>2026-06-19 20:49:00</t>
        </is>
      </c>
      <c r="C250" t="inlineStr">
        <is>
          <t>Referral</t>
        </is>
      </c>
      <c r="D250" t="inlineStr">
        <is>
          <t>K-12 Math</t>
        </is>
      </c>
      <c r="E250" t="inlineStr">
        <is>
          <t>West Region</t>
        </is>
      </c>
      <c r="F250" t="inlineStr">
        <is>
          <t>Rep_08</t>
        </is>
      </c>
      <c r="G250" t="n">
        <v>5.14</v>
      </c>
      <c r="H250" t="inlineStr">
        <is>
          <t>Contacted</t>
        </is>
      </c>
      <c r="I250" t="inlineStr">
        <is>
          <t>Open</t>
        </is>
      </c>
      <c r="M250">
        <f>VLOOKUP(H250,'Stage Order'!$A$2:$B$8,2,FALSE)</f>
        <v/>
      </c>
      <c r="N250">
        <f>IF(G250&lt;=1,"1. Under 1 hour",IF(G250&lt;=24,"2. 1-24 hours",IF(G250&lt;=72,"3. 1-3 days","4. Over 3 days")))</f>
        <v/>
      </c>
      <c r="O250">
        <f>TEXT(B250,"YYYY-MM")</f>
        <v/>
      </c>
    </row>
    <row r="251">
      <c r="A251" t="inlineStr">
        <is>
          <t>LD-300249</t>
        </is>
      </c>
      <c r="B251" t="inlineStr">
        <is>
          <t>2025-07-24 15:23:00</t>
        </is>
      </c>
      <c r="C251" t="inlineStr">
        <is>
          <t>Organic Search</t>
        </is>
      </c>
      <c r="D251" t="inlineStr">
        <is>
          <t>Competitive Exam Prep</t>
        </is>
      </c>
      <c r="E251" t="inlineStr">
        <is>
          <t>East Region</t>
        </is>
      </c>
      <c r="F251" t="inlineStr">
        <is>
          <t>Rep_14</t>
        </is>
      </c>
      <c r="G251" t="n">
        <v>20.5</v>
      </c>
      <c r="H251" t="inlineStr">
        <is>
          <t>Lead</t>
        </is>
      </c>
      <c r="I251" t="inlineStr">
        <is>
          <t>Open</t>
        </is>
      </c>
      <c r="M251">
        <f>VLOOKUP(H251,'Stage Order'!$A$2:$B$8,2,FALSE)</f>
        <v/>
      </c>
      <c r="N251">
        <f>IF(G251&lt;=1,"1. Under 1 hour",IF(G251&lt;=24,"2. 1-24 hours",IF(G251&lt;=72,"3. 1-3 days","4. Over 3 days")))</f>
        <v/>
      </c>
      <c r="O251">
        <f>TEXT(B251,"YYYY-MM")</f>
        <v/>
      </c>
    </row>
    <row r="252">
      <c r="A252" t="inlineStr">
        <is>
          <t>LD-300250</t>
        </is>
      </c>
      <c r="B252" t="inlineStr">
        <is>
          <t>2025-11-21 12:09:00</t>
        </is>
      </c>
      <c r="C252" t="inlineStr">
        <is>
          <t>Social Media</t>
        </is>
      </c>
      <c r="D252" t="inlineStr">
        <is>
          <t>Competitive Exam Prep</t>
        </is>
      </c>
      <c r="E252" t="inlineStr">
        <is>
          <t>South Region</t>
        </is>
      </c>
      <c r="F252" t="inlineStr">
        <is>
          <t>Rep_07</t>
        </is>
      </c>
      <c r="G252" t="n">
        <v>7.72</v>
      </c>
      <c r="H252" t="inlineStr">
        <is>
          <t>Contacted</t>
        </is>
      </c>
      <c r="I252" t="inlineStr">
        <is>
          <t>Open</t>
        </is>
      </c>
      <c r="M252">
        <f>VLOOKUP(H252,'Stage Order'!$A$2:$B$8,2,FALSE)</f>
        <v/>
      </c>
      <c r="N252">
        <f>IF(G252&lt;=1,"1. Under 1 hour",IF(G252&lt;=24,"2. 1-24 hours",IF(G252&lt;=72,"3. 1-3 days","4. Over 3 days")))</f>
        <v/>
      </c>
      <c r="O252">
        <f>TEXT(B252,"YYYY-MM")</f>
        <v/>
      </c>
    </row>
    <row r="253">
      <c r="A253" t="inlineStr">
        <is>
          <t>LD-300251</t>
        </is>
      </c>
      <c r="B253" t="inlineStr">
        <is>
          <t>2026-03-25 08:42:00</t>
        </is>
      </c>
      <c r="C253" t="inlineStr">
        <is>
          <t>Social Media</t>
        </is>
      </c>
      <c r="D253" t="inlineStr">
        <is>
          <t>Language Learning</t>
        </is>
      </c>
      <c r="E253" t="inlineStr">
        <is>
          <t>North Region</t>
        </is>
      </c>
      <c r="F253" t="inlineStr">
        <is>
          <t>Rep_06</t>
        </is>
      </c>
      <c r="G253" t="n">
        <v>4.48</v>
      </c>
      <c r="H253" t="inlineStr">
        <is>
          <t>Lead</t>
        </is>
      </c>
      <c r="I253" t="inlineStr">
        <is>
          <t>Open</t>
        </is>
      </c>
      <c r="M253">
        <f>VLOOKUP(H253,'Stage Order'!$A$2:$B$8,2,FALSE)</f>
        <v/>
      </c>
      <c r="N253">
        <f>IF(G253&lt;=1,"1. Under 1 hour",IF(G253&lt;=24,"2. 1-24 hours",IF(G253&lt;=72,"3. 1-3 days","4. Over 3 days")))</f>
        <v/>
      </c>
      <c r="O253">
        <f>TEXT(B253,"YYYY-MM")</f>
        <v/>
      </c>
    </row>
    <row r="254">
      <c r="A254" t="inlineStr">
        <is>
          <t>LD-300252</t>
        </is>
      </c>
      <c r="B254" t="inlineStr">
        <is>
          <t>2025-01-17 11:56:00</t>
        </is>
      </c>
      <c r="C254" t="inlineStr">
        <is>
          <t>Referral</t>
        </is>
      </c>
      <c r="D254" t="inlineStr">
        <is>
          <t>K-12 Math</t>
        </is>
      </c>
      <c r="E254" t="inlineStr">
        <is>
          <t>South Region</t>
        </is>
      </c>
      <c r="F254" t="inlineStr">
        <is>
          <t>Rep_12</t>
        </is>
      </c>
      <c r="G254" t="n">
        <v>2.33</v>
      </c>
      <c r="H254" t="inlineStr">
        <is>
          <t>Contacted</t>
        </is>
      </c>
      <c r="I254" t="inlineStr">
        <is>
          <t>Open</t>
        </is>
      </c>
      <c r="M254">
        <f>VLOOKUP(H254,'Stage Order'!$A$2:$B$8,2,FALSE)</f>
        <v/>
      </c>
      <c r="N254">
        <f>IF(G254&lt;=1,"1. Under 1 hour",IF(G254&lt;=24,"2. 1-24 hours",IF(G254&lt;=72,"3. 1-3 days","4. Over 3 days")))</f>
        <v/>
      </c>
      <c r="O254">
        <f>TEXT(B254,"YYYY-MM")</f>
        <v/>
      </c>
    </row>
    <row r="255">
      <c r="A255" t="inlineStr">
        <is>
          <t>LD-300253</t>
        </is>
      </c>
      <c r="B255" t="inlineStr">
        <is>
          <t>2025-02-10 16:30:00</t>
        </is>
      </c>
      <c r="C255" t="inlineStr">
        <is>
          <t>Cold Outreach</t>
        </is>
      </c>
      <c r="D255" t="inlineStr">
        <is>
          <t>Competitive Exam Prep</t>
        </is>
      </c>
      <c r="E255" t="inlineStr">
        <is>
          <t>North Region</t>
        </is>
      </c>
      <c r="F255" t="inlineStr">
        <is>
          <t>Rep_06</t>
        </is>
      </c>
      <c r="G255" t="n">
        <v>2.58</v>
      </c>
      <c r="H255" t="inlineStr">
        <is>
          <t>Lead</t>
        </is>
      </c>
      <c r="I255" t="inlineStr">
        <is>
          <t>Open</t>
        </is>
      </c>
      <c r="M255">
        <f>VLOOKUP(H255,'Stage Order'!$A$2:$B$8,2,FALSE)</f>
        <v/>
      </c>
      <c r="N255">
        <f>IF(G255&lt;=1,"1. Under 1 hour",IF(G255&lt;=24,"2. 1-24 hours",IF(G255&lt;=72,"3. 1-3 days","4. Over 3 days")))</f>
        <v/>
      </c>
      <c r="O255">
        <f>TEXT(B255,"YYYY-MM")</f>
        <v/>
      </c>
    </row>
    <row r="256">
      <c r="A256" t="inlineStr">
        <is>
          <t>LD-300254</t>
        </is>
      </c>
      <c r="B256" t="inlineStr">
        <is>
          <t>2026-06-19 20:42:00</t>
        </is>
      </c>
      <c r="C256" t="inlineStr">
        <is>
          <t>Paid Search</t>
        </is>
      </c>
      <c r="D256" t="inlineStr">
        <is>
          <t>Study Abroad Prep</t>
        </is>
      </c>
      <c r="E256" t="inlineStr">
        <is>
          <t>South Region</t>
        </is>
      </c>
      <c r="F256" t="inlineStr">
        <is>
          <t>Rep_07</t>
        </is>
      </c>
      <c r="G256" t="n">
        <v>5.11</v>
      </c>
      <c r="H256" t="inlineStr">
        <is>
          <t>Proposal Sent</t>
        </is>
      </c>
      <c r="I256" t="inlineStr">
        <is>
          <t>Lost</t>
        </is>
      </c>
      <c r="J256" t="inlineStr">
        <is>
          <t>Price Objection</t>
        </is>
      </c>
      <c r="K256" t="n">
        <v>1542.88</v>
      </c>
      <c r="L256" t="inlineStr">
        <is>
          <t>2026-08-06 00:54:19.679176</t>
        </is>
      </c>
      <c r="M256">
        <f>VLOOKUP(H256,'Stage Order'!$A$2:$B$8,2,FALSE)</f>
        <v/>
      </c>
      <c r="N256">
        <f>IF(G256&lt;=1,"1. Under 1 hour",IF(G256&lt;=24,"2. 1-24 hours",IF(G256&lt;=72,"3. 1-3 days","4. Over 3 days")))</f>
        <v/>
      </c>
      <c r="O256">
        <f>TEXT(B256,"YYYY-MM")</f>
        <v/>
      </c>
    </row>
    <row r="257">
      <c r="A257" t="inlineStr">
        <is>
          <t>LD-300255</t>
        </is>
      </c>
      <c r="B257" t="inlineStr">
        <is>
          <t>2025-11-17 11:43:00</t>
        </is>
      </c>
      <c r="C257" t="inlineStr">
        <is>
          <t>Cold Outreach</t>
        </is>
      </c>
      <c r="D257" t="inlineStr">
        <is>
          <t>K-12 Math</t>
        </is>
      </c>
      <c r="E257" t="inlineStr">
        <is>
          <t>South Region</t>
        </is>
      </c>
      <c r="F257" t="inlineStr">
        <is>
          <t>Rep_02</t>
        </is>
      </c>
      <c r="G257" t="n">
        <v>2.23</v>
      </c>
      <c r="H257" t="inlineStr">
        <is>
          <t>Lead</t>
        </is>
      </c>
      <c r="I257" t="inlineStr">
        <is>
          <t>Open</t>
        </is>
      </c>
      <c r="M257">
        <f>VLOOKUP(H257,'Stage Order'!$A$2:$B$8,2,FALSE)</f>
        <v/>
      </c>
      <c r="N257">
        <f>IF(G257&lt;=1,"1. Under 1 hour",IF(G257&lt;=24,"2. 1-24 hours",IF(G257&lt;=72,"3. 1-3 days","4. Over 3 days")))</f>
        <v/>
      </c>
      <c r="O257">
        <f>TEXT(B257,"YYYY-MM")</f>
        <v/>
      </c>
    </row>
    <row r="258">
      <c r="A258" t="inlineStr">
        <is>
          <t>LD-300256</t>
        </is>
      </c>
      <c r="B258" t="inlineStr">
        <is>
          <t>2025-07-19 14:38:00</t>
        </is>
      </c>
      <c r="C258" t="inlineStr">
        <is>
          <t>Paid Search</t>
        </is>
      </c>
      <c r="D258" t="inlineStr">
        <is>
          <t>Language Learning</t>
        </is>
      </c>
      <c r="E258" t="inlineStr">
        <is>
          <t>North Region</t>
        </is>
      </c>
      <c r="F258" t="inlineStr">
        <is>
          <t>Rep_06</t>
        </is>
      </c>
      <c r="G258" t="n">
        <v>3.35</v>
      </c>
      <c r="H258" t="inlineStr">
        <is>
          <t>Lead</t>
        </is>
      </c>
      <c r="I258" t="inlineStr">
        <is>
          <t>Open</t>
        </is>
      </c>
      <c r="M258">
        <f>VLOOKUP(H258,'Stage Order'!$A$2:$B$8,2,FALSE)</f>
        <v/>
      </c>
      <c r="N258">
        <f>IF(G258&lt;=1,"1. Under 1 hour",IF(G258&lt;=24,"2. 1-24 hours",IF(G258&lt;=72,"3. 1-3 days","4. Over 3 days")))</f>
        <v/>
      </c>
      <c r="O258">
        <f>TEXT(B258,"YYYY-MM")</f>
        <v/>
      </c>
    </row>
    <row r="259">
      <c r="A259" t="inlineStr">
        <is>
          <t>LD-300257</t>
        </is>
      </c>
      <c r="B259" t="inlineStr">
        <is>
          <t>2025-07-04 18:48:00</t>
        </is>
      </c>
      <c r="C259" t="inlineStr">
        <is>
          <t>Referral</t>
        </is>
      </c>
      <c r="D259" t="inlineStr">
        <is>
          <t>Study Abroad Prep</t>
        </is>
      </c>
      <c r="E259" t="inlineStr">
        <is>
          <t>South Region</t>
        </is>
      </c>
      <c r="F259" t="inlineStr">
        <is>
          <t>Rep_07</t>
        </is>
      </c>
      <c r="G259" t="n">
        <v>3.45</v>
      </c>
      <c r="H259" t="inlineStr">
        <is>
          <t>Negotiation</t>
        </is>
      </c>
      <c r="I259" t="inlineStr">
        <is>
          <t>Lost</t>
        </is>
      </c>
      <c r="J259" t="inlineStr">
        <is>
          <t>Went With Competitor</t>
        </is>
      </c>
      <c r="K259" t="n">
        <v>1361.82</v>
      </c>
      <c r="L259" t="inlineStr">
        <is>
          <t>2025-08-23 17:26:35.430647</t>
        </is>
      </c>
      <c r="M259">
        <f>VLOOKUP(H259,'Stage Order'!$A$2:$B$8,2,FALSE)</f>
        <v/>
      </c>
      <c r="N259">
        <f>IF(G259&lt;=1,"1. Under 1 hour",IF(G259&lt;=24,"2. 1-24 hours",IF(G259&lt;=72,"3. 1-3 days","4. Over 3 days")))</f>
        <v/>
      </c>
      <c r="O259">
        <f>TEXT(B259,"YYYY-MM")</f>
        <v/>
      </c>
    </row>
    <row r="260">
      <c r="A260" t="inlineStr">
        <is>
          <t>LD-300258</t>
        </is>
      </c>
      <c r="B260" t="inlineStr">
        <is>
          <t>2025-06-23 07:01:00</t>
        </is>
      </c>
      <c r="C260" t="inlineStr">
        <is>
          <t>Paid Search</t>
        </is>
      </c>
      <c r="D260" t="inlineStr">
        <is>
          <t>K-12 Math</t>
        </is>
      </c>
      <c r="E260" t="inlineStr">
        <is>
          <t>East Region</t>
        </is>
      </c>
      <c r="F260" t="inlineStr">
        <is>
          <t>Rep_09</t>
        </is>
      </c>
      <c r="G260" t="n">
        <v>19.55</v>
      </c>
      <c r="H260" t="inlineStr">
        <is>
          <t>Contacted</t>
        </is>
      </c>
      <c r="I260" t="inlineStr">
        <is>
          <t>Open</t>
        </is>
      </c>
      <c r="M260">
        <f>VLOOKUP(H260,'Stage Order'!$A$2:$B$8,2,FALSE)</f>
        <v/>
      </c>
      <c r="N260">
        <f>IF(G260&lt;=1,"1. Under 1 hour",IF(G260&lt;=24,"2. 1-24 hours",IF(G260&lt;=72,"3. 1-3 days","4. Over 3 days")))</f>
        <v/>
      </c>
      <c r="O260">
        <f>TEXT(B260,"YYYY-MM")</f>
        <v/>
      </c>
    </row>
    <row r="261">
      <c r="A261" t="inlineStr">
        <is>
          <t>LD-300259</t>
        </is>
      </c>
      <c r="B261" t="inlineStr">
        <is>
          <t>2025-10-16 07:28:00</t>
        </is>
      </c>
      <c r="C261" t="inlineStr">
        <is>
          <t>Referral</t>
        </is>
      </c>
      <c r="D261" t="inlineStr">
        <is>
          <t>K-12 Math</t>
        </is>
      </c>
      <c r="E261" t="inlineStr">
        <is>
          <t>International</t>
        </is>
      </c>
      <c r="F261" t="inlineStr">
        <is>
          <t>Rep_10</t>
        </is>
      </c>
      <c r="G261" t="n">
        <v>5.14</v>
      </c>
      <c r="H261" t="inlineStr">
        <is>
          <t>Closed</t>
        </is>
      </c>
      <c r="I261" t="inlineStr">
        <is>
          <t>Won</t>
        </is>
      </c>
      <c r="K261" t="n">
        <v>486.16</v>
      </c>
      <c r="L261" t="inlineStr">
        <is>
          <t>2025-11-22 23:23:08.220651</t>
        </is>
      </c>
      <c r="M261">
        <f>VLOOKUP(H261,'Stage Order'!$A$2:$B$8,2,FALSE)</f>
        <v/>
      </c>
      <c r="N261">
        <f>IF(G261&lt;=1,"1. Under 1 hour",IF(G261&lt;=24,"2. 1-24 hours",IF(G261&lt;=72,"3. 1-3 days","4. Over 3 days")))</f>
        <v/>
      </c>
      <c r="O261">
        <f>TEXT(B261,"YYYY-MM")</f>
        <v/>
      </c>
    </row>
    <row r="262">
      <c r="A262" t="inlineStr">
        <is>
          <t>LD-300260</t>
        </is>
      </c>
      <c r="B262" t="inlineStr">
        <is>
          <t>2025-08-31 07:04:00</t>
        </is>
      </c>
      <c r="C262" t="inlineStr">
        <is>
          <t>Social Media</t>
        </is>
      </c>
      <c r="D262" t="inlineStr">
        <is>
          <t>K-12 Math</t>
        </is>
      </c>
      <c r="E262" t="inlineStr">
        <is>
          <t>East Region</t>
        </is>
      </c>
      <c r="F262" t="inlineStr">
        <is>
          <t>Rep_04</t>
        </is>
      </c>
      <c r="G262" t="n">
        <v>21.02</v>
      </c>
      <c r="H262" t="inlineStr">
        <is>
          <t>Lead</t>
        </is>
      </c>
      <c r="I262" t="inlineStr">
        <is>
          <t>Open</t>
        </is>
      </c>
      <c r="M262">
        <f>VLOOKUP(H262,'Stage Order'!$A$2:$B$8,2,FALSE)</f>
        <v/>
      </c>
      <c r="N262">
        <f>IF(G262&lt;=1,"1. Under 1 hour",IF(G262&lt;=24,"2. 1-24 hours",IF(G262&lt;=72,"3. 1-3 days","4. Over 3 days")))</f>
        <v/>
      </c>
      <c r="O262">
        <f>TEXT(B262,"YYYY-MM")</f>
        <v/>
      </c>
    </row>
    <row r="263">
      <c r="A263" t="inlineStr">
        <is>
          <t>LD-300261</t>
        </is>
      </c>
      <c r="B263" t="inlineStr">
        <is>
          <t>2026-06-01 15:42:00</t>
        </is>
      </c>
      <c r="C263" t="inlineStr">
        <is>
          <t>Social Media</t>
        </is>
      </c>
      <c r="D263" t="inlineStr">
        <is>
          <t>Coding for Kids</t>
        </is>
      </c>
      <c r="E263" t="inlineStr">
        <is>
          <t>South Region</t>
        </is>
      </c>
      <c r="F263" t="inlineStr">
        <is>
          <t>Rep_07</t>
        </is>
      </c>
      <c r="G263" t="n">
        <v>2.6</v>
      </c>
      <c r="H263" t="inlineStr">
        <is>
          <t>Lead</t>
        </is>
      </c>
      <c r="I263" t="inlineStr">
        <is>
          <t>Open</t>
        </is>
      </c>
      <c r="M263">
        <f>VLOOKUP(H263,'Stage Order'!$A$2:$B$8,2,FALSE)</f>
        <v/>
      </c>
      <c r="N263">
        <f>IF(G263&lt;=1,"1. Under 1 hour",IF(G263&lt;=24,"2. 1-24 hours",IF(G263&lt;=72,"3. 1-3 days","4. Over 3 days")))</f>
        <v/>
      </c>
      <c r="O263">
        <f>TEXT(B263,"YYYY-MM")</f>
        <v/>
      </c>
    </row>
    <row r="264">
      <c r="A264" t="inlineStr">
        <is>
          <t>LD-300262</t>
        </is>
      </c>
      <c r="B264" t="inlineStr">
        <is>
          <t>2025-03-21 09:58:00</t>
        </is>
      </c>
      <c r="C264" t="inlineStr">
        <is>
          <t>Webinar</t>
        </is>
      </c>
      <c r="D264" t="inlineStr">
        <is>
          <t>Competitive Exam Prep</t>
        </is>
      </c>
      <c r="E264" t="inlineStr">
        <is>
          <t>South Region</t>
        </is>
      </c>
      <c r="F264" t="inlineStr">
        <is>
          <t>Rep_07</t>
        </is>
      </c>
      <c r="G264" t="n">
        <v>2.38</v>
      </c>
      <c r="H264" t="inlineStr">
        <is>
          <t>Contacted</t>
        </is>
      </c>
      <c r="I264" t="inlineStr">
        <is>
          <t>Open</t>
        </is>
      </c>
      <c r="M264">
        <f>VLOOKUP(H264,'Stage Order'!$A$2:$B$8,2,FALSE)</f>
        <v/>
      </c>
      <c r="N264">
        <f>IF(G264&lt;=1,"1. Under 1 hour",IF(G264&lt;=24,"2. 1-24 hours",IF(G264&lt;=72,"3. 1-3 days","4. Over 3 days")))</f>
        <v/>
      </c>
      <c r="O264">
        <f>TEXT(B264,"YYYY-MM")</f>
        <v/>
      </c>
    </row>
    <row r="265">
      <c r="A265" t="inlineStr">
        <is>
          <t>LD-300263</t>
        </is>
      </c>
      <c r="B265" t="inlineStr">
        <is>
          <t>2026-05-18 10:36:00</t>
        </is>
      </c>
      <c r="C265" t="inlineStr">
        <is>
          <t>Cold Outreach</t>
        </is>
      </c>
      <c r="D265" t="inlineStr">
        <is>
          <t>Competitive Exam Prep</t>
        </is>
      </c>
      <c r="E265" t="inlineStr">
        <is>
          <t>International</t>
        </is>
      </c>
      <c r="F265" t="inlineStr">
        <is>
          <t>Rep_05</t>
        </is>
      </c>
      <c r="G265" t="n">
        <v>5.84</v>
      </c>
      <c r="H265" t="inlineStr">
        <is>
          <t>Lead</t>
        </is>
      </c>
      <c r="I265" t="inlineStr">
        <is>
          <t>Open</t>
        </is>
      </c>
      <c r="M265">
        <f>VLOOKUP(H265,'Stage Order'!$A$2:$B$8,2,FALSE)</f>
        <v/>
      </c>
      <c r="N265">
        <f>IF(G265&lt;=1,"1. Under 1 hour",IF(G265&lt;=24,"2. 1-24 hours",IF(G265&lt;=72,"3. 1-3 days","4. Over 3 days")))</f>
        <v/>
      </c>
      <c r="O265">
        <f>TEXT(B265,"YYYY-MM")</f>
        <v/>
      </c>
    </row>
    <row r="266">
      <c r="A266" t="inlineStr">
        <is>
          <t>LD-300264</t>
        </is>
      </c>
      <c r="B266" t="inlineStr">
        <is>
          <t>2025-11-10 10:00:00</t>
        </is>
      </c>
      <c r="C266" t="inlineStr">
        <is>
          <t>Webinar</t>
        </is>
      </c>
      <c r="D266" t="inlineStr">
        <is>
          <t>Language Learning</t>
        </is>
      </c>
      <c r="E266" t="inlineStr">
        <is>
          <t>North Region</t>
        </is>
      </c>
      <c r="F266" t="inlineStr">
        <is>
          <t>Rep_01</t>
        </is>
      </c>
      <c r="G266" t="n">
        <v>10.12</v>
      </c>
      <c r="H266" t="inlineStr">
        <is>
          <t>Negotiation</t>
        </is>
      </c>
      <c r="I266" t="inlineStr">
        <is>
          <t>Lost</t>
        </is>
      </c>
      <c r="J266" t="inlineStr">
        <is>
          <t>Went With Competitor</t>
        </is>
      </c>
      <c r="K266" t="n">
        <v>379.64</v>
      </c>
      <c r="L266" t="inlineStr">
        <is>
          <t>2025-12-01 07:47:28.673324</t>
        </is>
      </c>
      <c r="M266">
        <f>VLOOKUP(H266,'Stage Order'!$A$2:$B$8,2,FALSE)</f>
        <v/>
      </c>
      <c r="N266">
        <f>IF(G266&lt;=1,"1. Under 1 hour",IF(G266&lt;=24,"2. 1-24 hours",IF(G266&lt;=72,"3. 1-3 days","4. Over 3 days")))</f>
        <v/>
      </c>
      <c r="O266">
        <f>TEXT(B266,"YYYY-MM")</f>
        <v/>
      </c>
    </row>
    <row r="267">
      <c r="A267" t="inlineStr">
        <is>
          <t>LD-300265</t>
        </is>
      </c>
      <c r="B267" t="inlineStr">
        <is>
          <t>2025-02-24 20:17:00</t>
        </is>
      </c>
      <c r="C267" t="inlineStr">
        <is>
          <t>Referral</t>
        </is>
      </c>
      <c r="D267" t="inlineStr">
        <is>
          <t>Competitive Exam Prep</t>
        </is>
      </c>
      <c r="E267" t="inlineStr">
        <is>
          <t>South Region</t>
        </is>
      </c>
      <c r="F267" t="inlineStr">
        <is>
          <t>Rep_12</t>
        </is>
      </c>
      <c r="G267" t="n">
        <v>1.07</v>
      </c>
      <c r="H267" t="inlineStr">
        <is>
          <t>Negotiation</t>
        </is>
      </c>
      <c r="I267" t="inlineStr">
        <is>
          <t>Lost</t>
        </is>
      </c>
      <c r="J267" t="inlineStr">
        <is>
          <t>No Response / Ghosted</t>
        </is>
      </c>
      <c r="K267" t="n">
        <v>1113.37</v>
      </c>
      <c r="L267" t="inlineStr">
        <is>
          <t>2025-04-26 06:04:37.079084</t>
        </is>
      </c>
      <c r="M267">
        <f>VLOOKUP(H267,'Stage Order'!$A$2:$B$8,2,FALSE)</f>
        <v/>
      </c>
      <c r="N267">
        <f>IF(G267&lt;=1,"1. Under 1 hour",IF(G267&lt;=24,"2. 1-24 hours",IF(G267&lt;=72,"3. 1-3 days","4. Over 3 days")))</f>
        <v/>
      </c>
      <c r="O267">
        <f>TEXT(B267,"YYYY-MM")</f>
        <v/>
      </c>
    </row>
    <row r="268">
      <c r="A268" t="inlineStr">
        <is>
          <t>LD-300266</t>
        </is>
      </c>
      <c r="B268" t="inlineStr">
        <is>
          <t>2025-08-07 13:18:00</t>
        </is>
      </c>
      <c r="C268" t="inlineStr">
        <is>
          <t>Organic Search</t>
        </is>
      </c>
      <c r="D268" t="inlineStr">
        <is>
          <t>Coding for Kids</t>
        </is>
      </c>
      <c r="E268" t="inlineStr">
        <is>
          <t>North Region</t>
        </is>
      </c>
      <c r="F268" t="inlineStr">
        <is>
          <t>Rep_11</t>
        </is>
      </c>
      <c r="G268" t="n">
        <v>6.59</v>
      </c>
      <c r="H268" t="inlineStr">
        <is>
          <t>Contacted</t>
        </is>
      </c>
      <c r="I268" t="inlineStr">
        <is>
          <t>Open</t>
        </is>
      </c>
      <c r="M268">
        <f>VLOOKUP(H268,'Stage Order'!$A$2:$B$8,2,FALSE)</f>
        <v/>
      </c>
      <c r="N268">
        <f>IF(G268&lt;=1,"1. Under 1 hour",IF(G268&lt;=24,"2. 1-24 hours",IF(G268&lt;=72,"3. 1-3 days","4. Over 3 days")))</f>
        <v/>
      </c>
      <c r="O268">
        <f>TEXT(B268,"YYYY-MM")</f>
        <v/>
      </c>
    </row>
    <row r="269">
      <c r="A269" t="inlineStr">
        <is>
          <t>LD-300267</t>
        </is>
      </c>
      <c r="B269" t="inlineStr">
        <is>
          <t>2025-09-19 18:40:00</t>
        </is>
      </c>
      <c r="C269" t="inlineStr">
        <is>
          <t>Social Media</t>
        </is>
      </c>
      <c r="D269" t="inlineStr">
        <is>
          <t>Coding for Kids</t>
        </is>
      </c>
      <c r="E269" t="inlineStr">
        <is>
          <t>East Region</t>
        </is>
      </c>
      <c r="F269" t="inlineStr">
        <is>
          <t>Rep_04</t>
        </is>
      </c>
      <c r="G269" t="n">
        <v>7.07</v>
      </c>
      <c r="H269" t="inlineStr">
        <is>
          <t>Contacted</t>
        </is>
      </c>
      <c r="I269" t="inlineStr">
        <is>
          <t>Open</t>
        </is>
      </c>
      <c r="M269">
        <f>VLOOKUP(H269,'Stage Order'!$A$2:$B$8,2,FALSE)</f>
        <v/>
      </c>
      <c r="N269">
        <f>IF(G269&lt;=1,"1. Under 1 hour",IF(G269&lt;=24,"2. 1-24 hours",IF(G269&lt;=72,"3. 1-3 days","4. Over 3 days")))</f>
        <v/>
      </c>
      <c r="O269">
        <f>TEXT(B269,"YYYY-MM")</f>
        <v/>
      </c>
    </row>
    <row r="270">
      <c r="A270" t="inlineStr">
        <is>
          <t>LD-300268</t>
        </is>
      </c>
      <c r="B270" t="inlineStr">
        <is>
          <t>2026-03-23 07:52:00</t>
        </is>
      </c>
      <c r="C270" t="inlineStr">
        <is>
          <t>Paid Search</t>
        </is>
      </c>
      <c r="D270" t="inlineStr">
        <is>
          <t>K-12 Math</t>
        </is>
      </c>
      <c r="E270" t="inlineStr">
        <is>
          <t>North Region</t>
        </is>
      </c>
      <c r="F270" t="inlineStr">
        <is>
          <t>Rep_01</t>
        </is>
      </c>
      <c r="G270" t="n">
        <v>1.95</v>
      </c>
      <c r="H270" t="inlineStr">
        <is>
          <t>Lead</t>
        </is>
      </c>
      <c r="I270" t="inlineStr">
        <is>
          <t>Open</t>
        </is>
      </c>
      <c r="M270">
        <f>VLOOKUP(H270,'Stage Order'!$A$2:$B$8,2,FALSE)</f>
        <v/>
      </c>
      <c r="N270">
        <f>IF(G270&lt;=1,"1. Under 1 hour",IF(G270&lt;=24,"2. 1-24 hours",IF(G270&lt;=72,"3. 1-3 days","4. Over 3 days")))</f>
        <v/>
      </c>
      <c r="O270">
        <f>TEXT(B270,"YYYY-MM")</f>
        <v/>
      </c>
    </row>
    <row r="271">
      <c r="A271" t="inlineStr">
        <is>
          <t>LD-300269</t>
        </is>
      </c>
      <c r="B271" t="inlineStr">
        <is>
          <t>2025-10-24 13:41:00</t>
        </is>
      </c>
      <c r="C271" t="inlineStr">
        <is>
          <t>Webinar</t>
        </is>
      </c>
      <c r="D271" t="inlineStr">
        <is>
          <t>Coding for Kids</t>
        </is>
      </c>
      <c r="E271" t="inlineStr">
        <is>
          <t>West Region</t>
        </is>
      </c>
      <c r="F271" t="inlineStr">
        <is>
          <t>Rep_08</t>
        </is>
      </c>
      <c r="G271" t="n">
        <v>2.72</v>
      </c>
      <c r="H271" t="inlineStr">
        <is>
          <t>Closed</t>
        </is>
      </c>
      <c r="I271" t="inlineStr">
        <is>
          <t>Won</t>
        </is>
      </c>
      <c r="K271" t="n">
        <v>530</v>
      </c>
      <c r="L271" t="inlineStr">
        <is>
          <t>2025-12-05 20:12:05.119409</t>
        </is>
      </c>
      <c r="M271">
        <f>VLOOKUP(H271,'Stage Order'!$A$2:$B$8,2,FALSE)</f>
        <v/>
      </c>
      <c r="N271">
        <f>IF(G271&lt;=1,"1. Under 1 hour",IF(G271&lt;=24,"2. 1-24 hours",IF(G271&lt;=72,"3. 1-3 days","4. Over 3 days")))</f>
        <v/>
      </c>
      <c r="O271">
        <f>TEXT(B271,"YYYY-MM")</f>
        <v/>
      </c>
    </row>
    <row r="272">
      <c r="A272" t="inlineStr">
        <is>
          <t>LD-300270</t>
        </is>
      </c>
      <c r="B272" t="inlineStr">
        <is>
          <t>2026-06-08 15:32:00</t>
        </is>
      </c>
      <c r="C272" t="inlineStr">
        <is>
          <t>Social Media</t>
        </is>
      </c>
      <c r="D272" t="inlineStr">
        <is>
          <t>Competitive Exam Prep</t>
        </is>
      </c>
      <c r="E272" t="inlineStr">
        <is>
          <t>North Region</t>
        </is>
      </c>
      <c r="F272" t="inlineStr">
        <is>
          <t>Rep_06</t>
        </is>
      </c>
      <c r="G272" t="n">
        <v>34.67</v>
      </c>
      <c r="H272" t="inlineStr">
        <is>
          <t>Demo Scheduled</t>
        </is>
      </c>
      <c r="I272" t="inlineStr">
        <is>
          <t>Open</t>
        </is>
      </c>
      <c r="M272">
        <f>VLOOKUP(H272,'Stage Order'!$A$2:$B$8,2,FALSE)</f>
        <v/>
      </c>
      <c r="N272">
        <f>IF(G272&lt;=1,"1. Under 1 hour",IF(G272&lt;=24,"2. 1-24 hours",IF(G272&lt;=72,"3. 1-3 days","4. Over 3 days")))</f>
        <v/>
      </c>
      <c r="O272">
        <f>TEXT(B272,"YYYY-MM")</f>
        <v/>
      </c>
    </row>
    <row r="273">
      <c r="A273" t="inlineStr">
        <is>
          <t>LD-300271</t>
        </is>
      </c>
      <c r="B273" t="inlineStr">
        <is>
          <t>2026-02-20 12:17:00</t>
        </is>
      </c>
      <c r="C273" t="inlineStr">
        <is>
          <t>Social Media</t>
        </is>
      </c>
      <c r="D273" t="inlineStr">
        <is>
          <t>Language Learning</t>
        </is>
      </c>
      <c r="E273" t="inlineStr">
        <is>
          <t>East Region</t>
        </is>
      </c>
      <c r="F273" t="inlineStr">
        <is>
          <t>Rep_14</t>
        </is>
      </c>
      <c r="G273" t="n">
        <v>5.71</v>
      </c>
      <c r="H273" t="inlineStr">
        <is>
          <t>Lead</t>
        </is>
      </c>
      <c r="I273" t="inlineStr">
        <is>
          <t>Open</t>
        </is>
      </c>
      <c r="M273">
        <f>VLOOKUP(H273,'Stage Order'!$A$2:$B$8,2,FALSE)</f>
        <v/>
      </c>
      <c r="N273">
        <f>IF(G273&lt;=1,"1. Under 1 hour",IF(G273&lt;=24,"2. 1-24 hours",IF(G273&lt;=72,"3. 1-3 days","4. Over 3 days")))</f>
        <v/>
      </c>
      <c r="O273">
        <f>TEXT(B273,"YYYY-MM")</f>
        <v/>
      </c>
    </row>
    <row r="274">
      <c r="A274" t="inlineStr">
        <is>
          <t>LD-300272</t>
        </is>
      </c>
      <c r="B274" t="inlineStr">
        <is>
          <t>2025-09-18 07:58:00</t>
        </is>
      </c>
      <c r="C274" t="inlineStr">
        <is>
          <t>Social Media</t>
        </is>
      </c>
      <c r="D274" t="inlineStr">
        <is>
          <t>Competitive Exam Prep</t>
        </is>
      </c>
      <c r="E274" t="inlineStr">
        <is>
          <t>South Region</t>
        </is>
      </c>
      <c r="F274" t="inlineStr">
        <is>
          <t>Rep_02</t>
        </is>
      </c>
      <c r="G274" t="n">
        <v>9.01</v>
      </c>
      <c r="H274" t="inlineStr">
        <is>
          <t>Contacted</t>
        </is>
      </c>
      <c r="I274" t="inlineStr">
        <is>
          <t>Open</t>
        </is>
      </c>
      <c r="M274">
        <f>VLOOKUP(H274,'Stage Order'!$A$2:$B$8,2,FALSE)</f>
        <v/>
      </c>
      <c r="N274">
        <f>IF(G274&lt;=1,"1. Under 1 hour",IF(G274&lt;=24,"2. 1-24 hours",IF(G274&lt;=72,"3. 1-3 days","4. Over 3 days")))</f>
        <v/>
      </c>
      <c r="O274">
        <f>TEXT(B274,"YYYY-MM")</f>
        <v/>
      </c>
    </row>
    <row r="275">
      <c r="A275" t="inlineStr">
        <is>
          <t>LD-300273</t>
        </is>
      </c>
      <c r="B275" t="inlineStr">
        <is>
          <t>2025-05-02 11:47:00</t>
        </is>
      </c>
      <c r="C275" t="inlineStr">
        <is>
          <t>Referral</t>
        </is>
      </c>
      <c r="D275" t="inlineStr">
        <is>
          <t>K-12 Math</t>
        </is>
      </c>
      <c r="E275" t="inlineStr">
        <is>
          <t>South Region</t>
        </is>
      </c>
      <c r="F275" t="inlineStr">
        <is>
          <t>Rep_02</t>
        </is>
      </c>
      <c r="G275" t="n">
        <v>1.14</v>
      </c>
      <c r="H275" t="inlineStr">
        <is>
          <t>Contacted</t>
        </is>
      </c>
      <c r="I275" t="inlineStr">
        <is>
          <t>Open</t>
        </is>
      </c>
      <c r="M275">
        <f>VLOOKUP(H275,'Stage Order'!$A$2:$B$8,2,FALSE)</f>
        <v/>
      </c>
      <c r="N275">
        <f>IF(G275&lt;=1,"1. Under 1 hour",IF(G275&lt;=24,"2. 1-24 hours",IF(G275&lt;=72,"3. 1-3 days","4. Over 3 days")))</f>
        <v/>
      </c>
      <c r="O275">
        <f>TEXT(B275,"YYYY-MM")</f>
        <v/>
      </c>
    </row>
    <row r="276">
      <c r="A276" t="inlineStr">
        <is>
          <t>LD-300274</t>
        </is>
      </c>
      <c r="B276" t="inlineStr">
        <is>
          <t>2025-06-06 12:22:00</t>
        </is>
      </c>
      <c r="C276" t="inlineStr">
        <is>
          <t>Paid Search</t>
        </is>
      </c>
      <c r="D276" t="inlineStr">
        <is>
          <t>Language Learning</t>
        </is>
      </c>
      <c r="E276" t="inlineStr">
        <is>
          <t>West Region</t>
        </is>
      </c>
      <c r="F276" t="inlineStr">
        <is>
          <t>Rep_03</t>
        </is>
      </c>
      <c r="G276" t="n">
        <v>1.65</v>
      </c>
      <c r="H276" t="inlineStr">
        <is>
          <t>Lead</t>
        </is>
      </c>
      <c r="I276" t="inlineStr">
        <is>
          <t>Open</t>
        </is>
      </c>
      <c r="M276">
        <f>VLOOKUP(H276,'Stage Order'!$A$2:$B$8,2,FALSE)</f>
        <v/>
      </c>
      <c r="N276">
        <f>IF(G276&lt;=1,"1. Under 1 hour",IF(G276&lt;=24,"2. 1-24 hours",IF(G276&lt;=72,"3. 1-3 days","4. Over 3 days")))</f>
        <v/>
      </c>
      <c r="O276">
        <f>TEXT(B276,"YYYY-MM")</f>
        <v/>
      </c>
    </row>
    <row r="277">
      <c r="A277" t="inlineStr">
        <is>
          <t>LD-300275</t>
        </is>
      </c>
      <c r="B277" t="inlineStr">
        <is>
          <t>2025-12-05 15:12:00</t>
        </is>
      </c>
      <c r="C277" t="inlineStr">
        <is>
          <t>Social Media</t>
        </is>
      </c>
      <c r="D277" t="inlineStr">
        <is>
          <t>Study Abroad Prep</t>
        </is>
      </c>
      <c r="E277" t="inlineStr">
        <is>
          <t>South Region</t>
        </is>
      </c>
      <c r="F277" t="inlineStr">
        <is>
          <t>Rep_02</t>
        </is>
      </c>
      <c r="G277" t="n">
        <v>1</v>
      </c>
      <c r="H277" t="inlineStr">
        <is>
          <t>Lead</t>
        </is>
      </c>
      <c r="I277" t="inlineStr">
        <is>
          <t>Open</t>
        </is>
      </c>
      <c r="M277">
        <f>VLOOKUP(H277,'Stage Order'!$A$2:$B$8,2,FALSE)</f>
        <v/>
      </c>
      <c r="N277">
        <f>IF(G277&lt;=1,"1. Under 1 hour",IF(G277&lt;=24,"2. 1-24 hours",IF(G277&lt;=72,"3. 1-3 days","4. Over 3 days")))</f>
        <v/>
      </c>
      <c r="O277">
        <f>TEXT(B277,"YYYY-MM")</f>
        <v/>
      </c>
    </row>
    <row r="278">
      <c r="A278" t="inlineStr">
        <is>
          <t>LD-300276</t>
        </is>
      </c>
      <c r="B278" t="inlineStr">
        <is>
          <t>2026-03-27 12:29:00</t>
        </is>
      </c>
      <c r="C278" t="inlineStr">
        <is>
          <t>Paid Search</t>
        </is>
      </c>
      <c r="D278" t="inlineStr">
        <is>
          <t>K-12 Math</t>
        </is>
      </c>
      <c r="E278" t="inlineStr">
        <is>
          <t>East Region</t>
        </is>
      </c>
      <c r="F278" t="inlineStr">
        <is>
          <t>Rep_14</t>
        </is>
      </c>
      <c r="G278" t="n">
        <v>4.94</v>
      </c>
      <c r="H278" t="inlineStr">
        <is>
          <t>Contacted</t>
        </is>
      </c>
      <c r="I278" t="inlineStr">
        <is>
          <t>Open</t>
        </is>
      </c>
      <c r="M278">
        <f>VLOOKUP(H278,'Stage Order'!$A$2:$B$8,2,FALSE)</f>
        <v/>
      </c>
      <c r="N278">
        <f>IF(G278&lt;=1,"1. Under 1 hour",IF(G278&lt;=24,"2. 1-24 hours",IF(G278&lt;=72,"3. 1-3 days","4. Over 3 days")))</f>
        <v/>
      </c>
      <c r="O278">
        <f>TEXT(B278,"YYYY-MM")</f>
        <v/>
      </c>
    </row>
    <row r="279">
      <c r="A279" t="inlineStr">
        <is>
          <t>LD-300277</t>
        </is>
      </c>
      <c r="B279" t="inlineStr">
        <is>
          <t>2025-11-06 08:54:00</t>
        </is>
      </c>
      <c r="C279" t="inlineStr">
        <is>
          <t>Webinar</t>
        </is>
      </c>
      <c r="D279" t="inlineStr">
        <is>
          <t>Competitive Exam Prep</t>
        </is>
      </c>
      <c r="E279" t="inlineStr">
        <is>
          <t>North Region</t>
        </is>
      </c>
      <c r="F279" t="inlineStr">
        <is>
          <t>Rep_06</t>
        </is>
      </c>
      <c r="G279" t="n">
        <v>12.78</v>
      </c>
      <c r="H279" t="inlineStr">
        <is>
          <t>Demo Completed</t>
        </is>
      </c>
      <c r="I279" t="inlineStr">
        <is>
          <t>Lost</t>
        </is>
      </c>
      <c r="J279" t="inlineStr">
        <is>
          <t>Price Objection</t>
        </is>
      </c>
      <c r="K279" t="n">
        <v>1166.84</v>
      </c>
      <c r="L279" t="inlineStr">
        <is>
          <t>2025-12-20 23:10:05.965017</t>
        </is>
      </c>
      <c r="M279">
        <f>VLOOKUP(H279,'Stage Order'!$A$2:$B$8,2,FALSE)</f>
        <v/>
      </c>
      <c r="N279">
        <f>IF(G279&lt;=1,"1. Under 1 hour",IF(G279&lt;=24,"2. 1-24 hours",IF(G279&lt;=72,"3. 1-3 days","4. Over 3 days")))</f>
        <v/>
      </c>
      <c r="O279">
        <f>TEXT(B279,"YYYY-MM")</f>
        <v/>
      </c>
    </row>
    <row r="280">
      <c r="A280" t="inlineStr">
        <is>
          <t>LD-300278</t>
        </is>
      </c>
      <c r="B280" t="inlineStr">
        <is>
          <t>2025-06-16 14:11:00</t>
        </is>
      </c>
      <c r="C280" t="inlineStr">
        <is>
          <t>Paid Search</t>
        </is>
      </c>
      <c r="D280" t="inlineStr">
        <is>
          <t>K-12 Math</t>
        </is>
      </c>
      <c r="E280" t="inlineStr">
        <is>
          <t>East Region</t>
        </is>
      </c>
      <c r="F280" t="inlineStr">
        <is>
          <t>Rep_09</t>
        </is>
      </c>
      <c r="G280" t="n">
        <v>4.25</v>
      </c>
      <c r="H280" t="inlineStr">
        <is>
          <t>Contacted</t>
        </is>
      </c>
      <c r="I280" t="inlineStr">
        <is>
          <t>Open</t>
        </is>
      </c>
      <c r="M280">
        <f>VLOOKUP(H280,'Stage Order'!$A$2:$B$8,2,FALSE)</f>
        <v/>
      </c>
      <c r="N280">
        <f>IF(G280&lt;=1,"1. Under 1 hour",IF(G280&lt;=24,"2. 1-24 hours",IF(G280&lt;=72,"3. 1-3 days","4. Over 3 days")))</f>
        <v/>
      </c>
      <c r="O280">
        <f>TEXT(B280,"YYYY-MM")</f>
        <v/>
      </c>
    </row>
    <row r="281">
      <c r="A281" t="inlineStr">
        <is>
          <t>LD-300279</t>
        </is>
      </c>
      <c r="B281" t="inlineStr">
        <is>
          <t>2025-03-16 15:35:00</t>
        </is>
      </c>
      <c r="C281" t="inlineStr">
        <is>
          <t>Webinar</t>
        </is>
      </c>
      <c r="D281" t="inlineStr">
        <is>
          <t>Study Abroad Prep</t>
        </is>
      </c>
      <c r="E281" t="inlineStr">
        <is>
          <t>West Region</t>
        </is>
      </c>
      <c r="F281" t="inlineStr">
        <is>
          <t>Rep_08</t>
        </is>
      </c>
      <c r="G281" t="n">
        <v>2.5</v>
      </c>
      <c r="H281" t="inlineStr">
        <is>
          <t>Negotiation</t>
        </is>
      </c>
      <c r="I281" t="inlineStr">
        <is>
          <t>Lost</t>
        </is>
      </c>
      <c r="J281" t="inlineStr">
        <is>
          <t>No Response / Ghosted</t>
        </is>
      </c>
      <c r="K281" t="n">
        <v>1575.85</v>
      </c>
      <c r="L281" t="inlineStr">
        <is>
          <t>2025-04-16 18:28:54.618675</t>
        </is>
      </c>
      <c r="M281">
        <f>VLOOKUP(H281,'Stage Order'!$A$2:$B$8,2,FALSE)</f>
        <v/>
      </c>
      <c r="N281">
        <f>IF(G281&lt;=1,"1. Under 1 hour",IF(G281&lt;=24,"2. 1-24 hours",IF(G281&lt;=72,"3. 1-3 days","4. Over 3 days")))</f>
        <v/>
      </c>
      <c r="O281">
        <f>TEXT(B281,"YYYY-MM")</f>
        <v/>
      </c>
    </row>
    <row r="282">
      <c r="A282" t="inlineStr">
        <is>
          <t>LD-300280</t>
        </is>
      </c>
      <c r="B282" t="inlineStr">
        <is>
          <t>2026-06-25 09:08:00</t>
        </is>
      </c>
      <c r="C282" t="inlineStr">
        <is>
          <t>Referral</t>
        </is>
      </c>
      <c r="D282" t="inlineStr">
        <is>
          <t>Study Abroad Prep</t>
        </is>
      </c>
      <c r="E282" t="inlineStr">
        <is>
          <t>East Region</t>
        </is>
      </c>
      <c r="F282" t="inlineStr">
        <is>
          <t>Rep_04</t>
        </is>
      </c>
      <c r="G282" t="n">
        <v>4.53</v>
      </c>
      <c r="H282" t="inlineStr">
        <is>
          <t>Contacted</t>
        </is>
      </c>
      <c r="I282" t="inlineStr">
        <is>
          <t>Open</t>
        </is>
      </c>
      <c r="M282">
        <f>VLOOKUP(H282,'Stage Order'!$A$2:$B$8,2,FALSE)</f>
        <v/>
      </c>
      <c r="N282">
        <f>IF(G282&lt;=1,"1. Under 1 hour",IF(G282&lt;=24,"2. 1-24 hours",IF(G282&lt;=72,"3. 1-3 days","4. Over 3 days")))</f>
        <v/>
      </c>
      <c r="O282">
        <f>TEXT(B282,"YYYY-MM")</f>
        <v/>
      </c>
    </row>
    <row r="283">
      <c r="A283" t="inlineStr">
        <is>
          <t>LD-300281</t>
        </is>
      </c>
      <c r="B283" t="inlineStr">
        <is>
          <t>2026-03-16 12:52:00</t>
        </is>
      </c>
      <c r="C283" t="inlineStr">
        <is>
          <t>Paid Search</t>
        </is>
      </c>
      <c r="D283" t="inlineStr">
        <is>
          <t>Study Abroad Prep</t>
        </is>
      </c>
      <c r="E283" t="inlineStr">
        <is>
          <t>East Region</t>
        </is>
      </c>
      <c r="F283" t="inlineStr">
        <is>
          <t>Rep_14</t>
        </is>
      </c>
      <c r="G283" t="n">
        <v>2.22</v>
      </c>
      <c r="H283" t="inlineStr">
        <is>
          <t>Lead</t>
        </is>
      </c>
      <c r="I283" t="inlineStr">
        <is>
          <t>Open</t>
        </is>
      </c>
      <c r="M283">
        <f>VLOOKUP(H283,'Stage Order'!$A$2:$B$8,2,FALSE)</f>
        <v/>
      </c>
      <c r="N283">
        <f>IF(G283&lt;=1,"1. Under 1 hour",IF(G283&lt;=24,"2. 1-24 hours",IF(G283&lt;=72,"3. 1-3 days","4. Over 3 days")))</f>
        <v/>
      </c>
      <c r="O283">
        <f>TEXT(B283,"YYYY-MM")</f>
        <v/>
      </c>
    </row>
    <row r="284">
      <c r="A284" t="inlineStr">
        <is>
          <t>LD-300282</t>
        </is>
      </c>
      <c r="B284" t="inlineStr">
        <is>
          <t>2026-02-04 20:50:00</t>
        </is>
      </c>
      <c r="C284" t="inlineStr">
        <is>
          <t>Social Media</t>
        </is>
      </c>
      <c r="D284" t="inlineStr">
        <is>
          <t>Competitive Exam Prep</t>
        </is>
      </c>
      <c r="E284" t="inlineStr">
        <is>
          <t>West Region</t>
        </is>
      </c>
      <c r="F284" t="inlineStr">
        <is>
          <t>Rep_13</t>
        </is>
      </c>
      <c r="G284" t="n">
        <v>5.34</v>
      </c>
      <c r="H284" t="inlineStr">
        <is>
          <t>Demo Scheduled</t>
        </is>
      </c>
      <c r="I284" t="inlineStr">
        <is>
          <t>Open</t>
        </is>
      </c>
      <c r="M284">
        <f>VLOOKUP(H284,'Stage Order'!$A$2:$B$8,2,FALSE)</f>
        <v/>
      </c>
      <c r="N284">
        <f>IF(G284&lt;=1,"1. Under 1 hour",IF(G284&lt;=24,"2. 1-24 hours",IF(G284&lt;=72,"3. 1-3 days","4. Over 3 days")))</f>
        <v/>
      </c>
      <c r="O284">
        <f>TEXT(B284,"YYYY-MM")</f>
        <v/>
      </c>
    </row>
    <row r="285">
      <c r="A285" t="inlineStr">
        <is>
          <t>LD-300283</t>
        </is>
      </c>
      <c r="B285" t="inlineStr">
        <is>
          <t>2026-01-26 19:59:00</t>
        </is>
      </c>
      <c r="C285" t="inlineStr">
        <is>
          <t>Social Media</t>
        </is>
      </c>
      <c r="D285" t="inlineStr">
        <is>
          <t>Competitive Exam Prep</t>
        </is>
      </c>
      <c r="E285" t="inlineStr">
        <is>
          <t>North Region</t>
        </is>
      </c>
      <c r="F285" t="inlineStr">
        <is>
          <t>Rep_06</t>
        </is>
      </c>
      <c r="G285" t="n">
        <v>3.25</v>
      </c>
      <c r="H285" t="inlineStr">
        <is>
          <t>Contacted</t>
        </is>
      </c>
      <c r="I285" t="inlineStr">
        <is>
          <t>Open</t>
        </is>
      </c>
      <c r="M285">
        <f>VLOOKUP(H285,'Stage Order'!$A$2:$B$8,2,FALSE)</f>
        <v/>
      </c>
      <c r="N285">
        <f>IF(G285&lt;=1,"1. Under 1 hour",IF(G285&lt;=24,"2. 1-24 hours",IF(G285&lt;=72,"3. 1-3 days","4. Over 3 days")))</f>
        <v/>
      </c>
      <c r="O285">
        <f>TEXT(B285,"YYYY-MM")</f>
        <v/>
      </c>
    </row>
    <row r="286">
      <c r="A286" t="inlineStr">
        <is>
          <t>LD-300284</t>
        </is>
      </c>
      <c r="B286" t="inlineStr">
        <is>
          <t>2026-06-26 09:02:00</t>
        </is>
      </c>
      <c r="C286" t="inlineStr">
        <is>
          <t>Paid Search</t>
        </is>
      </c>
      <c r="D286" t="inlineStr">
        <is>
          <t>Coding for Kids</t>
        </is>
      </c>
      <c r="E286" t="inlineStr">
        <is>
          <t>West Region</t>
        </is>
      </c>
      <c r="F286" t="inlineStr">
        <is>
          <t>Rep_13</t>
        </is>
      </c>
      <c r="G286" t="n">
        <v>3.69</v>
      </c>
      <c r="H286" t="inlineStr">
        <is>
          <t>Lead</t>
        </is>
      </c>
      <c r="I286" t="inlineStr">
        <is>
          <t>Open</t>
        </is>
      </c>
      <c r="M286">
        <f>VLOOKUP(H286,'Stage Order'!$A$2:$B$8,2,FALSE)</f>
        <v/>
      </c>
      <c r="N286">
        <f>IF(G286&lt;=1,"1. Under 1 hour",IF(G286&lt;=24,"2. 1-24 hours",IF(G286&lt;=72,"3. 1-3 days","4. Over 3 days")))</f>
        <v/>
      </c>
      <c r="O286">
        <f>TEXT(B286,"YYYY-MM")</f>
        <v/>
      </c>
    </row>
    <row r="287">
      <c r="A287" t="inlineStr">
        <is>
          <t>LD-300285</t>
        </is>
      </c>
      <c r="B287" t="inlineStr">
        <is>
          <t>2025-09-02 20:37:00</t>
        </is>
      </c>
      <c r="C287" t="inlineStr">
        <is>
          <t>Organic Search</t>
        </is>
      </c>
      <c r="D287" t="inlineStr">
        <is>
          <t>Coding for Kids</t>
        </is>
      </c>
      <c r="E287" t="inlineStr">
        <is>
          <t>West Region</t>
        </is>
      </c>
      <c r="F287" t="inlineStr">
        <is>
          <t>Rep_13</t>
        </is>
      </c>
      <c r="G287" t="n">
        <v>3.17</v>
      </c>
      <c r="H287" t="inlineStr">
        <is>
          <t>Contacted</t>
        </is>
      </c>
      <c r="I287" t="inlineStr">
        <is>
          <t>Open</t>
        </is>
      </c>
      <c r="M287">
        <f>VLOOKUP(H287,'Stage Order'!$A$2:$B$8,2,FALSE)</f>
        <v/>
      </c>
      <c r="N287">
        <f>IF(G287&lt;=1,"1. Under 1 hour",IF(G287&lt;=24,"2. 1-24 hours",IF(G287&lt;=72,"3. 1-3 days","4. Over 3 days")))</f>
        <v/>
      </c>
      <c r="O287">
        <f>TEXT(B287,"YYYY-MM")</f>
        <v/>
      </c>
    </row>
    <row r="288">
      <c r="A288" t="inlineStr">
        <is>
          <t>LD-300286</t>
        </is>
      </c>
      <c r="B288" t="inlineStr">
        <is>
          <t>2025-05-16 10:53:00</t>
        </is>
      </c>
      <c r="C288" t="inlineStr">
        <is>
          <t>Referral</t>
        </is>
      </c>
      <c r="D288" t="inlineStr">
        <is>
          <t>Coding for Kids</t>
        </is>
      </c>
      <c r="E288" t="inlineStr">
        <is>
          <t>East Region</t>
        </is>
      </c>
      <c r="F288" t="inlineStr">
        <is>
          <t>Rep_04</t>
        </is>
      </c>
      <c r="G288" t="n">
        <v>1.45</v>
      </c>
      <c r="H288" t="inlineStr">
        <is>
          <t>Contacted</t>
        </is>
      </c>
      <c r="I288" t="inlineStr">
        <is>
          <t>Open</t>
        </is>
      </c>
      <c r="M288">
        <f>VLOOKUP(H288,'Stage Order'!$A$2:$B$8,2,FALSE)</f>
        <v/>
      </c>
      <c r="N288">
        <f>IF(G288&lt;=1,"1. Under 1 hour",IF(G288&lt;=24,"2. 1-24 hours",IF(G288&lt;=72,"3. 1-3 days","4. Over 3 days")))</f>
        <v/>
      </c>
      <c r="O288">
        <f>TEXT(B288,"YYYY-MM")</f>
        <v/>
      </c>
    </row>
    <row r="289">
      <c r="A289" t="inlineStr">
        <is>
          <t>LD-300287</t>
        </is>
      </c>
      <c r="B289" t="inlineStr">
        <is>
          <t>2025-01-20 20:14:00</t>
        </is>
      </c>
      <c r="C289" t="inlineStr">
        <is>
          <t>Paid Search</t>
        </is>
      </c>
      <c r="D289" t="inlineStr">
        <is>
          <t>K-12 Math</t>
        </is>
      </c>
      <c r="E289" t="inlineStr">
        <is>
          <t>International</t>
        </is>
      </c>
      <c r="F289" t="inlineStr">
        <is>
          <t>Rep_15</t>
        </is>
      </c>
      <c r="G289" t="n">
        <v>4.5</v>
      </c>
      <c r="H289" t="inlineStr">
        <is>
          <t>Contacted</t>
        </is>
      </c>
      <c r="I289" t="inlineStr">
        <is>
          <t>Open</t>
        </is>
      </c>
      <c r="M289">
        <f>VLOOKUP(H289,'Stage Order'!$A$2:$B$8,2,FALSE)</f>
        <v/>
      </c>
      <c r="N289">
        <f>IF(G289&lt;=1,"1. Under 1 hour",IF(G289&lt;=24,"2. 1-24 hours",IF(G289&lt;=72,"3. 1-3 days","4. Over 3 days")))</f>
        <v/>
      </c>
      <c r="O289">
        <f>TEXT(B289,"YYYY-MM")</f>
        <v/>
      </c>
    </row>
    <row r="290">
      <c r="A290" t="inlineStr">
        <is>
          <t>LD-300288</t>
        </is>
      </c>
      <c r="B290" t="inlineStr">
        <is>
          <t>2025-10-21 16:22:00</t>
        </is>
      </c>
      <c r="C290" t="inlineStr">
        <is>
          <t>Social Media</t>
        </is>
      </c>
      <c r="D290" t="inlineStr">
        <is>
          <t>Language Learning</t>
        </is>
      </c>
      <c r="E290" t="inlineStr">
        <is>
          <t>South Region</t>
        </is>
      </c>
      <c r="F290" t="inlineStr">
        <is>
          <t>Rep_07</t>
        </is>
      </c>
      <c r="G290" t="n">
        <v>3.26</v>
      </c>
      <c r="H290" t="inlineStr">
        <is>
          <t>Lead</t>
        </is>
      </c>
      <c r="I290" t="inlineStr">
        <is>
          <t>Open</t>
        </is>
      </c>
      <c r="M290">
        <f>VLOOKUP(H290,'Stage Order'!$A$2:$B$8,2,FALSE)</f>
        <v/>
      </c>
      <c r="N290">
        <f>IF(G290&lt;=1,"1. Under 1 hour",IF(G290&lt;=24,"2. 1-24 hours",IF(G290&lt;=72,"3. 1-3 days","4. Over 3 days")))</f>
        <v/>
      </c>
      <c r="O290">
        <f>TEXT(B290,"YYYY-MM")</f>
        <v/>
      </c>
    </row>
    <row r="291">
      <c r="A291" t="inlineStr">
        <is>
          <t>LD-300289</t>
        </is>
      </c>
      <c r="B291" t="inlineStr">
        <is>
          <t>2025-10-03 18:02:00</t>
        </is>
      </c>
      <c r="C291" t="inlineStr">
        <is>
          <t>Organic Search</t>
        </is>
      </c>
      <c r="D291" t="inlineStr">
        <is>
          <t>K-12 Math</t>
        </is>
      </c>
      <c r="E291" t="inlineStr">
        <is>
          <t>International</t>
        </is>
      </c>
      <c r="F291" t="inlineStr">
        <is>
          <t>Rep_15</t>
        </is>
      </c>
      <c r="G291" t="n">
        <v>9.390000000000001</v>
      </c>
      <c r="H291" t="inlineStr">
        <is>
          <t>Demo Completed</t>
        </is>
      </c>
      <c r="I291" t="inlineStr">
        <is>
          <t>Lost</t>
        </is>
      </c>
      <c r="J291" t="inlineStr">
        <is>
          <t>Budget Not Approved</t>
        </is>
      </c>
      <c r="K291" t="n">
        <v>540.13</v>
      </c>
      <c r="L291" t="inlineStr">
        <is>
          <t>2025-10-26 20:06:47.448871</t>
        </is>
      </c>
      <c r="M291">
        <f>VLOOKUP(H291,'Stage Order'!$A$2:$B$8,2,FALSE)</f>
        <v/>
      </c>
      <c r="N291">
        <f>IF(G291&lt;=1,"1. Under 1 hour",IF(G291&lt;=24,"2. 1-24 hours",IF(G291&lt;=72,"3. 1-3 days","4. Over 3 days")))</f>
        <v/>
      </c>
      <c r="O291">
        <f>TEXT(B291,"YYYY-MM")</f>
        <v/>
      </c>
    </row>
    <row r="292">
      <c r="A292" t="inlineStr">
        <is>
          <t>LD-300290</t>
        </is>
      </c>
      <c r="B292" t="inlineStr">
        <is>
          <t>2025-01-10 12:08:00</t>
        </is>
      </c>
      <c r="C292" t="inlineStr">
        <is>
          <t>Paid Search</t>
        </is>
      </c>
      <c r="D292" t="inlineStr">
        <is>
          <t>Competitive Exam Prep</t>
        </is>
      </c>
      <c r="E292" t="inlineStr">
        <is>
          <t>East Region</t>
        </is>
      </c>
      <c r="F292" t="inlineStr">
        <is>
          <t>Rep_04</t>
        </is>
      </c>
      <c r="G292" t="n">
        <v>3.87</v>
      </c>
      <c r="H292" t="inlineStr">
        <is>
          <t>Contacted</t>
        </is>
      </c>
      <c r="I292" t="inlineStr">
        <is>
          <t>Open</t>
        </is>
      </c>
      <c r="M292">
        <f>VLOOKUP(H292,'Stage Order'!$A$2:$B$8,2,FALSE)</f>
        <v/>
      </c>
      <c r="N292">
        <f>IF(G292&lt;=1,"1. Under 1 hour",IF(G292&lt;=24,"2. 1-24 hours",IF(G292&lt;=72,"3. 1-3 days","4. Over 3 days")))</f>
        <v/>
      </c>
      <c r="O292">
        <f>TEXT(B292,"YYYY-MM")</f>
        <v/>
      </c>
    </row>
    <row r="293">
      <c r="A293" t="inlineStr">
        <is>
          <t>LD-300291</t>
        </is>
      </c>
      <c r="B293" t="inlineStr">
        <is>
          <t>2025-03-28 14:02:00</t>
        </is>
      </c>
      <c r="C293" t="inlineStr">
        <is>
          <t>Cold Outreach</t>
        </is>
      </c>
      <c r="D293" t="inlineStr">
        <is>
          <t>Coding for Kids</t>
        </is>
      </c>
      <c r="E293" t="inlineStr">
        <is>
          <t>West Region</t>
        </is>
      </c>
      <c r="F293" t="inlineStr">
        <is>
          <t>Rep_08</t>
        </is>
      </c>
      <c r="G293" t="n">
        <v>11.68</v>
      </c>
      <c r="H293" t="inlineStr">
        <is>
          <t>Contacted</t>
        </is>
      </c>
      <c r="I293" t="inlineStr">
        <is>
          <t>Open</t>
        </is>
      </c>
      <c r="M293">
        <f>VLOOKUP(H293,'Stage Order'!$A$2:$B$8,2,FALSE)</f>
        <v/>
      </c>
      <c r="N293">
        <f>IF(G293&lt;=1,"1. Under 1 hour",IF(G293&lt;=24,"2. 1-24 hours",IF(G293&lt;=72,"3. 1-3 days","4. Over 3 days")))</f>
        <v/>
      </c>
      <c r="O293">
        <f>TEXT(B293,"YYYY-MM")</f>
        <v/>
      </c>
    </row>
    <row r="294">
      <c r="A294" t="inlineStr">
        <is>
          <t>LD-300292</t>
        </is>
      </c>
      <c r="B294" t="inlineStr">
        <is>
          <t>2025-01-17 18:42:00</t>
        </is>
      </c>
      <c r="C294" t="inlineStr">
        <is>
          <t>Organic Search</t>
        </is>
      </c>
      <c r="D294" t="inlineStr">
        <is>
          <t>Coding for Kids</t>
        </is>
      </c>
      <c r="E294" t="inlineStr">
        <is>
          <t>East Region</t>
        </is>
      </c>
      <c r="F294" t="inlineStr">
        <is>
          <t>Rep_04</t>
        </is>
      </c>
      <c r="G294" t="n">
        <v>3.27</v>
      </c>
      <c r="H294" t="inlineStr">
        <is>
          <t>Demo Completed</t>
        </is>
      </c>
      <c r="I294" t="inlineStr">
        <is>
          <t>Lost</t>
        </is>
      </c>
      <c r="J294" t="inlineStr">
        <is>
          <t>Price Objection</t>
        </is>
      </c>
      <c r="K294" t="n">
        <v>680.42</v>
      </c>
      <c r="L294" t="inlineStr">
        <is>
          <t>2025-02-12 01:22:53.134460</t>
        </is>
      </c>
      <c r="M294">
        <f>VLOOKUP(H294,'Stage Order'!$A$2:$B$8,2,FALSE)</f>
        <v/>
      </c>
      <c r="N294">
        <f>IF(G294&lt;=1,"1. Under 1 hour",IF(G294&lt;=24,"2. 1-24 hours",IF(G294&lt;=72,"3. 1-3 days","4. Over 3 days")))</f>
        <v/>
      </c>
      <c r="O294">
        <f>TEXT(B294,"YYYY-MM")</f>
        <v/>
      </c>
    </row>
    <row r="295">
      <c r="A295" t="inlineStr">
        <is>
          <t>LD-300293</t>
        </is>
      </c>
      <c r="B295" t="inlineStr">
        <is>
          <t>2025-11-21 12:33:00</t>
        </is>
      </c>
      <c r="C295" t="inlineStr">
        <is>
          <t>Cold Outreach</t>
        </is>
      </c>
      <c r="D295" t="inlineStr">
        <is>
          <t>K-12 Math</t>
        </is>
      </c>
      <c r="E295" t="inlineStr">
        <is>
          <t>South Region</t>
        </is>
      </c>
      <c r="F295" t="inlineStr">
        <is>
          <t>Rep_02</t>
        </is>
      </c>
      <c r="G295" t="n">
        <v>5.56</v>
      </c>
      <c r="H295" t="inlineStr">
        <is>
          <t>Lead</t>
        </is>
      </c>
      <c r="I295" t="inlineStr">
        <is>
          <t>Open</t>
        </is>
      </c>
      <c r="M295">
        <f>VLOOKUP(H295,'Stage Order'!$A$2:$B$8,2,FALSE)</f>
        <v/>
      </c>
      <c r="N295">
        <f>IF(G295&lt;=1,"1. Under 1 hour",IF(G295&lt;=24,"2. 1-24 hours",IF(G295&lt;=72,"3. 1-3 days","4. Over 3 days")))</f>
        <v/>
      </c>
      <c r="O295">
        <f>TEXT(B295,"YYYY-MM")</f>
        <v/>
      </c>
    </row>
    <row r="296">
      <c r="A296" t="inlineStr">
        <is>
          <t>LD-300294</t>
        </is>
      </c>
      <c r="B296" t="inlineStr">
        <is>
          <t>2025-10-03 19:42:00</t>
        </is>
      </c>
      <c r="C296" t="inlineStr">
        <is>
          <t>Webinar</t>
        </is>
      </c>
      <c r="D296" t="inlineStr">
        <is>
          <t>Language Learning</t>
        </is>
      </c>
      <c r="E296" t="inlineStr">
        <is>
          <t>North Region</t>
        </is>
      </c>
      <c r="F296" t="inlineStr">
        <is>
          <t>Rep_06</t>
        </is>
      </c>
      <c r="G296" t="n">
        <v>7.86</v>
      </c>
      <c r="H296" t="inlineStr">
        <is>
          <t>Closed</t>
        </is>
      </c>
      <c r="I296" t="inlineStr">
        <is>
          <t>Won</t>
        </is>
      </c>
      <c r="K296" t="n">
        <v>301.64</v>
      </c>
      <c r="L296" t="inlineStr">
        <is>
          <t>2025-11-23 15:18:26.308405</t>
        </is>
      </c>
      <c r="M296">
        <f>VLOOKUP(H296,'Stage Order'!$A$2:$B$8,2,FALSE)</f>
        <v/>
      </c>
      <c r="N296">
        <f>IF(G296&lt;=1,"1. Under 1 hour",IF(G296&lt;=24,"2. 1-24 hours",IF(G296&lt;=72,"3. 1-3 days","4. Over 3 days")))</f>
        <v/>
      </c>
      <c r="O296">
        <f>TEXT(B296,"YYYY-MM")</f>
        <v/>
      </c>
    </row>
    <row r="297">
      <c r="A297" t="inlineStr">
        <is>
          <t>LD-300295</t>
        </is>
      </c>
      <c r="B297" t="inlineStr">
        <is>
          <t>2025-07-20 19:56:00</t>
        </is>
      </c>
      <c r="C297" t="inlineStr">
        <is>
          <t>Webinar</t>
        </is>
      </c>
      <c r="D297" t="inlineStr">
        <is>
          <t>K-12 Math</t>
        </is>
      </c>
      <c r="E297" t="inlineStr">
        <is>
          <t>South Region</t>
        </is>
      </c>
      <c r="F297" t="inlineStr">
        <is>
          <t>Rep_02</t>
        </is>
      </c>
      <c r="G297" t="n">
        <v>1.9</v>
      </c>
      <c r="H297" t="inlineStr">
        <is>
          <t>Contacted</t>
        </is>
      </c>
      <c r="I297" t="inlineStr">
        <is>
          <t>Open</t>
        </is>
      </c>
      <c r="M297">
        <f>VLOOKUP(H297,'Stage Order'!$A$2:$B$8,2,FALSE)</f>
        <v/>
      </c>
      <c r="N297">
        <f>IF(G297&lt;=1,"1. Under 1 hour",IF(G297&lt;=24,"2. 1-24 hours",IF(G297&lt;=72,"3. 1-3 days","4. Over 3 days")))</f>
        <v/>
      </c>
      <c r="O297">
        <f>TEXT(B297,"YYYY-MM")</f>
        <v/>
      </c>
    </row>
    <row r="298">
      <c r="A298" t="inlineStr">
        <is>
          <t>LD-300296</t>
        </is>
      </c>
      <c r="B298" t="inlineStr">
        <is>
          <t>2025-11-11 15:53:00</t>
        </is>
      </c>
      <c r="C298" t="inlineStr">
        <is>
          <t>Organic Search</t>
        </is>
      </c>
      <c r="D298" t="inlineStr">
        <is>
          <t>Study Abroad Prep</t>
        </is>
      </c>
      <c r="E298" t="inlineStr">
        <is>
          <t>North Region</t>
        </is>
      </c>
      <c r="F298" t="inlineStr">
        <is>
          <t>Rep_01</t>
        </is>
      </c>
      <c r="G298" t="n">
        <v>1.46</v>
      </c>
      <c r="H298" t="inlineStr">
        <is>
          <t>Demo Completed</t>
        </is>
      </c>
      <c r="I298" t="inlineStr">
        <is>
          <t>Lost</t>
        </is>
      </c>
      <c r="J298" t="inlineStr">
        <is>
          <t>Price Objection</t>
        </is>
      </c>
      <c r="K298" t="n">
        <v>1465.01</v>
      </c>
      <c r="L298" t="inlineStr">
        <is>
          <t>2025-12-05 12:45:23.604048</t>
        </is>
      </c>
      <c r="M298">
        <f>VLOOKUP(H298,'Stage Order'!$A$2:$B$8,2,FALSE)</f>
        <v/>
      </c>
      <c r="N298">
        <f>IF(G298&lt;=1,"1. Under 1 hour",IF(G298&lt;=24,"2. 1-24 hours",IF(G298&lt;=72,"3. 1-3 days","4. Over 3 days")))</f>
        <v/>
      </c>
      <c r="O298">
        <f>TEXT(B298,"YYYY-MM")</f>
        <v/>
      </c>
    </row>
    <row r="299">
      <c r="A299" t="inlineStr">
        <is>
          <t>LD-300297</t>
        </is>
      </c>
      <c r="B299" t="inlineStr">
        <is>
          <t>2025-03-04 10:30:00</t>
        </is>
      </c>
      <c r="C299" t="inlineStr">
        <is>
          <t>Organic Search</t>
        </is>
      </c>
      <c r="D299" t="inlineStr">
        <is>
          <t>Competitive Exam Prep</t>
        </is>
      </c>
      <c r="E299" t="inlineStr">
        <is>
          <t>South Region</t>
        </is>
      </c>
      <c r="F299" t="inlineStr">
        <is>
          <t>Rep_12</t>
        </is>
      </c>
      <c r="G299" t="n">
        <v>2.67</v>
      </c>
      <c r="H299" t="inlineStr">
        <is>
          <t>Demo Completed</t>
        </is>
      </c>
      <c r="I299" t="inlineStr">
        <is>
          <t>Lost</t>
        </is>
      </c>
      <c r="J299" t="inlineStr">
        <is>
          <t>Budget Not Approved</t>
        </is>
      </c>
      <c r="K299" t="n">
        <v>871.83</v>
      </c>
      <c r="L299" t="inlineStr">
        <is>
          <t>2025-03-25 19:05:07.027937</t>
        </is>
      </c>
      <c r="M299">
        <f>VLOOKUP(H299,'Stage Order'!$A$2:$B$8,2,FALSE)</f>
        <v/>
      </c>
      <c r="N299">
        <f>IF(G299&lt;=1,"1. Under 1 hour",IF(G299&lt;=24,"2. 1-24 hours",IF(G299&lt;=72,"3. 1-3 days","4. Over 3 days")))</f>
        <v/>
      </c>
      <c r="O299">
        <f>TEXT(B299,"YYYY-MM")</f>
        <v/>
      </c>
    </row>
    <row r="300">
      <c r="A300" t="inlineStr">
        <is>
          <t>LD-300298</t>
        </is>
      </c>
      <c r="B300" t="inlineStr">
        <is>
          <t>2025-10-17 18:40:00</t>
        </is>
      </c>
      <c r="C300" t="inlineStr">
        <is>
          <t>Organic Search</t>
        </is>
      </c>
      <c r="D300" t="inlineStr">
        <is>
          <t>Coding for Kids</t>
        </is>
      </c>
      <c r="E300" t="inlineStr">
        <is>
          <t>International</t>
        </is>
      </c>
      <c r="F300" t="inlineStr">
        <is>
          <t>Rep_05</t>
        </is>
      </c>
      <c r="G300" t="n">
        <v>3.3</v>
      </c>
      <c r="H300" t="inlineStr">
        <is>
          <t>Contacted</t>
        </is>
      </c>
      <c r="I300" t="inlineStr">
        <is>
          <t>Open</t>
        </is>
      </c>
      <c r="M300">
        <f>VLOOKUP(H300,'Stage Order'!$A$2:$B$8,2,FALSE)</f>
        <v/>
      </c>
      <c r="N300">
        <f>IF(G300&lt;=1,"1. Under 1 hour",IF(G300&lt;=24,"2. 1-24 hours",IF(G300&lt;=72,"3. 1-3 days","4. Over 3 days")))</f>
        <v/>
      </c>
      <c r="O300">
        <f>TEXT(B300,"YYYY-MM")</f>
        <v/>
      </c>
    </row>
    <row r="301">
      <c r="A301" t="inlineStr">
        <is>
          <t>LD-300299</t>
        </is>
      </c>
      <c r="B301" t="inlineStr">
        <is>
          <t>2025-06-04 16:50:00</t>
        </is>
      </c>
      <c r="C301" t="inlineStr">
        <is>
          <t>Referral</t>
        </is>
      </c>
      <c r="D301" t="inlineStr">
        <is>
          <t>Coding for Kids</t>
        </is>
      </c>
      <c r="E301" t="inlineStr">
        <is>
          <t>West Region</t>
        </is>
      </c>
      <c r="F301" t="inlineStr">
        <is>
          <t>Rep_13</t>
        </is>
      </c>
      <c r="G301" t="n">
        <v>2.98</v>
      </c>
      <c r="H301" t="inlineStr">
        <is>
          <t>Contacted</t>
        </is>
      </c>
      <c r="I301" t="inlineStr">
        <is>
          <t>Open</t>
        </is>
      </c>
      <c r="M301">
        <f>VLOOKUP(H301,'Stage Order'!$A$2:$B$8,2,FALSE)</f>
        <v/>
      </c>
      <c r="N301">
        <f>IF(G301&lt;=1,"1. Under 1 hour",IF(G301&lt;=24,"2. 1-24 hours",IF(G301&lt;=72,"3. 1-3 days","4. Over 3 days")))</f>
        <v/>
      </c>
      <c r="O301">
        <f>TEXT(B301,"YYYY-MM")</f>
        <v/>
      </c>
    </row>
    <row r="302">
      <c r="A302" t="inlineStr">
        <is>
          <t>LD-300300</t>
        </is>
      </c>
      <c r="B302" t="inlineStr">
        <is>
          <t>2025-04-02 20:04:00</t>
        </is>
      </c>
      <c r="C302" t="inlineStr">
        <is>
          <t>Organic Search</t>
        </is>
      </c>
      <c r="D302" t="inlineStr">
        <is>
          <t>K-12 Math</t>
        </is>
      </c>
      <c r="E302" t="inlineStr">
        <is>
          <t>South Region</t>
        </is>
      </c>
      <c r="F302" t="inlineStr">
        <is>
          <t>Rep_07</t>
        </is>
      </c>
      <c r="G302" t="n">
        <v>2.66</v>
      </c>
      <c r="H302" t="inlineStr">
        <is>
          <t>Contacted</t>
        </is>
      </c>
      <c r="I302" t="inlineStr">
        <is>
          <t>Open</t>
        </is>
      </c>
      <c r="M302">
        <f>VLOOKUP(H302,'Stage Order'!$A$2:$B$8,2,FALSE)</f>
        <v/>
      </c>
      <c r="N302">
        <f>IF(G302&lt;=1,"1. Under 1 hour",IF(G302&lt;=24,"2. 1-24 hours",IF(G302&lt;=72,"3. 1-3 days","4. Over 3 days")))</f>
        <v/>
      </c>
      <c r="O302">
        <f>TEXT(B302,"YYYY-MM")</f>
        <v/>
      </c>
    </row>
    <row r="303">
      <c r="A303" t="inlineStr">
        <is>
          <t>LD-300301</t>
        </is>
      </c>
      <c r="B303" t="inlineStr">
        <is>
          <t>2025-08-15 18:37:00</t>
        </is>
      </c>
      <c r="C303" t="inlineStr">
        <is>
          <t>Paid Search</t>
        </is>
      </c>
      <c r="D303" t="inlineStr">
        <is>
          <t>Coding for Kids</t>
        </is>
      </c>
      <c r="E303" t="inlineStr">
        <is>
          <t>West Region</t>
        </is>
      </c>
      <c r="F303" t="inlineStr">
        <is>
          <t>Rep_03</t>
        </is>
      </c>
      <c r="G303" t="n">
        <v>2.32</v>
      </c>
      <c r="H303" t="inlineStr">
        <is>
          <t>Lead</t>
        </is>
      </c>
      <c r="I303" t="inlineStr">
        <is>
          <t>Open</t>
        </is>
      </c>
      <c r="M303">
        <f>VLOOKUP(H303,'Stage Order'!$A$2:$B$8,2,FALSE)</f>
        <v/>
      </c>
      <c r="N303">
        <f>IF(G303&lt;=1,"1. Under 1 hour",IF(G303&lt;=24,"2. 1-24 hours",IF(G303&lt;=72,"3. 1-3 days","4. Over 3 days")))</f>
        <v/>
      </c>
      <c r="O303">
        <f>TEXT(B303,"YYYY-MM")</f>
        <v/>
      </c>
    </row>
    <row r="304">
      <c r="A304" t="inlineStr">
        <is>
          <t>LD-300302</t>
        </is>
      </c>
      <c r="B304" t="inlineStr">
        <is>
          <t>2026-04-26 12:18:00</t>
        </is>
      </c>
      <c r="C304" t="inlineStr">
        <is>
          <t>Cold Outreach</t>
        </is>
      </c>
      <c r="D304" t="inlineStr">
        <is>
          <t>Language Learning</t>
        </is>
      </c>
      <c r="E304" t="inlineStr">
        <is>
          <t>North Region</t>
        </is>
      </c>
      <c r="F304" t="inlineStr">
        <is>
          <t>Rep_01</t>
        </is>
      </c>
      <c r="G304" t="n">
        <v>1.2</v>
      </c>
      <c r="H304" t="inlineStr">
        <is>
          <t>Contacted</t>
        </is>
      </c>
      <c r="I304" t="inlineStr">
        <is>
          <t>Open</t>
        </is>
      </c>
      <c r="M304">
        <f>VLOOKUP(H304,'Stage Order'!$A$2:$B$8,2,FALSE)</f>
        <v/>
      </c>
      <c r="N304">
        <f>IF(G304&lt;=1,"1. Under 1 hour",IF(G304&lt;=24,"2. 1-24 hours",IF(G304&lt;=72,"3. 1-3 days","4. Over 3 days")))</f>
        <v/>
      </c>
      <c r="O304">
        <f>TEXT(B304,"YYYY-MM")</f>
        <v/>
      </c>
    </row>
    <row r="305">
      <c r="A305" t="inlineStr">
        <is>
          <t>LD-300303</t>
        </is>
      </c>
      <c r="B305" t="inlineStr">
        <is>
          <t>2025-11-19 15:50:00</t>
        </is>
      </c>
      <c r="C305" t="inlineStr">
        <is>
          <t>Partner Channel</t>
        </is>
      </c>
      <c r="D305" t="inlineStr">
        <is>
          <t>K-12 Math</t>
        </is>
      </c>
      <c r="E305" t="inlineStr">
        <is>
          <t>West Region</t>
        </is>
      </c>
      <c r="F305" t="inlineStr">
        <is>
          <t>Rep_03</t>
        </is>
      </c>
      <c r="G305" t="n">
        <v>5.79</v>
      </c>
      <c r="H305" t="inlineStr">
        <is>
          <t>Demo Scheduled</t>
        </is>
      </c>
      <c r="I305" t="inlineStr">
        <is>
          <t>Open</t>
        </is>
      </c>
      <c r="M305">
        <f>VLOOKUP(H305,'Stage Order'!$A$2:$B$8,2,FALSE)</f>
        <v/>
      </c>
      <c r="N305">
        <f>IF(G305&lt;=1,"1. Under 1 hour",IF(G305&lt;=24,"2. 1-24 hours",IF(G305&lt;=72,"3. 1-3 days","4. Over 3 days")))</f>
        <v/>
      </c>
      <c r="O305">
        <f>TEXT(B305,"YYYY-MM")</f>
        <v/>
      </c>
    </row>
    <row r="306">
      <c r="A306" t="inlineStr">
        <is>
          <t>LD-300304</t>
        </is>
      </c>
      <c r="B306" t="inlineStr">
        <is>
          <t>2025-01-23 14:37:00</t>
        </is>
      </c>
      <c r="C306" t="inlineStr">
        <is>
          <t>Organic Search</t>
        </is>
      </c>
      <c r="D306" t="inlineStr">
        <is>
          <t>Language Learning</t>
        </is>
      </c>
      <c r="E306" t="inlineStr">
        <is>
          <t>East Region</t>
        </is>
      </c>
      <c r="F306" t="inlineStr">
        <is>
          <t>Rep_04</t>
        </is>
      </c>
      <c r="G306" t="n">
        <v>2.57</v>
      </c>
      <c r="H306" t="inlineStr">
        <is>
          <t>Contacted</t>
        </is>
      </c>
      <c r="I306" t="inlineStr">
        <is>
          <t>Open</t>
        </is>
      </c>
      <c r="M306">
        <f>VLOOKUP(H306,'Stage Order'!$A$2:$B$8,2,FALSE)</f>
        <v/>
      </c>
      <c r="N306">
        <f>IF(G306&lt;=1,"1. Under 1 hour",IF(G306&lt;=24,"2. 1-24 hours",IF(G306&lt;=72,"3. 1-3 days","4. Over 3 days")))</f>
        <v/>
      </c>
      <c r="O306">
        <f>TEXT(B306,"YYYY-MM")</f>
        <v/>
      </c>
    </row>
    <row r="307">
      <c r="A307" t="inlineStr">
        <is>
          <t>LD-300305</t>
        </is>
      </c>
      <c r="B307" t="inlineStr">
        <is>
          <t>2026-03-25 15:33:00</t>
        </is>
      </c>
      <c r="C307" t="inlineStr">
        <is>
          <t>Cold Outreach</t>
        </is>
      </c>
      <c r="D307" t="inlineStr">
        <is>
          <t>Language Learning</t>
        </is>
      </c>
      <c r="E307" t="inlineStr">
        <is>
          <t>South Region</t>
        </is>
      </c>
      <c r="F307" t="inlineStr">
        <is>
          <t>Rep_12</t>
        </is>
      </c>
      <c r="G307" t="n">
        <v>1.67</v>
      </c>
      <c r="H307" t="inlineStr">
        <is>
          <t>Lead</t>
        </is>
      </c>
      <c r="I307" t="inlineStr">
        <is>
          <t>Open</t>
        </is>
      </c>
      <c r="M307">
        <f>VLOOKUP(H307,'Stage Order'!$A$2:$B$8,2,FALSE)</f>
        <v/>
      </c>
      <c r="N307">
        <f>IF(G307&lt;=1,"1. Under 1 hour",IF(G307&lt;=24,"2. 1-24 hours",IF(G307&lt;=72,"3. 1-3 days","4. Over 3 days")))</f>
        <v/>
      </c>
      <c r="O307">
        <f>TEXT(B307,"YYYY-MM")</f>
        <v/>
      </c>
    </row>
    <row r="308">
      <c r="A308" t="inlineStr">
        <is>
          <t>LD-300306</t>
        </is>
      </c>
      <c r="B308" t="inlineStr">
        <is>
          <t>2025-07-21 18:37:00</t>
        </is>
      </c>
      <c r="C308" t="inlineStr">
        <is>
          <t>Organic Search</t>
        </is>
      </c>
      <c r="D308" t="inlineStr">
        <is>
          <t>K-12 Math</t>
        </is>
      </c>
      <c r="E308" t="inlineStr">
        <is>
          <t>West Region</t>
        </is>
      </c>
      <c r="F308" t="inlineStr">
        <is>
          <t>Rep_13</t>
        </is>
      </c>
      <c r="G308" t="n">
        <v>11.07</v>
      </c>
      <c r="H308" t="inlineStr">
        <is>
          <t>Demo Completed</t>
        </is>
      </c>
      <c r="I308" t="inlineStr">
        <is>
          <t>Lost</t>
        </is>
      </c>
      <c r="J308" t="inlineStr">
        <is>
          <t>Went With Competitor</t>
        </is>
      </c>
      <c r="K308" t="n">
        <v>433.06</v>
      </c>
      <c r="L308" t="inlineStr">
        <is>
          <t>2025-08-22 10:16:36.342478</t>
        </is>
      </c>
      <c r="M308">
        <f>VLOOKUP(H308,'Stage Order'!$A$2:$B$8,2,FALSE)</f>
        <v/>
      </c>
      <c r="N308">
        <f>IF(G308&lt;=1,"1. Under 1 hour",IF(G308&lt;=24,"2. 1-24 hours",IF(G308&lt;=72,"3. 1-3 days","4. Over 3 days")))</f>
        <v/>
      </c>
      <c r="O308">
        <f>TEXT(B308,"YYYY-MM")</f>
        <v/>
      </c>
    </row>
    <row r="309">
      <c r="A309" t="inlineStr">
        <is>
          <t>LD-300307</t>
        </is>
      </c>
      <c r="B309" t="inlineStr">
        <is>
          <t>2026-02-27 11:14:00</t>
        </is>
      </c>
      <c r="C309" t="inlineStr">
        <is>
          <t>Social Media</t>
        </is>
      </c>
      <c r="D309" t="inlineStr">
        <is>
          <t>Competitive Exam Prep</t>
        </is>
      </c>
      <c r="E309" t="inlineStr">
        <is>
          <t>West Region</t>
        </is>
      </c>
      <c r="F309" t="inlineStr">
        <is>
          <t>Rep_03</t>
        </is>
      </c>
      <c r="G309" t="n">
        <v>3.54</v>
      </c>
      <c r="H309" t="inlineStr">
        <is>
          <t>Contacted</t>
        </is>
      </c>
      <c r="I309" t="inlineStr">
        <is>
          <t>Open</t>
        </is>
      </c>
      <c r="M309">
        <f>VLOOKUP(H309,'Stage Order'!$A$2:$B$8,2,FALSE)</f>
        <v/>
      </c>
      <c r="N309">
        <f>IF(G309&lt;=1,"1. Under 1 hour",IF(G309&lt;=24,"2. 1-24 hours",IF(G309&lt;=72,"3. 1-3 days","4. Over 3 days")))</f>
        <v/>
      </c>
      <c r="O309">
        <f>TEXT(B309,"YYYY-MM")</f>
        <v/>
      </c>
    </row>
    <row r="310">
      <c r="A310" t="inlineStr">
        <is>
          <t>LD-300308</t>
        </is>
      </c>
      <c r="B310" t="inlineStr">
        <is>
          <t>2025-12-31 09:52:00</t>
        </is>
      </c>
      <c r="C310" t="inlineStr">
        <is>
          <t>Social Media</t>
        </is>
      </c>
      <c r="D310" t="inlineStr">
        <is>
          <t>Coding for Kids</t>
        </is>
      </c>
      <c r="E310" t="inlineStr">
        <is>
          <t>South Region</t>
        </is>
      </c>
      <c r="F310" t="inlineStr">
        <is>
          <t>Rep_07</t>
        </is>
      </c>
      <c r="G310" t="n">
        <v>1.08</v>
      </c>
      <c r="H310" t="inlineStr">
        <is>
          <t>Demo Completed</t>
        </is>
      </c>
      <c r="I310" t="inlineStr">
        <is>
          <t>Lost</t>
        </is>
      </c>
      <c r="J310" t="inlineStr">
        <is>
          <t>Bad Timing</t>
        </is>
      </c>
      <c r="K310" t="n">
        <v>702.9400000000001</v>
      </c>
      <c r="L310" t="inlineStr">
        <is>
          <t>2026-01-25 14:54:58.559495</t>
        </is>
      </c>
      <c r="M310">
        <f>VLOOKUP(H310,'Stage Order'!$A$2:$B$8,2,FALSE)</f>
        <v/>
      </c>
      <c r="N310">
        <f>IF(G310&lt;=1,"1. Under 1 hour",IF(G310&lt;=24,"2. 1-24 hours",IF(G310&lt;=72,"3. 1-3 days","4. Over 3 days")))</f>
        <v/>
      </c>
      <c r="O310">
        <f>TEXT(B310,"YYYY-MM")</f>
        <v/>
      </c>
    </row>
    <row r="311">
      <c r="A311" t="inlineStr">
        <is>
          <t>LD-300309</t>
        </is>
      </c>
      <c r="B311" t="inlineStr">
        <is>
          <t>2025-02-07 18:45:00</t>
        </is>
      </c>
      <c r="C311" t="inlineStr">
        <is>
          <t>Partner Channel</t>
        </is>
      </c>
      <c r="D311" t="inlineStr">
        <is>
          <t>K-12 Math</t>
        </is>
      </c>
      <c r="E311" t="inlineStr">
        <is>
          <t>East Region</t>
        </is>
      </c>
      <c r="F311" t="inlineStr">
        <is>
          <t>Rep_09</t>
        </is>
      </c>
      <c r="G311" t="n">
        <v>2.38</v>
      </c>
      <c r="H311" t="inlineStr">
        <is>
          <t>Contacted</t>
        </is>
      </c>
      <c r="I311" t="inlineStr">
        <is>
          <t>Open</t>
        </is>
      </c>
      <c r="M311">
        <f>VLOOKUP(H311,'Stage Order'!$A$2:$B$8,2,FALSE)</f>
        <v/>
      </c>
      <c r="N311">
        <f>IF(G311&lt;=1,"1. Under 1 hour",IF(G311&lt;=24,"2. 1-24 hours",IF(G311&lt;=72,"3. 1-3 days","4. Over 3 days")))</f>
        <v/>
      </c>
      <c r="O311">
        <f>TEXT(B311,"YYYY-MM")</f>
        <v/>
      </c>
    </row>
    <row r="312">
      <c r="A312" t="inlineStr">
        <is>
          <t>LD-300310</t>
        </is>
      </c>
      <c r="B312" t="inlineStr">
        <is>
          <t>2025-07-25 20:21:00</t>
        </is>
      </c>
      <c r="C312" t="inlineStr">
        <is>
          <t>Social Media</t>
        </is>
      </c>
      <c r="D312" t="inlineStr">
        <is>
          <t>Language Learning</t>
        </is>
      </c>
      <c r="E312" t="inlineStr">
        <is>
          <t>North Region</t>
        </is>
      </c>
      <c r="F312" t="inlineStr">
        <is>
          <t>Rep_11</t>
        </is>
      </c>
      <c r="G312" t="n">
        <v>1.64</v>
      </c>
      <c r="H312" t="inlineStr">
        <is>
          <t>Lead</t>
        </is>
      </c>
      <c r="I312" t="inlineStr">
        <is>
          <t>Open</t>
        </is>
      </c>
      <c r="M312">
        <f>VLOOKUP(H312,'Stage Order'!$A$2:$B$8,2,FALSE)</f>
        <v/>
      </c>
      <c r="N312">
        <f>IF(G312&lt;=1,"1. Under 1 hour",IF(G312&lt;=24,"2. 1-24 hours",IF(G312&lt;=72,"3. 1-3 days","4. Over 3 days")))</f>
        <v/>
      </c>
      <c r="O312">
        <f>TEXT(B312,"YYYY-MM")</f>
        <v/>
      </c>
    </row>
    <row r="313">
      <c r="A313" t="inlineStr">
        <is>
          <t>LD-300311</t>
        </is>
      </c>
      <c r="B313" t="inlineStr">
        <is>
          <t>2025-06-06 10:17:00</t>
        </is>
      </c>
      <c r="C313" t="inlineStr">
        <is>
          <t>Paid Search</t>
        </is>
      </c>
      <c r="D313" t="inlineStr">
        <is>
          <t>Competitive Exam Prep</t>
        </is>
      </c>
      <c r="E313" t="inlineStr">
        <is>
          <t>South Region</t>
        </is>
      </c>
      <c r="F313" t="inlineStr">
        <is>
          <t>Rep_02</t>
        </is>
      </c>
      <c r="G313" t="n">
        <v>1.66</v>
      </c>
      <c r="H313" t="inlineStr">
        <is>
          <t>Demo Scheduled</t>
        </is>
      </c>
      <c r="I313" t="inlineStr">
        <is>
          <t>Open</t>
        </is>
      </c>
      <c r="M313">
        <f>VLOOKUP(H313,'Stage Order'!$A$2:$B$8,2,FALSE)</f>
        <v/>
      </c>
      <c r="N313">
        <f>IF(G313&lt;=1,"1. Under 1 hour",IF(G313&lt;=24,"2. 1-24 hours",IF(G313&lt;=72,"3. 1-3 days","4. Over 3 days")))</f>
        <v/>
      </c>
      <c r="O313">
        <f>TEXT(B313,"YYYY-MM")</f>
        <v/>
      </c>
    </row>
    <row r="314">
      <c r="A314" t="inlineStr">
        <is>
          <t>LD-300312</t>
        </is>
      </c>
      <c r="B314" t="inlineStr">
        <is>
          <t>2026-01-07 11:41:00</t>
        </is>
      </c>
      <c r="C314" t="inlineStr">
        <is>
          <t>Paid Search</t>
        </is>
      </c>
      <c r="D314" t="inlineStr">
        <is>
          <t>Coding for Kids</t>
        </is>
      </c>
      <c r="E314" t="inlineStr">
        <is>
          <t>West Region</t>
        </is>
      </c>
      <c r="F314" t="inlineStr">
        <is>
          <t>Rep_13</t>
        </is>
      </c>
      <c r="G314" t="n">
        <v>4.02</v>
      </c>
      <c r="H314" t="inlineStr">
        <is>
          <t>Negotiation</t>
        </is>
      </c>
      <c r="I314" t="inlineStr">
        <is>
          <t>Lost</t>
        </is>
      </c>
      <c r="J314" t="inlineStr">
        <is>
          <t>Price Objection</t>
        </is>
      </c>
      <c r="K314" t="n">
        <v>633.84</v>
      </c>
      <c r="L314" t="inlineStr">
        <is>
          <t>2026-02-21 22:26:41.407173</t>
        </is>
      </c>
      <c r="M314">
        <f>VLOOKUP(H314,'Stage Order'!$A$2:$B$8,2,FALSE)</f>
        <v/>
      </c>
      <c r="N314">
        <f>IF(G314&lt;=1,"1. Under 1 hour",IF(G314&lt;=24,"2. 1-24 hours",IF(G314&lt;=72,"3. 1-3 days","4. Over 3 days")))</f>
        <v/>
      </c>
      <c r="O314">
        <f>TEXT(B314,"YYYY-MM")</f>
        <v/>
      </c>
    </row>
    <row r="315">
      <c r="A315" t="inlineStr">
        <is>
          <t>LD-300313</t>
        </is>
      </c>
      <c r="B315" t="inlineStr">
        <is>
          <t>2026-05-21 19:21:00</t>
        </is>
      </c>
      <c r="C315" t="inlineStr">
        <is>
          <t>Organic Search</t>
        </is>
      </c>
      <c r="D315" t="inlineStr">
        <is>
          <t>K-12 Math</t>
        </is>
      </c>
      <c r="E315" t="inlineStr">
        <is>
          <t>International</t>
        </is>
      </c>
      <c r="F315" t="inlineStr">
        <is>
          <t>Rep_05</t>
        </is>
      </c>
      <c r="G315" t="n">
        <v>5.65</v>
      </c>
      <c r="H315" t="inlineStr">
        <is>
          <t>Lead</t>
        </is>
      </c>
      <c r="I315" t="inlineStr">
        <is>
          <t>Open</t>
        </is>
      </c>
      <c r="M315">
        <f>VLOOKUP(H315,'Stage Order'!$A$2:$B$8,2,FALSE)</f>
        <v/>
      </c>
      <c r="N315">
        <f>IF(G315&lt;=1,"1. Under 1 hour",IF(G315&lt;=24,"2. 1-24 hours",IF(G315&lt;=72,"3. 1-3 days","4. Over 3 days")))</f>
        <v/>
      </c>
      <c r="O315">
        <f>TEXT(B315,"YYYY-MM")</f>
        <v/>
      </c>
    </row>
    <row r="316">
      <c r="A316" t="inlineStr">
        <is>
          <t>LD-300314</t>
        </is>
      </c>
      <c r="B316" t="inlineStr">
        <is>
          <t>2025-09-30 16:02:00</t>
        </is>
      </c>
      <c r="C316" t="inlineStr">
        <is>
          <t>Paid Search</t>
        </is>
      </c>
      <c r="D316" t="inlineStr">
        <is>
          <t>Competitive Exam Prep</t>
        </is>
      </c>
      <c r="E316" t="inlineStr">
        <is>
          <t>South Region</t>
        </is>
      </c>
      <c r="F316" t="inlineStr">
        <is>
          <t>Rep_02</t>
        </is>
      </c>
      <c r="G316" t="n">
        <v>3.06</v>
      </c>
      <c r="H316" t="inlineStr">
        <is>
          <t>Contacted</t>
        </is>
      </c>
      <c r="I316" t="inlineStr">
        <is>
          <t>Open</t>
        </is>
      </c>
      <c r="M316">
        <f>VLOOKUP(H316,'Stage Order'!$A$2:$B$8,2,FALSE)</f>
        <v/>
      </c>
      <c r="N316">
        <f>IF(G316&lt;=1,"1. Under 1 hour",IF(G316&lt;=24,"2. 1-24 hours",IF(G316&lt;=72,"3. 1-3 days","4. Over 3 days")))</f>
        <v/>
      </c>
      <c r="O316">
        <f>TEXT(B316,"YYYY-MM")</f>
        <v/>
      </c>
    </row>
    <row r="317">
      <c r="A317" t="inlineStr">
        <is>
          <t>LD-300315</t>
        </is>
      </c>
      <c r="B317" t="inlineStr">
        <is>
          <t>2025-09-08 12:36:00</t>
        </is>
      </c>
      <c r="C317" t="inlineStr">
        <is>
          <t>Paid Search</t>
        </is>
      </c>
      <c r="D317" t="inlineStr">
        <is>
          <t>Coding for Kids</t>
        </is>
      </c>
      <c r="E317" t="inlineStr">
        <is>
          <t>South Region</t>
        </is>
      </c>
      <c r="F317" t="inlineStr">
        <is>
          <t>Rep_12</t>
        </is>
      </c>
      <c r="G317" t="n">
        <v>0.7</v>
      </c>
      <c r="H317" t="inlineStr">
        <is>
          <t>Contacted</t>
        </is>
      </c>
      <c r="I317" t="inlineStr">
        <is>
          <t>Open</t>
        </is>
      </c>
      <c r="M317">
        <f>VLOOKUP(H317,'Stage Order'!$A$2:$B$8,2,FALSE)</f>
        <v/>
      </c>
      <c r="N317">
        <f>IF(G317&lt;=1,"1. Under 1 hour",IF(G317&lt;=24,"2. 1-24 hours",IF(G317&lt;=72,"3. 1-3 days","4. Over 3 days")))</f>
        <v/>
      </c>
      <c r="O317">
        <f>TEXT(B317,"YYYY-MM")</f>
        <v/>
      </c>
    </row>
    <row r="318">
      <c r="A318" t="inlineStr">
        <is>
          <t>LD-300316</t>
        </is>
      </c>
      <c r="B318" t="inlineStr">
        <is>
          <t>2026-02-12 15:57:00</t>
        </is>
      </c>
      <c r="C318" t="inlineStr">
        <is>
          <t>Webinar</t>
        </is>
      </c>
      <c r="D318" t="inlineStr">
        <is>
          <t>Study Abroad Prep</t>
        </is>
      </c>
      <c r="E318" t="inlineStr">
        <is>
          <t>North Region</t>
        </is>
      </c>
      <c r="F318" t="inlineStr">
        <is>
          <t>Rep_06</t>
        </is>
      </c>
      <c r="G318" t="n">
        <v>1.55</v>
      </c>
      <c r="H318" t="inlineStr">
        <is>
          <t>Proposal Sent</t>
        </is>
      </c>
      <c r="I318" t="inlineStr">
        <is>
          <t>Lost</t>
        </is>
      </c>
      <c r="J318" t="inlineStr">
        <is>
          <t>Price Objection</t>
        </is>
      </c>
      <c r="K318" t="n">
        <v>1531.36</v>
      </c>
      <c r="L318" t="inlineStr">
        <is>
          <t>2026-03-19 00:47:34.531939</t>
        </is>
      </c>
      <c r="M318">
        <f>VLOOKUP(H318,'Stage Order'!$A$2:$B$8,2,FALSE)</f>
        <v/>
      </c>
      <c r="N318">
        <f>IF(G318&lt;=1,"1. Under 1 hour",IF(G318&lt;=24,"2. 1-24 hours",IF(G318&lt;=72,"3. 1-3 days","4. Over 3 days")))</f>
        <v/>
      </c>
      <c r="O318">
        <f>TEXT(B318,"YYYY-MM")</f>
        <v/>
      </c>
    </row>
    <row r="319">
      <c r="A319" t="inlineStr">
        <is>
          <t>LD-300317</t>
        </is>
      </c>
      <c r="B319" t="inlineStr">
        <is>
          <t>2025-04-18 12:01:00</t>
        </is>
      </c>
      <c r="C319" t="inlineStr">
        <is>
          <t>Referral</t>
        </is>
      </c>
      <c r="D319" t="inlineStr">
        <is>
          <t>Study Abroad Prep</t>
        </is>
      </c>
      <c r="E319" t="inlineStr">
        <is>
          <t>International</t>
        </is>
      </c>
      <c r="F319" t="inlineStr">
        <is>
          <t>Rep_05</t>
        </is>
      </c>
      <c r="G319" t="n">
        <v>1.44</v>
      </c>
      <c r="H319" t="inlineStr">
        <is>
          <t>Contacted</t>
        </is>
      </c>
      <c r="I319" t="inlineStr">
        <is>
          <t>Open</t>
        </is>
      </c>
      <c r="M319">
        <f>VLOOKUP(H319,'Stage Order'!$A$2:$B$8,2,FALSE)</f>
        <v/>
      </c>
      <c r="N319">
        <f>IF(G319&lt;=1,"1. Under 1 hour",IF(G319&lt;=24,"2. 1-24 hours",IF(G319&lt;=72,"3. 1-3 days","4. Over 3 days")))</f>
        <v/>
      </c>
      <c r="O319">
        <f>TEXT(B319,"YYYY-MM")</f>
        <v/>
      </c>
    </row>
    <row r="320">
      <c r="A320" t="inlineStr">
        <is>
          <t>LD-300318</t>
        </is>
      </c>
      <c r="B320" t="inlineStr">
        <is>
          <t>2025-08-01 09:44:00</t>
        </is>
      </c>
      <c r="C320" t="inlineStr">
        <is>
          <t>Referral</t>
        </is>
      </c>
      <c r="D320" t="inlineStr">
        <is>
          <t>Coding for Kids</t>
        </is>
      </c>
      <c r="E320" t="inlineStr">
        <is>
          <t>International</t>
        </is>
      </c>
      <c r="F320" t="inlineStr">
        <is>
          <t>Rep_15</t>
        </is>
      </c>
      <c r="G320" t="n">
        <v>6.66</v>
      </c>
      <c r="H320" t="inlineStr">
        <is>
          <t>Lead</t>
        </is>
      </c>
      <c r="I320" t="inlineStr">
        <is>
          <t>Open</t>
        </is>
      </c>
      <c r="M320">
        <f>VLOOKUP(H320,'Stage Order'!$A$2:$B$8,2,FALSE)</f>
        <v/>
      </c>
      <c r="N320">
        <f>IF(G320&lt;=1,"1. Under 1 hour",IF(G320&lt;=24,"2. 1-24 hours",IF(G320&lt;=72,"3. 1-3 days","4. Over 3 days")))</f>
        <v/>
      </c>
      <c r="O320">
        <f>TEXT(B320,"YYYY-MM")</f>
        <v/>
      </c>
    </row>
    <row r="321">
      <c r="A321" t="inlineStr">
        <is>
          <t>LD-300319</t>
        </is>
      </c>
      <c r="B321" t="inlineStr">
        <is>
          <t>2025-06-23 07:46:00</t>
        </is>
      </c>
      <c r="C321" t="inlineStr">
        <is>
          <t>Organic Search</t>
        </is>
      </c>
      <c r="D321" t="inlineStr">
        <is>
          <t>Coding for Kids</t>
        </is>
      </c>
      <c r="E321" t="inlineStr">
        <is>
          <t>South Region</t>
        </is>
      </c>
      <c r="F321" t="inlineStr">
        <is>
          <t>Rep_02</t>
        </is>
      </c>
      <c r="G321" t="n">
        <v>11.64</v>
      </c>
      <c r="H321" t="inlineStr">
        <is>
          <t>Closed</t>
        </is>
      </c>
      <c r="I321" t="inlineStr">
        <is>
          <t>Won</t>
        </is>
      </c>
      <c r="K321" t="n">
        <v>616.59</v>
      </c>
      <c r="L321" t="inlineStr">
        <is>
          <t>2025-08-04 22:19:41.743414</t>
        </is>
      </c>
      <c r="M321">
        <f>VLOOKUP(H321,'Stage Order'!$A$2:$B$8,2,FALSE)</f>
        <v/>
      </c>
      <c r="N321">
        <f>IF(G321&lt;=1,"1. Under 1 hour",IF(G321&lt;=24,"2. 1-24 hours",IF(G321&lt;=72,"3. 1-3 days","4. Over 3 days")))</f>
        <v/>
      </c>
      <c r="O321">
        <f>TEXT(B321,"YYYY-MM")</f>
        <v/>
      </c>
    </row>
    <row r="322">
      <c r="A322" t="inlineStr">
        <is>
          <t>LD-300320</t>
        </is>
      </c>
      <c r="B322" t="inlineStr">
        <is>
          <t>2025-03-21 09:27:00</t>
        </is>
      </c>
      <c r="C322" t="inlineStr">
        <is>
          <t>Cold Outreach</t>
        </is>
      </c>
      <c r="D322" t="inlineStr">
        <is>
          <t>Coding for Kids</t>
        </is>
      </c>
      <c r="E322" t="inlineStr">
        <is>
          <t>North Region</t>
        </is>
      </c>
      <c r="F322" t="inlineStr">
        <is>
          <t>Rep_06</t>
        </is>
      </c>
      <c r="G322" t="n">
        <v>1.59</v>
      </c>
      <c r="H322" t="inlineStr">
        <is>
          <t>Contacted</t>
        </is>
      </c>
      <c r="I322" t="inlineStr">
        <is>
          <t>Open</t>
        </is>
      </c>
      <c r="M322">
        <f>VLOOKUP(H322,'Stage Order'!$A$2:$B$8,2,FALSE)</f>
        <v/>
      </c>
      <c r="N322">
        <f>IF(G322&lt;=1,"1. Under 1 hour",IF(G322&lt;=24,"2. 1-24 hours",IF(G322&lt;=72,"3. 1-3 days","4. Over 3 days")))</f>
        <v/>
      </c>
      <c r="O322">
        <f>TEXT(B322,"YYYY-MM")</f>
        <v/>
      </c>
    </row>
    <row r="323">
      <c r="A323" t="inlineStr">
        <is>
          <t>LD-300321</t>
        </is>
      </c>
      <c r="B323" t="inlineStr">
        <is>
          <t>2025-02-19 09:43:00</t>
        </is>
      </c>
      <c r="C323" t="inlineStr">
        <is>
          <t>Referral</t>
        </is>
      </c>
      <c r="D323" t="inlineStr">
        <is>
          <t>Competitive Exam Prep</t>
        </is>
      </c>
      <c r="E323" t="inlineStr">
        <is>
          <t>West Region</t>
        </is>
      </c>
      <c r="F323" t="inlineStr">
        <is>
          <t>Rep_03</t>
        </is>
      </c>
      <c r="G323" t="n">
        <v>1.25</v>
      </c>
      <c r="H323" t="inlineStr">
        <is>
          <t>Negotiation</t>
        </is>
      </c>
      <c r="I323" t="inlineStr">
        <is>
          <t>Lost</t>
        </is>
      </c>
      <c r="J323" t="inlineStr">
        <is>
          <t>Bad Timing</t>
        </is>
      </c>
      <c r="K323" t="n">
        <v>1054.05</v>
      </c>
      <c r="L323" t="inlineStr">
        <is>
          <t>2025-04-02 19:23:28.386357</t>
        </is>
      </c>
      <c r="M323">
        <f>VLOOKUP(H323,'Stage Order'!$A$2:$B$8,2,FALSE)</f>
        <v/>
      </c>
      <c r="N323">
        <f>IF(G323&lt;=1,"1. Under 1 hour",IF(G323&lt;=24,"2. 1-24 hours",IF(G323&lt;=72,"3. 1-3 days","4. Over 3 days")))</f>
        <v/>
      </c>
      <c r="O323">
        <f>TEXT(B323,"YYYY-MM")</f>
        <v/>
      </c>
    </row>
    <row r="324">
      <c r="A324" t="inlineStr">
        <is>
          <t>LD-300322</t>
        </is>
      </c>
      <c r="B324" t="inlineStr">
        <is>
          <t>2026-06-12 18:57:00</t>
        </is>
      </c>
      <c r="C324" t="inlineStr">
        <is>
          <t>Referral</t>
        </is>
      </c>
      <c r="D324" t="inlineStr">
        <is>
          <t>Coding for Kids</t>
        </is>
      </c>
      <c r="E324" t="inlineStr">
        <is>
          <t>South Region</t>
        </is>
      </c>
      <c r="F324" t="inlineStr">
        <is>
          <t>Rep_02</t>
        </is>
      </c>
      <c r="G324" t="n">
        <v>3.6</v>
      </c>
      <c r="H324" t="inlineStr">
        <is>
          <t>Closed</t>
        </is>
      </c>
      <c r="I324" t="inlineStr">
        <is>
          <t>Won</t>
        </is>
      </c>
      <c r="K324" t="n">
        <v>663.66</v>
      </c>
      <c r="L324" t="inlineStr">
        <is>
          <t>2026-07-05 14:08:19.173247</t>
        </is>
      </c>
      <c r="M324">
        <f>VLOOKUP(H324,'Stage Order'!$A$2:$B$8,2,FALSE)</f>
        <v/>
      </c>
      <c r="N324">
        <f>IF(G324&lt;=1,"1. Under 1 hour",IF(G324&lt;=24,"2. 1-24 hours",IF(G324&lt;=72,"3. 1-3 days","4. Over 3 days")))</f>
        <v/>
      </c>
      <c r="O324">
        <f>TEXT(B324,"YYYY-MM")</f>
        <v/>
      </c>
    </row>
    <row r="325">
      <c r="A325" t="inlineStr">
        <is>
          <t>LD-300323</t>
        </is>
      </c>
      <c r="B325" t="inlineStr">
        <is>
          <t>2025-11-03 08:29:00</t>
        </is>
      </c>
      <c r="C325" t="inlineStr">
        <is>
          <t>Paid Search</t>
        </is>
      </c>
      <c r="D325" t="inlineStr">
        <is>
          <t>Coding for Kids</t>
        </is>
      </c>
      <c r="E325" t="inlineStr">
        <is>
          <t>South Region</t>
        </is>
      </c>
      <c r="F325" t="inlineStr">
        <is>
          <t>Rep_07</t>
        </is>
      </c>
      <c r="G325" t="n">
        <v>7.12</v>
      </c>
      <c r="H325" t="inlineStr">
        <is>
          <t>Demo Completed</t>
        </is>
      </c>
      <c r="I325" t="inlineStr">
        <is>
          <t>Lost</t>
        </is>
      </c>
      <c r="J325" t="inlineStr">
        <is>
          <t>Bad Timing</t>
        </is>
      </c>
      <c r="K325" t="n">
        <v>703.11</v>
      </c>
      <c r="L325" t="inlineStr">
        <is>
          <t>2025-11-28 08:54:47.656578</t>
        </is>
      </c>
      <c r="M325">
        <f>VLOOKUP(H325,'Stage Order'!$A$2:$B$8,2,FALSE)</f>
        <v/>
      </c>
      <c r="N325">
        <f>IF(G325&lt;=1,"1. Under 1 hour",IF(G325&lt;=24,"2. 1-24 hours",IF(G325&lt;=72,"3. 1-3 days","4. Over 3 days")))</f>
        <v/>
      </c>
      <c r="O325">
        <f>TEXT(B325,"YYYY-MM")</f>
        <v/>
      </c>
    </row>
    <row r="326">
      <c r="A326" t="inlineStr">
        <is>
          <t>LD-300324</t>
        </is>
      </c>
      <c r="B326" t="inlineStr">
        <is>
          <t>2025-04-30 18:03:00</t>
        </is>
      </c>
      <c r="C326" t="inlineStr">
        <is>
          <t>Organic Search</t>
        </is>
      </c>
      <c r="D326" t="inlineStr">
        <is>
          <t>Competitive Exam Prep</t>
        </is>
      </c>
      <c r="E326" t="inlineStr">
        <is>
          <t>North Region</t>
        </is>
      </c>
      <c r="F326" t="inlineStr">
        <is>
          <t>Rep_06</t>
        </is>
      </c>
      <c r="G326" t="n">
        <v>9.68</v>
      </c>
      <c r="H326" t="inlineStr">
        <is>
          <t>Demo Completed</t>
        </is>
      </c>
      <c r="I326" t="inlineStr">
        <is>
          <t>Lost</t>
        </is>
      </c>
      <c r="J326" t="inlineStr">
        <is>
          <t>Price Objection</t>
        </is>
      </c>
      <c r="K326" t="n">
        <v>932.87</v>
      </c>
      <c r="L326" t="inlineStr">
        <is>
          <t>2025-06-08 10:12:36.099416</t>
        </is>
      </c>
      <c r="M326">
        <f>VLOOKUP(H326,'Stage Order'!$A$2:$B$8,2,FALSE)</f>
        <v/>
      </c>
      <c r="N326">
        <f>IF(G326&lt;=1,"1. Under 1 hour",IF(G326&lt;=24,"2. 1-24 hours",IF(G326&lt;=72,"3. 1-3 days","4. Over 3 days")))</f>
        <v/>
      </c>
      <c r="O326">
        <f>TEXT(B326,"YYYY-MM")</f>
        <v/>
      </c>
    </row>
    <row r="327">
      <c r="A327" t="inlineStr">
        <is>
          <t>LD-300325</t>
        </is>
      </c>
      <c r="B327" t="inlineStr">
        <is>
          <t>2025-03-03 10:00:00</t>
        </is>
      </c>
      <c r="C327" t="inlineStr">
        <is>
          <t>Organic Search</t>
        </is>
      </c>
      <c r="D327" t="inlineStr">
        <is>
          <t>Coding for Kids</t>
        </is>
      </c>
      <c r="E327" t="inlineStr">
        <is>
          <t>North Region</t>
        </is>
      </c>
      <c r="F327" t="inlineStr">
        <is>
          <t>Rep_01</t>
        </is>
      </c>
      <c r="G327" t="n">
        <v>0.72</v>
      </c>
      <c r="H327" t="inlineStr">
        <is>
          <t>Negotiation</t>
        </is>
      </c>
      <c r="I327" t="inlineStr">
        <is>
          <t>Lost</t>
        </is>
      </c>
      <c r="J327" t="inlineStr">
        <is>
          <t>Bad Timing</t>
        </is>
      </c>
      <c r="K327" t="n">
        <v>747.3</v>
      </c>
      <c r="L327" t="inlineStr">
        <is>
          <t>2025-04-22 05:53:15.522432</t>
        </is>
      </c>
      <c r="M327">
        <f>VLOOKUP(H327,'Stage Order'!$A$2:$B$8,2,FALSE)</f>
        <v/>
      </c>
      <c r="N327">
        <f>IF(G327&lt;=1,"1. Under 1 hour",IF(G327&lt;=24,"2. 1-24 hours",IF(G327&lt;=72,"3. 1-3 days","4. Over 3 days")))</f>
        <v/>
      </c>
      <c r="O327">
        <f>TEXT(B327,"YYYY-MM")</f>
        <v/>
      </c>
    </row>
    <row r="328">
      <c r="A328" t="inlineStr">
        <is>
          <t>LD-300326</t>
        </is>
      </c>
      <c r="B328" t="inlineStr">
        <is>
          <t>2026-03-24 07:15:00</t>
        </is>
      </c>
      <c r="C328" t="inlineStr">
        <is>
          <t>Webinar</t>
        </is>
      </c>
      <c r="D328" t="inlineStr">
        <is>
          <t>Study Abroad Prep</t>
        </is>
      </c>
      <c r="E328" t="inlineStr">
        <is>
          <t>North Region</t>
        </is>
      </c>
      <c r="F328" t="inlineStr">
        <is>
          <t>Rep_01</t>
        </is>
      </c>
      <c r="G328" t="n">
        <v>1.9</v>
      </c>
      <c r="H328" t="inlineStr">
        <is>
          <t>Closed</t>
        </is>
      </c>
      <c r="I328" t="inlineStr">
        <is>
          <t>Won</t>
        </is>
      </c>
      <c r="K328" t="n">
        <v>1192.08</v>
      </c>
      <c r="L328" t="inlineStr">
        <is>
          <t>2026-04-23 04:18:19.150338</t>
        </is>
      </c>
      <c r="M328">
        <f>VLOOKUP(H328,'Stage Order'!$A$2:$B$8,2,FALSE)</f>
        <v/>
      </c>
      <c r="N328">
        <f>IF(G328&lt;=1,"1. Under 1 hour",IF(G328&lt;=24,"2. 1-24 hours",IF(G328&lt;=72,"3. 1-3 days","4. Over 3 days")))</f>
        <v/>
      </c>
      <c r="O328">
        <f>TEXT(B328,"YYYY-MM")</f>
        <v/>
      </c>
    </row>
    <row r="329">
      <c r="A329" t="inlineStr">
        <is>
          <t>LD-300327</t>
        </is>
      </c>
      <c r="B329" t="inlineStr">
        <is>
          <t>2026-04-13 13:45:00</t>
        </is>
      </c>
      <c r="C329" t="inlineStr">
        <is>
          <t>Paid Search</t>
        </is>
      </c>
      <c r="D329" t="inlineStr">
        <is>
          <t>K-12 Math</t>
        </is>
      </c>
      <c r="E329" t="inlineStr">
        <is>
          <t>South Region</t>
        </is>
      </c>
      <c r="F329" t="inlineStr">
        <is>
          <t>Rep_02</t>
        </is>
      </c>
      <c r="G329" t="n">
        <v>1.21</v>
      </c>
      <c r="H329" t="inlineStr">
        <is>
          <t>Lead</t>
        </is>
      </c>
      <c r="I329" t="inlineStr">
        <is>
          <t>Open</t>
        </is>
      </c>
      <c r="M329">
        <f>VLOOKUP(H329,'Stage Order'!$A$2:$B$8,2,FALSE)</f>
        <v/>
      </c>
      <c r="N329">
        <f>IF(G329&lt;=1,"1. Under 1 hour",IF(G329&lt;=24,"2. 1-24 hours",IF(G329&lt;=72,"3. 1-3 days","4. Over 3 days")))</f>
        <v/>
      </c>
      <c r="O329">
        <f>TEXT(B329,"YYYY-MM")</f>
        <v/>
      </c>
    </row>
    <row r="330">
      <c r="A330" t="inlineStr">
        <is>
          <t>LD-300328</t>
        </is>
      </c>
      <c r="B330" t="inlineStr">
        <is>
          <t>2026-04-27 09:03:00</t>
        </is>
      </c>
      <c r="C330" t="inlineStr">
        <is>
          <t>Referral</t>
        </is>
      </c>
      <c r="D330" t="inlineStr">
        <is>
          <t>K-12 Math</t>
        </is>
      </c>
      <c r="E330" t="inlineStr">
        <is>
          <t>North Region</t>
        </is>
      </c>
      <c r="F330" t="inlineStr">
        <is>
          <t>Rep_11</t>
        </is>
      </c>
      <c r="G330" t="n">
        <v>3.5</v>
      </c>
      <c r="H330" t="inlineStr">
        <is>
          <t>Negotiation</t>
        </is>
      </c>
      <c r="I330" t="inlineStr">
        <is>
          <t>Lost</t>
        </is>
      </c>
      <c r="J330" t="inlineStr">
        <is>
          <t>Price Objection</t>
        </is>
      </c>
      <c r="K330" t="n">
        <v>475.55</v>
      </c>
      <c r="L330" t="inlineStr">
        <is>
          <t>2026-06-05 09:58:39.187536</t>
        </is>
      </c>
      <c r="M330">
        <f>VLOOKUP(H330,'Stage Order'!$A$2:$B$8,2,FALSE)</f>
        <v/>
      </c>
      <c r="N330">
        <f>IF(G330&lt;=1,"1. Under 1 hour",IF(G330&lt;=24,"2. 1-24 hours",IF(G330&lt;=72,"3. 1-3 days","4. Over 3 days")))</f>
        <v/>
      </c>
      <c r="O330">
        <f>TEXT(B330,"YYYY-MM")</f>
        <v/>
      </c>
    </row>
    <row r="331">
      <c r="A331" t="inlineStr">
        <is>
          <t>LD-300329</t>
        </is>
      </c>
      <c r="B331" t="inlineStr">
        <is>
          <t>2026-06-26 08:55:00</t>
        </is>
      </c>
      <c r="C331" t="inlineStr">
        <is>
          <t>Partner Channel</t>
        </is>
      </c>
      <c r="D331" t="inlineStr">
        <is>
          <t>K-12 Math</t>
        </is>
      </c>
      <c r="E331" t="inlineStr">
        <is>
          <t>West Region</t>
        </is>
      </c>
      <c r="F331" t="inlineStr">
        <is>
          <t>Rep_08</t>
        </is>
      </c>
      <c r="G331" t="n">
        <v>3.56</v>
      </c>
      <c r="H331" t="inlineStr">
        <is>
          <t>Contacted</t>
        </is>
      </c>
      <c r="I331" t="inlineStr">
        <is>
          <t>Open</t>
        </is>
      </c>
      <c r="M331">
        <f>VLOOKUP(H331,'Stage Order'!$A$2:$B$8,2,FALSE)</f>
        <v/>
      </c>
      <c r="N331">
        <f>IF(G331&lt;=1,"1. Under 1 hour",IF(G331&lt;=24,"2. 1-24 hours",IF(G331&lt;=72,"3. 1-3 days","4. Over 3 days")))</f>
        <v/>
      </c>
      <c r="O331">
        <f>TEXT(B331,"YYYY-MM")</f>
        <v/>
      </c>
    </row>
    <row r="332">
      <c r="A332" t="inlineStr">
        <is>
          <t>LD-300330</t>
        </is>
      </c>
      <c r="B332" t="inlineStr">
        <is>
          <t>2026-02-03 16:28:00</t>
        </is>
      </c>
      <c r="C332" t="inlineStr">
        <is>
          <t>Paid Search</t>
        </is>
      </c>
      <c r="D332" t="inlineStr">
        <is>
          <t>K-12 Math</t>
        </is>
      </c>
      <c r="E332" t="inlineStr">
        <is>
          <t>East Region</t>
        </is>
      </c>
      <c r="F332" t="inlineStr">
        <is>
          <t>Rep_04</t>
        </is>
      </c>
      <c r="G332" t="n">
        <v>9.84</v>
      </c>
      <c r="H332" t="inlineStr">
        <is>
          <t>Demo Completed</t>
        </is>
      </c>
      <c r="I332" t="inlineStr">
        <is>
          <t>Lost</t>
        </is>
      </c>
      <c r="J332" t="inlineStr">
        <is>
          <t>Price Objection</t>
        </is>
      </c>
      <c r="K332" t="n">
        <v>518.64</v>
      </c>
      <c r="L332" t="inlineStr">
        <is>
          <t>2026-03-12 11:14:20.701813</t>
        </is>
      </c>
      <c r="M332">
        <f>VLOOKUP(H332,'Stage Order'!$A$2:$B$8,2,FALSE)</f>
        <v/>
      </c>
      <c r="N332">
        <f>IF(G332&lt;=1,"1. Under 1 hour",IF(G332&lt;=24,"2. 1-24 hours",IF(G332&lt;=72,"3. 1-3 days","4. Over 3 days")))</f>
        <v/>
      </c>
      <c r="O332">
        <f>TEXT(B332,"YYYY-MM")</f>
        <v/>
      </c>
    </row>
    <row r="333">
      <c r="A333" t="inlineStr">
        <is>
          <t>LD-300331</t>
        </is>
      </c>
      <c r="B333" t="inlineStr">
        <is>
          <t>2025-05-09 19:04:00</t>
        </is>
      </c>
      <c r="C333" t="inlineStr">
        <is>
          <t>Organic Search</t>
        </is>
      </c>
      <c r="D333" t="inlineStr">
        <is>
          <t>Competitive Exam Prep</t>
        </is>
      </c>
      <c r="E333" t="inlineStr">
        <is>
          <t>South Region</t>
        </is>
      </c>
      <c r="F333" t="inlineStr">
        <is>
          <t>Rep_07</t>
        </is>
      </c>
      <c r="G333" t="n">
        <v>4.14</v>
      </c>
      <c r="H333" t="inlineStr">
        <is>
          <t>Contacted</t>
        </is>
      </c>
      <c r="I333" t="inlineStr">
        <is>
          <t>Open</t>
        </is>
      </c>
      <c r="M333">
        <f>VLOOKUP(H333,'Stage Order'!$A$2:$B$8,2,FALSE)</f>
        <v/>
      </c>
      <c r="N333">
        <f>IF(G333&lt;=1,"1. Under 1 hour",IF(G333&lt;=24,"2. 1-24 hours",IF(G333&lt;=72,"3. 1-3 days","4. Over 3 days")))</f>
        <v/>
      </c>
      <c r="O333">
        <f>TEXT(B333,"YYYY-MM")</f>
        <v/>
      </c>
    </row>
    <row r="334">
      <c r="A334" t="inlineStr">
        <is>
          <t>LD-300332</t>
        </is>
      </c>
      <c r="B334" t="inlineStr">
        <is>
          <t>2025-10-31 19:44:00</t>
        </is>
      </c>
      <c r="C334" t="inlineStr">
        <is>
          <t>Social Media</t>
        </is>
      </c>
      <c r="D334" t="inlineStr">
        <is>
          <t>Coding for Kids</t>
        </is>
      </c>
      <c r="E334" t="inlineStr">
        <is>
          <t>North Region</t>
        </is>
      </c>
      <c r="F334" t="inlineStr">
        <is>
          <t>Rep_11</t>
        </is>
      </c>
      <c r="G334" t="n">
        <v>4.78</v>
      </c>
      <c r="H334" t="inlineStr">
        <is>
          <t>Proposal Sent</t>
        </is>
      </c>
      <c r="I334" t="inlineStr">
        <is>
          <t>Lost</t>
        </is>
      </c>
      <c r="J334" t="inlineStr">
        <is>
          <t>Went With Competitor</t>
        </is>
      </c>
      <c r="K334" t="n">
        <v>698.77</v>
      </c>
      <c r="L334" t="inlineStr">
        <is>
          <t>2025-12-05 10:21:27.622673</t>
        </is>
      </c>
      <c r="M334">
        <f>VLOOKUP(H334,'Stage Order'!$A$2:$B$8,2,FALSE)</f>
        <v/>
      </c>
      <c r="N334">
        <f>IF(G334&lt;=1,"1. Under 1 hour",IF(G334&lt;=24,"2. 1-24 hours",IF(G334&lt;=72,"3. 1-3 days","4. Over 3 days")))</f>
        <v/>
      </c>
      <c r="O334">
        <f>TEXT(B334,"YYYY-MM")</f>
        <v/>
      </c>
    </row>
    <row r="335">
      <c r="A335" t="inlineStr">
        <is>
          <t>LD-300333</t>
        </is>
      </c>
      <c r="B335" t="inlineStr">
        <is>
          <t>2025-01-24 13:24:00</t>
        </is>
      </c>
      <c r="C335" t="inlineStr">
        <is>
          <t>Organic Search</t>
        </is>
      </c>
      <c r="D335" t="inlineStr">
        <is>
          <t>K-12 Math</t>
        </is>
      </c>
      <c r="E335" t="inlineStr">
        <is>
          <t>West Region</t>
        </is>
      </c>
      <c r="F335" t="inlineStr">
        <is>
          <t>Rep_13</t>
        </is>
      </c>
      <c r="G335" t="n">
        <v>3.56</v>
      </c>
      <c r="H335" t="inlineStr">
        <is>
          <t>Negotiation</t>
        </is>
      </c>
      <c r="I335" t="inlineStr">
        <is>
          <t>Lost</t>
        </is>
      </c>
      <c r="J335" t="inlineStr">
        <is>
          <t>Bad Timing</t>
        </is>
      </c>
      <c r="K335" t="n">
        <v>595.5700000000001</v>
      </c>
      <c r="L335" t="inlineStr">
        <is>
          <t>2025-03-14 02:32:48.337645</t>
        </is>
      </c>
      <c r="M335">
        <f>VLOOKUP(H335,'Stage Order'!$A$2:$B$8,2,FALSE)</f>
        <v/>
      </c>
      <c r="N335">
        <f>IF(G335&lt;=1,"1. Under 1 hour",IF(G335&lt;=24,"2. 1-24 hours",IF(G335&lt;=72,"3. 1-3 days","4. Over 3 days")))</f>
        <v/>
      </c>
      <c r="O335">
        <f>TEXT(B335,"YYYY-MM")</f>
        <v/>
      </c>
    </row>
    <row r="336">
      <c r="A336" t="inlineStr">
        <is>
          <t>LD-300334</t>
        </is>
      </c>
      <c r="B336" t="inlineStr">
        <is>
          <t>2026-04-13 11:53:00</t>
        </is>
      </c>
      <c r="C336" t="inlineStr">
        <is>
          <t>Social Media</t>
        </is>
      </c>
      <c r="D336" t="inlineStr">
        <is>
          <t>K-12 Math</t>
        </is>
      </c>
      <c r="E336" t="inlineStr">
        <is>
          <t>North Region</t>
        </is>
      </c>
      <c r="F336" t="inlineStr">
        <is>
          <t>Rep_11</t>
        </is>
      </c>
      <c r="G336" t="n">
        <v>6.83</v>
      </c>
      <c r="H336" t="inlineStr">
        <is>
          <t>Contacted</t>
        </is>
      </c>
      <c r="I336" t="inlineStr">
        <is>
          <t>Open</t>
        </is>
      </c>
      <c r="M336">
        <f>VLOOKUP(H336,'Stage Order'!$A$2:$B$8,2,FALSE)</f>
        <v/>
      </c>
      <c r="N336">
        <f>IF(G336&lt;=1,"1. Under 1 hour",IF(G336&lt;=24,"2. 1-24 hours",IF(G336&lt;=72,"3. 1-3 days","4. Over 3 days")))</f>
        <v/>
      </c>
      <c r="O336">
        <f>TEXT(B336,"YYYY-MM")</f>
        <v/>
      </c>
    </row>
    <row r="337">
      <c r="A337" t="inlineStr">
        <is>
          <t>LD-300335</t>
        </is>
      </c>
      <c r="B337" t="inlineStr">
        <is>
          <t>2025-05-30 07:01:00</t>
        </is>
      </c>
      <c r="C337" t="inlineStr">
        <is>
          <t>Social Media</t>
        </is>
      </c>
      <c r="D337" t="inlineStr">
        <is>
          <t>K-12 Math</t>
        </is>
      </c>
      <c r="E337" t="inlineStr">
        <is>
          <t>South Region</t>
        </is>
      </c>
      <c r="F337" t="inlineStr">
        <is>
          <t>Rep_12</t>
        </is>
      </c>
      <c r="G337" t="n">
        <v>5.55</v>
      </c>
      <c r="H337" t="inlineStr">
        <is>
          <t>Contacted</t>
        </is>
      </c>
      <c r="I337" t="inlineStr">
        <is>
          <t>Open</t>
        </is>
      </c>
      <c r="M337">
        <f>VLOOKUP(H337,'Stage Order'!$A$2:$B$8,2,FALSE)</f>
        <v/>
      </c>
      <c r="N337">
        <f>IF(G337&lt;=1,"1. Under 1 hour",IF(G337&lt;=24,"2. 1-24 hours",IF(G337&lt;=72,"3. 1-3 days","4. Over 3 days")))</f>
        <v/>
      </c>
      <c r="O337">
        <f>TEXT(B337,"YYYY-MM")</f>
        <v/>
      </c>
    </row>
    <row r="338">
      <c r="A338" t="inlineStr">
        <is>
          <t>LD-300336</t>
        </is>
      </c>
      <c r="B338" t="inlineStr">
        <is>
          <t>2025-10-07 14:02:00</t>
        </is>
      </c>
      <c r="C338" t="inlineStr">
        <is>
          <t>Organic Search</t>
        </is>
      </c>
      <c r="D338" t="inlineStr">
        <is>
          <t>K-12 Math</t>
        </is>
      </c>
      <c r="E338" t="inlineStr">
        <is>
          <t>North Region</t>
        </is>
      </c>
      <c r="F338" t="inlineStr">
        <is>
          <t>Rep_06</t>
        </is>
      </c>
      <c r="G338" t="n">
        <v>9.859999999999999</v>
      </c>
      <c r="H338" t="inlineStr">
        <is>
          <t>Contacted</t>
        </is>
      </c>
      <c r="I338" t="inlineStr">
        <is>
          <t>Open</t>
        </is>
      </c>
      <c r="M338">
        <f>VLOOKUP(H338,'Stage Order'!$A$2:$B$8,2,FALSE)</f>
        <v/>
      </c>
      <c r="N338">
        <f>IF(G338&lt;=1,"1. Under 1 hour",IF(G338&lt;=24,"2. 1-24 hours",IF(G338&lt;=72,"3. 1-3 days","4. Over 3 days")))</f>
        <v/>
      </c>
      <c r="O338">
        <f>TEXT(B338,"YYYY-MM")</f>
        <v/>
      </c>
    </row>
    <row r="339">
      <c r="A339" t="inlineStr">
        <is>
          <t>LD-300337</t>
        </is>
      </c>
      <c r="B339" t="inlineStr">
        <is>
          <t>2026-01-23 13:20:00</t>
        </is>
      </c>
      <c r="C339" t="inlineStr">
        <is>
          <t>Organic Search</t>
        </is>
      </c>
      <c r="D339" t="inlineStr">
        <is>
          <t>K-12 Math</t>
        </is>
      </c>
      <c r="E339" t="inlineStr">
        <is>
          <t>South Region</t>
        </is>
      </c>
      <c r="F339" t="inlineStr">
        <is>
          <t>Rep_12</t>
        </is>
      </c>
      <c r="G339" t="n">
        <v>1.43</v>
      </c>
      <c r="H339" t="inlineStr">
        <is>
          <t>Demo Completed</t>
        </is>
      </c>
      <c r="I339" t="inlineStr">
        <is>
          <t>Lost</t>
        </is>
      </c>
      <c r="J339" t="inlineStr">
        <is>
          <t>Budget Not Approved</t>
        </is>
      </c>
      <c r="K339" t="n">
        <v>596.75</v>
      </c>
      <c r="L339" t="inlineStr">
        <is>
          <t>2026-02-28 19:09:37.055941</t>
        </is>
      </c>
      <c r="M339">
        <f>VLOOKUP(H339,'Stage Order'!$A$2:$B$8,2,FALSE)</f>
        <v/>
      </c>
      <c r="N339">
        <f>IF(G339&lt;=1,"1. Under 1 hour",IF(G339&lt;=24,"2. 1-24 hours",IF(G339&lt;=72,"3. 1-3 days","4. Over 3 days")))</f>
        <v/>
      </c>
      <c r="O339">
        <f>TEXT(B339,"YYYY-MM")</f>
        <v/>
      </c>
    </row>
    <row r="340">
      <c r="A340" t="inlineStr">
        <is>
          <t>LD-300338</t>
        </is>
      </c>
      <c r="B340" t="inlineStr">
        <is>
          <t>2026-06-05 10:42:00</t>
        </is>
      </c>
      <c r="C340" t="inlineStr">
        <is>
          <t>Social Media</t>
        </is>
      </c>
      <c r="D340" t="inlineStr">
        <is>
          <t>Language Learning</t>
        </is>
      </c>
      <c r="E340" t="inlineStr">
        <is>
          <t>South Region</t>
        </is>
      </c>
      <c r="F340" t="inlineStr">
        <is>
          <t>Rep_02</t>
        </is>
      </c>
      <c r="G340" t="n">
        <v>4.74</v>
      </c>
      <c r="H340" t="inlineStr">
        <is>
          <t>Contacted</t>
        </is>
      </c>
      <c r="I340" t="inlineStr">
        <is>
          <t>Open</t>
        </is>
      </c>
      <c r="M340">
        <f>VLOOKUP(H340,'Stage Order'!$A$2:$B$8,2,FALSE)</f>
        <v/>
      </c>
      <c r="N340">
        <f>IF(G340&lt;=1,"1. Under 1 hour",IF(G340&lt;=24,"2. 1-24 hours",IF(G340&lt;=72,"3. 1-3 days","4. Over 3 days")))</f>
        <v/>
      </c>
      <c r="O340">
        <f>TEXT(B340,"YYYY-MM")</f>
        <v/>
      </c>
    </row>
    <row r="341">
      <c r="A341" t="inlineStr">
        <is>
          <t>LD-300339</t>
        </is>
      </c>
      <c r="B341" t="inlineStr">
        <is>
          <t>2025-10-07 09:50:00</t>
        </is>
      </c>
      <c r="C341" t="inlineStr">
        <is>
          <t>Organic Search</t>
        </is>
      </c>
      <c r="D341" t="inlineStr">
        <is>
          <t>Competitive Exam Prep</t>
        </is>
      </c>
      <c r="E341" t="inlineStr">
        <is>
          <t>West Region</t>
        </is>
      </c>
      <c r="F341" t="inlineStr">
        <is>
          <t>Rep_03</t>
        </is>
      </c>
      <c r="G341" t="n">
        <v>2.74</v>
      </c>
      <c r="H341" t="inlineStr">
        <is>
          <t>Contacted</t>
        </is>
      </c>
      <c r="I341" t="inlineStr">
        <is>
          <t>Open</t>
        </is>
      </c>
      <c r="M341">
        <f>VLOOKUP(H341,'Stage Order'!$A$2:$B$8,2,FALSE)</f>
        <v/>
      </c>
      <c r="N341">
        <f>IF(G341&lt;=1,"1. Under 1 hour",IF(G341&lt;=24,"2. 1-24 hours",IF(G341&lt;=72,"3. 1-3 days","4. Over 3 days")))</f>
        <v/>
      </c>
      <c r="O341">
        <f>TEXT(B341,"YYYY-MM")</f>
        <v/>
      </c>
    </row>
    <row r="342">
      <c r="A342" t="inlineStr">
        <is>
          <t>LD-300340</t>
        </is>
      </c>
      <c r="B342" t="inlineStr">
        <is>
          <t>2025-03-18 08:57:00</t>
        </is>
      </c>
      <c r="C342" t="inlineStr">
        <is>
          <t>Organic Search</t>
        </is>
      </c>
      <c r="D342" t="inlineStr">
        <is>
          <t>K-12 Math</t>
        </is>
      </c>
      <c r="E342" t="inlineStr">
        <is>
          <t>South Region</t>
        </is>
      </c>
      <c r="F342" t="inlineStr">
        <is>
          <t>Rep_07</t>
        </is>
      </c>
      <c r="G342" t="n">
        <v>1.75</v>
      </c>
      <c r="H342" t="inlineStr">
        <is>
          <t>Contacted</t>
        </is>
      </c>
      <c r="I342" t="inlineStr">
        <is>
          <t>Open</t>
        </is>
      </c>
      <c r="M342">
        <f>VLOOKUP(H342,'Stage Order'!$A$2:$B$8,2,FALSE)</f>
        <v/>
      </c>
      <c r="N342">
        <f>IF(G342&lt;=1,"1. Under 1 hour",IF(G342&lt;=24,"2. 1-24 hours",IF(G342&lt;=72,"3. 1-3 days","4. Over 3 days")))</f>
        <v/>
      </c>
      <c r="O342">
        <f>TEXT(B342,"YYYY-MM")</f>
        <v/>
      </c>
    </row>
    <row r="343">
      <c r="A343" t="inlineStr">
        <is>
          <t>LD-300341</t>
        </is>
      </c>
      <c r="B343" t="inlineStr">
        <is>
          <t>2025-08-11 17:03:00</t>
        </is>
      </c>
      <c r="C343" t="inlineStr">
        <is>
          <t>Social Media</t>
        </is>
      </c>
      <c r="D343" t="inlineStr">
        <is>
          <t>K-12 Math</t>
        </is>
      </c>
      <c r="E343" t="inlineStr">
        <is>
          <t>South Region</t>
        </is>
      </c>
      <c r="F343" t="inlineStr">
        <is>
          <t>Rep_07</t>
        </is>
      </c>
      <c r="G343" t="n">
        <v>1.39</v>
      </c>
      <c r="H343" t="inlineStr">
        <is>
          <t>Lead</t>
        </is>
      </c>
      <c r="I343" t="inlineStr">
        <is>
          <t>Open</t>
        </is>
      </c>
      <c r="M343">
        <f>VLOOKUP(H343,'Stage Order'!$A$2:$B$8,2,FALSE)</f>
        <v/>
      </c>
      <c r="N343">
        <f>IF(G343&lt;=1,"1. Under 1 hour",IF(G343&lt;=24,"2. 1-24 hours",IF(G343&lt;=72,"3. 1-3 days","4. Over 3 days")))</f>
        <v/>
      </c>
      <c r="O343">
        <f>TEXT(B343,"YYYY-MM")</f>
        <v/>
      </c>
    </row>
    <row r="344">
      <c r="A344" t="inlineStr">
        <is>
          <t>LD-300342</t>
        </is>
      </c>
      <c r="B344" t="inlineStr">
        <is>
          <t>2025-10-07 07:35:00</t>
        </is>
      </c>
      <c r="C344" t="inlineStr">
        <is>
          <t>Webinar</t>
        </is>
      </c>
      <c r="D344" t="inlineStr">
        <is>
          <t>Competitive Exam Prep</t>
        </is>
      </c>
      <c r="E344" t="inlineStr">
        <is>
          <t>South Region</t>
        </is>
      </c>
      <c r="F344" t="inlineStr">
        <is>
          <t>Rep_02</t>
        </is>
      </c>
      <c r="G344" t="n">
        <v>4.49</v>
      </c>
      <c r="H344" t="inlineStr">
        <is>
          <t>Closed</t>
        </is>
      </c>
      <c r="I344" t="inlineStr">
        <is>
          <t>Won</t>
        </is>
      </c>
      <c r="K344" t="n">
        <v>825.01</v>
      </c>
      <c r="L344" t="inlineStr">
        <is>
          <t>2025-11-14 04:34:54.352487</t>
        </is>
      </c>
      <c r="M344">
        <f>VLOOKUP(H344,'Stage Order'!$A$2:$B$8,2,FALSE)</f>
        <v/>
      </c>
      <c r="N344">
        <f>IF(G344&lt;=1,"1. Under 1 hour",IF(G344&lt;=24,"2. 1-24 hours",IF(G344&lt;=72,"3. 1-3 days","4. Over 3 days")))</f>
        <v/>
      </c>
      <c r="O344">
        <f>TEXT(B344,"YYYY-MM")</f>
        <v/>
      </c>
    </row>
    <row r="345">
      <c r="A345" t="inlineStr">
        <is>
          <t>LD-300343</t>
        </is>
      </c>
      <c r="B345" t="inlineStr">
        <is>
          <t>2025-06-06 14:24:00</t>
        </is>
      </c>
      <c r="C345" t="inlineStr">
        <is>
          <t>Social Media</t>
        </is>
      </c>
      <c r="D345" t="inlineStr">
        <is>
          <t>Competitive Exam Prep</t>
        </is>
      </c>
      <c r="E345" t="inlineStr">
        <is>
          <t>South Region</t>
        </is>
      </c>
      <c r="F345" t="inlineStr">
        <is>
          <t>Rep_12</t>
        </is>
      </c>
      <c r="G345" t="n">
        <v>4.24</v>
      </c>
      <c r="H345" t="inlineStr">
        <is>
          <t>Contacted</t>
        </is>
      </c>
      <c r="I345" t="inlineStr">
        <is>
          <t>Open</t>
        </is>
      </c>
      <c r="M345">
        <f>VLOOKUP(H345,'Stage Order'!$A$2:$B$8,2,FALSE)</f>
        <v/>
      </c>
      <c r="N345">
        <f>IF(G345&lt;=1,"1. Under 1 hour",IF(G345&lt;=24,"2. 1-24 hours",IF(G345&lt;=72,"3. 1-3 days","4. Over 3 days")))</f>
        <v/>
      </c>
      <c r="O345">
        <f>TEXT(B345,"YYYY-MM")</f>
        <v/>
      </c>
    </row>
    <row r="346">
      <c r="A346" t="inlineStr">
        <is>
          <t>LD-300344</t>
        </is>
      </c>
      <c r="B346" t="inlineStr">
        <is>
          <t>2025-08-04 16:55:00</t>
        </is>
      </c>
      <c r="C346" t="inlineStr">
        <is>
          <t>Referral</t>
        </is>
      </c>
      <c r="D346" t="inlineStr">
        <is>
          <t>K-12 Math</t>
        </is>
      </c>
      <c r="E346" t="inlineStr">
        <is>
          <t>North Region</t>
        </is>
      </c>
      <c r="F346" t="inlineStr">
        <is>
          <t>Rep_11</t>
        </is>
      </c>
      <c r="G346" t="n">
        <v>1.02</v>
      </c>
      <c r="H346" t="inlineStr">
        <is>
          <t>Closed</t>
        </is>
      </c>
      <c r="I346" t="inlineStr">
        <is>
          <t>Won</t>
        </is>
      </c>
      <c r="K346" t="n">
        <v>442.69</v>
      </c>
      <c r="L346" t="inlineStr">
        <is>
          <t>2025-09-02 04:22:40.677147</t>
        </is>
      </c>
      <c r="M346">
        <f>VLOOKUP(H346,'Stage Order'!$A$2:$B$8,2,FALSE)</f>
        <v/>
      </c>
      <c r="N346">
        <f>IF(G346&lt;=1,"1. Under 1 hour",IF(G346&lt;=24,"2. 1-24 hours",IF(G346&lt;=72,"3. 1-3 days","4. Over 3 days")))</f>
        <v/>
      </c>
      <c r="O346">
        <f>TEXT(B346,"YYYY-MM")</f>
        <v/>
      </c>
    </row>
    <row r="347">
      <c r="A347" t="inlineStr">
        <is>
          <t>LD-300345</t>
        </is>
      </c>
      <c r="B347" t="inlineStr">
        <is>
          <t>2026-05-06 18:20:00</t>
        </is>
      </c>
      <c r="C347" t="inlineStr">
        <is>
          <t>Paid Search</t>
        </is>
      </c>
      <c r="D347" t="inlineStr">
        <is>
          <t>K-12 Math</t>
        </is>
      </c>
      <c r="E347" t="inlineStr">
        <is>
          <t>South Region</t>
        </is>
      </c>
      <c r="F347" t="inlineStr">
        <is>
          <t>Rep_07</t>
        </is>
      </c>
      <c r="G347" t="n">
        <v>1.39</v>
      </c>
      <c r="H347" t="inlineStr">
        <is>
          <t>Contacted</t>
        </is>
      </c>
      <c r="I347" t="inlineStr">
        <is>
          <t>Open</t>
        </is>
      </c>
      <c r="M347">
        <f>VLOOKUP(H347,'Stage Order'!$A$2:$B$8,2,FALSE)</f>
        <v/>
      </c>
      <c r="N347">
        <f>IF(G347&lt;=1,"1. Under 1 hour",IF(G347&lt;=24,"2. 1-24 hours",IF(G347&lt;=72,"3. 1-3 days","4. Over 3 days")))</f>
        <v/>
      </c>
      <c r="O347">
        <f>TEXT(B347,"YYYY-MM")</f>
        <v/>
      </c>
    </row>
    <row r="348">
      <c r="A348" t="inlineStr">
        <is>
          <t>LD-300346</t>
        </is>
      </c>
      <c r="B348" t="inlineStr">
        <is>
          <t>2025-03-19 11:57:00</t>
        </is>
      </c>
      <c r="C348" t="inlineStr">
        <is>
          <t>Referral</t>
        </is>
      </c>
      <c r="D348" t="inlineStr">
        <is>
          <t>Language Learning</t>
        </is>
      </c>
      <c r="E348" t="inlineStr">
        <is>
          <t>East Region</t>
        </is>
      </c>
      <c r="F348" t="inlineStr">
        <is>
          <t>Rep_14</t>
        </is>
      </c>
      <c r="G348" t="n">
        <v>1.74</v>
      </c>
      <c r="H348" t="inlineStr">
        <is>
          <t>Closed</t>
        </is>
      </c>
      <c r="I348" t="inlineStr">
        <is>
          <t>Won</t>
        </is>
      </c>
      <c r="K348" t="n">
        <v>316.33</v>
      </c>
      <c r="L348" t="inlineStr">
        <is>
          <t>2025-04-14 03:26:12.542703</t>
        </is>
      </c>
      <c r="M348">
        <f>VLOOKUP(H348,'Stage Order'!$A$2:$B$8,2,FALSE)</f>
        <v/>
      </c>
      <c r="N348">
        <f>IF(G348&lt;=1,"1. Under 1 hour",IF(G348&lt;=24,"2. 1-24 hours",IF(G348&lt;=72,"3. 1-3 days","4. Over 3 days")))</f>
        <v/>
      </c>
      <c r="O348">
        <f>TEXT(B348,"YYYY-MM")</f>
        <v/>
      </c>
    </row>
    <row r="349">
      <c r="A349" t="inlineStr">
        <is>
          <t>LD-300347</t>
        </is>
      </c>
      <c r="B349" t="inlineStr">
        <is>
          <t>2025-10-31 16:21:00</t>
        </is>
      </c>
      <c r="C349" t="inlineStr">
        <is>
          <t>Organic Search</t>
        </is>
      </c>
      <c r="D349" t="inlineStr">
        <is>
          <t>Competitive Exam Prep</t>
        </is>
      </c>
      <c r="E349" t="inlineStr">
        <is>
          <t>East Region</t>
        </is>
      </c>
      <c r="F349" t="inlineStr">
        <is>
          <t>Rep_04</t>
        </is>
      </c>
      <c r="G349" t="n">
        <v>1.16</v>
      </c>
      <c r="H349" t="inlineStr">
        <is>
          <t>Demo Scheduled</t>
        </is>
      </c>
      <c r="I349" t="inlineStr">
        <is>
          <t>Open</t>
        </is>
      </c>
      <c r="M349">
        <f>VLOOKUP(H349,'Stage Order'!$A$2:$B$8,2,FALSE)</f>
        <v/>
      </c>
      <c r="N349">
        <f>IF(G349&lt;=1,"1. Under 1 hour",IF(G349&lt;=24,"2. 1-24 hours",IF(G349&lt;=72,"3. 1-3 days","4. Over 3 days")))</f>
        <v/>
      </c>
      <c r="O349">
        <f>TEXT(B349,"YYYY-MM")</f>
        <v/>
      </c>
    </row>
    <row r="350">
      <c r="A350" t="inlineStr">
        <is>
          <t>LD-300348</t>
        </is>
      </c>
      <c r="B350" t="inlineStr">
        <is>
          <t>2025-04-14 11:36:00</t>
        </is>
      </c>
      <c r="C350" t="inlineStr">
        <is>
          <t>Paid Search</t>
        </is>
      </c>
      <c r="D350" t="inlineStr">
        <is>
          <t>Language Learning</t>
        </is>
      </c>
      <c r="E350" t="inlineStr">
        <is>
          <t>North Region</t>
        </is>
      </c>
      <c r="F350" t="inlineStr">
        <is>
          <t>Rep_11</t>
        </is>
      </c>
      <c r="G350" t="n">
        <v>1.1</v>
      </c>
      <c r="H350" t="inlineStr">
        <is>
          <t>Proposal Sent</t>
        </is>
      </c>
      <c r="I350" t="inlineStr">
        <is>
          <t>Lost</t>
        </is>
      </c>
      <c r="J350" t="inlineStr">
        <is>
          <t>No Response / Ghosted</t>
        </is>
      </c>
      <c r="K350" t="n">
        <v>348.95</v>
      </c>
      <c r="L350" t="inlineStr">
        <is>
          <t>2025-05-19 17:46:02.940319</t>
        </is>
      </c>
      <c r="M350">
        <f>VLOOKUP(H350,'Stage Order'!$A$2:$B$8,2,FALSE)</f>
        <v/>
      </c>
      <c r="N350">
        <f>IF(G350&lt;=1,"1. Under 1 hour",IF(G350&lt;=24,"2. 1-24 hours",IF(G350&lt;=72,"3. 1-3 days","4. Over 3 days")))</f>
        <v/>
      </c>
      <c r="O350">
        <f>TEXT(B350,"YYYY-MM")</f>
        <v/>
      </c>
    </row>
    <row r="351">
      <c r="A351" t="inlineStr">
        <is>
          <t>LD-300349</t>
        </is>
      </c>
      <c r="B351" t="inlineStr">
        <is>
          <t>2025-04-04 11:37:00</t>
        </is>
      </c>
      <c r="C351" t="inlineStr">
        <is>
          <t>Partner Channel</t>
        </is>
      </c>
      <c r="D351" t="inlineStr">
        <is>
          <t>K-12 Math</t>
        </is>
      </c>
      <c r="E351" t="inlineStr">
        <is>
          <t>International</t>
        </is>
      </c>
      <c r="F351" t="inlineStr">
        <is>
          <t>Rep_10</t>
        </is>
      </c>
      <c r="G351" t="n">
        <v>4.67</v>
      </c>
      <c r="H351" t="inlineStr">
        <is>
          <t>Closed</t>
        </is>
      </c>
      <c r="I351" t="inlineStr">
        <is>
          <t>Won</t>
        </is>
      </c>
      <c r="K351" t="n">
        <v>408.34</v>
      </c>
      <c r="L351" t="inlineStr">
        <is>
          <t>2025-05-21 19:55:35.901088</t>
        </is>
      </c>
      <c r="M351">
        <f>VLOOKUP(H351,'Stage Order'!$A$2:$B$8,2,FALSE)</f>
        <v/>
      </c>
      <c r="N351">
        <f>IF(G351&lt;=1,"1. Under 1 hour",IF(G351&lt;=24,"2. 1-24 hours",IF(G351&lt;=72,"3. 1-3 days","4. Over 3 days")))</f>
        <v/>
      </c>
      <c r="O351">
        <f>TEXT(B351,"YYYY-MM")</f>
        <v/>
      </c>
    </row>
    <row r="352">
      <c r="A352" t="inlineStr">
        <is>
          <t>LD-300350</t>
        </is>
      </c>
      <c r="B352" t="inlineStr">
        <is>
          <t>2025-11-07 17:24:00</t>
        </is>
      </c>
      <c r="C352" t="inlineStr">
        <is>
          <t>Cold Outreach</t>
        </is>
      </c>
      <c r="D352" t="inlineStr">
        <is>
          <t>Language Learning</t>
        </is>
      </c>
      <c r="E352" t="inlineStr">
        <is>
          <t>North Region</t>
        </is>
      </c>
      <c r="F352" t="inlineStr">
        <is>
          <t>Rep_06</t>
        </is>
      </c>
      <c r="G352" t="n">
        <v>4.94</v>
      </c>
      <c r="H352" t="inlineStr">
        <is>
          <t>Lead</t>
        </is>
      </c>
      <c r="I352" t="inlineStr">
        <is>
          <t>Open</t>
        </is>
      </c>
      <c r="M352">
        <f>VLOOKUP(H352,'Stage Order'!$A$2:$B$8,2,FALSE)</f>
        <v/>
      </c>
      <c r="N352">
        <f>IF(G352&lt;=1,"1. Under 1 hour",IF(G352&lt;=24,"2. 1-24 hours",IF(G352&lt;=72,"3. 1-3 days","4. Over 3 days")))</f>
        <v/>
      </c>
      <c r="O352">
        <f>TEXT(B352,"YYYY-MM")</f>
        <v/>
      </c>
    </row>
    <row r="353">
      <c r="A353" t="inlineStr">
        <is>
          <t>LD-300351</t>
        </is>
      </c>
      <c r="B353" t="inlineStr">
        <is>
          <t>2026-01-23 07:14:00</t>
        </is>
      </c>
      <c r="C353" t="inlineStr">
        <is>
          <t>Paid Search</t>
        </is>
      </c>
      <c r="D353" t="inlineStr">
        <is>
          <t>K-12 Math</t>
        </is>
      </c>
      <c r="E353" t="inlineStr">
        <is>
          <t>South Region</t>
        </is>
      </c>
      <c r="F353" t="inlineStr">
        <is>
          <t>Rep_07</t>
        </is>
      </c>
      <c r="G353" t="n">
        <v>3.93</v>
      </c>
      <c r="H353" t="inlineStr">
        <is>
          <t>Contacted</t>
        </is>
      </c>
      <c r="I353" t="inlineStr">
        <is>
          <t>Open</t>
        </is>
      </c>
      <c r="M353">
        <f>VLOOKUP(H353,'Stage Order'!$A$2:$B$8,2,FALSE)</f>
        <v/>
      </c>
      <c r="N353">
        <f>IF(G353&lt;=1,"1. Under 1 hour",IF(G353&lt;=24,"2. 1-24 hours",IF(G353&lt;=72,"3. 1-3 days","4. Over 3 days")))</f>
        <v/>
      </c>
      <c r="O353">
        <f>TEXT(B353,"YYYY-MM")</f>
        <v/>
      </c>
    </row>
    <row r="354">
      <c r="A354" t="inlineStr">
        <is>
          <t>LD-300352</t>
        </is>
      </c>
      <c r="B354" t="inlineStr">
        <is>
          <t>2025-02-07 09:13:00</t>
        </is>
      </c>
      <c r="C354" t="inlineStr">
        <is>
          <t>Social Media</t>
        </is>
      </c>
      <c r="D354" t="inlineStr">
        <is>
          <t>Competitive Exam Prep</t>
        </is>
      </c>
      <c r="E354" t="inlineStr">
        <is>
          <t>South Region</t>
        </is>
      </c>
      <c r="F354" t="inlineStr">
        <is>
          <t>Rep_12</t>
        </is>
      </c>
      <c r="G354" t="n">
        <v>2.71</v>
      </c>
      <c r="H354" t="inlineStr">
        <is>
          <t>Demo Scheduled</t>
        </is>
      </c>
      <c r="I354" t="inlineStr">
        <is>
          <t>Open</t>
        </is>
      </c>
      <c r="M354">
        <f>VLOOKUP(H354,'Stage Order'!$A$2:$B$8,2,FALSE)</f>
        <v/>
      </c>
      <c r="N354">
        <f>IF(G354&lt;=1,"1. Under 1 hour",IF(G354&lt;=24,"2. 1-24 hours",IF(G354&lt;=72,"3. 1-3 days","4. Over 3 days")))</f>
        <v/>
      </c>
      <c r="O354">
        <f>TEXT(B354,"YYYY-MM")</f>
        <v/>
      </c>
    </row>
    <row r="355">
      <c r="A355" t="inlineStr">
        <is>
          <t>LD-300353</t>
        </is>
      </c>
      <c r="B355" t="inlineStr">
        <is>
          <t>2026-04-18 13:15:00</t>
        </is>
      </c>
      <c r="C355" t="inlineStr">
        <is>
          <t>Social Media</t>
        </is>
      </c>
      <c r="D355" t="inlineStr">
        <is>
          <t>K-12 Math</t>
        </is>
      </c>
      <c r="E355" t="inlineStr">
        <is>
          <t>West Region</t>
        </is>
      </c>
      <c r="F355" t="inlineStr">
        <is>
          <t>Rep_08</t>
        </is>
      </c>
      <c r="G355" t="n">
        <v>2.68</v>
      </c>
      <c r="H355" t="inlineStr">
        <is>
          <t>Closed</t>
        </is>
      </c>
      <c r="I355" t="inlineStr">
        <is>
          <t>Won</t>
        </is>
      </c>
      <c r="K355" t="n">
        <v>580.04</v>
      </c>
      <c r="L355" t="inlineStr">
        <is>
          <t>2026-05-31 01:33:43.093353</t>
        </is>
      </c>
      <c r="M355">
        <f>VLOOKUP(H355,'Stage Order'!$A$2:$B$8,2,FALSE)</f>
        <v/>
      </c>
      <c r="N355">
        <f>IF(G355&lt;=1,"1. Under 1 hour",IF(G355&lt;=24,"2. 1-24 hours",IF(G355&lt;=72,"3. 1-3 days","4. Over 3 days")))</f>
        <v/>
      </c>
      <c r="O355">
        <f>TEXT(B355,"YYYY-MM")</f>
        <v/>
      </c>
    </row>
    <row r="356">
      <c r="A356" t="inlineStr">
        <is>
          <t>LD-300354</t>
        </is>
      </c>
      <c r="B356" t="inlineStr">
        <is>
          <t>2026-06-10 10:14:00</t>
        </is>
      </c>
      <c r="C356" t="inlineStr">
        <is>
          <t>Paid Search</t>
        </is>
      </c>
      <c r="D356" t="inlineStr">
        <is>
          <t>Competitive Exam Prep</t>
        </is>
      </c>
      <c r="E356" t="inlineStr">
        <is>
          <t>North Region</t>
        </is>
      </c>
      <c r="F356" t="inlineStr">
        <is>
          <t>Rep_11</t>
        </is>
      </c>
      <c r="G356" t="n">
        <v>3.12</v>
      </c>
      <c r="H356" t="inlineStr">
        <is>
          <t>Closed</t>
        </is>
      </c>
      <c r="I356" t="inlineStr">
        <is>
          <t>Won</t>
        </is>
      </c>
      <c r="K356" t="n">
        <v>877.4400000000001</v>
      </c>
      <c r="L356" t="inlineStr">
        <is>
          <t>2026-07-23 02:45:32.417294</t>
        </is>
      </c>
      <c r="M356">
        <f>VLOOKUP(H356,'Stage Order'!$A$2:$B$8,2,FALSE)</f>
        <v/>
      </c>
      <c r="N356">
        <f>IF(G356&lt;=1,"1. Under 1 hour",IF(G356&lt;=24,"2. 1-24 hours",IF(G356&lt;=72,"3. 1-3 days","4. Over 3 days")))</f>
        <v/>
      </c>
      <c r="O356">
        <f>TEXT(B356,"YYYY-MM")</f>
        <v/>
      </c>
    </row>
    <row r="357">
      <c r="A357" t="inlineStr">
        <is>
          <t>LD-300355</t>
        </is>
      </c>
      <c r="B357" t="inlineStr">
        <is>
          <t>2026-03-20 09:26:00</t>
        </is>
      </c>
      <c r="C357" t="inlineStr">
        <is>
          <t>Referral</t>
        </is>
      </c>
      <c r="D357" t="inlineStr">
        <is>
          <t>Language Learning</t>
        </is>
      </c>
      <c r="E357" t="inlineStr">
        <is>
          <t>West Region</t>
        </is>
      </c>
      <c r="F357" t="inlineStr">
        <is>
          <t>Rep_08</t>
        </is>
      </c>
      <c r="G357" t="n">
        <v>0.6</v>
      </c>
      <c r="H357" t="inlineStr">
        <is>
          <t>Closed</t>
        </is>
      </c>
      <c r="I357" t="inlineStr">
        <is>
          <t>Won</t>
        </is>
      </c>
      <c r="K357" t="n">
        <v>320.16</v>
      </c>
      <c r="L357" t="inlineStr">
        <is>
          <t>2026-05-04 16:27:32.944905</t>
        </is>
      </c>
      <c r="M357">
        <f>VLOOKUP(H357,'Stage Order'!$A$2:$B$8,2,FALSE)</f>
        <v/>
      </c>
      <c r="N357">
        <f>IF(G357&lt;=1,"1. Under 1 hour",IF(G357&lt;=24,"2. 1-24 hours",IF(G357&lt;=72,"3. 1-3 days","4. Over 3 days")))</f>
        <v/>
      </c>
      <c r="O357">
        <f>TEXT(B357,"YYYY-MM")</f>
        <v/>
      </c>
    </row>
    <row r="358">
      <c r="A358" t="inlineStr">
        <is>
          <t>LD-300356</t>
        </is>
      </c>
      <c r="B358" t="inlineStr">
        <is>
          <t>2026-03-07 08:35:00</t>
        </is>
      </c>
      <c r="C358" t="inlineStr">
        <is>
          <t>Paid Search</t>
        </is>
      </c>
      <c r="D358" t="inlineStr">
        <is>
          <t>Language Learning</t>
        </is>
      </c>
      <c r="E358" t="inlineStr">
        <is>
          <t>South Region</t>
        </is>
      </c>
      <c r="F358" t="inlineStr">
        <is>
          <t>Rep_07</t>
        </is>
      </c>
      <c r="G358" t="n">
        <v>1.19</v>
      </c>
      <c r="H358" t="inlineStr">
        <is>
          <t>Proposal Sent</t>
        </is>
      </c>
      <c r="I358" t="inlineStr">
        <is>
          <t>Lost</t>
        </is>
      </c>
      <c r="J358" t="inlineStr">
        <is>
          <t>Price Objection</t>
        </is>
      </c>
      <c r="K358" t="n">
        <v>407.24</v>
      </c>
      <c r="L358" t="inlineStr">
        <is>
          <t>2026-04-14 16:36:07.976770</t>
        </is>
      </c>
      <c r="M358">
        <f>VLOOKUP(H358,'Stage Order'!$A$2:$B$8,2,FALSE)</f>
        <v/>
      </c>
      <c r="N358">
        <f>IF(G358&lt;=1,"1. Under 1 hour",IF(G358&lt;=24,"2. 1-24 hours",IF(G358&lt;=72,"3. 1-3 days","4. Over 3 days")))</f>
        <v/>
      </c>
      <c r="O358">
        <f>TEXT(B358,"YYYY-MM")</f>
        <v/>
      </c>
    </row>
    <row r="359">
      <c r="A359" t="inlineStr">
        <is>
          <t>LD-300357</t>
        </is>
      </c>
      <c r="B359" t="inlineStr">
        <is>
          <t>2026-04-06 18:02:00</t>
        </is>
      </c>
      <c r="C359" t="inlineStr">
        <is>
          <t>Paid Search</t>
        </is>
      </c>
      <c r="D359" t="inlineStr">
        <is>
          <t>Coding for Kids</t>
        </is>
      </c>
      <c r="E359" t="inlineStr">
        <is>
          <t>North Region</t>
        </is>
      </c>
      <c r="F359" t="inlineStr">
        <is>
          <t>Rep_11</t>
        </is>
      </c>
      <c r="G359" t="n">
        <v>1.02</v>
      </c>
      <c r="H359" t="inlineStr">
        <is>
          <t>Demo Completed</t>
        </is>
      </c>
      <c r="I359" t="inlineStr">
        <is>
          <t>Lost</t>
        </is>
      </c>
      <c r="J359" t="inlineStr">
        <is>
          <t>Price Objection</t>
        </is>
      </c>
      <c r="K359" t="n">
        <v>749.48</v>
      </c>
      <c r="L359" t="inlineStr">
        <is>
          <t>2026-05-07 04:05:27.990861</t>
        </is>
      </c>
      <c r="M359">
        <f>VLOOKUP(H359,'Stage Order'!$A$2:$B$8,2,FALSE)</f>
        <v/>
      </c>
      <c r="N359">
        <f>IF(G359&lt;=1,"1. Under 1 hour",IF(G359&lt;=24,"2. 1-24 hours",IF(G359&lt;=72,"3. 1-3 days","4. Over 3 days")))</f>
        <v/>
      </c>
      <c r="O359">
        <f>TEXT(B359,"YYYY-MM")</f>
        <v/>
      </c>
    </row>
    <row r="360">
      <c r="A360" t="inlineStr">
        <is>
          <t>LD-300358</t>
        </is>
      </c>
      <c r="B360" t="inlineStr">
        <is>
          <t>2026-03-26 20:24:00</t>
        </is>
      </c>
      <c r="C360" t="inlineStr">
        <is>
          <t>Organic Search</t>
        </is>
      </c>
      <c r="D360" t="inlineStr">
        <is>
          <t>K-12 Math</t>
        </is>
      </c>
      <c r="E360" t="inlineStr">
        <is>
          <t>South Region</t>
        </is>
      </c>
      <c r="F360" t="inlineStr">
        <is>
          <t>Rep_12</t>
        </is>
      </c>
      <c r="G360" t="n">
        <v>1.35</v>
      </c>
      <c r="H360" t="inlineStr">
        <is>
          <t>Contacted</t>
        </is>
      </c>
      <c r="I360" t="inlineStr">
        <is>
          <t>Open</t>
        </is>
      </c>
      <c r="M360">
        <f>VLOOKUP(H360,'Stage Order'!$A$2:$B$8,2,FALSE)</f>
        <v/>
      </c>
      <c r="N360">
        <f>IF(G360&lt;=1,"1. Under 1 hour",IF(G360&lt;=24,"2. 1-24 hours",IF(G360&lt;=72,"3. 1-3 days","4. Over 3 days")))</f>
        <v/>
      </c>
      <c r="O360">
        <f>TEXT(B360,"YYYY-MM")</f>
        <v/>
      </c>
    </row>
    <row r="361">
      <c r="A361" t="inlineStr">
        <is>
          <t>LD-300359</t>
        </is>
      </c>
      <c r="B361" t="inlineStr">
        <is>
          <t>2025-07-06 17:05:00</t>
        </is>
      </c>
      <c r="C361" t="inlineStr">
        <is>
          <t>Webinar</t>
        </is>
      </c>
      <c r="D361" t="inlineStr">
        <is>
          <t>Competitive Exam Prep</t>
        </is>
      </c>
      <c r="E361" t="inlineStr">
        <is>
          <t>North Region</t>
        </is>
      </c>
      <c r="F361" t="inlineStr">
        <is>
          <t>Rep_01</t>
        </is>
      </c>
      <c r="G361" t="n">
        <v>3.24</v>
      </c>
      <c r="H361" t="inlineStr">
        <is>
          <t>Negotiation</t>
        </is>
      </c>
      <c r="I361" t="inlineStr">
        <is>
          <t>Lost</t>
        </is>
      </c>
      <c r="J361" t="inlineStr">
        <is>
          <t>No Response / Ghosted</t>
        </is>
      </c>
      <c r="K361" t="n">
        <v>918.6900000000001</v>
      </c>
      <c r="L361" t="inlineStr">
        <is>
          <t>2025-09-05 02:03:20.986160</t>
        </is>
      </c>
      <c r="M361">
        <f>VLOOKUP(H361,'Stage Order'!$A$2:$B$8,2,FALSE)</f>
        <v/>
      </c>
      <c r="N361">
        <f>IF(G361&lt;=1,"1. Under 1 hour",IF(G361&lt;=24,"2. 1-24 hours",IF(G361&lt;=72,"3. 1-3 days","4. Over 3 days")))</f>
        <v/>
      </c>
      <c r="O361">
        <f>TEXT(B361,"YYYY-MM")</f>
        <v/>
      </c>
    </row>
    <row r="362">
      <c r="A362" t="inlineStr">
        <is>
          <t>LD-300360</t>
        </is>
      </c>
      <c r="B362" t="inlineStr">
        <is>
          <t>2026-05-28 10:26:00</t>
        </is>
      </c>
      <c r="C362" t="inlineStr">
        <is>
          <t>Paid Search</t>
        </is>
      </c>
      <c r="D362" t="inlineStr">
        <is>
          <t>K-12 Math</t>
        </is>
      </c>
      <c r="E362" t="inlineStr">
        <is>
          <t>East Region</t>
        </is>
      </c>
      <c r="F362" t="inlineStr">
        <is>
          <t>Rep_04</t>
        </is>
      </c>
      <c r="G362" t="n">
        <v>2</v>
      </c>
      <c r="H362" t="inlineStr">
        <is>
          <t>Contacted</t>
        </is>
      </c>
      <c r="I362" t="inlineStr">
        <is>
          <t>Open</t>
        </is>
      </c>
      <c r="M362">
        <f>VLOOKUP(H362,'Stage Order'!$A$2:$B$8,2,FALSE)</f>
        <v/>
      </c>
      <c r="N362">
        <f>IF(G362&lt;=1,"1. Under 1 hour",IF(G362&lt;=24,"2. 1-24 hours",IF(G362&lt;=72,"3. 1-3 days","4. Over 3 days")))</f>
        <v/>
      </c>
      <c r="O362">
        <f>TEXT(B362,"YYYY-MM")</f>
        <v/>
      </c>
    </row>
    <row r="363">
      <c r="A363" t="inlineStr">
        <is>
          <t>LD-300361</t>
        </is>
      </c>
      <c r="B363" t="inlineStr">
        <is>
          <t>2025-01-03 20:53:00</t>
        </is>
      </c>
      <c r="C363" t="inlineStr">
        <is>
          <t>Webinar</t>
        </is>
      </c>
      <c r="D363" t="inlineStr">
        <is>
          <t>Competitive Exam Prep</t>
        </is>
      </c>
      <c r="E363" t="inlineStr">
        <is>
          <t>East Region</t>
        </is>
      </c>
      <c r="F363" t="inlineStr">
        <is>
          <t>Rep_09</t>
        </is>
      </c>
      <c r="G363" t="n">
        <v>4.05</v>
      </c>
      <c r="H363" t="inlineStr">
        <is>
          <t>Contacted</t>
        </is>
      </c>
      <c r="I363" t="inlineStr">
        <is>
          <t>Open</t>
        </is>
      </c>
      <c r="M363">
        <f>VLOOKUP(H363,'Stage Order'!$A$2:$B$8,2,FALSE)</f>
        <v/>
      </c>
      <c r="N363">
        <f>IF(G363&lt;=1,"1. Under 1 hour",IF(G363&lt;=24,"2. 1-24 hours",IF(G363&lt;=72,"3. 1-3 days","4. Over 3 days")))</f>
        <v/>
      </c>
      <c r="O363">
        <f>TEXT(B363,"YYYY-MM")</f>
        <v/>
      </c>
    </row>
    <row r="364">
      <c r="A364" t="inlineStr">
        <is>
          <t>LD-300362</t>
        </is>
      </c>
      <c r="B364" t="inlineStr">
        <is>
          <t>2025-05-27 14:36:00</t>
        </is>
      </c>
      <c r="C364" t="inlineStr">
        <is>
          <t>Referral</t>
        </is>
      </c>
      <c r="D364" t="inlineStr">
        <is>
          <t>K-12 Math</t>
        </is>
      </c>
      <c r="E364" t="inlineStr">
        <is>
          <t>North Region</t>
        </is>
      </c>
      <c r="F364" t="inlineStr">
        <is>
          <t>Rep_06</t>
        </is>
      </c>
      <c r="G364" t="n">
        <v>8.5</v>
      </c>
      <c r="H364" t="inlineStr">
        <is>
          <t>Contacted</t>
        </is>
      </c>
      <c r="I364" t="inlineStr">
        <is>
          <t>Open</t>
        </is>
      </c>
      <c r="M364">
        <f>VLOOKUP(H364,'Stage Order'!$A$2:$B$8,2,FALSE)</f>
        <v/>
      </c>
      <c r="N364">
        <f>IF(G364&lt;=1,"1. Under 1 hour",IF(G364&lt;=24,"2. 1-24 hours",IF(G364&lt;=72,"3. 1-3 days","4. Over 3 days")))</f>
        <v/>
      </c>
      <c r="O364">
        <f>TEXT(B364,"YYYY-MM")</f>
        <v/>
      </c>
    </row>
    <row r="365">
      <c r="A365" t="inlineStr">
        <is>
          <t>LD-300363</t>
        </is>
      </c>
      <c r="B365" t="inlineStr">
        <is>
          <t>2025-12-08 20:16:00</t>
        </is>
      </c>
      <c r="C365" t="inlineStr">
        <is>
          <t>Social Media</t>
        </is>
      </c>
      <c r="D365" t="inlineStr">
        <is>
          <t>K-12 Math</t>
        </is>
      </c>
      <c r="E365" t="inlineStr">
        <is>
          <t>South Region</t>
        </is>
      </c>
      <c r="F365" t="inlineStr">
        <is>
          <t>Rep_02</t>
        </is>
      </c>
      <c r="G365" t="n">
        <v>3.57</v>
      </c>
      <c r="H365" t="inlineStr">
        <is>
          <t>Demo Completed</t>
        </is>
      </c>
      <c r="I365" t="inlineStr">
        <is>
          <t>Lost</t>
        </is>
      </c>
      <c r="J365" t="inlineStr">
        <is>
          <t>Price Objection</t>
        </is>
      </c>
      <c r="K365" t="n">
        <v>590.77</v>
      </c>
      <c r="L365" t="inlineStr">
        <is>
          <t>2026-01-12 16:43:20.195819</t>
        </is>
      </c>
      <c r="M365">
        <f>VLOOKUP(H365,'Stage Order'!$A$2:$B$8,2,FALSE)</f>
        <v/>
      </c>
      <c r="N365">
        <f>IF(G365&lt;=1,"1. Under 1 hour",IF(G365&lt;=24,"2. 1-24 hours",IF(G365&lt;=72,"3. 1-3 days","4. Over 3 days")))</f>
        <v/>
      </c>
      <c r="O365">
        <f>TEXT(B365,"YYYY-MM")</f>
        <v/>
      </c>
    </row>
    <row r="366">
      <c r="A366" t="inlineStr">
        <is>
          <t>LD-300364</t>
        </is>
      </c>
      <c r="B366" t="inlineStr">
        <is>
          <t>2025-05-05 08:23:00</t>
        </is>
      </c>
      <c r="C366" t="inlineStr">
        <is>
          <t>Social Media</t>
        </is>
      </c>
      <c r="D366" t="inlineStr">
        <is>
          <t>Competitive Exam Prep</t>
        </is>
      </c>
      <c r="E366" t="inlineStr">
        <is>
          <t>South Region</t>
        </is>
      </c>
      <c r="F366" t="inlineStr">
        <is>
          <t>Rep_07</t>
        </is>
      </c>
      <c r="G366" t="n">
        <v>4.1</v>
      </c>
      <c r="H366" t="inlineStr">
        <is>
          <t>Contacted</t>
        </is>
      </c>
      <c r="I366" t="inlineStr">
        <is>
          <t>Open</t>
        </is>
      </c>
      <c r="M366">
        <f>VLOOKUP(H366,'Stage Order'!$A$2:$B$8,2,FALSE)</f>
        <v/>
      </c>
      <c r="N366">
        <f>IF(G366&lt;=1,"1. Under 1 hour",IF(G366&lt;=24,"2. 1-24 hours",IF(G366&lt;=72,"3. 1-3 days","4. Over 3 days")))</f>
        <v/>
      </c>
      <c r="O366">
        <f>TEXT(B366,"YYYY-MM")</f>
        <v/>
      </c>
    </row>
    <row r="367">
      <c r="A367" t="inlineStr">
        <is>
          <t>LD-300365</t>
        </is>
      </c>
      <c r="B367" t="inlineStr">
        <is>
          <t>2025-04-25 19:10:00</t>
        </is>
      </c>
      <c r="C367" t="inlineStr">
        <is>
          <t>Partner Channel</t>
        </is>
      </c>
      <c r="D367" t="inlineStr">
        <is>
          <t>Coding for Kids</t>
        </is>
      </c>
      <c r="E367" t="inlineStr">
        <is>
          <t>West Region</t>
        </is>
      </c>
      <c r="F367" t="inlineStr">
        <is>
          <t>Rep_08</t>
        </is>
      </c>
      <c r="G367" t="n">
        <v>8.43</v>
      </c>
      <c r="H367" t="inlineStr">
        <is>
          <t>Closed</t>
        </is>
      </c>
      <c r="I367" t="inlineStr">
        <is>
          <t>Won</t>
        </is>
      </c>
      <c r="K367" t="n">
        <v>607.62</v>
      </c>
      <c r="L367" t="inlineStr">
        <is>
          <t>2025-06-06 08:22:24.818092</t>
        </is>
      </c>
      <c r="M367">
        <f>VLOOKUP(H367,'Stage Order'!$A$2:$B$8,2,FALSE)</f>
        <v/>
      </c>
      <c r="N367">
        <f>IF(G367&lt;=1,"1. Under 1 hour",IF(G367&lt;=24,"2. 1-24 hours",IF(G367&lt;=72,"3. 1-3 days","4. Over 3 days")))</f>
        <v/>
      </c>
      <c r="O367">
        <f>TEXT(B367,"YYYY-MM")</f>
        <v/>
      </c>
    </row>
    <row r="368">
      <c r="A368" t="inlineStr">
        <is>
          <t>LD-300366</t>
        </is>
      </c>
      <c r="B368" t="inlineStr">
        <is>
          <t>2025-12-19 09:25:00</t>
        </is>
      </c>
      <c r="C368" t="inlineStr">
        <is>
          <t>Cold Outreach</t>
        </is>
      </c>
      <c r="D368" t="inlineStr">
        <is>
          <t>Competitive Exam Prep</t>
        </is>
      </c>
      <c r="E368" t="inlineStr">
        <is>
          <t>East Region</t>
        </is>
      </c>
      <c r="F368" t="inlineStr">
        <is>
          <t>Rep_04</t>
        </is>
      </c>
      <c r="G368" t="n">
        <v>3.98</v>
      </c>
      <c r="H368" t="inlineStr">
        <is>
          <t>Demo Scheduled</t>
        </is>
      </c>
      <c r="I368" t="inlineStr">
        <is>
          <t>Open</t>
        </is>
      </c>
      <c r="M368">
        <f>VLOOKUP(H368,'Stage Order'!$A$2:$B$8,2,FALSE)</f>
        <v/>
      </c>
      <c r="N368">
        <f>IF(G368&lt;=1,"1. Under 1 hour",IF(G368&lt;=24,"2. 1-24 hours",IF(G368&lt;=72,"3. 1-3 days","4. Over 3 days")))</f>
        <v/>
      </c>
      <c r="O368">
        <f>TEXT(B368,"YYYY-MM")</f>
        <v/>
      </c>
    </row>
    <row r="369">
      <c r="A369" t="inlineStr">
        <is>
          <t>LD-300367</t>
        </is>
      </c>
      <c r="B369" t="inlineStr">
        <is>
          <t>2025-12-25 11:59:00</t>
        </is>
      </c>
      <c r="C369" t="inlineStr">
        <is>
          <t>Referral</t>
        </is>
      </c>
      <c r="D369" t="inlineStr">
        <is>
          <t>Coding for Kids</t>
        </is>
      </c>
      <c r="E369" t="inlineStr">
        <is>
          <t>North Region</t>
        </is>
      </c>
      <c r="F369" t="inlineStr">
        <is>
          <t>Rep_01</t>
        </is>
      </c>
      <c r="G369" t="n">
        <v>1.88</v>
      </c>
      <c r="H369" t="inlineStr">
        <is>
          <t>Closed</t>
        </is>
      </c>
      <c r="I369" t="inlineStr">
        <is>
          <t>Won</t>
        </is>
      </c>
      <c r="K369" t="n">
        <v>579.5</v>
      </c>
      <c r="L369" t="inlineStr">
        <is>
          <t>2026-02-11 10:07:48.624524</t>
        </is>
      </c>
      <c r="M369">
        <f>VLOOKUP(H369,'Stage Order'!$A$2:$B$8,2,FALSE)</f>
        <v/>
      </c>
      <c r="N369">
        <f>IF(G369&lt;=1,"1. Under 1 hour",IF(G369&lt;=24,"2. 1-24 hours",IF(G369&lt;=72,"3. 1-3 days","4. Over 3 days")))</f>
        <v/>
      </c>
      <c r="O369">
        <f>TEXT(B369,"YYYY-MM")</f>
        <v/>
      </c>
    </row>
    <row r="370">
      <c r="A370" t="inlineStr">
        <is>
          <t>LD-300368</t>
        </is>
      </c>
      <c r="B370" t="inlineStr">
        <is>
          <t>2025-05-20 07:45:00</t>
        </is>
      </c>
      <c r="C370" t="inlineStr">
        <is>
          <t>Social Media</t>
        </is>
      </c>
      <c r="D370" t="inlineStr">
        <is>
          <t>K-12 Math</t>
        </is>
      </c>
      <c r="E370" t="inlineStr">
        <is>
          <t>International</t>
        </is>
      </c>
      <c r="F370" t="inlineStr">
        <is>
          <t>Rep_05</t>
        </is>
      </c>
      <c r="G370" t="n">
        <v>2.93</v>
      </c>
      <c r="H370" t="inlineStr">
        <is>
          <t>Contacted</t>
        </is>
      </c>
      <c r="I370" t="inlineStr">
        <is>
          <t>Open</t>
        </is>
      </c>
      <c r="M370">
        <f>VLOOKUP(H370,'Stage Order'!$A$2:$B$8,2,FALSE)</f>
        <v/>
      </c>
      <c r="N370">
        <f>IF(G370&lt;=1,"1. Under 1 hour",IF(G370&lt;=24,"2. 1-24 hours",IF(G370&lt;=72,"3. 1-3 days","4. Over 3 days")))</f>
        <v/>
      </c>
      <c r="O370">
        <f>TEXT(B370,"YYYY-MM")</f>
        <v/>
      </c>
    </row>
    <row r="371">
      <c r="A371" t="inlineStr">
        <is>
          <t>LD-300369</t>
        </is>
      </c>
      <c r="B371" t="inlineStr">
        <is>
          <t>2025-01-03 19:43:00</t>
        </is>
      </c>
      <c r="C371" t="inlineStr">
        <is>
          <t>Paid Search</t>
        </is>
      </c>
      <c r="D371" t="inlineStr">
        <is>
          <t>K-12 Math</t>
        </is>
      </c>
      <c r="E371" t="inlineStr">
        <is>
          <t>South Region</t>
        </is>
      </c>
      <c r="F371" t="inlineStr">
        <is>
          <t>Rep_12</t>
        </is>
      </c>
      <c r="G371" t="n">
        <v>0.87</v>
      </c>
      <c r="H371" t="inlineStr">
        <is>
          <t>Proposal Sent</t>
        </is>
      </c>
      <c r="I371" t="inlineStr">
        <is>
          <t>Lost</t>
        </is>
      </c>
      <c r="J371" t="inlineStr">
        <is>
          <t>Price Objection</t>
        </is>
      </c>
      <c r="K371" t="n">
        <v>549.41</v>
      </c>
      <c r="L371" t="inlineStr">
        <is>
          <t>2025-02-06 15:42:25.328166</t>
        </is>
      </c>
      <c r="M371">
        <f>VLOOKUP(H371,'Stage Order'!$A$2:$B$8,2,FALSE)</f>
        <v/>
      </c>
      <c r="N371">
        <f>IF(G371&lt;=1,"1. Under 1 hour",IF(G371&lt;=24,"2. 1-24 hours",IF(G371&lt;=72,"3. 1-3 days","4. Over 3 days")))</f>
        <v/>
      </c>
      <c r="O371">
        <f>TEXT(B371,"YYYY-MM")</f>
        <v/>
      </c>
    </row>
    <row r="372">
      <c r="A372" t="inlineStr">
        <is>
          <t>LD-300370</t>
        </is>
      </c>
      <c r="B372" t="inlineStr">
        <is>
          <t>2025-11-12 11:37:00</t>
        </is>
      </c>
      <c r="C372" t="inlineStr">
        <is>
          <t>Paid Search</t>
        </is>
      </c>
      <c r="D372" t="inlineStr">
        <is>
          <t>Competitive Exam Prep</t>
        </is>
      </c>
      <c r="E372" t="inlineStr">
        <is>
          <t>West Region</t>
        </is>
      </c>
      <c r="F372" t="inlineStr">
        <is>
          <t>Rep_13</t>
        </is>
      </c>
      <c r="G372" t="n">
        <v>0.57</v>
      </c>
      <c r="H372" t="inlineStr">
        <is>
          <t>Contacted</t>
        </is>
      </c>
      <c r="I372" t="inlineStr">
        <is>
          <t>Open</t>
        </is>
      </c>
      <c r="M372">
        <f>VLOOKUP(H372,'Stage Order'!$A$2:$B$8,2,FALSE)</f>
        <v/>
      </c>
      <c r="N372">
        <f>IF(G372&lt;=1,"1. Under 1 hour",IF(G372&lt;=24,"2. 1-24 hours",IF(G372&lt;=72,"3. 1-3 days","4. Over 3 days")))</f>
        <v/>
      </c>
      <c r="O372">
        <f>TEXT(B372,"YYYY-MM")</f>
        <v/>
      </c>
    </row>
    <row r="373">
      <c r="A373" t="inlineStr">
        <is>
          <t>LD-300371</t>
        </is>
      </c>
      <c r="B373" t="inlineStr">
        <is>
          <t>2025-07-14 12:47:00</t>
        </is>
      </c>
      <c r="C373" t="inlineStr">
        <is>
          <t>Paid Search</t>
        </is>
      </c>
      <c r="D373" t="inlineStr">
        <is>
          <t>Language Learning</t>
        </is>
      </c>
      <c r="E373" t="inlineStr">
        <is>
          <t>West Region</t>
        </is>
      </c>
      <c r="F373" t="inlineStr">
        <is>
          <t>Rep_13</t>
        </is>
      </c>
      <c r="G373" t="n">
        <v>1.43</v>
      </c>
      <c r="H373" t="inlineStr">
        <is>
          <t>Contacted</t>
        </is>
      </c>
      <c r="I373" t="inlineStr">
        <is>
          <t>Open</t>
        </is>
      </c>
      <c r="M373">
        <f>VLOOKUP(H373,'Stage Order'!$A$2:$B$8,2,FALSE)</f>
        <v/>
      </c>
      <c r="N373">
        <f>IF(G373&lt;=1,"1. Under 1 hour",IF(G373&lt;=24,"2. 1-24 hours",IF(G373&lt;=72,"3. 1-3 days","4. Over 3 days")))</f>
        <v/>
      </c>
      <c r="O373">
        <f>TEXT(B373,"YYYY-MM")</f>
        <v/>
      </c>
    </row>
    <row r="374">
      <c r="A374" t="inlineStr">
        <is>
          <t>LD-300372</t>
        </is>
      </c>
      <c r="B374" t="inlineStr">
        <is>
          <t>2026-06-08 13:55:00</t>
        </is>
      </c>
      <c r="C374" t="inlineStr">
        <is>
          <t>Partner Channel</t>
        </is>
      </c>
      <c r="D374" t="inlineStr">
        <is>
          <t>Competitive Exam Prep</t>
        </is>
      </c>
      <c r="E374" t="inlineStr">
        <is>
          <t>International</t>
        </is>
      </c>
      <c r="F374" t="inlineStr">
        <is>
          <t>Rep_10</t>
        </is>
      </c>
      <c r="G374" t="n">
        <v>4.78</v>
      </c>
      <c r="H374" t="inlineStr">
        <is>
          <t>Contacted</t>
        </is>
      </c>
      <c r="I374" t="inlineStr">
        <is>
          <t>Open</t>
        </is>
      </c>
      <c r="M374">
        <f>VLOOKUP(H374,'Stage Order'!$A$2:$B$8,2,FALSE)</f>
        <v/>
      </c>
      <c r="N374">
        <f>IF(G374&lt;=1,"1. Under 1 hour",IF(G374&lt;=24,"2. 1-24 hours",IF(G374&lt;=72,"3. 1-3 days","4. Over 3 days")))</f>
        <v/>
      </c>
      <c r="O374">
        <f>TEXT(B374,"YYYY-MM")</f>
        <v/>
      </c>
    </row>
    <row r="375">
      <c r="A375" t="inlineStr">
        <is>
          <t>LD-300373</t>
        </is>
      </c>
      <c r="B375" t="inlineStr">
        <is>
          <t>2025-08-27 12:56:00</t>
        </is>
      </c>
      <c r="C375" t="inlineStr">
        <is>
          <t>Social Media</t>
        </is>
      </c>
      <c r="D375" t="inlineStr">
        <is>
          <t>Coding for Kids</t>
        </is>
      </c>
      <c r="E375" t="inlineStr">
        <is>
          <t>South Region</t>
        </is>
      </c>
      <c r="F375" t="inlineStr">
        <is>
          <t>Rep_12</t>
        </is>
      </c>
      <c r="G375" t="n">
        <v>1.32</v>
      </c>
      <c r="H375" t="inlineStr">
        <is>
          <t>Contacted</t>
        </is>
      </c>
      <c r="I375" t="inlineStr">
        <is>
          <t>Open</t>
        </is>
      </c>
      <c r="M375">
        <f>VLOOKUP(H375,'Stage Order'!$A$2:$B$8,2,FALSE)</f>
        <v/>
      </c>
      <c r="N375">
        <f>IF(G375&lt;=1,"1. Under 1 hour",IF(G375&lt;=24,"2. 1-24 hours",IF(G375&lt;=72,"3. 1-3 days","4. Over 3 days")))</f>
        <v/>
      </c>
      <c r="O375">
        <f>TEXT(B375,"YYYY-MM")</f>
        <v/>
      </c>
    </row>
    <row r="376">
      <c r="A376" t="inlineStr">
        <is>
          <t>LD-300374</t>
        </is>
      </c>
      <c r="B376" t="inlineStr">
        <is>
          <t>2025-12-31 18:05:00</t>
        </is>
      </c>
      <c r="C376" t="inlineStr">
        <is>
          <t>Paid Search</t>
        </is>
      </c>
      <c r="D376" t="inlineStr">
        <is>
          <t>K-12 Math</t>
        </is>
      </c>
      <c r="E376" t="inlineStr">
        <is>
          <t>East Region</t>
        </is>
      </c>
      <c r="F376" t="inlineStr">
        <is>
          <t>Rep_14</t>
        </is>
      </c>
      <c r="G376" t="n">
        <v>1.28</v>
      </c>
      <c r="H376" t="inlineStr">
        <is>
          <t>Lead</t>
        </is>
      </c>
      <c r="I376" t="inlineStr">
        <is>
          <t>Open</t>
        </is>
      </c>
      <c r="M376">
        <f>VLOOKUP(H376,'Stage Order'!$A$2:$B$8,2,FALSE)</f>
        <v/>
      </c>
      <c r="N376">
        <f>IF(G376&lt;=1,"1. Under 1 hour",IF(G376&lt;=24,"2. 1-24 hours",IF(G376&lt;=72,"3. 1-3 days","4. Over 3 days")))</f>
        <v/>
      </c>
      <c r="O376">
        <f>TEXT(B376,"YYYY-MM")</f>
        <v/>
      </c>
    </row>
    <row r="377">
      <c r="A377" t="inlineStr">
        <is>
          <t>LD-300375</t>
        </is>
      </c>
      <c r="B377" t="inlineStr">
        <is>
          <t>2026-06-12 17:32:00</t>
        </is>
      </c>
      <c r="C377" t="inlineStr">
        <is>
          <t>Cold Outreach</t>
        </is>
      </c>
      <c r="D377" t="inlineStr">
        <is>
          <t>Coding for Kids</t>
        </is>
      </c>
      <c r="E377" t="inlineStr">
        <is>
          <t>West Region</t>
        </is>
      </c>
      <c r="F377" t="inlineStr">
        <is>
          <t>Rep_08</t>
        </is>
      </c>
      <c r="G377" t="n">
        <v>2.48</v>
      </c>
      <c r="H377" t="inlineStr">
        <is>
          <t>Contacted</t>
        </is>
      </c>
      <c r="I377" t="inlineStr">
        <is>
          <t>Open</t>
        </is>
      </c>
      <c r="M377">
        <f>VLOOKUP(H377,'Stage Order'!$A$2:$B$8,2,FALSE)</f>
        <v/>
      </c>
      <c r="N377">
        <f>IF(G377&lt;=1,"1. Under 1 hour",IF(G377&lt;=24,"2. 1-24 hours",IF(G377&lt;=72,"3. 1-3 days","4. Over 3 days")))</f>
        <v/>
      </c>
      <c r="O377">
        <f>TEXT(B377,"YYYY-MM")</f>
        <v/>
      </c>
    </row>
    <row r="378">
      <c r="A378" t="inlineStr">
        <is>
          <t>LD-300376</t>
        </is>
      </c>
      <c r="B378" t="inlineStr">
        <is>
          <t>2025-05-07 12:19:00</t>
        </is>
      </c>
      <c r="C378" t="inlineStr">
        <is>
          <t>Paid Search</t>
        </is>
      </c>
      <c r="D378" t="inlineStr">
        <is>
          <t>Coding for Kids</t>
        </is>
      </c>
      <c r="E378" t="inlineStr">
        <is>
          <t>West Region</t>
        </is>
      </c>
      <c r="F378" t="inlineStr">
        <is>
          <t>Rep_08</t>
        </is>
      </c>
      <c r="G378" t="n">
        <v>0.73</v>
      </c>
      <c r="H378" t="inlineStr">
        <is>
          <t>Contacted</t>
        </is>
      </c>
      <c r="I378" t="inlineStr">
        <is>
          <t>Open</t>
        </is>
      </c>
      <c r="M378">
        <f>VLOOKUP(H378,'Stage Order'!$A$2:$B$8,2,FALSE)</f>
        <v/>
      </c>
      <c r="N378">
        <f>IF(G378&lt;=1,"1. Under 1 hour",IF(G378&lt;=24,"2. 1-24 hours",IF(G378&lt;=72,"3. 1-3 days","4. Over 3 days")))</f>
        <v/>
      </c>
      <c r="O378">
        <f>TEXT(B378,"YYYY-MM")</f>
        <v/>
      </c>
    </row>
    <row r="379">
      <c r="A379" t="inlineStr">
        <is>
          <t>LD-300377</t>
        </is>
      </c>
      <c r="B379" t="inlineStr">
        <is>
          <t>2025-07-03 17:49:00</t>
        </is>
      </c>
      <c r="C379" t="inlineStr">
        <is>
          <t>Organic Search</t>
        </is>
      </c>
      <c r="D379" t="inlineStr">
        <is>
          <t>K-12 Math</t>
        </is>
      </c>
      <c r="E379" t="inlineStr">
        <is>
          <t>West Region</t>
        </is>
      </c>
      <c r="F379" t="inlineStr">
        <is>
          <t>Rep_13</t>
        </is>
      </c>
      <c r="G379" t="n">
        <v>6.11</v>
      </c>
      <c r="H379" t="inlineStr">
        <is>
          <t>Contacted</t>
        </is>
      </c>
      <c r="I379" t="inlineStr">
        <is>
          <t>Open</t>
        </is>
      </c>
      <c r="M379">
        <f>VLOOKUP(H379,'Stage Order'!$A$2:$B$8,2,FALSE)</f>
        <v/>
      </c>
      <c r="N379">
        <f>IF(G379&lt;=1,"1. Under 1 hour",IF(G379&lt;=24,"2. 1-24 hours",IF(G379&lt;=72,"3. 1-3 days","4. Over 3 days")))</f>
        <v/>
      </c>
      <c r="O379">
        <f>TEXT(B379,"YYYY-MM")</f>
        <v/>
      </c>
    </row>
    <row r="380">
      <c r="A380" t="inlineStr">
        <is>
          <t>LD-300378</t>
        </is>
      </c>
      <c r="B380" t="inlineStr">
        <is>
          <t>2025-02-03 10:39:00</t>
        </is>
      </c>
      <c r="C380" t="inlineStr">
        <is>
          <t>Cold Outreach</t>
        </is>
      </c>
      <c r="D380" t="inlineStr">
        <is>
          <t>Language Learning</t>
        </is>
      </c>
      <c r="E380" t="inlineStr">
        <is>
          <t>South Region</t>
        </is>
      </c>
      <c r="F380" t="inlineStr">
        <is>
          <t>Rep_07</t>
        </is>
      </c>
      <c r="G380" t="n">
        <v>0.35</v>
      </c>
      <c r="H380" t="inlineStr">
        <is>
          <t>Contacted</t>
        </is>
      </c>
      <c r="I380" t="inlineStr">
        <is>
          <t>Open</t>
        </is>
      </c>
      <c r="M380">
        <f>VLOOKUP(H380,'Stage Order'!$A$2:$B$8,2,FALSE)</f>
        <v/>
      </c>
      <c r="N380">
        <f>IF(G380&lt;=1,"1. Under 1 hour",IF(G380&lt;=24,"2. 1-24 hours",IF(G380&lt;=72,"3. 1-3 days","4. Over 3 days")))</f>
        <v/>
      </c>
      <c r="O380">
        <f>TEXT(B380,"YYYY-MM")</f>
        <v/>
      </c>
    </row>
    <row r="381">
      <c r="A381" t="inlineStr">
        <is>
          <t>LD-300379</t>
        </is>
      </c>
      <c r="B381" t="inlineStr">
        <is>
          <t>2025-06-30 20:09:00</t>
        </is>
      </c>
      <c r="C381" t="inlineStr">
        <is>
          <t>Paid Search</t>
        </is>
      </c>
      <c r="D381" t="inlineStr">
        <is>
          <t>Coding for Kids</t>
        </is>
      </c>
      <c r="E381" t="inlineStr">
        <is>
          <t>International</t>
        </is>
      </c>
      <c r="F381" t="inlineStr">
        <is>
          <t>Rep_15</t>
        </is>
      </c>
      <c r="G381" t="n">
        <v>6.77</v>
      </c>
      <c r="H381" t="inlineStr">
        <is>
          <t>Lead</t>
        </is>
      </c>
      <c r="I381" t="inlineStr">
        <is>
          <t>Open</t>
        </is>
      </c>
      <c r="M381">
        <f>VLOOKUP(H381,'Stage Order'!$A$2:$B$8,2,FALSE)</f>
        <v/>
      </c>
      <c r="N381">
        <f>IF(G381&lt;=1,"1. Under 1 hour",IF(G381&lt;=24,"2. 1-24 hours",IF(G381&lt;=72,"3. 1-3 days","4. Over 3 days")))</f>
        <v/>
      </c>
      <c r="O381">
        <f>TEXT(B381,"YYYY-MM")</f>
        <v/>
      </c>
    </row>
    <row r="382">
      <c r="A382" t="inlineStr">
        <is>
          <t>LD-300380</t>
        </is>
      </c>
      <c r="B382" t="inlineStr">
        <is>
          <t>2025-05-29 18:47:00</t>
        </is>
      </c>
      <c r="C382" t="inlineStr">
        <is>
          <t>Organic Search</t>
        </is>
      </c>
      <c r="D382" t="inlineStr">
        <is>
          <t>Study Abroad Prep</t>
        </is>
      </c>
      <c r="E382" t="inlineStr">
        <is>
          <t>International</t>
        </is>
      </c>
      <c r="F382" t="inlineStr">
        <is>
          <t>Rep_15</t>
        </is>
      </c>
      <c r="G382" t="n">
        <v>20.42</v>
      </c>
      <c r="H382" t="inlineStr">
        <is>
          <t>Contacted</t>
        </is>
      </c>
      <c r="I382" t="inlineStr">
        <is>
          <t>Open</t>
        </is>
      </c>
      <c r="M382">
        <f>VLOOKUP(H382,'Stage Order'!$A$2:$B$8,2,FALSE)</f>
        <v/>
      </c>
      <c r="N382">
        <f>IF(G382&lt;=1,"1. Under 1 hour",IF(G382&lt;=24,"2. 1-24 hours",IF(G382&lt;=72,"3. 1-3 days","4. Over 3 days")))</f>
        <v/>
      </c>
      <c r="O382">
        <f>TEXT(B382,"YYYY-MM")</f>
        <v/>
      </c>
    </row>
    <row r="383">
      <c r="A383" t="inlineStr">
        <is>
          <t>LD-300381</t>
        </is>
      </c>
      <c r="B383" t="inlineStr">
        <is>
          <t>2025-07-30 16:08:00</t>
        </is>
      </c>
      <c r="C383" t="inlineStr">
        <is>
          <t>Cold Outreach</t>
        </is>
      </c>
      <c r="D383" t="inlineStr">
        <is>
          <t>Competitive Exam Prep</t>
        </is>
      </c>
      <c r="E383" t="inlineStr">
        <is>
          <t>North Region</t>
        </is>
      </c>
      <c r="F383" t="inlineStr">
        <is>
          <t>Rep_11</t>
        </is>
      </c>
      <c r="G383" t="n">
        <v>3.68</v>
      </c>
      <c r="H383" t="inlineStr">
        <is>
          <t>Demo Completed</t>
        </is>
      </c>
      <c r="I383" t="inlineStr">
        <is>
          <t>Lost</t>
        </is>
      </c>
      <c r="J383" t="inlineStr">
        <is>
          <t>No Response / Ghosted</t>
        </is>
      </c>
      <c r="K383" t="n">
        <v>1141.93</v>
      </c>
      <c r="L383" t="inlineStr">
        <is>
          <t>2025-09-08 06:45:45.614712</t>
        </is>
      </c>
      <c r="M383">
        <f>VLOOKUP(H383,'Stage Order'!$A$2:$B$8,2,FALSE)</f>
        <v/>
      </c>
      <c r="N383">
        <f>IF(G383&lt;=1,"1. Under 1 hour",IF(G383&lt;=24,"2. 1-24 hours",IF(G383&lt;=72,"3. 1-3 days","4. Over 3 days")))</f>
        <v/>
      </c>
      <c r="O383">
        <f>TEXT(B383,"YYYY-MM")</f>
        <v/>
      </c>
    </row>
    <row r="384">
      <c r="A384" t="inlineStr">
        <is>
          <t>LD-300382</t>
        </is>
      </c>
      <c r="B384" t="inlineStr">
        <is>
          <t>2025-07-05 10:38:00</t>
        </is>
      </c>
      <c r="C384" t="inlineStr">
        <is>
          <t>Referral</t>
        </is>
      </c>
      <c r="D384" t="inlineStr">
        <is>
          <t>Language Learning</t>
        </is>
      </c>
      <c r="E384" t="inlineStr">
        <is>
          <t>East Region</t>
        </is>
      </c>
      <c r="F384" t="inlineStr">
        <is>
          <t>Rep_09</t>
        </is>
      </c>
      <c r="G384" t="n">
        <v>1.96</v>
      </c>
      <c r="H384" t="inlineStr">
        <is>
          <t>Contacted</t>
        </is>
      </c>
      <c r="I384" t="inlineStr">
        <is>
          <t>Open</t>
        </is>
      </c>
      <c r="M384">
        <f>VLOOKUP(H384,'Stage Order'!$A$2:$B$8,2,FALSE)</f>
        <v/>
      </c>
      <c r="N384">
        <f>IF(G384&lt;=1,"1. Under 1 hour",IF(G384&lt;=24,"2. 1-24 hours",IF(G384&lt;=72,"3. 1-3 days","4. Over 3 days")))</f>
        <v/>
      </c>
      <c r="O384">
        <f>TEXT(B384,"YYYY-MM")</f>
        <v/>
      </c>
    </row>
    <row r="385">
      <c r="A385" t="inlineStr">
        <is>
          <t>LD-300383</t>
        </is>
      </c>
      <c r="B385" t="inlineStr">
        <is>
          <t>2025-12-10 10:39:00</t>
        </is>
      </c>
      <c r="C385" t="inlineStr">
        <is>
          <t>Organic Search</t>
        </is>
      </c>
      <c r="D385" t="inlineStr">
        <is>
          <t>K-12 Math</t>
        </is>
      </c>
      <c r="E385" t="inlineStr">
        <is>
          <t>South Region</t>
        </is>
      </c>
      <c r="F385" t="inlineStr">
        <is>
          <t>Rep_02</t>
        </is>
      </c>
      <c r="G385" t="n">
        <v>4.47</v>
      </c>
      <c r="H385" t="inlineStr">
        <is>
          <t>Demo Completed</t>
        </is>
      </c>
      <c r="I385" t="inlineStr">
        <is>
          <t>Lost</t>
        </is>
      </c>
      <c r="J385" t="inlineStr">
        <is>
          <t>No Response / Ghosted</t>
        </is>
      </c>
      <c r="K385" t="n">
        <v>432.18</v>
      </c>
      <c r="L385" t="inlineStr">
        <is>
          <t>2025-12-30 15:05:14.839229</t>
        </is>
      </c>
      <c r="M385">
        <f>VLOOKUP(H385,'Stage Order'!$A$2:$B$8,2,FALSE)</f>
        <v/>
      </c>
      <c r="N385">
        <f>IF(G385&lt;=1,"1. Under 1 hour",IF(G385&lt;=24,"2. 1-24 hours",IF(G385&lt;=72,"3. 1-3 days","4. Over 3 days")))</f>
        <v/>
      </c>
      <c r="O385">
        <f>TEXT(B385,"YYYY-MM")</f>
        <v/>
      </c>
    </row>
    <row r="386">
      <c r="A386" t="inlineStr">
        <is>
          <t>LD-300384</t>
        </is>
      </c>
      <c r="B386" t="inlineStr">
        <is>
          <t>2025-08-28 10:43:00</t>
        </is>
      </c>
      <c r="C386" t="inlineStr">
        <is>
          <t>Paid Search</t>
        </is>
      </c>
      <c r="D386" t="inlineStr">
        <is>
          <t>Coding for Kids</t>
        </is>
      </c>
      <c r="E386" t="inlineStr">
        <is>
          <t>West Region</t>
        </is>
      </c>
      <c r="F386" t="inlineStr">
        <is>
          <t>Rep_13</t>
        </is>
      </c>
      <c r="G386" t="n">
        <v>2.34</v>
      </c>
      <c r="H386" t="inlineStr">
        <is>
          <t>Lead</t>
        </is>
      </c>
      <c r="I386" t="inlineStr">
        <is>
          <t>Open</t>
        </is>
      </c>
      <c r="M386">
        <f>VLOOKUP(H386,'Stage Order'!$A$2:$B$8,2,FALSE)</f>
        <v/>
      </c>
      <c r="N386">
        <f>IF(G386&lt;=1,"1. Under 1 hour",IF(G386&lt;=24,"2. 1-24 hours",IF(G386&lt;=72,"3. 1-3 days","4. Over 3 days")))</f>
        <v/>
      </c>
      <c r="O386">
        <f>TEXT(B386,"YYYY-MM")</f>
        <v/>
      </c>
    </row>
    <row r="387">
      <c r="A387" t="inlineStr">
        <is>
          <t>LD-300385</t>
        </is>
      </c>
      <c r="B387" t="inlineStr">
        <is>
          <t>2025-01-03 08:29:00</t>
        </is>
      </c>
      <c r="C387" t="inlineStr">
        <is>
          <t>Social Media</t>
        </is>
      </c>
      <c r="D387" t="inlineStr">
        <is>
          <t>Coding for Kids</t>
        </is>
      </c>
      <c r="E387" t="inlineStr">
        <is>
          <t>South Region</t>
        </is>
      </c>
      <c r="F387" t="inlineStr">
        <is>
          <t>Rep_02</t>
        </is>
      </c>
      <c r="G387" t="n">
        <v>4.44</v>
      </c>
      <c r="H387" t="inlineStr">
        <is>
          <t>Demo Scheduled</t>
        </is>
      </c>
      <c r="I387" t="inlineStr">
        <is>
          <t>Open</t>
        </is>
      </c>
      <c r="M387">
        <f>VLOOKUP(H387,'Stage Order'!$A$2:$B$8,2,FALSE)</f>
        <v/>
      </c>
      <c r="N387">
        <f>IF(G387&lt;=1,"1. Under 1 hour",IF(G387&lt;=24,"2. 1-24 hours",IF(G387&lt;=72,"3. 1-3 days","4. Over 3 days")))</f>
        <v/>
      </c>
      <c r="O387">
        <f>TEXT(B387,"YYYY-MM")</f>
        <v/>
      </c>
    </row>
    <row r="388">
      <c r="A388" t="inlineStr">
        <is>
          <t>LD-300386</t>
        </is>
      </c>
      <c r="B388" t="inlineStr">
        <is>
          <t>2025-04-04 12:13:00</t>
        </is>
      </c>
      <c r="C388" t="inlineStr">
        <is>
          <t>Paid Search</t>
        </is>
      </c>
      <c r="D388" t="inlineStr">
        <is>
          <t>K-12 Math</t>
        </is>
      </c>
      <c r="E388" t="inlineStr">
        <is>
          <t>North Region</t>
        </is>
      </c>
      <c r="F388" t="inlineStr">
        <is>
          <t>Rep_11</t>
        </is>
      </c>
      <c r="G388" t="n">
        <v>4.59</v>
      </c>
      <c r="H388" t="inlineStr">
        <is>
          <t>Contacted</t>
        </is>
      </c>
      <c r="I388" t="inlineStr">
        <is>
          <t>Open</t>
        </is>
      </c>
      <c r="M388">
        <f>VLOOKUP(H388,'Stage Order'!$A$2:$B$8,2,FALSE)</f>
        <v/>
      </c>
      <c r="N388">
        <f>IF(G388&lt;=1,"1. Under 1 hour",IF(G388&lt;=24,"2. 1-24 hours",IF(G388&lt;=72,"3. 1-3 days","4. Over 3 days")))</f>
        <v/>
      </c>
      <c r="O388">
        <f>TEXT(B388,"YYYY-MM")</f>
        <v/>
      </c>
    </row>
    <row r="389">
      <c r="A389" t="inlineStr">
        <is>
          <t>LD-300387</t>
        </is>
      </c>
      <c r="B389" t="inlineStr">
        <is>
          <t>2025-05-29 19:22:00</t>
        </is>
      </c>
      <c r="C389" t="inlineStr">
        <is>
          <t>Social Media</t>
        </is>
      </c>
      <c r="D389" t="inlineStr">
        <is>
          <t>Coding for Kids</t>
        </is>
      </c>
      <c r="E389" t="inlineStr">
        <is>
          <t>North Region</t>
        </is>
      </c>
      <c r="F389" t="inlineStr">
        <is>
          <t>Rep_01</t>
        </is>
      </c>
      <c r="G389" t="n">
        <v>2.15</v>
      </c>
      <c r="H389" t="inlineStr">
        <is>
          <t>Proposal Sent</t>
        </is>
      </c>
      <c r="I389" t="inlineStr">
        <is>
          <t>Lost</t>
        </is>
      </c>
      <c r="J389" t="inlineStr">
        <is>
          <t>Price Objection</t>
        </is>
      </c>
      <c r="K389" t="n">
        <v>623.86</v>
      </c>
      <c r="L389" t="inlineStr">
        <is>
          <t>2025-07-17 21:45:42.096116</t>
        </is>
      </c>
      <c r="M389">
        <f>VLOOKUP(H389,'Stage Order'!$A$2:$B$8,2,FALSE)</f>
        <v/>
      </c>
      <c r="N389">
        <f>IF(G389&lt;=1,"1. Under 1 hour",IF(G389&lt;=24,"2. 1-24 hours",IF(G389&lt;=72,"3. 1-3 days","4. Over 3 days")))</f>
        <v/>
      </c>
      <c r="O389">
        <f>TEXT(B389,"YYYY-MM")</f>
        <v/>
      </c>
    </row>
    <row r="390">
      <c r="A390" t="inlineStr">
        <is>
          <t>LD-300388</t>
        </is>
      </c>
      <c r="B390" t="inlineStr">
        <is>
          <t>2025-04-06 15:55:00</t>
        </is>
      </c>
      <c r="C390" t="inlineStr">
        <is>
          <t>Organic Search</t>
        </is>
      </c>
      <c r="D390" t="inlineStr">
        <is>
          <t>Language Learning</t>
        </is>
      </c>
      <c r="E390" t="inlineStr">
        <is>
          <t>South Region</t>
        </is>
      </c>
      <c r="F390" t="inlineStr">
        <is>
          <t>Rep_07</t>
        </is>
      </c>
      <c r="G390" t="n">
        <v>2.46</v>
      </c>
      <c r="H390" t="inlineStr">
        <is>
          <t>Contacted</t>
        </is>
      </c>
      <c r="I390" t="inlineStr">
        <is>
          <t>Open</t>
        </is>
      </c>
      <c r="M390">
        <f>VLOOKUP(H390,'Stage Order'!$A$2:$B$8,2,FALSE)</f>
        <v/>
      </c>
      <c r="N390">
        <f>IF(G390&lt;=1,"1. Under 1 hour",IF(G390&lt;=24,"2. 1-24 hours",IF(G390&lt;=72,"3. 1-3 days","4. Over 3 days")))</f>
        <v/>
      </c>
      <c r="O390">
        <f>TEXT(B390,"YYYY-MM")</f>
        <v/>
      </c>
    </row>
    <row r="391">
      <c r="A391" t="inlineStr">
        <is>
          <t>LD-300389</t>
        </is>
      </c>
      <c r="B391" t="inlineStr">
        <is>
          <t>2026-01-23 15:46:00</t>
        </is>
      </c>
      <c r="C391" t="inlineStr">
        <is>
          <t>Partner Channel</t>
        </is>
      </c>
      <c r="D391" t="inlineStr">
        <is>
          <t>K-12 Math</t>
        </is>
      </c>
      <c r="E391" t="inlineStr">
        <is>
          <t>South Region</t>
        </is>
      </c>
      <c r="F391" t="inlineStr">
        <is>
          <t>Rep_02</t>
        </is>
      </c>
      <c r="G391" t="n">
        <v>0.7</v>
      </c>
      <c r="H391" t="inlineStr">
        <is>
          <t>Closed</t>
        </is>
      </c>
      <c r="I391" t="inlineStr">
        <is>
          <t>Won</t>
        </is>
      </c>
      <c r="K391" t="n">
        <v>447.78</v>
      </c>
      <c r="L391" t="inlineStr">
        <is>
          <t>2026-03-02 17:40:29.797412</t>
        </is>
      </c>
      <c r="M391">
        <f>VLOOKUP(H391,'Stage Order'!$A$2:$B$8,2,FALSE)</f>
        <v/>
      </c>
      <c r="N391">
        <f>IF(G391&lt;=1,"1. Under 1 hour",IF(G391&lt;=24,"2. 1-24 hours",IF(G391&lt;=72,"3. 1-3 days","4. Over 3 days")))</f>
        <v/>
      </c>
      <c r="O391">
        <f>TEXT(B391,"YYYY-MM")</f>
        <v/>
      </c>
    </row>
    <row r="392">
      <c r="A392" t="inlineStr">
        <is>
          <t>LD-300390</t>
        </is>
      </c>
      <c r="B392" t="inlineStr">
        <is>
          <t>2025-12-31 07:45:00</t>
        </is>
      </c>
      <c r="C392" t="inlineStr">
        <is>
          <t>Organic Search</t>
        </is>
      </c>
      <c r="D392" t="inlineStr">
        <is>
          <t>K-12 Math</t>
        </is>
      </c>
      <c r="E392" t="inlineStr">
        <is>
          <t>East Region</t>
        </is>
      </c>
      <c r="F392" t="inlineStr">
        <is>
          <t>Rep_14</t>
        </is>
      </c>
      <c r="G392" t="n">
        <v>2.07</v>
      </c>
      <c r="H392" t="inlineStr">
        <is>
          <t>Proposal Sent</t>
        </is>
      </c>
      <c r="I392" t="inlineStr">
        <is>
          <t>Lost</t>
        </is>
      </c>
      <c r="J392" t="inlineStr">
        <is>
          <t>Budget Not Approved</t>
        </is>
      </c>
      <c r="K392" t="n">
        <v>547.09</v>
      </c>
      <c r="L392" t="inlineStr">
        <is>
          <t>2026-02-08 00:47:41.968973</t>
        </is>
      </c>
      <c r="M392">
        <f>VLOOKUP(H392,'Stage Order'!$A$2:$B$8,2,FALSE)</f>
        <v/>
      </c>
      <c r="N392">
        <f>IF(G392&lt;=1,"1. Under 1 hour",IF(G392&lt;=24,"2. 1-24 hours",IF(G392&lt;=72,"3. 1-3 days","4. Over 3 days")))</f>
        <v/>
      </c>
      <c r="O392">
        <f>TEXT(B392,"YYYY-MM")</f>
        <v/>
      </c>
    </row>
    <row r="393">
      <c r="A393" t="inlineStr">
        <is>
          <t>LD-300391</t>
        </is>
      </c>
      <c r="B393" t="inlineStr">
        <is>
          <t>2025-07-18 08:14:00</t>
        </is>
      </c>
      <c r="C393" t="inlineStr">
        <is>
          <t>Referral</t>
        </is>
      </c>
      <c r="D393" t="inlineStr">
        <is>
          <t>Language Learning</t>
        </is>
      </c>
      <c r="E393" t="inlineStr">
        <is>
          <t>East Region</t>
        </is>
      </c>
      <c r="F393" t="inlineStr">
        <is>
          <t>Rep_04</t>
        </is>
      </c>
      <c r="G393" t="n">
        <v>2.65</v>
      </c>
      <c r="H393" t="inlineStr">
        <is>
          <t>Proposal Sent</t>
        </is>
      </c>
      <c r="I393" t="inlineStr">
        <is>
          <t>Lost</t>
        </is>
      </c>
      <c r="J393" t="inlineStr">
        <is>
          <t>No Response / Ghosted</t>
        </is>
      </c>
      <c r="K393" t="n">
        <v>320.53</v>
      </c>
      <c r="L393" t="inlineStr">
        <is>
          <t>2025-08-25 22:15:49.788012</t>
        </is>
      </c>
      <c r="M393">
        <f>VLOOKUP(H393,'Stage Order'!$A$2:$B$8,2,FALSE)</f>
        <v/>
      </c>
      <c r="N393">
        <f>IF(G393&lt;=1,"1. Under 1 hour",IF(G393&lt;=24,"2. 1-24 hours",IF(G393&lt;=72,"3. 1-3 days","4. Over 3 days")))</f>
        <v/>
      </c>
      <c r="O393">
        <f>TEXT(B393,"YYYY-MM")</f>
        <v/>
      </c>
    </row>
    <row r="394">
      <c r="A394" t="inlineStr">
        <is>
          <t>LD-300392</t>
        </is>
      </c>
      <c r="B394" t="inlineStr">
        <is>
          <t>2026-06-21 17:09:00</t>
        </is>
      </c>
      <c r="C394" t="inlineStr">
        <is>
          <t>Paid Search</t>
        </is>
      </c>
      <c r="D394" t="inlineStr">
        <is>
          <t>Study Abroad Prep</t>
        </is>
      </c>
      <c r="E394" t="inlineStr">
        <is>
          <t>North Region</t>
        </is>
      </c>
      <c r="F394" t="inlineStr">
        <is>
          <t>Rep_06</t>
        </is>
      </c>
      <c r="G394" t="n">
        <v>5.52</v>
      </c>
      <c r="H394" t="inlineStr">
        <is>
          <t>Lead</t>
        </is>
      </c>
      <c r="I394" t="inlineStr">
        <is>
          <t>Open</t>
        </is>
      </c>
      <c r="M394">
        <f>VLOOKUP(H394,'Stage Order'!$A$2:$B$8,2,FALSE)</f>
        <v/>
      </c>
      <c r="N394">
        <f>IF(G394&lt;=1,"1. Under 1 hour",IF(G394&lt;=24,"2. 1-24 hours",IF(G394&lt;=72,"3. 1-3 days","4. Over 3 days")))</f>
        <v/>
      </c>
      <c r="O394">
        <f>TEXT(B394,"YYYY-MM")</f>
        <v/>
      </c>
    </row>
    <row r="395">
      <c r="A395" t="inlineStr">
        <is>
          <t>LD-300393</t>
        </is>
      </c>
      <c r="B395" t="inlineStr">
        <is>
          <t>2026-04-02 09:48:00</t>
        </is>
      </c>
      <c r="C395" t="inlineStr">
        <is>
          <t>Referral</t>
        </is>
      </c>
      <c r="D395" t="inlineStr">
        <is>
          <t>Coding for Kids</t>
        </is>
      </c>
      <c r="E395" t="inlineStr">
        <is>
          <t>South Region</t>
        </is>
      </c>
      <c r="F395" t="inlineStr">
        <is>
          <t>Rep_12</t>
        </is>
      </c>
      <c r="G395" t="n">
        <v>10.57</v>
      </c>
      <c r="H395" t="inlineStr">
        <is>
          <t>Proposal Sent</t>
        </is>
      </c>
      <c r="I395" t="inlineStr">
        <is>
          <t>Lost</t>
        </is>
      </c>
      <c r="J395" t="inlineStr">
        <is>
          <t>Price Objection</t>
        </is>
      </c>
      <c r="K395" t="n">
        <v>595.49</v>
      </c>
      <c r="L395" t="inlineStr">
        <is>
          <t>2026-05-11 08:43:41.703880</t>
        </is>
      </c>
      <c r="M395">
        <f>VLOOKUP(H395,'Stage Order'!$A$2:$B$8,2,FALSE)</f>
        <v/>
      </c>
      <c r="N395">
        <f>IF(G395&lt;=1,"1. Under 1 hour",IF(G395&lt;=24,"2. 1-24 hours",IF(G395&lt;=72,"3. 1-3 days","4. Over 3 days")))</f>
        <v/>
      </c>
      <c r="O395">
        <f>TEXT(B395,"YYYY-MM")</f>
        <v/>
      </c>
    </row>
    <row r="396">
      <c r="A396" t="inlineStr">
        <is>
          <t>LD-300394</t>
        </is>
      </c>
      <c r="B396" t="inlineStr">
        <is>
          <t>2025-10-30 20:55:00</t>
        </is>
      </c>
      <c r="C396" t="inlineStr">
        <is>
          <t>Cold Outreach</t>
        </is>
      </c>
      <c r="D396" t="inlineStr">
        <is>
          <t>Language Learning</t>
        </is>
      </c>
      <c r="E396" t="inlineStr">
        <is>
          <t>South Region</t>
        </is>
      </c>
      <c r="F396" t="inlineStr">
        <is>
          <t>Rep_02</t>
        </is>
      </c>
      <c r="G396" t="n">
        <v>5.19</v>
      </c>
      <c r="H396" t="inlineStr">
        <is>
          <t>Contacted</t>
        </is>
      </c>
      <c r="I396" t="inlineStr">
        <is>
          <t>Open</t>
        </is>
      </c>
      <c r="M396">
        <f>VLOOKUP(H396,'Stage Order'!$A$2:$B$8,2,FALSE)</f>
        <v/>
      </c>
      <c r="N396">
        <f>IF(G396&lt;=1,"1. Under 1 hour",IF(G396&lt;=24,"2. 1-24 hours",IF(G396&lt;=72,"3. 1-3 days","4. Over 3 days")))</f>
        <v/>
      </c>
      <c r="O396">
        <f>TEXT(B396,"YYYY-MM")</f>
        <v/>
      </c>
    </row>
    <row r="397">
      <c r="A397" t="inlineStr">
        <is>
          <t>LD-300395</t>
        </is>
      </c>
      <c r="B397" t="inlineStr">
        <is>
          <t>2025-08-16 19:25:00</t>
        </is>
      </c>
      <c r="C397" t="inlineStr">
        <is>
          <t>Social Media</t>
        </is>
      </c>
      <c r="D397" t="inlineStr">
        <is>
          <t>Competitive Exam Prep</t>
        </is>
      </c>
      <c r="E397" t="inlineStr">
        <is>
          <t>International</t>
        </is>
      </c>
      <c r="F397" t="inlineStr">
        <is>
          <t>Rep_10</t>
        </is>
      </c>
      <c r="G397" t="n">
        <v>6.26</v>
      </c>
      <c r="H397" t="inlineStr">
        <is>
          <t>Lead</t>
        </is>
      </c>
      <c r="I397" t="inlineStr">
        <is>
          <t>Open</t>
        </is>
      </c>
      <c r="M397">
        <f>VLOOKUP(H397,'Stage Order'!$A$2:$B$8,2,FALSE)</f>
        <v/>
      </c>
      <c r="N397">
        <f>IF(G397&lt;=1,"1. Under 1 hour",IF(G397&lt;=24,"2. 1-24 hours",IF(G397&lt;=72,"3. 1-3 days","4. Over 3 days")))</f>
        <v/>
      </c>
      <c r="O397">
        <f>TEXT(B397,"YYYY-MM")</f>
        <v/>
      </c>
    </row>
    <row r="398">
      <c r="A398" t="inlineStr">
        <is>
          <t>LD-300396</t>
        </is>
      </c>
      <c r="B398" t="inlineStr">
        <is>
          <t>2025-12-23 20:15:00</t>
        </is>
      </c>
      <c r="C398" t="inlineStr">
        <is>
          <t>Referral</t>
        </is>
      </c>
      <c r="D398" t="inlineStr">
        <is>
          <t>Coding for Kids</t>
        </is>
      </c>
      <c r="E398" t="inlineStr">
        <is>
          <t>International</t>
        </is>
      </c>
      <c r="F398" t="inlineStr">
        <is>
          <t>Rep_15</t>
        </is>
      </c>
      <c r="G398" t="n">
        <v>5.23</v>
      </c>
      <c r="H398" t="inlineStr">
        <is>
          <t>Contacted</t>
        </is>
      </c>
      <c r="I398" t="inlineStr">
        <is>
          <t>Open</t>
        </is>
      </c>
      <c r="M398">
        <f>VLOOKUP(H398,'Stage Order'!$A$2:$B$8,2,FALSE)</f>
        <v/>
      </c>
      <c r="N398">
        <f>IF(G398&lt;=1,"1. Under 1 hour",IF(G398&lt;=24,"2. 1-24 hours",IF(G398&lt;=72,"3. 1-3 days","4. Over 3 days")))</f>
        <v/>
      </c>
      <c r="O398">
        <f>TEXT(B398,"YYYY-MM")</f>
        <v/>
      </c>
    </row>
    <row r="399">
      <c r="A399" t="inlineStr">
        <is>
          <t>LD-300397</t>
        </is>
      </c>
      <c r="B399" t="inlineStr">
        <is>
          <t>2025-10-31 13:33:00</t>
        </is>
      </c>
      <c r="C399" t="inlineStr">
        <is>
          <t>Organic Search</t>
        </is>
      </c>
      <c r="D399" t="inlineStr">
        <is>
          <t>K-12 Math</t>
        </is>
      </c>
      <c r="E399" t="inlineStr">
        <is>
          <t>West Region</t>
        </is>
      </c>
      <c r="F399" t="inlineStr">
        <is>
          <t>Rep_08</t>
        </is>
      </c>
      <c r="G399" t="n">
        <v>5.5</v>
      </c>
      <c r="H399" t="inlineStr">
        <is>
          <t>Proposal Sent</t>
        </is>
      </c>
      <c r="I399" t="inlineStr">
        <is>
          <t>Lost</t>
        </is>
      </c>
      <c r="J399" t="inlineStr">
        <is>
          <t>Price Objection</t>
        </is>
      </c>
      <c r="K399" t="n">
        <v>500.08</v>
      </c>
      <c r="L399" t="inlineStr">
        <is>
          <t>2025-12-07 07:41:52.171783</t>
        </is>
      </c>
      <c r="M399">
        <f>VLOOKUP(H399,'Stage Order'!$A$2:$B$8,2,FALSE)</f>
        <v/>
      </c>
      <c r="N399">
        <f>IF(G399&lt;=1,"1. Under 1 hour",IF(G399&lt;=24,"2. 1-24 hours",IF(G399&lt;=72,"3. 1-3 days","4. Over 3 days")))</f>
        <v/>
      </c>
      <c r="O399">
        <f>TEXT(B399,"YYYY-MM")</f>
        <v/>
      </c>
    </row>
    <row r="400">
      <c r="A400" t="inlineStr">
        <is>
          <t>LD-300398</t>
        </is>
      </c>
      <c r="B400" t="inlineStr">
        <is>
          <t>2026-01-14 20:01:00</t>
        </is>
      </c>
      <c r="C400" t="inlineStr">
        <is>
          <t>Partner Channel</t>
        </is>
      </c>
      <c r="D400" t="inlineStr">
        <is>
          <t>Competitive Exam Prep</t>
        </is>
      </c>
      <c r="E400" t="inlineStr">
        <is>
          <t>South Region</t>
        </is>
      </c>
      <c r="F400" t="inlineStr">
        <is>
          <t>Rep_02</t>
        </is>
      </c>
      <c r="G400" t="n">
        <v>3.36</v>
      </c>
      <c r="H400" t="inlineStr">
        <is>
          <t>Contacted</t>
        </is>
      </c>
      <c r="I400" t="inlineStr">
        <is>
          <t>Open</t>
        </is>
      </c>
      <c r="M400">
        <f>VLOOKUP(H400,'Stage Order'!$A$2:$B$8,2,FALSE)</f>
        <v/>
      </c>
      <c r="N400">
        <f>IF(G400&lt;=1,"1. Under 1 hour",IF(G400&lt;=24,"2. 1-24 hours",IF(G400&lt;=72,"3. 1-3 days","4. Over 3 days")))</f>
        <v/>
      </c>
      <c r="O400">
        <f>TEXT(B400,"YYYY-MM")</f>
        <v/>
      </c>
    </row>
    <row r="401">
      <c r="A401" t="inlineStr">
        <is>
          <t>LD-300399</t>
        </is>
      </c>
      <c r="B401" t="inlineStr">
        <is>
          <t>2025-03-03 10:56:00</t>
        </is>
      </c>
      <c r="C401" t="inlineStr">
        <is>
          <t>Webinar</t>
        </is>
      </c>
      <c r="D401" t="inlineStr">
        <is>
          <t>Coding for Kids</t>
        </is>
      </c>
      <c r="E401" t="inlineStr">
        <is>
          <t>West Region</t>
        </is>
      </c>
      <c r="F401" t="inlineStr">
        <is>
          <t>Rep_03</t>
        </is>
      </c>
      <c r="G401" t="n">
        <v>0.71</v>
      </c>
      <c r="H401" t="inlineStr">
        <is>
          <t>Contacted</t>
        </is>
      </c>
      <c r="I401" t="inlineStr">
        <is>
          <t>Open</t>
        </is>
      </c>
      <c r="M401">
        <f>VLOOKUP(H401,'Stage Order'!$A$2:$B$8,2,FALSE)</f>
        <v/>
      </c>
      <c r="N401">
        <f>IF(G401&lt;=1,"1. Under 1 hour",IF(G401&lt;=24,"2. 1-24 hours",IF(G401&lt;=72,"3. 1-3 days","4. Over 3 days")))</f>
        <v/>
      </c>
      <c r="O401">
        <f>TEXT(B401,"YYYY-MM")</f>
        <v/>
      </c>
    </row>
    <row r="402">
      <c r="A402" t="inlineStr">
        <is>
          <t>LD-300400</t>
        </is>
      </c>
      <c r="B402" t="inlineStr">
        <is>
          <t>2025-07-14 09:58:00</t>
        </is>
      </c>
      <c r="C402" t="inlineStr">
        <is>
          <t>Partner Channel</t>
        </is>
      </c>
      <c r="D402" t="inlineStr">
        <is>
          <t>K-12 Math</t>
        </is>
      </c>
      <c r="E402" t="inlineStr">
        <is>
          <t>East Region</t>
        </is>
      </c>
      <c r="F402" t="inlineStr">
        <is>
          <t>Rep_14</t>
        </is>
      </c>
      <c r="G402" t="n">
        <v>2.51</v>
      </c>
      <c r="H402" t="inlineStr">
        <is>
          <t>Contacted</t>
        </is>
      </c>
      <c r="I402" t="inlineStr">
        <is>
          <t>Open</t>
        </is>
      </c>
      <c r="M402">
        <f>VLOOKUP(H402,'Stage Order'!$A$2:$B$8,2,FALSE)</f>
        <v/>
      </c>
      <c r="N402">
        <f>IF(G402&lt;=1,"1. Under 1 hour",IF(G402&lt;=24,"2. 1-24 hours",IF(G402&lt;=72,"3. 1-3 days","4. Over 3 days")))</f>
        <v/>
      </c>
      <c r="O402">
        <f>TEXT(B402,"YYYY-MM")</f>
        <v/>
      </c>
    </row>
    <row r="403">
      <c r="A403" t="inlineStr">
        <is>
          <t>LD-300401</t>
        </is>
      </c>
      <c r="B403" t="inlineStr">
        <is>
          <t>2025-11-04 10:28:00</t>
        </is>
      </c>
      <c r="C403" t="inlineStr">
        <is>
          <t>Organic Search</t>
        </is>
      </c>
      <c r="D403" t="inlineStr">
        <is>
          <t>K-12 Math</t>
        </is>
      </c>
      <c r="E403" t="inlineStr">
        <is>
          <t>South Region</t>
        </is>
      </c>
      <c r="F403" t="inlineStr">
        <is>
          <t>Rep_12</t>
        </is>
      </c>
      <c r="G403" t="n">
        <v>0.54</v>
      </c>
      <c r="H403" t="inlineStr">
        <is>
          <t>Closed</t>
        </is>
      </c>
      <c r="I403" t="inlineStr">
        <is>
          <t>Won</t>
        </is>
      </c>
      <c r="K403" t="n">
        <v>495.39</v>
      </c>
      <c r="L403" t="inlineStr">
        <is>
          <t>2025-12-04 06:06:46.232037</t>
        </is>
      </c>
      <c r="M403">
        <f>VLOOKUP(H403,'Stage Order'!$A$2:$B$8,2,FALSE)</f>
        <v/>
      </c>
      <c r="N403">
        <f>IF(G403&lt;=1,"1. Under 1 hour",IF(G403&lt;=24,"2. 1-24 hours",IF(G403&lt;=72,"3. 1-3 days","4. Over 3 days")))</f>
        <v/>
      </c>
      <c r="O403">
        <f>TEXT(B403,"YYYY-MM")</f>
        <v/>
      </c>
    </row>
    <row r="404">
      <c r="A404" t="inlineStr">
        <is>
          <t>LD-300402</t>
        </is>
      </c>
      <c r="B404" t="inlineStr">
        <is>
          <t>2025-12-18 11:38:00</t>
        </is>
      </c>
      <c r="C404" t="inlineStr">
        <is>
          <t>Cold Outreach</t>
        </is>
      </c>
      <c r="D404" t="inlineStr">
        <is>
          <t>Coding for Kids</t>
        </is>
      </c>
      <c r="E404" t="inlineStr">
        <is>
          <t>West Region</t>
        </is>
      </c>
      <c r="F404" t="inlineStr">
        <is>
          <t>Rep_03</t>
        </is>
      </c>
      <c r="G404" t="n">
        <v>5.66</v>
      </c>
      <c r="H404" t="inlineStr">
        <is>
          <t>Proposal Sent</t>
        </is>
      </c>
      <c r="I404" t="inlineStr">
        <is>
          <t>Lost</t>
        </is>
      </c>
      <c r="J404" t="inlineStr">
        <is>
          <t>Budget Not Approved</t>
        </is>
      </c>
      <c r="K404" t="n">
        <v>568.9400000000001</v>
      </c>
      <c r="L404" t="inlineStr">
        <is>
          <t>2026-01-26 09:03:04.860720</t>
        </is>
      </c>
      <c r="M404">
        <f>VLOOKUP(H404,'Stage Order'!$A$2:$B$8,2,FALSE)</f>
        <v/>
      </c>
      <c r="N404">
        <f>IF(G404&lt;=1,"1. Under 1 hour",IF(G404&lt;=24,"2. 1-24 hours",IF(G404&lt;=72,"3. 1-3 days","4. Over 3 days")))</f>
        <v/>
      </c>
      <c r="O404">
        <f>TEXT(B404,"YYYY-MM")</f>
        <v/>
      </c>
    </row>
    <row r="405">
      <c r="A405" t="inlineStr">
        <is>
          <t>LD-300403</t>
        </is>
      </c>
      <c r="B405" t="inlineStr">
        <is>
          <t>2025-09-23 08:46:00</t>
        </is>
      </c>
      <c r="C405" t="inlineStr">
        <is>
          <t>Cold Outreach</t>
        </is>
      </c>
      <c r="D405" t="inlineStr">
        <is>
          <t>K-12 Math</t>
        </is>
      </c>
      <c r="E405" t="inlineStr">
        <is>
          <t>South Region</t>
        </is>
      </c>
      <c r="F405" t="inlineStr">
        <is>
          <t>Rep_12</t>
        </is>
      </c>
      <c r="G405" t="n">
        <v>1.78</v>
      </c>
      <c r="H405" t="inlineStr">
        <is>
          <t>Lead</t>
        </is>
      </c>
      <c r="I405" t="inlineStr">
        <is>
          <t>Open</t>
        </is>
      </c>
      <c r="M405">
        <f>VLOOKUP(H405,'Stage Order'!$A$2:$B$8,2,FALSE)</f>
        <v/>
      </c>
      <c r="N405">
        <f>IF(G405&lt;=1,"1. Under 1 hour",IF(G405&lt;=24,"2. 1-24 hours",IF(G405&lt;=72,"3. 1-3 days","4. Over 3 days")))</f>
        <v/>
      </c>
      <c r="O405">
        <f>TEXT(B405,"YYYY-MM")</f>
        <v/>
      </c>
    </row>
    <row r="406">
      <c r="A406" t="inlineStr">
        <is>
          <t>LD-300404</t>
        </is>
      </c>
      <c r="B406" t="inlineStr">
        <is>
          <t>2025-05-30 08:47:00</t>
        </is>
      </c>
      <c r="C406" t="inlineStr">
        <is>
          <t>Webinar</t>
        </is>
      </c>
      <c r="D406" t="inlineStr">
        <is>
          <t>Study Abroad Prep</t>
        </is>
      </c>
      <c r="E406" t="inlineStr">
        <is>
          <t>East Region</t>
        </is>
      </c>
      <c r="F406" t="inlineStr">
        <is>
          <t>Rep_04</t>
        </is>
      </c>
      <c r="G406" t="n">
        <v>0.36</v>
      </c>
      <c r="H406" t="inlineStr">
        <is>
          <t>Contacted</t>
        </is>
      </c>
      <c r="I406" t="inlineStr">
        <is>
          <t>Open</t>
        </is>
      </c>
      <c r="M406">
        <f>VLOOKUP(H406,'Stage Order'!$A$2:$B$8,2,FALSE)</f>
        <v/>
      </c>
      <c r="N406">
        <f>IF(G406&lt;=1,"1. Under 1 hour",IF(G406&lt;=24,"2. 1-24 hours",IF(G406&lt;=72,"3. 1-3 days","4. Over 3 days")))</f>
        <v/>
      </c>
      <c r="O406">
        <f>TEXT(B406,"YYYY-MM")</f>
        <v/>
      </c>
    </row>
    <row r="407">
      <c r="A407" t="inlineStr">
        <is>
          <t>LD-300405</t>
        </is>
      </c>
      <c r="B407" t="inlineStr">
        <is>
          <t>2025-07-14 17:10:00</t>
        </is>
      </c>
      <c r="C407" t="inlineStr">
        <is>
          <t>Social Media</t>
        </is>
      </c>
      <c r="D407" t="inlineStr">
        <is>
          <t>Language Learning</t>
        </is>
      </c>
      <c r="E407" t="inlineStr">
        <is>
          <t>West Region</t>
        </is>
      </c>
      <c r="F407" t="inlineStr">
        <is>
          <t>Rep_03</t>
        </is>
      </c>
      <c r="G407" t="n">
        <v>2.32</v>
      </c>
      <c r="H407" t="inlineStr">
        <is>
          <t>Lead</t>
        </is>
      </c>
      <c r="I407" t="inlineStr">
        <is>
          <t>Open</t>
        </is>
      </c>
      <c r="M407">
        <f>VLOOKUP(H407,'Stage Order'!$A$2:$B$8,2,FALSE)</f>
        <v/>
      </c>
      <c r="N407">
        <f>IF(G407&lt;=1,"1. Under 1 hour",IF(G407&lt;=24,"2. 1-24 hours",IF(G407&lt;=72,"3. 1-3 days","4. Over 3 days")))</f>
        <v/>
      </c>
      <c r="O407">
        <f>TEXT(B407,"YYYY-MM")</f>
        <v/>
      </c>
    </row>
    <row r="408">
      <c r="A408" t="inlineStr">
        <is>
          <t>LD-300406</t>
        </is>
      </c>
      <c r="B408" t="inlineStr">
        <is>
          <t>2026-05-13 20:09:00</t>
        </is>
      </c>
      <c r="C408" t="inlineStr">
        <is>
          <t>Social Media</t>
        </is>
      </c>
      <c r="D408" t="inlineStr">
        <is>
          <t>Competitive Exam Prep</t>
        </is>
      </c>
      <c r="E408" t="inlineStr">
        <is>
          <t>North Region</t>
        </is>
      </c>
      <c r="F408" t="inlineStr">
        <is>
          <t>Rep_11</t>
        </is>
      </c>
      <c r="G408" t="n">
        <v>5.53</v>
      </c>
      <c r="H408" t="inlineStr">
        <is>
          <t>Contacted</t>
        </is>
      </c>
      <c r="I408" t="inlineStr">
        <is>
          <t>Open</t>
        </is>
      </c>
      <c r="M408">
        <f>VLOOKUP(H408,'Stage Order'!$A$2:$B$8,2,FALSE)</f>
        <v/>
      </c>
      <c r="N408">
        <f>IF(G408&lt;=1,"1. Under 1 hour",IF(G408&lt;=24,"2. 1-24 hours",IF(G408&lt;=72,"3. 1-3 days","4. Over 3 days")))</f>
        <v/>
      </c>
      <c r="O408">
        <f>TEXT(B408,"YYYY-MM")</f>
        <v/>
      </c>
    </row>
    <row r="409">
      <c r="A409" t="inlineStr">
        <is>
          <t>LD-300407</t>
        </is>
      </c>
      <c r="B409" t="inlineStr">
        <is>
          <t>2025-11-07 19:08:00</t>
        </is>
      </c>
      <c r="C409" t="inlineStr">
        <is>
          <t>Organic Search</t>
        </is>
      </c>
      <c r="D409" t="inlineStr">
        <is>
          <t>Coding for Kids</t>
        </is>
      </c>
      <c r="E409" t="inlineStr">
        <is>
          <t>International</t>
        </is>
      </c>
      <c r="F409" t="inlineStr">
        <is>
          <t>Rep_05</t>
        </is>
      </c>
      <c r="G409" t="n">
        <v>3.07</v>
      </c>
      <c r="H409" t="inlineStr">
        <is>
          <t>Contacted</t>
        </is>
      </c>
      <c r="I409" t="inlineStr">
        <is>
          <t>Open</t>
        </is>
      </c>
      <c r="M409">
        <f>VLOOKUP(H409,'Stage Order'!$A$2:$B$8,2,FALSE)</f>
        <v/>
      </c>
      <c r="N409">
        <f>IF(G409&lt;=1,"1. Under 1 hour",IF(G409&lt;=24,"2. 1-24 hours",IF(G409&lt;=72,"3. 1-3 days","4. Over 3 days")))</f>
        <v/>
      </c>
      <c r="O409">
        <f>TEXT(B409,"YYYY-MM")</f>
        <v/>
      </c>
    </row>
    <row r="410">
      <c r="A410" t="inlineStr">
        <is>
          <t>LD-300408</t>
        </is>
      </c>
      <c r="B410" t="inlineStr">
        <is>
          <t>2025-08-26 19:54:00</t>
        </is>
      </c>
      <c r="C410" t="inlineStr">
        <is>
          <t>Paid Search</t>
        </is>
      </c>
      <c r="D410" t="inlineStr">
        <is>
          <t>Competitive Exam Prep</t>
        </is>
      </c>
      <c r="E410" t="inlineStr">
        <is>
          <t>West Region</t>
        </is>
      </c>
      <c r="F410" t="inlineStr">
        <is>
          <t>Rep_13</t>
        </is>
      </c>
      <c r="G410" t="n">
        <v>1.42</v>
      </c>
      <c r="H410" t="inlineStr">
        <is>
          <t>Demo Completed</t>
        </is>
      </c>
      <c r="I410" t="inlineStr">
        <is>
          <t>Lost</t>
        </is>
      </c>
      <c r="J410" t="inlineStr">
        <is>
          <t>Went With Competitor</t>
        </is>
      </c>
      <c r="K410" t="n">
        <v>908.17</v>
      </c>
      <c r="L410" t="inlineStr">
        <is>
          <t>2025-09-21 19:28:12.976403</t>
        </is>
      </c>
      <c r="M410">
        <f>VLOOKUP(H410,'Stage Order'!$A$2:$B$8,2,FALSE)</f>
        <v/>
      </c>
      <c r="N410">
        <f>IF(G410&lt;=1,"1. Under 1 hour",IF(G410&lt;=24,"2. 1-24 hours",IF(G410&lt;=72,"3. 1-3 days","4. Over 3 days")))</f>
        <v/>
      </c>
      <c r="O410">
        <f>TEXT(B410,"YYYY-MM")</f>
        <v/>
      </c>
    </row>
    <row r="411">
      <c r="A411" t="inlineStr">
        <is>
          <t>LD-300409</t>
        </is>
      </c>
      <c r="B411" t="inlineStr">
        <is>
          <t>2025-07-16 17:42:00</t>
        </is>
      </c>
      <c r="C411" t="inlineStr">
        <is>
          <t>Organic Search</t>
        </is>
      </c>
      <c r="D411" t="inlineStr">
        <is>
          <t>Coding for Kids</t>
        </is>
      </c>
      <c r="E411" t="inlineStr">
        <is>
          <t>International</t>
        </is>
      </c>
      <c r="F411" t="inlineStr">
        <is>
          <t>Rep_10</t>
        </is>
      </c>
      <c r="G411" t="n">
        <v>1.87</v>
      </c>
      <c r="H411" t="inlineStr">
        <is>
          <t>Lead</t>
        </is>
      </c>
      <c r="I411" t="inlineStr">
        <is>
          <t>Open</t>
        </is>
      </c>
      <c r="M411">
        <f>VLOOKUP(H411,'Stage Order'!$A$2:$B$8,2,FALSE)</f>
        <v/>
      </c>
      <c r="N411">
        <f>IF(G411&lt;=1,"1. Under 1 hour",IF(G411&lt;=24,"2. 1-24 hours",IF(G411&lt;=72,"3. 1-3 days","4. Over 3 days")))</f>
        <v/>
      </c>
      <c r="O411">
        <f>TEXT(B411,"YYYY-MM")</f>
        <v/>
      </c>
    </row>
    <row r="412">
      <c r="A412" t="inlineStr">
        <is>
          <t>LD-300410</t>
        </is>
      </c>
      <c r="B412" t="inlineStr">
        <is>
          <t>2025-02-27 08:55:00</t>
        </is>
      </c>
      <c r="C412" t="inlineStr">
        <is>
          <t>Partner Channel</t>
        </is>
      </c>
      <c r="D412" t="inlineStr">
        <is>
          <t>Study Abroad Prep</t>
        </is>
      </c>
      <c r="E412" t="inlineStr">
        <is>
          <t>North Region</t>
        </is>
      </c>
      <c r="F412" t="inlineStr">
        <is>
          <t>Rep_01</t>
        </is>
      </c>
      <c r="G412" t="n">
        <v>1.24</v>
      </c>
      <c r="H412" t="inlineStr">
        <is>
          <t>Contacted</t>
        </is>
      </c>
      <c r="I412" t="inlineStr">
        <is>
          <t>Open</t>
        </is>
      </c>
      <c r="M412">
        <f>VLOOKUP(H412,'Stage Order'!$A$2:$B$8,2,FALSE)</f>
        <v/>
      </c>
      <c r="N412">
        <f>IF(G412&lt;=1,"1. Under 1 hour",IF(G412&lt;=24,"2. 1-24 hours",IF(G412&lt;=72,"3. 1-3 days","4. Over 3 days")))</f>
        <v/>
      </c>
      <c r="O412">
        <f>TEXT(B412,"YYYY-MM")</f>
        <v/>
      </c>
    </row>
    <row r="413">
      <c r="A413" t="inlineStr">
        <is>
          <t>LD-300411</t>
        </is>
      </c>
      <c r="B413" t="inlineStr">
        <is>
          <t>2026-05-21 15:21:00</t>
        </is>
      </c>
      <c r="C413" t="inlineStr">
        <is>
          <t>Social Media</t>
        </is>
      </c>
      <c r="D413" t="inlineStr">
        <is>
          <t>Coding for Kids</t>
        </is>
      </c>
      <c r="E413" t="inlineStr">
        <is>
          <t>West Region</t>
        </is>
      </c>
      <c r="F413" t="inlineStr">
        <is>
          <t>Rep_03</t>
        </is>
      </c>
      <c r="G413" t="n">
        <v>5.19</v>
      </c>
      <c r="H413" t="inlineStr">
        <is>
          <t>Lead</t>
        </is>
      </c>
      <c r="I413" t="inlineStr">
        <is>
          <t>Open</t>
        </is>
      </c>
      <c r="M413">
        <f>VLOOKUP(H413,'Stage Order'!$A$2:$B$8,2,FALSE)</f>
        <v/>
      </c>
      <c r="N413">
        <f>IF(G413&lt;=1,"1. Under 1 hour",IF(G413&lt;=24,"2. 1-24 hours",IF(G413&lt;=72,"3. 1-3 days","4. Over 3 days")))</f>
        <v/>
      </c>
      <c r="O413">
        <f>TEXT(B413,"YYYY-MM")</f>
        <v/>
      </c>
    </row>
    <row r="414">
      <c r="A414" t="inlineStr">
        <is>
          <t>LD-300412</t>
        </is>
      </c>
      <c r="B414" t="inlineStr">
        <is>
          <t>2025-11-18 08:24:00</t>
        </is>
      </c>
      <c r="C414" t="inlineStr">
        <is>
          <t>Organic Search</t>
        </is>
      </c>
      <c r="D414" t="inlineStr">
        <is>
          <t>Coding for Kids</t>
        </is>
      </c>
      <c r="E414" t="inlineStr">
        <is>
          <t>South Region</t>
        </is>
      </c>
      <c r="F414" t="inlineStr">
        <is>
          <t>Rep_02</t>
        </is>
      </c>
      <c r="G414" t="n">
        <v>1.73</v>
      </c>
      <c r="H414" t="inlineStr">
        <is>
          <t>Lead</t>
        </is>
      </c>
      <c r="I414" t="inlineStr">
        <is>
          <t>Open</t>
        </is>
      </c>
      <c r="M414">
        <f>VLOOKUP(H414,'Stage Order'!$A$2:$B$8,2,FALSE)</f>
        <v/>
      </c>
      <c r="N414">
        <f>IF(G414&lt;=1,"1. Under 1 hour",IF(G414&lt;=24,"2. 1-24 hours",IF(G414&lt;=72,"3. 1-3 days","4. Over 3 days")))</f>
        <v/>
      </c>
      <c r="O414">
        <f>TEXT(B414,"YYYY-MM")</f>
        <v/>
      </c>
    </row>
    <row r="415">
      <c r="A415" t="inlineStr">
        <is>
          <t>LD-300413</t>
        </is>
      </c>
      <c r="B415" t="inlineStr">
        <is>
          <t>2026-03-31 08:52:00</t>
        </is>
      </c>
      <c r="C415" t="inlineStr">
        <is>
          <t>Paid Search</t>
        </is>
      </c>
      <c r="D415" t="inlineStr">
        <is>
          <t>Coding for Kids</t>
        </is>
      </c>
      <c r="E415" t="inlineStr">
        <is>
          <t>International</t>
        </is>
      </c>
      <c r="F415" t="inlineStr">
        <is>
          <t>Rep_10</t>
        </is>
      </c>
      <c r="G415" t="n">
        <v>6.3</v>
      </c>
      <c r="H415" t="inlineStr">
        <is>
          <t>Proposal Sent</t>
        </is>
      </c>
      <c r="I415" t="inlineStr">
        <is>
          <t>Lost</t>
        </is>
      </c>
      <c r="J415" t="inlineStr">
        <is>
          <t>Bad Timing</t>
        </is>
      </c>
      <c r="K415" t="n">
        <v>560.1</v>
      </c>
      <c r="L415" t="inlineStr">
        <is>
          <t>2026-05-16 14:33:47.062935</t>
        </is>
      </c>
      <c r="M415">
        <f>VLOOKUP(H415,'Stage Order'!$A$2:$B$8,2,FALSE)</f>
        <v/>
      </c>
      <c r="N415">
        <f>IF(G415&lt;=1,"1. Under 1 hour",IF(G415&lt;=24,"2. 1-24 hours",IF(G415&lt;=72,"3. 1-3 days","4. Over 3 days")))</f>
        <v/>
      </c>
      <c r="O415">
        <f>TEXT(B415,"YYYY-MM")</f>
        <v/>
      </c>
    </row>
    <row r="416">
      <c r="A416" t="inlineStr">
        <is>
          <t>LD-300414</t>
        </is>
      </c>
      <c r="B416" t="inlineStr">
        <is>
          <t>2025-09-21 17:35:00</t>
        </is>
      </c>
      <c r="C416" t="inlineStr">
        <is>
          <t>Paid Search</t>
        </is>
      </c>
      <c r="D416" t="inlineStr">
        <is>
          <t>K-12 Math</t>
        </is>
      </c>
      <c r="E416" t="inlineStr">
        <is>
          <t>International</t>
        </is>
      </c>
      <c r="F416" t="inlineStr">
        <is>
          <t>Rep_10</t>
        </is>
      </c>
      <c r="G416" t="n">
        <v>0.5</v>
      </c>
      <c r="H416" t="inlineStr">
        <is>
          <t>Lead</t>
        </is>
      </c>
      <c r="I416" t="inlineStr">
        <is>
          <t>Open</t>
        </is>
      </c>
      <c r="M416">
        <f>VLOOKUP(H416,'Stage Order'!$A$2:$B$8,2,FALSE)</f>
        <v/>
      </c>
      <c r="N416">
        <f>IF(G416&lt;=1,"1. Under 1 hour",IF(G416&lt;=24,"2. 1-24 hours",IF(G416&lt;=72,"3. 1-3 days","4. Over 3 days")))</f>
        <v/>
      </c>
      <c r="O416">
        <f>TEXT(B416,"YYYY-MM")</f>
        <v/>
      </c>
    </row>
    <row r="417">
      <c r="A417" t="inlineStr">
        <is>
          <t>LD-300415</t>
        </is>
      </c>
      <c r="B417" t="inlineStr">
        <is>
          <t>2026-01-10 13:57:00</t>
        </is>
      </c>
      <c r="C417" t="inlineStr">
        <is>
          <t>Social Media</t>
        </is>
      </c>
      <c r="D417" t="inlineStr">
        <is>
          <t>Study Abroad Prep</t>
        </is>
      </c>
      <c r="E417" t="inlineStr">
        <is>
          <t>East Region</t>
        </is>
      </c>
      <c r="F417" t="inlineStr">
        <is>
          <t>Rep_14</t>
        </is>
      </c>
      <c r="G417" t="n">
        <v>4.82</v>
      </c>
      <c r="H417" t="inlineStr">
        <is>
          <t>Contacted</t>
        </is>
      </c>
      <c r="I417" t="inlineStr">
        <is>
          <t>Open</t>
        </is>
      </c>
      <c r="M417">
        <f>VLOOKUP(H417,'Stage Order'!$A$2:$B$8,2,FALSE)</f>
        <v/>
      </c>
      <c r="N417">
        <f>IF(G417&lt;=1,"1. Under 1 hour",IF(G417&lt;=24,"2. 1-24 hours",IF(G417&lt;=72,"3. 1-3 days","4. Over 3 days")))</f>
        <v/>
      </c>
      <c r="O417">
        <f>TEXT(B417,"YYYY-MM")</f>
        <v/>
      </c>
    </row>
    <row r="418">
      <c r="A418" t="inlineStr">
        <is>
          <t>LD-300416</t>
        </is>
      </c>
      <c r="B418" t="inlineStr">
        <is>
          <t>2025-02-20 16:49:00</t>
        </is>
      </c>
      <c r="C418" t="inlineStr">
        <is>
          <t>Cold Outreach</t>
        </is>
      </c>
      <c r="D418" t="inlineStr">
        <is>
          <t>Language Learning</t>
        </is>
      </c>
      <c r="E418" t="inlineStr">
        <is>
          <t>North Region</t>
        </is>
      </c>
      <c r="F418" t="inlineStr">
        <is>
          <t>Rep_06</t>
        </is>
      </c>
      <c r="G418" t="n">
        <v>10.57</v>
      </c>
      <c r="H418" t="inlineStr">
        <is>
          <t>Lead</t>
        </is>
      </c>
      <c r="I418" t="inlineStr">
        <is>
          <t>Open</t>
        </is>
      </c>
      <c r="M418">
        <f>VLOOKUP(H418,'Stage Order'!$A$2:$B$8,2,FALSE)</f>
        <v/>
      </c>
      <c r="N418">
        <f>IF(G418&lt;=1,"1. Under 1 hour",IF(G418&lt;=24,"2. 1-24 hours",IF(G418&lt;=72,"3. 1-3 days","4. Over 3 days")))</f>
        <v/>
      </c>
      <c r="O418">
        <f>TEXT(B418,"YYYY-MM")</f>
        <v/>
      </c>
    </row>
    <row r="419">
      <c r="A419" t="inlineStr">
        <is>
          <t>LD-300417</t>
        </is>
      </c>
      <c r="B419" t="inlineStr">
        <is>
          <t>2025-04-01 17:34:00</t>
        </is>
      </c>
      <c r="C419" t="inlineStr">
        <is>
          <t>Referral</t>
        </is>
      </c>
      <c r="D419" t="inlineStr">
        <is>
          <t>K-12 Math</t>
        </is>
      </c>
      <c r="E419" t="inlineStr">
        <is>
          <t>South Region</t>
        </is>
      </c>
      <c r="F419" t="inlineStr">
        <is>
          <t>Rep_02</t>
        </is>
      </c>
      <c r="G419" t="n">
        <v>1.42</v>
      </c>
      <c r="H419" t="inlineStr">
        <is>
          <t>Closed</t>
        </is>
      </c>
      <c r="I419" t="inlineStr">
        <is>
          <t>Won</t>
        </is>
      </c>
      <c r="K419" t="n">
        <v>471.79</v>
      </c>
      <c r="L419" t="inlineStr">
        <is>
          <t>2025-05-17 19:18:18.895083</t>
        </is>
      </c>
      <c r="M419">
        <f>VLOOKUP(H419,'Stage Order'!$A$2:$B$8,2,FALSE)</f>
        <v/>
      </c>
      <c r="N419">
        <f>IF(G419&lt;=1,"1. Under 1 hour",IF(G419&lt;=24,"2. 1-24 hours",IF(G419&lt;=72,"3. 1-3 days","4. Over 3 days")))</f>
        <v/>
      </c>
      <c r="O419">
        <f>TEXT(B419,"YYYY-MM")</f>
        <v/>
      </c>
    </row>
    <row r="420">
      <c r="A420" t="inlineStr">
        <is>
          <t>LD-300418</t>
        </is>
      </c>
      <c r="B420" t="inlineStr">
        <is>
          <t>2025-07-01 11:07:00</t>
        </is>
      </c>
      <c r="C420" t="inlineStr">
        <is>
          <t>Paid Search</t>
        </is>
      </c>
      <c r="D420" t="inlineStr">
        <is>
          <t>Competitive Exam Prep</t>
        </is>
      </c>
      <c r="E420" t="inlineStr">
        <is>
          <t>South Region</t>
        </is>
      </c>
      <c r="F420" t="inlineStr">
        <is>
          <t>Rep_12</t>
        </is>
      </c>
      <c r="G420" t="n">
        <v>1.71</v>
      </c>
      <c r="H420" t="inlineStr">
        <is>
          <t>Lead</t>
        </is>
      </c>
      <c r="I420" t="inlineStr">
        <is>
          <t>Open</t>
        </is>
      </c>
      <c r="M420">
        <f>VLOOKUP(H420,'Stage Order'!$A$2:$B$8,2,FALSE)</f>
        <v/>
      </c>
      <c r="N420">
        <f>IF(G420&lt;=1,"1. Under 1 hour",IF(G420&lt;=24,"2. 1-24 hours",IF(G420&lt;=72,"3. 1-3 days","4. Over 3 days")))</f>
        <v/>
      </c>
      <c r="O420">
        <f>TEXT(B420,"YYYY-MM")</f>
        <v/>
      </c>
    </row>
    <row r="421">
      <c r="A421" t="inlineStr">
        <is>
          <t>LD-300419</t>
        </is>
      </c>
      <c r="B421" t="inlineStr">
        <is>
          <t>2026-05-21 15:37:00</t>
        </is>
      </c>
      <c r="C421" t="inlineStr">
        <is>
          <t>Organic Search</t>
        </is>
      </c>
      <c r="D421" t="inlineStr">
        <is>
          <t>Coding for Kids</t>
        </is>
      </c>
      <c r="E421" t="inlineStr">
        <is>
          <t>North Region</t>
        </is>
      </c>
      <c r="F421" t="inlineStr">
        <is>
          <t>Rep_11</t>
        </is>
      </c>
      <c r="G421" t="n">
        <v>1.08</v>
      </c>
      <c r="H421" t="inlineStr">
        <is>
          <t>Contacted</t>
        </is>
      </c>
      <c r="I421" t="inlineStr">
        <is>
          <t>Open</t>
        </is>
      </c>
      <c r="M421">
        <f>VLOOKUP(H421,'Stage Order'!$A$2:$B$8,2,FALSE)</f>
        <v/>
      </c>
      <c r="N421">
        <f>IF(G421&lt;=1,"1. Under 1 hour",IF(G421&lt;=24,"2. 1-24 hours",IF(G421&lt;=72,"3. 1-3 days","4. Over 3 days")))</f>
        <v/>
      </c>
      <c r="O421">
        <f>TEXT(B421,"YYYY-MM")</f>
        <v/>
      </c>
    </row>
    <row r="422">
      <c r="A422" t="inlineStr">
        <is>
          <t>LD-300420</t>
        </is>
      </c>
      <c r="B422" t="inlineStr">
        <is>
          <t>2025-11-20 14:41:00</t>
        </is>
      </c>
      <c r="C422" t="inlineStr">
        <is>
          <t>Organic Search</t>
        </is>
      </c>
      <c r="D422" t="inlineStr">
        <is>
          <t>Study Abroad Prep</t>
        </is>
      </c>
      <c r="E422" t="inlineStr">
        <is>
          <t>South Region</t>
        </is>
      </c>
      <c r="F422" t="inlineStr">
        <is>
          <t>Rep_07</t>
        </is>
      </c>
      <c r="G422" t="n">
        <v>12.25</v>
      </c>
      <c r="H422" t="inlineStr">
        <is>
          <t>Demo Completed</t>
        </is>
      </c>
      <c r="I422" t="inlineStr">
        <is>
          <t>Lost</t>
        </is>
      </c>
      <c r="J422" t="inlineStr">
        <is>
          <t>Price Objection</t>
        </is>
      </c>
      <c r="K422" t="n">
        <v>1255.41</v>
      </c>
      <c r="L422" t="inlineStr">
        <is>
          <t>2026-01-03 01:22:21.005351</t>
        </is>
      </c>
      <c r="M422">
        <f>VLOOKUP(H422,'Stage Order'!$A$2:$B$8,2,FALSE)</f>
        <v/>
      </c>
      <c r="N422">
        <f>IF(G422&lt;=1,"1. Under 1 hour",IF(G422&lt;=24,"2. 1-24 hours",IF(G422&lt;=72,"3. 1-3 days","4. Over 3 days")))</f>
        <v/>
      </c>
      <c r="O422">
        <f>TEXT(B422,"YYYY-MM")</f>
        <v/>
      </c>
    </row>
    <row r="423">
      <c r="A423" t="inlineStr">
        <is>
          <t>LD-300421</t>
        </is>
      </c>
      <c r="B423" t="inlineStr">
        <is>
          <t>2026-04-16 07:19:00</t>
        </is>
      </c>
      <c r="C423" t="inlineStr">
        <is>
          <t>Paid Search</t>
        </is>
      </c>
      <c r="D423" t="inlineStr">
        <is>
          <t>Language Learning</t>
        </is>
      </c>
      <c r="E423" t="inlineStr">
        <is>
          <t>West Region</t>
        </is>
      </c>
      <c r="F423" t="inlineStr">
        <is>
          <t>Rep_03</t>
        </is>
      </c>
      <c r="G423" t="n">
        <v>2.51</v>
      </c>
      <c r="H423" t="inlineStr">
        <is>
          <t>Lead</t>
        </is>
      </c>
      <c r="I423" t="inlineStr">
        <is>
          <t>Open</t>
        </is>
      </c>
      <c r="M423">
        <f>VLOOKUP(H423,'Stage Order'!$A$2:$B$8,2,FALSE)</f>
        <v/>
      </c>
      <c r="N423">
        <f>IF(G423&lt;=1,"1. Under 1 hour",IF(G423&lt;=24,"2. 1-24 hours",IF(G423&lt;=72,"3. 1-3 days","4. Over 3 days")))</f>
        <v/>
      </c>
      <c r="O423">
        <f>TEXT(B423,"YYYY-MM")</f>
        <v/>
      </c>
    </row>
    <row r="424">
      <c r="A424" t="inlineStr">
        <is>
          <t>LD-300422</t>
        </is>
      </c>
      <c r="B424" t="inlineStr">
        <is>
          <t>2025-04-27 20:44:00</t>
        </is>
      </c>
      <c r="C424" t="inlineStr">
        <is>
          <t>Cold Outreach</t>
        </is>
      </c>
      <c r="D424" t="inlineStr">
        <is>
          <t>Competitive Exam Prep</t>
        </is>
      </c>
      <c r="E424" t="inlineStr">
        <is>
          <t>International</t>
        </is>
      </c>
      <c r="F424" t="inlineStr">
        <is>
          <t>Rep_10</t>
        </is>
      </c>
      <c r="G424" t="n">
        <v>1.36</v>
      </c>
      <c r="H424" t="inlineStr">
        <is>
          <t>Demo Scheduled</t>
        </is>
      </c>
      <c r="I424" t="inlineStr">
        <is>
          <t>Open</t>
        </is>
      </c>
      <c r="M424">
        <f>VLOOKUP(H424,'Stage Order'!$A$2:$B$8,2,FALSE)</f>
        <v/>
      </c>
      <c r="N424">
        <f>IF(G424&lt;=1,"1. Under 1 hour",IF(G424&lt;=24,"2. 1-24 hours",IF(G424&lt;=72,"3. 1-3 days","4. Over 3 days")))</f>
        <v/>
      </c>
      <c r="O424">
        <f>TEXT(B424,"YYYY-MM")</f>
        <v/>
      </c>
    </row>
    <row r="425">
      <c r="A425" t="inlineStr">
        <is>
          <t>LD-300423</t>
        </is>
      </c>
      <c r="B425" t="inlineStr">
        <is>
          <t>2025-12-02 08:53:00</t>
        </is>
      </c>
      <c r="C425" t="inlineStr">
        <is>
          <t>Paid Search</t>
        </is>
      </c>
      <c r="D425" t="inlineStr">
        <is>
          <t>K-12 Math</t>
        </is>
      </c>
      <c r="E425" t="inlineStr">
        <is>
          <t>West Region</t>
        </is>
      </c>
      <c r="F425" t="inlineStr">
        <is>
          <t>Rep_08</t>
        </is>
      </c>
      <c r="G425" t="n">
        <v>4.69</v>
      </c>
      <c r="H425" t="inlineStr">
        <is>
          <t>Closed</t>
        </is>
      </c>
      <c r="I425" t="inlineStr">
        <is>
          <t>Won</t>
        </is>
      </c>
      <c r="K425" t="n">
        <v>449.01</v>
      </c>
      <c r="L425" t="inlineStr">
        <is>
          <t>2025-12-27 12:49:32.560448</t>
        </is>
      </c>
      <c r="M425">
        <f>VLOOKUP(H425,'Stage Order'!$A$2:$B$8,2,FALSE)</f>
        <v/>
      </c>
      <c r="N425">
        <f>IF(G425&lt;=1,"1. Under 1 hour",IF(G425&lt;=24,"2. 1-24 hours",IF(G425&lt;=72,"3. 1-3 days","4. Over 3 days")))</f>
        <v/>
      </c>
      <c r="O425">
        <f>TEXT(B425,"YYYY-MM")</f>
        <v/>
      </c>
    </row>
    <row r="426">
      <c r="A426" t="inlineStr">
        <is>
          <t>LD-300424</t>
        </is>
      </c>
      <c r="B426" t="inlineStr">
        <is>
          <t>2025-12-12 16:05:00</t>
        </is>
      </c>
      <c r="C426" t="inlineStr">
        <is>
          <t>Organic Search</t>
        </is>
      </c>
      <c r="D426" t="inlineStr">
        <is>
          <t>K-12 Math</t>
        </is>
      </c>
      <c r="E426" t="inlineStr">
        <is>
          <t>South Region</t>
        </is>
      </c>
      <c r="F426" t="inlineStr">
        <is>
          <t>Rep_02</t>
        </is>
      </c>
      <c r="G426" t="n">
        <v>3.8</v>
      </c>
      <c r="H426" t="inlineStr">
        <is>
          <t>Contacted</t>
        </is>
      </c>
      <c r="I426" t="inlineStr">
        <is>
          <t>Open</t>
        </is>
      </c>
      <c r="M426">
        <f>VLOOKUP(H426,'Stage Order'!$A$2:$B$8,2,FALSE)</f>
        <v/>
      </c>
      <c r="N426">
        <f>IF(G426&lt;=1,"1. Under 1 hour",IF(G426&lt;=24,"2. 1-24 hours",IF(G426&lt;=72,"3. 1-3 days","4. Over 3 days")))</f>
        <v/>
      </c>
      <c r="O426">
        <f>TEXT(B426,"YYYY-MM")</f>
        <v/>
      </c>
    </row>
    <row r="427">
      <c r="A427" t="inlineStr">
        <is>
          <t>LD-300425</t>
        </is>
      </c>
      <c r="B427" t="inlineStr">
        <is>
          <t>2026-01-09 13:52:00</t>
        </is>
      </c>
      <c r="C427" t="inlineStr">
        <is>
          <t>Webinar</t>
        </is>
      </c>
      <c r="D427" t="inlineStr">
        <is>
          <t>Coding for Kids</t>
        </is>
      </c>
      <c r="E427" t="inlineStr">
        <is>
          <t>East Region</t>
        </is>
      </c>
      <c r="F427" t="inlineStr">
        <is>
          <t>Rep_14</t>
        </is>
      </c>
      <c r="G427" t="n">
        <v>3.14</v>
      </c>
      <c r="H427" t="inlineStr">
        <is>
          <t>Contacted</t>
        </is>
      </c>
      <c r="I427" t="inlineStr">
        <is>
          <t>Open</t>
        </is>
      </c>
      <c r="M427">
        <f>VLOOKUP(H427,'Stage Order'!$A$2:$B$8,2,FALSE)</f>
        <v/>
      </c>
      <c r="N427">
        <f>IF(G427&lt;=1,"1. Under 1 hour",IF(G427&lt;=24,"2. 1-24 hours",IF(G427&lt;=72,"3. 1-3 days","4. Over 3 days")))</f>
        <v/>
      </c>
      <c r="O427">
        <f>TEXT(B427,"YYYY-MM")</f>
        <v/>
      </c>
    </row>
    <row r="428">
      <c r="A428" t="inlineStr">
        <is>
          <t>LD-300426</t>
        </is>
      </c>
      <c r="B428" t="inlineStr">
        <is>
          <t>2025-06-26 17:58:00</t>
        </is>
      </c>
      <c r="C428" t="inlineStr">
        <is>
          <t>Cold Outreach</t>
        </is>
      </c>
      <c r="D428" t="inlineStr">
        <is>
          <t>K-12 Math</t>
        </is>
      </c>
      <c r="E428" t="inlineStr">
        <is>
          <t>South Region</t>
        </is>
      </c>
      <c r="F428" t="inlineStr">
        <is>
          <t>Rep_02</t>
        </is>
      </c>
      <c r="G428" t="n">
        <v>1.37</v>
      </c>
      <c r="H428" t="inlineStr">
        <is>
          <t>Lead</t>
        </is>
      </c>
      <c r="I428" t="inlineStr">
        <is>
          <t>Open</t>
        </is>
      </c>
      <c r="M428">
        <f>VLOOKUP(H428,'Stage Order'!$A$2:$B$8,2,FALSE)</f>
        <v/>
      </c>
      <c r="N428">
        <f>IF(G428&lt;=1,"1. Under 1 hour",IF(G428&lt;=24,"2. 1-24 hours",IF(G428&lt;=72,"3. 1-3 days","4. Over 3 days")))</f>
        <v/>
      </c>
      <c r="O428">
        <f>TEXT(B428,"YYYY-MM")</f>
        <v/>
      </c>
    </row>
    <row r="429">
      <c r="A429" t="inlineStr">
        <is>
          <t>LD-300427</t>
        </is>
      </c>
      <c r="B429" t="inlineStr">
        <is>
          <t>2025-01-07 07:08:00</t>
        </is>
      </c>
      <c r="C429" t="inlineStr">
        <is>
          <t>Paid Search</t>
        </is>
      </c>
      <c r="D429" t="inlineStr">
        <is>
          <t>K-12 Math</t>
        </is>
      </c>
      <c r="E429" t="inlineStr">
        <is>
          <t>South Region</t>
        </is>
      </c>
      <c r="F429" t="inlineStr">
        <is>
          <t>Rep_12</t>
        </is>
      </c>
      <c r="G429" t="n">
        <v>3.52</v>
      </c>
      <c r="H429" t="inlineStr">
        <is>
          <t>Demo Completed</t>
        </is>
      </c>
      <c r="I429" t="inlineStr">
        <is>
          <t>Lost</t>
        </is>
      </c>
      <c r="J429" t="inlineStr">
        <is>
          <t>Budget Not Approved</t>
        </is>
      </c>
      <c r="K429" t="n">
        <v>446.18</v>
      </c>
      <c r="L429" t="inlineStr">
        <is>
          <t>2025-02-10 09:36:40.637538</t>
        </is>
      </c>
      <c r="M429">
        <f>VLOOKUP(H429,'Stage Order'!$A$2:$B$8,2,FALSE)</f>
        <v/>
      </c>
      <c r="N429">
        <f>IF(G429&lt;=1,"1. Under 1 hour",IF(G429&lt;=24,"2. 1-24 hours",IF(G429&lt;=72,"3. 1-3 days","4. Over 3 days")))</f>
        <v/>
      </c>
      <c r="O429">
        <f>TEXT(B429,"YYYY-MM")</f>
        <v/>
      </c>
    </row>
    <row r="430">
      <c r="A430" t="inlineStr">
        <is>
          <t>LD-300428</t>
        </is>
      </c>
      <c r="B430" t="inlineStr">
        <is>
          <t>2025-11-21 18:26:00</t>
        </is>
      </c>
      <c r="C430" t="inlineStr">
        <is>
          <t>Referral</t>
        </is>
      </c>
      <c r="D430" t="inlineStr">
        <is>
          <t>K-12 Math</t>
        </is>
      </c>
      <c r="E430" t="inlineStr">
        <is>
          <t>North Region</t>
        </is>
      </c>
      <c r="F430" t="inlineStr">
        <is>
          <t>Rep_06</t>
        </is>
      </c>
      <c r="G430" t="n">
        <v>4.39</v>
      </c>
      <c r="H430" t="inlineStr">
        <is>
          <t>Closed</t>
        </is>
      </c>
      <c r="I430" t="inlineStr">
        <is>
          <t>Won</t>
        </is>
      </c>
      <c r="K430" t="n">
        <v>567.2</v>
      </c>
      <c r="L430" t="inlineStr">
        <is>
          <t>2025-12-23 05:27:05.317205</t>
        </is>
      </c>
      <c r="M430">
        <f>VLOOKUP(H430,'Stage Order'!$A$2:$B$8,2,FALSE)</f>
        <v/>
      </c>
      <c r="N430">
        <f>IF(G430&lt;=1,"1. Under 1 hour",IF(G430&lt;=24,"2. 1-24 hours",IF(G430&lt;=72,"3. 1-3 days","4. Over 3 days")))</f>
        <v/>
      </c>
      <c r="O430">
        <f>TEXT(B430,"YYYY-MM")</f>
        <v/>
      </c>
    </row>
    <row r="431">
      <c r="A431" t="inlineStr">
        <is>
          <t>LD-300429</t>
        </is>
      </c>
      <c r="B431" t="inlineStr">
        <is>
          <t>2026-04-05 16:54:00</t>
        </is>
      </c>
      <c r="C431" t="inlineStr">
        <is>
          <t>Referral</t>
        </is>
      </c>
      <c r="D431" t="inlineStr">
        <is>
          <t>Coding for Kids</t>
        </is>
      </c>
      <c r="E431" t="inlineStr">
        <is>
          <t>North Region</t>
        </is>
      </c>
      <c r="F431" t="inlineStr">
        <is>
          <t>Rep_01</t>
        </is>
      </c>
      <c r="G431" t="n">
        <v>12.89</v>
      </c>
      <c r="H431" t="inlineStr">
        <is>
          <t>Contacted</t>
        </is>
      </c>
      <c r="I431" t="inlineStr">
        <is>
          <t>Open</t>
        </is>
      </c>
      <c r="M431">
        <f>VLOOKUP(H431,'Stage Order'!$A$2:$B$8,2,FALSE)</f>
        <v/>
      </c>
      <c r="N431">
        <f>IF(G431&lt;=1,"1. Under 1 hour",IF(G431&lt;=24,"2. 1-24 hours",IF(G431&lt;=72,"3. 1-3 days","4. Over 3 days")))</f>
        <v/>
      </c>
      <c r="O431">
        <f>TEXT(B431,"YYYY-MM")</f>
        <v/>
      </c>
    </row>
    <row r="432">
      <c r="A432" t="inlineStr">
        <is>
          <t>LD-300430</t>
        </is>
      </c>
      <c r="B432" t="inlineStr">
        <is>
          <t>2025-01-12 13:20:00</t>
        </is>
      </c>
      <c r="C432" t="inlineStr">
        <is>
          <t>Referral</t>
        </is>
      </c>
      <c r="D432" t="inlineStr">
        <is>
          <t>K-12 Math</t>
        </is>
      </c>
      <c r="E432" t="inlineStr">
        <is>
          <t>South Region</t>
        </is>
      </c>
      <c r="F432" t="inlineStr">
        <is>
          <t>Rep_12</t>
        </is>
      </c>
      <c r="G432" t="n">
        <v>1.95</v>
      </c>
      <c r="H432" t="inlineStr">
        <is>
          <t>Closed</t>
        </is>
      </c>
      <c r="I432" t="inlineStr">
        <is>
          <t>Won</t>
        </is>
      </c>
      <c r="K432" t="n">
        <v>433.18</v>
      </c>
      <c r="L432" t="inlineStr">
        <is>
          <t>2025-02-27 09:30:27.181938</t>
        </is>
      </c>
      <c r="M432">
        <f>VLOOKUP(H432,'Stage Order'!$A$2:$B$8,2,FALSE)</f>
        <v/>
      </c>
      <c r="N432">
        <f>IF(G432&lt;=1,"1. Under 1 hour",IF(G432&lt;=24,"2. 1-24 hours",IF(G432&lt;=72,"3. 1-3 days","4. Over 3 days")))</f>
        <v/>
      </c>
      <c r="O432">
        <f>TEXT(B432,"YYYY-MM")</f>
        <v/>
      </c>
    </row>
    <row r="433">
      <c r="A433" t="inlineStr">
        <is>
          <t>LD-300431</t>
        </is>
      </c>
      <c r="B433" t="inlineStr">
        <is>
          <t>2025-11-18 07:28:00</t>
        </is>
      </c>
      <c r="C433" t="inlineStr">
        <is>
          <t>Organic Search</t>
        </is>
      </c>
      <c r="D433" t="inlineStr">
        <is>
          <t>Coding for Kids</t>
        </is>
      </c>
      <c r="E433" t="inlineStr">
        <is>
          <t>North Region</t>
        </is>
      </c>
      <c r="F433" t="inlineStr">
        <is>
          <t>Rep_11</t>
        </is>
      </c>
      <c r="G433" t="n">
        <v>0.99</v>
      </c>
      <c r="H433" t="inlineStr">
        <is>
          <t>Contacted</t>
        </is>
      </c>
      <c r="I433" t="inlineStr">
        <is>
          <t>Open</t>
        </is>
      </c>
      <c r="M433">
        <f>VLOOKUP(H433,'Stage Order'!$A$2:$B$8,2,FALSE)</f>
        <v/>
      </c>
      <c r="N433">
        <f>IF(G433&lt;=1,"1. Under 1 hour",IF(G433&lt;=24,"2. 1-24 hours",IF(G433&lt;=72,"3. 1-3 days","4. Over 3 days")))</f>
        <v/>
      </c>
      <c r="O433">
        <f>TEXT(B433,"YYYY-MM")</f>
        <v/>
      </c>
    </row>
    <row r="434">
      <c r="A434" t="inlineStr">
        <is>
          <t>LD-300432</t>
        </is>
      </c>
      <c r="B434" t="inlineStr">
        <is>
          <t>2025-02-11 11:36:00</t>
        </is>
      </c>
      <c r="C434" t="inlineStr">
        <is>
          <t>Organic Search</t>
        </is>
      </c>
      <c r="D434" t="inlineStr">
        <is>
          <t>K-12 Math</t>
        </is>
      </c>
      <c r="E434" t="inlineStr">
        <is>
          <t>East Region</t>
        </is>
      </c>
      <c r="F434" t="inlineStr">
        <is>
          <t>Rep_04</t>
        </is>
      </c>
      <c r="G434" t="n">
        <v>4.33</v>
      </c>
      <c r="H434" t="inlineStr">
        <is>
          <t>Lead</t>
        </is>
      </c>
      <c r="I434" t="inlineStr">
        <is>
          <t>Open</t>
        </is>
      </c>
      <c r="M434">
        <f>VLOOKUP(H434,'Stage Order'!$A$2:$B$8,2,FALSE)</f>
        <v/>
      </c>
      <c r="N434">
        <f>IF(G434&lt;=1,"1. Under 1 hour",IF(G434&lt;=24,"2. 1-24 hours",IF(G434&lt;=72,"3. 1-3 days","4. Over 3 days")))</f>
        <v/>
      </c>
      <c r="O434">
        <f>TEXT(B434,"YYYY-MM")</f>
        <v/>
      </c>
    </row>
    <row r="435">
      <c r="A435" t="inlineStr">
        <is>
          <t>LD-300433</t>
        </is>
      </c>
      <c r="B435" t="inlineStr">
        <is>
          <t>2025-03-17 15:47:00</t>
        </is>
      </c>
      <c r="C435" t="inlineStr">
        <is>
          <t>Organic Search</t>
        </is>
      </c>
      <c r="D435" t="inlineStr">
        <is>
          <t>K-12 Math</t>
        </is>
      </c>
      <c r="E435" t="inlineStr">
        <is>
          <t>International</t>
        </is>
      </c>
      <c r="F435" t="inlineStr">
        <is>
          <t>Rep_10</t>
        </is>
      </c>
      <c r="G435" t="n">
        <v>1.36</v>
      </c>
      <c r="H435" t="inlineStr">
        <is>
          <t>Contacted</t>
        </is>
      </c>
      <c r="I435" t="inlineStr">
        <is>
          <t>Open</t>
        </is>
      </c>
      <c r="M435">
        <f>VLOOKUP(H435,'Stage Order'!$A$2:$B$8,2,FALSE)</f>
        <v/>
      </c>
      <c r="N435">
        <f>IF(G435&lt;=1,"1. Under 1 hour",IF(G435&lt;=24,"2. 1-24 hours",IF(G435&lt;=72,"3. 1-3 days","4. Over 3 days")))</f>
        <v/>
      </c>
      <c r="O435">
        <f>TEXT(B435,"YYYY-MM")</f>
        <v/>
      </c>
    </row>
    <row r="436">
      <c r="A436" t="inlineStr">
        <is>
          <t>LD-300434</t>
        </is>
      </c>
      <c r="B436" t="inlineStr">
        <is>
          <t>2025-04-08 10:02:00</t>
        </is>
      </c>
      <c r="C436" t="inlineStr">
        <is>
          <t>Webinar</t>
        </is>
      </c>
      <c r="D436" t="inlineStr">
        <is>
          <t>Study Abroad Prep</t>
        </is>
      </c>
      <c r="E436" t="inlineStr">
        <is>
          <t>International</t>
        </is>
      </c>
      <c r="F436" t="inlineStr">
        <is>
          <t>Rep_05</t>
        </is>
      </c>
      <c r="G436" t="n">
        <v>1.28</v>
      </c>
      <c r="H436" t="inlineStr">
        <is>
          <t>Negotiation</t>
        </is>
      </c>
      <c r="I436" t="inlineStr">
        <is>
          <t>Lost</t>
        </is>
      </c>
      <c r="J436" t="inlineStr">
        <is>
          <t>No Response / Ghosted</t>
        </is>
      </c>
      <c r="K436" t="n">
        <v>1239.07</v>
      </c>
      <c r="L436" t="inlineStr">
        <is>
          <t>2025-05-30 05:05:47.160309</t>
        </is>
      </c>
      <c r="M436">
        <f>VLOOKUP(H436,'Stage Order'!$A$2:$B$8,2,FALSE)</f>
        <v/>
      </c>
      <c r="N436">
        <f>IF(G436&lt;=1,"1. Under 1 hour",IF(G436&lt;=24,"2. 1-24 hours",IF(G436&lt;=72,"3. 1-3 days","4. Over 3 days")))</f>
        <v/>
      </c>
      <c r="O436">
        <f>TEXT(B436,"YYYY-MM")</f>
        <v/>
      </c>
    </row>
    <row r="437">
      <c r="A437" t="inlineStr">
        <is>
          <t>LD-300435</t>
        </is>
      </c>
      <c r="B437" t="inlineStr">
        <is>
          <t>2026-01-22 12:11:00</t>
        </is>
      </c>
      <c r="C437" t="inlineStr">
        <is>
          <t>Cold Outreach</t>
        </is>
      </c>
      <c r="D437" t="inlineStr">
        <is>
          <t>Coding for Kids</t>
        </is>
      </c>
      <c r="E437" t="inlineStr">
        <is>
          <t>West Region</t>
        </is>
      </c>
      <c r="F437" t="inlineStr">
        <is>
          <t>Rep_13</t>
        </is>
      </c>
      <c r="G437" t="n">
        <v>6.46</v>
      </c>
      <c r="H437" t="inlineStr">
        <is>
          <t>Lead</t>
        </is>
      </c>
      <c r="I437" t="inlineStr">
        <is>
          <t>Open</t>
        </is>
      </c>
      <c r="M437">
        <f>VLOOKUP(H437,'Stage Order'!$A$2:$B$8,2,FALSE)</f>
        <v/>
      </c>
      <c r="N437">
        <f>IF(G437&lt;=1,"1. Under 1 hour",IF(G437&lt;=24,"2. 1-24 hours",IF(G437&lt;=72,"3. 1-3 days","4. Over 3 days")))</f>
        <v/>
      </c>
      <c r="O437">
        <f>TEXT(B437,"YYYY-MM")</f>
        <v/>
      </c>
    </row>
    <row r="438">
      <c r="A438" t="inlineStr">
        <is>
          <t>LD-300436</t>
        </is>
      </c>
      <c r="B438" t="inlineStr">
        <is>
          <t>2025-06-24 16:41:00</t>
        </is>
      </c>
      <c r="C438" t="inlineStr">
        <is>
          <t>Cold Outreach</t>
        </is>
      </c>
      <c r="D438" t="inlineStr">
        <is>
          <t>K-12 Math</t>
        </is>
      </c>
      <c r="E438" t="inlineStr">
        <is>
          <t>West Region</t>
        </is>
      </c>
      <c r="F438" t="inlineStr">
        <is>
          <t>Rep_08</t>
        </is>
      </c>
      <c r="G438" t="n">
        <v>7.08</v>
      </c>
      <c r="H438" t="inlineStr">
        <is>
          <t>Lead</t>
        </is>
      </c>
      <c r="I438" t="inlineStr">
        <is>
          <t>Open</t>
        </is>
      </c>
      <c r="M438">
        <f>VLOOKUP(H438,'Stage Order'!$A$2:$B$8,2,FALSE)</f>
        <v/>
      </c>
      <c r="N438">
        <f>IF(G438&lt;=1,"1. Under 1 hour",IF(G438&lt;=24,"2. 1-24 hours",IF(G438&lt;=72,"3. 1-3 days","4. Over 3 days")))</f>
        <v/>
      </c>
      <c r="O438">
        <f>TEXT(B438,"YYYY-MM")</f>
        <v/>
      </c>
    </row>
    <row r="439">
      <c r="A439" t="inlineStr">
        <is>
          <t>LD-300437</t>
        </is>
      </c>
      <c r="B439" t="inlineStr">
        <is>
          <t>2026-05-16 08:01:00</t>
        </is>
      </c>
      <c r="C439" t="inlineStr">
        <is>
          <t>Referral</t>
        </is>
      </c>
      <c r="D439" t="inlineStr">
        <is>
          <t>K-12 Math</t>
        </is>
      </c>
      <c r="E439" t="inlineStr">
        <is>
          <t>International</t>
        </is>
      </c>
      <c r="F439" t="inlineStr">
        <is>
          <t>Rep_15</t>
        </is>
      </c>
      <c r="G439" t="n">
        <v>0.74</v>
      </c>
      <c r="H439" t="inlineStr">
        <is>
          <t>Closed</t>
        </is>
      </c>
      <c r="I439" t="inlineStr">
        <is>
          <t>Won</t>
        </is>
      </c>
      <c r="K439" t="n">
        <v>544.9</v>
      </c>
      <c r="L439" t="inlineStr">
        <is>
          <t>2026-06-28 19:03:03.873483</t>
        </is>
      </c>
      <c r="M439">
        <f>VLOOKUP(H439,'Stage Order'!$A$2:$B$8,2,FALSE)</f>
        <v/>
      </c>
      <c r="N439">
        <f>IF(G439&lt;=1,"1. Under 1 hour",IF(G439&lt;=24,"2. 1-24 hours",IF(G439&lt;=72,"3. 1-3 days","4. Over 3 days")))</f>
        <v/>
      </c>
      <c r="O439">
        <f>TEXT(B439,"YYYY-MM")</f>
        <v/>
      </c>
    </row>
    <row r="440">
      <c r="A440" t="inlineStr">
        <is>
          <t>LD-300438</t>
        </is>
      </c>
      <c r="B440" t="inlineStr">
        <is>
          <t>2025-04-11 11:33:00</t>
        </is>
      </c>
      <c r="C440" t="inlineStr">
        <is>
          <t>Paid Search</t>
        </is>
      </c>
      <c r="D440" t="inlineStr">
        <is>
          <t>Study Abroad Prep</t>
        </is>
      </c>
      <c r="E440" t="inlineStr">
        <is>
          <t>West Region</t>
        </is>
      </c>
      <c r="F440" t="inlineStr">
        <is>
          <t>Rep_03</t>
        </is>
      </c>
      <c r="G440" t="n">
        <v>14.87</v>
      </c>
      <c r="H440" t="inlineStr">
        <is>
          <t>Lead</t>
        </is>
      </c>
      <c r="I440" t="inlineStr">
        <is>
          <t>Open</t>
        </is>
      </c>
      <c r="M440">
        <f>VLOOKUP(H440,'Stage Order'!$A$2:$B$8,2,FALSE)</f>
        <v/>
      </c>
      <c r="N440">
        <f>IF(G440&lt;=1,"1. Under 1 hour",IF(G440&lt;=24,"2. 1-24 hours",IF(G440&lt;=72,"3. 1-3 days","4. Over 3 days")))</f>
        <v/>
      </c>
      <c r="O440">
        <f>TEXT(B440,"YYYY-MM")</f>
        <v/>
      </c>
    </row>
    <row r="441">
      <c r="A441" t="inlineStr">
        <is>
          <t>LD-300439</t>
        </is>
      </c>
      <c r="B441" t="inlineStr">
        <is>
          <t>2026-02-27 16:51:00</t>
        </is>
      </c>
      <c r="C441" t="inlineStr">
        <is>
          <t>Paid Search</t>
        </is>
      </c>
      <c r="D441" t="inlineStr">
        <is>
          <t>K-12 Math</t>
        </is>
      </c>
      <c r="E441" t="inlineStr">
        <is>
          <t>South Region</t>
        </is>
      </c>
      <c r="F441" t="inlineStr">
        <is>
          <t>Rep_02</t>
        </is>
      </c>
      <c r="G441" t="n">
        <v>1.08</v>
      </c>
      <c r="H441" t="inlineStr">
        <is>
          <t>Contacted</t>
        </is>
      </c>
      <c r="I441" t="inlineStr">
        <is>
          <t>Open</t>
        </is>
      </c>
      <c r="M441">
        <f>VLOOKUP(H441,'Stage Order'!$A$2:$B$8,2,FALSE)</f>
        <v/>
      </c>
      <c r="N441">
        <f>IF(G441&lt;=1,"1. Under 1 hour",IF(G441&lt;=24,"2. 1-24 hours",IF(G441&lt;=72,"3. 1-3 days","4. Over 3 days")))</f>
        <v/>
      </c>
      <c r="O441">
        <f>TEXT(B441,"YYYY-MM")</f>
        <v/>
      </c>
    </row>
    <row r="442">
      <c r="A442" t="inlineStr">
        <is>
          <t>LD-300440</t>
        </is>
      </c>
      <c r="B442" t="inlineStr">
        <is>
          <t>2026-01-10 13:09:00</t>
        </is>
      </c>
      <c r="C442" t="inlineStr">
        <is>
          <t>Partner Channel</t>
        </is>
      </c>
      <c r="D442" t="inlineStr">
        <is>
          <t>Language Learning</t>
        </is>
      </c>
      <c r="E442" t="inlineStr">
        <is>
          <t>West Region</t>
        </is>
      </c>
      <c r="F442" t="inlineStr">
        <is>
          <t>Rep_13</t>
        </is>
      </c>
      <c r="G442" t="n">
        <v>1.41</v>
      </c>
      <c r="H442" t="inlineStr">
        <is>
          <t>Contacted</t>
        </is>
      </c>
      <c r="I442" t="inlineStr">
        <is>
          <t>Open</t>
        </is>
      </c>
      <c r="M442">
        <f>VLOOKUP(H442,'Stage Order'!$A$2:$B$8,2,FALSE)</f>
        <v/>
      </c>
      <c r="N442">
        <f>IF(G442&lt;=1,"1. Under 1 hour",IF(G442&lt;=24,"2. 1-24 hours",IF(G442&lt;=72,"3. 1-3 days","4. Over 3 days")))</f>
        <v/>
      </c>
      <c r="O442">
        <f>TEXT(B442,"YYYY-MM")</f>
        <v/>
      </c>
    </row>
    <row r="443">
      <c r="A443" t="inlineStr">
        <is>
          <t>LD-300441</t>
        </is>
      </c>
      <c r="B443" t="inlineStr">
        <is>
          <t>2026-06-05 11:25:00</t>
        </is>
      </c>
      <c r="C443" t="inlineStr">
        <is>
          <t>Partner Channel</t>
        </is>
      </c>
      <c r="D443" t="inlineStr">
        <is>
          <t>Study Abroad Prep</t>
        </is>
      </c>
      <c r="E443" t="inlineStr">
        <is>
          <t>South Region</t>
        </is>
      </c>
      <c r="F443" t="inlineStr">
        <is>
          <t>Rep_07</t>
        </is>
      </c>
      <c r="G443" t="n">
        <v>4.04</v>
      </c>
      <c r="H443" t="inlineStr">
        <is>
          <t>Contacted</t>
        </is>
      </c>
      <c r="I443" t="inlineStr">
        <is>
          <t>Open</t>
        </is>
      </c>
      <c r="M443">
        <f>VLOOKUP(H443,'Stage Order'!$A$2:$B$8,2,FALSE)</f>
        <v/>
      </c>
      <c r="N443">
        <f>IF(G443&lt;=1,"1. Under 1 hour",IF(G443&lt;=24,"2. 1-24 hours",IF(G443&lt;=72,"3. 1-3 days","4. Over 3 days")))</f>
        <v/>
      </c>
      <c r="O443">
        <f>TEXT(B443,"YYYY-MM")</f>
        <v/>
      </c>
    </row>
    <row r="444">
      <c r="A444" t="inlineStr">
        <is>
          <t>LD-300442</t>
        </is>
      </c>
      <c r="B444" t="inlineStr">
        <is>
          <t>2026-03-13 20:01:00</t>
        </is>
      </c>
      <c r="C444" t="inlineStr">
        <is>
          <t>Webinar</t>
        </is>
      </c>
      <c r="D444" t="inlineStr">
        <is>
          <t>Study Abroad Prep</t>
        </is>
      </c>
      <c r="E444" t="inlineStr">
        <is>
          <t>East Region</t>
        </is>
      </c>
      <c r="F444" t="inlineStr">
        <is>
          <t>Rep_09</t>
        </is>
      </c>
      <c r="G444" t="n">
        <v>9.59</v>
      </c>
      <c r="H444" t="inlineStr">
        <is>
          <t>Contacted</t>
        </is>
      </c>
      <c r="I444" t="inlineStr">
        <is>
          <t>Open</t>
        </is>
      </c>
      <c r="M444">
        <f>VLOOKUP(H444,'Stage Order'!$A$2:$B$8,2,FALSE)</f>
        <v/>
      </c>
      <c r="N444">
        <f>IF(G444&lt;=1,"1. Under 1 hour",IF(G444&lt;=24,"2. 1-24 hours",IF(G444&lt;=72,"3. 1-3 days","4. Over 3 days")))</f>
        <v/>
      </c>
      <c r="O444">
        <f>TEXT(B444,"YYYY-MM")</f>
        <v/>
      </c>
    </row>
    <row r="445">
      <c r="A445" t="inlineStr">
        <is>
          <t>LD-300443</t>
        </is>
      </c>
      <c r="B445" t="inlineStr">
        <is>
          <t>2026-02-23 18:48:00</t>
        </is>
      </c>
      <c r="C445" t="inlineStr">
        <is>
          <t>Cold Outreach</t>
        </is>
      </c>
      <c r="D445" t="inlineStr">
        <is>
          <t>K-12 Math</t>
        </is>
      </c>
      <c r="E445" t="inlineStr">
        <is>
          <t>North Region</t>
        </is>
      </c>
      <c r="F445" t="inlineStr">
        <is>
          <t>Rep_06</t>
        </is>
      </c>
      <c r="G445" t="n">
        <v>5.46</v>
      </c>
      <c r="H445" t="inlineStr">
        <is>
          <t>Lead</t>
        </is>
      </c>
      <c r="I445" t="inlineStr">
        <is>
          <t>Open</t>
        </is>
      </c>
      <c r="M445">
        <f>VLOOKUP(H445,'Stage Order'!$A$2:$B$8,2,FALSE)</f>
        <v/>
      </c>
      <c r="N445">
        <f>IF(G445&lt;=1,"1. Under 1 hour",IF(G445&lt;=24,"2. 1-24 hours",IF(G445&lt;=72,"3. 1-3 days","4. Over 3 days")))</f>
        <v/>
      </c>
      <c r="O445">
        <f>TEXT(B445,"YYYY-MM")</f>
        <v/>
      </c>
    </row>
    <row r="446">
      <c r="A446" t="inlineStr">
        <is>
          <t>LD-300444</t>
        </is>
      </c>
      <c r="B446" t="inlineStr">
        <is>
          <t>2025-01-14 12:49:00</t>
        </is>
      </c>
      <c r="C446" t="inlineStr">
        <is>
          <t>Partner Channel</t>
        </is>
      </c>
      <c r="D446" t="inlineStr">
        <is>
          <t>K-12 Math</t>
        </is>
      </c>
      <c r="E446" t="inlineStr">
        <is>
          <t>East Region</t>
        </is>
      </c>
      <c r="F446" t="inlineStr">
        <is>
          <t>Rep_14</t>
        </is>
      </c>
      <c r="G446" t="n">
        <v>3.58</v>
      </c>
      <c r="H446" t="inlineStr">
        <is>
          <t>Lead</t>
        </is>
      </c>
      <c r="I446" t="inlineStr">
        <is>
          <t>Open</t>
        </is>
      </c>
      <c r="M446">
        <f>VLOOKUP(H446,'Stage Order'!$A$2:$B$8,2,FALSE)</f>
        <v/>
      </c>
      <c r="N446">
        <f>IF(G446&lt;=1,"1. Under 1 hour",IF(G446&lt;=24,"2. 1-24 hours",IF(G446&lt;=72,"3. 1-3 days","4. Over 3 days")))</f>
        <v/>
      </c>
      <c r="O446">
        <f>TEXT(B446,"YYYY-MM")</f>
        <v/>
      </c>
    </row>
    <row r="447">
      <c r="A447" t="inlineStr">
        <is>
          <t>LD-300445</t>
        </is>
      </c>
      <c r="B447" t="inlineStr">
        <is>
          <t>2025-10-24 12:14:00</t>
        </is>
      </c>
      <c r="C447" t="inlineStr">
        <is>
          <t>Social Media</t>
        </is>
      </c>
      <c r="D447" t="inlineStr">
        <is>
          <t>Competitive Exam Prep</t>
        </is>
      </c>
      <c r="E447" t="inlineStr">
        <is>
          <t>South Region</t>
        </is>
      </c>
      <c r="F447" t="inlineStr">
        <is>
          <t>Rep_12</t>
        </is>
      </c>
      <c r="G447" t="n">
        <v>1.84</v>
      </c>
      <c r="H447" t="inlineStr">
        <is>
          <t>Contacted</t>
        </is>
      </c>
      <c r="I447" t="inlineStr">
        <is>
          <t>Open</t>
        </is>
      </c>
      <c r="M447">
        <f>VLOOKUP(H447,'Stage Order'!$A$2:$B$8,2,FALSE)</f>
        <v/>
      </c>
      <c r="N447">
        <f>IF(G447&lt;=1,"1. Under 1 hour",IF(G447&lt;=24,"2. 1-24 hours",IF(G447&lt;=72,"3. 1-3 days","4. Over 3 days")))</f>
        <v/>
      </c>
      <c r="O447">
        <f>TEXT(B447,"YYYY-MM")</f>
        <v/>
      </c>
    </row>
    <row r="448">
      <c r="A448" t="inlineStr">
        <is>
          <t>LD-300446</t>
        </is>
      </c>
      <c r="B448" t="inlineStr">
        <is>
          <t>2025-07-24 17:25:00</t>
        </is>
      </c>
      <c r="C448" t="inlineStr">
        <is>
          <t>Partner Channel</t>
        </is>
      </c>
      <c r="D448" t="inlineStr">
        <is>
          <t>Coding for Kids</t>
        </is>
      </c>
      <c r="E448" t="inlineStr">
        <is>
          <t>South Region</t>
        </is>
      </c>
      <c r="F448" t="inlineStr">
        <is>
          <t>Rep_12</t>
        </is>
      </c>
      <c r="G448" t="n">
        <v>1.13</v>
      </c>
      <c r="H448" t="inlineStr">
        <is>
          <t>Negotiation</t>
        </is>
      </c>
      <c r="I448" t="inlineStr">
        <is>
          <t>Lost</t>
        </is>
      </c>
      <c r="J448" t="inlineStr">
        <is>
          <t>Bad Timing</t>
        </is>
      </c>
      <c r="K448" t="n">
        <v>670.26</v>
      </c>
      <c r="L448" t="inlineStr">
        <is>
          <t>2025-08-15 08:06:24.097274</t>
        </is>
      </c>
      <c r="M448">
        <f>VLOOKUP(H448,'Stage Order'!$A$2:$B$8,2,FALSE)</f>
        <v/>
      </c>
      <c r="N448">
        <f>IF(G448&lt;=1,"1. Under 1 hour",IF(G448&lt;=24,"2. 1-24 hours",IF(G448&lt;=72,"3. 1-3 days","4. Over 3 days")))</f>
        <v/>
      </c>
      <c r="O448">
        <f>TEXT(B448,"YYYY-MM")</f>
        <v/>
      </c>
    </row>
    <row r="449">
      <c r="A449" t="inlineStr">
        <is>
          <t>LD-300447</t>
        </is>
      </c>
      <c r="B449" t="inlineStr">
        <is>
          <t>2025-02-07 16:22:00</t>
        </is>
      </c>
      <c r="C449" t="inlineStr">
        <is>
          <t>Paid Search</t>
        </is>
      </c>
      <c r="D449" t="inlineStr">
        <is>
          <t>K-12 Math</t>
        </is>
      </c>
      <c r="E449" t="inlineStr">
        <is>
          <t>West Region</t>
        </is>
      </c>
      <c r="F449" t="inlineStr">
        <is>
          <t>Rep_03</t>
        </is>
      </c>
      <c r="G449" t="n">
        <v>7.77</v>
      </c>
      <c r="H449" t="inlineStr">
        <is>
          <t>Demo Completed</t>
        </is>
      </c>
      <c r="I449" t="inlineStr">
        <is>
          <t>Lost</t>
        </is>
      </c>
      <c r="J449" t="inlineStr">
        <is>
          <t>No Response / Ghosted</t>
        </is>
      </c>
      <c r="K449" t="n">
        <v>410.1</v>
      </c>
      <c r="L449" t="inlineStr">
        <is>
          <t>2025-03-11 03:37:44.918940</t>
        </is>
      </c>
      <c r="M449">
        <f>VLOOKUP(H449,'Stage Order'!$A$2:$B$8,2,FALSE)</f>
        <v/>
      </c>
      <c r="N449">
        <f>IF(G449&lt;=1,"1. Under 1 hour",IF(G449&lt;=24,"2. 1-24 hours",IF(G449&lt;=72,"3. 1-3 days","4. Over 3 days")))</f>
        <v/>
      </c>
      <c r="O449">
        <f>TEXT(B449,"YYYY-MM")</f>
        <v/>
      </c>
    </row>
    <row r="450">
      <c r="A450" t="inlineStr">
        <is>
          <t>LD-300448</t>
        </is>
      </c>
      <c r="B450" t="inlineStr">
        <is>
          <t>2025-10-28 13:39:00</t>
        </is>
      </c>
      <c r="C450" t="inlineStr">
        <is>
          <t>Social Media</t>
        </is>
      </c>
      <c r="D450" t="inlineStr">
        <is>
          <t>K-12 Math</t>
        </is>
      </c>
      <c r="E450" t="inlineStr">
        <is>
          <t>North Region</t>
        </is>
      </c>
      <c r="F450" t="inlineStr">
        <is>
          <t>Rep_01</t>
        </is>
      </c>
      <c r="G450" t="n">
        <v>2.09</v>
      </c>
      <c r="H450" t="inlineStr">
        <is>
          <t>Lead</t>
        </is>
      </c>
      <c r="I450" t="inlineStr">
        <is>
          <t>Open</t>
        </is>
      </c>
      <c r="M450">
        <f>VLOOKUP(H450,'Stage Order'!$A$2:$B$8,2,FALSE)</f>
        <v/>
      </c>
      <c r="N450">
        <f>IF(G450&lt;=1,"1. Under 1 hour",IF(G450&lt;=24,"2. 1-24 hours",IF(G450&lt;=72,"3. 1-3 days","4. Over 3 days")))</f>
        <v/>
      </c>
      <c r="O450">
        <f>TEXT(B450,"YYYY-MM")</f>
        <v/>
      </c>
    </row>
    <row r="451">
      <c r="A451" t="inlineStr">
        <is>
          <t>LD-300449</t>
        </is>
      </c>
      <c r="B451" t="inlineStr">
        <is>
          <t>2025-01-24 08:07:00</t>
        </is>
      </c>
      <c r="C451" t="inlineStr">
        <is>
          <t>Paid Search</t>
        </is>
      </c>
      <c r="D451" t="inlineStr">
        <is>
          <t>Study Abroad Prep</t>
        </is>
      </c>
      <c r="E451" t="inlineStr">
        <is>
          <t>International</t>
        </is>
      </c>
      <c r="F451" t="inlineStr">
        <is>
          <t>Rep_15</t>
        </is>
      </c>
      <c r="G451" t="n">
        <v>11.83</v>
      </c>
      <c r="H451" t="inlineStr">
        <is>
          <t>Contacted</t>
        </is>
      </c>
      <c r="I451" t="inlineStr">
        <is>
          <t>Open</t>
        </is>
      </c>
      <c r="M451">
        <f>VLOOKUP(H451,'Stage Order'!$A$2:$B$8,2,FALSE)</f>
        <v/>
      </c>
      <c r="N451">
        <f>IF(G451&lt;=1,"1. Under 1 hour",IF(G451&lt;=24,"2. 1-24 hours",IF(G451&lt;=72,"3. 1-3 days","4. Over 3 days")))</f>
        <v/>
      </c>
      <c r="O451">
        <f>TEXT(B451,"YYYY-MM")</f>
        <v/>
      </c>
    </row>
    <row r="452">
      <c r="A452" t="inlineStr">
        <is>
          <t>LD-300450</t>
        </is>
      </c>
      <c r="B452" t="inlineStr">
        <is>
          <t>2026-01-16 11:02:00</t>
        </is>
      </c>
      <c r="C452" t="inlineStr">
        <is>
          <t>Referral</t>
        </is>
      </c>
      <c r="D452" t="inlineStr">
        <is>
          <t>Coding for Kids</t>
        </is>
      </c>
      <c r="E452" t="inlineStr">
        <is>
          <t>International</t>
        </is>
      </c>
      <c r="F452" t="inlineStr">
        <is>
          <t>Rep_05</t>
        </is>
      </c>
      <c r="G452" t="n">
        <v>2.06</v>
      </c>
      <c r="H452" t="inlineStr">
        <is>
          <t>Contacted</t>
        </is>
      </c>
      <c r="I452" t="inlineStr">
        <is>
          <t>Open</t>
        </is>
      </c>
      <c r="M452">
        <f>VLOOKUP(H452,'Stage Order'!$A$2:$B$8,2,FALSE)</f>
        <v/>
      </c>
      <c r="N452">
        <f>IF(G452&lt;=1,"1. Under 1 hour",IF(G452&lt;=24,"2. 1-24 hours",IF(G452&lt;=72,"3. 1-3 days","4. Over 3 days")))</f>
        <v/>
      </c>
      <c r="O452">
        <f>TEXT(B452,"YYYY-MM")</f>
        <v/>
      </c>
    </row>
    <row r="453">
      <c r="A453" t="inlineStr">
        <is>
          <t>LD-300451</t>
        </is>
      </c>
      <c r="B453" t="inlineStr">
        <is>
          <t>2026-04-03 08:32:00</t>
        </is>
      </c>
      <c r="C453" t="inlineStr">
        <is>
          <t>Paid Search</t>
        </is>
      </c>
      <c r="D453" t="inlineStr">
        <is>
          <t>Language Learning</t>
        </is>
      </c>
      <c r="E453" t="inlineStr">
        <is>
          <t>North Region</t>
        </is>
      </c>
      <c r="F453" t="inlineStr">
        <is>
          <t>Rep_01</t>
        </is>
      </c>
      <c r="G453" t="n">
        <v>0.68</v>
      </c>
      <c r="H453" t="inlineStr">
        <is>
          <t>Closed</t>
        </is>
      </c>
      <c r="I453" t="inlineStr">
        <is>
          <t>Won</t>
        </is>
      </c>
      <c r="K453" t="n">
        <v>395.94</v>
      </c>
      <c r="L453" t="inlineStr">
        <is>
          <t>2026-05-12 05:10:17.858482</t>
        </is>
      </c>
      <c r="M453">
        <f>VLOOKUP(H453,'Stage Order'!$A$2:$B$8,2,FALSE)</f>
        <v/>
      </c>
      <c r="N453">
        <f>IF(G453&lt;=1,"1. Under 1 hour",IF(G453&lt;=24,"2. 1-24 hours",IF(G453&lt;=72,"3. 1-3 days","4. Over 3 days")))</f>
        <v/>
      </c>
      <c r="O453">
        <f>TEXT(B453,"YYYY-MM")</f>
        <v/>
      </c>
    </row>
    <row r="454">
      <c r="A454" t="inlineStr">
        <is>
          <t>LD-300452</t>
        </is>
      </c>
      <c r="B454" t="inlineStr">
        <is>
          <t>2026-01-12 19:26:00</t>
        </is>
      </c>
      <c r="C454" t="inlineStr">
        <is>
          <t>Social Media</t>
        </is>
      </c>
      <c r="D454" t="inlineStr">
        <is>
          <t>Language Learning</t>
        </is>
      </c>
      <c r="E454" t="inlineStr">
        <is>
          <t>North Region</t>
        </is>
      </c>
      <c r="F454" t="inlineStr">
        <is>
          <t>Rep_11</t>
        </is>
      </c>
      <c r="G454" t="n">
        <v>0.62</v>
      </c>
      <c r="H454" t="inlineStr">
        <is>
          <t>Contacted</t>
        </is>
      </c>
      <c r="I454" t="inlineStr">
        <is>
          <t>Open</t>
        </is>
      </c>
      <c r="M454">
        <f>VLOOKUP(H454,'Stage Order'!$A$2:$B$8,2,FALSE)</f>
        <v/>
      </c>
      <c r="N454">
        <f>IF(G454&lt;=1,"1. Under 1 hour",IF(G454&lt;=24,"2. 1-24 hours",IF(G454&lt;=72,"3. 1-3 days","4. Over 3 days")))</f>
        <v/>
      </c>
      <c r="O454">
        <f>TEXT(B454,"YYYY-MM")</f>
        <v/>
      </c>
    </row>
    <row r="455">
      <c r="A455" t="inlineStr">
        <is>
          <t>LD-300453</t>
        </is>
      </c>
      <c r="B455" t="inlineStr">
        <is>
          <t>2025-06-13 12:41:00</t>
        </is>
      </c>
      <c r="C455" t="inlineStr">
        <is>
          <t>Partner Channel</t>
        </is>
      </c>
      <c r="D455" t="inlineStr">
        <is>
          <t>K-12 Math</t>
        </is>
      </c>
      <c r="E455" t="inlineStr">
        <is>
          <t>West Region</t>
        </is>
      </c>
      <c r="F455" t="inlineStr">
        <is>
          <t>Rep_13</t>
        </is>
      </c>
      <c r="G455" t="n">
        <v>2.85</v>
      </c>
      <c r="H455" t="inlineStr">
        <is>
          <t>Contacted</t>
        </is>
      </c>
      <c r="I455" t="inlineStr">
        <is>
          <t>Open</t>
        </is>
      </c>
      <c r="M455">
        <f>VLOOKUP(H455,'Stage Order'!$A$2:$B$8,2,FALSE)</f>
        <v/>
      </c>
      <c r="N455">
        <f>IF(G455&lt;=1,"1. Under 1 hour",IF(G455&lt;=24,"2. 1-24 hours",IF(G455&lt;=72,"3. 1-3 days","4. Over 3 days")))</f>
        <v/>
      </c>
      <c r="O455">
        <f>TEXT(B455,"YYYY-MM")</f>
        <v/>
      </c>
    </row>
    <row r="456">
      <c r="A456" t="inlineStr">
        <is>
          <t>LD-300454</t>
        </is>
      </c>
      <c r="B456" t="inlineStr">
        <is>
          <t>2025-08-15 07:42:00</t>
        </is>
      </c>
      <c r="C456" t="inlineStr">
        <is>
          <t>Cold Outreach</t>
        </is>
      </c>
      <c r="D456" t="inlineStr">
        <is>
          <t>Competitive Exam Prep</t>
        </is>
      </c>
      <c r="E456" t="inlineStr">
        <is>
          <t>International</t>
        </is>
      </c>
      <c r="F456" t="inlineStr">
        <is>
          <t>Rep_10</t>
        </is>
      </c>
      <c r="G456" t="n">
        <v>0.77</v>
      </c>
      <c r="H456" t="inlineStr">
        <is>
          <t>Demo Scheduled</t>
        </is>
      </c>
      <c r="I456" t="inlineStr">
        <is>
          <t>Open</t>
        </is>
      </c>
      <c r="M456">
        <f>VLOOKUP(H456,'Stage Order'!$A$2:$B$8,2,FALSE)</f>
        <v/>
      </c>
      <c r="N456">
        <f>IF(G456&lt;=1,"1. Under 1 hour",IF(G456&lt;=24,"2. 1-24 hours",IF(G456&lt;=72,"3. 1-3 days","4. Over 3 days")))</f>
        <v/>
      </c>
      <c r="O456">
        <f>TEXT(B456,"YYYY-MM")</f>
        <v/>
      </c>
    </row>
    <row r="457">
      <c r="A457" t="inlineStr">
        <is>
          <t>LD-300455</t>
        </is>
      </c>
      <c r="B457" t="inlineStr">
        <is>
          <t>2025-05-05 20:23:00</t>
        </is>
      </c>
      <c r="C457" t="inlineStr">
        <is>
          <t>Organic Search</t>
        </is>
      </c>
      <c r="D457" t="inlineStr">
        <is>
          <t>Competitive Exam Prep</t>
        </is>
      </c>
      <c r="E457" t="inlineStr">
        <is>
          <t>South Region</t>
        </is>
      </c>
      <c r="F457" t="inlineStr">
        <is>
          <t>Rep_07</t>
        </is>
      </c>
      <c r="G457" t="n">
        <v>13.31</v>
      </c>
      <c r="H457" t="inlineStr">
        <is>
          <t>Negotiation</t>
        </is>
      </c>
      <c r="I457" t="inlineStr">
        <is>
          <t>Lost</t>
        </is>
      </c>
      <c r="J457" t="inlineStr">
        <is>
          <t>Bad Timing</t>
        </is>
      </c>
      <c r="K457" t="n">
        <v>1029.88</v>
      </c>
      <c r="L457" t="inlineStr">
        <is>
          <t>2025-06-27 18:41:03.127494</t>
        </is>
      </c>
      <c r="M457">
        <f>VLOOKUP(H457,'Stage Order'!$A$2:$B$8,2,FALSE)</f>
        <v/>
      </c>
      <c r="N457">
        <f>IF(G457&lt;=1,"1. Under 1 hour",IF(G457&lt;=24,"2. 1-24 hours",IF(G457&lt;=72,"3. 1-3 days","4. Over 3 days")))</f>
        <v/>
      </c>
      <c r="O457">
        <f>TEXT(B457,"YYYY-MM")</f>
        <v/>
      </c>
    </row>
    <row r="458">
      <c r="A458" t="inlineStr">
        <is>
          <t>LD-300456</t>
        </is>
      </c>
      <c r="B458" t="inlineStr">
        <is>
          <t>2026-01-11 19:57:00</t>
        </is>
      </c>
      <c r="C458" t="inlineStr">
        <is>
          <t>Paid Search</t>
        </is>
      </c>
      <c r="D458" t="inlineStr">
        <is>
          <t>Competitive Exam Prep</t>
        </is>
      </c>
      <c r="E458" t="inlineStr">
        <is>
          <t>North Region</t>
        </is>
      </c>
      <c r="F458" t="inlineStr">
        <is>
          <t>Rep_11</t>
        </is>
      </c>
      <c r="G458" t="n">
        <v>0.6</v>
      </c>
      <c r="H458" t="inlineStr">
        <is>
          <t>Closed</t>
        </is>
      </c>
      <c r="I458" t="inlineStr">
        <is>
          <t>Won</t>
        </is>
      </c>
      <c r="K458" t="n">
        <v>885</v>
      </c>
      <c r="L458" t="inlineStr">
        <is>
          <t>2026-02-10 11:18:30.657909</t>
        </is>
      </c>
      <c r="M458">
        <f>VLOOKUP(H458,'Stage Order'!$A$2:$B$8,2,FALSE)</f>
        <v/>
      </c>
      <c r="N458">
        <f>IF(G458&lt;=1,"1. Under 1 hour",IF(G458&lt;=24,"2. 1-24 hours",IF(G458&lt;=72,"3. 1-3 days","4. Over 3 days")))</f>
        <v/>
      </c>
      <c r="O458">
        <f>TEXT(B458,"YYYY-MM")</f>
        <v/>
      </c>
    </row>
    <row r="459">
      <c r="A459" t="inlineStr">
        <is>
          <t>LD-300457</t>
        </is>
      </c>
      <c r="B459" t="inlineStr">
        <is>
          <t>2025-10-17 07:40:00</t>
        </is>
      </c>
      <c r="C459" t="inlineStr">
        <is>
          <t>Paid Search</t>
        </is>
      </c>
      <c r="D459" t="inlineStr">
        <is>
          <t>Language Learning</t>
        </is>
      </c>
      <c r="E459" t="inlineStr">
        <is>
          <t>West Region</t>
        </is>
      </c>
      <c r="F459" t="inlineStr">
        <is>
          <t>Rep_03</t>
        </is>
      </c>
      <c r="G459" t="n">
        <v>12.26</v>
      </c>
      <c r="H459" t="inlineStr">
        <is>
          <t>Demo Scheduled</t>
        </is>
      </c>
      <c r="I459" t="inlineStr">
        <is>
          <t>Open</t>
        </is>
      </c>
      <c r="M459">
        <f>VLOOKUP(H459,'Stage Order'!$A$2:$B$8,2,FALSE)</f>
        <v/>
      </c>
      <c r="N459">
        <f>IF(G459&lt;=1,"1. Under 1 hour",IF(G459&lt;=24,"2. 1-24 hours",IF(G459&lt;=72,"3. 1-3 days","4. Over 3 days")))</f>
        <v/>
      </c>
      <c r="O459">
        <f>TEXT(B459,"YYYY-MM")</f>
        <v/>
      </c>
    </row>
    <row r="460">
      <c r="A460" t="inlineStr">
        <is>
          <t>LD-300458</t>
        </is>
      </c>
      <c r="B460" t="inlineStr">
        <is>
          <t>2025-04-24 18:44:00</t>
        </is>
      </c>
      <c r="C460" t="inlineStr">
        <is>
          <t>Referral</t>
        </is>
      </c>
      <c r="D460" t="inlineStr">
        <is>
          <t>Language Learning</t>
        </is>
      </c>
      <c r="E460" t="inlineStr">
        <is>
          <t>East Region</t>
        </is>
      </c>
      <c r="F460" t="inlineStr">
        <is>
          <t>Rep_09</t>
        </is>
      </c>
      <c r="G460" t="n">
        <v>8.16</v>
      </c>
      <c r="H460" t="inlineStr">
        <is>
          <t>Demo Completed</t>
        </is>
      </c>
      <c r="I460" t="inlineStr">
        <is>
          <t>Lost</t>
        </is>
      </c>
      <c r="J460" t="inlineStr">
        <is>
          <t>No Response / Ghosted</t>
        </is>
      </c>
      <c r="K460" t="n">
        <v>305.29</v>
      </c>
      <c r="L460" t="inlineStr">
        <is>
          <t>2025-05-19 10:24:31.283341</t>
        </is>
      </c>
      <c r="M460">
        <f>VLOOKUP(H460,'Stage Order'!$A$2:$B$8,2,FALSE)</f>
        <v/>
      </c>
      <c r="N460">
        <f>IF(G460&lt;=1,"1. Under 1 hour",IF(G460&lt;=24,"2. 1-24 hours",IF(G460&lt;=72,"3. 1-3 days","4. Over 3 days")))</f>
        <v/>
      </c>
      <c r="O460">
        <f>TEXT(B460,"YYYY-MM")</f>
        <v/>
      </c>
    </row>
    <row r="461">
      <c r="A461" t="inlineStr">
        <is>
          <t>LD-300459</t>
        </is>
      </c>
      <c r="B461" t="inlineStr">
        <is>
          <t>2025-11-14 10:51:00</t>
        </is>
      </c>
      <c r="C461" t="inlineStr">
        <is>
          <t>Organic Search</t>
        </is>
      </c>
      <c r="D461" t="inlineStr">
        <is>
          <t>Language Learning</t>
        </is>
      </c>
      <c r="E461" t="inlineStr">
        <is>
          <t>South Region</t>
        </is>
      </c>
      <c r="F461" t="inlineStr">
        <is>
          <t>Rep_02</t>
        </is>
      </c>
      <c r="G461" t="n">
        <v>0.87</v>
      </c>
      <c r="H461" t="inlineStr">
        <is>
          <t>Contacted</t>
        </is>
      </c>
      <c r="I461" t="inlineStr">
        <is>
          <t>Open</t>
        </is>
      </c>
      <c r="M461">
        <f>VLOOKUP(H461,'Stage Order'!$A$2:$B$8,2,FALSE)</f>
        <v/>
      </c>
      <c r="N461">
        <f>IF(G461&lt;=1,"1. Under 1 hour",IF(G461&lt;=24,"2. 1-24 hours",IF(G461&lt;=72,"3. 1-3 days","4. Over 3 days")))</f>
        <v/>
      </c>
      <c r="O461">
        <f>TEXT(B461,"YYYY-MM")</f>
        <v/>
      </c>
    </row>
    <row r="462">
      <c r="A462" t="inlineStr">
        <is>
          <t>LD-300460</t>
        </is>
      </c>
      <c r="B462" t="inlineStr">
        <is>
          <t>2026-01-16 08:45:00</t>
        </is>
      </c>
      <c r="C462" t="inlineStr">
        <is>
          <t>Paid Search</t>
        </is>
      </c>
      <c r="D462" t="inlineStr">
        <is>
          <t>Competitive Exam Prep</t>
        </is>
      </c>
      <c r="E462" t="inlineStr">
        <is>
          <t>South Region</t>
        </is>
      </c>
      <c r="F462" t="inlineStr">
        <is>
          <t>Rep_12</t>
        </is>
      </c>
      <c r="G462" t="n">
        <v>0.78</v>
      </c>
      <c r="H462" t="inlineStr">
        <is>
          <t>Negotiation</t>
        </is>
      </c>
      <c r="I462" t="inlineStr">
        <is>
          <t>Lost</t>
        </is>
      </c>
      <c r="J462" t="inlineStr">
        <is>
          <t>Bad Timing</t>
        </is>
      </c>
      <c r="K462" t="n">
        <v>1064.6</v>
      </c>
      <c r="L462" t="inlineStr">
        <is>
          <t>2026-02-22 00:11:46.448858</t>
        </is>
      </c>
      <c r="M462">
        <f>VLOOKUP(H462,'Stage Order'!$A$2:$B$8,2,FALSE)</f>
        <v/>
      </c>
      <c r="N462">
        <f>IF(G462&lt;=1,"1. Under 1 hour",IF(G462&lt;=24,"2. 1-24 hours",IF(G462&lt;=72,"3. 1-3 days","4. Over 3 days")))</f>
        <v/>
      </c>
      <c r="O462">
        <f>TEXT(B462,"YYYY-MM")</f>
        <v/>
      </c>
    </row>
    <row r="463">
      <c r="A463" t="inlineStr">
        <is>
          <t>LD-300461</t>
        </is>
      </c>
      <c r="B463" t="inlineStr">
        <is>
          <t>2026-03-17 17:27:00</t>
        </is>
      </c>
      <c r="C463" t="inlineStr">
        <is>
          <t>Paid Search</t>
        </is>
      </c>
      <c r="D463" t="inlineStr">
        <is>
          <t>Coding for Kids</t>
        </is>
      </c>
      <c r="E463" t="inlineStr">
        <is>
          <t>South Region</t>
        </is>
      </c>
      <c r="F463" t="inlineStr">
        <is>
          <t>Rep_02</t>
        </is>
      </c>
      <c r="G463" t="n">
        <v>4.87</v>
      </c>
      <c r="H463" t="inlineStr">
        <is>
          <t>Demo Completed</t>
        </is>
      </c>
      <c r="I463" t="inlineStr">
        <is>
          <t>Lost</t>
        </is>
      </c>
      <c r="J463" t="inlineStr">
        <is>
          <t>No Response / Ghosted</t>
        </is>
      </c>
      <c r="K463" t="n">
        <v>555.86</v>
      </c>
      <c r="L463" t="inlineStr">
        <is>
          <t>2026-04-20 00:35:07.389610</t>
        </is>
      </c>
      <c r="M463">
        <f>VLOOKUP(H463,'Stage Order'!$A$2:$B$8,2,FALSE)</f>
        <v/>
      </c>
      <c r="N463">
        <f>IF(G463&lt;=1,"1. Under 1 hour",IF(G463&lt;=24,"2. 1-24 hours",IF(G463&lt;=72,"3. 1-3 days","4. Over 3 days")))</f>
        <v/>
      </c>
      <c r="O463">
        <f>TEXT(B463,"YYYY-MM")</f>
        <v/>
      </c>
    </row>
    <row r="464">
      <c r="A464" t="inlineStr">
        <is>
          <t>LD-300462</t>
        </is>
      </c>
      <c r="B464" t="inlineStr">
        <is>
          <t>2025-11-13 09:54:00</t>
        </is>
      </c>
      <c r="C464" t="inlineStr">
        <is>
          <t>Paid Search</t>
        </is>
      </c>
      <c r="D464" t="inlineStr">
        <is>
          <t>Study Abroad Prep</t>
        </is>
      </c>
      <c r="E464" t="inlineStr">
        <is>
          <t>West Region</t>
        </is>
      </c>
      <c r="F464" t="inlineStr">
        <is>
          <t>Rep_03</t>
        </is>
      </c>
      <c r="G464" t="n">
        <v>2.18</v>
      </c>
      <c r="H464" t="inlineStr">
        <is>
          <t>Contacted</t>
        </is>
      </c>
      <c r="I464" t="inlineStr">
        <is>
          <t>Open</t>
        </is>
      </c>
      <c r="M464">
        <f>VLOOKUP(H464,'Stage Order'!$A$2:$B$8,2,FALSE)</f>
        <v/>
      </c>
      <c r="N464">
        <f>IF(G464&lt;=1,"1. Under 1 hour",IF(G464&lt;=24,"2. 1-24 hours",IF(G464&lt;=72,"3. 1-3 days","4. Over 3 days")))</f>
        <v/>
      </c>
      <c r="O464">
        <f>TEXT(B464,"YYYY-MM")</f>
        <v/>
      </c>
    </row>
    <row r="465">
      <c r="A465" t="inlineStr">
        <is>
          <t>LD-300463</t>
        </is>
      </c>
      <c r="B465" t="inlineStr">
        <is>
          <t>2026-02-13 07:11:00</t>
        </is>
      </c>
      <c r="C465" t="inlineStr">
        <is>
          <t>Paid Search</t>
        </is>
      </c>
      <c r="D465" t="inlineStr">
        <is>
          <t>K-12 Math</t>
        </is>
      </c>
      <c r="E465" t="inlineStr">
        <is>
          <t>International</t>
        </is>
      </c>
      <c r="F465" t="inlineStr">
        <is>
          <t>Rep_10</t>
        </is>
      </c>
      <c r="G465" t="n">
        <v>1.36</v>
      </c>
      <c r="H465" t="inlineStr">
        <is>
          <t>Contacted</t>
        </is>
      </c>
      <c r="I465" t="inlineStr">
        <is>
          <t>Open</t>
        </is>
      </c>
      <c r="M465">
        <f>VLOOKUP(H465,'Stage Order'!$A$2:$B$8,2,FALSE)</f>
        <v/>
      </c>
      <c r="N465">
        <f>IF(G465&lt;=1,"1. Under 1 hour",IF(G465&lt;=24,"2. 1-24 hours",IF(G465&lt;=72,"3. 1-3 days","4. Over 3 days")))</f>
        <v/>
      </c>
      <c r="O465">
        <f>TEXT(B465,"YYYY-MM")</f>
        <v/>
      </c>
    </row>
    <row r="466">
      <c r="A466" t="inlineStr">
        <is>
          <t>LD-300464</t>
        </is>
      </c>
      <c r="B466" t="inlineStr">
        <is>
          <t>2025-02-17 16:17:00</t>
        </is>
      </c>
      <c r="C466" t="inlineStr">
        <is>
          <t>Cold Outreach</t>
        </is>
      </c>
      <c r="D466" t="inlineStr">
        <is>
          <t>K-12 Math</t>
        </is>
      </c>
      <c r="E466" t="inlineStr">
        <is>
          <t>North Region</t>
        </is>
      </c>
      <c r="F466" t="inlineStr">
        <is>
          <t>Rep_11</t>
        </is>
      </c>
      <c r="G466" t="n">
        <v>1.78</v>
      </c>
      <c r="H466" t="inlineStr">
        <is>
          <t>Contacted</t>
        </is>
      </c>
      <c r="I466" t="inlineStr">
        <is>
          <t>Open</t>
        </is>
      </c>
      <c r="M466">
        <f>VLOOKUP(H466,'Stage Order'!$A$2:$B$8,2,FALSE)</f>
        <v/>
      </c>
      <c r="N466">
        <f>IF(G466&lt;=1,"1. Under 1 hour",IF(G466&lt;=24,"2. 1-24 hours",IF(G466&lt;=72,"3. 1-3 days","4. Over 3 days")))</f>
        <v/>
      </c>
      <c r="O466">
        <f>TEXT(B466,"YYYY-MM")</f>
        <v/>
      </c>
    </row>
    <row r="467">
      <c r="A467" t="inlineStr">
        <is>
          <t>LD-300465</t>
        </is>
      </c>
      <c r="B467" t="inlineStr">
        <is>
          <t>2026-02-18 12:48:00</t>
        </is>
      </c>
      <c r="C467" t="inlineStr">
        <is>
          <t>Social Media</t>
        </is>
      </c>
      <c r="D467" t="inlineStr">
        <is>
          <t>Competitive Exam Prep</t>
        </is>
      </c>
      <c r="E467" t="inlineStr">
        <is>
          <t>North Region</t>
        </is>
      </c>
      <c r="F467" t="inlineStr">
        <is>
          <t>Rep_06</t>
        </is>
      </c>
      <c r="G467" t="n">
        <v>17.87</v>
      </c>
      <c r="H467" t="inlineStr">
        <is>
          <t>Proposal Sent</t>
        </is>
      </c>
      <c r="I467" t="inlineStr">
        <is>
          <t>Lost</t>
        </is>
      </c>
      <c r="J467" t="inlineStr">
        <is>
          <t>Price Objection</t>
        </is>
      </c>
      <c r="K467" t="n">
        <v>1155.87</v>
      </c>
      <c r="L467" t="inlineStr">
        <is>
          <t>2026-03-29 22:36:54.578043</t>
        </is>
      </c>
      <c r="M467">
        <f>VLOOKUP(H467,'Stage Order'!$A$2:$B$8,2,FALSE)</f>
        <v/>
      </c>
      <c r="N467">
        <f>IF(G467&lt;=1,"1. Under 1 hour",IF(G467&lt;=24,"2. 1-24 hours",IF(G467&lt;=72,"3. 1-3 days","4. Over 3 days")))</f>
        <v/>
      </c>
      <c r="O467">
        <f>TEXT(B467,"YYYY-MM")</f>
        <v/>
      </c>
    </row>
    <row r="468">
      <c r="A468" t="inlineStr">
        <is>
          <t>LD-300466</t>
        </is>
      </c>
      <c r="B468" t="inlineStr">
        <is>
          <t>2025-11-18 20:29:00</t>
        </is>
      </c>
      <c r="C468" t="inlineStr">
        <is>
          <t>Partner Channel</t>
        </is>
      </c>
      <c r="D468" t="inlineStr">
        <is>
          <t>K-12 Math</t>
        </is>
      </c>
      <c r="E468" t="inlineStr">
        <is>
          <t>West Region</t>
        </is>
      </c>
      <c r="F468" t="inlineStr">
        <is>
          <t>Rep_03</t>
        </is>
      </c>
      <c r="G468" t="n">
        <v>2.73</v>
      </c>
      <c r="H468" t="inlineStr">
        <is>
          <t>Closed</t>
        </is>
      </c>
      <c r="I468" t="inlineStr">
        <is>
          <t>Won</t>
        </is>
      </c>
      <c r="K468" t="n">
        <v>493.37</v>
      </c>
      <c r="L468" t="inlineStr">
        <is>
          <t>2025-12-29 16:51:17.469547</t>
        </is>
      </c>
      <c r="M468">
        <f>VLOOKUP(H468,'Stage Order'!$A$2:$B$8,2,FALSE)</f>
        <v/>
      </c>
      <c r="N468">
        <f>IF(G468&lt;=1,"1. Under 1 hour",IF(G468&lt;=24,"2. 1-24 hours",IF(G468&lt;=72,"3. 1-3 days","4. Over 3 days")))</f>
        <v/>
      </c>
      <c r="O468">
        <f>TEXT(B468,"YYYY-MM")</f>
        <v/>
      </c>
    </row>
    <row r="469">
      <c r="A469" t="inlineStr">
        <is>
          <t>LD-300467</t>
        </is>
      </c>
      <c r="B469" t="inlineStr">
        <is>
          <t>2025-06-10 09:42:00</t>
        </is>
      </c>
      <c r="C469" t="inlineStr">
        <is>
          <t>Paid Search</t>
        </is>
      </c>
      <c r="D469" t="inlineStr">
        <is>
          <t>Coding for Kids</t>
        </is>
      </c>
      <c r="E469" t="inlineStr">
        <is>
          <t>International</t>
        </is>
      </c>
      <c r="F469" t="inlineStr">
        <is>
          <t>Rep_10</t>
        </is>
      </c>
      <c r="G469" t="n">
        <v>0.7</v>
      </c>
      <c r="H469" t="inlineStr">
        <is>
          <t>Contacted</t>
        </is>
      </c>
      <c r="I469" t="inlineStr">
        <is>
          <t>Open</t>
        </is>
      </c>
      <c r="M469">
        <f>VLOOKUP(H469,'Stage Order'!$A$2:$B$8,2,FALSE)</f>
        <v/>
      </c>
      <c r="N469">
        <f>IF(G469&lt;=1,"1. Under 1 hour",IF(G469&lt;=24,"2. 1-24 hours",IF(G469&lt;=72,"3. 1-3 days","4. Over 3 days")))</f>
        <v/>
      </c>
      <c r="O469">
        <f>TEXT(B469,"YYYY-MM")</f>
        <v/>
      </c>
    </row>
    <row r="470">
      <c r="A470" t="inlineStr">
        <is>
          <t>LD-300468</t>
        </is>
      </c>
      <c r="B470" t="inlineStr">
        <is>
          <t>2025-03-06 13:55:00</t>
        </is>
      </c>
      <c r="C470" t="inlineStr">
        <is>
          <t>Partner Channel</t>
        </is>
      </c>
      <c r="D470" t="inlineStr">
        <is>
          <t>Coding for Kids</t>
        </is>
      </c>
      <c r="E470" t="inlineStr">
        <is>
          <t>South Region</t>
        </is>
      </c>
      <c r="F470" t="inlineStr">
        <is>
          <t>Rep_12</t>
        </is>
      </c>
      <c r="G470" t="n">
        <v>3.65</v>
      </c>
      <c r="H470" t="inlineStr">
        <is>
          <t>Contacted</t>
        </is>
      </c>
      <c r="I470" t="inlineStr">
        <is>
          <t>Open</t>
        </is>
      </c>
      <c r="M470">
        <f>VLOOKUP(H470,'Stage Order'!$A$2:$B$8,2,FALSE)</f>
        <v/>
      </c>
      <c r="N470">
        <f>IF(G470&lt;=1,"1. Under 1 hour",IF(G470&lt;=24,"2. 1-24 hours",IF(G470&lt;=72,"3. 1-3 days","4. Over 3 days")))</f>
        <v/>
      </c>
      <c r="O470">
        <f>TEXT(B470,"YYYY-MM")</f>
        <v/>
      </c>
    </row>
    <row r="471">
      <c r="A471" t="inlineStr">
        <is>
          <t>LD-300469</t>
        </is>
      </c>
      <c r="B471" t="inlineStr">
        <is>
          <t>2025-08-21 13:39:00</t>
        </is>
      </c>
      <c r="C471" t="inlineStr">
        <is>
          <t>Referral</t>
        </is>
      </c>
      <c r="D471" t="inlineStr">
        <is>
          <t>Coding for Kids</t>
        </is>
      </c>
      <c r="E471" t="inlineStr">
        <is>
          <t>East Region</t>
        </is>
      </c>
      <c r="F471" t="inlineStr">
        <is>
          <t>Rep_14</t>
        </is>
      </c>
      <c r="G471" t="n">
        <v>1.18</v>
      </c>
      <c r="H471" t="inlineStr">
        <is>
          <t>Demo Completed</t>
        </is>
      </c>
      <c r="I471" t="inlineStr">
        <is>
          <t>Lost</t>
        </is>
      </c>
      <c r="J471" t="inlineStr">
        <is>
          <t>No Response / Ghosted</t>
        </is>
      </c>
      <c r="K471" t="n">
        <v>638.6</v>
      </c>
      <c r="L471" t="inlineStr">
        <is>
          <t>2025-09-28 14:01:30.659213</t>
        </is>
      </c>
      <c r="M471">
        <f>VLOOKUP(H471,'Stage Order'!$A$2:$B$8,2,FALSE)</f>
        <v/>
      </c>
      <c r="N471">
        <f>IF(G471&lt;=1,"1. Under 1 hour",IF(G471&lt;=24,"2. 1-24 hours",IF(G471&lt;=72,"3. 1-3 days","4. Over 3 days")))</f>
        <v/>
      </c>
      <c r="O471">
        <f>TEXT(B471,"YYYY-MM")</f>
        <v/>
      </c>
    </row>
    <row r="472">
      <c r="A472" t="inlineStr">
        <is>
          <t>LD-300470</t>
        </is>
      </c>
      <c r="B472" t="inlineStr">
        <is>
          <t>2026-05-01 12:03:00</t>
        </is>
      </c>
      <c r="C472" t="inlineStr">
        <is>
          <t>Webinar</t>
        </is>
      </c>
      <c r="D472" t="inlineStr">
        <is>
          <t>Study Abroad Prep</t>
        </is>
      </c>
      <c r="E472" t="inlineStr">
        <is>
          <t>South Region</t>
        </is>
      </c>
      <c r="F472" t="inlineStr">
        <is>
          <t>Rep_07</t>
        </is>
      </c>
      <c r="G472" t="n">
        <v>1.13</v>
      </c>
      <c r="H472" t="inlineStr">
        <is>
          <t>Contacted</t>
        </is>
      </c>
      <c r="I472" t="inlineStr">
        <is>
          <t>Open</t>
        </is>
      </c>
      <c r="M472">
        <f>VLOOKUP(H472,'Stage Order'!$A$2:$B$8,2,FALSE)</f>
        <v/>
      </c>
      <c r="N472">
        <f>IF(G472&lt;=1,"1. Under 1 hour",IF(G472&lt;=24,"2. 1-24 hours",IF(G472&lt;=72,"3. 1-3 days","4. Over 3 days")))</f>
        <v/>
      </c>
      <c r="O472">
        <f>TEXT(B472,"YYYY-MM")</f>
        <v/>
      </c>
    </row>
    <row r="473">
      <c r="A473" t="inlineStr">
        <is>
          <t>LD-300471</t>
        </is>
      </c>
      <c r="B473" t="inlineStr">
        <is>
          <t>2025-10-04 16:47:00</t>
        </is>
      </c>
      <c r="C473" t="inlineStr">
        <is>
          <t>Referral</t>
        </is>
      </c>
      <c r="D473" t="inlineStr">
        <is>
          <t>Competitive Exam Prep</t>
        </is>
      </c>
      <c r="E473" t="inlineStr">
        <is>
          <t>North Region</t>
        </is>
      </c>
      <c r="F473" t="inlineStr">
        <is>
          <t>Rep_11</t>
        </is>
      </c>
      <c r="G473" t="n">
        <v>2.89</v>
      </c>
      <c r="H473" t="inlineStr">
        <is>
          <t>Negotiation</t>
        </is>
      </c>
      <c r="I473" t="inlineStr">
        <is>
          <t>Lost</t>
        </is>
      </c>
      <c r="J473" t="inlineStr">
        <is>
          <t>Price Objection</t>
        </is>
      </c>
      <c r="K473" t="n">
        <v>1156.8</v>
      </c>
      <c r="L473" t="inlineStr">
        <is>
          <t>2025-11-05 19:19:37.712231</t>
        </is>
      </c>
      <c r="M473">
        <f>VLOOKUP(H473,'Stage Order'!$A$2:$B$8,2,FALSE)</f>
        <v/>
      </c>
      <c r="N473">
        <f>IF(G473&lt;=1,"1. Under 1 hour",IF(G473&lt;=24,"2. 1-24 hours",IF(G473&lt;=72,"3. 1-3 days","4. Over 3 days")))</f>
        <v/>
      </c>
      <c r="O473">
        <f>TEXT(B473,"YYYY-MM")</f>
        <v/>
      </c>
    </row>
    <row r="474">
      <c r="A474" t="inlineStr">
        <is>
          <t>LD-300472</t>
        </is>
      </c>
      <c r="B474" t="inlineStr">
        <is>
          <t>2026-01-30 18:19:00</t>
        </is>
      </c>
      <c r="C474" t="inlineStr">
        <is>
          <t>Social Media</t>
        </is>
      </c>
      <c r="D474" t="inlineStr">
        <is>
          <t>Coding for Kids</t>
        </is>
      </c>
      <c r="E474" t="inlineStr">
        <is>
          <t>International</t>
        </is>
      </c>
      <c r="F474" t="inlineStr">
        <is>
          <t>Rep_15</t>
        </is>
      </c>
      <c r="G474" t="n">
        <v>2.27</v>
      </c>
      <c r="H474" t="inlineStr">
        <is>
          <t>Demo Completed</t>
        </is>
      </c>
      <c r="I474" t="inlineStr">
        <is>
          <t>Lost</t>
        </is>
      </c>
      <c r="J474" t="inlineStr">
        <is>
          <t>No Response / Ghosted</t>
        </is>
      </c>
      <c r="K474" t="n">
        <v>566.89</v>
      </c>
      <c r="L474" t="inlineStr">
        <is>
          <t>2026-02-19 09:00:05.785065</t>
        </is>
      </c>
      <c r="M474">
        <f>VLOOKUP(H474,'Stage Order'!$A$2:$B$8,2,FALSE)</f>
        <v/>
      </c>
      <c r="N474">
        <f>IF(G474&lt;=1,"1. Under 1 hour",IF(G474&lt;=24,"2. 1-24 hours",IF(G474&lt;=72,"3. 1-3 days","4. Over 3 days")))</f>
        <v/>
      </c>
      <c r="O474">
        <f>TEXT(B474,"YYYY-MM")</f>
        <v/>
      </c>
    </row>
    <row r="475">
      <c r="A475" t="inlineStr">
        <is>
          <t>LD-300473</t>
        </is>
      </c>
      <c r="B475" t="inlineStr">
        <is>
          <t>2025-02-27 19:18:00</t>
        </is>
      </c>
      <c r="C475" t="inlineStr">
        <is>
          <t>Partner Channel</t>
        </is>
      </c>
      <c r="D475" t="inlineStr">
        <is>
          <t>K-12 Math</t>
        </is>
      </c>
      <c r="E475" t="inlineStr">
        <is>
          <t>West Region</t>
        </is>
      </c>
      <c r="F475" t="inlineStr">
        <is>
          <t>Rep_13</t>
        </is>
      </c>
      <c r="G475" t="n">
        <v>2.75</v>
      </c>
      <c r="H475" t="inlineStr">
        <is>
          <t>Contacted</t>
        </is>
      </c>
      <c r="I475" t="inlineStr">
        <is>
          <t>Open</t>
        </is>
      </c>
      <c r="M475">
        <f>VLOOKUP(H475,'Stage Order'!$A$2:$B$8,2,FALSE)</f>
        <v/>
      </c>
      <c r="N475">
        <f>IF(G475&lt;=1,"1. Under 1 hour",IF(G475&lt;=24,"2. 1-24 hours",IF(G475&lt;=72,"3. 1-3 days","4. Over 3 days")))</f>
        <v/>
      </c>
      <c r="O475">
        <f>TEXT(B475,"YYYY-MM")</f>
        <v/>
      </c>
    </row>
    <row r="476">
      <c r="A476" t="inlineStr">
        <is>
          <t>LD-300474</t>
        </is>
      </c>
      <c r="B476" t="inlineStr">
        <is>
          <t>2026-03-06 14:04:00</t>
        </is>
      </c>
      <c r="C476" t="inlineStr">
        <is>
          <t>Webinar</t>
        </is>
      </c>
      <c r="D476" t="inlineStr">
        <is>
          <t>K-12 Math</t>
        </is>
      </c>
      <c r="E476" t="inlineStr">
        <is>
          <t>East Region</t>
        </is>
      </c>
      <c r="F476" t="inlineStr">
        <is>
          <t>Rep_04</t>
        </is>
      </c>
      <c r="G476" t="n">
        <v>6.5</v>
      </c>
      <c r="H476" t="inlineStr">
        <is>
          <t>Demo Completed</t>
        </is>
      </c>
      <c r="I476" t="inlineStr">
        <is>
          <t>Lost</t>
        </is>
      </c>
      <c r="J476" t="inlineStr">
        <is>
          <t>Price Objection</t>
        </is>
      </c>
      <c r="K476" t="n">
        <v>508.84</v>
      </c>
      <c r="L476" t="inlineStr">
        <is>
          <t>2026-04-02 03:53:08.419189</t>
        </is>
      </c>
      <c r="M476">
        <f>VLOOKUP(H476,'Stage Order'!$A$2:$B$8,2,FALSE)</f>
        <v/>
      </c>
      <c r="N476">
        <f>IF(G476&lt;=1,"1. Under 1 hour",IF(G476&lt;=24,"2. 1-24 hours",IF(G476&lt;=72,"3. 1-3 days","4. Over 3 days")))</f>
        <v/>
      </c>
      <c r="O476">
        <f>TEXT(B476,"YYYY-MM")</f>
        <v/>
      </c>
    </row>
    <row r="477">
      <c r="A477" t="inlineStr">
        <is>
          <t>LD-300475</t>
        </is>
      </c>
      <c r="B477" t="inlineStr">
        <is>
          <t>2026-05-29 10:42:00</t>
        </is>
      </c>
      <c r="C477" t="inlineStr">
        <is>
          <t>Webinar</t>
        </is>
      </c>
      <c r="D477" t="inlineStr">
        <is>
          <t>K-12 Math</t>
        </is>
      </c>
      <c r="E477" t="inlineStr">
        <is>
          <t>South Region</t>
        </is>
      </c>
      <c r="F477" t="inlineStr">
        <is>
          <t>Rep_12</t>
        </is>
      </c>
      <c r="G477" t="n">
        <v>8.220000000000001</v>
      </c>
      <c r="H477" t="inlineStr">
        <is>
          <t>Contacted</t>
        </is>
      </c>
      <c r="I477" t="inlineStr">
        <is>
          <t>Open</t>
        </is>
      </c>
      <c r="M477">
        <f>VLOOKUP(H477,'Stage Order'!$A$2:$B$8,2,FALSE)</f>
        <v/>
      </c>
      <c r="N477">
        <f>IF(G477&lt;=1,"1. Under 1 hour",IF(G477&lt;=24,"2. 1-24 hours",IF(G477&lt;=72,"3. 1-3 days","4. Over 3 days")))</f>
        <v/>
      </c>
      <c r="O477">
        <f>TEXT(B477,"YYYY-MM")</f>
        <v/>
      </c>
    </row>
    <row r="478">
      <c r="A478" t="inlineStr">
        <is>
          <t>LD-300476</t>
        </is>
      </c>
      <c r="B478" t="inlineStr">
        <is>
          <t>2025-10-13 08:20:00</t>
        </is>
      </c>
      <c r="C478" t="inlineStr">
        <is>
          <t>Cold Outreach</t>
        </is>
      </c>
      <c r="D478" t="inlineStr">
        <is>
          <t>Coding for Kids</t>
        </is>
      </c>
      <c r="E478" t="inlineStr">
        <is>
          <t>East Region</t>
        </is>
      </c>
      <c r="F478" t="inlineStr">
        <is>
          <t>Rep_04</t>
        </is>
      </c>
      <c r="G478" t="n">
        <v>3.21</v>
      </c>
      <c r="H478" t="inlineStr">
        <is>
          <t>Contacted</t>
        </is>
      </c>
      <c r="I478" t="inlineStr">
        <is>
          <t>Open</t>
        </is>
      </c>
      <c r="M478">
        <f>VLOOKUP(H478,'Stage Order'!$A$2:$B$8,2,FALSE)</f>
        <v/>
      </c>
      <c r="N478">
        <f>IF(G478&lt;=1,"1. Under 1 hour",IF(G478&lt;=24,"2. 1-24 hours",IF(G478&lt;=72,"3. 1-3 days","4. Over 3 days")))</f>
        <v/>
      </c>
      <c r="O478">
        <f>TEXT(B478,"YYYY-MM")</f>
        <v/>
      </c>
    </row>
    <row r="479">
      <c r="A479" t="inlineStr">
        <is>
          <t>LD-300477</t>
        </is>
      </c>
      <c r="B479" t="inlineStr">
        <is>
          <t>2025-08-29 09:00:00</t>
        </is>
      </c>
      <c r="C479" t="inlineStr">
        <is>
          <t>Organic Search</t>
        </is>
      </c>
      <c r="D479" t="inlineStr">
        <is>
          <t>Language Learning</t>
        </is>
      </c>
      <c r="E479" t="inlineStr">
        <is>
          <t>West Region</t>
        </is>
      </c>
      <c r="F479" t="inlineStr">
        <is>
          <t>Rep_08</t>
        </is>
      </c>
      <c r="G479" t="n">
        <v>3.09</v>
      </c>
      <c r="H479" t="inlineStr">
        <is>
          <t>Closed</t>
        </is>
      </c>
      <c r="I479" t="inlineStr">
        <is>
          <t>Won</t>
        </is>
      </c>
      <c r="K479" t="n">
        <v>397.04</v>
      </c>
      <c r="L479" t="inlineStr">
        <is>
          <t>2025-09-28 20:30:48.064083</t>
        </is>
      </c>
      <c r="M479">
        <f>VLOOKUP(H479,'Stage Order'!$A$2:$B$8,2,FALSE)</f>
        <v/>
      </c>
      <c r="N479">
        <f>IF(G479&lt;=1,"1. Under 1 hour",IF(G479&lt;=24,"2. 1-24 hours",IF(G479&lt;=72,"3. 1-3 days","4. Over 3 days")))</f>
        <v/>
      </c>
      <c r="O479">
        <f>TEXT(B479,"YYYY-MM")</f>
        <v/>
      </c>
    </row>
    <row r="480">
      <c r="A480" t="inlineStr">
        <is>
          <t>LD-300478</t>
        </is>
      </c>
      <c r="B480" t="inlineStr">
        <is>
          <t>2026-04-14 16:55:00</t>
        </is>
      </c>
      <c r="C480" t="inlineStr">
        <is>
          <t>Paid Search</t>
        </is>
      </c>
      <c r="D480" t="inlineStr">
        <is>
          <t>Language Learning</t>
        </is>
      </c>
      <c r="E480" t="inlineStr">
        <is>
          <t>West Region</t>
        </is>
      </c>
      <c r="F480" t="inlineStr">
        <is>
          <t>Rep_13</t>
        </is>
      </c>
      <c r="G480" t="n">
        <v>1.62</v>
      </c>
      <c r="H480" t="inlineStr">
        <is>
          <t>Contacted</t>
        </is>
      </c>
      <c r="I480" t="inlineStr">
        <is>
          <t>Open</t>
        </is>
      </c>
      <c r="M480">
        <f>VLOOKUP(H480,'Stage Order'!$A$2:$B$8,2,FALSE)</f>
        <v/>
      </c>
      <c r="N480">
        <f>IF(G480&lt;=1,"1. Under 1 hour",IF(G480&lt;=24,"2. 1-24 hours",IF(G480&lt;=72,"3. 1-3 days","4. Over 3 days")))</f>
        <v/>
      </c>
      <c r="O480">
        <f>TEXT(B480,"YYYY-MM")</f>
        <v/>
      </c>
    </row>
    <row r="481">
      <c r="A481" t="inlineStr">
        <is>
          <t>LD-300479</t>
        </is>
      </c>
      <c r="B481" t="inlineStr">
        <is>
          <t>2025-06-21 13:23:00</t>
        </is>
      </c>
      <c r="C481" t="inlineStr">
        <is>
          <t>Referral</t>
        </is>
      </c>
      <c r="D481" t="inlineStr">
        <is>
          <t>K-12 Math</t>
        </is>
      </c>
      <c r="E481" t="inlineStr">
        <is>
          <t>North Region</t>
        </is>
      </c>
      <c r="F481" t="inlineStr">
        <is>
          <t>Rep_11</t>
        </is>
      </c>
      <c r="G481" t="n">
        <v>0.54</v>
      </c>
      <c r="H481" t="inlineStr">
        <is>
          <t>Closed</t>
        </is>
      </c>
      <c r="I481" t="inlineStr">
        <is>
          <t>Won</t>
        </is>
      </c>
      <c r="K481" t="n">
        <v>593.13</v>
      </c>
      <c r="L481" t="inlineStr">
        <is>
          <t>2025-07-30 20:40:52.720895</t>
        </is>
      </c>
      <c r="M481">
        <f>VLOOKUP(H481,'Stage Order'!$A$2:$B$8,2,FALSE)</f>
        <v/>
      </c>
      <c r="N481">
        <f>IF(G481&lt;=1,"1. Under 1 hour",IF(G481&lt;=24,"2. 1-24 hours",IF(G481&lt;=72,"3. 1-3 days","4. Over 3 days")))</f>
        <v/>
      </c>
      <c r="O481">
        <f>TEXT(B481,"YYYY-MM")</f>
        <v/>
      </c>
    </row>
    <row r="482">
      <c r="A482" t="inlineStr">
        <is>
          <t>LD-300480</t>
        </is>
      </c>
      <c r="B482" t="inlineStr">
        <is>
          <t>2026-05-22 14:34:00</t>
        </is>
      </c>
      <c r="C482" t="inlineStr">
        <is>
          <t>Webinar</t>
        </is>
      </c>
      <c r="D482" t="inlineStr">
        <is>
          <t>K-12 Math</t>
        </is>
      </c>
      <c r="E482" t="inlineStr">
        <is>
          <t>North Region</t>
        </is>
      </c>
      <c r="F482" t="inlineStr">
        <is>
          <t>Rep_11</t>
        </is>
      </c>
      <c r="G482" t="n">
        <v>1.45</v>
      </c>
      <c r="H482" t="inlineStr">
        <is>
          <t>Contacted</t>
        </is>
      </c>
      <c r="I482" t="inlineStr">
        <is>
          <t>Open</t>
        </is>
      </c>
      <c r="M482">
        <f>VLOOKUP(H482,'Stage Order'!$A$2:$B$8,2,FALSE)</f>
        <v/>
      </c>
      <c r="N482">
        <f>IF(G482&lt;=1,"1. Under 1 hour",IF(G482&lt;=24,"2. 1-24 hours",IF(G482&lt;=72,"3. 1-3 days","4. Over 3 days")))</f>
        <v/>
      </c>
      <c r="O482">
        <f>TEXT(B482,"YYYY-MM")</f>
        <v/>
      </c>
    </row>
    <row r="483">
      <c r="A483" t="inlineStr">
        <is>
          <t>LD-300481</t>
        </is>
      </c>
      <c r="B483" t="inlineStr">
        <is>
          <t>2026-05-15 16:41:00</t>
        </is>
      </c>
      <c r="C483" t="inlineStr">
        <is>
          <t>Cold Outreach</t>
        </is>
      </c>
      <c r="D483" t="inlineStr">
        <is>
          <t>Competitive Exam Prep</t>
        </is>
      </c>
      <c r="E483" t="inlineStr">
        <is>
          <t>South Region</t>
        </is>
      </c>
      <c r="F483" t="inlineStr">
        <is>
          <t>Rep_02</t>
        </is>
      </c>
      <c r="G483" t="n">
        <v>12.54</v>
      </c>
      <c r="H483" t="inlineStr">
        <is>
          <t>Lead</t>
        </is>
      </c>
      <c r="I483" t="inlineStr">
        <is>
          <t>Open</t>
        </is>
      </c>
      <c r="M483">
        <f>VLOOKUP(H483,'Stage Order'!$A$2:$B$8,2,FALSE)</f>
        <v/>
      </c>
      <c r="N483">
        <f>IF(G483&lt;=1,"1. Under 1 hour",IF(G483&lt;=24,"2. 1-24 hours",IF(G483&lt;=72,"3. 1-3 days","4. Over 3 days")))</f>
        <v/>
      </c>
      <c r="O483">
        <f>TEXT(B483,"YYYY-MM")</f>
        <v/>
      </c>
    </row>
    <row r="484">
      <c r="A484" t="inlineStr">
        <is>
          <t>LD-300482</t>
        </is>
      </c>
      <c r="B484" t="inlineStr">
        <is>
          <t>2026-04-17 20:32:00</t>
        </is>
      </c>
      <c r="C484" t="inlineStr">
        <is>
          <t>Webinar</t>
        </is>
      </c>
      <c r="D484" t="inlineStr">
        <is>
          <t>Competitive Exam Prep</t>
        </is>
      </c>
      <c r="E484" t="inlineStr">
        <is>
          <t>South Region</t>
        </is>
      </c>
      <c r="F484" t="inlineStr">
        <is>
          <t>Rep_02</t>
        </is>
      </c>
      <c r="G484" t="n">
        <v>5.92</v>
      </c>
      <c r="H484" t="inlineStr">
        <is>
          <t>Contacted</t>
        </is>
      </c>
      <c r="I484" t="inlineStr">
        <is>
          <t>Open</t>
        </is>
      </c>
      <c r="M484">
        <f>VLOOKUP(H484,'Stage Order'!$A$2:$B$8,2,FALSE)</f>
        <v/>
      </c>
      <c r="N484">
        <f>IF(G484&lt;=1,"1. Under 1 hour",IF(G484&lt;=24,"2. 1-24 hours",IF(G484&lt;=72,"3. 1-3 days","4. Over 3 days")))</f>
        <v/>
      </c>
      <c r="O484">
        <f>TEXT(B484,"YYYY-MM")</f>
        <v/>
      </c>
    </row>
    <row r="485">
      <c r="A485" t="inlineStr">
        <is>
          <t>LD-300483</t>
        </is>
      </c>
      <c r="B485" t="inlineStr">
        <is>
          <t>2026-03-06 16:01:00</t>
        </is>
      </c>
      <c r="C485" t="inlineStr">
        <is>
          <t>Webinar</t>
        </is>
      </c>
      <c r="D485" t="inlineStr">
        <is>
          <t>Competitive Exam Prep</t>
        </is>
      </c>
      <c r="E485" t="inlineStr">
        <is>
          <t>South Region</t>
        </is>
      </c>
      <c r="F485" t="inlineStr">
        <is>
          <t>Rep_02</t>
        </is>
      </c>
      <c r="G485" t="n">
        <v>4.81</v>
      </c>
      <c r="H485" t="inlineStr">
        <is>
          <t>Contacted</t>
        </is>
      </c>
      <c r="I485" t="inlineStr">
        <is>
          <t>Open</t>
        </is>
      </c>
      <c r="M485">
        <f>VLOOKUP(H485,'Stage Order'!$A$2:$B$8,2,FALSE)</f>
        <v/>
      </c>
      <c r="N485">
        <f>IF(G485&lt;=1,"1. Under 1 hour",IF(G485&lt;=24,"2. 1-24 hours",IF(G485&lt;=72,"3. 1-3 days","4. Over 3 days")))</f>
        <v/>
      </c>
      <c r="O485">
        <f>TEXT(B485,"YYYY-MM")</f>
        <v/>
      </c>
    </row>
    <row r="486">
      <c r="A486" t="inlineStr">
        <is>
          <t>LD-300484</t>
        </is>
      </c>
      <c r="B486" t="inlineStr">
        <is>
          <t>2025-02-16 07:52:00</t>
        </is>
      </c>
      <c r="C486" t="inlineStr">
        <is>
          <t>Referral</t>
        </is>
      </c>
      <c r="D486" t="inlineStr">
        <is>
          <t>Study Abroad Prep</t>
        </is>
      </c>
      <c r="E486" t="inlineStr">
        <is>
          <t>South Region</t>
        </is>
      </c>
      <c r="F486" t="inlineStr">
        <is>
          <t>Rep_07</t>
        </is>
      </c>
      <c r="G486" t="n">
        <v>16.41</v>
      </c>
      <c r="H486" t="inlineStr">
        <is>
          <t>Closed</t>
        </is>
      </c>
      <c r="I486" t="inlineStr">
        <is>
          <t>Won</t>
        </is>
      </c>
      <c r="K486" t="n">
        <v>1363.78</v>
      </c>
      <c r="L486" t="inlineStr">
        <is>
          <t>2025-03-23 13:46:35.448191</t>
        </is>
      </c>
      <c r="M486">
        <f>VLOOKUP(H486,'Stage Order'!$A$2:$B$8,2,FALSE)</f>
        <v/>
      </c>
      <c r="N486">
        <f>IF(G486&lt;=1,"1. Under 1 hour",IF(G486&lt;=24,"2. 1-24 hours",IF(G486&lt;=72,"3. 1-3 days","4. Over 3 days")))</f>
        <v/>
      </c>
      <c r="O486">
        <f>TEXT(B486,"YYYY-MM")</f>
        <v/>
      </c>
    </row>
    <row r="487">
      <c r="A487" t="inlineStr">
        <is>
          <t>LD-300485</t>
        </is>
      </c>
      <c r="B487" t="inlineStr">
        <is>
          <t>2026-04-19 14:05:00</t>
        </is>
      </c>
      <c r="C487" t="inlineStr">
        <is>
          <t>Webinar</t>
        </is>
      </c>
      <c r="D487" t="inlineStr">
        <is>
          <t>K-12 Math</t>
        </is>
      </c>
      <c r="E487" t="inlineStr">
        <is>
          <t>West Region</t>
        </is>
      </c>
      <c r="F487" t="inlineStr">
        <is>
          <t>Rep_08</t>
        </is>
      </c>
      <c r="G487" t="n">
        <v>0.63</v>
      </c>
      <c r="H487" t="inlineStr">
        <is>
          <t>Closed</t>
        </is>
      </c>
      <c r="I487" t="inlineStr">
        <is>
          <t>Won</t>
        </is>
      </c>
      <c r="K487" t="n">
        <v>586.53</v>
      </c>
      <c r="L487" t="inlineStr">
        <is>
          <t>2026-05-22 10:35:33.193605</t>
        </is>
      </c>
      <c r="M487">
        <f>VLOOKUP(H487,'Stage Order'!$A$2:$B$8,2,FALSE)</f>
        <v/>
      </c>
      <c r="N487">
        <f>IF(G487&lt;=1,"1. Under 1 hour",IF(G487&lt;=24,"2. 1-24 hours",IF(G487&lt;=72,"3. 1-3 days","4. Over 3 days")))</f>
        <v/>
      </c>
      <c r="O487">
        <f>TEXT(B487,"YYYY-MM")</f>
        <v/>
      </c>
    </row>
    <row r="488">
      <c r="A488" t="inlineStr">
        <is>
          <t>LD-300486</t>
        </is>
      </c>
      <c r="B488" t="inlineStr">
        <is>
          <t>2025-07-22 20:25:00</t>
        </is>
      </c>
      <c r="C488" t="inlineStr">
        <is>
          <t>Social Media</t>
        </is>
      </c>
      <c r="D488" t="inlineStr">
        <is>
          <t>Coding for Kids</t>
        </is>
      </c>
      <c r="E488" t="inlineStr">
        <is>
          <t>North Region</t>
        </is>
      </c>
      <c r="F488" t="inlineStr">
        <is>
          <t>Rep_01</t>
        </is>
      </c>
      <c r="G488" t="n">
        <v>1.85</v>
      </c>
      <c r="H488" t="inlineStr">
        <is>
          <t>Demo Scheduled</t>
        </is>
      </c>
      <c r="I488" t="inlineStr">
        <is>
          <t>Open</t>
        </is>
      </c>
      <c r="M488">
        <f>VLOOKUP(H488,'Stage Order'!$A$2:$B$8,2,FALSE)</f>
        <v/>
      </c>
      <c r="N488">
        <f>IF(G488&lt;=1,"1. Under 1 hour",IF(G488&lt;=24,"2. 1-24 hours",IF(G488&lt;=72,"3. 1-3 days","4. Over 3 days")))</f>
        <v/>
      </c>
      <c r="O488">
        <f>TEXT(B488,"YYYY-MM")</f>
        <v/>
      </c>
    </row>
    <row r="489">
      <c r="A489" t="inlineStr">
        <is>
          <t>LD-300487</t>
        </is>
      </c>
      <c r="B489" t="inlineStr">
        <is>
          <t>2026-01-16 07:25:00</t>
        </is>
      </c>
      <c r="C489" t="inlineStr">
        <is>
          <t>Social Media</t>
        </is>
      </c>
      <c r="D489" t="inlineStr">
        <is>
          <t>Competitive Exam Prep</t>
        </is>
      </c>
      <c r="E489" t="inlineStr">
        <is>
          <t>South Region</t>
        </is>
      </c>
      <c r="F489" t="inlineStr">
        <is>
          <t>Rep_12</t>
        </is>
      </c>
      <c r="G489" t="n">
        <v>7.6</v>
      </c>
      <c r="H489" t="inlineStr">
        <is>
          <t>Lead</t>
        </is>
      </c>
      <c r="I489" t="inlineStr">
        <is>
          <t>Open</t>
        </is>
      </c>
      <c r="M489">
        <f>VLOOKUP(H489,'Stage Order'!$A$2:$B$8,2,FALSE)</f>
        <v/>
      </c>
      <c r="N489">
        <f>IF(G489&lt;=1,"1. Under 1 hour",IF(G489&lt;=24,"2. 1-24 hours",IF(G489&lt;=72,"3. 1-3 days","4. Over 3 days")))</f>
        <v/>
      </c>
      <c r="O489">
        <f>TEXT(B489,"YYYY-MM")</f>
        <v/>
      </c>
    </row>
    <row r="490">
      <c r="A490" t="inlineStr">
        <is>
          <t>LD-300488</t>
        </is>
      </c>
      <c r="B490" t="inlineStr">
        <is>
          <t>2025-09-12 16:20:00</t>
        </is>
      </c>
      <c r="C490" t="inlineStr">
        <is>
          <t>Social Media</t>
        </is>
      </c>
      <c r="D490" t="inlineStr">
        <is>
          <t>Study Abroad Prep</t>
        </is>
      </c>
      <c r="E490" t="inlineStr">
        <is>
          <t>East Region</t>
        </is>
      </c>
      <c r="F490" t="inlineStr">
        <is>
          <t>Rep_09</t>
        </is>
      </c>
      <c r="G490" t="n">
        <v>13.79</v>
      </c>
      <c r="H490" t="inlineStr">
        <is>
          <t>Contacted</t>
        </is>
      </c>
      <c r="I490" t="inlineStr">
        <is>
          <t>Open</t>
        </is>
      </c>
      <c r="M490">
        <f>VLOOKUP(H490,'Stage Order'!$A$2:$B$8,2,FALSE)</f>
        <v/>
      </c>
      <c r="N490">
        <f>IF(G490&lt;=1,"1. Under 1 hour",IF(G490&lt;=24,"2. 1-24 hours",IF(G490&lt;=72,"3. 1-3 days","4. Over 3 days")))</f>
        <v/>
      </c>
      <c r="O490">
        <f>TEXT(B490,"YYYY-MM")</f>
        <v/>
      </c>
    </row>
    <row r="491">
      <c r="A491" t="inlineStr">
        <is>
          <t>LD-300489</t>
        </is>
      </c>
      <c r="B491" t="inlineStr">
        <is>
          <t>2026-02-11 08:11:00</t>
        </is>
      </c>
      <c r="C491" t="inlineStr">
        <is>
          <t>Social Media</t>
        </is>
      </c>
      <c r="D491" t="inlineStr">
        <is>
          <t>Language Learning</t>
        </is>
      </c>
      <c r="E491" t="inlineStr">
        <is>
          <t>West Region</t>
        </is>
      </c>
      <c r="F491" t="inlineStr">
        <is>
          <t>Rep_03</t>
        </is>
      </c>
      <c r="G491" t="n">
        <v>1.61</v>
      </c>
      <c r="H491" t="inlineStr">
        <is>
          <t>Lead</t>
        </is>
      </c>
      <c r="I491" t="inlineStr">
        <is>
          <t>Open</t>
        </is>
      </c>
      <c r="M491">
        <f>VLOOKUP(H491,'Stage Order'!$A$2:$B$8,2,FALSE)</f>
        <v/>
      </c>
      <c r="N491">
        <f>IF(G491&lt;=1,"1. Under 1 hour",IF(G491&lt;=24,"2. 1-24 hours",IF(G491&lt;=72,"3. 1-3 days","4. Over 3 days")))</f>
        <v/>
      </c>
      <c r="O491">
        <f>TEXT(B491,"YYYY-MM")</f>
        <v/>
      </c>
    </row>
    <row r="492">
      <c r="A492" t="inlineStr">
        <is>
          <t>LD-300490</t>
        </is>
      </c>
      <c r="B492" t="inlineStr">
        <is>
          <t>2025-12-05 07:21:00</t>
        </is>
      </c>
      <c r="C492" t="inlineStr">
        <is>
          <t>Paid Search</t>
        </is>
      </c>
      <c r="D492" t="inlineStr">
        <is>
          <t>Competitive Exam Prep</t>
        </is>
      </c>
      <c r="E492" t="inlineStr">
        <is>
          <t>South Region</t>
        </is>
      </c>
      <c r="F492" t="inlineStr">
        <is>
          <t>Rep_02</t>
        </is>
      </c>
      <c r="G492" t="n">
        <v>1.01</v>
      </c>
      <c r="H492" t="inlineStr">
        <is>
          <t>Contacted</t>
        </is>
      </c>
      <c r="I492" t="inlineStr">
        <is>
          <t>Open</t>
        </is>
      </c>
      <c r="M492">
        <f>VLOOKUP(H492,'Stage Order'!$A$2:$B$8,2,FALSE)</f>
        <v/>
      </c>
      <c r="N492">
        <f>IF(G492&lt;=1,"1. Under 1 hour",IF(G492&lt;=24,"2. 1-24 hours",IF(G492&lt;=72,"3. 1-3 days","4. Over 3 days")))</f>
        <v/>
      </c>
      <c r="O492">
        <f>TEXT(B492,"YYYY-MM")</f>
        <v/>
      </c>
    </row>
    <row r="493">
      <c r="A493" t="inlineStr">
        <is>
          <t>LD-300491</t>
        </is>
      </c>
      <c r="B493" t="inlineStr">
        <is>
          <t>2025-08-08 15:51:00</t>
        </is>
      </c>
      <c r="C493" t="inlineStr">
        <is>
          <t>Social Media</t>
        </is>
      </c>
      <c r="D493" t="inlineStr">
        <is>
          <t>Study Abroad Prep</t>
        </is>
      </c>
      <c r="E493" t="inlineStr">
        <is>
          <t>West Region</t>
        </is>
      </c>
      <c r="F493" t="inlineStr">
        <is>
          <t>Rep_03</t>
        </is>
      </c>
      <c r="G493" t="n">
        <v>0.64</v>
      </c>
      <c r="H493" t="inlineStr">
        <is>
          <t>Contacted</t>
        </is>
      </c>
      <c r="I493" t="inlineStr">
        <is>
          <t>Open</t>
        </is>
      </c>
      <c r="M493">
        <f>VLOOKUP(H493,'Stage Order'!$A$2:$B$8,2,FALSE)</f>
        <v/>
      </c>
      <c r="N493">
        <f>IF(G493&lt;=1,"1. Under 1 hour",IF(G493&lt;=24,"2. 1-24 hours",IF(G493&lt;=72,"3. 1-3 days","4. Over 3 days")))</f>
        <v/>
      </c>
      <c r="O493">
        <f>TEXT(B493,"YYYY-MM")</f>
        <v/>
      </c>
    </row>
    <row r="494">
      <c r="A494" t="inlineStr">
        <is>
          <t>LD-300492</t>
        </is>
      </c>
      <c r="B494" t="inlineStr">
        <is>
          <t>2025-03-01 08:46:00</t>
        </is>
      </c>
      <c r="C494" t="inlineStr">
        <is>
          <t>Organic Search</t>
        </is>
      </c>
      <c r="D494" t="inlineStr">
        <is>
          <t>K-12 Math</t>
        </is>
      </c>
      <c r="E494" t="inlineStr">
        <is>
          <t>North Region</t>
        </is>
      </c>
      <c r="F494" t="inlineStr">
        <is>
          <t>Rep_06</t>
        </is>
      </c>
      <c r="G494" t="n">
        <v>4.47</v>
      </c>
      <c r="H494" t="inlineStr">
        <is>
          <t>Contacted</t>
        </is>
      </c>
      <c r="I494" t="inlineStr">
        <is>
          <t>Open</t>
        </is>
      </c>
      <c r="M494">
        <f>VLOOKUP(H494,'Stage Order'!$A$2:$B$8,2,FALSE)</f>
        <v/>
      </c>
      <c r="N494">
        <f>IF(G494&lt;=1,"1. Under 1 hour",IF(G494&lt;=24,"2. 1-24 hours",IF(G494&lt;=72,"3. 1-3 days","4. Over 3 days")))</f>
        <v/>
      </c>
      <c r="O494">
        <f>TEXT(B494,"YYYY-MM")</f>
        <v/>
      </c>
    </row>
    <row r="495">
      <c r="A495" t="inlineStr">
        <is>
          <t>LD-300493</t>
        </is>
      </c>
      <c r="B495" t="inlineStr">
        <is>
          <t>2026-05-15 17:25:00</t>
        </is>
      </c>
      <c r="C495" t="inlineStr">
        <is>
          <t>Paid Search</t>
        </is>
      </c>
      <c r="D495" t="inlineStr">
        <is>
          <t>Language Learning</t>
        </is>
      </c>
      <c r="E495" t="inlineStr">
        <is>
          <t>North Region</t>
        </is>
      </c>
      <c r="F495" t="inlineStr">
        <is>
          <t>Rep_06</t>
        </is>
      </c>
      <c r="G495" t="n">
        <v>0.57</v>
      </c>
      <c r="H495" t="inlineStr">
        <is>
          <t>Contacted</t>
        </is>
      </c>
      <c r="I495" t="inlineStr">
        <is>
          <t>Open</t>
        </is>
      </c>
      <c r="M495">
        <f>VLOOKUP(H495,'Stage Order'!$A$2:$B$8,2,FALSE)</f>
        <v/>
      </c>
      <c r="N495">
        <f>IF(G495&lt;=1,"1. Under 1 hour",IF(G495&lt;=24,"2. 1-24 hours",IF(G495&lt;=72,"3. 1-3 days","4. Over 3 days")))</f>
        <v/>
      </c>
      <c r="O495">
        <f>TEXT(B495,"YYYY-MM")</f>
        <v/>
      </c>
    </row>
    <row r="496">
      <c r="A496" t="inlineStr">
        <is>
          <t>LD-300494</t>
        </is>
      </c>
      <c r="B496" t="inlineStr">
        <is>
          <t>2025-02-21 14:03:00</t>
        </is>
      </c>
      <c r="C496" t="inlineStr">
        <is>
          <t>Paid Search</t>
        </is>
      </c>
      <c r="D496" t="inlineStr">
        <is>
          <t>Coding for Kids</t>
        </is>
      </c>
      <c r="E496" t="inlineStr">
        <is>
          <t>East Region</t>
        </is>
      </c>
      <c r="F496" t="inlineStr">
        <is>
          <t>Rep_09</t>
        </is>
      </c>
      <c r="G496" t="n">
        <v>2.43</v>
      </c>
      <c r="H496" t="inlineStr">
        <is>
          <t>Lead</t>
        </is>
      </c>
      <c r="I496" t="inlineStr">
        <is>
          <t>Open</t>
        </is>
      </c>
      <c r="M496">
        <f>VLOOKUP(H496,'Stage Order'!$A$2:$B$8,2,FALSE)</f>
        <v/>
      </c>
      <c r="N496">
        <f>IF(G496&lt;=1,"1. Under 1 hour",IF(G496&lt;=24,"2. 1-24 hours",IF(G496&lt;=72,"3. 1-3 days","4. Over 3 days")))</f>
        <v/>
      </c>
      <c r="O496">
        <f>TEXT(B496,"YYYY-MM")</f>
        <v/>
      </c>
    </row>
    <row r="497">
      <c r="A497" t="inlineStr">
        <is>
          <t>LD-300495</t>
        </is>
      </c>
      <c r="B497" t="inlineStr">
        <is>
          <t>2026-01-22 14:33:00</t>
        </is>
      </c>
      <c r="C497" t="inlineStr">
        <is>
          <t>Referral</t>
        </is>
      </c>
      <c r="D497" t="inlineStr">
        <is>
          <t>K-12 Math</t>
        </is>
      </c>
      <c r="E497" t="inlineStr">
        <is>
          <t>North Region</t>
        </is>
      </c>
      <c r="F497" t="inlineStr">
        <is>
          <t>Rep_06</t>
        </is>
      </c>
      <c r="G497" t="n">
        <v>1.95</v>
      </c>
      <c r="H497" t="inlineStr">
        <is>
          <t>Contacted</t>
        </is>
      </c>
      <c r="I497" t="inlineStr">
        <is>
          <t>Open</t>
        </is>
      </c>
      <c r="M497">
        <f>VLOOKUP(H497,'Stage Order'!$A$2:$B$8,2,FALSE)</f>
        <v/>
      </c>
      <c r="N497">
        <f>IF(G497&lt;=1,"1. Under 1 hour",IF(G497&lt;=24,"2. 1-24 hours",IF(G497&lt;=72,"3. 1-3 days","4. Over 3 days")))</f>
        <v/>
      </c>
      <c r="O497">
        <f>TEXT(B497,"YYYY-MM")</f>
        <v/>
      </c>
    </row>
    <row r="498">
      <c r="A498" t="inlineStr">
        <is>
          <t>LD-300496</t>
        </is>
      </c>
      <c r="B498" t="inlineStr">
        <is>
          <t>2025-10-10 09:44:00</t>
        </is>
      </c>
      <c r="C498" t="inlineStr">
        <is>
          <t>Referral</t>
        </is>
      </c>
      <c r="D498" t="inlineStr">
        <is>
          <t>Competitive Exam Prep</t>
        </is>
      </c>
      <c r="E498" t="inlineStr">
        <is>
          <t>South Region</t>
        </is>
      </c>
      <c r="F498" t="inlineStr">
        <is>
          <t>Rep_07</t>
        </is>
      </c>
      <c r="G498" t="n">
        <v>10.79</v>
      </c>
      <c r="H498" t="inlineStr">
        <is>
          <t>Contacted</t>
        </is>
      </c>
      <c r="I498" t="inlineStr">
        <is>
          <t>Open</t>
        </is>
      </c>
      <c r="M498">
        <f>VLOOKUP(H498,'Stage Order'!$A$2:$B$8,2,FALSE)</f>
        <v/>
      </c>
      <c r="N498">
        <f>IF(G498&lt;=1,"1. Under 1 hour",IF(G498&lt;=24,"2. 1-24 hours",IF(G498&lt;=72,"3. 1-3 days","4. Over 3 days")))</f>
        <v/>
      </c>
      <c r="O498">
        <f>TEXT(B498,"YYYY-MM")</f>
        <v/>
      </c>
    </row>
    <row r="499">
      <c r="A499" t="inlineStr">
        <is>
          <t>LD-300497</t>
        </is>
      </c>
      <c r="B499" t="inlineStr">
        <is>
          <t>2025-04-08 11:24:00</t>
        </is>
      </c>
      <c r="C499" t="inlineStr">
        <is>
          <t>Referral</t>
        </is>
      </c>
      <c r="D499" t="inlineStr">
        <is>
          <t>Study Abroad Prep</t>
        </is>
      </c>
      <c r="E499" t="inlineStr">
        <is>
          <t>North Region</t>
        </is>
      </c>
      <c r="F499" t="inlineStr">
        <is>
          <t>Rep_01</t>
        </is>
      </c>
      <c r="G499" t="n">
        <v>0.66</v>
      </c>
      <c r="H499" t="inlineStr">
        <is>
          <t>Contacted</t>
        </is>
      </c>
      <c r="I499" t="inlineStr">
        <is>
          <t>Open</t>
        </is>
      </c>
      <c r="M499">
        <f>VLOOKUP(H499,'Stage Order'!$A$2:$B$8,2,FALSE)</f>
        <v/>
      </c>
      <c r="N499">
        <f>IF(G499&lt;=1,"1. Under 1 hour",IF(G499&lt;=24,"2. 1-24 hours",IF(G499&lt;=72,"3. 1-3 days","4. Over 3 days")))</f>
        <v/>
      </c>
      <c r="O499">
        <f>TEXT(B499,"YYYY-MM")</f>
        <v/>
      </c>
    </row>
    <row r="500">
      <c r="A500" t="inlineStr">
        <is>
          <t>LD-300498</t>
        </is>
      </c>
      <c r="B500" t="inlineStr">
        <is>
          <t>2026-02-09 12:16:00</t>
        </is>
      </c>
      <c r="C500" t="inlineStr">
        <is>
          <t>Organic Search</t>
        </is>
      </c>
      <c r="D500" t="inlineStr">
        <is>
          <t>Competitive Exam Prep</t>
        </is>
      </c>
      <c r="E500" t="inlineStr">
        <is>
          <t>South Region</t>
        </is>
      </c>
      <c r="F500" t="inlineStr">
        <is>
          <t>Rep_12</t>
        </is>
      </c>
      <c r="G500" t="n">
        <v>28.97</v>
      </c>
      <c r="H500" t="inlineStr">
        <is>
          <t>Demo Completed</t>
        </is>
      </c>
      <c r="I500" t="inlineStr">
        <is>
          <t>Lost</t>
        </is>
      </c>
      <c r="J500" t="inlineStr">
        <is>
          <t>Price Objection</t>
        </is>
      </c>
      <c r="K500" t="n">
        <v>1024.75</v>
      </c>
      <c r="L500" t="inlineStr">
        <is>
          <t>2026-03-13 17:24:52.476317</t>
        </is>
      </c>
      <c r="M500">
        <f>VLOOKUP(H500,'Stage Order'!$A$2:$B$8,2,FALSE)</f>
        <v/>
      </c>
      <c r="N500">
        <f>IF(G500&lt;=1,"1. Under 1 hour",IF(G500&lt;=24,"2. 1-24 hours",IF(G500&lt;=72,"3. 1-3 days","4. Over 3 days")))</f>
        <v/>
      </c>
      <c r="O500">
        <f>TEXT(B500,"YYYY-MM")</f>
        <v/>
      </c>
    </row>
    <row r="501">
      <c r="A501" t="inlineStr">
        <is>
          <t>LD-300499</t>
        </is>
      </c>
      <c r="B501" t="inlineStr">
        <is>
          <t>2025-09-13 17:04:00</t>
        </is>
      </c>
      <c r="C501" t="inlineStr">
        <is>
          <t>Social Media</t>
        </is>
      </c>
      <c r="D501" t="inlineStr">
        <is>
          <t>K-12 Math</t>
        </is>
      </c>
      <c r="E501" t="inlineStr">
        <is>
          <t>South Region</t>
        </is>
      </c>
      <c r="F501" t="inlineStr">
        <is>
          <t>Rep_12</t>
        </is>
      </c>
      <c r="G501" t="n">
        <v>4.45</v>
      </c>
      <c r="H501" t="inlineStr">
        <is>
          <t>Contacted</t>
        </is>
      </c>
      <c r="I501" t="inlineStr">
        <is>
          <t>Open</t>
        </is>
      </c>
      <c r="M501">
        <f>VLOOKUP(H501,'Stage Order'!$A$2:$B$8,2,FALSE)</f>
        <v/>
      </c>
      <c r="N501">
        <f>IF(G501&lt;=1,"1. Under 1 hour",IF(G501&lt;=24,"2. 1-24 hours",IF(G501&lt;=72,"3. 1-3 days","4. Over 3 days")))</f>
        <v/>
      </c>
      <c r="O501">
        <f>TEXT(B501,"YYYY-MM")</f>
        <v/>
      </c>
    </row>
    <row r="502">
      <c r="A502" t="inlineStr">
        <is>
          <t>LD-300500</t>
        </is>
      </c>
      <c r="B502" t="inlineStr">
        <is>
          <t>2026-01-08 14:38:00</t>
        </is>
      </c>
      <c r="C502" t="inlineStr">
        <is>
          <t>Referral</t>
        </is>
      </c>
      <c r="D502" t="inlineStr">
        <is>
          <t>Coding for Kids</t>
        </is>
      </c>
      <c r="E502" t="inlineStr">
        <is>
          <t>East Region</t>
        </is>
      </c>
      <c r="F502" t="inlineStr">
        <is>
          <t>Rep_14</t>
        </is>
      </c>
      <c r="G502" t="n">
        <v>5.02</v>
      </c>
      <c r="H502" t="inlineStr">
        <is>
          <t>Demo Completed</t>
        </is>
      </c>
      <c r="I502" t="inlineStr">
        <is>
          <t>Lost</t>
        </is>
      </c>
      <c r="J502" t="inlineStr">
        <is>
          <t>Budget Not Approved</t>
        </is>
      </c>
      <c r="K502" t="n">
        <v>714.89</v>
      </c>
      <c r="L502" t="inlineStr">
        <is>
          <t>2026-02-23 17:11:39.061088</t>
        </is>
      </c>
      <c r="M502">
        <f>VLOOKUP(H502,'Stage Order'!$A$2:$B$8,2,FALSE)</f>
        <v/>
      </c>
      <c r="N502">
        <f>IF(G502&lt;=1,"1. Under 1 hour",IF(G502&lt;=24,"2. 1-24 hours",IF(G502&lt;=72,"3. 1-3 days","4. Over 3 days")))</f>
        <v/>
      </c>
      <c r="O502">
        <f>TEXT(B502,"YYYY-MM")</f>
        <v/>
      </c>
    </row>
    <row r="503">
      <c r="A503" t="inlineStr">
        <is>
          <t>LD-300501</t>
        </is>
      </c>
      <c r="B503" t="inlineStr">
        <is>
          <t>2025-11-05 18:16:00</t>
        </is>
      </c>
      <c r="C503" t="inlineStr">
        <is>
          <t>Referral</t>
        </is>
      </c>
      <c r="D503" t="inlineStr">
        <is>
          <t>K-12 Math</t>
        </is>
      </c>
      <c r="E503" t="inlineStr">
        <is>
          <t>North Region</t>
        </is>
      </c>
      <c r="F503" t="inlineStr">
        <is>
          <t>Rep_11</t>
        </is>
      </c>
      <c r="G503" t="n">
        <v>3.35</v>
      </c>
      <c r="H503" t="inlineStr">
        <is>
          <t>Closed</t>
        </is>
      </c>
      <c r="I503" t="inlineStr">
        <is>
          <t>Won</t>
        </is>
      </c>
      <c r="K503" t="n">
        <v>432.34</v>
      </c>
      <c r="L503" t="inlineStr">
        <is>
          <t>2025-12-15 05:43:07.187638</t>
        </is>
      </c>
      <c r="M503">
        <f>VLOOKUP(H503,'Stage Order'!$A$2:$B$8,2,FALSE)</f>
        <v/>
      </c>
      <c r="N503">
        <f>IF(G503&lt;=1,"1. Under 1 hour",IF(G503&lt;=24,"2. 1-24 hours",IF(G503&lt;=72,"3. 1-3 days","4. Over 3 days")))</f>
        <v/>
      </c>
      <c r="O503">
        <f>TEXT(B503,"YYYY-MM")</f>
        <v/>
      </c>
    </row>
    <row r="504">
      <c r="A504" t="inlineStr">
        <is>
          <t>LD-300502</t>
        </is>
      </c>
      <c r="B504" t="inlineStr">
        <is>
          <t>2026-03-29 16:46:00</t>
        </is>
      </c>
      <c r="C504" t="inlineStr">
        <is>
          <t>Organic Search</t>
        </is>
      </c>
      <c r="D504" t="inlineStr">
        <is>
          <t>Language Learning</t>
        </is>
      </c>
      <c r="E504" t="inlineStr">
        <is>
          <t>South Region</t>
        </is>
      </c>
      <c r="F504" t="inlineStr">
        <is>
          <t>Rep_02</t>
        </is>
      </c>
      <c r="G504" t="n">
        <v>3.73</v>
      </c>
      <c r="H504" t="inlineStr">
        <is>
          <t>Contacted</t>
        </is>
      </c>
      <c r="I504" t="inlineStr">
        <is>
          <t>Open</t>
        </is>
      </c>
      <c r="M504">
        <f>VLOOKUP(H504,'Stage Order'!$A$2:$B$8,2,FALSE)</f>
        <v/>
      </c>
      <c r="N504">
        <f>IF(G504&lt;=1,"1. Under 1 hour",IF(G504&lt;=24,"2. 1-24 hours",IF(G504&lt;=72,"3. 1-3 days","4. Over 3 days")))</f>
        <v/>
      </c>
      <c r="O504">
        <f>TEXT(B504,"YYYY-MM")</f>
        <v/>
      </c>
    </row>
    <row r="505">
      <c r="A505" t="inlineStr">
        <is>
          <t>LD-300503</t>
        </is>
      </c>
      <c r="B505" t="inlineStr">
        <is>
          <t>2026-02-23 17:35:00</t>
        </is>
      </c>
      <c r="C505" t="inlineStr">
        <is>
          <t>Social Media</t>
        </is>
      </c>
      <c r="D505" t="inlineStr">
        <is>
          <t>Coding for Kids</t>
        </is>
      </c>
      <c r="E505" t="inlineStr">
        <is>
          <t>South Region</t>
        </is>
      </c>
      <c r="F505" t="inlineStr">
        <is>
          <t>Rep_07</t>
        </is>
      </c>
      <c r="G505" t="n">
        <v>2.45</v>
      </c>
      <c r="H505" t="inlineStr">
        <is>
          <t>Demo Completed</t>
        </is>
      </c>
      <c r="I505" t="inlineStr">
        <is>
          <t>Lost</t>
        </is>
      </c>
      <c r="J505" t="inlineStr">
        <is>
          <t>Went With Competitor</t>
        </is>
      </c>
      <c r="K505" t="n">
        <v>542.9400000000001</v>
      </c>
      <c r="L505" t="inlineStr">
        <is>
          <t>2026-04-09 12:13:41.343924</t>
        </is>
      </c>
      <c r="M505">
        <f>VLOOKUP(H505,'Stage Order'!$A$2:$B$8,2,FALSE)</f>
        <v/>
      </c>
      <c r="N505">
        <f>IF(G505&lt;=1,"1. Under 1 hour",IF(G505&lt;=24,"2. 1-24 hours",IF(G505&lt;=72,"3. 1-3 days","4. Over 3 days")))</f>
        <v/>
      </c>
      <c r="O505">
        <f>TEXT(B505,"YYYY-MM")</f>
        <v/>
      </c>
    </row>
    <row r="506">
      <c r="A506" t="inlineStr">
        <is>
          <t>LD-300504</t>
        </is>
      </c>
      <c r="B506" t="inlineStr">
        <is>
          <t>2026-02-12 14:03:00</t>
        </is>
      </c>
      <c r="C506" t="inlineStr">
        <is>
          <t>Paid Search</t>
        </is>
      </c>
      <c r="D506" t="inlineStr">
        <is>
          <t>Study Abroad Prep</t>
        </is>
      </c>
      <c r="E506" t="inlineStr">
        <is>
          <t>North Region</t>
        </is>
      </c>
      <c r="F506" t="inlineStr">
        <is>
          <t>Rep_06</t>
        </is>
      </c>
      <c r="G506" t="n">
        <v>0.8100000000000001</v>
      </c>
      <c r="H506" t="inlineStr">
        <is>
          <t>Demo Scheduled</t>
        </is>
      </c>
      <c r="I506" t="inlineStr">
        <is>
          <t>Open</t>
        </is>
      </c>
      <c r="M506">
        <f>VLOOKUP(H506,'Stage Order'!$A$2:$B$8,2,FALSE)</f>
        <v/>
      </c>
      <c r="N506">
        <f>IF(G506&lt;=1,"1. Under 1 hour",IF(G506&lt;=24,"2. 1-24 hours",IF(G506&lt;=72,"3. 1-3 days","4. Over 3 days")))</f>
        <v/>
      </c>
      <c r="O506">
        <f>TEXT(B506,"YYYY-MM")</f>
        <v/>
      </c>
    </row>
    <row r="507">
      <c r="A507" t="inlineStr">
        <is>
          <t>LD-300505</t>
        </is>
      </c>
      <c r="B507" t="inlineStr">
        <is>
          <t>2026-03-02 18:14:00</t>
        </is>
      </c>
      <c r="C507" t="inlineStr">
        <is>
          <t>Paid Search</t>
        </is>
      </c>
      <c r="D507" t="inlineStr">
        <is>
          <t>Competitive Exam Prep</t>
        </is>
      </c>
      <c r="E507" t="inlineStr">
        <is>
          <t>West Region</t>
        </is>
      </c>
      <c r="F507" t="inlineStr">
        <is>
          <t>Rep_03</t>
        </is>
      </c>
      <c r="G507" t="n">
        <v>2.93</v>
      </c>
      <c r="H507" t="inlineStr">
        <is>
          <t>Lead</t>
        </is>
      </c>
      <c r="I507" t="inlineStr">
        <is>
          <t>Open</t>
        </is>
      </c>
      <c r="M507">
        <f>VLOOKUP(H507,'Stage Order'!$A$2:$B$8,2,FALSE)</f>
        <v/>
      </c>
      <c r="N507">
        <f>IF(G507&lt;=1,"1. Under 1 hour",IF(G507&lt;=24,"2. 1-24 hours",IF(G507&lt;=72,"3. 1-3 days","4. Over 3 days")))</f>
        <v/>
      </c>
      <c r="O507">
        <f>TEXT(B507,"YYYY-MM")</f>
        <v/>
      </c>
    </row>
    <row r="508">
      <c r="A508" t="inlineStr">
        <is>
          <t>LD-300506</t>
        </is>
      </c>
      <c r="B508" t="inlineStr">
        <is>
          <t>2026-03-20 18:04:00</t>
        </is>
      </c>
      <c r="C508" t="inlineStr">
        <is>
          <t>Organic Search</t>
        </is>
      </c>
      <c r="D508" t="inlineStr">
        <is>
          <t>K-12 Math</t>
        </is>
      </c>
      <c r="E508" t="inlineStr">
        <is>
          <t>East Region</t>
        </is>
      </c>
      <c r="F508" t="inlineStr">
        <is>
          <t>Rep_14</t>
        </is>
      </c>
      <c r="G508" t="n">
        <v>3.87</v>
      </c>
      <c r="H508" t="inlineStr">
        <is>
          <t>Demo Completed</t>
        </is>
      </c>
      <c r="I508" t="inlineStr">
        <is>
          <t>Lost</t>
        </is>
      </c>
      <c r="J508" t="inlineStr">
        <is>
          <t>Bad Timing</t>
        </is>
      </c>
      <c r="K508" t="n">
        <v>483.77</v>
      </c>
      <c r="L508" t="inlineStr">
        <is>
          <t>2026-04-15 17:44:49.741939</t>
        </is>
      </c>
      <c r="M508">
        <f>VLOOKUP(H508,'Stage Order'!$A$2:$B$8,2,FALSE)</f>
        <v/>
      </c>
      <c r="N508">
        <f>IF(G508&lt;=1,"1. Under 1 hour",IF(G508&lt;=24,"2. 1-24 hours",IF(G508&lt;=72,"3. 1-3 days","4. Over 3 days")))</f>
        <v/>
      </c>
      <c r="O508">
        <f>TEXT(B508,"YYYY-MM")</f>
        <v/>
      </c>
    </row>
    <row r="509">
      <c r="A509" t="inlineStr">
        <is>
          <t>LD-300507</t>
        </is>
      </c>
      <c r="B509" t="inlineStr">
        <is>
          <t>2025-03-09 12:43:00</t>
        </is>
      </c>
      <c r="C509" t="inlineStr">
        <is>
          <t>Social Media</t>
        </is>
      </c>
      <c r="D509" t="inlineStr">
        <is>
          <t>K-12 Math</t>
        </is>
      </c>
      <c r="E509" t="inlineStr">
        <is>
          <t>South Region</t>
        </is>
      </c>
      <c r="F509" t="inlineStr">
        <is>
          <t>Rep_07</t>
        </is>
      </c>
      <c r="G509" t="n">
        <v>5.77</v>
      </c>
      <c r="H509" t="inlineStr">
        <is>
          <t>Contacted</t>
        </is>
      </c>
      <c r="I509" t="inlineStr">
        <is>
          <t>Open</t>
        </is>
      </c>
      <c r="M509">
        <f>VLOOKUP(H509,'Stage Order'!$A$2:$B$8,2,FALSE)</f>
        <v/>
      </c>
      <c r="N509">
        <f>IF(G509&lt;=1,"1. Under 1 hour",IF(G509&lt;=24,"2. 1-24 hours",IF(G509&lt;=72,"3. 1-3 days","4. Over 3 days")))</f>
        <v/>
      </c>
      <c r="O509">
        <f>TEXT(B509,"YYYY-MM")</f>
        <v/>
      </c>
    </row>
    <row r="510">
      <c r="A510" t="inlineStr">
        <is>
          <t>LD-300508</t>
        </is>
      </c>
      <c r="B510" t="inlineStr">
        <is>
          <t>2025-10-16 13:51:00</t>
        </is>
      </c>
      <c r="C510" t="inlineStr">
        <is>
          <t>Partner Channel</t>
        </is>
      </c>
      <c r="D510" t="inlineStr">
        <is>
          <t>Study Abroad Prep</t>
        </is>
      </c>
      <c r="E510" t="inlineStr">
        <is>
          <t>North Region</t>
        </is>
      </c>
      <c r="F510" t="inlineStr">
        <is>
          <t>Rep_01</t>
        </is>
      </c>
      <c r="G510" t="n">
        <v>1.71</v>
      </c>
      <c r="H510" t="inlineStr">
        <is>
          <t>Closed</t>
        </is>
      </c>
      <c r="I510" t="inlineStr">
        <is>
          <t>Won</t>
        </is>
      </c>
      <c r="K510" t="n">
        <v>1567.84</v>
      </c>
      <c r="L510" t="inlineStr">
        <is>
          <t>2025-11-18 12:21:16.050331</t>
        </is>
      </c>
      <c r="M510">
        <f>VLOOKUP(H510,'Stage Order'!$A$2:$B$8,2,FALSE)</f>
        <v/>
      </c>
      <c r="N510">
        <f>IF(G510&lt;=1,"1. Under 1 hour",IF(G510&lt;=24,"2. 1-24 hours",IF(G510&lt;=72,"3. 1-3 days","4. Over 3 days")))</f>
        <v/>
      </c>
      <c r="O510">
        <f>TEXT(B510,"YYYY-MM")</f>
        <v/>
      </c>
    </row>
    <row r="511">
      <c r="A511" t="inlineStr">
        <is>
          <t>LD-300509</t>
        </is>
      </c>
      <c r="B511" t="inlineStr">
        <is>
          <t>2026-04-17 17:13:00</t>
        </is>
      </c>
      <c r="C511" t="inlineStr">
        <is>
          <t>Cold Outreach</t>
        </is>
      </c>
      <c r="D511" t="inlineStr">
        <is>
          <t>Coding for Kids</t>
        </is>
      </c>
      <c r="E511" t="inlineStr">
        <is>
          <t>North Region</t>
        </is>
      </c>
      <c r="F511" t="inlineStr">
        <is>
          <t>Rep_01</t>
        </is>
      </c>
      <c r="G511" t="n">
        <v>10.12</v>
      </c>
      <c r="H511" t="inlineStr">
        <is>
          <t>Contacted</t>
        </is>
      </c>
      <c r="I511" t="inlineStr">
        <is>
          <t>Open</t>
        </is>
      </c>
      <c r="M511">
        <f>VLOOKUP(H511,'Stage Order'!$A$2:$B$8,2,FALSE)</f>
        <v/>
      </c>
      <c r="N511">
        <f>IF(G511&lt;=1,"1. Under 1 hour",IF(G511&lt;=24,"2. 1-24 hours",IF(G511&lt;=72,"3. 1-3 days","4. Over 3 days")))</f>
        <v/>
      </c>
      <c r="O511">
        <f>TEXT(B511,"YYYY-MM")</f>
        <v/>
      </c>
    </row>
    <row r="512">
      <c r="A512" t="inlineStr">
        <is>
          <t>LD-300510</t>
        </is>
      </c>
      <c r="B512" t="inlineStr">
        <is>
          <t>2025-02-22 17:30:00</t>
        </is>
      </c>
      <c r="C512" t="inlineStr">
        <is>
          <t>Partner Channel</t>
        </is>
      </c>
      <c r="D512" t="inlineStr">
        <is>
          <t>Study Abroad Prep</t>
        </is>
      </c>
      <c r="E512" t="inlineStr">
        <is>
          <t>East Region</t>
        </is>
      </c>
      <c r="F512" t="inlineStr">
        <is>
          <t>Rep_04</t>
        </is>
      </c>
      <c r="G512" t="n">
        <v>9</v>
      </c>
      <c r="H512" t="inlineStr">
        <is>
          <t>Lead</t>
        </is>
      </c>
      <c r="I512" t="inlineStr">
        <is>
          <t>Open</t>
        </is>
      </c>
      <c r="M512">
        <f>VLOOKUP(H512,'Stage Order'!$A$2:$B$8,2,FALSE)</f>
        <v/>
      </c>
      <c r="N512">
        <f>IF(G512&lt;=1,"1. Under 1 hour",IF(G512&lt;=24,"2. 1-24 hours",IF(G512&lt;=72,"3. 1-3 days","4. Over 3 days")))</f>
        <v/>
      </c>
      <c r="O512">
        <f>TEXT(B512,"YYYY-MM")</f>
        <v/>
      </c>
    </row>
    <row r="513">
      <c r="A513" t="inlineStr">
        <is>
          <t>LD-300511</t>
        </is>
      </c>
      <c r="B513" t="inlineStr">
        <is>
          <t>2026-05-22 15:35:00</t>
        </is>
      </c>
      <c r="C513" t="inlineStr">
        <is>
          <t>Referral</t>
        </is>
      </c>
      <c r="D513" t="inlineStr">
        <is>
          <t>K-12 Math</t>
        </is>
      </c>
      <c r="E513" t="inlineStr">
        <is>
          <t>East Region</t>
        </is>
      </c>
      <c r="F513" t="inlineStr">
        <is>
          <t>Rep_14</t>
        </is>
      </c>
      <c r="G513" t="n">
        <v>2.35</v>
      </c>
      <c r="H513" t="inlineStr">
        <is>
          <t>Demo Scheduled</t>
        </is>
      </c>
      <c r="I513" t="inlineStr">
        <is>
          <t>Open</t>
        </is>
      </c>
      <c r="M513">
        <f>VLOOKUP(H513,'Stage Order'!$A$2:$B$8,2,FALSE)</f>
        <v/>
      </c>
      <c r="N513">
        <f>IF(G513&lt;=1,"1. Under 1 hour",IF(G513&lt;=24,"2. 1-24 hours",IF(G513&lt;=72,"3. 1-3 days","4. Over 3 days")))</f>
        <v/>
      </c>
      <c r="O513">
        <f>TEXT(B513,"YYYY-MM")</f>
        <v/>
      </c>
    </row>
    <row r="514">
      <c r="A514" t="inlineStr">
        <is>
          <t>LD-300512</t>
        </is>
      </c>
      <c r="B514" t="inlineStr">
        <is>
          <t>2025-10-20 12:47:00</t>
        </is>
      </c>
      <c r="C514" t="inlineStr">
        <is>
          <t>Webinar</t>
        </is>
      </c>
      <c r="D514" t="inlineStr">
        <is>
          <t>K-12 Math</t>
        </is>
      </c>
      <c r="E514" t="inlineStr">
        <is>
          <t>North Region</t>
        </is>
      </c>
      <c r="F514" t="inlineStr">
        <is>
          <t>Rep_06</t>
        </is>
      </c>
      <c r="G514" t="n">
        <v>0.37</v>
      </c>
      <c r="H514" t="inlineStr">
        <is>
          <t>Contacted</t>
        </is>
      </c>
      <c r="I514" t="inlineStr">
        <is>
          <t>Open</t>
        </is>
      </c>
      <c r="M514">
        <f>VLOOKUP(H514,'Stage Order'!$A$2:$B$8,2,FALSE)</f>
        <v/>
      </c>
      <c r="N514">
        <f>IF(G514&lt;=1,"1. Under 1 hour",IF(G514&lt;=24,"2. 1-24 hours",IF(G514&lt;=72,"3. 1-3 days","4. Over 3 days")))</f>
        <v/>
      </c>
      <c r="O514">
        <f>TEXT(B514,"YYYY-MM")</f>
        <v/>
      </c>
    </row>
    <row r="515">
      <c r="A515" t="inlineStr">
        <is>
          <t>LD-300513</t>
        </is>
      </c>
      <c r="B515" t="inlineStr">
        <is>
          <t>2025-12-26 14:10:00</t>
        </is>
      </c>
      <c r="C515" t="inlineStr">
        <is>
          <t>Social Media</t>
        </is>
      </c>
      <c r="D515" t="inlineStr">
        <is>
          <t>Study Abroad Prep</t>
        </is>
      </c>
      <c r="E515" t="inlineStr">
        <is>
          <t>West Region</t>
        </is>
      </c>
      <c r="F515" t="inlineStr">
        <is>
          <t>Rep_03</t>
        </is>
      </c>
      <c r="G515" t="n">
        <v>1.12</v>
      </c>
      <c r="H515" t="inlineStr">
        <is>
          <t>Contacted</t>
        </is>
      </c>
      <c r="I515" t="inlineStr">
        <is>
          <t>Open</t>
        </is>
      </c>
      <c r="M515">
        <f>VLOOKUP(H515,'Stage Order'!$A$2:$B$8,2,FALSE)</f>
        <v/>
      </c>
      <c r="N515">
        <f>IF(G515&lt;=1,"1. Under 1 hour",IF(G515&lt;=24,"2. 1-24 hours",IF(G515&lt;=72,"3. 1-3 days","4. Over 3 days")))</f>
        <v/>
      </c>
      <c r="O515">
        <f>TEXT(B515,"YYYY-MM")</f>
        <v/>
      </c>
    </row>
    <row r="516">
      <c r="A516" t="inlineStr">
        <is>
          <t>LD-300514</t>
        </is>
      </c>
      <c r="B516" t="inlineStr">
        <is>
          <t>2025-08-23 07:28:00</t>
        </is>
      </c>
      <c r="C516" t="inlineStr">
        <is>
          <t>Organic Search</t>
        </is>
      </c>
      <c r="D516" t="inlineStr">
        <is>
          <t>Coding for Kids</t>
        </is>
      </c>
      <c r="E516" t="inlineStr">
        <is>
          <t>West Region</t>
        </is>
      </c>
      <c r="F516" t="inlineStr">
        <is>
          <t>Rep_08</t>
        </is>
      </c>
      <c r="G516" t="n">
        <v>2.36</v>
      </c>
      <c r="H516" t="inlineStr">
        <is>
          <t>Contacted</t>
        </is>
      </c>
      <c r="I516" t="inlineStr">
        <is>
          <t>Open</t>
        </is>
      </c>
      <c r="M516">
        <f>VLOOKUP(H516,'Stage Order'!$A$2:$B$8,2,FALSE)</f>
        <v/>
      </c>
      <c r="N516">
        <f>IF(G516&lt;=1,"1. Under 1 hour",IF(G516&lt;=24,"2. 1-24 hours",IF(G516&lt;=72,"3. 1-3 days","4. Over 3 days")))</f>
        <v/>
      </c>
      <c r="O516">
        <f>TEXT(B516,"YYYY-MM")</f>
        <v/>
      </c>
    </row>
    <row r="517">
      <c r="A517" t="inlineStr">
        <is>
          <t>LD-300515</t>
        </is>
      </c>
      <c r="B517" t="inlineStr">
        <is>
          <t>2025-07-31 11:16:00</t>
        </is>
      </c>
      <c r="C517" t="inlineStr">
        <is>
          <t>Partner Channel</t>
        </is>
      </c>
      <c r="D517" t="inlineStr">
        <is>
          <t>Language Learning</t>
        </is>
      </c>
      <c r="E517" t="inlineStr">
        <is>
          <t>South Region</t>
        </is>
      </c>
      <c r="F517" t="inlineStr">
        <is>
          <t>Rep_07</t>
        </is>
      </c>
      <c r="G517" t="n">
        <v>0.88</v>
      </c>
      <c r="H517" t="inlineStr">
        <is>
          <t>Closed</t>
        </is>
      </c>
      <c r="I517" t="inlineStr">
        <is>
          <t>Won</t>
        </is>
      </c>
      <c r="K517" t="n">
        <v>310.96</v>
      </c>
      <c r="L517" t="inlineStr">
        <is>
          <t>2025-09-09 09:14:58.953227</t>
        </is>
      </c>
      <c r="M517">
        <f>VLOOKUP(H517,'Stage Order'!$A$2:$B$8,2,FALSE)</f>
        <v/>
      </c>
      <c r="N517">
        <f>IF(G517&lt;=1,"1. Under 1 hour",IF(G517&lt;=24,"2. 1-24 hours",IF(G517&lt;=72,"3. 1-3 days","4. Over 3 days")))</f>
        <v/>
      </c>
      <c r="O517">
        <f>TEXT(B517,"YYYY-MM")</f>
        <v/>
      </c>
    </row>
    <row r="518">
      <c r="A518" t="inlineStr">
        <is>
          <t>LD-300516</t>
        </is>
      </c>
      <c r="B518" t="inlineStr">
        <is>
          <t>2025-12-19 09:04:00</t>
        </is>
      </c>
      <c r="C518" t="inlineStr">
        <is>
          <t>Paid Search</t>
        </is>
      </c>
      <c r="D518" t="inlineStr">
        <is>
          <t>Competitive Exam Prep</t>
        </is>
      </c>
      <c r="E518" t="inlineStr">
        <is>
          <t>International</t>
        </is>
      </c>
      <c r="F518" t="inlineStr">
        <is>
          <t>Rep_15</t>
        </is>
      </c>
      <c r="G518" t="n">
        <v>1.53</v>
      </c>
      <c r="H518" t="inlineStr">
        <is>
          <t>Contacted</t>
        </is>
      </c>
      <c r="I518" t="inlineStr">
        <is>
          <t>Open</t>
        </is>
      </c>
      <c r="M518">
        <f>VLOOKUP(H518,'Stage Order'!$A$2:$B$8,2,FALSE)</f>
        <v/>
      </c>
      <c r="N518">
        <f>IF(G518&lt;=1,"1. Under 1 hour",IF(G518&lt;=24,"2. 1-24 hours",IF(G518&lt;=72,"3. 1-3 days","4. Over 3 days")))</f>
        <v/>
      </c>
      <c r="O518">
        <f>TEXT(B518,"YYYY-MM")</f>
        <v/>
      </c>
    </row>
    <row r="519">
      <c r="A519" t="inlineStr">
        <is>
          <t>LD-300517</t>
        </is>
      </c>
      <c r="B519" t="inlineStr">
        <is>
          <t>2025-02-12 09:25:00</t>
        </is>
      </c>
      <c r="C519" t="inlineStr">
        <is>
          <t>Paid Search</t>
        </is>
      </c>
      <c r="D519" t="inlineStr">
        <is>
          <t>Coding for Kids</t>
        </is>
      </c>
      <c r="E519" t="inlineStr">
        <is>
          <t>South Region</t>
        </is>
      </c>
      <c r="F519" t="inlineStr">
        <is>
          <t>Rep_07</t>
        </is>
      </c>
      <c r="G519" t="n">
        <v>1.41</v>
      </c>
      <c r="H519" t="inlineStr">
        <is>
          <t>Contacted</t>
        </is>
      </c>
      <c r="I519" t="inlineStr">
        <is>
          <t>Open</t>
        </is>
      </c>
      <c r="M519">
        <f>VLOOKUP(H519,'Stage Order'!$A$2:$B$8,2,FALSE)</f>
        <v/>
      </c>
      <c r="N519">
        <f>IF(G519&lt;=1,"1. Under 1 hour",IF(G519&lt;=24,"2. 1-24 hours",IF(G519&lt;=72,"3. 1-3 days","4. Over 3 days")))</f>
        <v/>
      </c>
      <c r="O519">
        <f>TEXT(B519,"YYYY-MM")</f>
        <v/>
      </c>
    </row>
    <row r="520">
      <c r="A520" t="inlineStr">
        <is>
          <t>LD-300518</t>
        </is>
      </c>
      <c r="B520" t="inlineStr">
        <is>
          <t>2026-01-16 10:24:00</t>
        </is>
      </c>
      <c r="C520" t="inlineStr">
        <is>
          <t>Paid Search</t>
        </is>
      </c>
      <c r="D520" t="inlineStr">
        <is>
          <t>Competitive Exam Prep</t>
        </is>
      </c>
      <c r="E520" t="inlineStr">
        <is>
          <t>South Region</t>
        </is>
      </c>
      <c r="F520" t="inlineStr">
        <is>
          <t>Rep_07</t>
        </is>
      </c>
      <c r="G520" t="n">
        <v>6.42</v>
      </c>
      <c r="H520" t="inlineStr">
        <is>
          <t>Contacted</t>
        </is>
      </c>
      <c r="I520" t="inlineStr">
        <is>
          <t>Open</t>
        </is>
      </c>
      <c r="M520">
        <f>VLOOKUP(H520,'Stage Order'!$A$2:$B$8,2,FALSE)</f>
        <v/>
      </c>
      <c r="N520">
        <f>IF(G520&lt;=1,"1. Under 1 hour",IF(G520&lt;=24,"2. 1-24 hours",IF(G520&lt;=72,"3. 1-3 days","4. Over 3 days")))</f>
        <v/>
      </c>
      <c r="O520">
        <f>TEXT(B520,"YYYY-MM")</f>
        <v/>
      </c>
    </row>
    <row r="521">
      <c r="A521" t="inlineStr">
        <is>
          <t>LD-300519</t>
        </is>
      </c>
      <c r="B521" t="inlineStr">
        <is>
          <t>2025-12-11 11:18:00</t>
        </is>
      </c>
      <c r="C521" t="inlineStr">
        <is>
          <t>Organic Search</t>
        </is>
      </c>
      <c r="D521" t="inlineStr">
        <is>
          <t>Study Abroad Prep</t>
        </is>
      </c>
      <c r="E521" t="inlineStr">
        <is>
          <t>North Region</t>
        </is>
      </c>
      <c r="F521" t="inlineStr">
        <is>
          <t>Rep_01</t>
        </is>
      </c>
      <c r="G521" t="n">
        <v>1.91</v>
      </c>
      <c r="H521" t="inlineStr">
        <is>
          <t>Demo Completed</t>
        </is>
      </c>
      <c r="I521" t="inlineStr">
        <is>
          <t>Lost</t>
        </is>
      </c>
      <c r="J521" t="inlineStr">
        <is>
          <t>Price Objection</t>
        </is>
      </c>
      <c r="K521" t="n">
        <v>1623.03</v>
      </c>
      <c r="L521" t="inlineStr">
        <is>
          <t>2025-12-31 20:01:20.508679</t>
        </is>
      </c>
      <c r="M521">
        <f>VLOOKUP(H521,'Stage Order'!$A$2:$B$8,2,FALSE)</f>
        <v/>
      </c>
      <c r="N521">
        <f>IF(G521&lt;=1,"1. Under 1 hour",IF(G521&lt;=24,"2. 1-24 hours",IF(G521&lt;=72,"3. 1-3 days","4. Over 3 days")))</f>
        <v/>
      </c>
      <c r="O521">
        <f>TEXT(B521,"YYYY-MM")</f>
        <v/>
      </c>
    </row>
    <row r="522">
      <c r="A522" t="inlineStr">
        <is>
          <t>LD-300520</t>
        </is>
      </c>
      <c r="B522" t="inlineStr">
        <is>
          <t>2026-06-01 14:51:00</t>
        </is>
      </c>
      <c r="C522" t="inlineStr">
        <is>
          <t>Social Media</t>
        </is>
      </c>
      <c r="D522" t="inlineStr">
        <is>
          <t>K-12 Math</t>
        </is>
      </c>
      <c r="E522" t="inlineStr">
        <is>
          <t>International</t>
        </is>
      </c>
      <c r="F522" t="inlineStr">
        <is>
          <t>Rep_10</t>
        </is>
      </c>
      <c r="G522" t="n">
        <v>4.04</v>
      </c>
      <c r="H522" t="inlineStr">
        <is>
          <t>Lead</t>
        </is>
      </c>
      <c r="I522" t="inlineStr">
        <is>
          <t>Open</t>
        </is>
      </c>
      <c r="M522">
        <f>VLOOKUP(H522,'Stage Order'!$A$2:$B$8,2,FALSE)</f>
        <v/>
      </c>
      <c r="N522">
        <f>IF(G522&lt;=1,"1. Under 1 hour",IF(G522&lt;=24,"2. 1-24 hours",IF(G522&lt;=72,"3. 1-3 days","4. Over 3 days")))</f>
        <v/>
      </c>
      <c r="O522">
        <f>TEXT(B522,"YYYY-MM")</f>
        <v/>
      </c>
    </row>
    <row r="523">
      <c r="A523" t="inlineStr">
        <is>
          <t>LD-300521</t>
        </is>
      </c>
      <c r="B523" t="inlineStr">
        <is>
          <t>2026-02-02 15:04:00</t>
        </is>
      </c>
      <c r="C523" t="inlineStr">
        <is>
          <t>Paid Search</t>
        </is>
      </c>
      <c r="D523" t="inlineStr">
        <is>
          <t>K-12 Math</t>
        </is>
      </c>
      <c r="E523" t="inlineStr">
        <is>
          <t>East Region</t>
        </is>
      </c>
      <c r="F523" t="inlineStr">
        <is>
          <t>Rep_14</t>
        </is>
      </c>
      <c r="G523" t="n">
        <v>3.52</v>
      </c>
      <c r="H523" t="inlineStr">
        <is>
          <t>Lead</t>
        </is>
      </c>
      <c r="I523" t="inlineStr">
        <is>
          <t>Open</t>
        </is>
      </c>
      <c r="M523">
        <f>VLOOKUP(H523,'Stage Order'!$A$2:$B$8,2,FALSE)</f>
        <v/>
      </c>
      <c r="N523">
        <f>IF(G523&lt;=1,"1. Under 1 hour",IF(G523&lt;=24,"2. 1-24 hours",IF(G523&lt;=72,"3. 1-3 days","4. Over 3 days")))</f>
        <v/>
      </c>
      <c r="O523">
        <f>TEXT(B523,"YYYY-MM")</f>
        <v/>
      </c>
    </row>
    <row r="524">
      <c r="A524" t="inlineStr">
        <is>
          <t>LD-300522</t>
        </is>
      </c>
      <c r="B524" t="inlineStr">
        <is>
          <t>2025-11-11 15:57:00</t>
        </is>
      </c>
      <c r="C524" t="inlineStr">
        <is>
          <t>Cold Outreach</t>
        </is>
      </c>
      <c r="D524" t="inlineStr">
        <is>
          <t>Coding for Kids</t>
        </is>
      </c>
      <c r="E524" t="inlineStr">
        <is>
          <t>North Region</t>
        </is>
      </c>
      <c r="F524" t="inlineStr">
        <is>
          <t>Rep_11</t>
        </is>
      </c>
      <c r="G524" t="n">
        <v>1.06</v>
      </c>
      <c r="H524" t="inlineStr">
        <is>
          <t>Demo Scheduled</t>
        </is>
      </c>
      <c r="I524" t="inlineStr">
        <is>
          <t>Open</t>
        </is>
      </c>
      <c r="M524">
        <f>VLOOKUP(H524,'Stage Order'!$A$2:$B$8,2,FALSE)</f>
        <v/>
      </c>
      <c r="N524">
        <f>IF(G524&lt;=1,"1. Under 1 hour",IF(G524&lt;=24,"2. 1-24 hours",IF(G524&lt;=72,"3. 1-3 days","4. Over 3 days")))</f>
        <v/>
      </c>
      <c r="O524">
        <f>TEXT(B524,"YYYY-MM")</f>
        <v/>
      </c>
    </row>
    <row r="525">
      <c r="A525" t="inlineStr">
        <is>
          <t>LD-300523</t>
        </is>
      </c>
      <c r="B525" t="inlineStr">
        <is>
          <t>2025-12-23 07:11:00</t>
        </is>
      </c>
      <c r="C525" t="inlineStr">
        <is>
          <t>Social Media</t>
        </is>
      </c>
      <c r="D525" t="inlineStr">
        <is>
          <t>K-12 Math</t>
        </is>
      </c>
      <c r="E525" t="inlineStr">
        <is>
          <t>East Region</t>
        </is>
      </c>
      <c r="F525" t="inlineStr">
        <is>
          <t>Rep_14</t>
        </is>
      </c>
      <c r="G525" t="n">
        <v>0.76</v>
      </c>
      <c r="H525" t="inlineStr">
        <is>
          <t>Demo Scheduled</t>
        </is>
      </c>
      <c r="I525" t="inlineStr">
        <is>
          <t>Open</t>
        </is>
      </c>
      <c r="M525">
        <f>VLOOKUP(H525,'Stage Order'!$A$2:$B$8,2,FALSE)</f>
        <v/>
      </c>
      <c r="N525">
        <f>IF(G525&lt;=1,"1. Under 1 hour",IF(G525&lt;=24,"2. 1-24 hours",IF(G525&lt;=72,"3. 1-3 days","4. Over 3 days")))</f>
        <v/>
      </c>
      <c r="O525">
        <f>TEXT(B525,"YYYY-MM")</f>
        <v/>
      </c>
    </row>
    <row r="526">
      <c r="A526" t="inlineStr">
        <is>
          <t>LD-300524</t>
        </is>
      </c>
      <c r="B526" t="inlineStr">
        <is>
          <t>2025-12-02 09:15:00</t>
        </is>
      </c>
      <c r="C526" t="inlineStr">
        <is>
          <t>Organic Search</t>
        </is>
      </c>
      <c r="D526" t="inlineStr">
        <is>
          <t>Language Learning</t>
        </is>
      </c>
      <c r="E526" t="inlineStr">
        <is>
          <t>South Region</t>
        </is>
      </c>
      <c r="F526" t="inlineStr">
        <is>
          <t>Rep_12</t>
        </is>
      </c>
      <c r="G526" t="n">
        <v>5.99</v>
      </c>
      <c r="H526" t="inlineStr">
        <is>
          <t>Contacted</t>
        </is>
      </c>
      <c r="I526" t="inlineStr">
        <is>
          <t>Open</t>
        </is>
      </c>
      <c r="M526">
        <f>VLOOKUP(H526,'Stage Order'!$A$2:$B$8,2,FALSE)</f>
        <v/>
      </c>
      <c r="N526">
        <f>IF(G526&lt;=1,"1. Under 1 hour",IF(G526&lt;=24,"2. 1-24 hours",IF(G526&lt;=72,"3. 1-3 days","4. Over 3 days")))</f>
        <v/>
      </c>
      <c r="O526">
        <f>TEXT(B526,"YYYY-MM")</f>
        <v/>
      </c>
    </row>
    <row r="527">
      <c r="A527" t="inlineStr">
        <is>
          <t>LD-300525</t>
        </is>
      </c>
      <c r="B527" t="inlineStr">
        <is>
          <t>2025-03-05 16:15:00</t>
        </is>
      </c>
      <c r="C527" t="inlineStr">
        <is>
          <t>Cold Outreach</t>
        </is>
      </c>
      <c r="D527" t="inlineStr">
        <is>
          <t>Language Learning</t>
        </is>
      </c>
      <c r="E527" t="inlineStr">
        <is>
          <t>North Region</t>
        </is>
      </c>
      <c r="F527" t="inlineStr">
        <is>
          <t>Rep_01</t>
        </is>
      </c>
      <c r="G527" t="n">
        <v>0.57</v>
      </c>
      <c r="H527" t="inlineStr">
        <is>
          <t>Contacted</t>
        </is>
      </c>
      <c r="I527" t="inlineStr">
        <is>
          <t>Open</t>
        </is>
      </c>
      <c r="M527">
        <f>VLOOKUP(H527,'Stage Order'!$A$2:$B$8,2,FALSE)</f>
        <v/>
      </c>
      <c r="N527">
        <f>IF(G527&lt;=1,"1. Under 1 hour",IF(G527&lt;=24,"2. 1-24 hours",IF(G527&lt;=72,"3. 1-3 days","4. Over 3 days")))</f>
        <v/>
      </c>
      <c r="O527">
        <f>TEXT(B527,"YYYY-MM")</f>
        <v/>
      </c>
    </row>
    <row r="528">
      <c r="A528" t="inlineStr">
        <is>
          <t>LD-300526</t>
        </is>
      </c>
      <c r="B528" t="inlineStr">
        <is>
          <t>2025-04-07 11:41:00</t>
        </is>
      </c>
      <c r="C528" t="inlineStr">
        <is>
          <t>Organic Search</t>
        </is>
      </c>
      <c r="D528" t="inlineStr">
        <is>
          <t>Coding for Kids</t>
        </is>
      </c>
      <c r="E528" t="inlineStr">
        <is>
          <t>East Region</t>
        </is>
      </c>
      <c r="F528" t="inlineStr">
        <is>
          <t>Rep_14</t>
        </is>
      </c>
      <c r="G528" t="n">
        <v>2.28</v>
      </c>
      <c r="H528" t="inlineStr">
        <is>
          <t>Contacted</t>
        </is>
      </c>
      <c r="I528" t="inlineStr">
        <is>
          <t>Open</t>
        </is>
      </c>
      <c r="M528">
        <f>VLOOKUP(H528,'Stage Order'!$A$2:$B$8,2,FALSE)</f>
        <v/>
      </c>
      <c r="N528">
        <f>IF(G528&lt;=1,"1. Under 1 hour",IF(G528&lt;=24,"2. 1-24 hours",IF(G528&lt;=72,"3. 1-3 days","4. Over 3 days")))</f>
        <v/>
      </c>
      <c r="O528">
        <f>TEXT(B528,"YYYY-MM")</f>
        <v/>
      </c>
    </row>
    <row r="529">
      <c r="A529" t="inlineStr">
        <is>
          <t>LD-300527</t>
        </is>
      </c>
      <c r="B529" t="inlineStr">
        <is>
          <t>2025-06-20 11:15:00</t>
        </is>
      </c>
      <c r="C529" t="inlineStr">
        <is>
          <t>Partner Channel</t>
        </is>
      </c>
      <c r="D529" t="inlineStr">
        <is>
          <t>K-12 Math</t>
        </is>
      </c>
      <c r="E529" t="inlineStr">
        <is>
          <t>East Region</t>
        </is>
      </c>
      <c r="F529" t="inlineStr">
        <is>
          <t>Rep_09</t>
        </is>
      </c>
      <c r="G529" t="n">
        <v>1.3</v>
      </c>
      <c r="H529" t="inlineStr">
        <is>
          <t>Negotiation</t>
        </is>
      </c>
      <c r="I529" t="inlineStr">
        <is>
          <t>Lost</t>
        </is>
      </c>
      <c r="J529" t="inlineStr">
        <is>
          <t>Went With Competitor</t>
        </is>
      </c>
      <c r="K529" t="n">
        <v>583.41</v>
      </c>
      <c r="L529" t="inlineStr">
        <is>
          <t>2025-08-04 16:51:32.881325</t>
        </is>
      </c>
      <c r="M529">
        <f>VLOOKUP(H529,'Stage Order'!$A$2:$B$8,2,FALSE)</f>
        <v/>
      </c>
      <c r="N529">
        <f>IF(G529&lt;=1,"1. Under 1 hour",IF(G529&lt;=24,"2. 1-24 hours",IF(G529&lt;=72,"3. 1-3 days","4. Over 3 days")))</f>
        <v/>
      </c>
      <c r="O529">
        <f>TEXT(B529,"YYYY-MM")</f>
        <v/>
      </c>
    </row>
    <row r="530">
      <c r="A530" t="inlineStr">
        <is>
          <t>LD-300528</t>
        </is>
      </c>
      <c r="B530" t="inlineStr">
        <is>
          <t>2025-09-15 10:04:00</t>
        </is>
      </c>
      <c r="C530" t="inlineStr">
        <is>
          <t>Social Media</t>
        </is>
      </c>
      <c r="D530" t="inlineStr">
        <is>
          <t>Coding for Kids</t>
        </is>
      </c>
      <c r="E530" t="inlineStr">
        <is>
          <t>South Region</t>
        </is>
      </c>
      <c r="F530" t="inlineStr">
        <is>
          <t>Rep_12</t>
        </is>
      </c>
      <c r="G530" t="n">
        <v>5.28</v>
      </c>
      <c r="H530" t="inlineStr">
        <is>
          <t>Contacted</t>
        </is>
      </c>
      <c r="I530" t="inlineStr">
        <is>
          <t>Open</t>
        </is>
      </c>
      <c r="M530">
        <f>VLOOKUP(H530,'Stage Order'!$A$2:$B$8,2,FALSE)</f>
        <v/>
      </c>
      <c r="N530">
        <f>IF(G530&lt;=1,"1. Under 1 hour",IF(G530&lt;=24,"2. 1-24 hours",IF(G530&lt;=72,"3. 1-3 days","4. Over 3 days")))</f>
        <v/>
      </c>
      <c r="O530">
        <f>TEXT(B530,"YYYY-MM")</f>
        <v/>
      </c>
    </row>
    <row r="531">
      <c r="A531" t="inlineStr">
        <is>
          <t>LD-300529</t>
        </is>
      </c>
      <c r="B531" t="inlineStr">
        <is>
          <t>2025-12-25 13:31:00</t>
        </is>
      </c>
      <c r="C531" t="inlineStr">
        <is>
          <t>Cold Outreach</t>
        </is>
      </c>
      <c r="D531" t="inlineStr">
        <is>
          <t>Coding for Kids</t>
        </is>
      </c>
      <c r="E531" t="inlineStr">
        <is>
          <t>West Region</t>
        </is>
      </c>
      <c r="F531" t="inlineStr">
        <is>
          <t>Rep_03</t>
        </is>
      </c>
      <c r="G531" t="n">
        <v>1.56</v>
      </c>
      <c r="H531" t="inlineStr">
        <is>
          <t>Demo Scheduled</t>
        </is>
      </c>
      <c r="I531" t="inlineStr">
        <is>
          <t>Open</t>
        </is>
      </c>
      <c r="M531">
        <f>VLOOKUP(H531,'Stage Order'!$A$2:$B$8,2,FALSE)</f>
        <v/>
      </c>
      <c r="N531">
        <f>IF(G531&lt;=1,"1. Under 1 hour",IF(G531&lt;=24,"2. 1-24 hours",IF(G531&lt;=72,"3. 1-3 days","4. Over 3 days")))</f>
        <v/>
      </c>
      <c r="O531">
        <f>TEXT(B531,"YYYY-MM")</f>
        <v/>
      </c>
    </row>
    <row r="532">
      <c r="A532" t="inlineStr">
        <is>
          <t>LD-300530</t>
        </is>
      </c>
      <c r="B532" t="inlineStr">
        <is>
          <t>2026-01-07 16:22:00</t>
        </is>
      </c>
      <c r="C532" t="inlineStr">
        <is>
          <t>Paid Search</t>
        </is>
      </c>
      <c r="D532" t="inlineStr">
        <is>
          <t>K-12 Math</t>
        </is>
      </c>
      <c r="E532" t="inlineStr">
        <is>
          <t>South Region</t>
        </is>
      </c>
      <c r="F532" t="inlineStr">
        <is>
          <t>Rep_12</t>
        </is>
      </c>
      <c r="G532" t="n">
        <v>1.86</v>
      </c>
      <c r="H532" t="inlineStr">
        <is>
          <t>Demo Completed</t>
        </is>
      </c>
      <c r="I532" t="inlineStr">
        <is>
          <t>Lost</t>
        </is>
      </c>
      <c r="J532" t="inlineStr">
        <is>
          <t>Price Objection</t>
        </is>
      </c>
      <c r="K532" t="n">
        <v>555.39</v>
      </c>
      <c r="L532" t="inlineStr">
        <is>
          <t>2026-02-17 21:18:04.832909</t>
        </is>
      </c>
      <c r="M532">
        <f>VLOOKUP(H532,'Stage Order'!$A$2:$B$8,2,FALSE)</f>
        <v/>
      </c>
      <c r="N532">
        <f>IF(G532&lt;=1,"1. Under 1 hour",IF(G532&lt;=24,"2. 1-24 hours",IF(G532&lt;=72,"3. 1-3 days","4. Over 3 days")))</f>
        <v/>
      </c>
      <c r="O532">
        <f>TEXT(B532,"YYYY-MM")</f>
        <v/>
      </c>
    </row>
    <row r="533">
      <c r="A533" t="inlineStr">
        <is>
          <t>LD-300531</t>
        </is>
      </c>
      <c r="B533" t="inlineStr">
        <is>
          <t>2026-03-04 14:58:00</t>
        </is>
      </c>
      <c r="C533" t="inlineStr">
        <is>
          <t>Social Media</t>
        </is>
      </c>
      <c r="D533" t="inlineStr">
        <is>
          <t>K-12 Math</t>
        </is>
      </c>
      <c r="E533" t="inlineStr">
        <is>
          <t>North Region</t>
        </is>
      </c>
      <c r="F533" t="inlineStr">
        <is>
          <t>Rep_11</t>
        </is>
      </c>
      <c r="G533" t="n">
        <v>5.07</v>
      </c>
      <c r="H533" t="inlineStr">
        <is>
          <t>Contacted</t>
        </is>
      </c>
      <c r="I533" t="inlineStr">
        <is>
          <t>Open</t>
        </is>
      </c>
      <c r="M533">
        <f>VLOOKUP(H533,'Stage Order'!$A$2:$B$8,2,FALSE)</f>
        <v/>
      </c>
      <c r="N533">
        <f>IF(G533&lt;=1,"1. Under 1 hour",IF(G533&lt;=24,"2. 1-24 hours",IF(G533&lt;=72,"3. 1-3 days","4. Over 3 days")))</f>
        <v/>
      </c>
      <c r="O533">
        <f>TEXT(B533,"YYYY-MM")</f>
        <v/>
      </c>
    </row>
    <row r="534">
      <c r="A534" t="inlineStr">
        <is>
          <t>LD-300532</t>
        </is>
      </c>
      <c r="B534" t="inlineStr">
        <is>
          <t>2025-01-31 07:32:00</t>
        </is>
      </c>
      <c r="C534" t="inlineStr">
        <is>
          <t>Referral</t>
        </is>
      </c>
      <c r="D534" t="inlineStr">
        <is>
          <t>Competitive Exam Prep</t>
        </is>
      </c>
      <c r="E534" t="inlineStr">
        <is>
          <t>North Region</t>
        </is>
      </c>
      <c r="F534" t="inlineStr">
        <is>
          <t>Rep_01</t>
        </is>
      </c>
      <c r="G534" t="n">
        <v>5.84</v>
      </c>
      <c r="H534" t="inlineStr">
        <is>
          <t>Negotiation</t>
        </is>
      </c>
      <c r="I534" t="inlineStr">
        <is>
          <t>Lost</t>
        </is>
      </c>
      <c r="J534" t="inlineStr">
        <is>
          <t>Went With Competitor</t>
        </is>
      </c>
      <c r="K534" t="n">
        <v>963.09</v>
      </c>
      <c r="L534" t="inlineStr">
        <is>
          <t>2025-03-20 00:43:22.185399</t>
        </is>
      </c>
      <c r="M534">
        <f>VLOOKUP(H534,'Stage Order'!$A$2:$B$8,2,FALSE)</f>
        <v/>
      </c>
      <c r="N534">
        <f>IF(G534&lt;=1,"1. Under 1 hour",IF(G534&lt;=24,"2. 1-24 hours",IF(G534&lt;=72,"3. 1-3 days","4. Over 3 days")))</f>
        <v/>
      </c>
      <c r="O534">
        <f>TEXT(B534,"YYYY-MM")</f>
        <v/>
      </c>
    </row>
    <row r="535">
      <c r="A535" t="inlineStr">
        <is>
          <t>LD-300533</t>
        </is>
      </c>
      <c r="B535" t="inlineStr">
        <is>
          <t>2025-02-18 14:45:00</t>
        </is>
      </c>
      <c r="C535" t="inlineStr">
        <is>
          <t>Organic Search</t>
        </is>
      </c>
      <c r="D535" t="inlineStr">
        <is>
          <t>Language Learning</t>
        </is>
      </c>
      <c r="E535" t="inlineStr">
        <is>
          <t>International</t>
        </is>
      </c>
      <c r="F535" t="inlineStr">
        <is>
          <t>Rep_05</t>
        </is>
      </c>
      <c r="G535" t="n">
        <v>5.34</v>
      </c>
      <c r="H535" t="inlineStr">
        <is>
          <t>Contacted</t>
        </is>
      </c>
      <c r="I535" t="inlineStr">
        <is>
          <t>Open</t>
        </is>
      </c>
      <c r="M535">
        <f>VLOOKUP(H535,'Stage Order'!$A$2:$B$8,2,FALSE)</f>
        <v/>
      </c>
      <c r="N535">
        <f>IF(G535&lt;=1,"1. Under 1 hour",IF(G535&lt;=24,"2. 1-24 hours",IF(G535&lt;=72,"3. 1-3 days","4. Over 3 days")))</f>
        <v/>
      </c>
      <c r="O535">
        <f>TEXT(B535,"YYYY-MM")</f>
        <v/>
      </c>
    </row>
    <row r="536">
      <c r="A536" t="inlineStr">
        <is>
          <t>LD-300534</t>
        </is>
      </c>
      <c r="B536" t="inlineStr">
        <is>
          <t>2025-02-08 20:51:00</t>
        </is>
      </c>
      <c r="C536" t="inlineStr">
        <is>
          <t>Referral</t>
        </is>
      </c>
      <c r="D536" t="inlineStr">
        <is>
          <t>K-12 Math</t>
        </is>
      </c>
      <c r="E536" t="inlineStr">
        <is>
          <t>South Region</t>
        </is>
      </c>
      <c r="F536" t="inlineStr">
        <is>
          <t>Rep_07</t>
        </is>
      </c>
      <c r="G536" t="n">
        <v>3.1</v>
      </c>
      <c r="H536" t="inlineStr">
        <is>
          <t>Contacted</t>
        </is>
      </c>
      <c r="I536" t="inlineStr">
        <is>
          <t>Open</t>
        </is>
      </c>
      <c r="M536">
        <f>VLOOKUP(H536,'Stage Order'!$A$2:$B$8,2,FALSE)</f>
        <v/>
      </c>
      <c r="N536">
        <f>IF(G536&lt;=1,"1. Under 1 hour",IF(G536&lt;=24,"2. 1-24 hours",IF(G536&lt;=72,"3. 1-3 days","4. Over 3 days")))</f>
        <v/>
      </c>
      <c r="O536">
        <f>TEXT(B536,"YYYY-MM")</f>
        <v/>
      </c>
    </row>
    <row r="537">
      <c r="A537" t="inlineStr">
        <is>
          <t>LD-300535</t>
        </is>
      </c>
      <c r="B537" t="inlineStr">
        <is>
          <t>2025-02-01 11:41:00</t>
        </is>
      </c>
      <c r="C537" t="inlineStr">
        <is>
          <t>Social Media</t>
        </is>
      </c>
      <c r="D537" t="inlineStr">
        <is>
          <t>Coding for Kids</t>
        </is>
      </c>
      <c r="E537" t="inlineStr">
        <is>
          <t>South Region</t>
        </is>
      </c>
      <c r="F537" t="inlineStr">
        <is>
          <t>Rep_07</t>
        </is>
      </c>
      <c r="G537" t="n">
        <v>5.57</v>
      </c>
      <c r="H537" t="inlineStr">
        <is>
          <t>Demo Completed</t>
        </is>
      </c>
      <c r="I537" t="inlineStr">
        <is>
          <t>Lost</t>
        </is>
      </c>
      <c r="J537" t="inlineStr">
        <is>
          <t>Went With Competitor</t>
        </is>
      </c>
      <c r="K537" t="n">
        <v>655.38</v>
      </c>
      <c r="L537" t="inlineStr">
        <is>
          <t>2025-03-07 12:06:26.942769</t>
        </is>
      </c>
      <c r="M537">
        <f>VLOOKUP(H537,'Stage Order'!$A$2:$B$8,2,FALSE)</f>
        <v/>
      </c>
      <c r="N537">
        <f>IF(G537&lt;=1,"1. Under 1 hour",IF(G537&lt;=24,"2. 1-24 hours",IF(G537&lt;=72,"3. 1-3 days","4. Over 3 days")))</f>
        <v/>
      </c>
      <c r="O537">
        <f>TEXT(B537,"YYYY-MM")</f>
        <v/>
      </c>
    </row>
    <row r="538">
      <c r="A538" t="inlineStr">
        <is>
          <t>LD-300536</t>
        </is>
      </c>
      <c r="B538" t="inlineStr">
        <is>
          <t>2026-04-29 17:31:00</t>
        </is>
      </c>
      <c r="C538" t="inlineStr">
        <is>
          <t>Referral</t>
        </is>
      </c>
      <c r="D538" t="inlineStr">
        <is>
          <t>K-12 Math</t>
        </is>
      </c>
      <c r="E538" t="inlineStr">
        <is>
          <t>North Region</t>
        </is>
      </c>
      <c r="F538" t="inlineStr">
        <is>
          <t>Rep_06</t>
        </is>
      </c>
      <c r="G538" t="n">
        <v>1.95</v>
      </c>
      <c r="H538" t="inlineStr">
        <is>
          <t>Lead</t>
        </is>
      </c>
      <c r="I538" t="inlineStr">
        <is>
          <t>Open</t>
        </is>
      </c>
      <c r="M538">
        <f>VLOOKUP(H538,'Stage Order'!$A$2:$B$8,2,FALSE)</f>
        <v/>
      </c>
      <c r="N538">
        <f>IF(G538&lt;=1,"1. Under 1 hour",IF(G538&lt;=24,"2. 1-24 hours",IF(G538&lt;=72,"3. 1-3 days","4. Over 3 days")))</f>
        <v/>
      </c>
      <c r="O538">
        <f>TEXT(B538,"YYYY-MM")</f>
        <v/>
      </c>
    </row>
    <row r="539">
      <c r="A539" t="inlineStr">
        <is>
          <t>LD-300537</t>
        </is>
      </c>
      <c r="B539" t="inlineStr">
        <is>
          <t>2026-01-16 08:57:00</t>
        </is>
      </c>
      <c r="C539" t="inlineStr">
        <is>
          <t>Referral</t>
        </is>
      </c>
      <c r="D539" t="inlineStr">
        <is>
          <t>K-12 Math</t>
        </is>
      </c>
      <c r="E539" t="inlineStr">
        <is>
          <t>West Region</t>
        </is>
      </c>
      <c r="F539" t="inlineStr">
        <is>
          <t>Rep_13</t>
        </is>
      </c>
      <c r="G539" t="n">
        <v>5.53</v>
      </c>
      <c r="H539" t="inlineStr">
        <is>
          <t>Closed</t>
        </is>
      </c>
      <c r="I539" t="inlineStr">
        <is>
          <t>Won</t>
        </is>
      </c>
      <c r="K539" t="n">
        <v>493.05</v>
      </c>
      <c r="L539" t="inlineStr">
        <is>
          <t>2026-03-03 15:58:48.634542</t>
        </is>
      </c>
      <c r="M539">
        <f>VLOOKUP(H539,'Stage Order'!$A$2:$B$8,2,FALSE)</f>
        <v/>
      </c>
      <c r="N539">
        <f>IF(G539&lt;=1,"1. Under 1 hour",IF(G539&lt;=24,"2. 1-24 hours",IF(G539&lt;=72,"3. 1-3 days","4. Over 3 days")))</f>
        <v/>
      </c>
      <c r="O539">
        <f>TEXT(B539,"YYYY-MM")</f>
        <v/>
      </c>
    </row>
    <row r="540">
      <c r="A540" t="inlineStr">
        <is>
          <t>LD-300538</t>
        </is>
      </c>
      <c r="B540" t="inlineStr">
        <is>
          <t>2025-10-24 13:27:00</t>
        </is>
      </c>
      <c r="C540" t="inlineStr">
        <is>
          <t>Social Media</t>
        </is>
      </c>
      <c r="D540" t="inlineStr">
        <is>
          <t>K-12 Math</t>
        </is>
      </c>
      <c r="E540" t="inlineStr">
        <is>
          <t>West Region</t>
        </is>
      </c>
      <c r="F540" t="inlineStr">
        <is>
          <t>Rep_08</t>
        </is>
      </c>
      <c r="G540" t="n">
        <v>2.43</v>
      </c>
      <c r="H540" t="inlineStr">
        <is>
          <t>Contacted</t>
        </is>
      </c>
      <c r="I540" t="inlineStr">
        <is>
          <t>Open</t>
        </is>
      </c>
      <c r="M540">
        <f>VLOOKUP(H540,'Stage Order'!$A$2:$B$8,2,FALSE)</f>
        <v/>
      </c>
      <c r="N540">
        <f>IF(G540&lt;=1,"1. Under 1 hour",IF(G540&lt;=24,"2. 1-24 hours",IF(G540&lt;=72,"3. 1-3 days","4. Over 3 days")))</f>
        <v/>
      </c>
      <c r="O540">
        <f>TEXT(B540,"YYYY-MM")</f>
        <v/>
      </c>
    </row>
    <row r="541">
      <c r="A541" t="inlineStr">
        <is>
          <t>LD-300539</t>
        </is>
      </c>
      <c r="B541" t="inlineStr">
        <is>
          <t>2026-05-13 17:29:00</t>
        </is>
      </c>
      <c r="C541" t="inlineStr">
        <is>
          <t>Cold Outreach</t>
        </is>
      </c>
      <c r="D541" t="inlineStr">
        <is>
          <t>K-12 Math</t>
        </is>
      </c>
      <c r="E541" t="inlineStr">
        <is>
          <t>International</t>
        </is>
      </c>
      <c r="F541" t="inlineStr">
        <is>
          <t>Rep_15</t>
        </is>
      </c>
      <c r="G541" t="n">
        <v>3.58</v>
      </c>
      <c r="H541" t="inlineStr">
        <is>
          <t>Lead</t>
        </is>
      </c>
      <c r="I541" t="inlineStr">
        <is>
          <t>Open</t>
        </is>
      </c>
      <c r="M541">
        <f>VLOOKUP(H541,'Stage Order'!$A$2:$B$8,2,FALSE)</f>
        <v/>
      </c>
      <c r="N541">
        <f>IF(G541&lt;=1,"1. Under 1 hour",IF(G541&lt;=24,"2. 1-24 hours",IF(G541&lt;=72,"3. 1-3 days","4. Over 3 days")))</f>
        <v/>
      </c>
      <c r="O541">
        <f>TEXT(B541,"YYYY-MM")</f>
        <v/>
      </c>
    </row>
    <row r="542">
      <c r="A542" t="inlineStr">
        <is>
          <t>LD-300540</t>
        </is>
      </c>
      <c r="B542" t="inlineStr">
        <is>
          <t>2026-06-22 10:52:00</t>
        </is>
      </c>
      <c r="C542" t="inlineStr">
        <is>
          <t>Social Media</t>
        </is>
      </c>
      <c r="D542" t="inlineStr">
        <is>
          <t>K-12 Math</t>
        </is>
      </c>
      <c r="E542" t="inlineStr">
        <is>
          <t>West Region</t>
        </is>
      </c>
      <c r="F542" t="inlineStr">
        <is>
          <t>Rep_08</t>
        </is>
      </c>
      <c r="G542" t="n">
        <v>0.44</v>
      </c>
      <c r="H542" t="inlineStr">
        <is>
          <t>Contacted</t>
        </is>
      </c>
      <c r="I542" t="inlineStr">
        <is>
          <t>Open</t>
        </is>
      </c>
      <c r="M542">
        <f>VLOOKUP(H542,'Stage Order'!$A$2:$B$8,2,FALSE)</f>
        <v/>
      </c>
      <c r="N542">
        <f>IF(G542&lt;=1,"1. Under 1 hour",IF(G542&lt;=24,"2. 1-24 hours",IF(G542&lt;=72,"3. 1-3 days","4. Over 3 days")))</f>
        <v/>
      </c>
      <c r="O542">
        <f>TEXT(B542,"YYYY-MM")</f>
        <v/>
      </c>
    </row>
    <row r="543">
      <c r="A543" t="inlineStr">
        <is>
          <t>LD-300541</t>
        </is>
      </c>
      <c r="B543" t="inlineStr">
        <is>
          <t>2025-03-19 08:26:00</t>
        </is>
      </c>
      <c r="C543" t="inlineStr">
        <is>
          <t>Paid Search</t>
        </is>
      </c>
      <c r="D543" t="inlineStr">
        <is>
          <t>Coding for Kids</t>
        </is>
      </c>
      <c r="E543" t="inlineStr">
        <is>
          <t>West Region</t>
        </is>
      </c>
      <c r="F543" t="inlineStr">
        <is>
          <t>Rep_08</t>
        </is>
      </c>
      <c r="G543" t="n">
        <v>2.73</v>
      </c>
      <c r="H543" t="inlineStr">
        <is>
          <t>Contacted</t>
        </is>
      </c>
      <c r="I543" t="inlineStr">
        <is>
          <t>Open</t>
        </is>
      </c>
      <c r="M543">
        <f>VLOOKUP(H543,'Stage Order'!$A$2:$B$8,2,FALSE)</f>
        <v/>
      </c>
      <c r="N543">
        <f>IF(G543&lt;=1,"1. Under 1 hour",IF(G543&lt;=24,"2. 1-24 hours",IF(G543&lt;=72,"3. 1-3 days","4. Over 3 days")))</f>
        <v/>
      </c>
      <c r="O543">
        <f>TEXT(B543,"YYYY-MM")</f>
        <v/>
      </c>
    </row>
    <row r="544">
      <c r="A544" t="inlineStr">
        <is>
          <t>LD-300542</t>
        </is>
      </c>
      <c r="B544" t="inlineStr">
        <is>
          <t>2025-05-30 20:33:00</t>
        </is>
      </c>
      <c r="C544" t="inlineStr">
        <is>
          <t>Webinar</t>
        </is>
      </c>
      <c r="D544" t="inlineStr">
        <is>
          <t>Competitive Exam Prep</t>
        </is>
      </c>
      <c r="E544" t="inlineStr">
        <is>
          <t>International</t>
        </is>
      </c>
      <c r="F544" t="inlineStr">
        <is>
          <t>Rep_15</t>
        </is>
      </c>
      <c r="G544" t="n">
        <v>4.43</v>
      </c>
      <c r="H544" t="inlineStr">
        <is>
          <t>Contacted</t>
        </is>
      </c>
      <c r="I544" t="inlineStr">
        <is>
          <t>Open</t>
        </is>
      </c>
      <c r="M544">
        <f>VLOOKUP(H544,'Stage Order'!$A$2:$B$8,2,FALSE)</f>
        <v/>
      </c>
      <c r="N544">
        <f>IF(G544&lt;=1,"1. Under 1 hour",IF(G544&lt;=24,"2. 1-24 hours",IF(G544&lt;=72,"3. 1-3 days","4. Over 3 days")))</f>
        <v/>
      </c>
      <c r="O544">
        <f>TEXT(B544,"YYYY-MM")</f>
        <v/>
      </c>
    </row>
    <row r="545">
      <c r="A545" t="inlineStr">
        <is>
          <t>LD-300543</t>
        </is>
      </c>
      <c r="B545" t="inlineStr">
        <is>
          <t>2025-10-01 16:01:00</t>
        </is>
      </c>
      <c r="C545" t="inlineStr">
        <is>
          <t>Organic Search</t>
        </is>
      </c>
      <c r="D545" t="inlineStr">
        <is>
          <t>Study Abroad Prep</t>
        </is>
      </c>
      <c r="E545" t="inlineStr">
        <is>
          <t>International</t>
        </is>
      </c>
      <c r="F545" t="inlineStr">
        <is>
          <t>Rep_15</t>
        </is>
      </c>
      <c r="G545" t="n">
        <v>3.11</v>
      </c>
      <c r="H545" t="inlineStr">
        <is>
          <t>Demo Completed</t>
        </is>
      </c>
      <c r="I545" t="inlineStr">
        <is>
          <t>Lost</t>
        </is>
      </c>
      <c r="J545" t="inlineStr">
        <is>
          <t>Price Objection</t>
        </is>
      </c>
      <c r="K545" t="n">
        <v>1502.97</v>
      </c>
      <c r="L545" t="inlineStr">
        <is>
          <t>2025-11-03 13:57:58.187043</t>
        </is>
      </c>
      <c r="M545">
        <f>VLOOKUP(H545,'Stage Order'!$A$2:$B$8,2,FALSE)</f>
        <v/>
      </c>
      <c r="N545">
        <f>IF(G545&lt;=1,"1. Under 1 hour",IF(G545&lt;=24,"2. 1-24 hours",IF(G545&lt;=72,"3. 1-3 days","4. Over 3 days")))</f>
        <v/>
      </c>
      <c r="O545">
        <f>TEXT(B545,"YYYY-MM")</f>
        <v/>
      </c>
    </row>
    <row r="546">
      <c r="A546" t="inlineStr">
        <is>
          <t>LD-300544</t>
        </is>
      </c>
      <c r="B546" t="inlineStr">
        <is>
          <t>2026-05-08 10:23:00</t>
        </is>
      </c>
      <c r="C546" t="inlineStr">
        <is>
          <t>Organic Search</t>
        </is>
      </c>
      <c r="D546" t="inlineStr">
        <is>
          <t>Competitive Exam Prep</t>
        </is>
      </c>
      <c r="E546" t="inlineStr">
        <is>
          <t>West Region</t>
        </is>
      </c>
      <c r="F546" t="inlineStr">
        <is>
          <t>Rep_13</t>
        </is>
      </c>
      <c r="G546" t="n">
        <v>11.25</v>
      </c>
      <c r="H546" t="inlineStr">
        <is>
          <t>Closed</t>
        </is>
      </c>
      <c r="I546" t="inlineStr">
        <is>
          <t>Won</t>
        </is>
      </c>
      <c r="K546" t="n">
        <v>916.39</v>
      </c>
      <c r="L546" t="inlineStr">
        <is>
          <t>2026-06-27 05:50:22.949311</t>
        </is>
      </c>
      <c r="M546">
        <f>VLOOKUP(H546,'Stage Order'!$A$2:$B$8,2,FALSE)</f>
        <v/>
      </c>
      <c r="N546">
        <f>IF(G546&lt;=1,"1. Under 1 hour",IF(G546&lt;=24,"2. 1-24 hours",IF(G546&lt;=72,"3. 1-3 days","4. Over 3 days")))</f>
        <v/>
      </c>
      <c r="O546">
        <f>TEXT(B546,"YYYY-MM")</f>
        <v/>
      </c>
    </row>
    <row r="547">
      <c r="A547" t="inlineStr">
        <is>
          <t>LD-300545</t>
        </is>
      </c>
      <c r="B547" t="inlineStr">
        <is>
          <t>2025-05-13 08:58:00</t>
        </is>
      </c>
      <c r="C547" t="inlineStr">
        <is>
          <t>Referral</t>
        </is>
      </c>
      <c r="D547" t="inlineStr">
        <is>
          <t>Coding for Kids</t>
        </is>
      </c>
      <c r="E547" t="inlineStr">
        <is>
          <t>West Region</t>
        </is>
      </c>
      <c r="F547" t="inlineStr">
        <is>
          <t>Rep_03</t>
        </is>
      </c>
      <c r="G547" t="n">
        <v>2.18</v>
      </c>
      <c r="H547" t="inlineStr">
        <is>
          <t>Negotiation</t>
        </is>
      </c>
      <c r="I547" t="inlineStr">
        <is>
          <t>Lost</t>
        </is>
      </c>
      <c r="J547" t="inlineStr">
        <is>
          <t>Went With Competitor</t>
        </is>
      </c>
      <c r="K547" t="n">
        <v>667.66</v>
      </c>
      <c r="L547" t="inlineStr">
        <is>
          <t>2025-07-07 23:51:54.041156</t>
        </is>
      </c>
      <c r="M547">
        <f>VLOOKUP(H547,'Stage Order'!$A$2:$B$8,2,FALSE)</f>
        <v/>
      </c>
      <c r="N547">
        <f>IF(G547&lt;=1,"1. Under 1 hour",IF(G547&lt;=24,"2. 1-24 hours",IF(G547&lt;=72,"3. 1-3 days","4. Over 3 days")))</f>
        <v/>
      </c>
      <c r="O547">
        <f>TEXT(B547,"YYYY-MM")</f>
        <v/>
      </c>
    </row>
    <row r="548">
      <c r="A548" t="inlineStr">
        <is>
          <t>LD-300546</t>
        </is>
      </c>
      <c r="B548" t="inlineStr">
        <is>
          <t>2025-06-24 11:27:00</t>
        </is>
      </c>
      <c r="C548" t="inlineStr">
        <is>
          <t>Referral</t>
        </is>
      </c>
      <c r="D548" t="inlineStr">
        <is>
          <t>Study Abroad Prep</t>
        </is>
      </c>
      <c r="E548" t="inlineStr">
        <is>
          <t>West Region</t>
        </is>
      </c>
      <c r="F548" t="inlineStr">
        <is>
          <t>Rep_08</t>
        </is>
      </c>
      <c r="G548" t="n">
        <v>3.15</v>
      </c>
      <c r="H548" t="inlineStr">
        <is>
          <t>Closed</t>
        </is>
      </c>
      <c r="I548" t="inlineStr">
        <is>
          <t>Won</t>
        </is>
      </c>
      <c r="K548" t="n">
        <v>1716.36</v>
      </c>
      <c r="L548" t="inlineStr">
        <is>
          <t>2025-08-01 16:19:15.367679</t>
        </is>
      </c>
      <c r="M548">
        <f>VLOOKUP(H548,'Stage Order'!$A$2:$B$8,2,FALSE)</f>
        <v/>
      </c>
      <c r="N548">
        <f>IF(G548&lt;=1,"1. Under 1 hour",IF(G548&lt;=24,"2. 1-24 hours",IF(G548&lt;=72,"3. 1-3 days","4. Over 3 days")))</f>
        <v/>
      </c>
      <c r="O548">
        <f>TEXT(B548,"YYYY-MM")</f>
        <v/>
      </c>
    </row>
    <row r="549">
      <c r="A549" t="inlineStr">
        <is>
          <t>LD-300547</t>
        </is>
      </c>
      <c r="B549" t="inlineStr">
        <is>
          <t>2025-10-22 14:28:00</t>
        </is>
      </c>
      <c r="C549" t="inlineStr">
        <is>
          <t>Paid Search</t>
        </is>
      </c>
      <c r="D549" t="inlineStr">
        <is>
          <t>Study Abroad Prep</t>
        </is>
      </c>
      <c r="E549" t="inlineStr">
        <is>
          <t>West Region</t>
        </is>
      </c>
      <c r="F549" t="inlineStr">
        <is>
          <t>Rep_13</t>
        </is>
      </c>
      <c r="G549" t="n">
        <v>1.17</v>
      </c>
      <c r="H549" t="inlineStr">
        <is>
          <t>Contacted</t>
        </is>
      </c>
      <c r="I549" t="inlineStr">
        <is>
          <t>Open</t>
        </is>
      </c>
      <c r="M549">
        <f>VLOOKUP(H549,'Stage Order'!$A$2:$B$8,2,FALSE)</f>
        <v/>
      </c>
      <c r="N549">
        <f>IF(G549&lt;=1,"1. Under 1 hour",IF(G549&lt;=24,"2. 1-24 hours",IF(G549&lt;=72,"3. 1-3 days","4. Over 3 days")))</f>
        <v/>
      </c>
      <c r="O549">
        <f>TEXT(B549,"YYYY-MM")</f>
        <v/>
      </c>
    </row>
    <row r="550">
      <c r="A550" t="inlineStr">
        <is>
          <t>LD-300548</t>
        </is>
      </c>
      <c r="B550" t="inlineStr">
        <is>
          <t>2025-05-27 07:09:00</t>
        </is>
      </c>
      <c r="C550" t="inlineStr">
        <is>
          <t>Organic Search</t>
        </is>
      </c>
      <c r="D550" t="inlineStr">
        <is>
          <t>Coding for Kids</t>
        </is>
      </c>
      <c r="E550" t="inlineStr">
        <is>
          <t>South Region</t>
        </is>
      </c>
      <c r="F550" t="inlineStr">
        <is>
          <t>Rep_12</t>
        </is>
      </c>
      <c r="G550" t="n">
        <v>2.92</v>
      </c>
      <c r="H550" t="inlineStr">
        <is>
          <t>Contacted</t>
        </is>
      </c>
      <c r="I550" t="inlineStr">
        <is>
          <t>Open</t>
        </is>
      </c>
      <c r="M550">
        <f>VLOOKUP(H550,'Stage Order'!$A$2:$B$8,2,FALSE)</f>
        <v/>
      </c>
      <c r="N550">
        <f>IF(G550&lt;=1,"1. Under 1 hour",IF(G550&lt;=24,"2. 1-24 hours",IF(G550&lt;=72,"3. 1-3 days","4. Over 3 days")))</f>
        <v/>
      </c>
      <c r="O550">
        <f>TEXT(B550,"YYYY-MM")</f>
        <v/>
      </c>
    </row>
    <row r="551">
      <c r="A551" t="inlineStr">
        <is>
          <t>LD-300549</t>
        </is>
      </c>
      <c r="B551" t="inlineStr">
        <is>
          <t>2026-04-17 07:17:00</t>
        </is>
      </c>
      <c r="C551" t="inlineStr">
        <is>
          <t>Webinar</t>
        </is>
      </c>
      <c r="D551" t="inlineStr">
        <is>
          <t>Language Learning</t>
        </is>
      </c>
      <c r="E551" t="inlineStr">
        <is>
          <t>North Region</t>
        </is>
      </c>
      <c r="F551" t="inlineStr">
        <is>
          <t>Rep_11</t>
        </is>
      </c>
      <c r="G551" t="n">
        <v>2.48</v>
      </c>
      <c r="H551" t="inlineStr">
        <is>
          <t>Contacted</t>
        </is>
      </c>
      <c r="I551" t="inlineStr">
        <is>
          <t>Open</t>
        </is>
      </c>
      <c r="M551">
        <f>VLOOKUP(H551,'Stage Order'!$A$2:$B$8,2,FALSE)</f>
        <v/>
      </c>
      <c r="N551">
        <f>IF(G551&lt;=1,"1. Under 1 hour",IF(G551&lt;=24,"2. 1-24 hours",IF(G551&lt;=72,"3. 1-3 days","4. Over 3 days")))</f>
        <v/>
      </c>
      <c r="O551">
        <f>TEXT(B551,"YYYY-MM")</f>
        <v/>
      </c>
    </row>
    <row r="552">
      <c r="A552" t="inlineStr">
        <is>
          <t>LD-300550</t>
        </is>
      </c>
      <c r="B552" t="inlineStr">
        <is>
          <t>2025-12-19 12:17:00</t>
        </is>
      </c>
      <c r="C552" t="inlineStr">
        <is>
          <t>Cold Outreach</t>
        </is>
      </c>
      <c r="D552" t="inlineStr">
        <is>
          <t>Study Abroad Prep</t>
        </is>
      </c>
      <c r="E552" t="inlineStr">
        <is>
          <t>South Region</t>
        </is>
      </c>
      <c r="F552" t="inlineStr">
        <is>
          <t>Rep_02</t>
        </is>
      </c>
      <c r="G552" t="n">
        <v>0.95</v>
      </c>
      <c r="H552" t="inlineStr">
        <is>
          <t>Demo Scheduled</t>
        </is>
      </c>
      <c r="I552" t="inlineStr">
        <is>
          <t>Open</t>
        </is>
      </c>
      <c r="M552">
        <f>VLOOKUP(H552,'Stage Order'!$A$2:$B$8,2,FALSE)</f>
        <v/>
      </c>
      <c r="N552">
        <f>IF(G552&lt;=1,"1. Under 1 hour",IF(G552&lt;=24,"2. 1-24 hours",IF(G552&lt;=72,"3. 1-3 days","4. Over 3 days")))</f>
        <v/>
      </c>
      <c r="O552">
        <f>TEXT(B552,"YYYY-MM")</f>
        <v/>
      </c>
    </row>
    <row r="553">
      <c r="A553" t="inlineStr">
        <is>
          <t>LD-300551</t>
        </is>
      </c>
      <c r="B553" t="inlineStr">
        <is>
          <t>2025-10-25 12:58:00</t>
        </is>
      </c>
      <c r="C553" t="inlineStr">
        <is>
          <t>Paid Search</t>
        </is>
      </c>
      <c r="D553" t="inlineStr">
        <is>
          <t>Competitive Exam Prep</t>
        </is>
      </c>
      <c r="E553" t="inlineStr">
        <is>
          <t>East Region</t>
        </is>
      </c>
      <c r="F553" t="inlineStr">
        <is>
          <t>Rep_09</t>
        </is>
      </c>
      <c r="G553" t="n">
        <v>7.1</v>
      </c>
      <c r="H553" t="inlineStr">
        <is>
          <t>Contacted</t>
        </is>
      </c>
      <c r="I553" t="inlineStr">
        <is>
          <t>Open</t>
        </is>
      </c>
      <c r="M553">
        <f>VLOOKUP(H553,'Stage Order'!$A$2:$B$8,2,FALSE)</f>
        <v/>
      </c>
      <c r="N553">
        <f>IF(G553&lt;=1,"1. Under 1 hour",IF(G553&lt;=24,"2. 1-24 hours",IF(G553&lt;=72,"3. 1-3 days","4. Over 3 days")))</f>
        <v/>
      </c>
      <c r="O553">
        <f>TEXT(B553,"YYYY-MM")</f>
        <v/>
      </c>
    </row>
    <row r="554">
      <c r="A554" t="inlineStr">
        <is>
          <t>LD-300552</t>
        </is>
      </c>
      <c r="B554" t="inlineStr">
        <is>
          <t>2025-01-31 12:31:00</t>
        </is>
      </c>
      <c r="C554" t="inlineStr">
        <is>
          <t>Social Media</t>
        </is>
      </c>
      <c r="D554" t="inlineStr">
        <is>
          <t>Study Abroad Prep</t>
        </is>
      </c>
      <c r="E554" t="inlineStr">
        <is>
          <t>West Region</t>
        </is>
      </c>
      <c r="F554" t="inlineStr">
        <is>
          <t>Rep_13</t>
        </is>
      </c>
      <c r="G554" t="n">
        <v>1.78</v>
      </c>
      <c r="H554" t="inlineStr">
        <is>
          <t>Negotiation</t>
        </is>
      </c>
      <c r="I554" t="inlineStr">
        <is>
          <t>Lost</t>
        </is>
      </c>
      <c r="J554" t="inlineStr">
        <is>
          <t>Went With Competitor</t>
        </is>
      </c>
      <c r="K554" t="n">
        <v>1484.26</v>
      </c>
      <c r="L554" t="inlineStr">
        <is>
          <t>2025-03-11 13:20:23.682892</t>
        </is>
      </c>
      <c r="M554">
        <f>VLOOKUP(H554,'Stage Order'!$A$2:$B$8,2,FALSE)</f>
        <v/>
      </c>
      <c r="N554">
        <f>IF(G554&lt;=1,"1. Under 1 hour",IF(G554&lt;=24,"2. 1-24 hours",IF(G554&lt;=72,"3. 1-3 days","4. Over 3 days")))</f>
        <v/>
      </c>
      <c r="O554">
        <f>TEXT(B554,"YYYY-MM")</f>
        <v/>
      </c>
    </row>
    <row r="555">
      <c r="A555" t="inlineStr">
        <is>
          <t>LD-300553</t>
        </is>
      </c>
      <c r="B555" t="inlineStr">
        <is>
          <t>2025-03-24 13:02:00</t>
        </is>
      </c>
      <c r="C555" t="inlineStr">
        <is>
          <t>Referral</t>
        </is>
      </c>
      <c r="D555" t="inlineStr">
        <is>
          <t>Language Learning</t>
        </is>
      </c>
      <c r="E555" t="inlineStr">
        <is>
          <t>South Region</t>
        </is>
      </c>
      <c r="F555" t="inlineStr">
        <is>
          <t>Rep_12</t>
        </is>
      </c>
      <c r="G555" t="n">
        <v>2.51</v>
      </c>
      <c r="H555" t="inlineStr">
        <is>
          <t>Negotiation</t>
        </is>
      </c>
      <c r="I555" t="inlineStr">
        <is>
          <t>Lost</t>
        </is>
      </c>
      <c r="J555" t="inlineStr">
        <is>
          <t>Went With Competitor</t>
        </is>
      </c>
      <c r="K555" t="n">
        <v>395.38</v>
      </c>
      <c r="L555" t="inlineStr">
        <is>
          <t>2025-05-13 16:29:28.031484</t>
        </is>
      </c>
      <c r="M555">
        <f>VLOOKUP(H555,'Stage Order'!$A$2:$B$8,2,FALSE)</f>
        <v/>
      </c>
      <c r="N555">
        <f>IF(G555&lt;=1,"1. Under 1 hour",IF(G555&lt;=24,"2. 1-24 hours",IF(G555&lt;=72,"3. 1-3 days","4. Over 3 days")))</f>
        <v/>
      </c>
      <c r="O555">
        <f>TEXT(B555,"YYYY-MM")</f>
        <v/>
      </c>
    </row>
    <row r="556">
      <c r="A556" t="inlineStr">
        <is>
          <t>LD-300554</t>
        </is>
      </c>
      <c r="B556" t="inlineStr">
        <is>
          <t>2026-06-18 17:44:00</t>
        </is>
      </c>
      <c r="C556" t="inlineStr">
        <is>
          <t>Organic Search</t>
        </is>
      </c>
      <c r="D556" t="inlineStr">
        <is>
          <t>Language Learning</t>
        </is>
      </c>
      <c r="E556" t="inlineStr">
        <is>
          <t>West Region</t>
        </is>
      </c>
      <c r="F556" t="inlineStr">
        <is>
          <t>Rep_03</t>
        </is>
      </c>
      <c r="G556" t="n">
        <v>2.41</v>
      </c>
      <c r="H556" t="inlineStr">
        <is>
          <t>Demo Completed</t>
        </is>
      </c>
      <c r="I556" t="inlineStr">
        <is>
          <t>Lost</t>
        </is>
      </c>
      <c r="J556" t="inlineStr">
        <is>
          <t>Bad Timing</t>
        </is>
      </c>
      <c r="K556" t="n">
        <v>383.12</v>
      </c>
      <c r="L556" t="inlineStr">
        <is>
          <t>2026-08-01 00:14:51.620342</t>
        </is>
      </c>
      <c r="M556">
        <f>VLOOKUP(H556,'Stage Order'!$A$2:$B$8,2,FALSE)</f>
        <v/>
      </c>
      <c r="N556">
        <f>IF(G556&lt;=1,"1. Under 1 hour",IF(G556&lt;=24,"2. 1-24 hours",IF(G556&lt;=72,"3. 1-3 days","4. Over 3 days")))</f>
        <v/>
      </c>
      <c r="O556">
        <f>TEXT(B556,"YYYY-MM")</f>
        <v/>
      </c>
    </row>
    <row r="557">
      <c r="A557" t="inlineStr">
        <is>
          <t>LD-300555</t>
        </is>
      </c>
      <c r="B557" t="inlineStr">
        <is>
          <t>2025-01-22 10:34:00</t>
        </is>
      </c>
      <c r="C557" t="inlineStr">
        <is>
          <t>Organic Search</t>
        </is>
      </c>
      <c r="D557" t="inlineStr">
        <is>
          <t>K-12 Math</t>
        </is>
      </c>
      <c r="E557" t="inlineStr">
        <is>
          <t>International</t>
        </is>
      </c>
      <c r="F557" t="inlineStr">
        <is>
          <t>Rep_10</t>
        </is>
      </c>
      <c r="G557" t="n">
        <v>15.1</v>
      </c>
      <c r="H557" t="inlineStr">
        <is>
          <t>Contacted</t>
        </is>
      </c>
      <c r="I557" t="inlineStr">
        <is>
          <t>Open</t>
        </is>
      </c>
      <c r="M557">
        <f>VLOOKUP(H557,'Stage Order'!$A$2:$B$8,2,FALSE)</f>
        <v/>
      </c>
      <c r="N557">
        <f>IF(G557&lt;=1,"1. Under 1 hour",IF(G557&lt;=24,"2. 1-24 hours",IF(G557&lt;=72,"3. 1-3 days","4. Over 3 days")))</f>
        <v/>
      </c>
      <c r="O557">
        <f>TEXT(B557,"YYYY-MM")</f>
        <v/>
      </c>
    </row>
    <row r="558">
      <c r="A558" t="inlineStr">
        <is>
          <t>LD-300556</t>
        </is>
      </c>
      <c r="B558" t="inlineStr">
        <is>
          <t>2025-01-30 17:53:00</t>
        </is>
      </c>
      <c r="C558" t="inlineStr">
        <is>
          <t>Paid Search</t>
        </is>
      </c>
      <c r="D558" t="inlineStr">
        <is>
          <t>Language Learning</t>
        </is>
      </c>
      <c r="E558" t="inlineStr">
        <is>
          <t>North Region</t>
        </is>
      </c>
      <c r="F558" t="inlineStr">
        <is>
          <t>Rep_06</t>
        </is>
      </c>
      <c r="G558" t="n">
        <v>2.01</v>
      </c>
      <c r="H558" t="inlineStr">
        <is>
          <t>Contacted</t>
        </is>
      </c>
      <c r="I558" t="inlineStr">
        <is>
          <t>Open</t>
        </is>
      </c>
      <c r="M558">
        <f>VLOOKUP(H558,'Stage Order'!$A$2:$B$8,2,FALSE)</f>
        <v/>
      </c>
      <c r="N558">
        <f>IF(G558&lt;=1,"1. Under 1 hour",IF(G558&lt;=24,"2. 1-24 hours",IF(G558&lt;=72,"3. 1-3 days","4. Over 3 days")))</f>
        <v/>
      </c>
      <c r="O558">
        <f>TEXT(B558,"YYYY-MM")</f>
        <v/>
      </c>
    </row>
    <row r="559">
      <c r="A559" t="inlineStr">
        <is>
          <t>LD-300557</t>
        </is>
      </c>
      <c r="B559" t="inlineStr">
        <is>
          <t>2025-01-22 12:39:00</t>
        </is>
      </c>
      <c r="C559" t="inlineStr">
        <is>
          <t>Cold Outreach</t>
        </is>
      </c>
      <c r="D559" t="inlineStr">
        <is>
          <t>Language Learning</t>
        </is>
      </c>
      <c r="E559" t="inlineStr">
        <is>
          <t>East Region</t>
        </is>
      </c>
      <c r="F559" t="inlineStr">
        <is>
          <t>Rep_14</t>
        </is>
      </c>
      <c r="G559" t="n">
        <v>3.23</v>
      </c>
      <c r="H559" t="inlineStr">
        <is>
          <t>Demo Scheduled</t>
        </is>
      </c>
      <c r="I559" t="inlineStr">
        <is>
          <t>Open</t>
        </is>
      </c>
      <c r="M559">
        <f>VLOOKUP(H559,'Stage Order'!$A$2:$B$8,2,FALSE)</f>
        <v/>
      </c>
      <c r="N559">
        <f>IF(G559&lt;=1,"1. Under 1 hour",IF(G559&lt;=24,"2. 1-24 hours",IF(G559&lt;=72,"3. 1-3 days","4. Over 3 days")))</f>
        <v/>
      </c>
      <c r="O559">
        <f>TEXT(B559,"YYYY-MM")</f>
        <v/>
      </c>
    </row>
    <row r="560">
      <c r="A560" t="inlineStr">
        <is>
          <t>LD-300558</t>
        </is>
      </c>
      <c r="B560" t="inlineStr">
        <is>
          <t>2026-05-24 08:01:00</t>
        </is>
      </c>
      <c r="C560" t="inlineStr">
        <is>
          <t>Cold Outreach</t>
        </is>
      </c>
      <c r="D560" t="inlineStr">
        <is>
          <t>Competitive Exam Prep</t>
        </is>
      </c>
      <c r="E560" t="inlineStr">
        <is>
          <t>West Region</t>
        </is>
      </c>
      <c r="F560" t="inlineStr">
        <is>
          <t>Rep_03</t>
        </is>
      </c>
      <c r="G560" t="n">
        <v>4.28</v>
      </c>
      <c r="H560" t="inlineStr">
        <is>
          <t>Lead</t>
        </is>
      </c>
      <c r="I560" t="inlineStr">
        <is>
          <t>Open</t>
        </is>
      </c>
      <c r="M560">
        <f>VLOOKUP(H560,'Stage Order'!$A$2:$B$8,2,FALSE)</f>
        <v/>
      </c>
      <c r="N560">
        <f>IF(G560&lt;=1,"1. Under 1 hour",IF(G560&lt;=24,"2. 1-24 hours",IF(G560&lt;=72,"3. 1-3 days","4. Over 3 days")))</f>
        <v/>
      </c>
      <c r="O560">
        <f>TEXT(B560,"YYYY-MM")</f>
        <v/>
      </c>
    </row>
    <row r="561">
      <c r="A561" t="inlineStr">
        <is>
          <t>LD-300559</t>
        </is>
      </c>
      <c r="B561" t="inlineStr">
        <is>
          <t>2025-05-02 13:02:00</t>
        </is>
      </c>
      <c r="C561" t="inlineStr">
        <is>
          <t>Referral</t>
        </is>
      </c>
      <c r="D561" t="inlineStr">
        <is>
          <t>Language Learning</t>
        </is>
      </c>
      <c r="E561" t="inlineStr">
        <is>
          <t>West Region</t>
        </is>
      </c>
      <c r="F561" t="inlineStr">
        <is>
          <t>Rep_08</t>
        </is>
      </c>
      <c r="G561" t="n">
        <v>4.82</v>
      </c>
      <c r="H561" t="inlineStr">
        <is>
          <t>Closed</t>
        </is>
      </c>
      <c r="I561" t="inlineStr">
        <is>
          <t>Won</t>
        </is>
      </c>
      <c r="K561" t="n">
        <v>394.76</v>
      </c>
      <c r="L561" t="inlineStr">
        <is>
          <t>2025-06-15 02:12:05.063021</t>
        </is>
      </c>
      <c r="M561">
        <f>VLOOKUP(H561,'Stage Order'!$A$2:$B$8,2,FALSE)</f>
        <v/>
      </c>
      <c r="N561">
        <f>IF(G561&lt;=1,"1. Under 1 hour",IF(G561&lt;=24,"2. 1-24 hours",IF(G561&lt;=72,"3. 1-3 days","4. Over 3 days")))</f>
        <v/>
      </c>
      <c r="O561">
        <f>TEXT(B561,"YYYY-MM")</f>
        <v/>
      </c>
    </row>
    <row r="562">
      <c r="A562" t="inlineStr">
        <is>
          <t>LD-300560</t>
        </is>
      </c>
      <c r="B562" t="inlineStr">
        <is>
          <t>2026-05-15 14:06:00</t>
        </is>
      </c>
      <c r="C562" t="inlineStr">
        <is>
          <t>Organic Search</t>
        </is>
      </c>
      <c r="D562" t="inlineStr">
        <is>
          <t>Language Learning</t>
        </is>
      </c>
      <c r="E562" t="inlineStr">
        <is>
          <t>North Region</t>
        </is>
      </c>
      <c r="F562" t="inlineStr">
        <is>
          <t>Rep_06</t>
        </is>
      </c>
      <c r="G562" t="n">
        <v>10.59</v>
      </c>
      <c r="H562" t="inlineStr">
        <is>
          <t>Contacted</t>
        </is>
      </c>
      <c r="I562" t="inlineStr">
        <is>
          <t>Open</t>
        </is>
      </c>
      <c r="M562">
        <f>VLOOKUP(H562,'Stage Order'!$A$2:$B$8,2,FALSE)</f>
        <v/>
      </c>
      <c r="N562">
        <f>IF(G562&lt;=1,"1. Under 1 hour",IF(G562&lt;=24,"2. 1-24 hours",IF(G562&lt;=72,"3. 1-3 days","4. Over 3 days")))</f>
        <v/>
      </c>
      <c r="O562">
        <f>TEXT(B562,"YYYY-MM")</f>
        <v/>
      </c>
    </row>
    <row r="563">
      <c r="A563" t="inlineStr">
        <is>
          <t>LD-300561</t>
        </is>
      </c>
      <c r="B563" t="inlineStr">
        <is>
          <t>2025-12-26 15:09:00</t>
        </is>
      </c>
      <c r="C563" t="inlineStr">
        <is>
          <t>Cold Outreach</t>
        </is>
      </c>
      <c r="D563" t="inlineStr">
        <is>
          <t>Language Learning</t>
        </is>
      </c>
      <c r="E563" t="inlineStr">
        <is>
          <t>West Region</t>
        </is>
      </c>
      <c r="F563" t="inlineStr">
        <is>
          <t>Rep_13</t>
        </is>
      </c>
      <c r="G563" t="n">
        <v>2.22</v>
      </c>
      <c r="H563" t="inlineStr">
        <is>
          <t>Contacted</t>
        </is>
      </c>
      <c r="I563" t="inlineStr">
        <is>
          <t>Open</t>
        </is>
      </c>
      <c r="M563">
        <f>VLOOKUP(H563,'Stage Order'!$A$2:$B$8,2,FALSE)</f>
        <v/>
      </c>
      <c r="N563">
        <f>IF(G563&lt;=1,"1. Under 1 hour",IF(G563&lt;=24,"2. 1-24 hours",IF(G563&lt;=72,"3. 1-3 days","4. Over 3 days")))</f>
        <v/>
      </c>
      <c r="O563">
        <f>TEXT(B563,"YYYY-MM")</f>
        <v/>
      </c>
    </row>
    <row r="564">
      <c r="A564" t="inlineStr">
        <is>
          <t>LD-300562</t>
        </is>
      </c>
      <c r="B564" t="inlineStr">
        <is>
          <t>2025-09-07 10:30:00</t>
        </is>
      </c>
      <c r="C564" t="inlineStr">
        <is>
          <t>Partner Channel</t>
        </is>
      </c>
      <c r="D564" t="inlineStr">
        <is>
          <t>Coding for Kids</t>
        </is>
      </c>
      <c r="E564" t="inlineStr">
        <is>
          <t>South Region</t>
        </is>
      </c>
      <c r="F564" t="inlineStr">
        <is>
          <t>Rep_07</t>
        </is>
      </c>
      <c r="G564" t="n">
        <v>0.9</v>
      </c>
      <c r="H564" t="inlineStr">
        <is>
          <t>Contacted</t>
        </is>
      </c>
      <c r="I564" t="inlineStr">
        <is>
          <t>Open</t>
        </is>
      </c>
      <c r="M564">
        <f>VLOOKUP(H564,'Stage Order'!$A$2:$B$8,2,FALSE)</f>
        <v/>
      </c>
      <c r="N564">
        <f>IF(G564&lt;=1,"1. Under 1 hour",IF(G564&lt;=24,"2. 1-24 hours",IF(G564&lt;=72,"3. 1-3 days","4. Over 3 days")))</f>
        <v/>
      </c>
      <c r="O564">
        <f>TEXT(B564,"YYYY-MM")</f>
        <v/>
      </c>
    </row>
    <row r="565">
      <c r="A565" t="inlineStr">
        <is>
          <t>LD-300563</t>
        </is>
      </c>
      <c r="B565" t="inlineStr">
        <is>
          <t>2025-06-24 16:45:00</t>
        </is>
      </c>
      <c r="C565" t="inlineStr">
        <is>
          <t>Referral</t>
        </is>
      </c>
      <c r="D565" t="inlineStr">
        <is>
          <t>Study Abroad Prep</t>
        </is>
      </c>
      <c r="E565" t="inlineStr">
        <is>
          <t>West Region</t>
        </is>
      </c>
      <c r="F565" t="inlineStr">
        <is>
          <t>Rep_13</t>
        </is>
      </c>
      <c r="G565" t="n">
        <v>1.17</v>
      </c>
      <c r="H565" t="inlineStr">
        <is>
          <t>Negotiation</t>
        </is>
      </c>
      <c r="I565" t="inlineStr">
        <is>
          <t>Lost</t>
        </is>
      </c>
      <c r="J565" t="inlineStr">
        <is>
          <t>No Response / Ghosted</t>
        </is>
      </c>
      <c r="K565" t="n">
        <v>1498.8</v>
      </c>
      <c r="L565" t="inlineStr">
        <is>
          <t>2025-08-13 13:59:05.990214</t>
        </is>
      </c>
      <c r="M565">
        <f>VLOOKUP(H565,'Stage Order'!$A$2:$B$8,2,FALSE)</f>
        <v/>
      </c>
      <c r="N565">
        <f>IF(G565&lt;=1,"1. Under 1 hour",IF(G565&lt;=24,"2. 1-24 hours",IF(G565&lt;=72,"3. 1-3 days","4. Over 3 days")))</f>
        <v/>
      </c>
      <c r="O565">
        <f>TEXT(B565,"YYYY-MM")</f>
        <v/>
      </c>
    </row>
    <row r="566">
      <c r="A566" t="inlineStr">
        <is>
          <t>LD-300564</t>
        </is>
      </c>
      <c r="B566" t="inlineStr">
        <is>
          <t>2025-01-20 16:54:00</t>
        </is>
      </c>
      <c r="C566" t="inlineStr">
        <is>
          <t>Paid Search</t>
        </is>
      </c>
      <c r="D566" t="inlineStr">
        <is>
          <t>K-12 Math</t>
        </is>
      </c>
      <c r="E566" t="inlineStr">
        <is>
          <t>West Region</t>
        </is>
      </c>
      <c r="F566" t="inlineStr">
        <is>
          <t>Rep_13</t>
        </is>
      </c>
      <c r="G566" t="n">
        <v>14.6</v>
      </c>
      <c r="H566" t="inlineStr">
        <is>
          <t>Lead</t>
        </is>
      </c>
      <c r="I566" t="inlineStr">
        <is>
          <t>Open</t>
        </is>
      </c>
      <c r="M566">
        <f>VLOOKUP(H566,'Stage Order'!$A$2:$B$8,2,FALSE)</f>
        <v/>
      </c>
      <c r="N566">
        <f>IF(G566&lt;=1,"1. Under 1 hour",IF(G566&lt;=24,"2. 1-24 hours",IF(G566&lt;=72,"3. 1-3 days","4. Over 3 days")))</f>
        <v/>
      </c>
      <c r="O566">
        <f>TEXT(B566,"YYYY-MM")</f>
        <v/>
      </c>
    </row>
    <row r="567">
      <c r="A567" t="inlineStr">
        <is>
          <t>LD-300565</t>
        </is>
      </c>
      <c r="B567" t="inlineStr">
        <is>
          <t>2025-07-31 12:14:00</t>
        </is>
      </c>
      <c r="C567" t="inlineStr">
        <is>
          <t>Organic Search</t>
        </is>
      </c>
      <c r="D567" t="inlineStr">
        <is>
          <t>K-12 Math</t>
        </is>
      </c>
      <c r="E567" t="inlineStr">
        <is>
          <t>North Region</t>
        </is>
      </c>
      <c r="F567" t="inlineStr">
        <is>
          <t>Rep_06</t>
        </is>
      </c>
      <c r="G567" t="n">
        <v>5.08</v>
      </c>
      <c r="H567" t="inlineStr">
        <is>
          <t>Lead</t>
        </is>
      </c>
      <c r="I567" t="inlineStr">
        <is>
          <t>Open</t>
        </is>
      </c>
      <c r="M567">
        <f>VLOOKUP(H567,'Stage Order'!$A$2:$B$8,2,FALSE)</f>
        <v/>
      </c>
      <c r="N567">
        <f>IF(G567&lt;=1,"1. Under 1 hour",IF(G567&lt;=24,"2. 1-24 hours",IF(G567&lt;=72,"3. 1-3 days","4. Over 3 days")))</f>
        <v/>
      </c>
      <c r="O567">
        <f>TEXT(B567,"YYYY-MM")</f>
        <v/>
      </c>
    </row>
    <row r="568">
      <c r="A568" t="inlineStr">
        <is>
          <t>LD-300566</t>
        </is>
      </c>
      <c r="B568" t="inlineStr">
        <is>
          <t>2025-06-01 08:55:00</t>
        </is>
      </c>
      <c r="C568" t="inlineStr">
        <is>
          <t>Paid Search</t>
        </is>
      </c>
      <c r="D568" t="inlineStr">
        <is>
          <t>K-12 Math</t>
        </is>
      </c>
      <c r="E568" t="inlineStr">
        <is>
          <t>East Region</t>
        </is>
      </c>
      <c r="F568" t="inlineStr">
        <is>
          <t>Rep_04</t>
        </is>
      </c>
      <c r="G568" t="n">
        <v>2.81</v>
      </c>
      <c r="H568" t="inlineStr">
        <is>
          <t>Contacted</t>
        </is>
      </c>
      <c r="I568" t="inlineStr">
        <is>
          <t>Open</t>
        </is>
      </c>
      <c r="M568">
        <f>VLOOKUP(H568,'Stage Order'!$A$2:$B$8,2,FALSE)</f>
        <v/>
      </c>
      <c r="N568">
        <f>IF(G568&lt;=1,"1. Under 1 hour",IF(G568&lt;=24,"2. 1-24 hours",IF(G568&lt;=72,"3. 1-3 days","4. Over 3 days")))</f>
        <v/>
      </c>
      <c r="O568">
        <f>TEXT(B568,"YYYY-MM")</f>
        <v/>
      </c>
    </row>
    <row r="569">
      <c r="A569" t="inlineStr">
        <is>
          <t>LD-300567</t>
        </is>
      </c>
      <c r="B569" t="inlineStr">
        <is>
          <t>2025-01-08 20:46:00</t>
        </is>
      </c>
      <c r="C569" t="inlineStr">
        <is>
          <t>Organic Search</t>
        </is>
      </c>
      <c r="D569" t="inlineStr">
        <is>
          <t>K-12 Math</t>
        </is>
      </c>
      <c r="E569" t="inlineStr">
        <is>
          <t>West Region</t>
        </is>
      </c>
      <c r="F569" t="inlineStr">
        <is>
          <t>Rep_08</t>
        </is>
      </c>
      <c r="G569" t="n">
        <v>1.46</v>
      </c>
      <c r="H569" t="inlineStr">
        <is>
          <t>Closed</t>
        </is>
      </c>
      <c r="I569" t="inlineStr">
        <is>
          <t>Won</t>
        </is>
      </c>
      <c r="K569" t="n">
        <v>533.08</v>
      </c>
      <c r="L569" t="inlineStr">
        <is>
          <t>2025-02-13 12:58:24.852338</t>
        </is>
      </c>
      <c r="M569">
        <f>VLOOKUP(H569,'Stage Order'!$A$2:$B$8,2,FALSE)</f>
        <v/>
      </c>
      <c r="N569">
        <f>IF(G569&lt;=1,"1. Under 1 hour",IF(G569&lt;=24,"2. 1-24 hours",IF(G569&lt;=72,"3. 1-3 days","4. Over 3 days")))</f>
        <v/>
      </c>
      <c r="O569">
        <f>TEXT(B569,"YYYY-MM")</f>
        <v/>
      </c>
    </row>
    <row r="570">
      <c r="A570" t="inlineStr">
        <is>
          <t>LD-300568</t>
        </is>
      </c>
      <c r="B570" t="inlineStr">
        <is>
          <t>2026-03-26 18:21:00</t>
        </is>
      </c>
      <c r="C570" t="inlineStr">
        <is>
          <t>Partner Channel</t>
        </is>
      </c>
      <c r="D570" t="inlineStr">
        <is>
          <t>Coding for Kids</t>
        </is>
      </c>
      <c r="E570" t="inlineStr">
        <is>
          <t>South Region</t>
        </is>
      </c>
      <c r="F570" t="inlineStr">
        <is>
          <t>Rep_02</t>
        </is>
      </c>
      <c r="G570" t="n">
        <v>2.86</v>
      </c>
      <c r="H570" t="inlineStr">
        <is>
          <t>Closed</t>
        </is>
      </c>
      <c r="I570" t="inlineStr">
        <is>
          <t>Won</t>
        </is>
      </c>
      <c r="K570" t="n">
        <v>565.02</v>
      </c>
      <c r="L570" t="inlineStr">
        <is>
          <t>2026-04-19 02:07:20.132946</t>
        </is>
      </c>
      <c r="M570">
        <f>VLOOKUP(H570,'Stage Order'!$A$2:$B$8,2,FALSE)</f>
        <v/>
      </c>
      <c r="N570">
        <f>IF(G570&lt;=1,"1. Under 1 hour",IF(G570&lt;=24,"2. 1-24 hours",IF(G570&lt;=72,"3. 1-3 days","4. Over 3 days")))</f>
        <v/>
      </c>
      <c r="O570">
        <f>TEXT(B570,"YYYY-MM")</f>
        <v/>
      </c>
    </row>
    <row r="571">
      <c r="A571" t="inlineStr">
        <is>
          <t>LD-300569</t>
        </is>
      </c>
      <c r="B571" t="inlineStr">
        <is>
          <t>2026-06-19 19:27:00</t>
        </is>
      </c>
      <c r="C571" t="inlineStr">
        <is>
          <t>Referral</t>
        </is>
      </c>
      <c r="D571" t="inlineStr">
        <is>
          <t>K-12 Math</t>
        </is>
      </c>
      <c r="E571" t="inlineStr">
        <is>
          <t>North Region</t>
        </is>
      </c>
      <c r="F571" t="inlineStr">
        <is>
          <t>Rep_11</t>
        </is>
      </c>
      <c r="G571" t="n">
        <v>3.37</v>
      </c>
      <c r="H571" t="inlineStr">
        <is>
          <t>Contacted</t>
        </is>
      </c>
      <c r="I571" t="inlineStr">
        <is>
          <t>Open</t>
        </is>
      </c>
      <c r="M571">
        <f>VLOOKUP(H571,'Stage Order'!$A$2:$B$8,2,FALSE)</f>
        <v/>
      </c>
      <c r="N571">
        <f>IF(G571&lt;=1,"1. Under 1 hour",IF(G571&lt;=24,"2. 1-24 hours",IF(G571&lt;=72,"3. 1-3 days","4. Over 3 days")))</f>
        <v/>
      </c>
      <c r="O571">
        <f>TEXT(B571,"YYYY-MM")</f>
        <v/>
      </c>
    </row>
    <row r="572">
      <c r="A572" t="inlineStr">
        <is>
          <t>LD-300570</t>
        </is>
      </c>
      <c r="B572" t="inlineStr">
        <is>
          <t>2025-01-17 19:14:00</t>
        </is>
      </c>
      <c r="C572" t="inlineStr">
        <is>
          <t>Social Media</t>
        </is>
      </c>
      <c r="D572" t="inlineStr">
        <is>
          <t>K-12 Math</t>
        </is>
      </c>
      <c r="E572" t="inlineStr">
        <is>
          <t>West Region</t>
        </is>
      </c>
      <c r="F572" t="inlineStr">
        <is>
          <t>Rep_03</t>
        </is>
      </c>
      <c r="G572" t="n">
        <v>1.98</v>
      </c>
      <c r="H572" t="inlineStr">
        <is>
          <t>Lead</t>
        </is>
      </c>
      <c r="I572" t="inlineStr">
        <is>
          <t>Open</t>
        </is>
      </c>
      <c r="M572">
        <f>VLOOKUP(H572,'Stage Order'!$A$2:$B$8,2,FALSE)</f>
        <v/>
      </c>
      <c r="N572">
        <f>IF(G572&lt;=1,"1. Under 1 hour",IF(G572&lt;=24,"2. 1-24 hours",IF(G572&lt;=72,"3. 1-3 days","4. Over 3 days")))</f>
        <v/>
      </c>
      <c r="O572">
        <f>TEXT(B572,"YYYY-MM")</f>
        <v/>
      </c>
    </row>
    <row r="573">
      <c r="A573" t="inlineStr">
        <is>
          <t>LD-300571</t>
        </is>
      </c>
      <c r="B573" t="inlineStr">
        <is>
          <t>2025-07-25 07:16:00</t>
        </is>
      </c>
      <c r="C573" t="inlineStr">
        <is>
          <t>Paid Search</t>
        </is>
      </c>
      <c r="D573" t="inlineStr">
        <is>
          <t>Competitive Exam Prep</t>
        </is>
      </c>
      <c r="E573" t="inlineStr">
        <is>
          <t>South Region</t>
        </is>
      </c>
      <c r="F573" t="inlineStr">
        <is>
          <t>Rep_02</t>
        </is>
      </c>
      <c r="G573" t="n">
        <v>1.55</v>
      </c>
      <c r="H573" t="inlineStr">
        <is>
          <t>Negotiation</t>
        </is>
      </c>
      <c r="I573" t="inlineStr">
        <is>
          <t>Lost</t>
        </is>
      </c>
      <c r="J573" t="inlineStr">
        <is>
          <t>Price Objection</t>
        </is>
      </c>
      <c r="K573" t="n">
        <v>1183.15</v>
      </c>
      <c r="L573" t="inlineStr">
        <is>
          <t>2025-08-26 00:23:28.562967</t>
        </is>
      </c>
      <c r="M573">
        <f>VLOOKUP(H573,'Stage Order'!$A$2:$B$8,2,FALSE)</f>
        <v/>
      </c>
      <c r="N573">
        <f>IF(G573&lt;=1,"1. Under 1 hour",IF(G573&lt;=24,"2. 1-24 hours",IF(G573&lt;=72,"3. 1-3 days","4. Over 3 days")))</f>
        <v/>
      </c>
      <c r="O573">
        <f>TEXT(B573,"YYYY-MM")</f>
        <v/>
      </c>
    </row>
    <row r="574">
      <c r="A574" t="inlineStr">
        <is>
          <t>LD-300572</t>
        </is>
      </c>
      <c r="B574" t="inlineStr">
        <is>
          <t>2025-03-28 09:46:00</t>
        </is>
      </c>
      <c r="C574" t="inlineStr">
        <is>
          <t>Social Media</t>
        </is>
      </c>
      <c r="D574" t="inlineStr">
        <is>
          <t>Coding for Kids</t>
        </is>
      </c>
      <c r="E574" t="inlineStr">
        <is>
          <t>South Region</t>
        </is>
      </c>
      <c r="F574" t="inlineStr">
        <is>
          <t>Rep_02</t>
        </is>
      </c>
      <c r="G574" t="n">
        <v>1.13</v>
      </c>
      <c r="H574" t="inlineStr">
        <is>
          <t>Demo Scheduled</t>
        </is>
      </c>
      <c r="I574" t="inlineStr">
        <is>
          <t>Open</t>
        </is>
      </c>
      <c r="M574">
        <f>VLOOKUP(H574,'Stage Order'!$A$2:$B$8,2,FALSE)</f>
        <v/>
      </c>
      <c r="N574">
        <f>IF(G574&lt;=1,"1. Under 1 hour",IF(G574&lt;=24,"2. 1-24 hours",IF(G574&lt;=72,"3. 1-3 days","4. Over 3 days")))</f>
        <v/>
      </c>
      <c r="O574">
        <f>TEXT(B574,"YYYY-MM")</f>
        <v/>
      </c>
    </row>
    <row r="575">
      <c r="A575" t="inlineStr">
        <is>
          <t>LD-300573</t>
        </is>
      </c>
      <c r="B575" t="inlineStr">
        <is>
          <t>2025-04-26 14:07:00</t>
        </is>
      </c>
      <c r="C575" t="inlineStr">
        <is>
          <t>Social Media</t>
        </is>
      </c>
      <c r="D575" t="inlineStr">
        <is>
          <t>K-12 Math</t>
        </is>
      </c>
      <c r="E575" t="inlineStr">
        <is>
          <t>International</t>
        </is>
      </c>
      <c r="F575" t="inlineStr">
        <is>
          <t>Rep_10</t>
        </is>
      </c>
      <c r="G575" t="n">
        <v>2.13</v>
      </c>
      <c r="H575" t="inlineStr">
        <is>
          <t>Lead</t>
        </is>
      </c>
      <c r="I575" t="inlineStr">
        <is>
          <t>Open</t>
        </is>
      </c>
      <c r="M575">
        <f>VLOOKUP(H575,'Stage Order'!$A$2:$B$8,2,FALSE)</f>
        <v/>
      </c>
      <c r="N575">
        <f>IF(G575&lt;=1,"1. Under 1 hour",IF(G575&lt;=24,"2. 1-24 hours",IF(G575&lt;=72,"3. 1-3 days","4. Over 3 days")))</f>
        <v/>
      </c>
      <c r="O575">
        <f>TEXT(B575,"YYYY-MM")</f>
        <v/>
      </c>
    </row>
    <row r="576">
      <c r="A576" t="inlineStr">
        <is>
          <t>LD-300574</t>
        </is>
      </c>
      <c r="B576" t="inlineStr">
        <is>
          <t>2026-05-12 14:49:00</t>
        </is>
      </c>
      <c r="C576" t="inlineStr">
        <is>
          <t>Social Media</t>
        </is>
      </c>
      <c r="D576" t="inlineStr">
        <is>
          <t>K-12 Math</t>
        </is>
      </c>
      <c r="E576" t="inlineStr">
        <is>
          <t>East Region</t>
        </is>
      </c>
      <c r="F576" t="inlineStr">
        <is>
          <t>Rep_14</t>
        </is>
      </c>
      <c r="G576" t="n">
        <v>1.23</v>
      </c>
      <c r="H576" t="inlineStr">
        <is>
          <t>Contacted</t>
        </is>
      </c>
      <c r="I576" t="inlineStr">
        <is>
          <t>Open</t>
        </is>
      </c>
      <c r="M576">
        <f>VLOOKUP(H576,'Stage Order'!$A$2:$B$8,2,FALSE)</f>
        <v/>
      </c>
      <c r="N576">
        <f>IF(G576&lt;=1,"1. Under 1 hour",IF(G576&lt;=24,"2. 1-24 hours",IF(G576&lt;=72,"3. 1-3 days","4. Over 3 days")))</f>
        <v/>
      </c>
      <c r="O576">
        <f>TEXT(B576,"YYYY-MM")</f>
        <v/>
      </c>
    </row>
    <row r="577">
      <c r="A577" t="inlineStr">
        <is>
          <t>LD-300575</t>
        </is>
      </c>
      <c r="B577" t="inlineStr">
        <is>
          <t>2025-07-04 20:24:00</t>
        </is>
      </c>
      <c r="C577" t="inlineStr">
        <is>
          <t>Partner Channel</t>
        </is>
      </c>
      <c r="D577" t="inlineStr">
        <is>
          <t>Language Learning</t>
        </is>
      </c>
      <c r="E577" t="inlineStr">
        <is>
          <t>International</t>
        </is>
      </c>
      <c r="F577" t="inlineStr">
        <is>
          <t>Rep_05</t>
        </is>
      </c>
      <c r="G577" t="n">
        <v>1.2</v>
      </c>
      <c r="H577" t="inlineStr">
        <is>
          <t>Contacted</t>
        </is>
      </c>
      <c r="I577" t="inlineStr">
        <is>
          <t>Open</t>
        </is>
      </c>
      <c r="M577">
        <f>VLOOKUP(H577,'Stage Order'!$A$2:$B$8,2,FALSE)</f>
        <v/>
      </c>
      <c r="N577">
        <f>IF(G577&lt;=1,"1. Under 1 hour",IF(G577&lt;=24,"2. 1-24 hours",IF(G577&lt;=72,"3. 1-3 days","4. Over 3 days")))</f>
        <v/>
      </c>
      <c r="O577">
        <f>TEXT(B577,"YYYY-MM")</f>
        <v/>
      </c>
    </row>
    <row r="578">
      <c r="A578" t="inlineStr">
        <is>
          <t>LD-300576</t>
        </is>
      </c>
      <c r="B578" t="inlineStr">
        <is>
          <t>2026-03-07 11:45:00</t>
        </is>
      </c>
      <c r="C578" t="inlineStr">
        <is>
          <t>Referral</t>
        </is>
      </c>
      <c r="D578" t="inlineStr">
        <is>
          <t>K-12 Math</t>
        </is>
      </c>
      <c r="E578" t="inlineStr">
        <is>
          <t>South Region</t>
        </is>
      </c>
      <c r="F578" t="inlineStr">
        <is>
          <t>Rep_02</t>
        </is>
      </c>
      <c r="G578" t="n">
        <v>6.36</v>
      </c>
      <c r="H578" t="inlineStr">
        <is>
          <t>Closed</t>
        </is>
      </c>
      <c r="I578" t="inlineStr">
        <is>
          <t>Won</t>
        </is>
      </c>
      <c r="K578" t="n">
        <v>448.04</v>
      </c>
      <c r="L578" t="inlineStr">
        <is>
          <t>2026-04-16 14:38:29.730514</t>
        </is>
      </c>
      <c r="M578">
        <f>VLOOKUP(H578,'Stage Order'!$A$2:$B$8,2,FALSE)</f>
        <v/>
      </c>
      <c r="N578">
        <f>IF(G578&lt;=1,"1. Under 1 hour",IF(G578&lt;=24,"2. 1-24 hours",IF(G578&lt;=72,"3. 1-3 days","4. Over 3 days")))</f>
        <v/>
      </c>
      <c r="O578">
        <f>TEXT(B578,"YYYY-MM")</f>
        <v/>
      </c>
    </row>
    <row r="579">
      <c r="A579" t="inlineStr">
        <is>
          <t>LD-300577</t>
        </is>
      </c>
      <c r="B579" t="inlineStr">
        <is>
          <t>2026-06-03 07:06:00</t>
        </is>
      </c>
      <c r="C579" t="inlineStr">
        <is>
          <t>Referral</t>
        </is>
      </c>
      <c r="D579" t="inlineStr">
        <is>
          <t>Competitive Exam Prep</t>
        </is>
      </c>
      <c r="E579" t="inlineStr">
        <is>
          <t>West Region</t>
        </is>
      </c>
      <c r="F579" t="inlineStr">
        <is>
          <t>Rep_13</t>
        </is>
      </c>
      <c r="G579" t="n">
        <v>7.62</v>
      </c>
      <c r="H579" t="inlineStr">
        <is>
          <t>Contacted</t>
        </is>
      </c>
      <c r="I579" t="inlineStr">
        <is>
          <t>Open</t>
        </is>
      </c>
      <c r="M579">
        <f>VLOOKUP(H579,'Stage Order'!$A$2:$B$8,2,FALSE)</f>
        <v/>
      </c>
      <c r="N579">
        <f>IF(G579&lt;=1,"1. Under 1 hour",IF(G579&lt;=24,"2. 1-24 hours",IF(G579&lt;=72,"3. 1-3 days","4. Over 3 days")))</f>
        <v/>
      </c>
      <c r="O579">
        <f>TEXT(B579,"YYYY-MM")</f>
        <v/>
      </c>
    </row>
    <row r="580">
      <c r="A580" t="inlineStr">
        <is>
          <t>LD-300578</t>
        </is>
      </c>
      <c r="B580" t="inlineStr">
        <is>
          <t>2026-02-11 11:12:00</t>
        </is>
      </c>
      <c r="C580" t="inlineStr">
        <is>
          <t>Organic Search</t>
        </is>
      </c>
      <c r="D580" t="inlineStr">
        <is>
          <t>Competitive Exam Prep</t>
        </is>
      </c>
      <c r="E580" t="inlineStr">
        <is>
          <t>West Region</t>
        </is>
      </c>
      <c r="F580" t="inlineStr">
        <is>
          <t>Rep_03</t>
        </is>
      </c>
      <c r="G580" t="n">
        <v>1.17</v>
      </c>
      <c r="H580" t="inlineStr">
        <is>
          <t>Contacted</t>
        </is>
      </c>
      <c r="I580" t="inlineStr">
        <is>
          <t>Open</t>
        </is>
      </c>
      <c r="M580">
        <f>VLOOKUP(H580,'Stage Order'!$A$2:$B$8,2,FALSE)</f>
        <v/>
      </c>
      <c r="N580">
        <f>IF(G580&lt;=1,"1. Under 1 hour",IF(G580&lt;=24,"2. 1-24 hours",IF(G580&lt;=72,"3. 1-3 days","4. Over 3 days")))</f>
        <v/>
      </c>
      <c r="O580">
        <f>TEXT(B580,"YYYY-MM")</f>
        <v/>
      </c>
    </row>
    <row r="581">
      <c r="A581" t="inlineStr">
        <is>
          <t>LD-300579</t>
        </is>
      </c>
      <c r="B581" t="inlineStr">
        <is>
          <t>2026-06-08 16:22:00</t>
        </is>
      </c>
      <c r="C581" t="inlineStr">
        <is>
          <t>Referral</t>
        </is>
      </c>
      <c r="D581" t="inlineStr">
        <is>
          <t>Language Learning</t>
        </is>
      </c>
      <c r="E581" t="inlineStr">
        <is>
          <t>International</t>
        </is>
      </c>
      <c r="F581" t="inlineStr">
        <is>
          <t>Rep_10</t>
        </is>
      </c>
      <c r="G581" t="n">
        <v>8.18</v>
      </c>
      <c r="H581" t="inlineStr">
        <is>
          <t>Negotiation</t>
        </is>
      </c>
      <c r="I581" t="inlineStr">
        <is>
          <t>Lost</t>
        </is>
      </c>
      <c r="J581" t="inlineStr">
        <is>
          <t>No Response / Ghosted</t>
        </is>
      </c>
      <c r="K581" t="n">
        <v>364.46</v>
      </c>
      <c r="L581" t="inlineStr">
        <is>
          <t>2026-07-27 19:12:44.154411</t>
        </is>
      </c>
      <c r="M581">
        <f>VLOOKUP(H581,'Stage Order'!$A$2:$B$8,2,FALSE)</f>
        <v/>
      </c>
      <c r="N581">
        <f>IF(G581&lt;=1,"1. Under 1 hour",IF(G581&lt;=24,"2. 1-24 hours",IF(G581&lt;=72,"3. 1-3 days","4. Over 3 days")))</f>
        <v/>
      </c>
      <c r="O581">
        <f>TEXT(B581,"YYYY-MM")</f>
        <v/>
      </c>
    </row>
    <row r="582">
      <c r="A582" t="inlineStr">
        <is>
          <t>LD-300580</t>
        </is>
      </c>
      <c r="B582" t="inlineStr">
        <is>
          <t>2025-07-24 11:39:00</t>
        </is>
      </c>
      <c r="C582" t="inlineStr">
        <is>
          <t>Paid Search</t>
        </is>
      </c>
      <c r="D582" t="inlineStr">
        <is>
          <t>Competitive Exam Prep</t>
        </is>
      </c>
      <c r="E582" t="inlineStr">
        <is>
          <t>West Region</t>
        </is>
      </c>
      <c r="F582" t="inlineStr">
        <is>
          <t>Rep_13</t>
        </is>
      </c>
      <c r="G582" t="n">
        <v>1.17</v>
      </c>
      <c r="H582" t="inlineStr">
        <is>
          <t>Closed</t>
        </is>
      </c>
      <c r="I582" t="inlineStr">
        <is>
          <t>Won</t>
        </is>
      </c>
      <c r="K582" t="n">
        <v>1066.47</v>
      </c>
      <c r="L582" t="inlineStr">
        <is>
          <t>2025-09-03 16:46:39.280280</t>
        </is>
      </c>
      <c r="M582">
        <f>VLOOKUP(H582,'Stage Order'!$A$2:$B$8,2,FALSE)</f>
        <v/>
      </c>
      <c r="N582">
        <f>IF(G582&lt;=1,"1. Under 1 hour",IF(G582&lt;=24,"2. 1-24 hours",IF(G582&lt;=72,"3. 1-3 days","4. Over 3 days")))</f>
        <v/>
      </c>
      <c r="O582">
        <f>TEXT(B582,"YYYY-MM")</f>
        <v/>
      </c>
    </row>
    <row r="583">
      <c r="A583" t="inlineStr">
        <is>
          <t>LD-300581</t>
        </is>
      </c>
      <c r="B583" t="inlineStr">
        <is>
          <t>2026-02-04 08:05:00</t>
        </is>
      </c>
      <c r="C583" t="inlineStr">
        <is>
          <t>Social Media</t>
        </is>
      </c>
      <c r="D583" t="inlineStr">
        <is>
          <t>K-12 Math</t>
        </is>
      </c>
      <c r="E583" t="inlineStr">
        <is>
          <t>East Region</t>
        </is>
      </c>
      <c r="F583" t="inlineStr">
        <is>
          <t>Rep_04</t>
        </is>
      </c>
      <c r="G583" t="n">
        <v>1.12</v>
      </c>
      <c r="H583" t="inlineStr">
        <is>
          <t>Contacted</t>
        </is>
      </c>
      <c r="I583" t="inlineStr">
        <is>
          <t>Open</t>
        </is>
      </c>
      <c r="M583">
        <f>VLOOKUP(H583,'Stage Order'!$A$2:$B$8,2,FALSE)</f>
        <v/>
      </c>
      <c r="N583">
        <f>IF(G583&lt;=1,"1. Under 1 hour",IF(G583&lt;=24,"2. 1-24 hours",IF(G583&lt;=72,"3. 1-3 days","4. Over 3 days")))</f>
        <v/>
      </c>
      <c r="O583">
        <f>TEXT(B583,"YYYY-MM")</f>
        <v/>
      </c>
    </row>
    <row r="584">
      <c r="A584" t="inlineStr">
        <is>
          <t>LD-300582</t>
        </is>
      </c>
      <c r="B584" t="inlineStr">
        <is>
          <t>2026-04-17 10:37:00</t>
        </is>
      </c>
      <c r="C584" t="inlineStr">
        <is>
          <t>Webinar</t>
        </is>
      </c>
      <c r="D584" t="inlineStr">
        <is>
          <t>Study Abroad Prep</t>
        </is>
      </c>
      <c r="E584" t="inlineStr">
        <is>
          <t>North Region</t>
        </is>
      </c>
      <c r="F584" t="inlineStr">
        <is>
          <t>Rep_01</t>
        </is>
      </c>
      <c r="G584" t="n">
        <v>2.32</v>
      </c>
      <c r="H584" t="inlineStr">
        <is>
          <t>Contacted</t>
        </is>
      </c>
      <c r="I584" t="inlineStr">
        <is>
          <t>Open</t>
        </is>
      </c>
      <c r="M584">
        <f>VLOOKUP(H584,'Stage Order'!$A$2:$B$8,2,FALSE)</f>
        <v/>
      </c>
      <c r="N584">
        <f>IF(G584&lt;=1,"1. Under 1 hour",IF(G584&lt;=24,"2. 1-24 hours",IF(G584&lt;=72,"3. 1-3 days","4. Over 3 days")))</f>
        <v/>
      </c>
      <c r="O584">
        <f>TEXT(B584,"YYYY-MM")</f>
        <v/>
      </c>
    </row>
    <row r="585">
      <c r="A585" t="inlineStr">
        <is>
          <t>LD-300583</t>
        </is>
      </c>
      <c r="B585" t="inlineStr">
        <is>
          <t>2026-01-30 16:46:00</t>
        </is>
      </c>
      <c r="C585" t="inlineStr">
        <is>
          <t>Social Media</t>
        </is>
      </c>
      <c r="D585" t="inlineStr">
        <is>
          <t>Study Abroad Prep</t>
        </is>
      </c>
      <c r="E585" t="inlineStr">
        <is>
          <t>North Region</t>
        </is>
      </c>
      <c r="F585" t="inlineStr">
        <is>
          <t>Rep_11</t>
        </is>
      </c>
      <c r="G585" t="n">
        <v>2.1</v>
      </c>
      <c r="H585" t="inlineStr">
        <is>
          <t>Contacted</t>
        </is>
      </c>
      <c r="I585" t="inlineStr">
        <is>
          <t>Open</t>
        </is>
      </c>
      <c r="M585">
        <f>VLOOKUP(H585,'Stage Order'!$A$2:$B$8,2,FALSE)</f>
        <v/>
      </c>
      <c r="N585">
        <f>IF(G585&lt;=1,"1. Under 1 hour",IF(G585&lt;=24,"2. 1-24 hours",IF(G585&lt;=72,"3. 1-3 days","4. Over 3 days")))</f>
        <v/>
      </c>
      <c r="O585">
        <f>TEXT(B585,"YYYY-MM")</f>
        <v/>
      </c>
    </row>
    <row r="586">
      <c r="A586" t="inlineStr">
        <is>
          <t>LD-300584</t>
        </is>
      </c>
      <c r="B586" t="inlineStr">
        <is>
          <t>2025-05-12 16:11:00</t>
        </is>
      </c>
      <c r="C586" t="inlineStr">
        <is>
          <t>Webinar</t>
        </is>
      </c>
      <c r="D586" t="inlineStr">
        <is>
          <t>Coding for Kids</t>
        </is>
      </c>
      <c r="E586" t="inlineStr">
        <is>
          <t>South Region</t>
        </is>
      </c>
      <c r="F586" t="inlineStr">
        <is>
          <t>Rep_07</t>
        </is>
      </c>
      <c r="G586" t="n">
        <v>12.08</v>
      </c>
      <c r="H586" t="inlineStr">
        <is>
          <t>Contacted</t>
        </is>
      </c>
      <c r="I586" t="inlineStr">
        <is>
          <t>Open</t>
        </is>
      </c>
      <c r="M586">
        <f>VLOOKUP(H586,'Stage Order'!$A$2:$B$8,2,FALSE)</f>
        <v/>
      </c>
      <c r="N586">
        <f>IF(G586&lt;=1,"1. Under 1 hour",IF(G586&lt;=24,"2. 1-24 hours",IF(G586&lt;=72,"3. 1-3 days","4. Over 3 days")))</f>
        <v/>
      </c>
      <c r="O586">
        <f>TEXT(B586,"YYYY-MM")</f>
        <v/>
      </c>
    </row>
    <row r="587">
      <c r="A587" t="inlineStr">
        <is>
          <t>LD-300585</t>
        </is>
      </c>
      <c r="B587" t="inlineStr">
        <is>
          <t>2026-06-19 17:57:00</t>
        </is>
      </c>
      <c r="C587" t="inlineStr">
        <is>
          <t>Social Media</t>
        </is>
      </c>
      <c r="D587" t="inlineStr">
        <is>
          <t>Coding for Kids</t>
        </is>
      </c>
      <c r="E587" t="inlineStr">
        <is>
          <t>International</t>
        </is>
      </c>
      <c r="F587" t="inlineStr">
        <is>
          <t>Rep_05</t>
        </is>
      </c>
      <c r="G587" t="n">
        <v>4</v>
      </c>
      <c r="H587" t="inlineStr">
        <is>
          <t>Contacted</t>
        </is>
      </c>
      <c r="I587" t="inlineStr">
        <is>
          <t>Open</t>
        </is>
      </c>
      <c r="M587">
        <f>VLOOKUP(H587,'Stage Order'!$A$2:$B$8,2,FALSE)</f>
        <v/>
      </c>
      <c r="N587">
        <f>IF(G587&lt;=1,"1. Under 1 hour",IF(G587&lt;=24,"2. 1-24 hours",IF(G587&lt;=72,"3. 1-3 days","4. Over 3 days")))</f>
        <v/>
      </c>
      <c r="O587">
        <f>TEXT(B587,"YYYY-MM")</f>
        <v/>
      </c>
    </row>
    <row r="588">
      <c r="A588" t="inlineStr">
        <is>
          <t>LD-300586</t>
        </is>
      </c>
      <c r="B588" t="inlineStr">
        <is>
          <t>2025-01-03 10:16:00</t>
        </is>
      </c>
      <c r="C588" t="inlineStr">
        <is>
          <t>Organic Search</t>
        </is>
      </c>
      <c r="D588" t="inlineStr">
        <is>
          <t>Coding for Kids</t>
        </is>
      </c>
      <c r="E588" t="inlineStr">
        <is>
          <t>International</t>
        </is>
      </c>
      <c r="F588" t="inlineStr">
        <is>
          <t>Rep_10</t>
        </is>
      </c>
      <c r="G588" t="n">
        <v>1.02</v>
      </c>
      <c r="H588" t="inlineStr">
        <is>
          <t>Contacted</t>
        </is>
      </c>
      <c r="I588" t="inlineStr">
        <is>
          <t>Open</t>
        </is>
      </c>
      <c r="M588">
        <f>VLOOKUP(H588,'Stage Order'!$A$2:$B$8,2,FALSE)</f>
        <v/>
      </c>
      <c r="N588">
        <f>IF(G588&lt;=1,"1. Under 1 hour",IF(G588&lt;=24,"2. 1-24 hours",IF(G588&lt;=72,"3. 1-3 days","4. Over 3 days")))</f>
        <v/>
      </c>
      <c r="O588">
        <f>TEXT(B588,"YYYY-MM")</f>
        <v/>
      </c>
    </row>
    <row r="589">
      <c r="A589" t="inlineStr">
        <is>
          <t>LD-300587</t>
        </is>
      </c>
      <c r="B589" t="inlineStr">
        <is>
          <t>2026-01-19 15:34:00</t>
        </is>
      </c>
      <c r="C589" t="inlineStr">
        <is>
          <t>Referral</t>
        </is>
      </c>
      <c r="D589" t="inlineStr">
        <is>
          <t>K-12 Math</t>
        </is>
      </c>
      <c r="E589" t="inlineStr">
        <is>
          <t>South Region</t>
        </is>
      </c>
      <c r="F589" t="inlineStr">
        <is>
          <t>Rep_12</t>
        </is>
      </c>
      <c r="G589" t="n">
        <v>0.6899999999999999</v>
      </c>
      <c r="H589" t="inlineStr">
        <is>
          <t>Closed</t>
        </is>
      </c>
      <c r="I589" t="inlineStr">
        <is>
          <t>Won</t>
        </is>
      </c>
      <c r="K589" t="n">
        <v>438.87</v>
      </c>
      <c r="L589" t="inlineStr">
        <is>
          <t>2026-02-19 16:21:24.024216</t>
        </is>
      </c>
      <c r="M589">
        <f>VLOOKUP(H589,'Stage Order'!$A$2:$B$8,2,FALSE)</f>
        <v/>
      </c>
      <c r="N589">
        <f>IF(G589&lt;=1,"1. Under 1 hour",IF(G589&lt;=24,"2. 1-24 hours",IF(G589&lt;=72,"3. 1-3 days","4. Over 3 days")))</f>
        <v/>
      </c>
      <c r="O589">
        <f>TEXT(B589,"YYYY-MM")</f>
        <v/>
      </c>
    </row>
    <row r="590">
      <c r="A590" t="inlineStr">
        <is>
          <t>LD-300588</t>
        </is>
      </c>
      <c r="B590" t="inlineStr">
        <is>
          <t>2025-08-21 15:13:00</t>
        </is>
      </c>
      <c r="C590" t="inlineStr">
        <is>
          <t>Social Media</t>
        </is>
      </c>
      <c r="D590" t="inlineStr">
        <is>
          <t>Competitive Exam Prep</t>
        </is>
      </c>
      <c r="E590" t="inlineStr">
        <is>
          <t>West Region</t>
        </is>
      </c>
      <c r="F590" t="inlineStr">
        <is>
          <t>Rep_03</t>
        </is>
      </c>
      <c r="G590" t="n">
        <v>1.65</v>
      </c>
      <c r="H590" t="inlineStr">
        <is>
          <t>Lead</t>
        </is>
      </c>
      <c r="I590" t="inlineStr">
        <is>
          <t>Open</t>
        </is>
      </c>
      <c r="M590">
        <f>VLOOKUP(H590,'Stage Order'!$A$2:$B$8,2,FALSE)</f>
        <v/>
      </c>
      <c r="N590">
        <f>IF(G590&lt;=1,"1. Under 1 hour",IF(G590&lt;=24,"2. 1-24 hours",IF(G590&lt;=72,"3. 1-3 days","4. Over 3 days")))</f>
        <v/>
      </c>
      <c r="O590">
        <f>TEXT(B590,"YYYY-MM")</f>
        <v/>
      </c>
    </row>
    <row r="591">
      <c r="A591" t="inlineStr">
        <is>
          <t>LD-300589</t>
        </is>
      </c>
      <c r="B591" t="inlineStr">
        <is>
          <t>2025-01-29 15:33:00</t>
        </is>
      </c>
      <c r="C591" t="inlineStr">
        <is>
          <t>Webinar</t>
        </is>
      </c>
      <c r="D591" t="inlineStr">
        <is>
          <t>K-12 Math</t>
        </is>
      </c>
      <c r="E591" t="inlineStr">
        <is>
          <t>East Region</t>
        </is>
      </c>
      <c r="F591" t="inlineStr">
        <is>
          <t>Rep_09</t>
        </is>
      </c>
      <c r="G591" t="n">
        <v>5.47</v>
      </c>
      <c r="H591" t="inlineStr">
        <is>
          <t>Negotiation</t>
        </is>
      </c>
      <c r="I591" t="inlineStr">
        <is>
          <t>Lost</t>
        </is>
      </c>
      <c r="J591" t="inlineStr">
        <is>
          <t>No Response / Ghosted</t>
        </is>
      </c>
      <c r="K591" t="n">
        <v>499.53</v>
      </c>
      <c r="L591" t="inlineStr">
        <is>
          <t>2025-03-11 18:41:38.089811</t>
        </is>
      </c>
      <c r="M591">
        <f>VLOOKUP(H591,'Stage Order'!$A$2:$B$8,2,FALSE)</f>
        <v/>
      </c>
      <c r="N591">
        <f>IF(G591&lt;=1,"1. Under 1 hour",IF(G591&lt;=24,"2. 1-24 hours",IF(G591&lt;=72,"3. 1-3 days","4. Over 3 days")))</f>
        <v/>
      </c>
      <c r="O591">
        <f>TEXT(B591,"YYYY-MM")</f>
        <v/>
      </c>
    </row>
    <row r="592">
      <c r="A592" t="inlineStr">
        <is>
          <t>LD-300590</t>
        </is>
      </c>
      <c r="B592" t="inlineStr">
        <is>
          <t>2025-08-19 18:28:00</t>
        </is>
      </c>
      <c r="C592" t="inlineStr">
        <is>
          <t>Partner Channel</t>
        </is>
      </c>
      <c r="D592" t="inlineStr">
        <is>
          <t>Competitive Exam Prep</t>
        </is>
      </c>
      <c r="E592" t="inlineStr">
        <is>
          <t>South Region</t>
        </is>
      </c>
      <c r="F592" t="inlineStr">
        <is>
          <t>Rep_12</t>
        </is>
      </c>
      <c r="G592" t="n">
        <v>10.84</v>
      </c>
      <c r="H592" t="inlineStr">
        <is>
          <t>Contacted</t>
        </is>
      </c>
      <c r="I592" t="inlineStr">
        <is>
          <t>Open</t>
        </is>
      </c>
      <c r="M592">
        <f>VLOOKUP(H592,'Stage Order'!$A$2:$B$8,2,FALSE)</f>
        <v/>
      </c>
      <c r="N592">
        <f>IF(G592&lt;=1,"1. Under 1 hour",IF(G592&lt;=24,"2. 1-24 hours",IF(G592&lt;=72,"3. 1-3 days","4. Over 3 days")))</f>
        <v/>
      </c>
      <c r="O592">
        <f>TEXT(B592,"YYYY-MM")</f>
        <v/>
      </c>
    </row>
    <row r="593">
      <c r="A593" t="inlineStr">
        <is>
          <t>LD-300591</t>
        </is>
      </c>
      <c r="B593" t="inlineStr">
        <is>
          <t>2025-12-19 13:12:00</t>
        </is>
      </c>
      <c r="C593" t="inlineStr">
        <is>
          <t>Social Media</t>
        </is>
      </c>
      <c r="D593" t="inlineStr">
        <is>
          <t>K-12 Math</t>
        </is>
      </c>
      <c r="E593" t="inlineStr">
        <is>
          <t>North Region</t>
        </is>
      </c>
      <c r="F593" t="inlineStr">
        <is>
          <t>Rep_06</t>
        </is>
      </c>
      <c r="G593" t="n">
        <v>4.6</v>
      </c>
      <c r="H593" t="inlineStr">
        <is>
          <t>Contacted</t>
        </is>
      </c>
      <c r="I593" t="inlineStr">
        <is>
          <t>Open</t>
        </is>
      </c>
      <c r="M593">
        <f>VLOOKUP(H593,'Stage Order'!$A$2:$B$8,2,FALSE)</f>
        <v/>
      </c>
      <c r="N593">
        <f>IF(G593&lt;=1,"1. Under 1 hour",IF(G593&lt;=24,"2. 1-24 hours",IF(G593&lt;=72,"3. 1-3 days","4. Over 3 days")))</f>
        <v/>
      </c>
      <c r="O593">
        <f>TEXT(B593,"YYYY-MM")</f>
        <v/>
      </c>
    </row>
    <row r="594">
      <c r="A594" t="inlineStr">
        <is>
          <t>LD-300592</t>
        </is>
      </c>
      <c r="B594" t="inlineStr">
        <is>
          <t>2025-08-31 16:25:00</t>
        </is>
      </c>
      <c r="C594" t="inlineStr">
        <is>
          <t>Organic Search</t>
        </is>
      </c>
      <c r="D594" t="inlineStr">
        <is>
          <t>Competitive Exam Prep</t>
        </is>
      </c>
      <c r="E594" t="inlineStr">
        <is>
          <t>East Region</t>
        </is>
      </c>
      <c r="F594" t="inlineStr">
        <is>
          <t>Rep_09</t>
        </is>
      </c>
      <c r="G594" t="n">
        <v>1.34</v>
      </c>
      <c r="H594" t="inlineStr">
        <is>
          <t>Contacted</t>
        </is>
      </c>
      <c r="I594" t="inlineStr">
        <is>
          <t>Open</t>
        </is>
      </c>
      <c r="M594">
        <f>VLOOKUP(H594,'Stage Order'!$A$2:$B$8,2,FALSE)</f>
        <v/>
      </c>
      <c r="N594">
        <f>IF(G594&lt;=1,"1. Under 1 hour",IF(G594&lt;=24,"2. 1-24 hours",IF(G594&lt;=72,"3. 1-3 days","4. Over 3 days")))</f>
        <v/>
      </c>
      <c r="O594">
        <f>TEXT(B594,"YYYY-MM")</f>
        <v/>
      </c>
    </row>
    <row r="595">
      <c r="A595" t="inlineStr">
        <is>
          <t>LD-300593</t>
        </is>
      </c>
      <c r="B595" t="inlineStr">
        <is>
          <t>2025-06-02 07:44:00</t>
        </is>
      </c>
      <c r="C595" t="inlineStr">
        <is>
          <t>Cold Outreach</t>
        </is>
      </c>
      <c r="D595" t="inlineStr">
        <is>
          <t>K-12 Math</t>
        </is>
      </c>
      <c r="E595" t="inlineStr">
        <is>
          <t>North Region</t>
        </is>
      </c>
      <c r="F595" t="inlineStr">
        <is>
          <t>Rep_01</t>
        </is>
      </c>
      <c r="G595" t="n">
        <v>0.3</v>
      </c>
      <c r="H595" t="inlineStr">
        <is>
          <t>Lead</t>
        </is>
      </c>
      <c r="I595" t="inlineStr">
        <is>
          <t>Open</t>
        </is>
      </c>
      <c r="M595">
        <f>VLOOKUP(H595,'Stage Order'!$A$2:$B$8,2,FALSE)</f>
        <v/>
      </c>
      <c r="N595">
        <f>IF(G595&lt;=1,"1. Under 1 hour",IF(G595&lt;=24,"2. 1-24 hours",IF(G595&lt;=72,"3. 1-3 days","4. Over 3 days")))</f>
        <v/>
      </c>
      <c r="O595">
        <f>TEXT(B595,"YYYY-MM")</f>
        <v/>
      </c>
    </row>
    <row r="596">
      <c r="A596" t="inlineStr">
        <is>
          <t>LD-300594</t>
        </is>
      </c>
      <c r="B596" t="inlineStr">
        <is>
          <t>2026-03-13 15:07:00</t>
        </is>
      </c>
      <c r="C596" t="inlineStr">
        <is>
          <t>Partner Channel</t>
        </is>
      </c>
      <c r="D596" t="inlineStr">
        <is>
          <t>K-12 Math</t>
        </is>
      </c>
      <c r="E596" t="inlineStr">
        <is>
          <t>North Region</t>
        </is>
      </c>
      <c r="F596" t="inlineStr">
        <is>
          <t>Rep_01</t>
        </is>
      </c>
      <c r="G596" t="n">
        <v>2.85</v>
      </c>
      <c r="H596" t="inlineStr">
        <is>
          <t>Proposal Sent</t>
        </is>
      </c>
      <c r="I596" t="inlineStr">
        <is>
          <t>Lost</t>
        </is>
      </c>
      <c r="J596" t="inlineStr">
        <is>
          <t>Price Objection</t>
        </is>
      </c>
      <c r="K596" t="n">
        <v>478.25</v>
      </c>
      <c r="L596" t="inlineStr">
        <is>
          <t>2026-04-09 16:06:39.244104</t>
        </is>
      </c>
      <c r="M596">
        <f>VLOOKUP(H596,'Stage Order'!$A$2:$B$8,2,FALSE)</f>
        <v/>
      </c>
      <c r="N596">
        <f>IF(G596&lt;=1,"1. Under 1 hour",IF(G596&lt;=24,"2. 1-24 hours",IF(G596&lt;=72,"3. 1-3 days","4. Over 3 days")))</f>
        <v/>
      </c>
      <c r="O596">
        <f>TEXT(B596,"YYYY-MM")</f>
        <v/>
      </c>
    </row>
    <row r="597">
      <c r="A597" t="inlineStr">
        <is>
          <t>LD-300595</t>
        </is>
      </c>
      <c r="B597" t="inlineStr">
        <is>
          <t>2026-03-19 10:32:00</t>
        </is>
      </c>
      <c r="C597" t="inlineStr">
        <is>
          <t>Partner Channel</t>
        </is>
      </c>
      <c r="D597" t="inlineStr">
        <is>
          <t>K-12 Math</t>
        </is>
      </c>
      <c r="E597" t="inlineStr">
        <is>
          <t>East Region</t>
        </is>
      </c>
      <c r="F597" t="inlineStr">
        <is>
          <t>Rep_04</t>
        </is>
      </c>
      <c r="G597" t="n">
        <v>2.49</v>
      </c>
      <c r="H597" t="inlineStr">
        <is>
          <t>Contacted</t>
        </is>
      </c>
      <c r="I597" t="inlineStr">
        <is>
          <t>Open</t>
        </is>
      </c>
      <c r="M597">
        <f>VLOOKUP(H597,'Stage Order'!$A$2:$B$8,2,FALSE)</f>
        <v/>
      </c>
      <c r="N597">
        <f>IF(G597&lt;=1,"1. Under 1 hour",IF(G597&lt;=24,"2. 1-24 hours",IF(G597&lt;=72,"3. 1-3 days","4. Over 3 days")))</f>
        <v/>
      </c>
      <c r="O597">
        <f>TEXT(B597,"YYYY-MM")</f>
        <v/>
      </c>
    </row>
    <row r="598">
      <c r="A598" t="inlineStr">
        <is>
          <t>LD-300596</t>
        </is>
      </c>
      <c r="B598" t="inlineStr">
        <is>
          <t>2025-12-03 14:22:00</t>
        </is>
      </c>
      <c r="C598" t="inlineStr">
        <is>
          <t>Paid Search</t>
        </is>
      </c>
      <c r="D598" t="inlineStr">
        <is>
          <t>Study Abroad Prep</t>
        </is>
      </c>
      <c r="E598" t="inlineStr">
        <is>
          <t>West Region</t>
        </is>
      </c>
      <c r="F598" t="inlineStr">
        <is>
          <t>Rep_03</t>
        </is>
      </c>
      <c r="G598" t="n">
        <v>3.63</v>
      </c>
      <c r="H598" t="inlineStr">
        <is>
          <t>Lead</t>
        </is>
      </c>
      <c r="I598" t="inlineStr">
        <is>
          <t>Open</t>
        </is>
      </c>
      <c r="M598">
        <f>VLOOKUP(H598,'Stage Order'!$A$2:$B$8,2,FALSE)</f>
        <v/>
      </c>
      <c r="N598">
        <f>IF(G598&lt;=1,"1. Under 1 hour",IF(G598&lt;=24,"2. 1-24 hours",IF(G598&lt;=72,"3. 1-3 days","4. Over 3 days")))</f>
        <v/>
      </c>
      <c r="O598">
        <f>TEXT(B598,"YYYY-MM")</f>
        <v/>
      </c>
    </row>
    <row r="599">
      <c r="A599" t="inlineStr">
        <is>
          <t>LD-300597</t>
        </is>
      </c>
      <c r="B599" t="inlineStr">
        <is>
          <t>2025-02-26 10:46:00</t>
        </is>
      </c>
      <c r="C599" t="inlineStr">
        <is>
          <t>Cold Outreach</t>
        </is>
      </c>
      <c r="D599" t="inlineStr">
        <is>
          <t>Competitive Exam Prep</t>
        </is>
      </c>
      <c r="E599" t="inlineStr">
        <is>
          <t>South Region</t>
        </is>
      </c>
      <c r="F599" t="inlineStr">
        <is>
          <t>Rep_02</t>
        </is>
      </c>
      <c r="G599" t="n">
        <v>8.02</v>
      </c>
      <c r="H599" t="inlineStr">
        <is>
          <t>Lead</t>
        </is>
      </c>
      <c r="I599" t="inlineStr">
        <is>
          <t>Open</t>
        </is>
      </c>
      <c r="M599">
        <f>VLOOKUP(H599,'Stage Order'!$A$2:$B$8,2,FALSE)</f>
        <v/>
      </c>
      <c r="N599">
        <f>IF(G599&lt;=1,"1. Under 1 hour",IF(G599&lt;=24,"2. 1-24 hours",IF(G599&lt;=72,"3. 1-3 days","4. Over 3 days")))</f>
        <v/>
      </c>
      <c r="O599">
        <f>TEXT(B599,"YYYY-MM")</f>
        <v/>
      </c>
    </row>
    <row r="600">
      <c r="A600" t="inlineStr">
        <is>
          <t>LD-300598</t>
        </is>
      </c>
      <c r="B600" t="inlineStr">
        <is>
          <t>2025-05-30 19:59:00</t>
        </is>
      </c>
      <c r="C600" t="inlineStr">
        <is>
          <t>Referral</t>
        </is>
      </c>
      <c r="D600" t="inlineStr">
        <is>
          <t>K-12 Math</t>
        </is>
      </c>
      <c r="E600" t="inlineStr">
        <is>
          <t>South Region</t>
        </is>
      </c>
      <c r="F600" t="inlineStr">
        <is>
          <t>Rep_12</t>
        </is>
      </c>
      <c r="G600" t="n">
        <v>1.51</v>
      </c>
      <c r="H600" t="inlineStr">
        <is>
          <t>Contacted</t>
        </is>
      </c>
      <c r="I600" t="inlineStr">
        <is>
          <t>Open</t>
        </is>
      </c>
      <c r="M600">
        <f>VLOOKUP(H600,'Stage Order'!$A$2:$B$8,2,FALSE)</f>
        <v/>
      </c>
      <c r="N600">
        <f>IF(G600&lt;=1,"1. Under 1 hour",IF(G600&lt;=24,"2. 1-24 hours",IF(G600&lt;=72,"3. 1-3 days","4. Over 3 days")))</f>
        <v/>
      </c>
      <c r="O600">
        <f>TEXT(B600,"YYYY-MM")</f>
        <v/>
      </c>
    </row>
    <row r="601">
      <c r="A601" t="inlineStr">
        <is>
          <t>LD-300599</t>
        </is>
      </c>
      <c r="B601" t="inlineStr">
        <is>
          <t>2025-03-14 10:02:00</t>
        </is>
      </c>
      <c r="C601" t="inlineStr">
        <is>
          <t>Cold Outreach</t>
        </is>
      </c>
      <c r="D601" t="inlineStr">
        <is>
          <t>Competitive Exam Prep</t>
        </is>
      </c>
      <c r="E601" t="inlineStr">
        <is>
          <t>South Region</t>
        </is>
      </c>
      <c r="F601" t="inlineStr">
        <is>
          <t>Rep_07</t>
        </is>
      </c>
      <c r="G601" t="n">
        <v>6.97</v>
      </c>
      <c r="H601" t="inlineStr">
        <is>
          <t>Contacted</t>
        </is>
      </c>
      <c r="I601" t="inlineStr">
        <is>
          <t>Open</t>
        </is>
      </c>
      <c r="M601">
        <f>VLOOKUP(H601,'Stage Order'!$A$2:$B$8,2,FALSE)</f>
        <v/>
      </c>
      <c r="N601">
        <f>IF(G601&lt;=1,"1. Under 1 hour",IF(G601&lt;=24,"2. 1-24 hours",IF(G601&lt;=72,"3. 1-3 days","4. Over 3 days")))</f>
        <v/>
      </c>
      <c r="O601">
        <f>TEXT(B601,"YYYY-MM")</f>
        <v/>
      </c>
    </row>
    <row r="602">
      <c r="A602" t="inlineStr">
        <is>
          <t>LD-300600</t>
        </is>
      </c>
      <c r="B602" t="inlineStr">
        <is>
          <t>2026-03-09 13:40:00</t>
        </is>
      </c>
      <c r="C602" t="inlineStr">
        <is>
          <t>Partner Channel</t>
        </is>
      </c>
      <c r="D602" t="inlineStr">
        <is>
          <t>Language Learning</t>
        </is>
      </c>
      <c r="E602" t="inlineStr">
        <is>
          <t>West Region</t>
        </is>
      </c>
      <c r="F602" t="inlineStr">
        <is>
          <t>Rep_08</t>
        </is>
      </c>
      <c r="G602" t="n">
        <v>8.4</v>
      </c>
      <c r="H602" t="inlineStr">
        <is>
          <t>Closed</t>
        </is>
      </c>
      <c r="I602" t="inlineStr">
        <is>
          <t>Won</t>
        </is>
      </c>
      <c r="K602" t="n">
        <v>358.06</v>
      </c>
      <c r="L602" t="inlineStr">
        <is>
          <t>2026-04-14 21:26:30.181277</t>
        </is>
      </c>
      <c r="M602">
        <f>VLOOKUP(H602,'Stage Order'!$A$2:$B$8,2,FALSE)</f>
        <v/>
      </c>
      <c r="N602">
        <f>IF(G602&lt;=1,"1. Under 1 hour",IF(G602&lt;=24,"2. 1-24 hours",IF(G602&lt;=72,"3. 1-3 days","4. Over 3 days")))</f>
        <v/>
      </c>
      <c r="O602">
        <f>TEXT(B602,"YYYY-MM")</f>
        <v/>
      </c>
    </row>
    <row r="603">
      <c r="A603" t="inlineStr">
        <is>
          <t>LD-300601</t>
        </is>
      </c>
      <c r="B603" t="inlineStr">
        <is>
          <t>2025-05-25 20:10:00</t>
        </is>
      </c>
      <c r="C603" t="inlineStr">
        <is>
          <t>Cold Outreach</t>
        </is>
      </c>
      <c r="D603" t="inlineStr">
        <is>
          <t>K-12 Math</t>
        </is>
      </c>
      <c r="E603" t="inlineStr">
        <is>
          <t>West Region</t>
        </is>
      </c>
      <c r="F603" t="inlineStr">
        <is>
          <t>Rep_03</t>
        </is>
      </c>
      <c r="G603" t="n">
        <v>10.47</v>
      </c>
      <c r="H603" t="inlineStr">
        <is>
          <t>Contacted</t>
        </is>
      </c>
      <c r="I603" t="inlineStr">
        <is>
          <t>Open</t>
        </is>
      </c>
      <c r="M603">
        <f>VLOOKUP(H603,'Stage Order'!$A$2:$B$8,2,FALSE)</f>
        <v/>
      </c>
      <c r="N603">
        <f>IF(G603&lt;=1,"1. Under 1 hour",IF(G603&lt;=24,"2. 1-24 hours",IF(G603&lt;=72,"3. 1-3 days","4. Over 3 days")))</f>
        <v/>
      </c>
      <c r="O603">
        <f>TEXT(B603,"YYYY-MM")</f>
        <v/>
      </c>
    </row>
    <row r="604">
      <c r="A604" t="inlineStr">
        <is>
          <t>LD-300602</t>
        </is>
      </c>
      <c r="B604" t="inlineStr">
        <is>
          <t>2026-02-03 13:25:00</t>
        </is>
      </c>
      <c r="C604" t="inlineStr">
        <is>
          <t>Social Media</t>
        </is>
      </c>
      <c r="D604" t="inlineStr">
        <is>
          <t>K-12 Math</t>
        </is>
      </c>
      <c r="E604" t="inlineStr">
        <is>
          <t>East Region</t>
        </is>
      </c>
      <c r="F604" t="inlineStr">
        <is>
          <t>Rep_09</t>
        </is>
      </c>
      <c r="G604" t="n">
        <v>6.31</v>
      </c>
      <c r="H604" t="inlineStr">
        <is>
          <t>Lead</t>
        </is>
      </c>
      <c r="I604" t="inlineStr">
        <is>
          <t>Open</t>
        </is>
      </c>
      <c r="M604">
        <f>VLOOKUP(H604,'Stage Order'!$A$2:$B$8,2,FALSE)</f>
        <v/>
      </c>
      <c r="N604">
        <f>IF(G604&lt;=1,"1. Under 1 hour",IF(G604&lt;=24,"2. 1-24 hours",IF(G604&lt;=72,"3. 1-3 days","4. Over 3 days")))</f>
        <v/>
      </c>
      <c r="O604">
        <f>TEXT(B604,"YYYY-MM")</f>
        <v/>
      </c>
    </row>
    <row r="605">
      <c r="A605" t="inlineStr">
        <is>
          <t>LD-300603</t>
        </is>
      </c>
      <c r="B605" t="inlineStr">
        <is>
          <t>2025-07-16 20:59:00</t>
        </is>
      </c>
      <c r="C605" t="inlineStr">
        <is>
          <t>Cold Outreach</t>
        </is>
      </c>
      <c r="D605" t="inlineStr">
        <is>
          <t>Coding for Kids</t>
        </is>
      </c>
      <c r="E605" t="inlineStr">
        <is>
          <t>South Region</t>
        </is>
      </c>
      <c r="F605" t="inlineStr">
        <is>
          <t>Rep_12</t>
        </is>
      </c>
      <c r="G605" t="n">
        <v>5.51</v>
      </c>
      <c r="H605" t="inlineStr">
        <is>
          <t>Lead</t>
        </is>
      </c>
      <c r="I605" t="inlineStr">
        <is>
          <t>Open</t>
        </is>
      </c>
      <c r="M605">
        <f>VLOOKUP(H605,'Stage Order'!$A$2:$B$8,2,FALSE)</f>
        <v/>
      </c>
      <c r="N605">
        <f>IF(G605&lt;=1,"1. Under 1 hour",IF(G605&lt;=24,"2. 1-24 hours",IF(G605&lt;=72,"3. 1-3 days","4. Over 3 days")))</f>
        <v/>
      </c>
      <c r="O605">
        <f>TEXT(B605,"YYYY-MM")</f>
        <v/>
      </c>
    </row>
    <row r="606">
      <c r="A606" t="inlineStr">
        <is>
          <t>LD-300604</t>
        </is>
      </c>
      <c r="B606" t="inlineStr">
        <is>
          <t>2025-05-09 08:03:00</t>
        </is>
      </c>
      <c r="C606" t="inlineStr">
        <is>
          <t>Social Media</t>
        </is>
      </c>
      <c r="D606" t="inlineStr">
        <is>
          <t>K-12 Math</t>
        </is>
      </c>
      <c r="E606" t="inlineStr">
        <is>
          <t>South Region</t>
        </is>
      </c>
      <c r="F606" t="inlineStr">
        <is>
          <t>Rep_12</t>
        </is>
      </c>
      <c r="G606" t="n">
        <v>2.85</v>
      </c>
      <c r="H606" t="inlineStr">
        <is>
          <t>Contacted</t>
        </is>
      </c>
      <c r="I606" t="inlineStr">
        <is>
          <t>Open</t>
        </is>
      </c>
      <c r="M606">
        <f>VLOOKUP(H606,'Stage Order'!$A$2:$B$8,2,FALSE)</f>
        <v/>
      </c>
      <c r="N606">
        <f>IF(G606&lt;=1,"1. Under 1 hour",IF(G606&lt;=24,"2. 1-24 hours",IF(G606&lt;=72,"3. 1-3 days","4. Over 3 days")))</f>
        <v/>
      </c>
      <c r="O606">
        <f>TEXT(B606,"YYYY-MM")</f>
        <v/>
      </c>
    </row>
    <row r="607">
      <c r="A607" t="inlineStr">
        <is>
          <t>LD-300605</t>
        </is>
      </c>
      <c r="B607" t="inlineStr">
        <is>
          <t>2026-03-27 19:05:00</t>
        </is>
      </c>
      <c r="C607" t="inlineStr">
        <is>
          <t>Referral</t>
        </is>
      </c>
      <c r="D607" t="inlineStr">
        <is>
          <t>K-12 Math</t>
        </is>
      </c>
      <c r="E607" t="inlineStr">
        <is>
          <t>West Region</t>
        </is>
      </c>
      <c r="F607" t="inlineStr">
        <is>
          <t>Rep_13</t>
        </is>
      </c>
      <c r="G607" t="n">
        <v>3.12</v>
      </c>
      <c r="H607" t="inlineStr">
        <is>
          <t>Closed</t>
        </is>
      </c>
      <c r="I607" t="inlineStr">
        <is>
          <t>Won</t>
        </is>
      </c>
      <c r="K607" t="n">
        <v>466.69</v>
      </c>
      <c r="L607" t="inlineStr">
        <is>
          <t>2026-05-01 19:03:54.391266</t>
        </is>
      </c>
      <c r="M607">
        <f>VLOOKUP(H607,'Stage Order'!$A$2:$B$8,2,FALSE)</f>
        <v/>
      </c>
      <c r="N607">
        <f>IF(G607&lt;=1,"1. Under 1 hour",IF(G607&lt;=24,"2. 1-24 hours",IF(G607&lt;=72,"3. 1-3 days","4. Over 3 days")))</f>
        <v/>
      </c>
      <c r="O607">
        <f>TEXT(B607,"YYYY-MM")</f>
        <v/>
      </c>
    </row>
    <row r="608">
      <c r="A608" t="inlineStr">
        <is>
          <t>LD-300606</t>
        </is>
      </c>
      <c r="B608" t="inlineStr">
        <is>
          <t>2026-04-03 11:24:00</t>
        </is>
      </c>
      <c r="C608" t="inlineStr">
        <is>
          <t>Social Media</t>
        </is>
      </c>
      <c r="D608" t="inlineStr">
        <is>
          <t>K-12 Math</t>
        </is>
      </c>
      <c r="E608" t="inlineStr">
        <is>
          <t>International</t>
        </is>
      </c>
      <c r="F608" t="inlineStr">
        <is>
          <t>Rep_05</t>
        </is>
      </c>
      <c r="G608" t="n">
        <v>3.71</v>
      </c>
      <c r="H608" t="inlineStr">
        <is>
          <t>Contacted</t>
        </is>
      </c>
      <c r="I608" t="inlineStr">
        <is>
          <t>Open</t>
        </is>
      </c>
      <c r="M608">
        <f>VLOOKUP(H608,'Stage Order'!$A$2:$B$8,2,FALSE)</f>
        <v/>
      </c>
      <c r="N608">
        <f>IF(G608&lt;=1,"1. Under 1 hour",IF(G608&lt;=24,"2. 1-24 hours",IF(G608&lt;=72,"3. 1-3 days","4. Over 3 days")))</f>
        <v/>
      </c>
      <c r="O608">
        <f>TEXT(B608,"YYYY-MM")</f>
        <v/>
      </c>
    </row>
    <row r="609">
      <c r="A609" t="inlineStr">
        <is>
          <t>LD-300607</t>
        </is>
      </c>
      <c r="B609" t="inlineStr">
        <is>
          <t>2025-04-11 17:51:00</t>
        </is>
      </c>
      <c r="C609" t="inlineStr">
        <is>
          <t>Organic Search</t>
        </is>
      </c>
      <c r="D609" t="inlineStr">
        <is>
          <t>Language Learning</t>
        </is>
      </c>
      <c r="E609" t="inlineStr">
        <is>
          <t>East Region</t>
        </is>
      </c>
      <c r="F609" t="inlineStr">
        <is>
          <t>Rep_04</t>
        </is>
      </c>
      <c r="G609" t="n">
        <v>3.4</v>
      </c>
      <c r="H609" t="inlineStr">
        <is>
          <t>Contacted</t>
        </is>
      </c>
      <c r="I609" t="inlineStr">
        <is>
          <t>Open</t>
        </is>
      </c>
      <c r="M609">
        <f>VLOOKUP(H609,'Stage Order'!$A$2:$B$8,2,FALSE)</f>
        <v/>
      </c>
      <c r="N609">
        <f>IF(G609&lt;=1,"1. Under 1 hour",IF(G609&lt;=24,"2. 1-24 hours",IF(G609&lt;=72,"3. 1-3 days","4. Over 3 days")))</f>
        <v/>
      </c>
      <c r="O609">
        <f>TEXT(B609,"YYYY-MM")</f>
        <v/>
      </c>
    </row>
    <row r="610">
      <c r="A610" t="inlineStr">
        <is>
          <t>LD-300608</t>
        </is>
      </c>
      <c r="B610" t="inlineStr">
        <is>
          <t>2025-04-21 08:23:00</t>
        </is>
      </c>
      <c r="C610" t="inlineStr">
        <is>
          <t>Webinar</t>
        </is>
      </c>
      <c r="D610" t="inlineStr">
        <is>
          <t>Coding for Kids</t>
        </is>
      </c>
      <c r="E610" t="inlineStr">
        <is>
          <t>North Region</t>
        </is>
      </c>
      <c r="F610" t="inlineStr">
        <is>
          <t>Rep_11</t>
        </is>
      </c>
      <c r="G610" t="n">
        <v>0.98</v>
      </c>
      <c r="H610" t="inlineStr">
        <is>
          <t>Lead</t>
        </is>
      </c>
      <c r="I610" t="inlineStr">
        <is>
          <t>Open</t>
        </is>
      </c>
      <c r="M610">
        <f>VLOOKUP(H610,'Stage Order'!$A$2:$B$8,2,FALSE)</f>
        <v/>
      </c>
      <c r="N610">
        <f>IF(G610&lt;=1,"1. Under 1 hour",IF(G610&lt;=24,"2. 1-24 hours",IF(G610&lt;=72,"3. 1-3 days","4. Over 3 days")))</f>
        <v/>
      </c>
      <c r="O610">
        <f>TEXT(B610,"YYYY-MM")</f>
        <v/>
      </c>
    </row>
    <row r="611">
      <c r="A611" t="inlineStr">
        <is>
          <t>LD-300609</t>
        </is>
      </c>
      <c r="B611" t="inlineStr">
        <is>
          <t>2026-04-23 20:40:00</t>
        </is>
      </c>
      <c r="C611" t="inlineStr">
        <is>
          <t>Webinar</t>
        </is>
      </c>
      <c r="D611" t="inlineStr">
        <is>
          <t>Competitive Exam Prep</t>
        </is>
      </c>
      <c r="E611" t="inlineStr">
        <is>
          <t>East Region</t>
        </is>
      </c>
      <c r="F611" t="inlineStr">
        <is>
          <t>Rep_14</t>
        </is>
      </c>
      <c r="G611" t="n">
        <v>2.05</v>
      </c>
      <c r="H611" t="inlineStr">
        <is>
          <t>Proposal Sent</t>
        </is>
      </c>
      <c r="I611" t="inlineStr">
        <is>
          <t>Lost</t>
        </is>
      </c>
      <c r="J611" t="inlineStr">
        <is>
          <t>Price Objection</t>
        </is>
      </c>
      <c r="K611" t="n">
        <v>978.1799999999999</v>
      </c>
      <c r="L611" t="inlineStr">
        <is>
          <t>2026-06-04 11:52:04.986461</t>
        </is>
      </c>
      <c r="M611">
        <f>VLOOKUP(H611,'Stage Order'!$A$2:$B$8,2,FALSE)</f>
        <v/>
      </c>
      <c r="N611">
        <f>IF(G611&lt;=1,"1. Under 1 hour",IF(G611&lt;=24,"2. 1-24 hours",IF(G611&lt;=72,"3. 1-3 days","4. Over 3 days")))</f>
        <v/>
      </c>
      <c r="O611">
        <f>TEXT(B611,"YYYY-MM")</f>
        <v/>
      </c>
    </row>
    <row r="612">
      <c r="A612" t="inlineStr">
        <is>
          <t>LD-300610</t>
        </is>
      </c>
      <c r="B612" t="inlineStr">
        <is>
          <t>2026-03-31 10:53:00</t>
        </is>
      </c>
      <c r="C612" t="inlineStr">
        <is>
          <t>Referral</t>
        </is>
      </c>
      <c r="D612" t="inlineStr">
        <is>
          <t>K-12 Math</t>
        </is>
      </c>
      <c r="E612" t="inlineStr">
        <is>
          <t>West Region</t>
        </is>
      </c>
      <c r="F612" t="inlineStr">
        <is>
          <t>Rep_03</t>
        </is>
      </c>
      <c r="G612" t="n">
        <v>1.31</v>
      </c>
      <c r="H612" t="inlineStr">
        <is>
          <t>Closed</t>
        </is>
      </c>
      <c r="I612" t="inlineStr">
        <is>
          <t>Won</t>
        </is>
      </c>
      <c r="K612" t="n">
        <v>513.79</v>
      </c>
      <c r="L612" t="inlineStr">
        <is>
          <t>2026-05-16 20:06:04.907754</t>
        </is>
      </c>
      <c r="M612">
        <f>VLOOKUP(H612,'Stage Order'!$A$2:$B$8,2,FALSE)</f>
        <v/>
      </c>
      <c r="N612">
        <f>IF(G612&lt;=1,"1. Under 1 hour",IF(G612&lt;=24,"2. 1-24 hours",IF(G612&lt;=72,"3. 1-3 days","4. Over 3 days")))</f>
        <v/>
      </c>
      <c r="O612">
        <f>TEXT(B612,"YYYY-MM")</f>
        <v/>
      </c>
    </row>
    <row r="613">
      <c r="A613" t="inlineStr">
        <is>
          <t>LD-300611</t>
        </is>
      </c>
      <c r="B613" t="inlineStr">
        <is>
          <t>2025-03-06 08:44:00</t>
        </is>
      </c>
      <c r="C613" t="inlineStr">
        <is>
          <t>Paid Search</t>
        </is>
      </c>
      <c r="D613" t="inlineStr">
        <is>
          <t>K-12 Math</t>
        </is>
      </c>
      <c r="E613" t="inlineStr">
        <is>
          <t>North Region</t>
        </is>
      </c>
      <c r="F613" t="inlineStr">
        <is>
          <t>Rep_11</t>
        </is>
      </c>
      <c r="G613" t="n">
        <v>0.72</v>
      </c>
      <c r="H613" t="inlineStr">
        <is>
          <t>Closed</t>
        </is>
      </c>
      <c r="I613" t="inlineStr">
        <is>
          <t>Won</t>
        </is>
      </c>
      <c r="K613" t="n">
        <v>596.88</v>
      </c>
      <c r="L613" t="inlineStr">
        <is>
          <t>2025-04-12 11:54:02.800424</t>
        </is>
      </c>
      <c r="M613">
        <f>VLOOKUP(H613,'Stage Order'!$A$2:$B$8,2,FALSE)</f>
        <v/>
      </c>
      <c r="N613">
        <f>IF(G613&lt;=1,"1. Under 1 hour",IF(G613&lt;=24,"2. 1-24 hours",IF(G613&lt;=72,"3. 1-3 days","4. Over 3 days")))</f>
        <v/>
      </c>
      <c r="O613">
        <f>TEXT(B613,"YYYY-MM")</f>
        <v/>
      </c>
    </row>
    <row r="614">
      <c r="A614" t="inlineStr">
        <is>
          <t>LD-300612</t>
        </is>
      </c>
      <c r="B614" t="inlineStr">
        <is>
          <t>2025-07-14 17:12:00</t>
        </is>
      </c>
      <c r="C614" t="inlineStr">
        <is>
          <t>Cold Outreach</t>
        </is>
      </c>
      <c r="D614" t="inlineStr">
        <is>
          <t>Competitive Exam Prep</t>
        </is>
      </c>
      <c r="E614" t="inlineStr">
        <is>
          <t>International</t>
        </is>
      </c>
      <c r="F614" t="inlineStr">
        <is>
          <t>Rep_05</t>
        </is>
      </c>
      <c r="G614" t="n">
        <v>0.99</v>
      </c>
      <c r="H614" t="inlineStr">
        <is>
          <t>Contacted</t>
        </is>
      </c>
      <c r="I614" t="inlineStr">
        <is>
          <t>Open</t>
        </is>
      </c>
      <c r="M614">
        <f>VLOOKUP(H614,'Stage Order'!$A$2:$B$8,2,FALSE)</f>
        <v/>
      </c>
      <c r="N614">
        <f>IF(G614&lt;=1,"1. Under 1 hour",IF(G614&lt;=24,"2. 1-24 hours",IF(G614&lt;=72,"3. 1-3 days","4. Over 3 days")))</f>
        <v/>
      </c>
      <c r="O614">
        <f>TEXT(B614,"YYYY-MM")</f>
        <v/>
      </c>
    </row>
    <row r="615">
      <c r="A615" t="inlineStr">
        <is>
          <t>LD-300613</t>
        </is>
      </c>
      <c r="B615" t="inlineStr">
        <is>
          <t>2025-01-27 10:35:00</t>
        </is>
      </c>
      <c r="C615" t="inlineStr">
        <is>
          <t>Referral</t>
        </is>
      </c>
      <c r="D615" t="inlineStr">
        <is>
          <t>Competitive Exam Prep</t>
        </is>
      </c>
      <c r="E615" t="inlineStr">
        <is>
          <t>East Region</t>
        </is>
      </c>
      <c r="F615" t="inlineStr">
        <is>
          <t>Rep_09</t>
        </is>
      </c>
      <c r="G615" t="n">
        <v>0.84</v>
      </c>
      <c r="H615" t="inlineStr">
        <is>
          <t>Negotiation</t>
        </is>
      </c>
      <c r="I615" t="inlineStr">
        <is>
          <t>Lost</t>
        </is>
      </c>
      <c r="J615" t="inlineStr">
        <is>
          <t>Price Objection</t>
        </is>
      </c>
      <c r="K615" t="n">
        <v>841.83</v>
      </c>
      <c r="L615" t="inlineStr">
        <is>
          <t>2025-03-08 11:19:16.515482</t>
        </is>
      </c>
      <c r="M615">
        <f>VLOOKUP(H615,'Stage Order'!$A$2:$B$8,2,FALSE)</f>
        <v/>
      </c>
      <c r="N615">
        <f>IF(G615&lt;=1,"1. Under 1 hour",IF(G615&lt;=24,"2. 1-24 hours",IF(G615&lt;=72,"3. 1-3 days","4. Over 3 days")))</f>
        <v/>
      </c>
      <c r="O615">
        <f>TEXT(B615,"YYYY-MM")</f>
        <v/>
      </c>
    </row>
    <row r="616">
      <c r="A616" t="inlineStr">
        <is>
          <t>LD-300614</t>
        </is>
      </c>
      <c r="B616" t="inlineStr">
        <is>
          <t>2026-02-27 14:28:00</t>
        </is>
      </c>
      <c r="C616" t="inlineStr">
        <is>
          <t>Organic Search</t>
        </is>
      </c>
      <c r="D616" t="inlineStr">
        <is>
          <t>Coding for Kids</t>
        </is>
      </c>
      <c r="E616" t="inlineStr">
        <is>
          <t>South Region</t>
        </is>
      </c>
      <c r="F616" t="inlineStr">
        <is>
          <t>Rep_07</t>
        </is>
      </c>
      <c r="G616" t="n">
        <v>3.95</v>
      </c>
      <c r="H616" t="inlineStr">
        <is>
          <t>Proposal Sent</t>
        </is>
      </c>
      <c r="I616" t="inlineStr">
        <is>
          <t>Lost</t>
        </is>
      </c>
      <c r="J616" t="inlineStr">
        <is>
          <t>Budget Not Approved</t>
        </is>
      </c>
      <c r="K616" t="n">
        <v>595.59</v>
      </c>
      <c r="L616" t="inlineStr">
        <is>
          <t>2026-04-12 08:49:25.405813</t>
        </is>
      </c>
      <c r="M616">
        <f>VLOOKUP(H616,'Stage Order'!$A$2:$B$8,2,FALSE)</f>
        <v/>
      </c>
      <c r="N616">
        <f>IF(G616&lt;=1,"1. Under 1 hour",IF(G616&lt;=24,"2. 1-24 hours",IF(G616&lt;=72,"3. 1-3 days","4. Over 3 days")))</f>
        <v/>
      </c>
      <c r="O616">
        <f>TEXT(B616,"YYYY-MM")</f>
        <v/>
      </c>
    </row>
    <row r="617">
      <c r="A617" t="inlineStr">
        <is>
          <t>LD-300615</t>
        </is>
      </c>
      <c r="B617" t="inlineStr">
        <is>
          <t>2026-03-11 11:56:00</t>
        </is>
      </c>
      <c r="C617" t="inlineStr">
        <is>
          <t>Social Media</t>
        </is>
      </c>
      <c r="D617" t="inlineStr">
        <is>
          <t>K-12 Math</t>
        </is>
      </c>
      <c r="E617" t="inlineStr">
        <is>
          <t>East Region</t>
        </is>
      </c>
      <c r="F617" t="inlineStr">
        <is>
          <t>Rep_14</t>
        </is>
      </c>
      <c r="G617" t="n">
        <v>2.91</v>
      </c>
      <c r="H617" t="inlineStr">
        <is>
          <t>Contacted</t>
        </is>
      </c>
      <c r="I617" t="inlineStr">
        <is>
          <t>Open</t>
        </is>
      </c>
      <c r="M617">
        <f>VLOOKUP(H617,'Stage Order'!$A$2:$B$8,2,FALSE)</f>
        <v/>
      </c>
      <c r="N617">
        <f>IF(G617&lt;=1,"1. Under 1 hour",IF(G617&lt;=24,"2. 1-24 hours",IF(G617&lt;=72,"3. 1-3 days","4. Over 3 days")))</f>
        <v/>
      </c>
      <c r="O617">
        <f>TEXT(B617,"YYYY-MM")</f>
        <v/>
      </c>
    </row>
    <row r="618">
      <c r="A618" t="inlineStr">
        <is>
          <t>LD-300616</t>
        </is>
      </c>
      <c r="B618" t="inlineStr">
        <is>
          <t>2025-10-17 07:40:00</t>
        </is>
      </c>
      <c r="C618" t="inlineStr">
        <is>
          <t>Social Media</t>
        </is>
      </c>
      <c r="D618" t="inlineStr">
        <is>
          <t>K-12 Math</t>
        </is>
      </c>
      <c r="E618" t="inlineStr">
        <is>
          <t>International</t>
        </is>
      </c>
      <c r="F618" t="inlineStr">
        <is>
          <t>Rep_15</t>
        </is>
      </c>
      <c r="G618" t="n">
        <v>1.9</v>
      </c>
      <c r="H618" t="inlineStr">
        <is>
          <t>Proposal Sent</t>
        </is>
      </c>
      <c r="I618" t="inlineStr">
        <is>
          <t>Lost</t>
        </is>
      </c>
      <c r="J618" t="inlineStr">
        <is>
          <t>Bad Timing</t>
        </is>
      </c>
      <c r="K618" t="n">
        <v>561.4400000000001</v>
      </c>
      <c r="L618" t="inlineStr">
        <is>
          <t>2025-11-19 03:12:47.308301</t>
        </is>
      </c>
      <c r="M618">
        <f>VLOOKUP(H618,'Stage Order'!$A$2:$B$8,2,FALSE)</f>
        <v/>
      </c>
      <c r="N618">
        <f>IF(G618&lt;=1,"1. Under 1 hour",IF(G618&lt;=24,"2. 1-24 hours",IF(G618&lt;=72,"3. 1-3 days","4. Over 3 days")))</f>
        <v/>
      </c>
      <c r="O618">
        <f>TEXT(B618,"YYYY-MM")</f>
        <v/>
      </c>
    </row>
    <row r="619">
      <c r="A619" t="inlineStr">
        <is>
          <t>LD-300617</t>
        </is>
      </c>
      <c r="B619" t="inlineStr">
        <is>
          <t>2025-12-09 18:22:00</t>
        </is>
      </c>
      <c r="C619" t="inlineStr">
        <is>
          <t>Paid Search</t>
        </is>
      </c>
      <c r="D619" t="inlineStr">
        <is>
          <t>K-12 Math</t>
        </is>
      </c>
      <c r="E619" t="inlineStr">
        <is>
          <t>East Region</t>
        </is>
      </c>
      <c r="F619" t="inlineStr">
        <is>
          <t>Rep_14</t>
        </is>
      </c>
      <c r="G619" t="n">
        <v>2.72</v>
      </c>
      <c r="H619" t="inlineStr">
        <is>
          <t>Contacted</t>
        </is>
      </c>
      <c r="I619" t="inlineStr">
        <is>
          <t>Open</t>
        </is>
      </c>
      <c r="M619">
        <f>VLOOKUP(H619,'Stage Order'!$A$2:$B$8,2,FALSE)</f>
        <v/>
      </c>
      <c r="N619">
        <f>IF(G619&lt;=1,"1. Under 1 hour",IF(G619&lt;=24,"2. 1-24 hours",IF(G619&lt;=72,"3. 1-3 days","4. Over 3 days")))</f>
        <v/>
      </c>
      <c r="O619">
        <f>TEXT(B619,"YYYY-MM")</f>
        <v/>
      </c>
    </row>
    <row r="620">
      <c r="A620" t="inlineStr">
        <is>
          <t>LD-300618</t>
        </is>
      </c>
      <c r="B620" t="inlineStr">
        <is>
          <t>2026-05-15 10:34:00</t>
        </is>
      </c>
      <c r="C620" t="inlineStr">
        <is>
          <t>Social Media</t>
        </is>
      </c>
      <c r="D620" t="inlineStr">
        <is>
          <t>Coding for Kids</t>
        </is>
      </c>
      <c r="E620" t="inlineStr">
        <is>
          <t>West Region</t>
        </is>
      </c>
      <c r="F620" t="inlineStr">
        <is>
          <t>Rep_13</t>
        </is>
      </c>
      <c r="G620" t="n">
        <v>7.88</v>
      </c>
      <c r="H620" t="inlineStr">
        <is>
          <t>Contacted</t>
        </is>
      </c>
      <c r="I620" t="inlineStr">
        <is>
          <t>Open</t>
        </is>
      </c>
      <c r="M620">
        <f>VLOOKUP(H620,'Stage Order'!$A$2:$B$8,2,FALSE)</f>
        <v/>
      </c>
      <c r="N620">
        <f>IF(G620&lt;=1,"1. Under 1 hour",IF(G620&lt;=24,"2. 1-24 hours",IF(G620&lt;=72,"3. 1-3 days","4. Over 3 days")))</f>
        <v/>
      </c>
      <c r="O620">
        <f>TEXT(B620,"YYYY-MM")</f>
        <v/>
      </c>
    </row>
    <row r="621">
      <c r="A621" t="inlineStr">
        <is>
          <t>LD-300619</t>
        </is>
      </c>
      <c r="B621" t="inlineStr">
        <is>
          <t>2026-06-27 15:57:00</t>
        </is>
      </c>
      <c r="C621" t="inlineStr">
        <is>
          <t>Webinar</t>
        </is>
      </c>
      <c r="D621" t="inlineStr">
        <is>
          <t>Competitive Exam Prep</t>
        </is>
      </c>
      <c r="E621" t="inlineStr">
        <is>
          <t>South Region</t>
        </is>
      </c>
      <c r="F621" t="inlineStr">
        <is>
          <t>Rep_12</t>
        </is>
      </c>
      <c r="G621" t="n">
        <v>1.26</v>
      </c>
      <c r="H621" t="inlineStr">
        <is>
          <t>Contacted</t>
        </is>
      </c>
      <c r="I621" t="inlineStr">
        <is>
          <t>Open</t>
        </is>
      </c>
      <c r="M621">
        <f>VLOOKUP(H621,'Stage Order'!$A$2:$B$8,2,FALSE)</f>
        <v/>
      </c>
      <c r="N621">
        <f>IF(G621&lt;=1,"1. Under 1 hour",IF(G621&lt;=24,"2. 1-24 hours",IF(G621&lt;=72,"3. 1-3 days","4. Over 3 days")))</f>
        <v/>
      </c>
      <c r="O621">
        <f>TEXT(B621,"YYYY-MM")</f>
        <v/>
      </c>
    </row>
    <row r="622">
      <c r="A622" t="inlineStr">
        <is>
          <t>LD-300620</t>
        </is>
      </c>
      <c r="B622" t="inlineStr">
        <is>
          <t>2025-06-06 08:09:00</t>
        </is>
      </c>
      <c r="C622" t="inlineStr">
        <is>
          <t>Paid Search</t>
        </is>
      </c>
      <c r="D622" t="inlineStr">
        <is>
          <t>Study Abroad Prep</t>
        </is>
      </c>
      <c r="E622" t="inlineStr">
        <is>
          <t>West Region</t>
        </is>
      </c>
      <c r="F622" t="inlineStr">
        <is>
          <t>Rep_13</t>
        </is>
      </c>
      <c r="G622" t="n">
        <v>0.8100000000000001</v>
      </c>
      <c r="H622" t="inlineStr">
        <is>
          <t>Contacted</t>
        </is>
      </c>
      <c r="I622" t="inlineStr">
        <is>
          <t>Open</t>
        </is>
      </c>
      <c r="M622">
        <f>VLOOKUP(H622,'Stage Order'!$A$2:$B$8,2,FALSE)</f>
        <v/>
      </c>
      <c r="N622">
        <f>IF(G622&lt;=1,"1. Under 1 hour",IF(G622&lt;=24,"2. 1-24 hours",IF(G622&lt;=72,"3. 1-3 days","4. Over 3 days")))</f>
        <v/>
      </c>
      <c r="O622">
        <f>TEXT(B622,"YYYY-MM")</f>
        <v/>
      </c>
    </row>
    <row r="623">
      <c r="A623" t="inlineStr">
        <is>
          <t>LD-300621</t>
        </is>
      </c>
      <c r="B623" t="inlineStr">
        <is>
          <t>2025-08-07 12:45:00</t>
        </is>
      </c>
      <c r="C623" t="inlineStr">
        <is>
          <t>Organic Search</t>
        </is>
      </c>
      <c r="D623" t="inlineStr">
        <is>
          <t>K-12 Math</t>
        </is>
      </c>
      <c r="E623" t="inlineStr">
        <is>
          <t>West Region</t>
        </is>
      </c>
      <c r="F623" t="inlineStr">
        <is>
          <t>Rep_03</t>
        </is>
      </c>
      <c r="G623" t="n">
        <v>3.23</v>
      </c>
      <c r="H623" t="inlineStr">
        <is>
          <t>Contacted</t>
        </is>
      </c>
      <c r="I623" t="inlineStr">
        <is>
          <t>Open</t>
        </is>
      </c>
      <c r="M623">
        <f>VLOOKUP(H623,'Stage Order'!$A$2:$B$8,2,FALSE)</f>
        <v/>
      </c>
      <c r="N623">
        <f>IF(G623&lt;=1,"1. Under 1 hour",IF(G623&lt;=24,"2. 1-24 hours",IF(G623&lt;=72,"3. 1-3 days","4. Over 3 days")))</f>
        <v/>
      </c>
      <c r="O623">
        <f>TEXT(B623,"YYYY-MM")</f>
        <v/>
      </c>
    </row>
    <row r="624">
      <c r="A624" t="inlineStr">
        <is>
          <t>LD-300622</t>
        </is>
      </c>
      <c r="B624" t="inlineStr">
        <is>
          <t>2025-08-13 10:16:00</t>
        </is>
      </c>
      <c r="C624" t="inlineStr">
        <is>
          <t>Referral</t>
        </is>
      </c>
      <c r="D624" t="inlineStr">
        <is>
          <t>Competitive Exam Prep</t>
        </is>
      </c>
      <c r="E624" t="inlineStr">
        <is>
          <t>International</t>
        </is>
      </c>
      <c r="F624" t="inlineStr">
        <is>
          <t>Rep_05</t>
        </is>
      </c>
      <c r="G624" t="n">
        <v>1.99</v>
      </c>
      <c r="H624" t="inlineStr">
        <is>
          <t>Contacted</t>
        </is>
      </c>
      <c r="I624" t="inlineStr">
        <is>
          <t>Open</t>
        </is>
      </c>
      <c r="M624">
        <f>VLOOKUP(H624,'Stage Order'!$A$2:$B$8,2,FALSE)</f>
        <v/>
      </c>
      <c r="N624">
        <f>IF(G624&lt;=1,"1. Under 1 hour",IF(G624&lt;=24,"2. 1-24 hours",IF(G624&lt;=72,"3. 1-3 days","4. Over 3 days")))</f>
        <v/>
      </c>
      <c r="O624">
        <f>TEXT(B624,"YYYY-MM")</f>
        <v/>
      </c>
    </row>
    <row r="625">
      <c r="A625" t="inlineStr">
        <is>
          <t>LD-300623</t>
        </is>
      </c>
      <c r="B625" t="inlineStr">
        <is>
          <t>2025-09-15 09:13:00</t>
        </is>
      </c>
      <c r="C625" t="inlineStr">
        <is>
          <t>Social Media</t>
        </is>
      </c>
      <c r="D625" t="inlineStr">
        <is>
          <t>K-12 Math</t>
        </is>
      </c>
      <c r="E625" t="inlineStr">
        <is>
          <t>South Region</t>
        </is>
      </c>
      <c r="F625" t="inlineStr">
        <is>
          <t>Rep_07</t>
        </is>
      </c>
      <c r="G625" t="n">
        <v>3.93</v>
      </c>
      <c r="H625" t="inlineStr">
        <is>
          <t>Lead</t>
        </is>
      </c>
      <c r="I625" t="inlineStr">
        <is>
          <t>Open</t>
        </is>
      </c>
      <c r="M625">
        <f>VLOOKUP(H625,'Stage Order'!$A$2:$B$8,2,FALSE)</f>
        <v/>
      </c>
      <c r="N625">
        <f>IF(G625&lt;=1,"1. Under 1 hour",IF(G625&lt;=24,"2. 1-24 hours",IF(G625&lt;=72,"3. 1-3 days","4. Over 3 days")))</f>
        <v/>
      </c>
      <c r="O625">
        <f>TEXT(B625,"YYYY-MM")</f>
        <v/>
      </c>
    </row>
    <row r="626">
      <c r="A626" t="inlineStr">
        <is>
          <t>LD-300624</t>
        </is>
      </c>
      <c r="B626" t="inlineStr">
        <is>
          <t>2025-12-10 09:34:00</t>
        </is>
      </c>
      <c r="C626" t="inlineStr">
        <is>
          <t>Paid Search</t>
        </is>
      </c>
      <c r="D626" t="inlineStr">
        <is>
          <t>Coding for Kids</t>
        </is>
      </c>
      <c r="E626" t="inlineStr">
        <is>
          <t>North Region</t>
        </is>
      </c>
      <c r="F626" t="inlineStr">
        <is>
          <t>Rep_01</t>
        </is>
      </c>
      <c r="G626" t="n">
        <v>2.17</v>
      </c>
      <c r="H626" t="inlineStr">
        <is>
          <t>Contacted</t>
        </is>
      </c>
      <c r="I626" t="inlineStr">
        <is>
          <t>Open</t>
        </is>
      </c>
      <c r="M626">
        <f>VLOOKUP(H626,'Stage Order'!$A$2:$B$8,2,FALSE)</f>
        <v/>
      </c>
      <c r="N626">
        <f>IF(G626&lt;=1,"1. Under 1 hour",IF(G626&lt;=24,"2. 1-24 hours",IF(G626&lt;=72,"3. 1-3 days","4. Over 3 days")))</f>
        <v/>
      </c>
      <c r="O626">
        <f>TEXT(B626,"YYYY-MM")</f>
        <v/>
      </c>
    </row>
    <row r="627">
      <c r="A627" t="inlineStr">
        <is>
          <t>LD-300625</t>
        </is>
      </c>
      <c r="B627" t="inlineStr">
        <is>
          <t>2025-06-21 20:19:00</t>
        </is>
      </c>
      <c r="C627" t="inlineStr">
        <is>
          <t>Social Media</t>
        </is>
      </c>
      <c r="D627" t="inlineStr">
        <is>
          <t>K-12 Math</t>
        </is>
      </c>
      <c r="E627" t="inlineStr">
        <is>
          <t>South Region</t>
        </is>
      </c>
      <c r="F627" t="inlineStr">
        <is>
          <t>Rep_07</t>
        </is>
      </c>
      <c r="G627" t="n">
        <v>6.87</v>
      </c>
      <c r="H627" t="inlineStr">
        <is>
          <t>Contacted</t>
        </is>
      </c>
      <c r="I627" t="inlineStr">
        <is>
          <t>Open</t>
        </is>
      </c>
      <c r="M627">
        <f>VLOOKUP(H627,'Stage Order'!$A$2:$B$8,2,FALSE)</f>
        <v/>
      </c>
      <c r="N627">
        <f>IF(G627&lt;=1,"1. Under 1 hour",IF(G627&lt;=24,"2. 1-24 hours",IF(G627&lt;=72,"3. 1-3 days","4. Over 3 days")))</f>
        <v/>
      </c>
      <c r="O627">
        <f>TEXT(B627,"YYYY-MM")</f>
        <v/>
      </c>
    </row>
    <row r="628">
      <c r="A628" t="inlineStr">
        <is>
          <t>LD-300626</t>
        </is>
      </c>
      <c r="B628" t="inlineStr">
        <is>
          <t>2026-05-15 12:10:00</t>
        </is>
      </c>
      <c r="C628" t="inlineStr">
        <is>
          <t>Social Media</t>
        </is>
      </c>
      <c r="D628" t="inlineStr">
        <is>
          <t>K-12 Math</t>
        </is>
      </c>
      <c r="E628" t="inlineStr">
        <is>
          <t>South Region</t>
        </is>
      </c>
      <c r="F628" t="inlineStr">
        <is>
          <t>Rep_07</t>
        </is>
      </c>
      <c r="G628" t="n">
        <v>1.58</v>
      </c>
      <c r="H628" t="inlineStr">
        <is>
          <t>Contacted</t>
        </is>
      </c>
      <c r="I628" t="inlineStr">
        <is>
          <t>Open</t>
        </is>
      </c>
      <c r="M628">
        <f>VLOOKUP(H628,'Stage Order'!$A$2:$B$8,2,FALSE)</f>
        <v/>
      </c>
      <c r="N628">
        <f>IF(G628&lt;=1,"1. Under 1 hour",IF(G628&lt;=24,"2. 1-24 hours",IF(G628&lt;=72,"3. 1-3 days","4. Over 3 days")))</f>
        <v/>
      </c>
      <c r="O628">
        <f>TEXT(B628,"YYYY-MM")</f>
        <v/>
      </c>
    </row>
    <row r="629">
      <c r="A629" t="inlineStr">
        <is>
          <t>LD-300627</t>
        </is>
      </c>
      <c r="B629" t="inlineStr">
        <is>
          <t>2025-01-24 14:14:00</t>
        </is>
      </c>
      <c r="C629" t="inlineStr">
        <is>
          <t>Webinar</t>
        </is>
      </c>
      <c r="D629" t="inlineStr">
        <is>
          <t>Study Abroad Prep</t>
        </is>
      </c>
      <c r="E629" t="inlineStr">
        <is>
          <t>West Region</t>
        </is>
      </c>
      <c r="F629" t="inlineStr">
        <is>
          <t>Rep_08</t>
        </is>
      </c>
      <c r="G629" t="n">
        <v>0.92</v>
      </c>
      <c r="H629" t="inlineStr">
        <is>
          <t>Contacted</t>
        </is>
      </c>
      <c r="I629" t="inlineStr">
        <is>
          <t>Open</t>
        </is>
      </c>
      <c r="M629">
        <f>VLOOKUP(H629,'Stage Order'!$A$2:$B$8,2,FALSE)</f>
        <v/>
      </c>
      <c r="N629">
        <f>IF(G629&lt;=1,"1. Under 1 hour",IF(G629&lt;=24,"2. 1-24 hours",IF(G629&lt;=72,"3. 1-3 days","4. Over 3 days")))</f>
        <v/>
      </c>
      <c r="O629">
        <f>TEXT(B629,"YYYY-MM")</f>
        <v/>
      </c>
    </row>
    <row r="630">
      <c r="A630" t="inlineStr">
        <is>
          <t>LD-300628</t>
        </is>
      </c>
      <c r="B630" t="inlineStr">
        <is>
          <t>2026-01-02 07:11:00</t>
        </is>
      </c>
      <c r="C630" t="inlineStr">
        <is>
          <t>Cold Outreach</t>
        </is>
      </c>
      <c r="D630" t="inlineStr">
        <is>
          <t>Coding for Kids</t>
        </is>
      </c>
      <c r="E630" t="inlineStr">
        <is>
          <t>North Region</t>
        </is>
      </c>
      <c r="F630" t="inlineStr">
        <is>
          <t>Rep_11</t>
        </is>
      </c>
      <c r="G630" t="n">
        <v>1.5</v>
      </c>
      <c r="H630" t="inlineStr">
        <is>
          <t>Proposal Sent</t>
        </is>
      </c>
      <c r="I630" t="inlineStr">
        <is>
          <t>Lost</t>
        </is>
      </c>
      <c r="J630" t="inlineStr">
        <is>
          <t>Bad Timing</t>
        </is>
      </c>
      <c r="K630" t="n">
        <v>629.8099999999999</v>
      </c>
      <c r="L630" t="inlineStr">
        <is>
          <t>2026-02-04 15:12:45.447880</t>
        </is>
      </c>
      <c r="M630">
        <f>VLOOKUP(H630,'Stage Order'!$A$2:$B$8,2,FALSE)</f>
        <v/>
      </c>
      <c r="N630">
        <f>IF(G630&lt;=1,"1. Under 1 hour",IF(G630&lt;=24,"2. 1-24 hours",IF(G630&lt;=72,"3. 1-3 days","4. Over 3 days")))</f>
        <v/>
      </c>
      <c r="O630">
        <f>TEXT(B630,"YYYY-MM")</f>
        <v/>
      </c>
    </row>
    <row r="631">
      <c r="A631" t="inlineStr">
        <is>
          <t>LD-300629</t>
        </is>
      </c>
      <c r="B631" t="inlineStr">
        <is>
          <t>2025-10-10 10:33:00</t>
        </is>
      </c>
      <c r="C631" t="inlineStr">
        <is>
          <t>Organic Search</t>
        </is>
      </c>
      <c r="D631" t="inlineStr">
        <is>
          <t>K-12 Math</t>
        </is>
      </c>
      <c r="E631" t="inlineStr">
        <is>
          <t>South Region</t>
        </is>
      </c>
      <c r="F631" t="inlineStr">
        <is>
          <t>Rep_12</t>
        </is>
      </c>
      <c r="G631" t="n">
        <v>7.66</v>
      </c>
      <c r="H631" t="inlineStr">
        <is>
          <t>Closed</t>
        </is>
      </c>
      <c r="I631" t="inlineStr">
        <is>
          <t>Won</t>
        </is>
      </c>
      <c r="K631" t="n">
        <v>430.24</v>
      </c>
      <c r="L631" t="inlineStr">
        <is>
          <t>2025-11-18 00:22:05.065748</t>
        </is>
      </c>
      <c r="M631">
        <f>VLOOKUP(H631,'Stage Order'!$A$2:$B$8,2,FALSE)</f>
        <v/>
      </c>
      <c r="N631">
        <f>IF(G631&lt;=1,"1. Under 1 hour",IF(G631&lt;=24,"2. 1-24 hours",IF(G631&lt;=72,"3. 1-3 days","4. Over 3 days")))</f>
        <v/>
      </c>
      <c r="O631">
        <f>TEXT(B631,"YYYY-MM")</f>
        <v/>
      </c>
    </row>
    <row r="632">
      <c r="A632" t="inlineStr">
        <is>
          <t>LD-300630</t>
        </is>
      </c>
      <c r="B632" t="inlineStr">
        <is>
          <t>2026-05-04 15:35:00</t>
        </is>
      </c>
      <c r="C632" t="inlineStr">
        <is>
          <t>Webinar</t>
        </is>
      </c>
      <c r="D632" t="inlineStr">
        <is>
          <t>Study Abroad Prep</t>
        </is>
      </c>
      <c r="E632" t="inlineStr">
        <is>
          <t>West Region</t>
        </is>
      </c>
      <c r="F632" t="inlineStr">
        <is>
          <t>Rep_13</t>
        </is>
      </c>
      <c r="G632" t="n">
        <v>1.73</v>
      </c>
      <c r="H632" t="inlineStr">
        <is>
          <t>Negotiation</t>
        </is>
      </c>
      <c r="I632" t="inlineStr">
        <is>
          <t>Lost</t>
        </is>
      </c>
      <c r="J632" t="inlineStr">
        <is>
          <t>Bad Timing</t>
        </is>
      </c>
      <c r="K632" t="n">
        <v>1481.49</v>
      </c>
      <c r="L632" t="inlineStr">
        <is>
          <t>2026-06-29 11:47:33.254683</t>
        </is>
      </c>
      <c r="M632">
        <f>VLOOKUP(H632,'Stage Order'!$A$2:$B$8,2,FALSE)</f>
        <v/>
      </c>
      <c r="N632">
        <f>IF(G632&lt;=1,"1. Under 1 hour",IF(G632&lt;=24,"2. 1-24 hours",IF(G632&lt;=72,"3. 1-3 days","4. Over 3 days")))</f>
        <v/>
      </c>
      <c r="O632">
        <f>TEXT(B632,"YYYY-MM")</f>
        <v/>
      </c>
    </row>
    <row r="633">
      <c r="A633" t="inlineStr">
        <is>
          <t>LD-300631</t>
        </is>
      </c>
      <c r="B633" t="inlineStr">
        <is>
          <t>2025-03-06 08:15:00</t>
        </is>
      </c>
      <c r="C633" t="inlineStr">
        <is>
          <t>Referral</t>
        </is>
      </c>
      <c r="D633" t="inlineStr">
        <is>
          <t>Coding for Kids</t>
        </is>
      </c>
      <c r="E633" t="inlineStr">
        <is>
          <t>South Region</t>
        </is>
      </c>
      <c r="F633" t="inlineStr">
        <is>
          <t>Rep_07</t>
        </is>
      </c>
      <c r="G633" t="n">
        <v>2.02</v>
      </c>
      <c r="H633" t="inlineStr">
        <is>
          <t>Closed</t>
        </is>
      </c>
      <c r="I633" t="inlineStr">
        <is>
          <t>Won</t>
        </is>
      </c>
      <c r="K633" t="n">
        <v>701.9299999999999</v>
      </c>
      <c r="L633" t="inlineStr">
        <is>
          <t>2025-04-13 01:37:40.396887</t>
        </is>
      </c>
      <c r="M633">
        <f>VLOOKUP(H633,'Stage Order'!$A$2:$B$8,2,FALSE)</f>
        <v/>
      </c>
      <c r="N633">
        <f>IF(G633&lt;=1,"1. Under 1 hour",IF(G633&lt;=24,"2. 1-24 hours",IF(G633&lt;=72,"3. 1-3 days","4. Over 3 days")))</f>
        <v/>
      </c>
      <c r="O633">
        <f>TEXT(B633,"YYYY-MM")</f>
        <v/>
      </c>
    </row>
    <row r="634">
      <c r="A634" t="inlineStr">
        <is>
          <t>LD-300632</t>
        </is>
      </c>
      <c r="B634" t="inlineStr">
        <is>
          <t>2025-05-22 16:59:00</t>
        </is>
      </c>
      <c r="C634" t="inlineStr">
        <is>
          <t>Webinar</t>
        </is>
      </c>
      <c r="D634" t="inlineStr">
        <is>
          <t>Language Learning</t>
        </is>
      </c>
      <c r="E634" t="inlineStr">
        <is>
          <t>North Region</t>
        </is>
      </c>
      <c r="F634" t="inlineStr">
        <is>
          <t>Rep_11</t>
        </is>
      </c>
      <c r="G634" t="n">
        <v>14.14</v>
      </c>
      <c r="H634" t="inlineStr">
        <is>
          <t>Closed</t>
        </is>
      </c>
      <c r="I634" t="inlineStr">
        <is>
          <t>Won</t>
        </is>
      </c>
      <c r="K634" t="n">
        <v>347.48</v>
      </c>
      <c r="L634" t="inlineStr">
        <is>
          <t>2025-07-02 13:16:27.291159</t>
        </is>
      </c>
      <c r="M634">
        <f>VLOOKUP(H634,'Stage Order'!$A$2:$B$8,2,FALSE)</f>
        <v/>
      </c>
      <c r="N634">
        <f>IF(G634&lt;=1,"1. Under 1 hour",IF(G634&lt;=24,"2. 1-24 hours",IF(G634&lt;=72,"3. 1-3 days","4. Over 3 days")))</f>
        <v/>
      </c>
      <c r="O634">
        <f>TEXT(B634,"YYYY-MM")</f>
        <v/>
      </c>
    </row>
    <row r="635">
      <c r="A635" t="inlineStr">
        <is>
          <t>LD-300633</t>
        </is>
      </c>
      <c r="B635" t="inlineStr">
        <is>
          <t>2025-11-18 09:59:00</t>
        </is>
      </c>
      <c r="C635" t="inlineStr">
        <is>
          <t>Referral</t>
        </is>
      </c>
      <c r="D635" t="inlineStr">
        <is>
          <t>Study Abroad Prep</t>
        </is>
      </c>
      <c r="E635" t="inlineStr">
        <is>
          <t>East Region</t>
        </is>
      </c>
      <c r="F635" t="inlineStr">
        <is>
          <t>Rep_09</t>
        </is>
      </c>
      <c r="G635" t="n">
        <v>7.72</v>
      </c>
      <c r="H635" t="inlineStr">
        <is>
          <t>Lead</t>
        </is>
      </c>
      <c r="I635" t="inlineStr">
        <is>
          <t>Open</t>
        </is>
      </c>
      <c r="M635">
        <f>VLOOKUP(H635,'Stage Order'!$A$2:$B$8,2,FALSE)</f>
        <v/>
      </c>
      <c r="N635">
        <f>IF(G635&lt;=1,"1. Under 1 hour",IF(G635&lt;=24,"2. 1-24 hours",IF(G635&lt;=72,"3. 1-3 days","4. Over 3 days")))</f>
        <v/>
      </c>
      <c r="O635">
        <f>TEXT(B635,"YYYY-MM")</f>
        <v/>
      </c>
    </row>
    <row r="636">
      <c r="A636" t="inlineStr">
        <is>
          <t>LD-300634</t>
        </is>
      </c>
      <c r="B636" t="inlineStr">
        <is>
          <t>2025-05-16 16:52:00</t>
        </is>
      </c>
      <c r="C636" t="inlineStr">
        <is>
          <t>Organic Search</t>
        </is>
      </c>
      <c r="D636" t="inlineStr">
        <is>
          <t>Coding for Kids</t>
        </is>
      </c>
      <c r="E636" t="inlineStr">
        <is>
          <t>South Region</t>
        </is>
      </c>
      <c r="F636" t="inlineStr">
        <is>
          <t>Rep_02</t>
        </is>
      </c>
      <c r="G636" t="n">
        <v>1.32</v>
      </c>
      <c r="H636" t="inlineStr">
        <is>
          <t>Contacted</t>
        </is>
      </c>
      <c r="I636" t="inlineStr">
        <is>
          <t>Open</t>
        </is>
      </c>
      <c r="M636">
        <f>VLOOKUP(H636,'Stage Order'!$A$2:$B$8,2,FALSE)</f>
        <v/>
      </c>
      <c r="N636">
        <f>IF(G636&lt;=1,"1. Under 1 hour",IF(G636&lt;=24,"2. 1-24 hours",IF(G636&lt;=72,"3. 1-3 days","4. Over 3 days")))</f>
        <v/>
      </c>
      <c r="O636">
        <f>TEXT(B636,"YYYY-MM")</f>
        <v/>
      </c>
    </row>
    <row r="637">
      <c r="A637" t="inlineStr">
        <is>
          <t>LD-300635</t>
        </is>
      </c>
      <c r="B637" t="inlineStr">
        <is>
          <t>2026-03-06 07:00:00</t>
        </is>
      </c>
      <c r="C637" t="inlineStr">
        <is>
          <t>Organic Search</t>
        </is>
      </c>
      <c r="D637" t="inlineStr">
        <is>
          <t>Competitive Exam Prep</t>
        </is>
      </c>
      <c r="E637" t="inlineStr">
        <is>
          <t>South Region</t>
        </is>
      </c>
      <c r="F637" t="inlineStr">
        <is>
          <t>Rep_07</t>
        </is>
      </c>
      <c r="G637" t="n">
        <v>2.01</v>
      </c>
      <c r="H637" t="inlineStr">
        <is>
          <t>Contacted</t>
        </is>
      </c>
      <c r="I637" t="inlineStr">
        <is>
          <t>Open</t>
        </is>
      </c>
      <c r="M637">
        <f>VLOOKUP(H637,'Stage Order'!$A$2:$B$8,2,FALSE)</f>
        <v/>
      </c>
      <c r="N637">
        <f>IF(G637&lt;=1,"1. Under 1 hour",IF(G637&lt;=24,"2. 1-24 hours",IF(G637&lt;=72,"3. 1-3 days","4. Over 3 days")))</f>
        <v/>
      </c>
      <c r="O637">
        <f>TEXT(B637,"YYYY-MM")</f>
        <v/>
      </c>
    </row>
    <row r="638">
      <c r="A638" t="inlineStr">
        <is>
          <t>LD-300636</t>
        </is>
      </c>
      <c r="B638" t="inlineStr">
        <is>
          <t>2026-05-13 15:03:00</t>
        </is>
      </c>
      <c r="C638" t="inlineStr">
        <is>
          <t>Organic Search</t>
        </is>
      </c>
      <c r="D638" t="inlineStr">
        <is>
          <t>Language Learning</t>
        </is>
      </c>
      <c r="E638" t="inlineStr">
        <is>
          <t>North Region</t>
        </is>
      </c>
      <c r="F638" t="inlineStr">
        <is>
          <t>Rep_06</t>
        </is>
      </c>
      <c r="G638" t="n">
        <v>3.92</v>
      </c>
      <c r="H638" t="inlineStr">
        <is>
          <t>Demo Completed</t>
        </is>
      </c>
      <c r="I638" t="inlineStr">
        <is>
          <t>Lost</t>
        </is>
      </c>
      <c r="J638" t="inlineStr">
        <is>
          <t>Price Objection</t>
        </is>
      </c>
      <c r="K638" t="n">
        <v>313.21</v>
      </c>
      <c r="L638" t="inlineStr">
        <is>
          <t>2026-06-14 23:48:22.832665</t>
        </is>
      </c>
      <c r="M638">
        <f>VLOOKUP(H638,'Stage Order'!$A$2:$B$8,2,FALSE)</f>
        <v/>
      </c>
      <c r="N638">
        <f>IF(G638&lt;=1,"1. Under 1 hour",IF(G638&lt;=24,"2. 1-24 hours",IF(G638&lt;=72,"3. 1-3 days","4. Over 3 days")))</f>
        <v/>
      </c>
      <c r="O638">
        <f>TEXT(B638,"YYYY-MM")</f>
        <v/>
      </c>
    </row>
    <row r="639">
      <c r="A639" t="inlineStr">
        <is>
          <t>LD-300637</t>
        </is>
      </c>
      <c r="B639" t="inlineStr">
        <is>
          <t>2026-03-17 16:39:00</t>
        </is>
      </c>
      <c r="C639" t="inlineStr">
        <is>
          <t>Organic Search</t>
        </is>
      </c>
      <c r="D639" t="inlineStr">
        <is>
          <t>Competitive Exam Prep</t>
        </is>
      </c>
      <c r="E639" t="inlineStr">
        <is>
          <t>International</t>
        </is>
      </c>
      <c r="F639" t="inlineStr">
        <is>
          <t>Rep_05</t>
        </is>
      </c>
      <c r="G639" t="n">
        <v>5.86</v>
      </c>
      <c r="H639" t="inlineStr">
        <is>
          <t>Demo Scheduled</t>
        </is>
      </c>
      <c r="I639" t="inlineStr">
        <is>
          <t>Open</t>
        </is>
      </c>
      <c r="M639">
        <f>VLOOKUP(H639,'Stage Order'!$A$2:$B$8,2,FALSE)</f>
        <v/>
      </c>
      <c r="N639">
        <f>IF(G639&lt;=1,"1. Under 1 hour",IF(G639&lt;=24,"2. 1-24 hours",IF(G639&lt;=72,"3. 1-3 days","4. Over 3 days")))</f>
        <v/>
      </c>
      <c r="O639">
        <f>TEXT(B639,"YYYY-MM")</f>
        <v/>
      </c>
    </row>
    <row r="640">
      <c r="A640" t="inlineStr">
        <is>
          <t>LD-300638</t>
        </is>
      </c>
      <c r="B640" t="inlineStr">
        <is>
          <t>2026-06-26 07:08:00</t>
        </is>
      </c>
      <c r="C640" t="inlineStr">
        <is>
          <t>Partner Channel</t>
        </is>
      </c>
      <c r="D640" t="inlineStr">
        <is>
          <t>K-12 Math</t>
        </is>
      </c>
      <c r="E640" t="inlineStr">
        <is>
          <t>East Region</t>
        </is>
      </c>
      <c r="F640" t="inlineStr">
        <is>
          <t>Rep_14</t>
        </is>
      </c>
      <c r="G640" t="n">
        <v>4.66</v>
      </c>
      <c r="H640" t="inlineStr">
        <is>
          <t>Negotiation</t>
        </is>
      </c>
      <c r="I640" t="inlineStr">
        <is>
          <t>Lost</t>
        </is>
      </c>
      <c r="J640" t="inlineStr">
        <is>
          <t>No Response / Ghosted</t>
        </is>
      </c>
      <c r="K640" t="n">
        <v>579.67</v>
      </c>
      <c r="L640" t="inlineStr">
        <is>
          <t>2026-08-07 12:52:26.170309</t>
        </is>
      </c>
      <c r="M640">
        <f>VLOOKUP(H640,'Stage Order'!$A$2:$B$8,2,FALSE)</f>
        <v/>
      </c>
      <c r="N640">
        <f>IF(G640&lt;=1,"1. Under 1 hour",IF(G640&lt;=24,"2. 1-24 hours",IF(G640&lt;=72,"3. 1-3 days","4. Over 3 days")))</f>
        <v/>
      </c>
      <c r="O640">
        <f>TEXT(B640,"YYYY-MM")</f>
        <v/>
      </c>
    </row>
    <row r="641">
      <c r="A641" t="inlineStr">
        <is>
          <t>LD-300639</t>
        </is>
      </c>
      <c r="B641" t="inlineStr">
        <is>
          <t>2025-03-27 14:03:00</t>
        </is>
      </c>
      <c r="C641" t="inlineStr">
        <is>
          <t>Organic Search</t>
        </is>
      </c>
      <c r="D641" t="inlineStr">
        <is>
          <t>Language Learning</t>
        </is>
      </c>
      <c r="E641" t="inlineStr">
        <is>
          <t>West Region</t>
        </is>
      </c>
      <c r="F641" t="inlineStr">
        <is>
          <t>Rep_03</t>
        </is>
      </c>
      <c r="G641" t="n">
        <v>2.07</v>
      </c>
      <c r="H641" t="inlineStr">
        <is>
          <t>Contacted</t>
        </is>
      </c>
      <c r="I641" t="inlineStr">
        <is>
          <t>Open</t>
        </is>
      </c>
      <c r="M641">
        <f>VLOOKUP(H641,'Stage Order'!$A$2:$B$8,2,FALSE)</f>
        <v/>
      </c>
      <c r="N641">
        <f>IF(G641&lt;=1,"1. Under 1 hour",IF(G641&lt;=24,"2. 1-24 hours",IF(G641&lt;=72,"3. 1-3 days","4. Over 3 days")))</f>
        <v/>
      </c>
      <c r="O641">
        <f>TEXT(B641,"YYYY-MM")</f>
        <v/>
      </c>
    </row>
    <row r="642">
      <c r="A642" t="inlineStr">
        <is>
          <t>LD-300640</t>
        </is>
      </c>
      <c r="B642" t="inlineStr">
        <is>
          <t>2025-02-10 11:23:00</t>
        </is>
      </c>
      <c r="C642" t="inlineStr">
        <is>
          <t>Paid Search</t>
        </is>
      </c>
      <c r="D642" t="inlineStr">
        <is>
          <t>K-12 Math</t>
        </is>
      </c>
      <c r="E642" t="inlineStr">
        <is>
          <t>North Region</t>
        </is>
      </c>
      <c r="F642" t="inlineStr">
        <is>
          <t>Rep_11</t>
        </is>
      </c>
      <c r="G642" t="n">
        <v>5.35</v>
      </c>
      <c r="H642" t="inlineStr">
        <is>
          <t>Proposal Sent</t>
        </is>
      </c>
      <c r="I642" t="inlineStr">
        <is>
          <t>Lost</t>
        </is>
      </c>
      <c r="J642" t="inlineStr">
        <is>
          <t>Bad Timing</t>
        </is>
      </c>
      <c r="K642" t="n">
        <v>562.66</v>
      </c>
      <c r="L642" t="inlineStr">
        <is>
          <t>2025-03-12 13:28:27.674292</t>
        </is>
      </c>
      <c r="M642">
        <f>VLOOKUP(H642,'Stage Order'!$A$2:$B$8,2,FALSE)</f>
        <v/>
      </c>
      <c r="N642">
        <f>IF(G642&lt;=1,"1. Under 1 hour",IF(G642&lt;=24,"2. 1-24 hours",IF(G642&lt;=72,"3. 1-3 days","4. Over 3 days")))</f>
        <v/>
      </c>
      <c r="O642">
        <f>TEXT(B642,"YYYY-MM")</f>
        <v/>
      </c>
    </row>
    <row r="643">
      <c r="A643" t="inlineStr">
        <is>
          <t>LD-300641</t>
        </is>
      </c>
      <c r="B643" t="inlineStr">
        <is>
          <t>2026-02-17 19:49:00</t>
        </is>
      </c>
      <c r="C643" t="inlineStr">
        <is>
          <t>Paid Search</t>
        </is>
      </c>
      <c r="D643" t="inlineStr">
        <is>
          <t>K-12 Math</t>
        </is>
      </c>
      <c r="E643" t="inlineStr">
        <is>
          <t>North Region</t>
        </is>
      </c>
      <c r="F643" t="inlineStr">
        <is>
          <t>Rep_06</t>
        </is>
      </c>
      <c r="G643" t="n">
        <v>3.29</v>
      </c>
      <c r="H643" t="inlineStr">
        <is>
          <t>Contacted</t>
        </is>
      </c>
      <c r="I643" t="inlineStr">
        <is>
          <t>Open</t>
        </is>
      </c>
      <c r="M643">
        <f>VLOOKUP(H643,'Stage Order'!$A$2:$B$8,2,FALSE)</f>
        <v/>
      </c>
      <c r="N643">
        <f>IF(G643&lt;=1,"1. Under 1 hour",IF(G643&lt;=24,"2. 1-24 hours",IF(G643&lt;=72,"3. 1-3 days","4. Over 3 days")))</f>
        <v/>
      </c>
      <c r="O643">
        <f>TEXT(B643,"YYYY-MM")</f>
        <v/>
      </c>
    </row>
    <row r="644">
      <c r="A644" t="inlineStr">
        <is>
          <t>LD-300642</t>
        </is>
      </c>
      <c r="B644" t="inlineStr">
        <is>
          <t>2026-03-19 11:23:00</t>
        </is>
      </c>
      <c r="C644" t="inlineStr">
        <is>
          <t>Organic Search</t>
        </is>
      </c>
      <c r="D644" t="inlineStr">
        <is>
          <t>Study Abroad Prep</t>
        </is>
      </c>
      <c r="E644" t="inlineStr">
        <is>
          <t>South Region</t>
        </is>
      </c>
      <c r="F644" t="inlineStr">
        <is>
          <t>Rep_07</t>
        </is>
      </c>
      <c r="G644" t="n">
        <v>1.11</v>
      </c>
      <c r="H644" t="inlineStr">
        <is>
          <t>Contacted</t>
        </is>
      </c>
      <c r="I644" t="inlineStr">
        <is>
          <t>Open</t>
        </is>
      </c>
      <c r="M644">
        <f>VLOOKUP(H644,'Stage Order'!$A$2:$B$8,2,FALSE)</f>
        <v/>
      </c>
      <c r="N644">
        <f>IF(G644&lt;=1,"1. Under 1 hour",IF(G644&lt;=24,"2. 1-24 hours",IF(G644&lt;=72,"3. 1-3 days","4. Over 3 days")))</f>
        <v/>
      </c>
      <c r="O644">
        <f>TEXT(B644,"YYYY-MM")</f>
        <v/>
      </c>
    </row>
    <row r="645">
      <c r="A645" t="inlineStr">
        <is>
          <t>LD-300643</t>
        </is>
      </c>
      <c r="B645" t="inlineStr">
        <is>
          <t>2025-11-28 12:31:00</t>
        </is>
      </c>
      <c r="C645" t="inlineStr">
        <is>
          <t>Social Media</t>
        </is>
      </c>
      <c r="D645" t="inlineStr">
        <is>
          <t>Language Learning</t>
        </is>
      </c>
      <c r="E645" t="inlineStr">
        <is>
          <t>South Region</t>
        </is>
      </c>
      <c r="F645" t="inlineStr">
        <is>
          <t>Rep_02</t>
        </is>
      </c>
      <c r="G645" t="n">
        <v>1.02</v>
      </c>
      <c r="H645" t="inlineStr">
        <is>
          <t>Demo Completed</t>
        </is>
      </c>
      <c r="I645" t="inlineStr">
        <is>
          <t>Lost</t>
        </is>
      </c>
      <c r="J645" t="inlineStr">
        <is>
          <t>Price Objection</t>
        </is>
      </c>
      <c r="K645" t="n">
        <v>330.68</v>
      </c>
      <c r="L645" t="inlineStr">
        <is>
          <t>2026-01-01 21:41:39.890870</t>
        </is>
      </c>
      <c r="M645">
        <f>VLOOKUP(H645,'Stage Order'!$A$2:$B$8,2,FALSE)</f>
        <v/>
      </c>
      <c r="N645">
        <f>IF(G645&lt;=1,"1. Under 1 hour",IF(G645&lt;=24,"2. 1-24 hours",IF(G645&lt;=72,"3. 1-3 days","4. Over 3 days")))</f>
        <v/>
      </c>
      <c r="O645">
        <f>TEXT(B645,"YYYY-MM")</f>
        <v/>
      </c>
    </row>
    <row r="646">
      <c r="A646" t="inlineStr">
        <is>
          <t>LD-300644</t>
        </is>
      </c>
      <c r="B646" t="inlineStr">
        <is>
          <t>2025-04-25 20:38:00</t>
        </is>
      </c>
      <c r="C646" t="inlineStr">
        <is>
          <t>Organic Search</t>
        </is>
      </c>
      <c r="D646" t="inlineStr">
        <is>
          <t>K-12 Math</t>
        </is>
      </c>
      <c r="E646" t="inlineStr">
        <is>
          <t>North Region</t>
        </is>
      </c>
      <c r="F646" t="inlineStr">
        <is>
          <t>Rep_11</t>
        </is>
      </c>
      <c r="G646" t="n">
        <v>1.74</v>
      </c>
      <c r="H646" t="inlineStr">
        <is>
          <t>Negotiation</t>
        </is>
      </c>
      <c r="I646" t="inlineStr">
        <is>
          <t>Lost</t>
        </is>
      </c>
      <c r="J646" t="inlineStr">
        <is>
          <t>Price Objection</t>
        </is>
      </c>
      <c r="K646" t="n">
        <v>449.19</v>
      </c>
      <c r="L646" t="inlineStr">
        <is>
          <t>2025-06-16 00:26:31.157656</t>
        </is>
      </c>
      <c r="M646">
        <f>VLOOKUP(H646,'Stage Order'!$A$2:$B$8,2,FALSE)</f>
        <v/>
      </c>
      <c r="N646">
        <f>IF(G646&lt;=1,"1. Under 1 hour",IF(G646&lt;=24,"2. 1-24 hours",IF(G646&lt;=72,"3. 1-3 days","4. Over 3 days")))</f>
        <v/>
      </c>
      <c r="O646">
        <f>TEXT(B646,"YYYY-MM")</f>
        <v/>
      </c>
    </row>
    <row r="647">
      <c r="A647" t="inlineStr">
        <is>
          <t>LD-300645</t>
        </is>
      </c>
      <c r="B647" t="inlineStr">
        <is>
          <t>2026-03-22 09:07:00</t>
        </is>
      </c>
      <c r="C647" t="inlineStr">
        <is>
          <t>Partner Channel</t>
        </is>
      </c>
      <c r="D647" t="inlineStr">
        <is>
          <t>Competitive Exam Prep</t>
        </is>
      </c>
      <c r="E647" t="inlineStr">
        <is>
          <t>East Region</t>
        </is>
      </c>
      <c r="F647" t="inlineStr">
        <is>
          <t>Rep_09</t>
        </is>
      </c>
      <c r="G647" t="n">
        <v>3.62</v>
      </c>
      <c r="H647" t="inlineStr">
        <is>
          <t>Lead</t>
        </is>
      </c>
      <c r="I647" t="inlineStr">
        <is>
          <t>Open</t>
        </is>
      </c>
      <c r="M647">
        <f>VLOOKUP(H647,'Stage Order'!$A$2:$B$8,2,FALSE)</f>
        <v/>
      </c>
      <c r="N647">
        <f>IF(G647&lt;=1,"1. Under 1 hour",IF(G647&lt;=24,"2. 1-24 hours",IF(G647&lt;=72,"3. 1-3 days","4. Over 3 days")))</f>
        <v/>
      </c>
      <c r="O647">
        <f>TEXT(B647,"YYYY-MM")</f>
        <v/>
      </c>
    </row>
    <row r="648">
      <c r="A648" t="inlineStr">
        <is>
          <t>LD-300646</t>
        </is>
      </c>
      <c r="B648" t="inlineStr">
        <is>
          <t>2025-07-29 12:22:00</t>
        </is>
      </c>
      <c r="C648" t="inlineStr">
        <is>
          <t>Organic Search</t>
        </is>
      </c>
      <c r="D648" t="inlineStr">
        <is>
          <t>Competitive Exam Prep</t>
        </is>
      </c>
      <c r="E648" t="inlineStr">
        <is>
          <t>South Region</t>
        </is>
      </c>
      <c r="F648" t="inlineStr">
        <is>
          <t>Rep_07</t>
        </is>
      </c>
      <c r="G648" t="n">
        <v>0.85</v>
      </c>
      <c r="H648" t="inlineStr">
        <is>
          <t>Closed</t>
        </is>
      </c>
      <c r="I648" t="inlineStr">
        <is>
          <t>Won</t>
        </is>
      </c>
      <c r="K648" t="n">
        <v>1069.7</v>
      </c>
      <c r="L648" t="inlineStr">
        <is>
          <t>2025-09-07 18:49:18.085448</t>
        </is>
      </c>
      <c r="M648">
        <f>VLOOKUP(H648,'Stage Order'!$A$2:$B$8,2,FALSE)</f>
        <v/>
      </c>
      <c r="N648">
        <f>IF(G648&lt;=1,"1. Under 1 hour",IF(G648&lt;=24,"2. 1-24 hours",IF(G648&lt;=72,"3. 1-3 days","4. Over 3 days")))</f>
        <v/>
      </c>
      <c r="O648">
        <f>TEXT(B648,"YYYY-MM")</f>
        <v/>
      </c>
    </row>
    <row r="649">
      <c r="A649" t="inlineStr">
        <is>
          <t>LD-300647</t>
        </is>
      </c>
      <c r="B649" t="inlineStr">
        <is>
          <t>2025-05-04 20:06:00</t>
        </is>
      </c>
      <c r="C649" t="inlineStr">
        <is>
          <t>Organic Search</t>
        </is>
      </c>
      <c r="D649" t="inlineStr">
        <is>
          <t>Study Abroad Prep</t>
        </is>
      </c>
      <c r="E649" t="inlineStr">
        <is>
          <t>East Region</t>
        </is>
      </c>
      <c r="F649" t="inlineStr">
        <is>
          <t>Rep_14</t>
        </is>
      </c>
      <c r="G649" t="n">
        <v>5.01</v>
      </c>
      <c r="H649" t="inlineStr">
        <is>
          <t>Lead</t>
        </is>
      </c>
      <c r="I649" t="inlineStr">
        <is>
          <t>Open</t>
        </is>
      </c>
      <c r="M649">
        <f>VLOOKUP(H649,'Stage Order'!$A$2:$B$8,2,FALSE)</f>
        <v/>
      </c>
      <c r="N649">
        <f>IF(G649&lt;=1,"1. Under 1 hour",IF(G649&lt;=24,"2. 1-24 hours",IF(G649&lt;=72,"3. 1-3 days","4. Over 3 days")))</f>
        <v/>
      </c>
      <c r="O649">
        <f>TEXT(B649,"YYYY-MM")</f>
        <v/>
      </c>
    </row>
    <row r="650">
      <c r="A650" t="inlineStr">
        <is>
          <t>LD-300648</t>
        </is>
      </c>
      <c r="B650" t="inlineStr">
        <is>
          <t>2025-04-27 20:39:00</t>
        </is>
      </c>
      <c r="C650" t="inlineStr">
        <is>
          <t>Cold Outreach</t>
        </is>
      </c>
      <c r="D650" t="inlineStr">
        <is>
          <t>Language Learning</t>
        </is>
      </c>
      <c r="E650" t="inlineStr">
        <is>
          <t>East Region</t>
        </is>
      </c>
      <c r="F650" t="inlineStr">
        <is>
          <t>Rep_14</t>
        </is>
      </c>
      <c r="G650" t="n">
        <v>1.88</v>
      </c>
      <c r="H650" t="inlineStr">
        <is>
          <t>Contacted</t>
        </is>
      </c>
      <c r="I650" t="inlineStr">
        <is>
          <t>Open</t>
        </is>
      </c>
      <c r="M650">
        <f>VLOOKUP(H650,'Stage Order'!$A$2:$B$8,2,FALSE)</f>
        <v/>
      </c>
      <c r="N650">
        <f>IF(G650&lt;=1,"1. Under 1 hour",IF(G650&lt;=24,"2. 1-24 hours",IF(G650&lt;=72,"3. 1-3 days","4. Over 3 days")))</f>
        <v/>
      </c>
      <c r="O650">
        <f>TEXT(B650,"YYYY-MM")</f>
        <v/>
      </c>
    </row>
    <row r="651">
      <c r="A651" t="inlineStr">
        <is>
          <t>LD-300649</t>
        </is>
      </c>
      <c r="B651" t="inlineStr">
        <is>
          <t>2025-01-21 07:26:00</t>
        </is>
      </c>
      <c r="C651" t="inlineStr">
        <is>
          <t>Partner Channel</t>
        </is>
      </c>
      <c r="D651" t="inlineStr">
        <is>
          <t>Study Abroad Prep</t>
        </is>
      </c>
      <c r="E651" t="inlineStr">
        <is>
          <t>North Region</t>
        </is>
      </c>
      <c r="F651" t="inlineStr">
        <is>
          <t>Rep_06</t>
        </is>
      </c>
      <c r="G651" t="n">
        <v>7.26</v>
      </c>
      <c r="H651" t="inlineStr">
        <is>
          <t>Demo Completed</t>
        </is>
      </c>
      <c r="I651" t="inlineStr">
        <is>
          <t>Lost</t>
        </is>
      </c>
      <c r="J651" t="inlineStr">
        <is>
          <t>Price Objection</t>
        </is>
      </c>
      <c r="K651" t="n">
        <v>1721.73</v>
      </c>
      <c r="L651" t="inlineStr">
        <is>
          <t>2025-02-19 05:56:17.315317</t>
        </is>
      </c>
      <c r="M651">
        <f>VLOOKUP(H651,'Stage Order'!$A$2:$B$8,2,FALSE)</f>
        <v/>
      </c>
      <c r="N651">
        <f>IF(G651&lt;=1,"1. Under 1 hour",IF(G651&lt;=24,"2. 1-24 hours",IF(G651&lt;=72,"3. 1-3 days","4. Over 3 days")))</f>
        <v/>
      </c>
      <c r="O651">
        <f>TEXT(B651,"YYYY-MM")</f>
        <v/>
      </c>
    </row>
    <row r="652">
      <c r="A652" t="inlineStr">
        <is>
          <t>LD-300650</t>
        </is>
      </c>
      <c r="B652" t="inlineStr">
        <is>
          <t>2026-03-12 13:07:00</t>
        </is>
      </c>
      <c r="C652" t="inlineStr">
        <is>
          <t>Partner Channel</t>
        </is>
      </c>
      <c r="D652" t="inlineStr">
        <is>
          <t>Competitive Exam Prep</t>
        </is>
      </c>
      <c r="E652" t="inlineStr">
        <is>
          <t>East Region</t>
        </is>
      </c>
      <c r="F652" t="inlineStr">
        <is>
          <t>Rep_09</t>
        </is>
      </c>
      <c r="G652" t="n">
        <v>21.43</v>
      </c>
      <c r="H652" t="inlineStr">
        <is>
          <t>Contacted</t>
        </is>
      </c>
      <c r="I652" t="inlineStr">
        <is>
          <t>Open</t>
        </is>
      </c>
      <c r="M652">
        <f>VLOOKUP(H652,'Stage Order'!$A$2:$B$8,2,FALSE)</f>
        <v/>
      </c>
      <c r="N652">
        <f>IF(G652&lt;=1,"1. Under 1 hour",IF(G652&lt;=24,"2. 1-24 hours",IF(G652&lt;=72,"3. 1-3 days","4. Over 3 days")))</f>
        <v/>
      </c>
      <c r="O652">
        <f>TEXT(B652,"YYYY-MM")</f>
        <v/>
      </c>
    </row>
    <row r="653">
      <c r="A653" t="inlineStr">
        <is>
          <t>LD-300651</t>
        </is>
      </c>
      <c r="B653" t="inlineStr">
        <is>
          <t>2026-02-21 07:44:00</t>
        </is>
      </c>
      <c r="C653" t="inlineStr">
        <is>
          <t>Webinar</t>
        </is>
      </c>
      <c r="D653" t="inlineStr">
        <is>
          <t>Language Learning</t>
        </is>
      </c>
      <c r="E653" t="inlineStr">
        <is>
          <t>West Region</t>
        </is>
      </c>
      <c r="F653" t="inlineStr">
        <is>
          <t>Rep_13</t>
        </is>
      </c>
      <c r="G653" t="n">
        <v>7.31</v>
      </c>
      <c r="H653" t="inlineStr">
        <is>
          <t>Contacted</t>
        </is>
      </c>
      <c r="I653" t="inlineStr">
        <is>
          <t>Open</t>
        </is>
      </c>
      <c r="M653">
        <f>VLOOKUP(H653,'Stage Order'!$A$2:$B$8,2,FALSE)</f>
        <v/>
      </c>
      <c r="N653">
        <f>IF(G653&lt;=1,"1. Under 1 hour",IF(G653&lt;=24,"2. 1-24 hours",IF(G653&lt;=72,"3. 1-3 days","4. Over 3 days")))</f>
        <v/>
      </c>
      <c r="O653">
        <f>TEXT(B653,"YYYY-MM")</f>
        <v/>
      </c>
    </row>
    <row r="654">
      <c r="A654" t="inlineStr">
        <is>
          <t>LD-300652</t>
        </is>
      </c>
      <c r="B654" t="inlineStr">
        <is>
          <t>2025-04-10 13:33:00</t>
        </is>
      </c>
      <c r="C654" t="inlineStr">
        <is>
          <t>Paid Search</t>
        </is>
      </c>
      <c r="D654" t="inlineStr">
        <is>
          <t>Competitive Exam Prep</t>
        </is>
      </c>
      <c r="E654" t="inlineStr">
        <is>
          <t>South Region</t>
        </is>
      </c>
      <c r="F654" t="inlineStr">
        <is>
          <t>Rep_02</t>
        </is>
      </c>
      <c r="G654" t="n">
        <v>2.73</v>
      </c>
      <c r="H654" t="inlineStr">
        <is>
          <t>Contacted</t>
        </is>
      </c>
      <c r="I654" t="inlineStr">
        <is>
          <t>Open</t>
        </is>
      </c>
      <c r="M654">
        <f>VLOOKUP(H654,'Stage Order'!$A$2:$B$8,2,FALSE)</f>
        <v/>
      </c>
      <c r="N654">
        <f>IF(G654&lt;=1,"1. Under 1 hour",IF(G654&lt;=24,"2. 1-24 hours",IF(G654&lt;=72,"3. 1-3 days","4. Over 3 days")))</f>
        <v/>
      </c>
      <c r="O654">
        <f>TEXT(B654,"YYYY-MM")</f>
        <v/>
      </c>
    </row>
    <row r="655">
      <c r="A655" t="inlineStr">
        <is>
          <t>LD-300653</t>
        </is>
      </c>
      <c r="B655" t="inlineStr">
        <is>
          <t>2026-05-16 12:00:00</t>
        </is>
      </c>
      <c r="C655" t="inlineStr">
        <is>
          <t>Organic Search</t>
        </is>
      </c>
      <c r="D655" t="inlineStr">
        <is>
          <t>Coding for Kids</t>
        </is>
      </c>
      <c r="E655" t="inlineStr">
        <is>
          <t>West Region</t>
        </is>
      </c>
      <c r="F655" t="inlineStr">
        <is>
          <t>Rep_08</t>
        </is>
      </c>
      <c r="G655" t="n">
        <v>4.32</v>
      </c>
      <c r="H655" t="inlineStr">
        <is>
          <t>Closed</t>
        </is>
      </c>
      <c r="I655" t="inlineStr">
        <is>
          <t>Won</t>
        </is>
      </c>
      <c r="K655" t="n">
        <v>581.33</v>
      </c>
      <c r="L655" t="inlineStr">
        <is>
          <t>2026-06-29 04:25:04.098707</t>
        </is>
      </c>
      <c r="M655">
        <f>VLOOKUP(H655,'Stage Order'!$A$2:$B$8,2,FALSE)</f>
        <v/>
      </c>
      <c r="N655">
        <f>IF(G655&lt;=1,"1. Under 1 hour",IF(G655&lt;=24,"2. 1-24 hours",IF(G655&lt;=72,"3. 1-3 days","4. Over 3 days")))</f>
        <v/>
      </c>
      <c r="O655">
        <f>TEXT(B655,"YYYY-MM")</f>
        <v/>
      </c>
    </row>
    <row r="656">
      <c r="A656" t="inlineStr">
        <is>
          <t>LD-300654</t>
        </is>
      </c>
      <c r="B656" t="inlineStr">
        <is>
          <t>2026-05-02 08:06:00</t>
        </is>
      </c>
      <c r="C656" t="inlineStr">
        <is>
          <t>Organic Search</t>
        </is>
      </c>
      <c r="D656" t="inlineStr">
        <is>
          <t>Language Learning</t>
        </is>
      </c>
      <c r="E656" t="inlineStr">
        <is>
          <t>East Region</t>
        </is>
      </c>
      <c r="F656" t="inlineStr">
        <is>
          <t>Rep_14</t>
        </is>
      </c>
      <c r="G656" t="n">
        <v>6.31</v>
      </c>
      <c r="H656" t="inlineStr">
        <is>
          <t>Lead</t>
        </is>
      </c>
      <c r="I656" t="inlineStr">
        <is>
          <t>Open</t>
        </is>
      </c>
      <c r="M656">
        <f>VLOOKUP(H656,'Stage Order'!$A$2:$B$8,2,FALSE)</f>
        <v/>
      </c>
      <c r="N656">
        <f>IF(G656&lt;=1,"1. Under 1 hour",IF(G656&lt;=24,"2. 1-24 hours",IF(G656&lt;=72,"3. 1-3 days","4. Over 3 days")))</f>
        <v/>
      </c>
      <c r="O656">
        <f>TEXT(B656,"YYYY-MM")</f>
        <v/>
      </c>
    </row>
    <row r="657">
      <c r="A657" t="inlineStr">
        <is>
          <t>LD-300655</t>
        </is>
      </c>
      <c r="B657" t="inlineStr">
        <is>
          <t>2025-06-06 12:38:00</t>
        </is>
      </c>
      <c r="C657" t="inlineStr">
        <is>
          <t>Organic Search</t>
        </is>
      </c>
      <c r="D657" t="inlineStr">
        <is>
          <t>Coding for Kids</t>
        </is>
      </c>
      <c r="E657" t="inlineStr">
        <is>
          <t>West Region</t>
        </is>
      </c>
      <c r="F657" t="inlineStr">
        <is>
          <t>Rep_08</t>
        </is>
      </c>
      <c r="G657" t="n">
        <v>3.16</v>
      </c>
      <c r="H657" t="inlineStr">
        <is>
          <t>Closed</t>
        </is>
      </c>
      <c r="I657" t="inlineStr">
        <is>
          <t>Won</t>
        </is>
      </c>
      <c r="K657" t="n">
        <v>589.26</v>
      </c>
      <c r="L657" t="inlineStr">
        <is>
          <t>2025-07-09 23:53:18.393234</t>
        </is>
      </c>
      <c r="M657">
        <f>VLOOKUP(H657,'Stage Order'!$A$2:$B$8,2,FALSE)</f>
        <v/>
      </c>
      <c r="N657">
        <f>IF(G657&lt;=1,"1. Under 1 hour",IF(G657&lt;=24,"2. 1-24 hours",IF(G657&lt;=72,"3. 1-3 days","4. Over 3 days")))</f>
        <v/>
      </c>
      <c r="O657">
        <f>TEXT(B657,"YYYY-MM")</f>
        <v/>
      </c>
    </row>
    <row r="658">
      <c r="A658" t="inlineStr">
        <is>
          <t>LD-300656</t>
        </is>
      </c>
      <c r="B658" t="inlineStr">
        <is>
          <t>2026-03-17 12:13:00</t>
        </is>
      </c>
      <c r="C658" t="inlineStr">
        <is>
          <t>Social Media</t>
        </is>
      </c>
      <c r="D658" t="inlineStr">
        <is>
          <t>Language Learning</t>
        </is>
      </c>
      <c r="E658" t="inlineStr">
        <is>
          <t>North Region</t>
        </is>
      </c>
      <c r="F658" t="inlineStr">
        <is>
          <t>Rep_11</t>
        </is>
      </c>
      <c r="G658" t="n">
        <v>4.3</v>
      </c>
      <c r="H658" t="inlineStr">
        <is>
          <t>Demo Completed</t>
        </is>
      </c>
      <c r="I658" t="inlineStr">
        <is>
          <t>Lost</t>
        </is>
      </c>
      <c r="J658" t="inlineStr">
        <is>
          <t>Budget Not Approved</t>
        </is>
      </c>
      <c r="K658" t="n">
        <v>307.98</v>
      </c>
      <c r="L658" t="inlineStr">
        <is>
          <t>2026-04-14 05:32:11.181340</t>
        </is>
      </c>
      <c r="M658">
        <f>VLOOKUP(H658,'Stage Order'!$A$2:$B$8,2,FALSE)</f>
        <v/>
      </c>
      <c r="N658">
        <f>IF(G658&lt;=1,"1. Under 1 hour",IF(G658&lt;=24,"2. 1-24 hours",IF(G658&lt;=72,"3. 1-3 days","4. Over 3 days")))</f>
        <v/>
      </c>
      <c r="O658">
        <f>TEXT(B658,"YYYY-MM")</f>
        <v/>
      </c>
    </row>
    <row r="659">
      <c r="A659" t="inlineStr">
        <is>
          <t>LD-300657</t>
        </is>
      </c>
      <c r="B659" t="inlineStr">
        <is>
          <t>2025-06-13 16:07:00</t>
        </is>
      </c>
      <c r="C659" t="inlineStr">
        <is>
          <t>Referral</t>
        </is>
      </c>
      <c r="D659" t="inlineStr">
        <is>
          <t>Coding for Kids</t>
        </is>
      </c>
      <c r="E659" t="inlineStr">
        <is>
          <t>International</t>
        </is>
      </c>
      <c r="F659" t="inlineStr">
        <is>
          <t>Rep_10</t>
        </is>
      </c>
      <c r="G659" t="n">
        <v>2.83</v>
      </c>
      <c r="H659" t="inlineStr">
        <is>
          <t>Demo Completed</t>
        </is>
      </c>
      <c r="I659" t="inlineStr">
        <is>
          <t>Lost</t>
        </is>
      </c>
      <c r="J659" t="inlineStr">
        <is>
          <t>Price Objection</t>
        </is>
      </c>
      <c r="K659" t="n">
        <v>678.66</v>
      </c>
      <c r="L659" t="inlineStr">
        <is>
          <t>2025-07-22 15:34:49.789455</t>
        </is>
      </c>
      <c r="M659">
        <f>VLOOKUP(H659,'Stage Order'!$A$2:$B$8,2,FALSE)</f>
        <v/>
      </c>
      <c r="N659">
        <f>IF(G659&lt;=1,"1. Under 1 hour",IF(G659&lt;=24,"2. 1-24 hours",IF(G659&lt;=72,"3. 1-3 days","4. Over 3 days")))</f>
        <v/>
      </c>
      <c r="O659">
        <f>TEXT(B659,"YYYY-MM")</f>
        <v/>
      </c>
    </row>
    <row r="660">
      <c r="A660" t="inlineStr">
        <is>
          <t>LD-300658</t>
        </is>
      </c>
      <c r="B660" t="inlineStr">
        <is>
          <t>2025-03-17 17:44:00</t>
        </is>
      </c>
      <c r="C660" t="inlineStr">
        <is>
          <t>Cold Outreach</t>
        </is>
      </c>
      <c r="D660" t="inlineStr">
        <is>
          <t>Language Learning</t>
        </is>
      </c>
      <c r="E660" t="inlineStr">
        <is>
          <t>West Region</t>
        </is>
      </c>
      <c r="F660" t="inlineStr">
        <is>
          <t>Rep_13</t>
        </is>
      </c>
      <c r="G660" t="n">
        <v>10.99</v>
      </c>
      <c r="H660" t="inlineStr">
        <is>
          <t>Contacted</t>
        </is>
      </c>
      <c r="I660" t="inlineStr">
        <is>
          <t>Open</t>
        </is>
      </c>
      <c r="M660">
        <f>VLOOKUP(H660,'Stage Order'!$A$2:$B$8,2,FALSE)</f>
        <v/>
      </c>
      <c r="N660">
        <f>IF(G660&lt;=1,"1. Under 1 hour",IF(G660&lt;=24,"2. 1-24 hours",IF(G660&lt;=72,"3. 1-3 days","4. Over 3 days")))</f>
        <v/>
      </c>
      <c r="O660">
        <f>TEXT(B660,"YYYY-MM")</f>
        <v/>
      </c>
    </row>
    <row r="661">
      <c r="A661" t="inlineStr">
        <is>
          <t>LD-300659</t>
        </is>
      </c>
      <c r="B661" t="inlineStr">
        <is>
          <t>2026-05-19 13:53:00</t>
        </is>
      </c>
      <c r="C661" t="inlineStr">
        <is>
          <t>Paid Search</t>
        </is>
      </c>
      <c r="D661" t="inlineStr">
        <is>
          <t>Competitive Exam Prep</t>
        </is>
      </c>
      <c r="E661" t="inlineStr">
        <is>
          <t>South Region</t>
        </is>
      </c>
      <c r="F661" t="inlineStr">
        <is>
          <t>Rep_07</t>
        </is>
      </c>
      <c r="G661" t="n">
        <v>4.76</v>
      </c>
      <c r="H661" t="inlineStr">
        <is>
          <t>Closed</t>
        </is>
      </c>
      <c r="I661" t="inlineStr">
        <is>
          <t>Won</t>
        </is>
      </c>
      <c r="K661" t="n">
        <v>1019.93</v>
      </c>
      <c r="L661" t="inlineStr">
        <is>
          <t>2026-06-22 10:40:10.239941</t>
        </is>
      </c>
      <c r="M661">
        <f>VLOOKUP(H661,'Stage Order'!$A$2:$B$8,2,FALSE)</f>
        <v/>
      </c>
      <c r="N661">
        <f>IF(G661&lt;=1,"1. Under 1 hour",IF(G661&lt;=24,"2. 1-24 hours",IF(G661&lt;=72,"3. 1-3 days","4. Over 3 days")))</f>
        <v/>
      </c>
      <c r="O661">
        <f>TEXT(B661,"YYYY-MM")</f>
        <v/>
      </c>
    </row>
    <row r="662">
      <c r="A662" t="inlineStr">
        <is>
          <t>LD-300660</t>
        </is>
      </c>
      <c r="B662" t="inlineStr">
        <is>
          <t>2025-12-31 07:06:00</t>
        </is>
      </c>
      <c r="C662" t="inlineStr">
        <is>
          <t>Organic Search</t>
        </is>
      </c>
      <c r="D662" t="inlineStr">
        <is>
          <t>Study Abroad Prep</t>
        </is>
      </c>
      <c r="E662" t="inlineStr">
        <is>
          <t>West Region</t>
        </is>
      </c>
      <c r="F662" t="inlineStr">
        <is>
          <t>Rep_13</t>
        </is>
      </c>
      <c r="G662" t="n">
        <v>2.25</v>
      </c>
      <c r="H662" t="inlineStr">
        <is>
          <t>Contacted</t>
        </is>
      </c>
      <c r="I662" t="inlineStr">
        <is>
          <t>Open</t>
        </is>
      </c>
      <c r="M662">
        <f>VLOOKUP(H662,'Stage Order'!$A$2:$B$8,2,FALSE)</f>
        <v/>
      </c>
      <c r="N662">
        <f>IF(G662&lt;=1,"1. Under 1 hour",IF(G662&lt;=24,"2. 1-24 hours",IF(G662&lt;=72,"3. 1-3 days","4. Over 3 days")))</f>
        <v/>
      </c>
      <c r="O662">
        <f>TEXT(B662,"YYYY-MM")</f>
        <v/>
      </c>
    </row>
    <row r="663">
      <c r="A663" t="inlineStr">
        <is>
          <t>LD-300661</t>
        </is>
      </c>
      <c r="B663" t="inlineStr">
        <is>
          <t>2025-01-10 12:34:00</t>
        </is>
      </c>
      <c r="C663" t="inlineStr">
        <is>
          <t>Organic Search</t>
        </is>
      </c>
      <c r="D663" t="inlineStr">
        <is>
          <t>Language Learning</t>
        </is>
      </c>
      <c r="E663" t="inlineStr">
        <is>
          <t>International</t>
        </is>
      </c>
      <c r="F663" t="inlineStr">
        <is>
          <t>Rep_05</t>
        </is>
      </c>
      <c r="G663" t="n">
        <v>4.68</v>
      </c>
      <c r="H663" t="inlineStr">
        <is>
          <t>Contacted</t>
        </is>
      </c>
      <c r="I663" t="inlineStr">
        <is>
          <t>Open</t>
        </is>
      </c>
      <c r="M663">
        <f>VLOOKUP(H663,'Stage Order'!$A$2:$B$8,2,FALSE)</f>
        <v/>
      </c>
      <c r="N663">
        <f>IF(G663&lt;=1,"1. Under 1 hour",IF(G663&lt;=24,"2. 1-24 hours",IF(G663&lt;=72,"3. 1-3 days","4. Over 3 days")))</f>
        <v/>
      </c>
      <c r="O663">
        <f>TEXT(B663,"YYYY-MM")</f>
        <v/>
      </c>
    </row>
    <row r="664">
      <c r="A664" t="inlineStr">
        <is>
          <t>LD-300662</t>
        </is>
      </c>
      <c r="B664" t="inlineStr">
        <is>
          <t>2025-02-10 13:37:00</t>
        </is>
      </c>
      <c r="C664" t="inlineStr">
        <is>
          <t>Paid Search</t>
        </is>
      </c>
      <c r="D664" t="inlineStr">
        <is>
          <t>Language Learning</t>
        </is>
      </c>
      <c r="E664" t="inlineStr">
        <is>
          <t>South Region</t>
        </is>
      </c>
      <c r="F664" t="inlineStr">
        <is>
          <t>Rep_07</t>
        </is>
      </c>
      <c r="G664" t="n">
        <v>2.73</v>
      </c>
      <c r="H664" t="inlineStr">
        <is>
          <t>Demo Completed</t>
        </is>
      </c>
      <c r="I664" t="inlineStr">
        <is>
          <t>Lost</t>
        </is>
      </c>
      <c r="J664" t="inlineStr">
        <is>
          <t>Price Objection</t>
        </is>
      </c>
      <c r="K664" t="n">
        <v>334.92</v>
      </c>
      <c r="L664" t="inlineStr">
        <is>
          <t>2025-03-15 00:00:12.032926</t>
        </is>
      </c>
      <c r="M664">
        <f>VLOOKUP(H664,'Stage Order'!$A$2:$B$8,2,FALSE)</f>
        <v/>
      </c>
      <c r="N664">
        <f>IF(G664&lt;=1,"1. Under 1 hour",IF(G664&lt;=24,"2. 1-24 hours",IF(G664&lt;=72,"3. 1-3 days","4. Over 3 days")))</f>
        <v/>
      </c>
      <c r="O664">
        <f>TEXT(B664,"YYYY-MM")</f>
        <v/>
      </c>
    </row>
    <row r="665">
      <c r="A665" t="inlineStr">
        <is>
          <t>LD-300663</t>
        </is>
      </c>
      <c r="B665" t="inlineStr">
        <is>
          <t>2026-01-25 15:43:00</t>
        </is>
      </c>
      <c r="C665" t="inlineStr">
        <is>
          <t>Cold Outreach</t>
        </is>
      </c>
      <c r="D665" t="inlineStr">
        <is>
          <t>K-12 Math</t>
        </is>
      </c>
      <c r="E665" t="inlineStr">
        <is>
          <t>West Region</t>
        </is>
      </c>
      <c r="F665" t="inlineStr">
        <is>
          <t>Rep_08</t>
        </is>
      </c>
      <c r="G665" t="n">
        <v>1.93</v>
      </c>
      <c r="H665" t="inlineStr">
        <is>
          <t>Lead</t>
        </is>
      </c>
      <c r="I665" t="inlineStr">
        <is>
          <t>Open</t>
        </is>
      </c>
      <c r="M665">
        <f>VLOOKUP(H665,'Stage Order'!$A$2:$B$8,2,FALSE)</f>
        <v/>
      </c>
      <c r="N665">
        <f>IF(G665&lt;=1,"1. Under 1 hour",IF(G665&lt;=24,"2. 1-24 hours",IF(G665&lt;=72,"3. 1-3 days","4. Over 3 days")))</f>
        <v/>
      </c>
      <c r="O665">
        <f>TEXT(B665,"YYYY-MM")</f>
        <v/>
      </c>
    </row>
    <row r="666">
      <c r="A666" t="inlineStr">
        <is>
          <t>LD-300664</t>
        </is>
      </c>
      <c r="B666" t="inlineStr">
        <is>
          <t>2025-07-07 14:57:00</t>
        </is>
      </c>
      <c r="C666" t="inlineStr">
        <is>
          <t>Organic Search</t>
        </is>
      </c>
      <c r="D666" t="inlineStr">
        <is>
          <t>Competitive Exam Prep</t>
        </is>
      </c>
      <c r="E666" t="inlineStr">
        <is>
          <t>South Region</t>
        </is>
      </c>
      <c r="F666" t="inlineStr">
        <is>
          <t>Rep_07</t>
        </is>
      </c>
      <c r="G666" t="n">
        <v>17.53</v>
      </c>
      <c r="H666" t="inlineStr">
        <is>
          <t>Closed</t>
        </is>
      </c>
      <c r="I666" t="inlineStr">
        <is>
          <t>Won</t>
        </is>
      </c>
      <c r="K666" t="n">
        <v>881.6</v>
      </c>
      <c r="L666" t="inlineStr">
        <is>
          <t>2025-09-04 17:06:47.907700</t>
        </is>
      </c>
      <c r="M666">
        <f>VLOOKUP(H666,'Stage Order'!$A$2:$B$8,2,FALSE)</f>
        <v/>
      </c>
      <c r="N666">
        <f>IF(G666&lt;=1,"1. Under 1 hour",IF(G666&lt;=24,"2. 1-24 hours",IF(G666&lt;=72,"3. 1-3 days","4. Over 3 days")))</f>
        <v/>
      </c>
      <c r="O666">
        <f>TEXT(B666,"YYYY-MM")</f>
        <v/>
      </c>
    </row>
    <row r="667">
      <c r="A667" t="inlineStr">
        <is>
          <t>LD-300665</t>
        </is>
      </c>
      <c r="B667" t="inlineStr">
        <is>
          <t>2025-10-16 19:09:00</t>
        </is>
      </c>
      <c r="C667" t="inlineStr">
        <is>
          <t>Cold Outreach</t>
        </is>
      </c>
      <c r="D667" t="inlineStr">
        <is>
          <t>Coding for Kids</t>
        </is>
      </c>
      <c r="E667" t="inlineStr">
        <is>
          <t>West Region</t>
        </is>
      </c>
      <c r="F667" t="inlineStr">
        <is>
          <t>Rep_03</t>
        </is>
      </c>
      <c r="G667" t="n">
        <v>2.78</v>
      </c>
      <c r="H667" t="inlineStr">
        <is>
          <t>Negotiation</t>
        </is>
      </c>
      <c r="I667" t="inlineStr">
        <is>
          <t>Lost</t>
        </is>
      </c>
      <c r="J667" t="inlineStr">
        <is>
          <t>Bad Timing</t>
        </is>
      </c>
      <c r="K667" t="n">
        <v>553.16</v>
      </c>
      <c r="L667" t="inlineStr">
        <is>
          <t>2025-11-22 00:16:22.380838</t>
        </is>
      </c>
      <c r="M667">
        <f>VLOOKUP(H667,'Stage Order'!$A$2:$B$8,2,FALSE)</f>
        <v/>
      </c>
      <c r="N667">
        <f>IF(G667&lt;=1,"1. Under 1 hour",IF(G667&lt;=24,"2. 1-24 hours",IF(G667&lt;=72,"3. 1-3 days","4. Over 3 days")))</f>
        <v/>
      </c>
      <c r="O667">
        <f>TEXT(B667,"YYYY-MM")</f>
        <v/>
      </c>
    </row>
    <row r="668">
      <c r="A668" t="inlineStr">
        <is>
          <t>LD-300666</t>
        </is>
      </c>
      <c r="B668" t="inlineStr">
        <is>
          <t>2025-03-21 16:01:00</t>
        </is>
      </c>
      <c r="C668" t="inlineStr">
        <is>
          <t>Partner Channel</t>
        </is>
      </c>
      <c r="D668" t="inlineStr">
        <is>
          <t>Coding for Kids</t>
        </is>
      </c>
      <c r="E668" t="inlineStr">
        <is>
          <t>West Region</t>
        </is>
      </c>
      <c r="F668" t="inlineStr">
        <is>
          <t>Rep_13</t>
        </is>
      </c>
      <c r="G668" t="n">
        <v>6.14</v>
      </c>
      <c r="H668" t="inlineStr">
        <is>
          <t>Contacted</t>
        </is>
      </c>
      <c r="I668" t="inlineStr">
        <is>
          <t>Open</t>
        </is>
      </c>
      <c r="M668">
        <f>VLOOKUP(H668,'Stage Order'!$A$2:$B$8,2,FALSE)</f>
        <v/>
      </c>
      <c r="N668">
        <f>IF(G668&lt;=1,"1. Under 1 hour",IF(G668&lt;=24,"2. 1-24 hours",IF(G668&lt;=72,"3. 1-3 days","4. Over 3 days")))</f>
        <v/>
      </c>
      <c r="O668">
        <f>TEXT(B668,"YYYY-MM")</f>
        <v/>
      </c>
    </row>
    <row r="669">
      <c r="A669" t="inlineStr">
        <is>
          <t>LD-300667</t>
        </is>
      </c>
      <c r="B669" t="inlineStr">
        <is>
          <t>2025-01-31 17:36:00</t>
        </is>
      </c>
      <c r="C669" t="inlineStr">
        <is>
          <t>Organic Search</t>
        </is>
      </c>
      <c r="D669" t="inlineStr">
        <is>
          <t>Coding for Kids</t>
        </is>
      </c>
      <c r="E669" t="inlineStr">
        <is>
          <t>South Region</t>
        </is>
      </c>
      <c r="F669" t="inlineStr">
        <is>
          <t>Rep_07</t>
        </is>
      </c>
      <c r="G669" t="n">
        <v>8.17</v>
      </c>
      <c r="H669" t="inlineStr">
        <is>
          <t>Contacted</t>
        </is>
      </c>
      <c r="I669" t="inlineStr">
        <is>
          <t>Open</t>
        </is>
      </c>
      <c r="M669">
        <f>VLOOKUP(H669,'Stage Order'!$A$2:$B$8,2,FALSE)</f>
        <v/>
      </c>
      <c r="N669">
        <f>IF(G669&lt;=1,"1. Under 1 hour",IF(G669&lt;=24,"2. 1-24 hours",IF(G669&lt;=72,"3. 1-3 days","4. Over 3 days")))</f>
        <v/>
      </c>
      <c r="O669">
        <f>TEXT(B669,"YYYY-MM")</f>
        <v/>
      </c>
    </row>
    <row r="670">
      <c r="A670" t="inlineStr">
        <is>
          <t>LD-300668</t>
        </is>
      </c>
      <c r="B670" t="inlineStr">
        <is>
          <t>2025-03-19 11:11:00</t>
        </is>
      </c>
      <c r="C670" t="inlineStr">
        <is>
          <t>Paid Search</t>
        </is>
      </c>
      <c r="D670" t="inlineStr">
        <is>
          <t>Competitive Exam Prep</t>
        </is>
      </c>
      <c r="E670" t="inlineStr">
        <is>
          <t>North Region</t>
        </is>
      </c>
      <c r="F670" t="inlineStr">
        <is>
          <t>Rep_01</t>
        </is>
      </c>
      <c r="G670" t="n">
        <v>6.79</v>
      </c>
      <c r="H670" t="inlineStr">
        <is>
          <t>Lead</t>
        </is>
      </c>
      <c r="I670" t="inlineStr">
        <is>
          <t>Open</t>
        </is>
      </c>
      <c r="M670">
        <f>VLOOKUP(H670,'Stage Order'!$A$2:$B$8,2,FALSE)</f>
        <v/>
      </c>
      <c r="N670">
        <f>IF(G670&lt;=1,"1. Under 1 hour",IF(G670&lt;=24,"2. 1-24 hours",IF(G670&lt;=72,"3. 1-3 days","4. Over 3 days")))</f>
        <v/>
      </c>
      <c r="O670">
        <f>TEXT(B670,"YYYY-MM")</f>
        <v/>
      </c>
    </row>
    <row r="671">
      <c r="A671" t="inlineStr">
        <is>
          <t>LD-300669</t>
        </is>
      </c>
      <c r="B671" t="inlineStr">
        <is>
          <t>2026-06-28 12:31:00</t>
        </is>
      </c>
      <c r="C671" t="inlineStr">
        <is>
          <t>Paid Search</t>
        </is>
      </c>
      <c r="D671" t="inlineStr">
        <is>
          <t>Study Abroad Prep</t>
        </is>
      </c>
      <c r="E671" t="inlineStr">
        <is>
          <t>South Region</t>
        </is>
      </c>
      <c r="F671" t="inlineStr">
        <is>
          <t>Rep_07</t>
        </is>
      </c>
      <c r="G671" t="n">
        <v>0.91</v>
      </c>
      <c r="H671" t="inlineStr">
        <is>
          <t>Demo Completed</t>
        </is>
      </c>
      <c r="I671" t="inlineStr">
        <is>
          <t>Lost</t>
        </is>
      </c>
      <c r="J671" t="inlineStr">
        <is>
          <t>No Response / Ghosted</t>
        </is>
      </c>
      <c r="K671" t="n">
        <v>1719.14</v>
      </c>
      <c r="L671" t="inlineStr">
        <is>
          <t>2026-07-23 12:09:34.253773</t>
        </is>
      </c>
      <c r="M671">
        <f>VLOOKUP(H671,'Stage Order'!$A$2:$B$8,2,FALSE)</f>
        <v/>
      </c>
      <c r="N671">
        <f>IF(G671&lt;=1,"1. Under 1 hour",IF(G671&lt;=24,"2. 1-24 hours",IF(G671&lt;=72,"3. 1-3 days","4. Over 3 days")))</f>
        <v/>
      </c>
      <c r="O671">
        <f>TEXT(B671,"YYYY-MM")</f>
        <v/>
      </c>
    </row>
    <row r="672">
      <c r="A672" t="inlineStr">
        <is>
          <t>LD-300670</t>
        </is>
      </c>
      <c r="B672" t="inlineStr">
        <is>
          <t>2025-03-13 14:14:00</t>
        </is>
      </c>
      <c r="C672" t="inlineStr">
        <is>
          <t>Webinar</t>
        </is>
      </c>
      <c r="D672" t="inlineStr">
        <is>
          <t>Study Abroad Prep</t>
        </is>
      </c>
      <c r="E672" t="inlineStr">
        <is>
          <t>North Region</t>
        </is>
      </c>
      <c r="F672" t="inlineStr">
        <is>
          <t>Rep_01</t>
        </is>
      </c>
      <c r="G672" t="n">
        <v>2.86</v>
      </c>
      <c r="H672" t="inlineStr">
        <is>
          <t>Closed</t>
        </is>
      </c>
      <c r="I672" t="inlineStr">
        <is>
          <t>Won</t>
        </is>
      </c>
      <c r="K672" t="n">
        <v>1280.65</v>
      </c>
      <c r="L672" t="inlineStr">
        <is>
          <t>2025-04-29 15:45:44.994600</t>
        </is>
      </c>
      <c r="M672">
        <f>VLOOKUP(H672,'Stage Order'!$A$2:$B$8,2,FALSE)</f>
        <v/>
      </c>
      <c r="N672">
        <f>IF(G672&lt;=1,"1. Under 1 hour",IF(G672&lt;=24,"2. 1-24 hours",IF(G672&lt;=72,"3. 1-3 days","4. Over 3 days")))</f>
        <v/>
      </c>
      <c r="O672">
        <f>TEXT(B672,"YYYY-MM")</f>
        <v/>
      </c>
    </row>
    <row r="673">
      <c r="A673" t="inlineStr">
        <is>
          <t>LD-300671</t>
        </is>
      </c>
      <c r="B673" t="inlineStr">
        <is>
          <t>2025-08-08 09:22:00</t>
        </is>
      </c>
      <c r="C673" t="inlineStr">
        <is>
          <t>Social Media</t>
        </is>
      </c>
      <c r="D673" t="inlineStr">
        <is>
          <t>K-12 Math</t>
        </is>
      </c>
      <c r="E673" t="inlineStr">
        <is>
          <t>South Region</t>
        </is>
      </c>
      <c r="F673" t="inlineStr">
        <is>
          <t>Rep_12</t>
        </is>
      </c>
      <c r="G673" t="n">
        <v>9.65</v>
      </c>
      <c r="H673" t="inlineStr">
        <is>
          <t>Contacted</t>
        </is>
      </c>
      <c r="I673" t="inlineStr">
        <is>
          <t>Open</t>
        </is>
      </c>
      <c r="M673">
        <f>VLOOKUP(H673,'Stage Order'!$A$2:$B$8,2,FALSE)</f>
        <v/>
      </c>
      <c r="N673">
        <f>IF(G673&lt;=1,"1. Under 1 hour",IF(G673&lt;=24,"2. 1-24 hours",IF(G673&lt;=72,"3. 1-3 days","4. Over 3 days")))</f>
        <v/>
      </c>
      <c r="O673">
        <f>TEXT(B673,"YYYY-MM")</f>
        <v/>
      </c>
    </row>
    <row r="674">
      <c r="A674" t="inlineStr">
        <is>
          <t>LD-300672</t>
        </is>
      </c>
      <c r="B674" t="inlineStr">
        <is>
          <t>2025-06-02 15:09:00</t>
        </is>
      </c>
      <c r="C674" t="inlineStr">
        <is>
          <t>Partner Channel</t>
        </is>
      </c>
      <c r="D674" t="inlineStr">
        <is>
          <t>Language Learning</t>
        </is>
      </c>
      <c r="E674" t="inlineStr">
        <is>
          <t>South Region</t>
        </is>
      </c>
      <c r="F674" t="inlineStr">
        <is>
          <t>Rep_12</t>
        </is>
      </c>
      <c r="G674" t="n">
        <v>3.25</v>
      </c>
      <c r="H674" t="inlineStr">
        <is>
          <t>Negotiation</t>
        </is>
      </c>
      <c r="I674" t="inlineStr">
        <is>
          <t>Lost</t>
        </is>
      </c>
      <c r="J674" t="inlineStr">
        <is>
          <t>Bad Timing</t>
        </is>
      </c>
      <c r="K674" t="n">
        <v>305.04</v>
      </c>
      <c r="L674" t="inlineStr">
        <is>
          <t>2025-08-13 05:01:20.380816</t>
        </is>
      </c>
      <c r="M674">
        <f>VLOOKUP(H674,'Stage Order'!$A$2:$B$8,2,FALSE)</f>
        <v/>
      </c>
      <c r="N674">
        <f>IF(G674&lt;=1,"1. Under 1 hour",IF(G674&lt;=24,"2. 1-24 hours",IF(G674&lt;=72,"3. 1-3 days","4. Over 3 days")))</f>
        <v/>
      </c>
      <c r="O674">
        <f>TEXT(B674,"YYYY-MM")</f>
        <v/>
      </c>
    </row>
    <row r="675">
      <c r="A675" t="inlineStr">
        <is>
          <t>LD-300673</t>
        </is>
      </c>
      <c r="B675" t="inlineStr">
        <is>
          <t>2025-11-02 19:39:00</t>
        </is>
      </c>
      <c r="C675" t="inlineStr">
        <is>
          <t>Referral</t>
        </is>
      </c>
      <c r="D675" t="inlineStr">
        <is>
          <t>Competitive Exam Prep</t>
        </is>
      </c>
      <c r="E675" t="inlineStr">
        <is>
          <t>West Region</t>
        </is>
      </c>
      <c r="F675" t="inlineStr">
        <is>
          <t>Rep_08</t>
        </is>
      </c>
      <c r="G675" t="n">
        <v>0.6</v>
      </c>
      <c r="H675" t="inlineStr">
        <is>
          <t>Closed</t>
        </is>
      </c>
      <c r="I675" t="inlineStr">
        <is>
          <t>Won</t>
        </is>
      </c>
      <c r="K675" t="n">
        <v>1102.39</v>
      </c>
      <c r="L675" t="inlineStr">
        <is>
          <t>2025-12-21 17:33:32.725674</t>
        </is>
      </c>
      <c r="M675">
        <f>VLOOKUP(H675,'Stage Order'!$A$2:$B$8,2,FALSE)</f>
        <v/>
      </c>
      <c r="N675">
        <f>IF(G675&lt;=1,"1. Under 1 hour",IF(G675&lt;=24,"2. 1-24 hours",IF(G675&lt;=72,"3. 1-3 days","4. Over 3 days")))</f>
        <v/>
      </c>
      <c r="O675">
        <f>TEXT(B675,"YYYY-MM")</f>
        <v/>
      </c>
    </row>
    <row r="676">
      <c r="A676" t="inlineStr">
        <is>
          <t>LD-300674</t>
        </is>
      </c>
      <c r="B676" t="inlineStr">
        <is>
          <t>2025-01-27 18:42:00</t>
        </is>
      </c>
      <c r="C676" t="inlineStr">
        <is>
          <t>Paid Search</t>
        </is>
      </c>
      <c r="D676" t="inlineStr">
        <is>
          <t>Coding for Kids</t>
        </is>
      </c>
      <c r="E676" t="inlineStr">
        <is>
          <t>South Region</t>
        </is>
      </c>
      <c r="F676" t="inlineStr">
        <is>
          <t>Rep_12</t>
        </is>
      </c>
      <c r="G676" t="n">
        <v>2.24</v>
      </c>
      <c r="H676" t="inlineStr">
        <is>
          <t>Contacted</t>
        </is>
      </c>
      <c r="I676" t="inlineStr">
        <is>
          <t>Open</t>
        </is>
      </c>
      <c r="M676">
        <f>VLOOKUP(H676,'Stage Order'!$A$2:$B$8,2,FALSE)</f>
        <v/>
      </c>
      <c r="N676">
        <f>IF(G676&lt;=1,"1. Under 1 hour",IF(G676&lt;=24,"2. 1-24 hours",IF(G676&lt;=72,"3. 1-3 days","4. Over 3 days")))</f>
        <v/>
      </c>
      <c r="O676">
        <f>TEXT(B676,"YYYY-MM")</f>
        <v/>
      </c>
    </row>
    <row r="677">
      <c r="A677" t="inlineStr">
        <is>
          <t>LD-300675</t>
        </is>
      </c>
      <c r="B677" t="inlineStr">
        <is>
          <t>2025-12-05 13:30:00</t>
        </is>
      </c>
      <c r="C677" t="inlineStr">
        <is>
          <t>Referral</t>
        </is>
      </c>
      <c r="D677" t="inlineStr">
        <is>
          <t>Coding for Kids</t>
        </is>
      </c>
      <c r="E677" t="inlineStr">
        <is>
          <t>South Region</t>
        </is>
      </c>
      <c r="F677" t="inlineStr">
        <is>
          <t>Rep_07</t>
        </is>
      </c>
      <c r="G677" t="n">
        <v>2.18</v>
      </c>
      <c r="H677" t="inlineStr">
        <is>
          <t>Closed</t>
        </is>
      </c>
      <c r="I677" t="inlineStr">
        <is>
          <t>Won</t>
        </is>
      </c>
      <c r="K677" t="n">
        <v>540.75</v>
      </c>
      <c r="L677" t="inlineStr">
        <is>
          <t>2026-01-25 08:03:09.064326</t>
        </is>
      </c>
      <c r="M677">
        <f>VLOOKUP(H677,'Stage Order'!$A$2:$B$8,2,FALSE)</f>
        <v/>
      </c>
      <c r="N677">
        <f>IF(G677&lt;=1,"1. Under 1 hour",IF(G677&lt;=24,"2. 1-24 hours",IF(G677&lt;=72,"3. 1-3 days","4. Over 3 days")))</f>
        <v/>
      </c>
      <c r="O677">
        <f>TEXT(B677,"YYYY-MM")</f>
        <v/>
      </c>
    </row>
    <row r="678">
      <c r="A678" t="inlineStr">
        <is>
          <t>LD-300676</t>
        </is>
      </c>
      <c r="B678" t="inlineStr">
        <is>
          <t>2026-02-06 20:55:00</t>
        </is>
      </c>
      <c r="C678" t="inlineStr">
        <is>
          <t>Social Media</t>
        </is>
      </c>
      <c r="D678" t="inlineStr">
        <is>
          <t>Coding for Kids</t>
        </is>
      </c>
      <c r="E678" t="inlineStr">
        <is>
          <t>North Region</t>
        </is>
      </c>
      <c r="F678" t="inlineStr">
        <is>
          <t>Rep_11</t>
        </is>
      </c>
      <c r="G678" t="n">
        <v>3.2</v>
      </c>
      <c r="H678" t="inlineStr">
        <is>
          <t>Lead</t>
        </is>
      </c>
      <c r="I678" t="inlineStr">
        <is>
          <t>Open</t>
        </is>
      </c>
      <c r="M678">
        <f>VLOOKUP(H678,'Stage Order'!$A$2:$B$8,2,FALSE)</f>
        <v/>
      </c>
      <c r="N678">
        <f>IF(G678&lt;=1,"1. Under 1 hour",IF(G678&lt;=24,"2. 1-24 hours",IF(G678&lt;=72,"3. 1-3 days","4. Over 3 days")))</f>
        <v/>
      </c>
      <c r="O678">
        <f>TEXT(B678,"YYYY-MM")</f>
        <v/>
      </c>
    </row>
    <row r="679">
      <c r="A679" t="inlineStr">
        <is>
          <t>LD-300677</t>
        </is>
      </c>
      <c r="B679" t="inlineStr">
        <is>
          <t>2025-01-17 07:01:00</t>
        </is>
      </c>
      <c r="C679" t="inlineStr">
        <is>
          <t>Paid Search</t>
        </is>
      </c>
      <c r="D679" t="inlineStr">
        <is>
          <t>Study Abroad Prep</t>
        </is>
      </c>
      <c r="E679" t="inlineStr">
        <is>
          <t>East Region</t>
        </is>
      </c>
      <c r="F679" t="inlineStr">
        <is>
          <t>Rep_14</t>
        </is>
      </c>
      <c r="G679" t="n">
        <v>2.83</v>
      </c>
      <c r="H679" t="inlineStr">
        <is>
          <t>Lead</t>
        </is>
      </c>
      <c r="I679" t="inlineStr">
        <is>
          <t>Open</t>
        </is>
      </c>
      <c r="M679">
        <f>VLOOKUP(H679,'Stage Order'!$A$2:$B$8,2,FALSE)</f>
        <v/>
      </c>
      <c r="N679">
        <f>IF(G679&lt;=1,"1. Under 1 hour",IF(G679&lt;=24,"2. 1-24 hours",IF(G679&lt;=72,"3. 1-3 days","4. Over 3 days")))</f>
        <v/>
      </c>
      <c r="O679">
        <f>TEXT(B679,"YYYY-MM")</f>
        <v/>
      </c>
    </row>
    <row r="680">
      <c r="A680" t="inlineStr">
        <is>
          <t>LD-300678</t>
        </is>
      </c>
      <c r="B680" t="inlineStr">
        <is>
          <t>2026-03-03 07:14:00</t>
        </is>
      </c>
      <c r="C680" t="inlineStr">
        <is>
          <t>Social Media</t>
        </is>
      </c>
      <c r="D680" t="inlineStr">
        <is>
          <t>Study Abroad Prep</t>
        </is>
      </c>
      <c r="E680" t="inlineStr">
        <is>
          <t>North Region</t>
        </is>
      </c>
      <c r="F680" t="inlineStr">
        <is>
          <t>Rep_06</t>
        </is>
      </c>
      <c r="G680" t="n">
        <v>1.57</v>
      </c>
      <c r="H680" t="inlineStr">
        <is>
          <t>Contacted</t>
        </is>
      </c>
      <c r="I680" t="inlineStr">
        <is>
          <t>Open</t>
        </is>
      </c>
      <c r="M680">
        <f>VLOOKUP(H680,'Stage Order'!$A$2:$B$8,2,FALSE)</f>
        <v/>
      </c>
      <c r="N680">
        <f>IF(G680&lt;=1,"1. Under 1 hour",IF(G680&lt;=24,"2. 1-24 hours",IF(G680&lt;=72,"3. 1-3 days","4. Over 3 days")))</f>
        <v/>
      </c>
      <c r="O680">
        <f>TEXT(B680,"YYYY-MM")</f>
        <v/>
      </c>
    </row>
    <row r="681">
      <c r="A681" t="inlineStr">
        <is>
          <t>LD-300679</t>
        </is>
      </c>
      <c r="B681" t="inlineStr">
        <is>
          <t>2026-01-23 18:38:00</t>
        </is>
      </c>
      <c r="C681" t="inlineStr">
        <is>
          <t>Social Media</t>
        </is>
      </c>
      <c r="D681" t="inlineStr">
        <is>
          <t>Study Abroad Prep</t>
        </is>
      </c>
      <c r="E681" t="inlineStr">
        <is>
          <t>North Region</t>
        </is>
      </c>
      <c r="F681" t="inlineStr">
        <is>
          <t>Rep_11</t>
        </is>
      </c>
      <c r="G681" t="n">
        <v>7.36</v>
      </c>
      <c r="H681" t="inlineStr">
        <is>
          <t>Contacted</t>
        </is>
      </c>
      <c r="I681" t="inlineStr">
        <is>
          <t>Open</t>
        </is>
      </c>
      <c r="M681">
        <f>VLOOKUP(H681,'Stage Order'!$A$2:$B$8,2,FALSE)</f>
        <v/>
      </c>
      <c r="N681">
        <f>IF(G681&lt;=1,"1. Under 1 hour",IF(G681&lt;=24,"2. 1-24 hours",IF(G681&lt;=72,"3. 1-3 days","4. Over 3 days")))</f>
        <v/>
      </c>
      <c r="O681">
        <f>TEXT(B681,"YYYY-MM")</f>
        <v/>
      </c>
    </row>
    <row r="682">
      <c r="A682" t="inlineStr">
        <is>
          <t>LD-300680</t>
        </is>
      </c>
      <c r="B682" t="inlineStr">
        <is>
          <t>2025-06-10 19:26:00</t>
        </is>
      </c>
      <c r="C682" t="inlineStr">
        <is>
          <t>Referral</t>
        </is>
      </c>
      <c r="D682" t="inlineStr">
        <is>
          <t>Competitive Exam Prep</t>
        </is>
      </c>
      <c r="E682" t="inlineStr">
        <is>
          <t>North Region</t>
        </is>
      </c>
      <c r="F682" t="inlineStr">
        <is>
          <t>Rep_01</t>
        </is>
      </c>
      <c r="G682" t="n">
        <v>3.77</v>
      </c>
      <c r="H682" t="inlineStr">
        <is>
          <t>Closed</t>
        </is>
      </c>
      <c r="I682" t="inlineStr">
        <is>
          <t>Won</t>
        </is>
      </c>
      <c r="K682" t="n">
        <v>857.04</v>
      </c>
      <c r="L682" t="inlineStr">
        <is>
          <t>2025-07-22 18:49:13.206024</t>
        </is>
      </c>
      <c r="M682">
        <f>VLOOKUP(H682,'Stage Order'!$A$2:$B$8,2,FALSE)</f>
        <v/>
      </c>
      <c r="N682">
        <f>IF(G682&lt;=1,"1. Under 1 hour",IF(G682&lt;=24,"2. 1-24 hours",IF(G682&lt;=72,"3. 1-3 days","4. Over 3 days")))</f>
        <v/>
      </c>
      <c r="O682">
        <f>TEXT(B682,"YYYY-MM")</f>
        <v/>
      </c>
    </row>
    <row r="683">
      <c r="A683" t="inlineStr">
        <is>
          <t>LD-300681</t>
        </is>
      </c>
      <c r="B683" t="inlineStr">
        <is>
          <t>2026-03-19 20:42:00</t>
        </is>
      </c>
      <c r="C683" t="inlineStr">
        <is>
          <t>Organic Search</t>
        </is>
      </c>
      <c r="D683" t="inlineStr">
        <is>
          <t>Competitive Exam Prep</t>
        </is>
      </c>
      <c r="E683" t="inlineStr">
        <is>
          <t>International</t>
        </is>
      </c>
      <c r="F683" t="inlineStr">
        <is>
          <t>Rep_10</t>
        </is>
      </c>
      <c r="G683" t="n">
        <v>5.84</v>
      </c>
      <c r="H683" t="inlineStr">
        <is>
          <t>Contacted</t>
        </is>
      </c>
      <c r="I683" t="inlineStr">
        <is>
          <t>Open</t>
        </is>
      </c>
      <c r="M683">
        <f>VLOOKUP(H683,'Stage Order'!$A$2:$B$8,2,FALSE)</f>
        <v/>
      </c>
      <c r="N683">
        <f>IF(G683&lt;=1,"1. Under 1 hour",IF(G683&lt;=24,"2. 1-24 hours",IF(G683&lt;=72,"3. 1-3 days","4. Over 3 days")))</f>
        <v/>
      </c>
      <c r="O683">
        <f>TEXT(B683,"YYYY-MM")</f>
        <v/>
      </c>
    </row>
    <row r="684">
      <c r="A684" t="inlineStr">
        <is>
          <t>LD-300682</t>
        </is>
      </c>
      <c r="B684" t="inlineStr">
        <is>
          <t>2026-06-15 12:58:00</t>
        </is>
      </c>
      <c r="C684" t="inlineStr">
        <is>
          <t>Paid Search</t>
        </is>
      </c>
      <c r="D684" t="inlineStr">
        <is>
          <t>Competitive Exam Prep</t>
        </is>
      </c>
      <c r="E684" t="inlineStr">
        <is>
          <t>East Region</t>
        </is>
      </c>
      <c r="F684" t="inlineStr">
        <is>
          <t>Rep_04</t>
        </is>
      </c>
      <c r="G684" t="n">
        <v>1.99</v>
      </c>
      <c r="H684" t="inlineStr">
        <is>
          <t>Lead</t>
        </is>
      </c>
      <c r="I684" t="inlineStr">
        <is>
          <t>Open</t>
        </is>
      </c>
      <c r="M684">
        <f>VLOOKUP(H684,'Stage Order'!$A$2:$B$8,2,FALSE)</f>
        <v/>
      </c>
      <c r="N684">
        <f>IF(G684&lt;=1,"1. Under 1 hour",IF(G684&lt;=24,"2. 1-24 hours",IF(G684&lt;=72,"3. 1-3 days","4. Over 3 days")))</f>
        <v/>
      </c>
      <c r="O684">
        <f>TEXT(B684,"YYYY-MM")</f>
        <v/>
      </c>
    </row>
    <row r="685">
      <c r="A685" t="inlineStr">
        <is>
          <t>LD-300683</t>
        </is>
      </c>
      <c r="B685" t="inlineStr">
        <is>
          <t>2025-04-04 20:12:00</t>
        </is>
      </c>
      <c r="C685" t="inlineStr">
        <is>
          <t>Paid Search</t>
        </is>
      </c>
      <c r="D685" t="inlineStr">
        <is>
          <t>Competitive Exam Prep</t>
        </is>
      </c>
      <c r="E685" t="inlineStr">
        <is>
          <t>West Region</t>
        </is>
      </c>
      <c r="F685" t="inlineStr">
        <is>
          <t>Rep_13</t>
        </is>
      </c>
      <c r="G685" t="n">
        <v>4.39</v>
      </c>
      <c r="H685" t="inlineStr">
        <is>
          <t>Lead</t>
        </is>
      </c>
      <c r="I685" t="inlineStr">
        <is>
          <t>Open</t>
        </is>
      </c>
      <c r="M685">
        <f>VLOOKUP(H685,'Stage Order'!$A$2:$B$8,2,FALSE)</f>
        <v/>
      </c>
      <c r="N685">
        <f>IF(G685&lt;=1,"1. Under 1 hour",IF(G685&lt;=24,"2. 1-24 hours",IF(G685&lt;=72,"3. 1-3 days","4. Over 3 days")))</f>
        <v/>
      </c>
      <c r="O685">
        <f>TEXT(B685,"YYYY-MM")</f>
        <v/>
      </c>
    </row>
    <row r="686">
      <c r="A686" t="inlineStr">
        <is>
          <t>LD-300684</t>
        </is>
      </c>
      <c r="B686" t="inlineStr">
        <is>
          <t>2025-03-05 18:22:00</t>
        </is>
      </c>
      <c r="C686" t="inlineStr">
        <is>
          <t>Webinar</t>
        </is>
      </c>
      <c r="D686" t="inlineStr">
        <is>
          <t>Competitive Exam Prep</t>
        </is>
      </c>
      <c r="E686" t="inlineStr">
        <is>
          <t>East Region</t>
        </is>
      </c>
      <c r="F686" t="inlineStr">
        <is>
          <t>Rep_04</t>
        </is>
      </c>
      <c r="G686" t="n">
        <v>3.83</v>
      </c>
      <c r="H686" t="inlineStr">
        <is>
          <t>Demo Completed</t>
        </is>
      </c>
      <c r="I686" t="inlineStr">
        <is>
          <t>Lost</t>
        </is>
      </c>
      <c r="J686" t="inlineStr">
        <is>
          <t>Budget Not Approved</t>
        </is>
      </c>
      <c r="K686" t="n">
        <v>849.01</v>
      </c>
      <c r="L686" t="inlineStr">
        <is>
          <t>2025-04-06 20:34:09.699157</t>
        </is>
      </c>
      <c r="M686">
        <f>VLOOKUP(H686,'Stage Order'!$A$2:$B$8,2,FALSE)</f>
        <v/>
      </c>
      <c r="N686">
        <f>IF(G686&lt;=1,"1. Under 1 hour",IF(G686&lt;=24,"2. 1-24 hours",IF(G686&lt;=72,"3. 1-3 days","4. Over 3 days")))</f>
        <v/>
      </c>
      <c r="O686">
        <f>TEXT(B686,"YYYY-MM")</f>
        <v/>
      </c>
    </row>
    <row r="687">
      <c r="A687" t="inlineStr">
        <is>
          <t>LD-300685</t>
        </is>
      </c>
      <c r="B687" t="inlineStr">
        <is>
          <t>2025-10-13 20:05:00</t>
        </is>
      </c>
      <c r="C687" t="inlineStr">
        <is>
          <t>Organic Search</t>
        </is>
      </c>
      <c r="D687" t="inlineStr">
        <is>
          <t>Coding for Kids</t>
        </is>
      </c>
      <c r="E687" t="inlineStr">
        <is>
          <t>West Region</t>
        </is>
      </c>
      <c r="F687" t="inlineStr">
        <is>
          <t>Rep_13</t>
        </is>
      </c>
      <c r="G687" t="n">
        <v>2.54</v>
      </c>
      <c r="H687" t="inlineStr">
        <is>
          <t>Closed</t>
        </is>
      </c>
      <c r="I687" t="inlineStr">
        <is>
          <t>Won</t>
        </is>
      </c>
      <c r="K687" t="n">
        <v>578.13</v>
      </c>
      <c r="L687" t="inlineStr">
        <is>
          <t>2025-11-06 04:43:45.688905</t>
        </is>
      </c>
      <c r="M687">
        <f>VLOOKUP(H687,'Stage Order'!$A$2:$B$8,2,FALSE)</f>
        <v/>
      </c>
      <c r="N687">
        <f>IF(G687&lt;=1,"1. Under 1 hour",IF(G687&lt;=24,"2. 1-24 hours",IF(G687&lt;=72,"3. 1-3 days","4. Over 3 days")))</f>
        <v/>
      </c>
      <c r="O687">
        <f>TEXT(B687,"YYYY-MM")</f>
        <v/>
      </c>
    </row>
    <row r="688">
      <c r="A688" t="inlineStr">
        <is>
          <t>LD-300686</t>
        </is>
      </c>
      <c r="B688" t="inlineStr">
        <is>
          <t>2026-03-10 18:11:00</t>
        </is>
      </c>
      <c r="C688" t="inlineStr">
        <is>
          <t>Webinar</t>
        </is>
      </c>
      <c r="D688" t="inlineStr">
        <is>
          <t>Coding for Kids</t>
        </is>
      </c>
      <c r="E688" t="inlineStr">
        <is>
          <t>North Region</t>
        </is>
      </c>
      <c r="F688" t="inlineStr">
        <is>
          <t>Rep_01</t>
        </is>
      </c>
      <c r="G688" t="n">
        <v>2.93</v>
      </c>
      <c r="H688" t="inlineStr">
        <is>
          <t>Contacted</t>
        </is>
      </c>
      <c r="I688" t="inlineStr">
        <is>
          <t>Open</t>
        </is>
      </c>
      <c r="M688">
        <f>VLOOKUP(H688,'Stage Order'!$A$2:$B$8,2,FALSE)</f>
        <v/>
      </c>
      <c r="N688">
        <f>IF(G688&lt;=1,"1. Under 1 hour",IF(G688&lt;=24,"2. 1-24 hours",IF(G688&lt;=72,"3. 1-3 days","4. Over 3 days")))</f>
        <v/>
      </c>
      <c r="O688">
        <f>TEXT(B688,"YYYY-MM")</f>
        <v/>
      </c>
    </row>
    <row r="689">
      <c r="A689" t="inlineStr">
        <is>
          <t>LD-300687</t>
        </is>
      </c>
      <c r="B689" t="inlineStr">
        <is>
          <t>2025-12-20 07:52:00</t>
        </is>
      </c>
      <c r="C689" t="inlineStr">
        <is>
          <t>Organic Search</t>
        </is>
      </c>
      <c r="D689" t="inlineStr">
        <is>
          <t>Language Learning</t>
        </is>
      </c>
      <c r="E689" t="inlineStr">
        <is>
          <t>South Region</t>
        </is>
      </c>
      <c r="F689" t="inlineStr">
        <is>
          <t>Rep_02</t>
        </is>
      </c>
      <c r="G689" t="n">
        <v>1.91</v>
      </c>
      <c r="H689" t="inlineStr">
        <is>
          <t>Contacted</t>
        </is>
      </c>
      <c r="I689" t="inlineStr">
        <is>
          <t>Open</t>
        </is>
      </c>
      <c r="M689">
        <f>VLOOKUP(H689,'Stage Order'!$A$2:$B$8,2,FALSE)</f>
        <v/>
      </c>
      <c r="N689">
        <f>IF(G689&lt;=1,"1. Under 1 hour",IF(G689&lt;=24,"2. 1-24 hours",IF(G689&lt;=72,"3. 1-3 days","4. Over 3 days")))</f>
        <v/>
      </c>
      <c r="O689">
        <f>TEXT(B689,"YYYY-MM")</f>
        <v/>
      </c>
    </row>
    <row r="690">
      <c r="A690" t="inlineStr">
        <is>
          <t>LD-300688</t>
        </is>
      </c>
      <c r="B690" t="inlineStr">
        <is>
          <t>2026-01-23 19:40:00</t>
        </is>
      </c>
      <c r="C690" t="inlineStr">
        <is>
          <t>Cold Outreach</t>
        </is>
      </c>
      <c r="D690" t="inlineStr">
        <is>
          <t>K-12 Math</t>
        </is>
      </c>
      <c r="E690" t="inlineStr">
        <is>
          <t>North Region</t>
        </is>
      </c>
      <c r="F690" t="inlineStr">
        <is>
          <t>Rep_11</t>
        </is>
      </c>
      <c r="G690" t="n">
        <v>2.24</v>
      </c>
      <c r="H690" t="inlineStr">
        <is>
          <t>Contacted</t>
        </is>
      </c>
      <c r="I690" t="inlineStr">
        <is>
          <t>Open</t>
        </is>
      </c>
      <c r="M690">
        <f>VLOOKUP(H690,'Stage Order'!$A$2:$B$8,2,FALSE)</f>
        <v/>
      </c>
      <c r="N690">
        <f>IF(G690&lt;=1,"1. Under 1 hour",IF(G690&lt;=24,"2. 1-24 hours",IF(G690&lt;=72,"3. 1-3 days","4. Over 3 days")))</f>
        <v/>
      </c>
      <c r="O690">
        <f>TEXT(B690,"YYYY-MM")</f>
        <v/>
      </c>
    </row>
    <row r="691">
      <c r="A691" t="inlineStr">
        <is>
          <t>LD-300689</t>
        </is>
      </c>
      <c r="B691" t="inlineStr">
        <is>
          <t>2025-12-08 17:36:00</t>
        </is>
      </c>
      <c r="C691" t="inlineStr">
        <is>
          <t>Partner Channel</t>
        </is>
      </c>
      <c r="D691" t="inlineStr">
        <is>
          <t>Coding for Kids</t>
        </is>
      </c>
      <c r="E691" t="inlineStr">
        <is>
          <t>East Region</t>
        </is>
      </c>
      <c r="F691" t="inlineStr">
        <is>
          <t>Rep_14</t>
        </is>
      </c>
      <c r="G691" t="n">
        <v>0.34</v>
      </c>
      <c r="H691" t="inlineStr">
        <is>
          <t>Contacted</t>
        </is>
      </c>
      <c r="I691" t="inlineStr">
        <is>
          <t>Open</t>
        </is>
      </c>
      <c r="M691">
        <f>VLOOKUP(H691,'Stage Order'!$A$2:$B$8,2,FALSE)</f>
        <v/>
      </c>
      <c r="N691">
        <f>IF(G691&lt;=1,"1. Under 1 hour",IF(G691&lt;=24,"2. 1-24 hours",IF(G691&lt;=72,"3. 1-3 days","4. Over 3 days")))</f>
        <v/>
      </c>
      <c r="O691">
        <f>TEXT(B691,"YYYY-MM")</f>
        <v/>
      </c>
    </row>
    <row r="692">
      <c r="A692" t="inlineStr">
        <is>
          <t>LD-300690</t>
        </is>
      </c>
      <c r="B692" t="inlineStr">
        <is>
          <t>2026-05-15 12:32:00</t>
        </is>
      </c>
      <c r="C692" t="inlineStr">
        <is>
          <t>Paid Search</t>
        </is>
      </c>
      <c r="D692" t="inlineStr">
        <is>
          <t>Language Learning</t>
        </is>
      </c>
      <c r="E692" t="inlineStr">
        <is>
          <t>South Region</t>
        </is>
      </c>
      <c r="F692" t="inlineStr">
        <is>
          <t>Rep_02</t>
        </is>
      </c>
      <c r="G692" t="n">
        <v>6.73</v>
      </c>
      <c r="H692" t="inlineStr">
        <is>
          <t>Lead</t>
        </is>
      </c>
      <c r="I692" t="inlineStr">
        <is>
          <t>Open</t>
        </is>
      </c>
      <c r="M692">
        <f>VLOOKUP(H692,'Stage Order'!$A$2:$B$8,2,FALSE)</f>
        <v/>
      </c>
      <c r="N692">
        <f>IF(G692&lt;=1,"1. Under 1 hour",IF(G692&lt;=24,"2. 1-24 hours",IF(G692&lt;=72,"3. 1-3 days","4. Over 3 days")))</f>
        <v/>
      </c>
      <c r="O692">
        <f>TEXT(B692,"YYYY-MM")</f>
        <v/>
      </c>
    </row>
    <row r="693">
      <c r="A693" t="inlineStr">
        <is>
          <t>LD-300691</t>
        </is>
      </c>
      <c r="B693" t="inlineStr">
        <is>
          <t>2026-02-05 17:49:00</t>
        </is>
      </c>
      <c r="C693" t="inlineStr">
        <is>
          <t>Paid Search</t>
        </is>
      </c>
      <c r="D693" t="inlineStr">
        <is>
          <t>K-12 Math</t>
        </is>
      </c>
      <c r="E693" t="inlineStr">
        <is>
          <t>South Region</t>
        </is>
      </c>
      <c r="F693" t="inlineStr">
        <is>
          <t>Rep_12</t>
        </is>
      </c>
      <c r="G693" t="n">
        <v>2.37</v>
      </c>
      <c r="H693" t="inlineStr">
        <is>
          <t>Lead</t>
        </is>
      </c>
      <c r="I693" t="inlineStr">
        <is>
          <t>Open</t>
        </is>
      </c>
      <c r="M693">
        <f>VLOOKUP(H693,'Stage Order'!$A$2:$B$8,2,FALSE)</f>
        <v/>
      </c>
      <c r="N693">
        <f>IF(G693&lt;=1,"1. Under 1 hour",IF(G693&lt;=24,"2. 1-24 hours",IF(G693&lt;=72,"3. 1-3 days","4. Over 3 days")))</f>
        <v/>
      </c>
      <c r="O693">
        <f>TEXT(B693,"YYYY-MM")</f>
        <v/>
      </c>
    </row>
    <row r="694">
      <c r="A694" t="inlineStr">
        <is>
          <t>LD-300692</t>
        </is>
      </c>
      <c r="B694" t="inlineStr">
        <is>
          <t>2026-02-23 09:52:00</t>
        </is>
      </c>
      <c r="C694" t="inlineStr">
        <is>
          <t>Paid Search</t>
        </is>
      </c>
      <c r="D694" t="inlineStr">
        <is>
          <t>Coding for Kids</t>
        </is>
      </c>
      <c r="E694" t="inlineStr">
        <is>
          <t>South Region</t>
        </is>
      </c>
      <c r="F694" t="inlineStr">
        <is>
          <t>Rep_07</t>
        </is>
      </c>
      <c r="G694" t="n">
        <v>10.7</v>
      </c>
      <c r="H694" t="inlineStr">
        <is>
          <t>Proposal Sent</t>
        </is>
      </c>
      <c r="I694" t="inlineStr">
        <is>
          <t>Lost</t>
        </is>
      </c>
      <c r="J694" t="inlineStr">
        <is>
          <t>Price Objection</t>
        </is>
      </c>
      <c r="K694" t="n">
        <v>741.62</v>
      </c>
      <c r="L694" t="inlineStr">
        <is>
          <t>2026-03-31 09:21:06.630755</t>
        </is>
      </c>
      <c r="M694">
        <f>VLOOKUP(H694,'Stage Order'!$A$2:$B$8,2,FALSE)</f>
        <v/>
      </c>
      <c r="N694">
        <f>IF(G694&lt;=1,"1. Under 1 hour",IF(G694&lt;=24,"2. 1-24 hours",IF(G694&lt;=72,"3. 1-3 days","4. Over 3 days")))</f>
        <v/>
      </c>
      <c r="O694">
        <f>TEXT(B694,"YYYY-MM")</f>
        <v/>
      </c>
    </row>
    <row r="695">
      <c r="A695" t="inlineStr">
        <is>
          <t>LD-300693</t>
        </is>
      </c>
      <c r="B695" t="inlineStr">
        <is>
          <t>2026-01-30 09:36:00</t>
        </is>
      </c>
      <c r="C695" t="inlineStr">
        <is>
          <t>Social Media</t>
        </is>
      </c>
      <c r="D695" t="inlineStr">
        <is>
          <t>Study Abroad Prep</t>
        </is>
      </c>
      <c r="E695" t="inlineStr">
        <is>
          <t>South Region</t>
        </is>
      </c>
      <c r="F695" t="inlineStr">
        <is>
          <t>Rep_12</t>
        </is>
      </c>
      <c r="G695" t="n">
        <v>3.05</v>
      </c>
      <c r="H695" t="inlineStr">
        <is>
          <t>Demo Scheduled</t>
        </is>
      </c>
      <c r="I695" t="inlineStr">
        <is>
          <t>Open</t>
        </is>
      </c>
      <c r="M695">
        <f>VLOOKUP(H695,'Stage Order'!$A$2:$B$8,2,FALSE)</f>
        <v/>
      </c>
      <c r="N695">
        <f>IF(G695&lt;=1,"1. Under 1 hour",IF(G695&lt;=24,"2. 1-24 hours",IF(G695&lt;=72,"3. 1-3 days","4. Over 3 days")))</f>
        <v/>
      </c>
      <c r="O695">
        <f>TEXT(B695,"YYYY-MM")</f>
        <v/>
      </c>
    </row>
    <row r="696">
      <c r="A696" t="inlineStr">
        <is>
          <t>LD-300694</t>
        </is>
      </c>
      <c r="B696" t="inlineStr">
        <is>
          <t>2025-12-16 20:16:00</t>
        </is>
      </c>
      <c r="C696" t="inlineStr">
        <is>
          <t>Referral</t>
        </is>
      </c>
      <c r="D696" t="inlineStr">
        <is>
          <t>K-12 Math</t>
        </is>
      </c>
      <c r="E696" t="inlineStr">
        <is>
          <t>International</t>
        </is>
      </c>
      <c r="F696" t="inlineStr">
        <is>
          <t>Rep_10</t>
        </is>
      </c>
      <c r="G696" t="n">
        <v>11.66</v>
      </c>
      <c r="H696" t="inlineStr">
        <is>
          <t>Contacted</t>
        </is>
      </c>
      <c r="I696" t="inlineStr">
        <is>
          <t>Open</t>
        </is>
      </c>
      <c r="M696">
        <f>VLOOKUP(H696,'Stage Order'!$A$2:$B$8,2,FALSE)</f>
        <v/>
      </c>
      <c r="N696">
        <f>IF(G696&lt;=1,"1. Under 1 hour",IF(G696&lt;=24,"2. 1-24 hours",IF(G696&lt;=72,"3. 1-3 days","4. Over 3 days")))</f>
        <v/>
      </c>
      <c r="O696">
        <f>TEXT(B696,"YYYY-MM")</f>
        <v/>
      </c>
    </row>
    <row r="697">
      <c r="A697" t="inlineStr">
        <is>
          <t>LD-300695</t>
        </is>
      </c>
      <c r="B697" t="inlineStr">
        <is>
          <t>2026-05-06 11:23:00</t>
        </is>
      </c>
      <c r="C697" t="inlineStr">
        <is>
          <t>Partner Channel</t>
        </is>
      </c>
      <c r="D697" t="inlineStr">
        <is>
          <t>K-12 Math</t>
        </is>
      </c>
      <c r="E697" t="inlineStr">
        <is>
          <t>South Region</t>
        </is>
      </c>
      <c r="F697" t="inlineStr">
        <is>
          <t>Rep_02</t>
        </is>
      </c>
      <c r="G697" t="n">
        <v>1.28</v>
      </c>
      <c r="H697" t="inlineStr">
        <is>
          <t>Contacted</t>
        </is>
      </c>
      <c r="I697" t="inlineStr">
        <is>
          <t>Open</t>
        </is>
      </c>
      <c r="M697">
        <f>VLOOKUP(H697,'Stage Order'!$A$2:$B$8,2,FALSE)</f>
        <v/>
      </c>
      <c r="N697">
        <f>IF(G697&lt;=1,"1. Under 1 hour",IF(G697&lt;=24,"2. 1-24 hours",IF(G697&lt;=72,"3. 1-3 days","4. Over 3 days")))</f>
        <v/>
      </c>
      <c r="O697">
        <f>TEXT(B697,"YYYY-MM")</f>
        <v/>
      </c>
    </row>
    <row r="698">
      <c r="A698" t="inlineStr">
        <is>
          <t>LD-300696</t>
        </is>
      </c>
      <c r="B698" t="inlineStr">
        <is>
          <t>2025-09-22 15:59:00</t>
        </is>
      </c>
      <c r="C698" t="inlineStr">
        <is>
          <t>Organic Search</t>
        </is>
      </c>
      <c r="D698" t="inlineStr">
        <is>
          <t>Competitive Exam Prep</t>
        </is>
      </c>
      <c r="E698" t="inlineStr">
        <is>
          <t>North Region</t>
        </is>
      </c>
      <c r="F698" t="inlineStr">
        <is>
          <t>Rep_06</t>
        </is>
      </c>
      <c r="G698" t="n">
        <v>3.92</v>
      </c>
      <c r="H698" t="inlineStr">
        <is>
          <t>Closed</t>
        </is>
      </c>
      <c r="I698" t="inlineStr">
        <is>
          <t>Won</t>
        </is>
      </c>
      <c r="K698" t="n">
        <v>1070.84</v>
      </c>
      <c r="L698" t="inlineStr">
        <is>
          <t>2025-11-11 06:35:02.045508</t>
        </is>
      </c>
      <c r="M698">
        <f>VLOOKUP(H698,'Stage Order'!$A$2:$B$8,2,FALSE)</f>
        <v/>
      </c>
      <c r="N698">
        <f>IF(G698&lt;=1,"1. Under 1 hour",IF(G698&lt;=24,"2. 1-24 hours",IF(G698&lt;=72,"3. 1-3 days","4. Over 3 days")))</f>
        <v/>
      </c>
      <c r="O698">
        <f>TEXT(B698,"YYYY-MM")</f>
        <v/>
      </c>
    </row>
    <row r="699">
      <c r="A699" t="inlineStr">
        <is>
          <t>LD-300697</t>
        </is>
      </c>
      <c r="B699" t="inlineStr">
        <is>
          <t>2025-08-20 10:04:00</t>
        </is>
      </c>
      <c r="C699" t="inlineStr">
        <is>
          <t>Organic Search</t>
        </is>
      </c>
      <c r="D699" t="inlineStr">
        <is>
          <t>Competitive Exam Prep</t>
        </is>
      </c>
      <c r="E699" t="inlineStr">
        <is>
          <t>West Region</t>
        </is>
      </c>
      <c r="F699" t="inlineStr">
        <is>
          <t>Rep_03</t>
        </is>
      </c>
      <c r="G699" t="n">
        <v>1.14</v>
      </c>
      <c r="H699" t="inlineStr">
        <is>
          <t>Lead</t>
        </is>
      </c>
      <c r="I699" t="inlineStr">
        <is>
          <t>Open</t>
        </is>
      </c>
      <c r="M699">
        <f>VLOOKUP(H699,'Stage Order'!$A$2:$B$8,2,FALSE)</f>
        <v/>
      </c>
      <c r="N699">
        <f>IF(G699&lt;=1,"1. Under 1 hour",IF(G699&lt;=24,"2. 1-24 hours",IF(G699&lt;=72,"3. 1-3 days","4. Over 3 days")))</f>
        <v/>
      </c>
      <c r="O699">
        <f>TEXT(B699,"YYYY-MM")</f>
        <v/>
      </c>
    </row>
    <row r="700">
      <c r="A700" t="inlineStr">
        <is>
          <t>LD-300698</t>
        </is>
      </c>
      <c r="B700" t="inlineStr">
        <is>
          <t>2026-01-22 07:56:00</t>
        </is>
      </c>
      <c r="C700" t="inlineStr">
        <is>
          <t>Organic Search</t>
        </is>
      </c>
      <c r="D700" t="inlineStr">
        <is>
          <t>Study Abroad Prep</t>
        </is>
      </c>
      <c r="E700" t="inlineStr">
        <is>
          <t>North Region</t>
        </is>
      </c>
      <c r="F700" t="inlineStr">
        <is>
          <t>Rep_11</t>
        </is>
      </c>
      <c r="G700" t="n">
        <v>1.3</v>
      </c>
      <c r="H700" t="inlineStr">
        <is>
          <t>Demo Completed</t>
        </is>
      </c>
      <c r="I700" t="inlineStr">
        <is>
          <t>Lost</t>
        </is>
      </c>
      <c r="J700" t="inlineStr">
        <is>
          <t>Price Objection</t>
        </is>
      </c>
      <c r="K700" t="n">
        <v>1208.23</v>
      </c>
      <c r="L700" t="inlineStr">
        <is>
          <t>2026-02-22 08:35:29.131152</t>
        </is>
      </c>
      <c r="M700">
        <f>VLOOKUP(H700,'Stage Order'!$A$2:$B$8,2,FALSE)</f>
        <v/>
      </c>
      <c r="N700">
        <f>IF(G700&lt;=1,"1. Under 1 hour",IF(G700&lt;=24,"2. 1-24 hours",IF(G700&lt;=72,"3. 1-3 days","4. Over 3 days")))</f>
        <v/>
      </c>
      <c r="O700">
        <f>TEXT(B700,"YYYY-MM")</f>
        <v/>
      </c>
    </row>
    <row r="701">
      <c r="A701" t="inlineStr">
        <is>
          <t>LD-300699</t>
        </is>
      </c>
      <c r="B701" t="inlineStr">
        <is>
          <t>2026-04-17 08:04:00</t>
        </is>
      </c>
      <c r="C701" t="inlineStr">
        <is>
          <t>Social Media</t>
        </is>
      </c>
      <c r="D701" t="inlineStr">
        <is>
          <t>Study Abroad Prep</t>
        </is>
      </c>
      <c r="E701" t="inlineStr">
        <is>
          <t>International</t>
        </is>
      </c>
      <c r="F701" t="inlineStr">
        <is>
          <t>Rep_10</t>
        </is>
      </c>
      <c r="G701" t="n">
        <v>5.63</v>
      </c>
      <c r="H701" t="inlineStr">
        <is>
          <t>Lead</t>
        </is>
      </c>
      <c r="I701" t="inlineStr">
        <is>
          <t>Open</t>
        </is>
      </c>
      <c r="M701">
        <f>VLOOKUP(H701,'Stage Order'!$A$2:$B$8,2,FALSE)</f>
        <v/>
      </c>
      <c r="N701">
        <f>IF(G701&lt;=1,"1. Under 1 hour",IF(G701&lt;=24,"2. 1-24 hours",IF(G701&lt;=72,"3. 1-3 days","4. Over 3 days")))</f>
        <v/>
      </c>
      <c r="O701">
        <f>TEXT(B701,"YYYY-MM")</f>
        <v/>
      </c>
    </row>
    <row r="702">
      <c r="A702" t="inlineStr">
        <is>
          <t>LD-300700</t>
        </is>
      </c>
      <c r="B702" t="inlineStr">
        <is>
          <t>2026-02-06 18:07:00</t>
        </is>
      </c>
      <c r="C702" t="inlineStr">
        <is>
          <t>Social Media</t>
        </is>
      </c>
      <c r="D702" t="inlineStr">
        <is>
          <t>Coding for Kids</t>
        </is>
      </c>
      <c r="E702" t="inlineStr">
        <is>
          <t>South Region</t>
        </is>
      </c>
      <c r="F702" t="inlineStr">
        <is>
          <t>Rep_12</t>
        </is>
      </c>
      <c r="G702" t="n">
        <v>1.52</v>
      </c>
      <c r="H702" t="inlineStr">
        <is>
          <t>Lead</t>
        </is>
      </c>
      <c r="I702" t="inlineStr">
        <is>
          <t>Open</t>
        </is>
      </c>
      <c r="M702">
        <f>VLOOKUP(H702,'Stage Order'!$A$2:$B$8,2,FALSE)</f>
        <v/>
      </c>
      <c r="N702">
        <f>IF(G702&lt;=1,"1. Under 1 hour",IF(G702&lt;=24,"2. 1-24 hours",IF(G702&lt;=72,"3. 1-3 days","4. Over 3 days")))</f>
        <v/>
      </c>
      <c r="O702">
        <f>TEXT(B702,"YYYY-MM")</f>
        <v/>
      </c>
    </row>
    <row r="703">
      <c r="A703" t="inlineStr">
        <is>
          <t>LD-300701</t>
        </is>
      </c>
      <c r="B703" t="inlineStr">
        <is>
          <t>2026-06-05 11:50:00</t>
        </is>
      </c>
      <c r="C703" t="inlineStr">
        <is>
          <t>Cold Outreach</t>
        </is>
      </c>
      <c r="D703" t="inlineStr">
        <is>
          <t>K-12 Math</t>
        </is>
      </c>
      <c r="E703" t="inlineStr">
        <is>
          <t>South Region</t>
        </is>
      </c>
      <c r="F703" t="inlineStr">
        <is>
          <t>Rep_07</t>
        </is>
      </c>
      <c r="G703" t="n">
        <v>2.95</v>
      </c>
      <c r="H703" t="inlineStr">
        <is>
          <t>Contacted</t>
        </is>
      </c>
      <c r="I703" t="inlineStr">
        <is>
          <t>Open</t>
        </is>
      </c>
      <c r="M703">
        <f>VLOOKUP(H703,'Stage Order'!$A$2:$B$8,2,FALSE)</f>
        <v/>
      </c>
      <c r="N703">
        <f>IF(G703&lt;=1,"1. Under 1 hour",IF(G703&lt;=24,"2. 1-24 hours",IF(G703&lt;=72,"3. 1-3 days","4. Over 3 days")))</f>
        <v/>
      </c>
      <c r="O703">
        <f>TEXT(B703,"YYYY-MM")</f>
        <v/>
      </c>
    </row>
    <row r="704">
      <c r="A704" t="inlineStr">
        <is>
          <t>LD-300702</t>
        </is>
      </c>
      <c r="B704" t="inlineStr">
        <is>
          <t>2025-01-31 08:55:00</t>
        </is>
      </c>
      <c r="C704" t="inlineStr">
        <is>
          <t>Social Media</t>
        </is>
      </c>
      <c r="D704" t="inlineStr">
        <is>
          <t>Competitive Exam Prep</t>
        </is>
      </c>
      <c r="E704" t="inlineStr">
        <is>
          <t>South Region</t>
        </is>
      </c>
      <c r="F704" t="inlineStr">
        <is>
          <t>Rep_07</t>
        </is>
      </c>
      <c r="G704" t="n">
        <v>8.619999999999999</v>
      </c>
      <c r="H704" t="inlineStr">
        <is>
          <t>Lead</t>
        </is>
      </c>
      <c r="I704" t="inlineStr">
        <is>
          <t>Open</t>
        </is>
      </c>
      <c r="M704">
        <f>VLOOKUP(H704,'Stage Order'!$A$2:$B$8,2,FALSE)</f>
        <v/>
      </c>
      <c r="N704">
        <f>IF(G704&lt;=1,"1. Under 1 hour",IF(G704&lt;=24,"2. 1-24 hours",IF(G704&lt;=72,"3. 1-3 days","4. Over 3 days")))</f>
        <v/>
      </c>
      <c r="O704">
        <f>TEXT(B704,"YYYY-MM")</f>
        <v/>
      </c>
    </row>
    <row r="705">
      <c r="A705" t="inlineStr">
        <is>
          <t>LD-300703</t>
        </is>
      </c>
      <c r="B705" t="inlineStr">
        <is>
          <t>2026-03-19 17:18:00</t>
        </is>
      </c>
      <c r="C705" t="inlineStr">
        <is>
          <t>Cold Outreach</t>
        </is>
      </c>
      <c r="D705" t="inlineStr">
        <is>
          <t>Study Abroad Prep</t>
        </is>
      </c>
      <c r="E705" t="inlineStr">
        <is>
          <t>North Region</t>
        </is>
      </c>
      <c r="F705" t="inlineStr">
        <is>
          <t>Rep_11</t>
        </is>
      </c>
      <c r="G705" t="n">
        <v>1.6</v>
      </c>
      <c r="H705" t="inlineStr">
        <is>
          <t>Contacted</t>
        </is>
      </c>
      <c r="I705" t="inlineStr">
        <is>
          <t>Open</t>
        </is>
      </c>
      <c r="M705">
        <f>VLOOKUP(H705,'Stage Order'!$A$2:$B$8,2,FALSE)</f>
        <v/>
      </c>
      <c r="N705">
        <f>IF(G705&lt;=1,"1. Under 1 hour",IF(G705&lt;=24,"2. 1-24 hours",IF(G705&lt;=72,"3. 1-3 days","4. Over 3 days")))</f>
        <v/>
      </c>
      <c r="O705">
        <f>TEXT(B705,"YYYY-MM")</f>
        <v/>
      </c>
    </row>
    <row r="706">
      <c r="A706" t="inlineStr">
        <is>
          <t>LD-300704</t>
        </is>
      </c>
      <c r="B706" t="inlineStr">
        <is>
          <t>2025-02-16 09:45:00</t>
        </is>
      </c>
      <c r="C706" t="inlineStr">
        <is>
          <t>Organic Search</t>
        </is>
      </c>
      <c r="D706" t="inlineStr">
        <is>
          <t>Coding for Kids</t>
        </is>
      </c>
      <c r="E706" t="inlineStr">
        <is>
          <t>International</t>
        </is>
      </c>
      <c r="F706" t="inlineStr">
        <is>
          <t>Rep_15</t>
        </is>
      </c>
      <c r="G706" t="n">
        <v>3.62</v>
      </c>
      <c r="H706" t="inlineStr">
        <is>
          <t>Contacted</t>
        </is>
      </c>
      <c r="I706" t="inlineStr">
        <is>
          <t>Open</t>
        </is>
      </c>
      <c r="M706">
        <f>VLOOKUP(H706,'Stage Order'!$A$2:$B$8,2,FALSE)</f>
        <v/>
      </c>
      <c r="N706">
        <f>IF(G706&lt;=1,"1. Under 1 hour",IF(G706&lt;=24,"2. 1-24 hours",IF(G706&lt;=72,"3. 1-3 days","4. Over 3 days")))</f>
        <v/>
      </c>
      <c r="O706">
        <f>TEXT(B706,"YYYY-MM")</f>
        <v/>
      </c>
    </row>
    <row r="707">
      <c r="A707" t="inlineStr">
        <is>
          <t>LD-300705</t>
        </is>
      </c>
      <c r="B707" t="inlineStr">
        <is>
          <t>2025-03-24 15:29:00</t>
        </is>
      </c>
      <c r="C707" t="inlineStr">
        <is>
          <t>Partner Channel</t>
        </is>
      </c>
      <c r="D707" t="inlineStr">
        <is>
          <t>K-12 Math</t>
        </is>
      </c>
      <c r="E707" t="inlineStr">
        <is>
          <t>North Region</t>
        </is>
      </c>
      <c r="F707" t="inlineStr">
        <is>
          <t>Rep_11</t>
        </is>
      </c>
      <c r="G707" t="n">
        <v>3.13</v>
      </c>
      <c r="H707" t="inlineStr">
        <is>
          <t>Contacted</t>
        </is>
      </c>
      <c r="I707" t="inlineStr">
        <is>
          <t>Open</t>
        </is>
      </c>
      <c r="M707">
        <f>VLOOKUP(H707,'Stage Order'!$A$2:$B$8,2,FALSE)</f>
        <v/>
      </c>
      <c r="N707">
        <f>IF(G707&lt;=1,"1. Under 1 hour",IF(G707&lt;=24,"2. 1-24 hours",IF(G707&lt;=72,"3. 1-3 days","4. Over 3 days")))</f>
        <v/>
      </c>
      <c r="O707">
        <f>TEXT(B707,"YYYY-MM")</f>
        <v/>
      </c>
    </row>
    <row r="708">
      <c r="A708" t="inlineStr">
        <is>
          <t>LD-300706</t>
        </is>
      </c>
      <c r="B708" t="inlineStr">
        <is>
          <t>2025-01-17 11:43:00</t>
        </is>
      </c>
      <c r="C708" t="inlineStr">
        <is>
          <t>Partner Channel</t>
        </is>
      </c>
      <c r="D708" t="inlineStr">
        <is>
          <t>K-12 Math</t>
        </is>
      </c>
      <c r="E708" t="inlineStr">
        <is>
          <t>South Region</t>
        </is>
      </c>
      <c r="F708" t="inlineStr">
        <is>
          <t>Rep_07</t>
        </is>
      </c>
      <c r="G708" t="n">
        <v>30.84</v>
      </c>
      <c r="H708" t="inlineStr">
        <is>
          <t>Contacted</t>
        </is>
      </c>
      <c r="I708" t="inlineStr">
        <is>
          <t>Open</t>
        </is>
      </c>
      <c r="M708">
        <f>VLOOKUP(H708,'Stage Order'!$A$2:$B$8,2,FALSE)</f>
        <v/>
      </c>
      <c r="N708">
        <f>IF(G708&lt;=1,"1. Under 1 hour",IF(G708&lt;=24,"2. 1-24 hours",IF(G708&lt;=72,"3. 1-3 days","4. Over 3 days")))</f>
        <v/>
      </c>
      <c r="O708">
        <f>TEXT(B708,"YYYY-MM")</f>
        <v/>
      </c>
    </row>
    <row r="709">
      <c r="A709" t="inlineStr">
        <is>
          <t>LD-300707</t>
        </is>
      </c>
      <c r="B709" t="inlineStr">
        <is>
          <t>2025-10-05 09:34:00</t>
        </is>
      </c>
      <c r="C709" t="inlineStr">
        <is>
          <t>Paid Search</t>
        </is>
      </c>
      <c r="D709" t="inlineStr">
        <is>
          <t>K-12 Math</t>
        </is>
      </c>
      <c r="E709" t="inlineStr">
        <is>
          <t>West Region</t>
        </is>
      </c>
      <c r="F709" t="inlineStr">
        <is>
          <t>Rep_03</t>
        </is>
      </c>
      <c r="G709" t="n">
        <v>1.53</v>
      </c>
      <c r="H709" t="inlineStr">
        <is>
          <t>Closed</t>
        </is>
      </c>
      <c r="I709" t="inlineStr">
        <is>
          <t>Won</t>
        </is>
      </c>
      <c r="K709" t="n">
        <v>479.46</v>
      </c>
      <c r="L709" t="inlineStr">
        <is>
          <t>2025-11-12 02:36:14.550855</t>
        </is>
      </c>
      <c r="M709">
        <f>VLOOKUP(H709,'Stage Order'!$A$2:$B$8,2,FALSE)</f>
        <v/>
      </c>
      <c r="N709">
        <f>IF(G709&lt;=1,"1. Under 1 hour",IF(G709&lt;=24,"2. 1-24 hours",IF(G709&lt;=72,"3. 1-3 days","4. Over 3 days")))</f>
        <v/>
      </c>
      <c r="O709">
        <f>TEXT(B709,"YYYY-MM")</f>
        <v/>
      </c>
    </row>
    <row r="710">
      <c r="A710" t="inlineStr">
        <is>
          <t>LD-300708</t>
        </is>
      </c>
      <c r="B710" t="inlineStr">
        <is>
          <t>2025-07-27 20:38:00</t>
        </is>
      </c>
      <c r="C710" t="inlineStr">
        <is>
          <t>Paid Search</t>
        </is>
      </c>
      <c r="D710" t="inlineStr">
        <is>
          <t>Competitive Exam Prep</t>
        </is>
      </c>
      <c r="E710" t="inlineStr">
        <is>
          <t>International</t>
        </is>
      </c>
      <c r="F710" t="inlineStr">
        <is>
          <t>Rep_05</t>
        </is>
      </c>
      <c r="G710" t="n">
        <v>3.91</v>
      </c>
      <c r="H710" t="inlineStr">
        <is>
          <t>Lead</t>
        </is>
      </c>
      <c r="I710" t="inlineStr">
        <is>
          <t>Open</t>
        </is>
      </c>
      <c r="M710">
        <f>VLOOKUP(H710,'Stage Order'!$A$2:$B$8,2,FALSE)</f>
        <v/>
      </c>
      <c r="N710">
        <f>IF(G710&lt;=1,"1. Under 1 hour",IF(G710&lt;=24,"2. 1-24 hours",IF(G710&lt;=72,"3. 1-3 days","4. Over 3 days")))</f>
        <v/>
      </c>
      <c r="O710">
        <f>TEXT(B710,"YYYY-MM")</f>
        <v/>
      </c>
    </row>
    <row r="711">
      <c r="A711" t="inlineStr">
        <is>
          <t>LD-300709</t>
        </is>
      </c>
      <c r="B711" t="inlineStr">
        <is>
          <t>2025-05-16 14:05:00</t>
        </is>
      </c>
      <c r="C711" t="inlineStr">
        <is>
          <t>Referral</t>
        </is>
      </c>
      <c r="D711" t="inlineStr">
        <is>
          <t>Coding for Kids</t>
        </is>
      </c>
      <c r="E711" t="inlineStr">
        <is>
          <t>North Region</t>
        </is>
      </c>
      <c r="F711" t="inlineStr">
        <is>
          <t>Rep_01</t>
        </is>
      </c>
      <c r="G711" t="n">
        <v>0.71</v>
      </c>
      <c r="H711" t="inlineStr">
        <is>
          <t>Contacted</t>
        </is>
      </c>
      <c r="I711" t="inlineStr">
        <is>
          <t>Open</t>
        </is>
      </c>
      <c r="M711">
        <f>VLOOKUP(H711,'Stage Order'!$A$2:$B$8,2,FALSE)</f>
        <v/>
      </c>
      <c r="N711">
        <f>IF(G711&lt;=1,"1. Under 1 hour",IF(G711&lt;=24,"2. 1-24 hours",IF(G711&lt;=72,"3. 1-3 days","4. Over 3 days")))</f>
        <v/>
      </c>
      <c r="O711">
        <f>TEXT(B711,"YYYY-MM")</f>
        <v/>
      </c>
    </row>
    <row r="712">
      <c r="A712" t="inlineStr">
        <is>
          <t>LD-300710</t>
        </is>
      </c>
      <c r="B712" t="inlineStr">
        <is>
          <t>2025-07-18 09:17:00</t>
        </is>
      </c>
      <c r="C712" t="inlineStr">
        <is>
          <t>Organic Search</t>
        </is>
      </c>
      <c r="D712" t="inlineStr">
        <is>
          <t>Competitive Exam Prep</t>
        </is>
      </c>
      <c r="E712" t="inlineStr">
        <is>
          <t>South Region</t>
        </is>
      </c>
      <c r="F712" t="inlineStr">
        <is>
          <t>Rep_12</t>
        </is>
      </c>
      <c r="G712" t="n">
        <v>4.95</v>
      </c>
      <c r="H712" t="inlineStr">
        <is>
          <t>Negotiation</t>
        </is>
      </c>
      <c r="I712" t="inlineStr">
        <is>
          <t>Lost</t>
        </is>
      </c>
      <c r="J712" t="inlineStr">
        <is>
          <t>Price Objection</t>
        </is>
      </c>
      <c r="K712" t="n">
        <v>1149.79</v>
      </c>
      <c r="L712" t="inlineStr">
        <is>
          <t>2025-08-21 02:18:24.442136</t>
        </is>
      </c>
      <c r="M712">
        <f>VLOOKUP(H712,'Stage Order'!$A$2:$B$8,2,FALSE)</f>
        <v/>
      </c>
      <c r="N712">
        <f>IF(G712&lt;=1,"1. Under 1 hour",IF(G712&lt;=24,"2. 1-24 hours",IF(G712&lt;=72,"3. 1-3 days","4. Over 3 days")))</f>
        <v/>
      </c>
      <c r="O712">
        <f>TEXT(B712,"YYYY-MM")</f>
        <v/>
      </c>
    </row>
    <row r="713">
      <c r="A713" t="inlineStr">
        <is>
          <t>LD-300711</t>
        </is>
      </c>
      <c r="B713" t="inlineStr">
        <is>
          <t>2026-05-22 09:28:00</t>
        </is>
      </c>
      <c r="C713" t="inlineStr">
        <is>
          <t>Referral</t>
        </is>
      </c>
      <c r="D713" t="inlineStr">
        <is>
          <t>Competitive Exam Prep</t>
        </is>
      </c>
      <c r="E713" t="inlineStr">
        <is>
          <t>International</t>
        </is>
      </c>
      <c r="F713" t="inlineStr">
        <is>
          <t>Rep_10</t>
        </is>
      </c>
      <c r="G713" t="n">
        <v>7.25</v>
      </c>
      <c r="H713" t="inlineStr">
        <is>
          <t>Contacted</t>
        </is>
      </c>
      <c r="I713" t="inlineStr">
        <is>
          <t>Open</t>
        </is>
      </c>
      <c r="M713">
        <f>VLOOKUP(H713,'Stage Order'!$A$2:$B$8,2,FALSE)</f>
        <v/>
      </c>
      <c r="N713">
        <f>IF(G713&lt;=1,"1. Under 1 hour",IF(G713&lt;=24,"2. 1-24 hours",IF(G713&lt;=72,"3. 1-3 days","4. Over 3 days")))</f>
        <v/>
      </c>
      <c r="O713">
        <f>TEXT(B713,"YYYY-MM")</f>
        <v/>
      </c>
    </row>
    <row r="714">
      <c r="A714" t="inlineStr">
        <is>
          <t>LD-300712</t>
        </is>
      </c>
      <c r="B714" t="inlineStr">
        <is>
          <t>2025-07-24 10:33:00</t>
        </is>
      </c>
      <c r="C714" t="inlineStr">
        <is>
          <t>Social Media</t>
        </is>
      </c>
      <c r="D714" t="inlineStr">
        <is>
          <t>Study Abroad Prep</t>
        </is>
      </c>
      <c r="E714" t="inlineStr">
        <is>
          <t>North Region</t>
        </is>
      </c>
      <c r="F714" t="inlineStr">
        <is>
          <t>Rep_11</t>
        </is>
      </c>
      <c r="G714" t="n">
        <v>7.21</v>
      </c>
      <c r="H714" t="inlineStr">
        <is>
          <t>Lead</t>
        </is>
      </c>
      <c r="I714" t="inlineStr">
        <is>
          <t>Open</t>
        </is>
      </c>
      <c r="M714">
        <f>VLOOKUP(H714,'Stage Order'!$A$2:$B$8,2,FALSE)</f>
        <v/>
      </c>
      <c r="N714">
        <f>IF(G714&lt;=1,"1. Under 1 hour",IF(G714&lt;=24,"2. 1-24 hours",IF(G714&lt;=72,"3. 1-3 days","4. Over 3 days")))</f>
        <v/>
      </c>
      <c r="O714">
        <f>TEXT(B714,"YYYY-MM")</f>
        <v/>
      </c>
    </row>
    <row r="715">
      <c r="A715" t="inlineStr">
        <is>
          <t>LD-300713</t>
        </is>
      </c>
      <c r="B715" t="inlineStr">
        <is>
          <t>2026-03-01 16:41:00</t>
        </is>
      </c>
      <c r="C715" t="inlineStr">
        <is>
          <t>Webinar</t>
        </is>
      </c>
      <c r="D715" t="inlineStr">
        <is>
          <t>K-12 Math</t>
        </is>
      </c>
      <c r="E715" t="inlineStr">
        <is>
          <t>International</t>
        </is>
      </c>
      <c r="F715" t="inlineStr">
        <is>
          <t>Rep_05</t>
        </is>
      </c>
      <c r="G715" t="n">
        <v>0.96</v>
      </c>
      <c r="H715" t="inlineStr">
        <is>
          <t>Contacted</t>
        </is>
      </c>
      <c r="I715" t="inlineStr">
        <is>
          <t>Open</t>
        </is>
      </c>
      <c r="M715">
        <f>VLOOKUP(H715,'Stage Order'!$A$2:$B$8,2,FALSE)</f>
        <v/>
      </c>
      <c r="N715">
        <f>IF(G715&lt;=1,"1. Under 1 hour",IF(G715&lt;=24,"2. 1-24 hours",IF(G715&lt;=72,"3. 1-3 days","4. Over 3 days")))</f>
        <v/>
      </c>
      <c r="O715">
        <f>TEXT(B715,"YYYY-MM")</f>
        <v/>
      </c>
    </row>
    <row r="716">
      <c r="A716" t="inlineStr">
        <is>
          <t>LD-300714</t>
        </is>
      </c>
      <c r="B716" t="inlineStr">
        <is>
          <t>2026-01-20 12:25:00</t>
        </is>
      </c>
      <c r="C716" t="inlineStr">
        <is>
          <t>Social Media</t>
        </is>
      </c>
      <c r="D716" t="inlineStr">
        <is>
          <t>Study Abroad Prep</t>
        </is>
      </c>
      <c r="E716" t="inlineStr">
        <is>
          <t>North Region</t>
        </is>
      </c>
      <c r="F716" t="inlineStr">
        <is>
          <t>Rep_01</t>
        </is>
      </c>
      <c r="G716" t="n">
        <v>2.33</v>
      </c>
      <c r="H716" t="inlineStr">
        <is>
          <t>Closed</t>
        </is>
      </c>
      <c r="I716" t="inlineStr">
        <is>
          <t>Won</t>
        </is>
      </c>
      <c r="K716" t="n">
        <v>1549.27</v>
      </c>
      <c r="L716" t="inlineStr">
        <is>
          <t>2026-03-03 05:01:11.896500</t>
        </is>
      </c>
      <c r="M716">
        <f>VLOOKUP(H716,'Stage Order'!$A$2:$B$8,2,FALSE)</f>
        <v/>
      </c>
      <c r="N716">
        <f>IF(G716&lt;=1,"1. Under 1 hour",IF(G716&lt;=24,"2. 1-24 hours",IF(G716&lt;=72,"3. 1-3 days","4. Over 3 days")))</f>
        <v/>
      </c>
      <c r="O716">
        <f>TEXT(B716,"YYYY-MM")</f>
        <v/>
      </c>
    </row>
    <row r="717">
      <c r="A717" t="inlineStr">
        <is>
          <t>LD-300715</t>
        </is>
      </c>
      <c r="B717" t="inlineStr">
        <is>
          <t>2026-01-20 08:06:00</t>
        </is>
      </c>
      <c r="C717" t="inlineStr">
        <is>
          <t>Social Media</t>
        </is>
      </c>
      <c r="D717" t="inlineStr">
        <is>
          <t>Language Learning</t>
        </is>
      </c>
      <c r="E717" t="inlineStr">
        <is>
          <t>East Region</t>
        </is>
      </c>
      <c r="F717" t="inlineStr">
        <is>
          <t>Rep_04</t>
        </is>
      </c>
      <c r="G717" t="n">
        <v>9.109999999999999</v>
      </c>
      <c r="H717" t="inlineStr">
        <is>
          <t>Lead</t>
        </is>
      </c>
      <c r="I717" t="inlineStr">
        <is>
          <t>Open</t>
        </is>
      </c>
      <c r="M717">
        <f>VLOOKUP(H717,'Stage Order'!$A$2:$B$8,2,FALSE)</f>
        <v/>
      </c>
      <c r="N717">
        <f>IF(G717&lt;=1,"1. Under 1 hour",IF(G717&lt;=24,"2. 1-24 hours",IF(G717&lt;=72,"3. 1-3 days","4. Over 3 days")))</f>
        <v/>
      </c>
      <c r="O717">
        <f>TEXT(B717,"YYYY-MM")</f>
        <v/>
      </c>
    </row>
    <row r="718">
      <c r="A718" t="inlineStr">
        <is>
          <t>LD-300716</t>
        </is>
      </c>
      <c r="B718" t="inlineStr">
        <is>
          <t>2025-12-29 07:45:00</t>
        </is>
      </c>
      <c r="C718" t="inlineStr">
        <is>
          <t>Referral</t>
        </is>
      </c>
      <c r="D718" t="inlineStr">
        <is>
          <t>Study Abroad Prep</t>
        </is>
      </c>
      <c r="E718" t="inlineStr">
        <is>
          <t>North Region</t>
        </is>
      </c>
      <c r="F718" t="inlineStr">
        <is>
          <t>Rep_11</t>
        </is>
      </c>
      <c r="G718" t="n">
        <v>0.87</v>
      </c>
      <c r="H718" t="inlineStr">
        <is>
          <t>Contacted</t>
        </is>
      </c>
      <c r="I718" t="inlineStr">
        <is>
          <t>Open</t>
        </is>
      </c>
      <c r="M718">
        <f>VLOOKUP(H718,'Stage Order'!$A$2:$B$8,2,FALSE)</f>
        <v/>
      </c>
      <c r="N718">
        <f>IF(G718&lt;=1,"1. Under 1 hour",IF(G718&lt;=24,"2. 1-24 hours",IF(G718&lt;=72,"3. 1-3 days","4. Over 3 days")))</f>
        <v/>
      </c>
      <c r="O718">
        <f>TEXT(B718,"YYYY-MM")</f>
        <v/>
      </c>
    </row>
    <row r="719">
      <c r="A719" t="inlineStr">
        <is>
          <t>LD-300717</t>
        </is>
      </c>
      <c r="B719" t="inlineStr">
        <is>
          <t>2025-06-06 16:20:00</t>
        </is>
      </c>
      <c r="C719" t="inlineStr">
        <is>
          <t>Webinar</t>
        </is>
      </c>
      <c r="D719" t="inlineStr">
        <is>
          <t>Coding for Kids</t>
        </is>
      </c>
      <c r="E719" t="inlineStr">
        <is>
          <t>North Region</t>
        </is>
      </c>
      <c r="F719" t="inlineStr">
        <is>
          <t>Rep_11</t>
        </is>
      </c>
      <c r="G719" t="n">
        <v>2.57</v>
      </c>
      <c r="H719" t="inlineStr">
        <is>
          <t>Negotiation</t>
        </is>
      </c>
      <c r="I719" t="inlineStr">
        <is>
          <t>Lost</t>
        </is>
      </c>
      <c r="J719" t="inlineStr">
        <is>
          <t>Price Objection</t>
        </is>
      </c>
      <c r="K719" t="n">
        <v>619.4400000000001</v>
      </c>
      <c r="L719" t="inlineStr">
        <is>
          <t>2025-07-14 15:09:54.005552</t>
        </is>
      </c>
      <c r="M719">
        <f>VLOOKUP(H719,'Stage Order'!$A$2:$B$8,2,FALSE)</f>
        <v/>
      </c>
      <c r="N719">
        <f>IF(G719&lt;=1,"1. Under 1 hour",IF(G719&lt;=24,"2. 1-24 hours",IF(G719&lt;=72,"3. 1-3 days","4. Over 3 days")))</f>
        <v/>
      </c>
      <c r="O719">
        <f>TEXT(B719,"YYYY-MM")</f>
        <v/>
      </c>
    </row>
    <row r="720">
      <c r="A720" t="inlineStr">
        <is>
          <t>LD-300718</t>
        </is>
      </c>
      <c r="B720" t="inlineStr">
        <is>
          <t>2025-06-04 12:22:00</t>
        </is>
      </c>
      <c r="C720" t="inlineStr">
        <is>
          <t>Webinar</t>
        </is>
      </c>
      <c r="D720" t="inlineStr">
        <is>
          <t>Competitive Exam Prep</t>
        </is>
      </c>
      <c r="E720" t="inlineStr">
        <is>
          <t>South Region</t>
        </is>
      </c>
      <c r="F720" t="inlineStr">
        <is>
          <t>Rep_02</t>
        </is>
      </c>
      <c r="G720" t="n">
        <v>1.2</v>
      </c>
      <c r="H720" t="inlineStr">
        <is>
          <t>Lead</t>
        </is>
      </c>
      <c r="I720" t="inlineStr">
        <is>
          <t>Open</t>
        </is>
      </c>
      <c r="M720">
        <f>VLOOKUP(H720,'Stage Order'!$A$2:$B$8,2,FALSE)</f>
        <v/>
      </c>
      <c r="N720">
        <f>IF(G720&lt;=1,"1. Under 1 hour",IF(G720&lt;=24,"2. 1-24 hours",IF(G720&lt;=72,"3. 1-3 days","4. Over 3 days")))</f>
        <v/>
      </c>
      <c r="O720">
        <f>TEXT(B720,"YYYY-MM")</f>
        <v/>
      </c>
    </row>
    <row r="721">
      <c r="A721" t="inlineStr">
        <is>
          <t>LD-300719</t>
        </is>
      </c>
      <c r="B721" t="inlineStr">
        <is>
          <t>2026-01-05 11:21:00</t>
        </is>
      </c>
      <c r="C721" t="inlineStr">
        <is>
          <t>Paid Search</t>
        </is>
      </c>
      <c r="D721" t="inlineStr">
        <is>
          <t>Language Learning</t>
        </is>
      </c>
      <c r="E721" t="inlineStr">
        <is>
          <t>South Region</t>
        </is>
      </c>
      <c r="F721" t="inlineStr">
        <is>
          <t>Rep_12</t>
        </is>
      </c>
      <c r="G721" t="n">
        <v>4.58</v>
      </c>
      <c r="H721" t="inlineStr">
        <is>
          <t>Closed</t>
        </is>
      </c>
      <c r="I721" t="inlineStr">
        <is>
          <t>Won</t>
        </is>
      </c>
      <c r="K721" t="n">
        <v>413.78</v>
      </c>
      <c r="L721" t="inlineStr">
        <is>
          <t>2026-02-12 01:32:17.038115</t>
        </is>
      </c>
      <c r="M721">
        <f>VLOOKUP(H721,'Stage Order'!$A$2:$B$8,2,FALSE)</f>
        <v/>
      </c>
      <c r="N721">
        <f>IF(G721&lt;=1,"1. Under 1 hour",IF(G721&lt;=24,"2. 1-24 hours",IF(G721&lt;=72,"3. 1-3 days","4. Over 3 days")))</f>
        <v/>
      </c>
      <c r="O721">
        <f>TEXT(B721,"YYYY-MM")</f>
        <v/>
      </c>
    </row>
    <row r="722">
      <c r="A722" t="inlineStr">
        <is>
          <t>LD-300720</t>
        </is>
      </c>
      <c r="B722" t="inlineStr">
        <is>
          <t>2025-09-04 11:59:00</t>
        </is>
      </c>
      <c r="C722" t="inlineStr">
        <is>
          <t>Organic Search</t>
        </is>
      </c>
      <c r="D722" t="inlineStr">
        <is>
          <t>Competitive Exam Prep</t>
        </is>
      </c>
      <c r="E722" t="inlineStr">
        <is>
          <t>West Region</t>
        </is>
      </c>
      <c r="F722" t="inlineStr">
        <is>
          <t>Rep_03</t>
        </is>
      </c>
      <c r="G722" t="n">
        <v>12.66</v>
      </c>
      <c r="H722" t="inlineStr">
        <is>
          <t>Closed</t>
        </is>
      </c>
      <c r="I722" t="inlineStr">
        <is>
          <t>Won</t>
        </is>
      </c>
      <c r="K722" t="n">
        <v>1019.73</v>
      </c>
      <c r="L722" t="inlineStr">
        <is>
          <t>2025-10-16 16:46:51.745421</t>
        </is>
      </c>
      <c r="M722">
        <f>VLOOKUP(H722,'Stage Order'!$A$2:$B$8,2,FALSE)</f>
        <v/>
      </c>
      <c r="N722">
        <f>IF(G722&lt;=1,"1. Under 1 hour",IF(G722&lt;=24,"2. 1-24 hours",IF(G722&lt;=72,"3. 1-3 days","4. Over 3 days")))</f>
        <v/>
      </c>
      <c r="O722">
        <f>TEXT(B722,"YYYY-MM")</f>
        <v/>
      </c>
    </row>
    <row r="723">
      <c r="A723" t="inlineStr">
        <is>
          <t>LD-300721</t>
        </is>
      </c>
      <c r="B723" t="inlineStr">
        <is>
          <t>2025-08-15 07:17:00</t>
        </is>
      </c>
      <c r="C723" t="inlineStr">
        <is>
          <t>Paid Search</t>
        </is>
      </c>
      <c r="D723" t="inlineStr">
        <is>
          <t>K-12 Math</t>
        </is>
      </c>
      <c r="E723" t="inlineStr">
        <is>
          <t>West Region</t>
        </is>
      </c>
      <c r="F723" t="inlineStr">
        <is>
          <t>Rep_08</t>
        </is>
      </c>
      <c r="G723" t="n">
        <v>4.99</v>
      </c>
      <c r="H723" t="inlineStr">
        <is>
          <t>Contacted</t>
        </is>
      </c>
      <c r="I723" t="inlineStr">
        <is>
          <t>Open</t>
        </is>
      </c>
      <c r="M723">
        <f>VLOOKUP(H723,'Stage Order'!$A$2:$B$8,2,FALSE)</f>
        <v/>
      </c>
      <c r="N723">
        <f>IF(G723&lt;=1,"1. Under 1 hour",IF(G723&lt;=24,"2. 1-24 hours",IF(G723&lt;=72,"3. 1-3 days","4. Over 3 days")))</f>
        <v/>
      </c>
      <c r="O723">
        <f>TEXT(B723,"YYYY-MM")</f>
        <v/>
      </c>
    </row>
    <row r="724">
      <c r="A724" t="inlineStr">
        <is>
          <t>LD-300722</t>
        </is>
      </c>
      <c r="B724" t="inlineStr">
        <is>
          <t>2025-11-20 12:49:00</t>
        </is>
      </c>
      <c r="C724" t="inlineStr">
        <is>
          <t>Organic Search</t>
        </is>
      </c>
      <c r="D724" t="inlineStr">
        <is>
          <t>Language Learning</t>
        </is>
      </c>
      <c r="E724" t="inlineStr">
        <is>
          <t>South Region</t>
        </is>
      </c>
      <c r="F724" t="inlineStr">
        <is>
          <t>Rep_12</t>
        </is>
      </c>
      <c r="G724" t="n">
        <v>0.45</v>
      </c>
      <c r="H724" t="inlineStr">
        <is>
          <t>Closed</t>
        </is>
      </c>
      <c r="I724" t="inlineStr">
        <is>
          <t>Won</t>
        </is>
      </c>
      <c r="K724" t="n">
        <v>385.49</v>
      </c>
      <c r="L724" t="inlineStr">
        <is>
          <t>2025-12-19 13:51:14.229990</t>
        </is>
      </c>
      <c r="M724">
        <f>VLOOKUP(H724,'Stage Order'!$A$2:$B$8,2,FALSE)</f>
        <v/>
      </c>
      <c r="N724">
        <f>IF(G724&lt;=1,"1. Under 1 hour",IF(G724&lt;=24,"2. 1-24 hours",IF(G724&lt;=72,"3. 1-3 days","4. Over 3 days")))</f>
        <v/>
      </c>
      <c r="O724">
        <f>TEXT(B724,"YYYY-MM")</f>
        <v/>
      </c>
    </row>
    <row r="725">
      <c r="A725" t="inlineStr">
        <is>
          <t>LD-300723</t>
        </is>
      </c>
      <c r="B725" t="inlineStr">
        <is>
          <t>2026-05-31 17:49:00</t>
        </is>
      </c>
      <c r="C725" t="inlineStr">
        <is>
          <t>Paid Search</t>
        </is>
      </c>
      <c r="D725" t="inlineStr">
        <is>
          <t>Coding for Kids</t>
        </is>
      </c>
      <c r="E725" t="inlineStr">
        <is>
          <t>West Region</t>
        </is>
      </c>
      <c r="F725" t="inlineStr">
        <is>
          <t>Rep_13</t>
        </is>
      </c>
      <c r="G725" t="n">
        <v>4.51</v>
      </c>
      <c r="H725" t="inlineStr">
        <is>
          <t>Contacted</t>
        </is>
      </c>
      <c r="I725" t="inlineStr">
        <is>
          <t>Open</t>
        </is>
      </c>
      <c r="M725">
        <f>VLOOKUP(H725,'Stage Order'!$A$2:$B$8,2,FALSE)</f>
        <v/>
      </c>
      <c r="N725">
        <f>IF(G725&lt;=1,"1. Under 1 hour",IF(G725&lt;=24,"2. 1-24 hours",IF(G725&lt;=72,"3. 1-3 days","4. Over 3 days")))</f>
        <v/>
      </c>
      <c r="O725">
        <f>TEXT(B725,"YYYY-MM")</f>
        <v/>
      </c>
    </row>
    <row r="726">
      <c r="A726" t="inlineStr">
        <is>
          <t>LD-300724</t>
        </is>
      </c>
      <c r="B726" t="inlineStr">
        <is>
          <t>2026-01-08 15:53:00</t>
        </is>
      </c>
      <c r="C726" t="inlineStr">
        <is>
          <t>Paid Search</t>
        </is>
      </c>
      <c r="D726" t="inlineStr">
        <is>
          <t>Language Learning</t>
        </is>
      </c>
      <c r="E726" t="inlineStr">
        <is>
          <t>North Region</t>
        </is>
      </c>
      <c r="F726" t="inlineStr">
        <is>
          <t>Rep_06</t>
        </is>
      </c>
      <c r="G726" t="n">
        <v>17.94</v>
      </c>
      <c r="H726" t="inlineStr">
        <is>
          <t>Contacted</t>
        </is>
      </c>
      <c r="I726" t="inlineStr">
        <is>
          <t>Open</t>
        </is>
      </c>
      <c r="M726">
        <f>VLOOKUP(H726,'Stage Order'!$A$2:$B$8,2,FALSE)</f>
        <v/>
      </c>
      <c r="N726">
        <f>IF(G726&lt;=1,"1. Under 1 hour",IF(G726&lt;=24,"2. 1-24 hours",IF(G726&lt;=72,"3. 1-3 days","4. Over 3 days")))</f>
        <v/>
      </c>
      <c r="O726">
        <f>TEXT(B726,"YYYY-MM")</f>
        <v/>
      </c>
    </row>
    <row r="727">
      <c r="A727" t="inlineStr">
        <is>
          <t>LD-300725</t>
        </is>
      </c>
      <c r="B727" t="inlineStr">
        <is>
          <t>2025-07-05 16:18:00</t>
        </is>
      </c>
      <c r="C727" t="inlineStr">
        <is>
          <t>Referral</t>
        </is>
      </c>
      <c r="D727" t="inlineStr">
        <is>
          <t>Language Learning</t>
        </is>
      </c>
      <c r="E727" t="inlineStr">
        <is>
          <t>International</t>
        </is>
      </c>
      <c r="F727" t="inlineStr">
        <is>
          <t>Rep_15</t>
        </is>
      </c>
      <c r="G727" t="n">
        <v>1.25</v>
      </c>
      <c r="H727" t="inlineStr">
        <is>
          <t>Closed</t>
        </is>
      </c>
      <c r="I727" t="inlineStr">
        <is>
          <t>Won</t>
        </is>
      </c>
      <c r="K727" t="n">
        <v>336.09</v>
      </c>
      <c r="L727" t="inlineStr">
        <is>
          <t>2025-08-12 10:15:48.524078</t>
        </is>
      </c>
      <c r="M727">
        <f>VLOOKUP(H727,'Stage Order'!$A$2:$B$8,2,FALSE)</f>
        <v/>
      </c>
      <c r="N727">
        <f>IF(G727&lt;=1,"1. Under 1 hour",IF(G727&lt;=24,"2. 1-24 hours",IF(G727&lt;=72,"3. 1-3 days","4. Over 3 days")))</f>
        <v/>
      </c>
      <c r="O727">
        <f>TEXT(B727,"YYYY-MM")</f>
        <v/>
      </c>
    </row>
    <row r="728">
      <c r="A728" t="inlineStr">
        <is>
          <t>LD-300726</t>
        </is>
      </c>
      <c r="B728" t="inlineStr">
        <is>
          <t>2025-01-29 20:58:00</t>
        </is>
      </c>
      <c r="C728" t="inlineStr">
        <is>
          <t>Partner Channel</t>
        </is>
      </c>
      <c r="D728" t="inlineStr">
        <is>
          <t>Language Learning</t>
        </is>
      </c>
      <c r="E728" t="inlineStr">
        <is>
          <t>East Region</t>
        </is>
      </c>
      <c r="F728" t="inlineStr">
        <is>
          <t>Rep_04</t>
        </is>
      </c>
      <c r="G728" t="n">
        <v>9.57</v>
      </c>
      <c r="H728" t="inlineStr">
        <is>
          <t>Lead</t>
        </is>
      </c>
      <c r="I728" t="inlineStr">
        <is>
          <t>Open</t>
        </is>
      </c>
      <c r="M728">
        <f>VLOOKUP(H728,'Stage Order'!$A$2:$B$8,2,FALSE)</f>
        <v/>
      </c>
      <c r="N728">
        <f>IF(G728&lt;=1,"1. Under 1 hour",IF(G728&lt;=24,"2. 1-24 hours",IF(G728&lt;=72,"3. 1-3 days","4. Over 3 days")))</f>
        <v/>
      </c>
      <c r="O728">
        <f>TEXT(B728,"YYYY-MM")</f>
        <v/>
      </c>
    </row>
    <row r="729">
      <c r="A729" t="inlineStr">
        <is>
          <t>LD-300727</t>
        </is>
      </c>
      <c r="B729" t="inlineStr">
        <is>
          <t>2025-10-19 10:34:00</t>
        </is>
      </c>
      <c r="C729" t="inlineStr">
        <is>
          <t>Referral</t>
        </is>
      </c>
      <c r="D729" t="inlineStr">
        <is>
          <t>Coding for Kids</t>
        </is>
      </c>
      <c r="E729" t="inlineStr">
        <is>
          <t>North Region</t>
        </is>
      </c>
      <c r="F729" t="inlineStr">
        <is>
          <t>Rep_11</t>
        </is>
      </c>
      <c r="G729" t="n">
        <v>2.04</v>
      </c>
      <c r="H729" t="inlineStr">
        <is>
          <t>Contacted</t>
        </is>
      </c>
      <c r="I729" t="inlineStr">
        <is>
          <t>Open</t>
        </is>
      </c>
      <c r="M729">
        <f>VLOOKUP(H729,'Stage Order'!$A$2:$B$8,2,FALSE)</f>
        <v/>
      </c>
      <c r="N729">
        <f>IF(G729&lt;=1,"1. Under 1 hour",IF(G729&lt;=24,"2. 1-24 hours",IF(G729&lt;=72,"3. 1-3 days","4. Over 3 days")))</f>
        <v/>
      </c>
      <c r="O729">
        <f>TEXT(B729,"YYYY-MM")</f>
        <v/>
      </c>
    </row>
    <row r="730">
      <c r="A730" t="inlineStr">
        <is>
          <t>LD-300728</t>
        </is>
      </c>
      <c r="B730" t="inlineStr">
        <is>
          <t>2025-11-12 18:22:00</t>
        </is>
      </c>
      <c r="C730" t="inlineStr">
        <is>
          <t>Social Media</t>
        </is>
      </c>
      <c r="D730" t="inlineStr">
        <is>
          <t>Coding for Kids</t>
        </is>
      </c>
      <c r="E730" t="inlineStr">
        <is>
          <t>International</t>
        </is>
      </c>
      <c r="F730" t="inlineStr">
        <is>
          <t>Rep_10</t>
        </is>
      </c>
      <c r="G730" t="n">
        <v>4.28</v>
      </c>
      <c r="H730" t="inlineStr">
        <is>
          <t>Lead</t>
        </is>
      </c>
      <c r="I730" t="inlineStr">
        <is>
          <t>Open</t>
        </is>
      </c>
      <c r="M730">
        <f>VLOOKUP(H730,'Stage Order'!$A$2:$B$8,2,FALSE)</f>
        <v/>
      </c>
      <c r="N730">
        <f>IF(G730&lt;=1,"1. Under 1 hour",IF(G730&lt;=24,"2. 1-24 hours",IF(G730&lt;=72,"3. 1-3 days","4. Over 3 days")))</f>
        <v/>
      </c>
      <c r="O730">
        <f>TEXT(B730,"YYYY-MM")</f>
        <v/>
      </c>
    </row>
    <row r="731">
      <c r="A731" t="inlineStr">
        <is>
          <t>LD-300729</t>
        </is>
      </c>
      <c r="B731" t="inlineStr">
        <is>
          <t>2025-11-21 18:45:00</t>
        </is>
      </c>
      <c r="C731" t="inlineStr">
        <is>
          <t>Partner Channel</t>
        </is>
      </c>
      <c r="D731" t="inlineStr">
        <is>
          <t>Language Learning</t>
        </is>
      </c>
      <c r="E731" t="inlineStr">
        <is>
          <t>International</t>
        </is>
      </c>
      <c r="F731" t="inlineStr">
        <is>
          <t>Rep_05</t>
        </is>
      </c>
      <c r="G731" t="n">
        <v>1.77</v>
      </c>
      <c r="H731" t="inlineStr">
        <is>
          <t>Contacted</t>
        </is>
      </c>
      <c r="I731" t="inlineStr">
        <is>
          <t>Open</t>
        </is>
      </c>
      <c r="M731">
        <f>VLOOKUP(H731,'Stage Order'!$A$2:$B$8,2,FALSE)</f>
        <v/>
      </c>
      <c r="N731">
        <f>IF(G731&lt;=1,"1. Under 1 hour",IF(G731&lt;=24,"2. 1-24 hours",IF(G731&lt;=72,"3. 1-3 days","4. Over 3 days")))</f>
        <v/>
      </c>
      <c r="O731">
        <f>TEXT(B731,"YYYY-MM")</f>
        <v/>
      </c>
    </row>
    <row r="732">
      <c r="A732" t="inlineStr">
        <is>
          <t>LD-300730</t>
        </is>
      </c>
      <c r="B732" t="inlineStr">
        <is>
          <t>2026-05-05 17:26:00</t>
        </is>
      </c>
      <c r="C732" t="inlineStr">
        <is>
          <t>Social Media</t>
        </is>
      </c>
      <c r="D732" t="inlineStr">
        <is>
          <t>Competitive Exam Prep</t>
        </is>
      </c>
      <c r="E732" t="inlineStr">
        <is>
          <t>International</t>
        </is>
      </c>
      <c r="F732" t="inlineStr">
        <is>
          <t>Rep_10</t>
        </is>
      </c>
      <c r="G732" t="n">
        <v>5.25</v>
      </c>
      <c r="H732" t="inlineStr">
        <is>
          <t>Negotiation</t>
        </is>
      </c>
      <c r="I732" t="inlineStr">
        <is>
          <t>Lost</t>
        </is>
      </c>
      <c r="J732" t="inlineStr">
        <is>
          <t>Price Objection</t>
        </is>
      </c>
      <c r="K732" t="n">
        <v>896.8099999999999</v>
      </c>
      <c r="L732" t="inlineStr">
        <is>
          <t>2026-06-01 21:27:41.636544</t>
        </is>
      </c>
      <c r="M732">
        <f>VLOOKUP(H732,'Stage Order'!$A$2:$B$8,2,FALSE)</f>
        <v/>
      </c>
      <c r="N732">
        <f>IF(G732&lt;=1,"1. Under 1 hour",IF(G732&lt;=24,"2. 1-24 hours",IF(G732&lt;=72,"3. 1-3 days","4. Over 3 days")))</f>
        <v/>
      </c>
      <c r="O732">
        <f>TEXT(B732,"YYYY-MM")</f>
        <v/>
      </c>
    </row>
    <row r="733">
      <c r="A733" t="inlineStr">
        <is>
          <t>LD-300731</t>
        </is>
      </c>
      <c r="B733" t="inlineStr">
        <is>
          <t>2026-05-26 17:16:00</t>
        </is>
      </c>
      <c r="C733" t="inlineStr">
        <is>
          <t>Webinar</t>
        </is>
      </c>
      <c r="D733" t="inlineStr">
        <is>
          <t>K-12 Math</t>
        </is>
      </c>
      <c r="E733" t="inlineStr">
        <is>
          <t>East Region</t>
        </is>
      </c>
      <c r="F733" t="inlineStr">
        <is>
          <t>Rep_14</t>
        </is>
      </c>
      <c r="G733" t="n">
        <v>7.6</v>
      </c>
      <c r="H733" t="inlineStr">
        <is>
          <t>Proposal Sent</t>
        </is>
      </c>
      <c r="I733" t="inlineStr">
        <is>
          <t>Lost</t>
        </is>
      </c>
      <c r="J733" t="inlineStr">
        <is>
          <t>Bad Timing</t>
        </is>
      </c>
      <c r="K733" t="n">
        <v>414.22</v>
      </c>
      <c r="L733" t="inlineStr">
        <is>
          <t>2026-07-03 08:28:39.750134</t>
        </is>
      </c>
      <c r="M733">
        <f>VLOOKUP(H733,'Stage Order'!$A$2:$B$8,2,FALSE)</f>
        <v/>
      </c>
      <c r="N733">
        <f>IF(G733&lt;=1,"1. Under 1 hour",IF(G733&lt;=24,"2. 1-24 hours",IF(G733&lt;=72,"3. 1-3 days","4. Over 3 days")))</f>
        <v/>
      </c>
      <c r="O733">
        <f>TEXT(B733,"YYYY-MM")</f>
        <v/>
      </c>
    </row>
    <row r="734">
      <c r="A734" t="inlineStr">
        <is>
          <t>LD-300732</t>
        </is>
      </c>
      <c r="B734" t="inlineStr">
        <is>
          <t>2026-01-06 16:00:00</t>
        </is>
      </c>
      <c r="C734" t="inlineStr">
        <is>
          <t>Social Media</t>
        </is>
      </c>
      <c r="D734" t="inlineStr">
        <is>
          <t>K-12 Math</t>
        </is>
      </c>
      <c r="E734" t="inlineStr">
        <is>
          <t>South Region</t>
        </is>
      </c>
      <c r="F734" t="inlineStr">
        <is>
          <t>Rep_12</t>
        </is>
      </c>
      <c r="G734" t="n">
        <v>2.14</v>
      </c>
      <c r="H734" t="inlineStr">
        <is>
          <t>Contacted</t>
        </is>
      </c>
      <c r="I734" t="inlineStr">
        <is>
          <t>Open</t>
        </is>
      </c>
      <c r="M734">
        <f>VLOOKUP(H734,'Stage Order'!$A$2:$B$8,2,FALSE)</f>
        <v/>
      </c>
      <c r="N734">
        <f>IF(G734&lt;=1,"1. Under 1 hour",IF(G734&lt;=24,"2. 1-24 hours",IF(G734&lt;=72,"3. 1-3 days","4. Over 3 days")))</f>
        <v/>
      </c>
      <c r="O734">
        <f>TEXT(B734,"YYYY-MM")</f>
        <v/>
      </c>
    </row>
    <row r="735">
      <c r="A735" t="inlineStr">
        <is>
          <t>LD-300733</t>
        </is>
      </c>
      <c r="B735" t="inlineStr">
        <is>
          <t>2025-09-24 19:53:00</t>
        </is>
      </c>
      <c r="C735" t="inlineStr">
        <is>
          <t>Cold Outreach</t>
        </is>
      </c>
      <c r="D735" t="inlineStr">
        <is>
          <t>K-12 Math</t>
        </is>
      </c>
      <c r="E735" t="inlineStr">
        <is>
          <t>West Region</t>
        </is>
      </c>
      <c r="F735" t="inlineStr">
        <is>
          <t>Rep_03</t>
        </is>
      </c>
      <c r="G735" t="n">
        <v>8.08</v>
      </c>
      <c r="H735" t="inlineStr">
        <is>
          <t>Lead</t>
        </is>
      </c>
      <c r="I735" t="inlineStr">
        <is>
          <t>Open</t>
        </is>
      </c>
      <c r="M735">
        <f>VLOOKUP(H735,'Stage Order'!$A$2:$B$8,2,FALSE)</f>
        <v/>
      </c>
      <c r="N735">
        <f>IF(G735&lt;=1,"1. Under 1 hour",IF(G735&lt;=24,"2. 1-24 hours",IF(G735&lt;=72,"3. 1-3 days","4. Over 3 days")))</f>
        <v/>
      </c>
      <c r="O735">
        <f>TEXT(B735,"YYYY-MM")</f>
        <v/>
      </c>
    </row>
    <row r="736">
      <c r="A736" t="inlineStr">
        <is>
          <t>LD-300734</t>
        </is>
      </c>
      <c r="B736" t="inlineStr">
        <is>
          <t>2025-09-12 11:09:00</t>
        </is>
      </c>
      <c r="C736" t="inlineStr">
        <is>
          <t>Partner Channel</t>
        </is>
      </c>
      <c r="D736" t="inlineStr">
        <is>
          <t>Competitive Exam Prep</t>
        </is>
      </c>
      <c r="E736" t="inlineStr">
        <is>
          <t>International</t>
        </is>
      </c>
      <c r="F736" t="inlineStr">
        <is>
          <t>Rep_05</t>
        </is>
      </c>
      <c r="G736" t="n">
        <v>2.34</v>
      </c>
      <c r="H736" t="inlineStr">
        <is>
          <t>Contacted</t>
        </is>
      </c>
      <c r="I736" t="inlineStr">
        <is>
          <t>Open</t>
        </is>
      </c>
      <c r="M736">
        <f>VLOOKUP(H736,'Stage Order'!$A$2:$B$8,2,FALSE)</f>
        <v/>
      </c>
      <c r="N736">
        <f>IF(G736&lt;=1,"1. Under 1 hour",IF(G736&lt;=24,"2. 1-24 hours",IF(G736&lt;=72,"3. 1-3 days","4. Over 3 days")))</f>
        <v/>
      </c>
      <c r="O736">
        <f>TEXT(B736,"YYYY-MM")</f>
        <v/>
      </c>
    </row>
    <row r="737">
      <c r="A737" t="inlineStr">
        <is>
          <t>LD-300735</t>
        </is>
      </c>
      <c r="B737" t="inlineStr">
        <is>
          <t>2025-11-11 13:06:00</t>
        </is>
      </c>
      <c r="C737" t="inlineStr">
        <is>
          <t>Organic Search</t>
        </is>
      </c>
      <c r="D737" t="inlineStr">
        <is>
          <t>K-12 Math</t>
        </is>
      </c>
      <c r="E737" t="inlineStr">
        <is>
          <t>North Region</t>
        </is>
      </c>
      <c r="F737" t="inlineStr">
        <is>
          <t>Rep_01</t>
        </is>
      </c>
      <c r="G737" t="n">
        <v>2.32</v>
      </c>
      <c r="H737" t="inlineStr">
        <is>
          <t>Closed</t>
        </is>
      </c>
      <c r="I737" t="inlineStr">
        <is>
          <t>Won</t>
        </is>
      </c>
      <c r="K737" t="n">
        <v>418.2</v>
      </c>
      <c r="L737" t="inlineStr">
        <is>
          <t>2025-12-24 21:39:54.441794</t>
        </is>
      </c>
      <c r="M737">
        <f>VLOOKUP(H737,'Stage Order'!$A$2:$B$8,2,FALSE)</f>
        <v/>
      </c>
      <c r="N737">
        <f>IF(G737&lt;=1,"1. Under 1 hour",IF(G737&lt;=24,"2. 1-24 hours",IF(G737&lt;=72,"3. 1-3 days","4. Over 3 days")))</f>
        <v/>
      </c>
      <c r="O737">
        <f>TEXT(B737,"YYYY-MM")</f>
        <v/>
      </c>
    </row>
    <row r="738">
      <c r="A738" t="inlineStr">
        <is>
          <t>LD-300736</t>
        </is>
      </c>
      <c r="B738" t="inlineStr">
        <is>
          <t>2025-04-16 17:27:00</t>
        </is>
      </c>
      <c r="C738" t="inlineStr">
        <is>
          <t>Social Media</t>
        </is>
      </c>
      <c r="D738" t="inlineStr">
        <is>
          <t>Language Learning</t>
        </is>
      </c>
      <c r="E738" t="inlineStr">
        <is>
          <t>South Region</t>
        </is>
      </c>
      <c r="F738" t="inlineStr">
        <is>
          <t>Rep_02</t>
        </is>
      </c>
      <c r="G738" t="n">
        <v>11.19</v>
      </c>
      <c r="H738" t="inlineStr">
        <is>
          <t>Demo Completed</t>
        </is>
      </c>
      <c r="I738" t="inlineStr">
        <is>
          <t>Lost</t>
        </is>
      </c>
      <c r="J738" t="inlineStr">
        <is>
          <t>Bad Timing</t>
        </is>
      </c>
      <c r="K738" t="n">
        <v>384.48</v>
      </c>
      <c r="L738" t="inlineStr">
        <is>
          <t>2025-05-19 14:31:23.411525</t>
        </is>
      </c>
      <c r="M738">
        <f>VLOOKUP(H738,'Stage Order'!$A$2:$B$8,2,FALSE)</f>
        <v/>
      </c>
      <c r="N738">
        <f>IF(G738&lt;=1,"1. Under 1 hour",IF(G738&lt;=24,"2. 1-24 hours",IF(G738&lt;=72,"3. 1-3 days","4. Over 3 days")))</f>
        <v/>
      </c>
      <c r="O738">
        <f>TEXT(B738,"YYYY-MM")</f>
        <v/>
      </c>
    </row>
    <row r="739">
      <c r="A739" t="inlineStr">
        <is>
          <t>LD-300737</t>
        </is>
      </c>
      <c r="B739" t="inlineStr">
        <is>
          <t>2026-05-19 09:21:00</t>
        </is>
      </c>
      <c r="C739" t="inlineStr">
        <is>
          <t>Social Media</t>
        </is>
      </c>
      <c r="D739" t="inlineStr">
        <is>
          <t>Study Abroad Prep</t>
        </is>
      </c>
      <c r="E739" t="inlineStr">
        <is>
          <t>West Region</t>
        </is>
      </c>
      <c r="F739" t="inlineStr">
        <is>
          <t>Rep_13</t>
        </is>
      </c>
      <c r="G739" t="n">
        <v>7.32</v>
      </c>
      <c r="H739" t="inlineStr">
        <is>
          <t>Lead</t>
        </is>
      </c>
      <c r="I739" t="inlineStr">
        <is>
          <t>Open</t>
        </is>
      </c>
      <c r="M739">
        <f>VLOOKUP(H739,'Stage Order'!$A$2:$B$8,2,FALSE)</f>
        <v/>
      </c>
      <c r="N739">
        <f>IF(G739&lt;=1,"1. Under 1 hour",IF(G739&lt;=24,"2. 1-24 hours",IF(G739&lt;=72,"3. 1-3 days","4. Over 3 days")))</f>
        <v/>
      </c>
      <c r="O739">
        <f>TEXT(B739,"YYYY-MM")</f>
        <v/>
      </c>
    </row>
    <row r="740">
      <c r="A740" t="inlineStr">
        <is>
          <t>LD-300738</t>
        </is>
      </c>
      <c r="B740" t="inlineStr">
        <is>
          <t>2025-01-17 15:16:00</t>
        </is>
      </c>
      <c r="C740" t="inlineStr">
        <is>
          <t>Referral</t>
        </is>
      </c>
      <c r="D740" t="inlineStr">
        <is>
          <t>Competitive Exam Prep</t>
        </is>
      </c>
      <c r="E740" t="inlineStr">
        <is>
          <t>West Region</t>
        </is>
      </c>
      <c r="F740" t="inlineStr">
        <is>
          <t>Rep_03</t>
        </is>
      </c>
      <c r="G740" t="n">
        <v>7.38</v>
      </c>
      <c r="H740" t="inlineStr">
        <is>
          <t>Negotiation</t>
        </is>
      </c>
      <c r="I740" t="inlineStr">
        <is>
          <t>Lost</t>
        </is>
      </c>
      <c r="J740" t="inlineStr">
        <is>
          <t>No Response / Ghosted</t>
        </is>
      </c>
      <c r="K740" t="n">
        <v>1132.38</v>
      </c>
      <c r="L740" t="inlineStr">
        <is>
          <t>2025-02-27 03:45:07.662105</t>
        </is>
      </c>
      <c r="M740">
        <f>VLOOKUP(H740,'Stage Order'!$A$2:$B$8,2,FALSE)</f>
        <v/>
      </c>
      <c r="N740">
        <f>IF(G740&lt;=1,"1. Under 1 hour",IF(G740&lt;=24,"2. 1-24 hours",IF(G740&lt;=72,"3. 1-3 days","4. Over 3 days")))</f>
        <v/>
      </c>
      <c r="O740">
        <f>TEXT(B740,"YYYY-MM")</f>
        <v/>
      </c>
    </row>
    <row r="741">
      <c r="A741" t="inlineStr">
        <is>
          <t>LD-300739</t>
        </is>
      </c>
      <c r="B741" t="inlineStr">
        <is>
          <t>2025-07-18 17:27:00</t>
        </is>
      </c>
      <c r="C741" t="inlineStr">
        <is>
          <t>Organic Search</t>
        </is>
      </c>
      <c r="D741" t="inlineStr">
        <is>
          <t>K-12 Math</t>
        </is>
      </c>
      <c r="E741" t="inlineStr">
        <is>
          <t>East Region</t>
        </is>
      </c>
      <c r="F741" t="inlineStr">
        <is>
          <t>Rep_09</t>
        </is>
      </c>
      <c r="G741" t="n">
        <v>1.94</v>
      </c>
      <c r="H741" t="inlineStr">
        <is>
          <t>Lead</t>
        </is>
      </c>
      <c r="I741" t="inlineStr">
        <is>
          <t>Open</t>
        </is>
      </c>
      <c r="M741">
        <f>VLOOKUP(H741,'Stage Order'!$A$2:$B$8,2,FALSE)</f>
        <v/>
      </c>
      <c r="N741">
        <f>IF(G741&lt;=1,"1. Under 1 hour",IF(G741&lt;=24,"2. 1-24 hours",IF(G741&lt;=72,"3. 1-3 days","4. Over 3 days")))</f>
        <v/>
      </c>
      <c r="O741">
        <f>TEXT(B741,"YYYY-MM")</f>
        <v/>
      </c>
    </row>
    <row r="742">
      <c r="A742" t="inlineStr">
        <is>
          <t>LD-300740</t>
        </is>
      </c>
      <c r="B742" t="inlineStr">
        <is>
          <t>2025-02-04 12:49:00</t>
        </is>
      </c>
      <c r="C742" t="inlineStr">
        <is>
          <t>Cold Outreach</t>
        </is>
      </c>
      <c r="D742" t="inlineStr">
        <is>
          <t>Coding for Kids</t>
        </is>
      </c>
      <c r="E742" t="inlineStr">
        <is>
          <t>International</t>
        </is>
      </c>
      <c r="F742" t="inlineStr">
        <is>
          <t>Rep_05</t>
        </is>
      </c>
      <c r="G742" t="n">
        <v>5.69</v>
      </c>
      <c r="H742" t="inlineStr">
        <is>
          <t>Lead</t>
        </is>
      </c>
      <c r="I742" t="inlineStr">
        <is>
          <t>Open</t>
        </is>
      </c>
      <c r="M742">
        <f>VLOOKUP(H742,'Stage Order'!$A$2:$B$8,2,FALSE)</f>
        <v/>
      </c>
      <c r="N742">
        <f>IF(G742&lt;=1,"1. Under 1 hour",IF(G742&lt;=24,"2. 1-24 hours",IF(G742&lt;=72,"3. 1-3 days","4. Over 3 days")))</f>
        <v/>
      </c>
      <c r="O742">
        <f>TEXT(B742,"YYYY-MM")</f>
        <v/>
      </c>
    </row>
    <row r="743">
      <c r="A743" t="inlineStr">
        <is>
          <t>LD-300741</t>
        </is>
      </c>
      <c r="B743" t="inlineStr">
        <is>
          <t>2025-08-26 14:03:00</t>
        </is>
      </c>
      <c r="C743" t="inlineStr">
        <is>
          <t>Paid Search</t>
        </is>
      </c>
      <c r="D743" t="inlineStr">
        <is>
          <t>Coding for Kids</t>
        </is>
      </c>
      <c r="E743" t="inlineStr">
        <is>
          <t>East Region</t>
        </is>
      </c>
      <c r="F743" t="inlineStr">
        <is>
          <t>Rep_04</t>
        </is>
      </c>
      <c r="G743" t="n">
        <v>7.91</v>
      </c>
      <c r="H743" t="inlineStr">
        <is>
          <t>Lead</t>
        </is>
      </c>
      <c r="I743" t="inlineStr">
        <is>
          <t>Open</t>
        </is>
      </c>
      <c r="M743">
        <f>VLOOKUP(H743,'Stage Order'!$A$2:$B$8,2,FALSE)</f>
        <v/>
      </c>
      <c r="N743">
        <f>IF(G743&lt;=1,"1. Under 1 hour",IF(G743&lt;=24,"2. 1-24 hours",IF(G743&lt;=72,"3. 1-3 days","4. Over 3 days")))</f>
        <v/>
      </c>
      <c r="O743">
        <f>TEXT(B743,"YYYY-MM")</f>
        <v/>
      </c>
    </row>
    <row r="744">
      <c r="A744" t="inlineStr">
        <is>
          <t>LD-300742</t>
        </is>
      </c>
      <c r="B744" t="inlineStr">
        <is>
          <t>2025-09-24 14:42:00</t>
        </is>
      </c>
      <c r="C744" t="inlineStr">
        <is>
          <t>Social Media</t>
        </is>
      </c>
      <c r="D744" t="inlineStr">
        <is>
          <t>Study Abroad Prep</t>
        </is>
      </c>
      <c r="E744" t="inlineStr">
        <is>
          <t>South Region</t>
        </is>
      </c>
      <c r="F744" t="inlineStr">
        <is>
          <t>Rep_07</t>
        </is>
      </c>
      <c r="G744" t="n">
        <v>1.54</v>
      </c>
      <c r="H744" t="inlineStr">
        <is>
          <t>Contacted</t>
        </is>
      </c>
      <c r="I744" t="inlineStr">
        <is>
          <t>Open</t>
        </is>
      </c>
      <c r="M744">
        <f>VLOOKUP(H744,'Stage Order'!$A$2:$B$8,2,FALSE)</f>
        <v/>
      </c>
      <c r="N744">
        <f>IF(G744&lt;=1,"1. Under 1 hour",IF(G744&lt;=24,"2. 1-24 hours",IF(G744&lt;=72,"3. 1-3 days","4. Over 3 days")))</f>
        <v/>
      </c>
      <c r="O744">
        <f>TEXT(B744,"YYYY-MM")</f>
        <v/>
      </c>
    </row>
    <row r="745">
      <c r="A745" t="inlineStr">
        <is>
          <t>LD-300743</t>
        </is>
      </c>
      <c r="B745" t="inlineStr">
        <is>
          <t>2025-09-05 20:00:00</t>
        </is>
      </c>
      <c r="C745" t="inlineStr">
        <is>
          <t>Webinar</t>
        </is>
      </c>
      <c r="D745" t="inlineStr">
        <is>
          <t>Language Learning</t>
        </is>
      </c>
      <c r="E745" t="inlineStr">
        <is>
          <t>East Region</t>
        </is>
      </c>
      <c r="F745" t="inlineStr">
        <is>
          <t>Rep_14</t>
        </is>
      </c>
      <c r="G745" t="n">
        <v>4.26</v>
      </c>
      <c r="H745" t="inlineStr">
        <is>
          <t>Lead</t>
        </is>
      </c>
      <c r="I745" t="inlineStr">
        <is>
          <t>Open</t>
        </is>
      </c>
      <c r="M745">
        <f>VLOOKUP(H745,'Stage Order'!$A$2:$B$8,2,FALSE)</f>
        <v/>
      </c>
      <c r="N745">
        <f>IF(G745&lt;=1,"1. Under 1 hour",IF(G745&lt;=24,"2. 1-24 hours",IF(G745&lt;=72,"3. 1-3 days","4. Over 3 days")))</f>
        <v/>
      </c>
      <c r="O745">
        <f>TEXT(B745,"YYYY-MM")</f>
        <v/>
      </c>
    </row>
    <row r="746">
      <c r="A746" t="inlineStr">
        <is>
          <t>LD-300744</t>
        </is>
      </c>
      <c r="B746" t="inlineStr">
        <is>
          <t>2025-04-25 19:10:00</t>
        </is>
      </c>
      <c r="C746" t="inlineStr">
        <is>
          <t>Partner Channel</t>
        </is>
      </c>
      <c r="D746" t="inlineStr">
        <is>
          <t>Coding for Kids</t>
        </is>
      </c>
      <c r="E746" t="inlineStr">
        <is>
          <t>North Region</t>
        </is>
      </c>
      <c r="F746" t="inlineStr">
        <is>
          <t>Rep_01</t>
        </is>
      </c>
      <c r="G746" t="n">
        <v>1.9</v>
      </c>
      <c r="H746" t="inlineStr">
        <is>
          <t>Negotiation</t>
        </is>
      </c>
      <c r="I746" t="inlineStr">
        <is>
          <t>Lost</t>
        </is>
      </c>
      <c r="J746" t="inlineStr">
        <is>
          <t>Budget Not Approved</t>
        </is>
      </c>
      <c r="K746" t="n">
        <v>710.4</v>
      </c>
      <c r="L746" t="inlineStr">
        <is>
          <t>2025-06-02 12:34:51.287473</t>
        </is>
      </c>
      <c r="M746">
        <f>VLOOKUP(H746,'Stage Order'!$A$2:$B$8,2,FALSE)</f>
        <v/>
      </c>
      <c r="N746">
        <f>IF(G746&lt;=1,"1. Under 1 hour",IF(G746&lt;=24,"2. 1-24 hours",IF(G746&lt;=72,"3. 1-3 days","4. Over 3 days")))</f>
        <v/>
      </c>
      <c r="O746">
        <f>TEXT(B746,"YYYY-MM")</f>
        <v/>
      </c>
    </row>
    <row r="747">
      <c r="A747" t="inlineStr">
        <is>
          <t>LD-300745</t>
        </is>
      </c>
      <c r="B747" t="inlineStr">
        <is>
          <t>2026-03-07 17:53:00</t>
        </is>
      </c>
      <c r="C747" t="inlineStr">
        <is>
          <t>Social Media</t>
        </is>
      </c>
      <c r="D747" t="inlineStr">
        <is>
          <t>Coding for Kids</t>
        </is>
      </c>
      <c r="E747" t="inlineStr">
        <is>
          <t>West Region</t>
        </is>
      </c>
      <c r="F747" t="inlineStr">
        <is>
          <t>Rep_03</t>
        </is>
      </c>
      <c r="G747" t="n">
        <v>5.49</v>
      </c>
      <c r="H747" t="inlineStr">
        <is>
          <t>Contacted</t>
        </is>
      </c>
      <c r="I747" t="inlineStr">
        <is>
          <t>Open</t>
        </is>
      </c>
      <c r="M747">
        <f>VLOOKUP(H747,'Stage Order'!$A$2:$B$8,2,FALSE)</f>
        <v/>
      </c>
      <c r="N747">
        <f>IF(G747&lt;=1,"1. Under 1 hour",IF(G747&lt;=24,"2. 1-24 hours",IF(G747&lt;=72,"3. 1-3 days","4. Over 3 days")))</f>
        <v/>
      </c>
      <c r="O747">
        <f>TEXT(B747,"YYYY-MM")</f>
        <v/>
      </c>
    </row>
    <row r="748">
      <c r="A748" t="inlineStr">
        <is>
          <t>LD-300746</t>
        </is>
      </c>
      <c r="B748" t="inlineStr">
        <is>
          <t>2025-09-09 13:29:00</t>
        </is>
      </c>
      <c r="C748" t="inlineStr">
        <is>
          <t>Partner Channel</t>
        </is>
      </c>
      <c r="D748" t="inlineStr">
        <is>
          <t>Coding for Kids</t>
        </is>
      </c>
      <c r="E748" t="inlineStr">
        <is>
          <t>East Region</t>
        </is>
      </c>
      <c r="F748" t="inlineStr">
        <is>
          <t>Rep_04</t>
        </is>
      </c>
      <c r="G748" t="n">
        <v>3.91</v>
      </c>
      <c r="H748" t="inlineStr">
        <is>
          <t>Proposal Sent</t>
        </is>
      </c>
      <c r="I748" t="inlineStr">
        <is>
          <t>Lost</t>
        </is>
      </c>
      <c r="J748" t="inlineStr">
        <is>
          <t>No Response / Ghosted</t>
        </is>
      </c>
      <c r="K748" t="n">
        <v>760.5</v>
      </c>
      <c r="L748" t="inlineStr">
        <is>
          <t>2025-10-05 15:30:50.103539</t>
        </is>
      </c>
      <c r="M748">
        <f>VLOOKUP(H748,'Stage Order'!$A$2:$B$8,2,FALSE)</f>
        <v/>
      </c>
      <c r="N748">
        <f>IF(G748&lt;=1,"1. Under 1 hour",IF(G748&lt;=24,"2. 1-24 hours",IF(G748&lt;=72,"3. 1-3 days","4. Over 3 days")))</f>
        <v/>
      </c>
      <c r="O748">
        <f>TEXT(B748,"YYYY-MM")</f>
        <v/>
      </c>
    </row>
    <row r="749">
      <c r="A749" t="inlineStr">
        <is>
          <t>LD-300747</t>
        </is>
      </c>
      <c r="B749" t="inlineStr">
        <is>
          <t>2025-05-02 08:44:00</t>
        </is>
      </c>
      <c r="C749" t="inlineStr">
        <is>
          <t>Webinar</t>
        </is>
      </c>
      <c r="D749" t="inlineStr">
        <is>
          <t>Study Abroad Prep</t>
        </is>
      </c>
      <c r="E749" t="inlineStr">
        <is>
          <t>International</t>
        </is>
      </c>
      <c r="F749" t="inlineStr">
        <is>
          <t>Rep_15</t>
        </is>
      </c>
      <c r="G749" t="n">
        <v>2.33</v>
      </c>
      <c r="H749" t="inlineStr">
        <is>
          <t>Negotiation</t>
        </is>
      </c>
      <c r="I749" t="inlineStr">
        <is>
          <t>Lost</t>
        </is>
      </c>
      <c r="J749" t="inlineStr">
        <is>
          <t>Budget Not Approved</t>
        </is>
      </c>
      <c r="K749" t="n">
        <v>1608.04</v>
      </c>
      <c r="L749" t="inlineStr">
        <is>
          <t>2025-06-18 07:52:55.179841</t>
        </is>
      </c>
      <c r="M749">
        <f>VLOOKUP(H749,'Stage Order'!$A$2:$B$8,2,FALSE)</f>
        <v/>
      </c>
      <c r="N749">
        <f>IF(G749&lt;=1,"1. Under 1 hour",IF(G749&lt;=24,"2. 1-24 hours",IF(G749&lt;=72,"3. 1-3 days","4. Over 3 days")))</f>
        <v/>
      </c>
      <c r="O749">
        <f>TEXT(B749,"YYYY-MM")</f>
        <v/>
      </c>
    </row>
    <row r="750">
      <c r="A750" t="inlineStr">
        <is>
          <t>LD-300748</t>
        </is>
      </c>
      <c r="B750" t="inlineStr">
        <is>
          <t>2026-05-20 12:20:00</t>
        </is>
      </c>
      <c r="C750" t="inlineStr">
        <is>
          <t>Organic Search</t>
        </is>
      </c>
      <c r="D750" t="inlineStr">
        <is>
          <t>K-12 Math</t>
        </is>
      </c>
      <c r="E750" t="inlineStr">
        <is>
          <t>North Region</t>
        </is>
      </c>
      <c r="F750" t="inlineStr">
        <is>
          <t>Rep_11</t>
        </is>
      </c>
      <c r="G750" t="n">
        <v>2.28</v>
      </c>
      <c r="H750" t="inlineStr">
        <is>
          <t>Closed</t>
        </is>
      </c>
      <c r="I750" t="inlineStr">
        <is>
          <t>Won</t>
        </is>
      </c>
      <c r="K750" t="n">
        <v>425.19</v>
      </c>
      <c r="L750" t="inlineStr">
        <is>
          <t>2026-07-08 23:28:15.119782</t>
        </is>
      </c>
      <c r="M750">
        <f>VLOOKUP(H750,'Stage Order'!$A$2:$B$8,2,FALSE)</f>
        <v/>
      </c>
      <c r="N750">
        <f>IF(G750&lt;=1,"1. Under 1 hour",IF(G750&lt;=24,"2. 1-24 hours",IF(G750&lt;=72,"3. 1-3 days","4. Over 3 days")))</f>
        <v/>
      </c>
      <c r="O750">
        <f>TEXT(B750,"YYYY-MM")</f>
        <v/>
      </c>
    </row>
    <row r="751">
      <c r="A751" t="inlineStr">
        <is>
          <t>LD-300749</t>
        </is>
      </c>
      <c r="B751" t="inlineStr">
        <is>
          <t>2025-04-15 20:32:00</t>
        </is>
      </c>
      <c r="C751" t="inlineStr">
        <is>
          <t>Organic Search</t>
        </is>
      </c>
      <c r="D751" t="inlineStr">
        <is>
          <t>K-12 Math</t>
        </is>
      </c>
      <c r="E751" t="inlineStr">
        <is>
          <t>South Region</t>
        </is>
      </c>
      <c r="F751" t="inlineStr">
        <is>
          <t>Rep_12</t>
        </is>
      </c>
      <c r="G751" t="n">
        <v>1.77</v>
      </c>
      <c r="H751" t="inlineStr">
        <is>
          <t>Contacted</t>
        </is>
      </c>
      <c r="I751" t="inlineStr">
        <is>
          <t>Open</t>
        </is>
      </c>
      <c r="M751">
        <f>VLOOKUP(H751,'Stage Order'!$A$2:$B$8,2,FALSE)</f>
        <v/>
      </c>
      <c r="N751">
        <f>IF(G751&lt;=1,"1. Under 1 hour",IF(G751&lt;=24,"2. 1-24 hours",IF(G751&lt;=72,"3. 1-3 days","4. Over 3 days")))</f>
        <v/>
      </c>
      <c r="O751">
        <f>TEXT(B751,"YYYY-MM")</f>
        <v/>
      </c>
    </row>
    <row r="752">
      <c r="A752" t="inlineStr">
        <is>
          <t>LD-300750</t>
        </is>
      </c>
      <c r="B752" t="inlineStr">
        <is>
          <t>2026-01-02 12:17:00</t>
        </is>
      </c>
      <c r="C752" t="inlineStr">
        <is>
          <t>Organic Search</t>
        </is>
      </c>
      <c r="D752" t="inlineStr">
        <is>
          <t>Coding for Kids</t>
        </is>
      </c>
      <c r="E752" t="inlineStr">
        <is>
          <t>North Region</t>
        </is>
      </c>
      <c r="F752" t="inlineStr">
        <is>
          <t>Rep_06</t>
        </is>
      </c>
      <c r="G752" t="n">
        <v>20.04</v>
      </c>
      <c r="H752" t="inlineStr">
        <is>
          <t>Contacted</t>
        </is>
      </c>
      <c r="I752" t="inlineStr">
        <is>
          <t>Open</t>
        </is>
      </c>
      <c r="M752">
        <f>VLOOKUP(H752,'Stage Order'!$A$2:$B$8,2,FALSE)</f>
        <v/>
      </c>
      <c r="N752">
        <f>IF(G752&lt;=1,"1. Under 1 hour",IF(G752&lt;=24,"2. 1-24 hours",IF(G752&lt;=72,"3. 1-3 days","4. Over 3 days")))</f>
        <v/>
      </c>
      <c r="O752">
        <f>TEXT(B752,"YYYY-MM")</f>
        <v/>
      </c>
    </row>
    <row r="753">
      <c r="A753" t="inlineStr">
        <is>
          <t>LD-300751</t>
        </is>
      </c>
      <c r="B753" t="inlineStr">
        <is>
          <t>2026-01-16 19:29:00</t>
        </is>
      </c>
      <c r="C753" t="inlineStr">
        <is>
          <t>Paid Search</t>
        </is>
      </c>
      <c r="D753" t="inlineStr">
        <is>
          <t>Study Abroad Prep</t>
        </is>
      </c>
      <c r="E753" t="inlineStr">
        <is>
          <t>East Region</t>
        </is>
      </c>
      <c r="F753" t="inlineStr">
        <is>
          <t>Rep_04</t>
        </is>
      </c>
      <c r="G753" t="n">
        <v>2.86</v>
      </c>
      <c r="H753" t="inlineStr">
        <is>
          <t>Demo Completed</t>
        </is>
      </c>
      <c r="I753" t="inlineStr">
        <is>
          <t>Lost</t>
        </is>
      </c>
      <c r="J753" t="inlineStr">
        <is>
          <t>No Response / Ghosted</t>
        </is>
      </c>
      <c r="K753" t="n">
        <v>1413.95</v>
      </c>
      <c r="L753" t="inlineStr">
        <is>
          <t>2026-02-23 07:51:06.238536</t>
        </is>
      </c>
      <c r="M753">
        <f>VLOOKUP(H753,'Stage Order'!$A$2:$B$8,2,FALSE)</f>
        <v/>
      </c>
      <c r="N753">
        <f>IF(G753&lt;=1,"1. Under 1 hour",IF(G753&lt;=24,"2. 1-24 hours",IF(G753&lt;=72,"3. 1-3 days","4. Over 3 days")))</f>
        <v/>
      </c>
      <c r="O753">
        <f>TEXT(B753,"YYYY-MM")</f>
        <v/>
      </c>
    </row>
    <row r="754">
      <c r="A754" t="inlineStr">
        <is>
          <t>LD-300752</t>
        </is>
      </c>
      <c r="B754" t="inlineStr">
        <is>
          <t>2025-07-25 11:32:00</t>
        </is>
      </c>
      <c r="C754" t="inlineStr">
        <is>
          <t>Paid Search</t>
        </is>
      </c>
      <c r="D754" t="inlineStr">
        <is>
          <t>Language Learning</t>
        </is>
      </c>
      <c r="E754" t="inlineStr">
        <is>
          <t>West Region</t>
        </is>
      </c>
      <c r="F754" t="inlineStr">
        <is>
          <t>Rep_13</t>
        </is>
      </c>
      <c r="G754" t="n">
        <v>0.67</v>
      </c>
      <c r="H754" t="inlineStr">
        <is>
          <t>Contacted</t>
        </is>
      </c>
      <c r="I754" t="inlineStr">
        <is>
          <t>Open</t>
        </is>
      </c>
      <c r="M754">
        <f>VLOOKUP(H754,'Stage Order'!$A$2:$B$8,2,FALSE)</f>
        <v/>
      </c>
      <c r="N754">
        <f>IF(G754&lt;=1,"1. Under 1 hour",IF(G754&lt;=24,"2. 1-24 hours",IF(G754&lt;=72,"3. 1-3 days","4. Over 3 days")))</f>
        <v/>
      </c>
      <c r="O754">
        <f>TEXT(B754,"YYYY-MM")</f>
        <v/>
      </c>
    </row>
    <row r="755">
      <c r="A755" t="inlineStr">
        <is>
          <t>LD-300753</t>
        </is>
      </c>
      <c r="B755" t="inlineStr">
        <is>
          <t>2025-01-31 13:28:00</t>
        </is>
      </c>
      <c r="C755" t="inlineStr">
        <is>
          <t>Paid Search</t>
        </is>
      </c>
      <c r="D755" t="inlineStr">
        <is>
          <t>K-12 Math</t>
        </is>
      </c>
      <c r="E755" t="inlineStr">
        <is>
          <t>North Region</t>
        </is>
      </c>
      <c r="F755" t="inlineStr">
        <is>
          <t>Rep_01</t>
        </is>
      </c>
      <c r="G755" t="n">
        <v>7.82</v>
      </c>
      <c r="H755" t="inlineStr">
        <is>
          <t>Lead</t>
        </is>
      </c>
      <c r="I755" t="inlineStr">
        <is>
          <t>Open</t>
        </is>
      </c>
      <c r="M755">
        <f>VLOOKUP(H755,'Stage Order'!$A$2:$B$8,2,FALSE)</f>
        <v/>
      </c>
      <c r="N755">
        <f>IF(G755&lt;=1,"1. Under 1 hour",IF(G755&lt;=24,"2. 1-24 hours",IF(G755&lt;=72,"3. 1-3 days","4. Over 3 days")))</f>
        <v/>
      </c>
      <c r="O755">
        <f>TEXT(B755,"YYYY-MM")</f>
        <v/>
      </c>
    </row>
    <row r="756">
      <c r="A756" t="inlineStr">
        <is>
          <t>LD-300754</t>
        </is>
      </c>
      <c r="B756" t="inlineStr">
        <is>
          <t>2025-05-09 20:48:00</t>
        </is>
      </c>
      <c r="C756" t="inlineStr">
        <is>
          <t>Organic Search</t>
        </is>
      </c>
      <c r="D756" t="inlineStr">
        <is>
          <t>K-12 Math</t>
        </is>
      </c>
      <c r="E756" t="inlineStr">
        <is>
          <t>East Region</t>
        </is>
      </c>
      <c r="F756" t="inlineStr">
        <is>
          <t>Rep_09</t>
        </is>
      </c>
      <c r="G756" t="n">
        <v>0.89</v>
      </c>
      <c r="H756" t="inlineStr">
        <is>
          <t>Contacted</t>
        </is>
      </c>
      <c r="I756" t="inlineStr">
        <is>
          <t>Open</t>
        </is>
      </c>
      <c r="M756">
        <f>VLOOKUP(H756,'Stage Order'!$A$2:$B$8,2,FALSE)</f>
        <v/>
      </c>
      <c r="N756">
        <f>IF(G756&lt;=1,"1. Under 1 hour",IF(G756&lt;=24,"2. 1-24 hours",IF(G756&lt;=72,"3. 1-3 days","4. Over 3 days")))</f>
        <v/>
      </c>
      <c r="O756">
        <f>TEXT(B756,"YYYY-MM")</f>
        <v/>
      </c>
    </row>
    <row r="757">
      <c r="A757" t="inlineStr">
        <is>
          <t>LD-300755</t>
        </is>
      </c>
      <c r="B757" t="inlineStr">
        <is>
          <t>2026-02-20 16:46:00</t>
        </is>
      </c>
      <c r="C757" t="inlineStr">
        <is>
          <t>Cold Outreach</t>
        </is>
      </c>
      <c r="D757" t="inlineStr">
        <is>
          <t>Language Learning</t>
        </is>
      </c>
      <c r="E757" t="inlineStr">
        <is>
          <t>International</t>
        </is>
      </c>
      <c r="F757" t="inlineStr">
        <is>
          <t>Rep_05</t>
        </is>
      </c>
      <c r="G757" t="n">
        <v>3.78</v>
      </c>
      <c r="H757" t="inlineStr">
        <is>
          <t>Lead</t>
        </is>
      </c>
      <c r="I757" t="inlineStr">
        <is>
          <t>Open</t>
        </is>
      </c>
      <c r="M757">
        <f>VLOOKUP(H757,'Stage Order'!$A$2:$B$8,2,FALSE)</f>
        <v/>
      </c>
      <c r="N757">
        <f>IF(G757&lt;=1,"1. Under 1 hour",IF(G757&lt;=24,"2. 1-24 hours",IF(G757&lt;=72,"3. 1-3 days","4. Over 3 days")))</f>
        <v/>
      </c>
      <c r="O757">
        <f>TEXT(B757,"YYYY-MM")</f>
        <v/>
      </c>
    </row>
    <row r="758">
      <c r="A758" t="inlineStr">
        <is>
          <t>LD-300756</t>
        </is>
      </c>
      <c r="B758" t="inlineStr">
        <is>
          <t>2025-09-26 07:22:00</t>
        </is>
      </c>
      <c r="C758" t="inlineStr">
        <is>
          <t>Social Media</t>
        </is>
      </c>
      <c r="D758" t="inlineStr">
        <is>
          <t>Study Abroad Prep</t>
        </is>
      </c>
      <c r="E758" t="inlineStr">
        <is>
          <t>East Region</t>
        </is>
      </c>
      <c r="F758" t="inlineStr">
        <is>
          <t>Rep_09</t>
        </is>
      </c>
      <c r="G758" t="n">
        <v>1.71</v>
      </c>
      <c r="H758" t="inlineStr">
        <is>
          <t>Contacted</t>
        </is>
      </c>
      <c r="I758" t="inlineStr">
        <is>
          <t>Open</t>
        </is>
      </c>
      <c r="M758">
        <f>VLOOKUP(H758,'Stage Order'!$A$2:$B$8,2,FALSE)</f>
        <v/>
      </c>
      <c r="N758">
        <f>IF(G758&lt;=1,"1. Under 1 hour",IF(G758&lt;=24,"2. 1-24 hours",IF(G758&lt;=72,"3. 1-3 days","4. Over 3 days")))</f>
        <v/>
      </c>
      <c r="O758">
        <f>TEXT(B758,"YYYY-MM")</f>
        <v/>
      </c>
    </row>
    <row r="759">
      <c r="A759" t="inlineStr">
        <is>
          <t>LD-300757</t>
        </is>
      </c>
      <c r="B759" t="inlineStr">
        <is>
          <t>2026-01-30 09:23:00</t>
        </is>
      </c>
      <c r="C759" t="inlineStr">
        <is>
          <t>Cold Outreach</t>
        </is>
      </c>
      <c r="D759" t="inlineStr">
        <is>
          <t>Competitive Exam Prep</t>
        </is>
      </c>
      <c r="E759" t="inlineStr">
        <is>
          <t>South Region</t>
        </is>
      </c>
      <c r="F759" t="inlineStr">
        <is>
          <t>Rep_12</t>
        </is>
      </c>
      <c r="G759" t="n">
        <v>5.18</v>
      </c>
      <c r="H759" t="inlineStr">
        <is>
          <t>Contacted</t>
        </is>
      </c>
      <c r="I759" t="inlineStr">
        <is>
          <t>Open</t>
        </is>
      </c>
      <c r="M759">
        <f>VLOOKUP(H759,'Stage Order'!$A$2:$B$8,2,FALSE)</f>
        <v/>
      </c>
      <c r="N759">
        <f>IF(G759&lt;=1,"1. Under 1 hour",IF(G759&lt;=24,"2. 1-24 hours",IF(G759&lt;=72,"3. 1-3 days","4. Over 3 days")))</f>
        <v/>
      </c>
      <c r="O759">
        <f>TEXT(B759,"YYYY-MM")</f>
        <v/>
      </c>
    </row>
    <row r="760">
      <c r="A760" t="inlineStr">
        <is>
          <t>LD-300758</t>
        </is>
      </c>
      <c r="B760" t="inlineStr">
        <is>
          <t>2025-09-26 14:46:00</t>
        </is>
      </c>
      <c r="C760" t="inlineStr">
        <is>
          <t>Webinar</t>
        </is>
      </c>
      <c r="D760" t="inlineStr">
        <is>
          <t>Competitive Exam Prep</t>
        </is>
      </c>
      <c r="E760" t="inlineStr">
        <is>
          <t>International</t>
        </is>
      </c>
      <c r="F760" t="inlineStr">
        <is>
          <t>Rep_15</t>
        </is>
      </c>
      <c r="G760" t="n">
        <v>0.28</v>
      </c>
      <c r="H760" t="inlineStr">
        <is>
          <t>Contacted</t>
        </is>
      </c>
      <c r="I760" t="inlineStr">
        <is>
          <t>Open</t>
        </is>
      </c>
      <c r="M760">
        <f>VLOOKUP(H760,'Stage Order'!$A$2:$B$8,2,FALSE)</f>
        <v/>
      </c>
      <c r="N760">
        <f>IF(G760&lt;=1,"1. Under 1 hour",IF(G760&lt;=24,"2. 1-24 hours",IF(G760&lt;=72,"3. 1-3 days","4. Over 3 days")))</f>
        <v/>
      </c>
      <c r="O760">
        <f>TEXT(B760,"YYYY-MM")</f>
        <v/>
      </c>
    </row>
    <row r="761">
      <c r="A761" t="inlineStr">
        <is>
          <t>LD-300759</t>
        </is>
      </c>
      <c r="B761" t="inlineStr">
        <is>
          <t>2025-03-12 14:02:00</t>
        </is>
      </c>
      <c r="C761" t="inlineStr">
        <is>
          <t>Organic Search</t>
        </is>
      </c>
      <c r="D761" t="inlineStr">
        <is>
          <t>Language Learning</t>
        </is>
      </c>
      <c r="E761" t="inlineStr">
        <is>
          <t>East Region</t>
        </is>
      </c>
      <c r="F761" t="inlineStr">
        <is>
          <t>Rep_09</t>
        </is>
      </c>
      <c r="G761" t="n">
        <v>1.52</v>
      </c>
      <c r="H761" t="inlineStr">
        <is>
          <t>Contacted</t>
        </is>
      </c>
      <c r="I761" t="inlineStr">
        <is>
          <t>Open</t>
        </is>
      </c>
      <c r="M761">
        <f>VLOOKUP(H761,'Stage Order'!$A$2:$B$8,2,FALSE)</f>
        <v/>
      </c>
      <c r="N761">
        <f>IF(G761&lt;=1,"1. Under 1 hour",IF(G761&lt;=24,"2. 1-24 hours",IF(G761&lt;=72,"3. 1-3 days","4. Over 3 days")))</f>
        <v/>
      </c>
      <c r="O761">
        <f>TEXT(B761,"YYYY-MM")</f>
        <v/>
      </c>
    </row>
    <row r="762">
      <c r="A762" t="inlineStr">
        <is>
          <t>LD-300760</t>
        </is>
      </c>
      <c r="B762" t="inlineStr">
        <is>
          <t>2026-01-30 08:51:00</t>
        </is>
      </c>
      <c r="C762" t="inlineStr">
        <is>
          <t>Paid Search</t>
        </is>
      </c>
      <c r="D762" t="inlineStr">
        <is>
          <t>Competitive Exam Prep</t>
        </is>
      </c>
      <c r="E762" t="inlineStr">
        <is>
          <t>West Region</t>
        </is>
      </c>
      <c r="F762" t="inlineStr">
        <is>
          <t>Rep_08</t>
        </is>
      </c>
      <c r="G762" t="n">
        <v>0.5600000000000001</v>
      </c>
      <c r="H762" t="inlineStr">
        <is>
          <t>Contacted</t>
        </is>
      </c>
      <c r="I762" t="inlineStr">
        <is>
          <t>Open</t>
        </is>
      </c>
      <c r="M762">
        <f>VLOOKUP(H762,'Stage Order'!$A$2:$B$8,2,FALSE)</f>
        <v/>
      </c>
      <c r="N762">
        <f>IF(G762&lt;=1,"1. Under 1 hour",IF(G762&lt;=24,"2. 1-24 hours",IF(G762&lt;=72,"3. 1-3 days","4. Over 3 days")))</f>
        <v/>
      </c>
      <c r="O762">
        <f>TEXT(B762,"YYYY-MM")</f>
        <v/>
      </c>
    </row>
    <row r="763">
      <c r="A763" t="inlineStr">
        <is>
          <t>LD-300761</t>
        </is>
      </c>
      <c r="B763" t="inlineStr">
        <is>
          <t>2025-03-28 11:57:00</t>
        </is>
      </c>
      <c r="C763" t="inlineStr">
        <is>
          <t>Partner Channel</t>
        </is>
      </c>
      <c r="D763" t="inlineStr">
        <is>
          <t>Language Learning</t>
        </is>
      </c>
      <c r="E763" t="inlineStr">
        <is>
          <t>North Region</t>
        </is>
      </c>
      <c r="F763" t="inlineStr">
        <is>
          <t>Rep_01</t>
        </is>
      </c>
      <c r="G763" t="n">
        <v>0.65</v>
      </c>
      <c r="H763" t="inlineStr">
        <is>
          <t>Contacted</t>
        </is>
      </c>
      <c r="I763" t="inlineStr">
        <is>
          <t>Open</t>
        </is>
      </c>
      <c r="M763">
        <f>VLOOKUP(H763,'Stage Order'!$A$2:$B$8,2,FALSE)</f>
        <v/>
      </c>
      <c r="N763">
        <f>IF(G763&lt;=1,"1. Under 1 hour",IF(G763&lt;=24,"2. 1-24 hours",IF(G763&lt;=72,"3. 1-3 days","4. Over 3 days")))</f>
        <v/>
      </c>
      <c r="O763">
        <f>TEXT(B763,"YYYY-MM")</f>
        <v/>
      </c>
    </row>
    <row r="764">
      <c r="A764" t="inlineStr">
        <is>
          <t>LD-300762</t>
        </is>
      </c>
      <c r="B764" t="inlineStr">
        <is>
          <t>2026-05-01 10:40:00</t>
        </is>
      </c>
      <c r="C764" t="inlineStr">
        <is>
          <t>Paid Search</t>
        </is>
      </c>
      <c r="D764" t="inlineStr">
        <is>
          <t>K-12 Math</t>
        </is>
      </c>
      <c r="E764" t="inlineStr">
        <is>
          <t>West Region</t>
        </is>
      </c>
      <c r="F764" t="inlineStr">
        <is>
          <t>Rep_08</t>
        </is>
      </c>
      <c r="G764" t="n">
        <v>2.59</v>
      </c>
      <c r="H764" t="inlineStr">
        <is>
          <t>Contacted</t>
        </is>
      </c>
      <c r="I764" t="inlineStr">
        <is>
          <t>Open</t>
        </is>
      </c>
      <c r="M764">
        <f>VLOOKUP(H764,'Stage Order'!$A$2:$B$8,2,FALSE)</f>
        <v/>
      </c>
      <c r="N764">
        <f>IF(G764&lt;=1,"1. Under 1 hour",IF(G764&lt;=24,"2. 1-24 hours",IF(G764&lt;=72,"3. 1-3 days","4. Over 3 days")))</f>
        <v/>
      </c>
      <c r="O764">
        <f>TEXT(B764,"YYYY-MM")</f>
        <v/>
      </c>
    </row>
    <row r="765">
      <c r="A765" t="inlineStr">
        <is>
          <t>LD-300763</t>
        </is>
      </c>
      <c r="B765" t="inlineStr">
        <is>
          <t>2025-01-14 16:19:00</t>
        </is>
      </c>
      <c r="C765" t="inlineStr">
        <is>
          <t>Social Media</t>
        </is>
      </c>
      <c r="D765" t="inlineStr">
        <is>
          <t>Coding for Kids</t>
        </is>
      </c>
      <c r="E765" t="inlineStr">
        <is>
          <t>West Region</t>
        </is>
      </c>
      <c r="F765" t="inlineStr">
        <is>
          <t>Rep_03</t>
        </is>
      </c>
      <c r="G765" t="n">
        <v>2.63</v>
      </c>
      <c r="H765" t="inlineStr">
        <is>
          <t>Lead</t>
        </is>
      </c>
      <c r="I765" t="inlineStr">
        <is>
          <t>Open</t>
        </is>
      </c>
      <c r="M765">
        <f>VLOOKUP(H765,'Stage Order'!$A$2:$B$8,2,FALSE)</f>
        <v/>
      </c>
      <c r="N765">
        <f>IF(G765&lt;=1,"1. Under 1 hour",IF(G765&lt;=24,"2. 1-24 hours",IF(G765&lt;=72,"3. 1-3 days","4. Over 3 days")))</f>
        <v/>
      </c>
      <c r="O765">
        <f>TEXT(B765,"YYYY-MM")</f>
        <v/>
      </c>
    </row>
    <row r="766">
      <c r="A766" t="inlineStr">
        <is>
          <t>LD-300764</t>
        </is>
      </c>
      <c r="B766" t="inlineStr">
        <is>
          <t>2026-03-05 11:33:00</t>
        </is>
      </c>
      <c r="C766" t="inlineStr">
        <is>
          <t>Social Media</t>
        </is>
      </c>
      <c r="D766" t="inlineStr">
        <is>
          <t>K-12 Math</t>
        </is>
      </c>
      <c r="E766" t="inlineStr">
        <is>
          <t>West Region</t>
        </is>
      </c>
      <c r="F766" t="inlineStr">
        <is>
          <t>Rep_13</t>
        </is>
      </c>
      <c r="G766" t="n">
        <v>0.76</v>
      </c>
      <c r="H766" t="inlineStr">
        <is>
          <t>Contacted</t>
        </is>
      </c>
      <c r="I766" t="inlineStr">
        <is>
          <t>Open</t>
        </is>
      </c>
      <c r="M766">
        <f>VLOOKUP(H766,'Stage Order'!$A$2:$B$8,2,FALSE)</f>
        <v/>
      </c>
      <c r="N766">
        <f>IF(G766&lt;=1,"1. Under 1 hour",IF(G766&lt;=24,"2. 1-24 hours",IF(G766&lt;=72,"3. 1-3 days","4. Over 3 days")))</f>
        <v/>
      </c>
      <c r="O766">
        <f>TEXT(B766,"YYYY-MM")</f>
        <v/>
      </c>
    </row>
    <row r="767">
      <c r="A767" t="inlineStr">
        <is>
          <t>LD-300765</t>
        </is>
      </c>
      <c r="B767" t="inlineStr">
        <is>
          <t>2025-12-31 14:34:00</t>
        </is>
      </c>
      <c r="C767" t="inlineStr">
        <is>
          <t>Paid Search</t>
        </is>
      </c>
      <c r="D767" t="inlineStr">
        <is>
          <t>Coding for Kids</t>
        </is>
      </c>
      <c r="E767" t="inlineStr">
        <is>
          <t>North Region</t>
        </is>
      </c>
      <c r="F767" t="inlineStr">
        <is>
          <t>Rep_11</t>
        </is>
      </c>
      <c r="G767" t="n">
        <v>3.53</v>
      </c>
      <c r="H767" t="inlineStr">
        <is>
          <t>Proposal Sent</t>
        </is>
      </c>
      <c r="I767" t="inlineStr">
        <is>
          <t>Lost</t>
        </is>
      </c>
      <c r="J767" t="inlineStr">
        <is>
          <t>Budget Not Approved</t>
        </is>
      </c>
      <c r="K767" t="n">
        <v>762.15</v>
      </c>
      <c r="L767" t="inlineStr">
        <is>
          <t>2026-01-26 01:25:45.021619</t>
        </is>
      </c>
      <c r="M767">
        <f>VLOOKUP(H767,'Stage Order'!$A$2:$B$8,2,FALSE)</f>
        <v/>
      </c>
      <c r="N767">
        <f>IF(G767&lt;=1,"1. Under 1 hour",IF(G767&lt;=24,"2. 1-24 hours",IF(G767&lt;=72,"3. 1-3 days","4. Over 3 days")))</f>
        <v/>
      </c>
      <c r="O767">
        <f>TEXT(B767,"YYYY-MM")</f>
        <v/>
      </c>
    </row>
    <row r="768">
      <c r="A768" t="inlineStr">
        <is>
          <t>LD-300766</t>
        </is>
      </c>
      <c r="B768" t="inlineStr">
        <is>
          <t>2025-11-06 14:24:00</t>
        </is>
      </c>
      <c r="C768" t="inlineStr">
        <is>
          <t>Partner Channel</t>
        </is>
      </c>
      <c r="D768" t="inlineStr">
        <is>
          <t>K-12 Math</t>
        </is>
      </c>
      <c r="E768" t="inlineStr">
        <is>
          <t>South Region</t>
        </is>
      </c>
      <c r="F768" t="inlineStr">
        <is>
          <t>Rep_12</t>
        </is>
      </c>
      <c r="G768" t="n">
        <v>3.29</v>
      </c>
      <c r="H768" t="inlineStr">
        <is>
          <t>Contacted</t>
        </is>
      </c>
      <c r="I768" t="inlineStr">
        <is>
          <t>Open</t>
        </is>
      </c>
      <c r="M768">
        <f>VLOOKUP(H768,'Stage Order'!$A$2:$B$8,2,FALSE)</f>
        <v/>
      </c>
      <c r="N768">
        <f>IF(G768&lt;=1,"1. Under 1 hour",IF(G768&lt;=24,"2. 1-24 hours",IF(G768&lt;=72,"3. 1-3 days","4. Over 3 days")))</f>
        <v/>
      </c>
      <c r="O768">
        <f>TEXT(B768,"YYYY-MM")</f>
        <v/>
      </c>
    </row>
    <row r="769">
      <c r="A769" t="inlineStr">
        <is>
          <t>LD-300767</t>
        </is>
      </c>
      <c r="B769" t="inlineStr">
        <is>
          <t>2025-01-30 20:12:00</t>
        </is>
      </c>
      <c r="C769" t="inlineStr">
        <is>
          <t>Organic Search</t>
        </is>
      </c>
      <c r="D769" t="inlineStr">
        <is>
          <t>Study Abroad Prep</t>
        </is>
      </c>
      <c r="E769" t="inlineStr">
        <is>
          <t>North Region</t>
        </is>
      </c>
      <c r="F769" t="inlineStr">
        <is>
          <t>Rep_06</t>
        </is>
      </c>
      <c r="G769" t="n">
        <v>4.57</v>
      </c>
      <c r="H769" t="inlineStr">
        <is>
          <t>Demo Scheduled</t>
        </is>
      </c>
      <c r="I769" t="inlineStr">
        <is>
          <t>Open</t>
        </is>
      </c>
      <c r="M769">
        <f>VLOOKUP(H769,'Stage Order'!$A$2:$B$8,2,FALSE)</f>
        <v/>
      </c>
      <c r="N769">
        <f>IF(G769&lt;=1,"1. Under 1 hour",IF(G769&lt;=24,"2. 1-24 hours",IF(G769&lt;=72,"3. 1-3 days","4. Over 3 days")))</f>
        <v/>
      </c>
      <c r="O769">
        <f>TEXT(B769,"YYYY-MM")</f>
        <v/>
      </c>
    </row>
    <row r="770">
      <c r="A770" t="inlineStr">
        <is>
          <t>LD-300768</t>
        </is>
      </c>
      <c r="B770" t="inlineStr">
        <is>
          <t>2025-06-14 10:22:00</t>
        </is>
      </c>
      <c r="C770" t="inlineStr">
        <is>
          <t>Paid Search</t>
        </is>
      </c>
      <c r="D770" t="inlineStr">
        <is>
          <t>Competitive Exam Prep</t>
        </is>
      </c>
      <c r="E770" t="inlineStr">
        <is>
          <t>International</t>
        </is>
      </c>
      <c r="F770" t="inlineStr">
        <is>
          <t>Rep_10</t>
        </is>
      </c>
      <c r="G770" t="n">
        <v>12.32</v>
      </c>
      <c r="H770" t="inlineStr">
        <is>
          <t>Contacted</t>
        </is>
      </c>
      <c r="I770" t="inlineStr">
        <is>
          <t>Open</t>
        </is>
      </c>
      <c r="M770">
        <f>VLOOKUP(H770,'Stage Order'!$A$2:$B$8,2,FALSE)</f>
        <v/>
      </c>
      <c r="N770">
        <f>IF(G770&lt;=1,"1. Under 1 hour",IF(G770&lt;=24,"2. 1-24 hours",IF(G770&lt;=72,"3. 1-3 days","4. Over 3 days")))</f>
        <v/>
      </c>
      <c r="O770">
        <f>TEXT(B770,"YYYY-MM")</f>
        <v/>
      </c>
    </row>
    <row r="771">
      <c r="A771" t="inlineStr">
        <is>
          <t>LD-300769</t>
        </is>
      </c>
      <c r="B771" t="inlineStr">
        <is>
          <t>2025-01-31 09:48:00</t>
        </is>
      </c>
      <c r="C771" t="inlineStr">
        <is>
          <t>Partner Channel</t>
        </is>
      </c>
      <c r="D771" t="inlineStr">
        <is>
          <t>Competitive Exam Prep</t>
        </is>
      </c>
      <c r="E771" t="inlineStr">
        <is>
          <t>South Region</t>
        </is>
      </c>
      <c r="F771" t="inlineStr">
        <is>
          <t>Rep_12</t>
        </is>
      </c>
      <c r="G771" t="n">
        <v>6.91</v>
      </c>
      <c r="H771" t="inlineStr">
        <is>
          <t>Contacted</t>
        </is>
      </c>
      <c r="I771" t="inlineStr">
        <is>
          <t>Open</t>
        </is>
      </c>
      <c r="M771">
        <f>VLOOKUP(H771,'Stage Order'!$A$2:$B$8,2,FALSE)</f>
        <v/>
      </c>
      <c r="N771">
        <f>IF(G771&lt;=1,"1. Under 1 hour",IF(G771&lt;=24,"2. 1-24 hours",IF(G771&lt;=72,"3. 1-3 days","4. Over 3 days")))</f>
        <v/>
      </c>
      <c r="O771">
        <f>TEXT(B771,"YYYY-MM")</f>
        <v/>
      </c>
    </row>
    <row r="772">
      <c r="A772" t="inlineStr">
        <is>
          <t>LD-300770</t>
        </is>
      </c>
      <c r="B772" t="inlineStr">
        <is>
          <t>2025-12-03 15:05:00</t>
        </is>
      </c>
      <c r="C772" t="inlineStr">
        <is>
          <t>Cold Outreach</t>
        </is>
      </c>
      <c r="D772" t="inlineStr">
        <is>
          <t>K-12 Math</t>
        </is>
      </c>
      <c r="E772" t="inlineStr">
        <is>
          <t>South Region</t>
        </is>
      </c>
      <c r="F772" t="inlineStr">
        <is>
          <t>Rep_12</t>
        </is>
      </c>
      <c r="G772" t="n">
        <v>0.73</v>
      </c>
      <c r="H772" t="inlineStr">
        <is>
          <t>Lead</t>
        </is>
      </c>
      <c r="I772" t="inlineStr">
        <is>
          <t>Open</t>
        </is>
      </c>
      <c r="M772">
        <f>VLOOKUP(H772,'Stage Order'!$A$2:$B$8,2,FALSE)</f>
        <v/>
      </c>
      <c r="N772">
        <f>IF(G772&lt;=1,"1. Under 1 hour",IF(G772&lt;=24,"2. 1-24 hours",IF(G772&lt;=72,"3. 1-3 days","4. Over 3 days")))</f>
        <v/>
      </c>
      <c r="O772">
        <f>TEXT(B772,"YYYY-MM")</f>
        <v/>
      </c>
    </row>
    <row r="773">
      <c r="A773" t="inlineStr">
        <is>
          <t>LD-300771</t>
        </is>
      </c>
      <c r="B773" t="inlineStr">
        <is>
          <t>2025-04-04 14:28:00</t>
        </is>
      </c>
      <c r="C773" t="inlineStr">
        <is>
          <t>Social Media</t>
        </is>
      </c>
      <c r="D773" t="inlineStr">
        <is>
          <t>K-12 Math</t>
        </is>
      </c>
      <c r="E773" t="inlineStr">
        <is>
          <t>North Region</t>
        </is>
      </c>
      <c r="F773" t="inlineStr">
        <is>
          <t>Rep_06</t>
        </is>
      </c>
      <c r="G773" t="n">
        <v>1.44</v>
      </c>
      <c r="H773" t="inlineStr">
        <is>
          <t>Contacted</t>
        </is>
      </c>
      <c r="I773" t="inlineStr">
        <is>
          <t>Open</t>
        </is>
      </c>
      <c r="M773">
        <f>VLOOKUP(H773,'Stage Order'!$A$2:$B$8,2,FALSE)</f>
        <v/>
      </c>
      <c r="N773">
        <f>IF(G773&lt;=1,"1. Under 1 hour",IF(G773&lt;=24,"2. 1-24 hours",IF(G773&lt;=72,"3. 1-3 days","4. Over 3 days")))</f>
        <v/>
      </c>
      <c r="O773">
        <f>TEXT(B773,"YYYY-MM")</f>
        <v/>
      </c>
    </row>
    <row r="774">
      <c r="A774" t="inlineStr">
        <is>
          <t>LD-300772</t>
        </is>
      </c>
      <c r="B774" t="inlineStr">
        <is>
          <t>2025-01-01 17:52:00</t>
        </is>
      </c>
      <c r="C774" t="inlineStr">
        <is>
          <t>Social Media</t>
        </is>
      </c>
      <c r="D774" t="inlineStr">
        <is>
          <t>Study Abroad Prep</t>
        </is>
      </c>
      <c r="E774" t="inlineStr">
        <is>
          <t>North Region</t>
        </is>
      </c>
      <c r="F774" t="inlineStr">
        <is>
          <t>Rep_11</t>
        </is>
      </c>
      <c r="G774" t="n">
        <v>6.29</v>
      </c>
      <c r="H774" t="inlineStr">
        <is>
          <t>Demo Completed</t>
        </is>
      </c>
      <c r="I774" t="inlineStr">
        <is>
          <t>Lost</t>
        </is>
      </c>
      <c r="J774" t="inlineStr">
        <is>
          <t>No Response / Ghosted</t>
        </is>
      </c>
      <c r="K774" t="n">
        <v>1528.76</v>
      </c>
      <c r="L774" t="inlineStr">
        <is>
          <t>2025-02-01 08:34:23.554125</t>
        </is>
      </c>
      <c r="M774">
        <f>VLOOKUP(H774,'Stage Order'!$A$2:$B$8,2,FALSE)</f>
        <v/>
      </c>
      <c r="N774">
        <f>IF(G774&lt;=1,"1. Under 1 hour",IF(G774&lt;=24,"2. 1-24 hours",IF(G774&lt;=72,"3. 1-3 days","4. Over 3 days")))</f>
        <v/>
      </c>
      <c r="O774">
        <f>TEXT(B774,"YYYY-MM")</f>
        <v/>
      </c>
    </row>
    <row r="775">
      <c r="A775" t="inlineStr">
        <is>
          <t>LD-300773</t>
        </is>
      </c>
      <c r="B775" t="inlineStr">
        <is>
          <t>2026-04-14 14:55:00</t>
        </is>
      </c>
      <c r="C775" t="inlineStr">
        <is>
          <t>Paid Search</t>
        </is>
      </c>
      <c r="D775" t="inlineStr">
        <is>
          <t>K-12 Math</t>
        </is>
      </c>
      <c r="E775" t="inlineStr">
        <is>
          <t>South Region</t>
        </is>
      </c>
      <c r="F775" t="inlineStr">
        <is>
          <t>Rep_12</t>
        </is>
      </c>
      <c r="G775" t="n">
        <v>3.44</v>
      </c>
      <c r="H775" t="inlineStr">
        <is>
          <t>Lead</t>
        </is>
      </c>
      <c r="I775" t="inlineStr">
        <is>
          <t>Open</t>
        </is>
      </c>
      <c r="M775">
        <f>VLOOKUP(H775,'Stage Order'!$A$2:$B$8,2,FALSE)</f>
        <v/>
      </c>
      <c r="N775">
        <f>IF(G775&lt;=1,"1. Under 1 hour",IF(G775&lt;=24,"2. 1-24 hours",IF(G775&lt;=72,"3. 1-3 days","4. Over 3 days")))</f>
        <v/>
      </c>
      <c r="O775">
        <f>TEXT(B775,"YYYY-MM")</f>
        <v/>
      </c>
    </row>
    <row r="776">
      <c r="A776" t="inlineStr">
        <is>
          <t>LD-300774</t>
        </is>
      </c>
      <c r="B776" t="inlineStr">
        <is>
          <t>2025-09-09 16:53:00</t>
        </is>
      </c>
      <c r="C776" t="inlineStr">
        <is>
          <t>Social Media</t>
        </is>
      </c>
      <c r="D776" t="inlineStr">
        <is>
          <t>Competitive Exam Prep</t>
        </is>
      </c>
      <c r="E776" t="inlineStr">
        <is>
          <t>International</t>
        </is>
      </c>
      <c r="F776" t="inlineStr">
        <is>
          <t>Rep_15</t>
        </is>
      </c>
      <c r="G776" t="n">
        <v>4.58</v>
      </c>
      <c r="H776" t="inlineStr">
        <is>
          <t>Negotiation</t>
        </is>
      </c>
      <c r="I776" t="inlineStr">
        <is>
          <t>Lost</t>
        </is>
      </c>
      <c r="J776" t="inlineStr">
        <is>
          <t>Bad Timing</t>
        </is>
      </c>
      <c r="K776" t="n">
        <v>1013.04</v>
      </c>
      <c r="L776" t="inlineStr">
        <is>
          <t>2025-10-30 16:59:37.302246</t>
        </is>
      </c>
      <c r="M776">
        <f>VLOOKUP(H776,'Stage Order'!$A$2:$B$8,2,FALSE)</f>
        <v/>
      </c>
      <c r="N776">
        <f>IF(G776&lt;=1,"1. Under 1 hour",IF(G776&lt;=24,"2. 1-24 hours",IF(G776&lt;=72,"3. 1-3 days","4. Over 3 days")))</f>
        <v/>
      </c>
      <c r="O776">
        <f>TEXT(B776,"YYYY-MM")</f>
        <v/>
      </c>
    </row>
    <row r="777">
      <c r="A777" t="inlineStr">
        <is>
          <t>LD-300775</t>
        </is>
      </c>
      <c r="B777" t="inlineStr">
        <is>
          <t>2025-12-09 20:33:00</t>
        </is>
      </c>
      <c r="C777" t="inlineStr">
        <is>
          <t>Social Media</t>
        </is>
      </c>
      <c r="D777" t="inlineStr">
        <is>
          <t>K-12 Math</t>
        </is>
      </c>
      <c r="E777" t="inlineStr">
        <is>
          <t>South Region</t>
        </is>
      </c>
      <c r="F777" t="inlineStr">
        <is>
          <t>Rep_07</t>
        </is>
      </c>
      <c r="G777" t="n">
        <v>1.41</v>
      </c>
      <c r="H777" t="inlineStr">
        <is>
          <t>Lead</t>
        </is>
      </c>
      <c r="I777" t="inlineStr">
        <is>
          <t>Open</t>
        </is>
      </c>
      <c r="M777">
        <f>VLOOKUP(H777,'Stage Order'!$A$2:$B$8,2,FALSE)</f>
        <v/>
      </c>
      <c r="N777">
        <f>IF(G777&lt;=1,"1. Under 1 hour",IF(G777&lt;=24,"2. 1-24 hours",IF(G777&lt;=72,"3. 1-3 days","4. Over 3 days")))</f>
        <v/>
      </c>
      <c r="O777">
        <f>TEXT(B777,"YYYY-MM")</f>
        <v/>
      </c>
    </row>
    <row r="778">
      <c r="A778" t="inlineStr">
        <is>
          <t>LD-300776</t>
        </is>
      </c>
      <c r="B778" t="inlineStr">
        <is>
          <t>2025-11-07 11:15:00</t>
        </is>
      </c>
      <c r="C778" t="inlineStr">
        <is>
          <t>Organic Search</t>
        </is>
      </c>
      <c r="D778" t="inlineStr">
        <is>
          <t>Coding for Kids</t>
        </is>
      </c>
      <c r="E778" t="inlineStr">
        <is>
          <t>West Region</t>
        </is>
      </c>
      <c r="F778" t="inlineStr">
        <is>
          <t>Rep_13</t>
        </is>
      </c>
      <c r="G778" t="n">
        <v>3.91</v>
      </c>
      <c r="H778" t="inlineStr">
        <is>
          <t>Contacted</t>
        </is>
      </c>
      <c r="I778" t="inlineStr">
        <is>
          <t>Open</t>
        </is>
      </c>
      <c r="M778">
        <f>VLOOKUP(H778,'Stage Order'!$A$2:$B$8,2,FALSE)</f>
        <v/>
      </c>
      <c r="N778">
        <f>IF(G778&lt;=1,"1. Under 1 hour",IF(G778&lt;=24,"2. 1-24 hours",IF(G778&lt;=72,"3. 1-3 days","4. Over 3 days")))</f>
        <v/>
      </c>
      <c r="O778">
        <f>TEXT(B778,"YYYY-MM")</f>
        <v/>
      </c>
    </row>
    <row r="779">
      <c r="A779" t="inlineStr">
        <is>
          <t>LD-300777</t>
        </is>
      </c>
      <c r="B779" t="inlineStr">
        <is>
          <t>2025-08-04 07:49:00</t>
        </is>
      </c>
      <c r="C779" t="inlineStr">
        <is>
          <t>Cold Outreach</t>
        </is>
      </c>
      <c r="D779" t="inlineStr">
        <is>
          <t>Coding for Kids</t>
        </is>
      </c>
      <c r="E779" t="inlineStr">
        <is>
          <t>International</t>
        </is>
      </c>
      <c r="F779" t="inlineStr">
        <is>
          <t>Rep_05</t>
        </is>
      </c>
      <c r="G779" t="n">
        <v>10.38</v>
      </c>
      <c r="H779" t="inlineStr">
        <is>
          <t>Demo Scheduled</t>
        </is>
      </c>
      <c r="I779" t="inlineStr">
        <is>
          <t>Open</t>
        </is>
      </c>
      <c r="M779">
        <f>VLOOKUP(H779,'Stage Order'!$A$2:$B$8,2,FALSE)</f>
        <v/>
      </c>
      <c r="N779">
        <f>IF(G779&lt;=1,"1. Under 1 hour",IF(G779&lt;=24,"2. 1-24 hours",IF(G779&lt;=72,"3. 1-3 days","4. Over 3 days")))</f>
        <v/>
      </c>
      <c r="O779">
        <f>TEXT(B779,"YYYY-MM")</f>
        <v/>
      </c>
    </row>
    <row r="780">
      <c r="A780" t="inlineStr">
        <is>
          <t>LD-300778</t>
        </is>
      </c>
      <c r="B780" t="inlineStr">
        <is>
          <t>2025-08-12 18:12:00</t>
        </is>
      </c>
      <c r="C780" t="inlineStr">
        <is>
          <t>Social Media</t>
        </is>
      </c>
      <c r="D780" t="inlineStr">
        <is>
          <t>Language Learning</t>
        </is>
      </c>
      <c r="E780" t="inlineStr">
        <is>
          <t>West Region</t>
        </is>
      </c>
      <c r="F780" t="inlineStr">
        <is>
          <t>Rep_03</t>
        </is>
      </c>
      <c r="G780" t="n">
        <v>5.28</v>
      </c>
      <c r="H780" t="inlineStr">
        <is>
          <t>Lead</t>
        </is>
      </c>
      <c r="I780" t="inlineStr">
        <is>
          <t>Open</t>
        </is>
      </c>
      <c r="M780">
        <f>VLOOKUP(H780,'Stage Order'!$A$2:$B$8,2,FALSE)</f>
        <v/>
      </c>
      <c r="N780">
        <f>IF(G780&lt;=1,"1. Under 1 hour",IF(G780&lt;=24,"2. 1-24 hours",IF(G780&lt;=72,"3. 1-3 days","4. Over 3 days")))</f>
        <v/>
      </c>
      <c r="O780">
        <f>TEXT(B780,"YYYY-MM")</f>
        <v/>
      </c>
    </row>
    <row r="781">
      <c r="A781" t="inlineStr">
        <is>
          <t>LD-300779</t>
        </is>
      </c>
      <c r="B781" t="inlineStr">
        <is>
          <t>2025-04-03 12:02:00</t>
        </is>
      </c>
      <c r="C781" t="inlineStr">
        <is>
          <t>Social Media</t>
        </is>
      </c>
      <c r="D781" t="inlineStr">
        <is>
          <t>Competitive Exam Prep</t>
        </is>
      </c>
      <c r="E781" t="inlineStr">
        <is>
          <t>South Region</t>
        </is>
      </c>
      <c r="F781" t="inlineStr">
        <is>
          <t>Rep_02</t>
        </is>
      </c>
      <c r="G781" t="n">
        <v>1.1</v>
      </c>
      <c r="H781" t="inlineStr">
        <is>
          <t>Contacted</t>
        </is>
      </c>
      <c r="I781" t="inlineStr">
        <is>
          <t>Open</t>
        </is>
      </c>
      <c r="M781">
        <f>VLOOKUP(H781,'Stage Order'!$A$2:$B$8,2,FALSE)</f>
        <v/>
      </c>
      <c r="N781">
        <f>IF(G781&lt;=1,"1. Under 1 hour",IF(G781&lt;=24,"2. 1-24 hours",IF(G781&lt;=72,"3. 1-3 days","4. Over 3 days")))</f>
        <v/>
      </c>
      <c r="O781">
        <f>TEXT(B781,"YYYY-MM")</f>
        <v/>
      </c>
    </row>
    <row r="782">
      <c r="A782" t="inlineStr">
        <is>
          <t>LD-300780</t>
        </is>
      </c>
      <c r="B782" t="inlineStr">
        <is>
          <t>2025-09-16 16:49:00</t>
        </is>
      </c>
      <c r="C782" t="inlineStr">
        <is>
          <t>Organic Search</t>
        </is>
      </c>
      <c r="D782" t="inlineStr">
        <is>
          <t>Coding for Kids</t>
        </is>
      </c>
      <c r="E782" t="inlineStr">
        <is>
          <t>South Region</t>
        </is>
      </c>
      <c r="F782" t="inlineStr">
        <is>
          <t>Rep_02</t>
        </is>
      </c>
      <c r="G782" t="n">
        <v>1.49</v>
      </c>
      <c r="H782" t="inlineStr">
        <is>
          <t>Closed</t>
        </is>
      </c>
      <c r="I782" t="inlineStr">
        <is>
          <t>Won</t>
        </is>
      </c>
      <c r="K782" t="n">
        <v>639.64</v>
      </c>
      <c r="L782" t="inlineStr">
        <is>
          <t>2025-10-19 11:01:35.430150</t>
        </is>
      </c>
      <c r="M782">
        <f>VLOOKUP(H782,'Stage Order'!$A$2:$B$8,2,FALSE)</f>
        <v/>
      </c>
      <c r="N782">
        <f>IF(G782&lt;=1,"1. Under 1 hour",IF(G782&lt;=24,"2. 1-24 hours",IF(G782&lt;=72,"3. 1-3 days","4. Over 3 days")))</f>
        <v/>
      </c>
      <c r="O782">
        <f>TEXT(B782,"YYYY-MM")</f>
        <v/>
      </c>
    </row>
    <row r="783">
      <c r="A783" t="inlineStr">
        <is>
          <t>LD-300781</t>
        </is>
      </c>
      <c r="B783" t="inlineStr">
        <is>
          <t>2025-04-10 20:30:00</t>
        </is>
      </c>
      <c r="C783" t="inlineStr">
        <is>
          <t>Organic Search</t>
        </is>
      </c>
      <c r="D783" t="inlineStr">
        <is>
          <t>Coding for Kids</t>
        </is>
      </c>
      <c r="E783" t="inlineStr">
        <is>
          <t>North Region</t>
        </is>
      </c>
      <c r="F783" t="inlineStr">
        <is>
          <t>Rep_06</t>
        </is>
      </c>
      <c r="G783" t="n">
        <v>12.54</v>
      </c>
      <c r="H783" t="inlineStr">
        <is>
          <t>Demo Completed</t>
        </is>
      </c>
      <c r="I783" t="inlineStr">
        <is>
          <t>Lost</t>
        </is>
      </c>
      <c r="J783" t="inlineStr">
        <is>
          <t>Bad Timing</t>
        </is>
      </c>
      <c r="K783" t="n">
        <v>623.49</v>
      </c>
      <c r="L783" t="inlineStr">
        <is>
          <t>2025-05-22 09:02:42.377196</t>
        </is>
      </c>
      <c r="M783">
        <f>VLOOKUP(H783,'Stage Order'!$A$2:$B$8,2,FALSE)</f>
        <v/>
      </c>
      <c r="N783">
        <f>IF(G783&lt;=1,"1. Under 1 hour",IF(G783&lt;=24,"2. 1-24 hours",IF(G783&lt;=72,"3. 1-3 days","4. Over 3 days")))</f>
        <v/>
      </c>
      <c r="O783">
        <f>TEXT(B783,"YYYY-MM")</f>
        <v/>
      </c>
    </row>
    <row r="784">
      <c r="A784" t="inlineStr">
        <is>
          <t>LD-300782</t>
        </is>
      </c>
      <c r="B784" t="inlineStr">
        <is>
          <t>2026-05-18 17:12:00</t>
        </is>
      </c>
      <c r="C784" t="inlineStr">
        <is>
          <t>Paid Search</t>
        </is>
      </c>
      <c r="D784" t="inlineStr">
        <is>
          <t>K-12 Math</t>
        </is>
      </c>
      <c r="E784" t="inlineStr">
        <is>
          <t>South Region</t>
        </is>
      </c>
      <c r="F784" t="inlineStr">
        <is>
          <t>Rep_02</t>
        </is>
      </c>
      <c r="G784" t="n">
        <v>5.08</v>
      </c>
      <c r="H784" t="inlineStr">
        <is>
          <t>Lead</t>
        </is>
      </c>
      <c r="I784" t="inlineStr">
        <is>
          <t>Open</t>
        </is>
      </c>
      <c r="M784">
        <f>VLOOKUP(H784,'Stage Order'!$A$2:$B$8,2,FALSE)</f>
        <v/>
      </c>
      <c r="N784">
        <f>IF(G784&lt;=1,"1. Under 1 hour",IF(G784&lt;=24,"2. 1-24 hours",IF(G784&lt;=72,"3. 1-3 days","4. Over 3 days")))</f>
        <v/>
      </c>
      <c r="O784">
        <f>TEXT(B784,"YYYY-MM")</f>
        <v/>
      </c>
    </row>
    <row r="785">
      <c r="A785" t="inlineStr">
        <is>
          <t>LD-300783</t>
        </is>
      </c>
      <c r="B785" t="inlineStr">
        <is>
          <t>2025-03-14 13:57:00</t>
        </is>
      </c>
      <c r="C785" t="inlineStr">
        <is>
          <t>Paid Search</t>
        </is>
      </c>
      <c r="D785" t="inlineStr">
        <is>
          <t>K-12 Math</t>
        </is>
      </c>
      <c r="E785" t="inlineStr">
        <is>
          <t>North Region</t>
        </is>
      </c>
      <c r="F785" t="inlineStr">
        <is>
          <t>Rep_01</t>
        </is>
      </c>
      <c r="G785" t="n">
        <v>2.1</v>
      </c>
      <c r="H785" t="inlineStr">
        <is>
          <t>Contacted</t>
        </is>
      </c>
      <c r="I785" t="inlineStr">
        <is>
          <t>Open</t>
        </is>
      </c>
      <c r="M785">
        <f>VLOOKUP(H785,'Stage Order'!$A$2:$B$8,2,FALSE)</f>
        <v/>
      </c>
      <c r="N785">
        <f>IF(G785&lt;=1,"1. Under 1 hour",IF(G785&lt;=24,"2. 1-24 hours",IF(G785&lt;=72,"3. 1-3 days","4. Over 3 days")))</f>
        <v/>
      </c>
      <c r="O785">
        <f>TEXT(B785,"YYYY-MM")</f>
        <v/>
      </c>
    </row>
    <row r="786">
      <c r="A786" t="inlineStr">
        <is>
          <t>LD-300784</t>
        </is>
      </c>
      <c r="B786" t="inlineStr">
        <is>
          <t>2025-08-22 20:56:00</t>
        </is>
      </c>
      <c r="C786" t="inlineStr">
        <is>
          <t>Webinar</t>
        </is>
      </c>
      <c r="D786" t="inlineStr">
        <is>
          <t>Coding for Kids</t>
        </is>
      </c>
      <c r="E786" t="inlineStr">
        <is>
          <t>International</t>
        </is>
      </c>
      <c r="F786" t="inlineStr">
        <is>
          <t>Rep_15</t>
        </is>
      </c>
      <c r="G786" t="n">
        <v>3.34</v>
      </c>
      <c r="H786" t="inlineStr">
        <is>
          <t>Negotiation</t>
        </is>
      </c>
      <c r="I786" t="inlineStr">
        <is>
          <t>Lost</t>
        </is>
      </c>
      <c r="J786" t="inlineStr">
        <is>
          <t>Price Objection</t>
        </is>
      </c>
      <c r="K786" t="n">
        <v>627.74</v>
      </c>
      <c r="L786" t="inlineStr">
        <is>
          <t>2025-10-01 21:33:53.478241</t>
        </is>
      </c>
      <c r="M786">
        <f>VLOOKUP(H786,'Stage Order'!$A$2:$B$8,2,FALSE)</f>
        <v/>
      </c>
      <c r="N786">
        <f>IF(G786&lt;=1,"1. Under 1 hour",IF(G786&lt;=24,"2. 1-24 hours",IF(G786&lt;=72,"3. 1-3 days","4. Over 3 days")))</f>
        <v/>
      </c>
      <c r="O786">
        <f>TEXT(B786,"YYYY-MM")</f>
        <v/>
      </c>
    </row>
    <row r="787">
      <c r="A787" t="inlineStr">
        <is>
          <t>LD-300785</t>
        </is>
      </c>
      <c r="B787" t="inlineStr">
        <is>
          <t>2026-01-08 16:25:00</t>
        </is>
      </c>
      <c r="C787" t="inlineStr">
        <is>
          <t>Webinar</t>
        </is>
      </c>
      <c r="D787" t="inlineStr">
        <is>
          <t>K-12 Math</t>
        </is>
      </c>
      <c r="E787" t="inlineStr">
        <is>
          <t>South Region</t>
        </is>
      </c>
      <c r="F787" t="inlineStr">
        <is>
          <t>Rep_07</t>
        </is>
      </c>
      <c r="G787" t="n">
        <v>0.38</v>
      </c>
      <c r="H787" t="inlineStr">
        <is>
          <t>Closed</t>
        </is>
      </c>
      <c r="I787" t="inlineStr">
        <is>
          <t>Won</t>
        </is>
      </c>
      <c r="K787" t="n">
        <v>560.49</v>
      </c>
      <c r="L787" t="inlineStr">
        <is>
          <t>2026-02-24 00:39:35.739226</t>
        </is>
      </c>
      <c r="M787">
        <f>VLOOKUP(H787,'Stage Order'!$A$2:$B$8,2,FALSE)</f>
        <v/>
      </c>
      <c r="N787">
        <f>IF(G787&lt;=1,"1. Under 1 hour",IF(G787&lt;=24,"2. 1-24 hours",IF(G787&lt;=72,"3. 1-3 days","4. Over 3 days")))</f>
        <v/>
      </c>
      <c r="O787">
        <f>TEXT(B787,"YYYY-MM")</f>
        <v/>
      </c>
    </row>
    <row r="788">
      <c r="A788" t="inlineStr">
        <is>
          <t>LD-300786</t>
        </is>
      </c>
      <c r="B788" t="inlineStr">
        <is>
          <t>2025-04-02 20:05:00</t>
        </is>
      </c>
      <c r="C788" t="inlineStr">
        <is>
          <t>Webinar</t>
        </is>
      </c>
      <c r="D788" t="inlineStr">
        <is>
          <t>K-12 Math</t>
        </is>
      </c>
      <c r="E788" t="inlineStr">
        <is>
          <t>North Region</t>
        </is>
      </c>
      <c r="F788" t="inlineStr">
        <is>
          <t>Rep_11</t>
        </is>
      </c>
      <c r="G788" t="n">
        <v>3.19</v>
      </c>
      <c r="H788" t="inlineStr">
        <is>
          <t>Closed</t>
        </is>
      </c>
      <c r="I788" t="inlineStr">
        <is>
          <t>Won</t>
        </is>
      </c>
      <c r="K788" t="n">
        <v>550.6</v>
      </c>
      <c r="L788" t="inlineStr">
        <is>
          <t>2025-05-07 00:11:22.225216</t>
        </is>
      </c>
      <c r="M788">
        <f>VLOOKUP(H788,'Stage Order'!$A$2:$B$8,2,FALSE)</f>
        <v/>
      </c>
      <c r="N788">
        <f>IF(G788&lt;=1,"1. Under 1 hour",IF(G788&lt;=24,"2. 1-24 hours",IF(G788&lt;=72,"3. 1-3 days","4. Over 3 days")))</f>
        <v/>
      </c>
      <c r="O788">
        <f>TEXT(B788,"YYYY-MM")</f>
        <v/>
      </c>
    </row>
    <row r="789">
      <c r="A789" t="inlineStr">
        <is>
          <t>LD-300787</t>
        </is>
      </c>
      <c r="B789" t="inlineStr">
        <is>
          <t>2025-03-30 17:46:00</t>
        </is>
      </c>
      <c r="C789" t="inlineStr">
        <is>
          <t>Cold Outreach</t>
        </is>
      </c>
      <c r="D789" t="inlineStr">
        <is>
          <t>Competitive Exam Prep</t>
        </is>
      </c>
      <c r="E789" t="inlineStr">
        <is>
          <t>South Region</t>
        </is>
      </c>
      <c r="F789" t="inlineStr">
        <is>
          <t>Rep_02</t>
        </is>
      </c>
      <c r="G789" t="n">
        <v>1.55</v>
      </c>
      <c r="H789" t="inlineStr">
        <is>
          <t>Contacted</t>
        </is>
      </c>
      <c r="I789" t="inlineStr">
        <is>
          <t>Open</t>
        </is>
      </c>
      <c r="M789">
        <f>VLOOKUP(H789,'Stage Order'!$A$2:$B$8,2,FALSE)</f>
        <v/>
      </c>
      <c r="N789">
        <f>IF(G789&lt;=1,"1. Under 1 hour",IF(G789&lt;=24,"2. 1-24 hours",IF(G789&lt;=72,"3. 1-3 days","4. Over 3 days")))</f>
        <v/>
      </c>
      <c r="O789">
        <f>TEXT(B789,"YYYY-MM")</f>
        <v/>
      </c>
    </row>
    <row r="790">
      <c r="A790" t="inlineStr">
        <is>
          <t>LD-300788</t>
        </is>
      </c>
      <c r="B790" t="inlineStr">
        <is>
          <t>2025-07-09 19:37:00</t>
        </is>
      </c>
      <c r="C790" t="inlineStr">
        <is>
          <t>Social Media</t>
        </is>
      </c>
      <c r="D790" t="inlineStr">
        <is>
          <t>K-12 Math</t>
        </is>
      </c>
      <c r="E790" t="inlineStr">
        <is>
          <t>South Region</t>
        </is>
      </c>
      <c r="F790" t="inlineStr">
        <is>
          <t>Rep_12</t>
        </is>
      </c>
      <c r="G790" t="n">
        <v>3.7</v>
      </c>
      <c r="H790" t="inlineStr">
        <is>
          <t>Contacted</t>
        </is>
      </c>
      <c r="I790" t="inlineStr">
        <is>
          <t>Open</t>
        </is>
      </c>
      <c r="M790">
        <f>VLOOKUP(H790,'Stage Order'!$A$2:$B$8,2,FALSE)</f>
        <v/>
      </c>
      <c r="N790">
        <f>IF(G790&lt;=1,"1. Under 1 hour",IF(G790&lt;=24,"2. 1-24 hours",IF(G790&lt;=72,"3. 1-3 days","4. Over 3 days")))</f>
        <v/>
      </c>
      <c r="O790">
        <f>TEXT(B790,"YYYY-MM")</f>
        <v/>
      </c>
    </row>
    <row r="791">
      <c r="A791" t="inlineStr">
        <is>
          <t>LD-300789</t>
        </is>
      </c>
      <c r="B791" t="inlineStr">
        <is>
          <t>2026-01-09 11:43:00</t>
        </is>
      </c>
      <c r="C791" t="inlineStr">
        <is>
          <t>Organic Search</t>
        </is>
      </c>
      <c r="D791" t="inlineStr">
        <is>
          <t>Language Learning</t>
        </is>
      </c>
      <c r="E791" t="inlineStr">
        <is>
          <t>South Region</t>
        </is>
      </c>
      <c r="F791" t="inlineStr">
        <is>
          <t>Rep_07</t>
        </is>
      </c>
      <c r="G791" t="n">
        <v>34.69</v>
      </c>
      <c r="H791" t="inlineStr">
        <is>
          <t>Contacted</t>
        </is>
      </c>
      <c r="I791" t="inlineStr">
        <is>
          <t>Open</t>
        </is>
      </c>
      <c r="M791">
        <f>VLOOKUP(H791,'Stage Order'!$A$2:$B$8,2,FALSE)</f>
        <v/>
      </c>
      <c r="N791">
        <f>IF(G791&lt;=1,"1. Under 1 hour",IF(G791&lt;=24,"2. 1-24 hours",IF(G791&lt;=72,"3. 1-3 days","4. Over 3 days")))</f>
        <v/>
      </c>
      <c r="O791">
        <f>TEXT(B791,"YYYY-MM")</f>
        <v/>
      </c>
    </row>
    <row r="792">
      <c r="A792" t="inlineStr">
        <is>
          <t>LD-300790</t>
        </is>
      </c>
      <c r="B792" t="inlineStr">
        <is>
          <t>2026-01-09 10:10:00</t>
        </is>
      </c>
      <c r="C792" t="inlineStr">
        <is>
          <t>Organic Search</t>
        </is>
      </c>
      <c r="D792" t="inlineStr">
        <is>
          <t>K-12 Math</t>
        </is>
      </c>
      <c r="E792" t="inlineStr">
        <is>
          <t>South Region</t>
        </is>
      </c>
      <c r="F792" t="inlineStr">
        <is>
          <t>Rep_07</t>
        </is>
      </c>
      <c r="G792" t="n">
        <v>4.86</v>
      </c>
      <c r="H792" t="inlineStr">
        <is>
          <t>Contacted</t>
        </is>
      </c>
      <c r="I792" t="inlineStr">
        <is>
          <t>Open</t>
        </is>
      </c>
      <c r="M792">
        <f>VLOOKUP(H792,'Stage Order'!$A$2:$B$8,2,FALSE)</f>
        <v/>
      </c>
      <c r="N792">
        <f>IF(G792&lt;=1,"1. Under 1 hour",IF(G792&lt;=24,"2. 1-24 hours",IF(G792&lt;=72,"3. 1-3 days","4. Over 3 days")))</f>
        <v/>
      </c>
      <c r="O792">
        <f>TEXT(B792,"YYYY-MM")</f>
        <v/>
      </c>
    </row>
    <row r="793">
      <c r="A793" t="inlineStr">
        <is>
          <t>LD-300791</t>
        </is>
      </c>
      <c r="B793" t="inlineStr">
        <is>
          <t>2025-10-31 08:57:00</t>
        </is>
      </c>
      <c r="C793" t="inlineStr">
        <is>
          <t>Webinar</t>
        </is>
      </c>
      <c r="D793" t="inlineStr">
        <is>
          <t>Competitive Exam Prep</t>
        </is>
      </c>
      <c r="E793" t="inlineStr">
        <is>
          <t>West Region</t>
        </is>
      </c>
      <c r="F793" t="inlineStr">
        <is>
          <t>Rep_13</t>
        </is>
      </c>
      <c r="G793" t="n">
        <v>1.1</v>
      </c>
      <c r="H793" t="inlineStr">
        <is>
          <t>Negotiation</t>
        </is>
      </c>
      <c r="I793" t="inlineStr">
        <is>
          <t>Lost</t>
        </is>
      </c>
      <c r="J793" t="inlineStr">
        <is>
          <t>Went With Competitor</t>
        </is>
      </c>
      <c r="K793" t="n">
        <v>977.54</v>
      </c>
      <c r="L793" t="inlineStr">
        <is>
          <t>2025-12-24 04:42:39.523725</t>
        </is>
      </c>
      <c r="M793">
        <f>VLOOKUP(H793,'Stage Order'!$A$2:$B$8,2,FALSE)</f>
        <v/>
      </c>
      <c r="N793">
        <f>IF(G793&lt;=1,"1. Under 1 hour",IF(G793&lt;=24,"2. 1-24 hours",IF(G793&lt;=72,"3. 1-3 days","4. Over 3 days")))</f>
        <v/>
      </c>
      <c r="O793">
        <f>TEXT(B793,"YYYY-MM")</f>
        <v/>
      </c>
    </row>
    <row r="794">
      <c r="A794" t="inlineStr">
        <is>
          <t>LD-300792</t>
        </is>
      </c>
      <c r="B794" t="inlineStr">
        <is>
          <t>2026-04-30 19:33:00</t>
        </is>
      </c>
      <c r="C794" t="inlineStr">
        <is>
          <t>Cold Outreach</t>
        </is>
      </c>
      <c r="D794" t="inlineStr">
        <is>
          <t>K-12 Math</t>
        </is>
      </c>
      <c r="E794" t="inlineStr">
        <is>
          <t>East Region</t>
        </is>
      </c>
      <c r="F794" t="inlineStr">
        <is>
          <t>Rep_04</t>
        </is>
      </c>
      <c r="G794" t="n">
        <v>11.75</v>
      </c>
      <c r="H794" t="inlineStr">
        <is>
          <t>Lead</t>
        </is>
      </c>
      <c r="I794" t="inlineStr">
        <is>
          <t>Open</t>
        </is>
      </c>
      <c r="M794">
        <f>VLOOKUP(H794,'Stage Order'!$A$2:$B$8,2,FALSE)</f>
        <v/>
      </c>
      <c r="N794">
        <f>IF(G794&lt;=1,"1. Under 1 hour",IF(G794&lt;=24,"2. 1-24 hours",IF(G794&lt;=72,"3. 1-3 days","4. Over 3 days")))</f>
        <v/>
      </c>
      <c r="O794">
        <f>TEXT(B794,"YYYY-MM")</f>
        <v/>
      </c>
    </row>
    <row r="795">
      <c r="A795" t="inlineStr">
        <is>
          <t>LD-300793</t>
        </is>
      </c>
      <c r="B795" t="inlineStr">
        <is>
          <t>2025-06-27 08:54:00</t>
        </is>
      </c>
      <c r="C795" t="inlineStr">
        <is>
          <t>Paid Search</t>
        </is>
      </c>
      <c r="D795" t="inlineStr">
        <is>
          <t>K-12 Math</t>
        </is>
      </c>
      <c r="E795" t="inlineStr">
        <is>
          <t>East Region</t>
        </is>
      </c>
      <c r="F795" t="inlineStr">
        <is>
          <t>Rep_14</t>
        </is>
      </c>
      <c r="G795" t="n">
        <v>7.03</v>
      </c>
      <c r="H795" t="inlineStr">
        <is>
          <t>Lead</t>
        </is>
      </c>
      <c r="I795" t="inlineStr">
        <is>
          <t>Open</t>
        </is>
      </c>
      <c r="M795">
        <f>VLOOKUP(H795,'Stage Order'!$A$2:$B$8,2,FALSE)</f>
        <v/>
      </c>
      <c r="N795">
        <f>IF(G795&lt;=1,"1. Under 1 hour",IF(G795&lt;=24,"2. 1-24 hours",IF(G795&lt;=72,"3. 1-3 days","4. Over 3 days")))</f>
        <v/>
      </c>
      <c r="O795">
        <f>TEXT(B795,"YYYY-MM")</f>
        <v/>
      </c>
    </row>
    <row r="796">
      <c r="A796" t="inlineStr">
        <is>
          <t>LD-300794</t>
        </is>
      </c>
      <c r="B796" t="inlineStr">
        <is>
          <t>2025-10-23 18:33:00</t>
        </is>
      </c>
      <c r="C796" t="inlineStr">
        <is>
          <t>Organic Search</t>
        </is>
      </c>
      <c r="D796" t="inlineStr">
        <is>
          <t>Coding for Kids</t>
        </is>
      </c>
      <c r="E796" t="inlineStr">
        <is>
          <t>East Region</t>
        </is>
      </c>
      <c r="F796" t="inlineStr">
        <is>
          <t>Rep_04</t>
        </is>
      </c>
      <c r="G796" t="n">
        <v>1.79</v>
      </c>
      <c r="H796" t="inlineStr">
        <is>
          <t>Lead</t>
        </is>
      </c>
      <c r="I796" t="inlineStr">
        <is>
          <t>Open</t>
        </is>
      </c>
      <c r="M796">
        <f>VLOOKUP(H796,'Stage Order'!$A$2:$B$8,2,FALSE)</f>
        <v/>
      </c>
      <c r="N796">
        <f>IF(G796&lt;=1,"1. Under 1 hour",IF(G796&lt;=24,"2. 1-24 hours",IF(G796&lt;=72,"3. 1-3 days","4. Over 3 days")))</f>
        <v/>
      </c>
      <c r="O796">
        <f>TEXT(B796,"YYYY-MM")</f>
        <v/>
      </c>
    </row>
    <row r="797">
      <c r="A797" t="inlineStr">
        <is>
          <t>LD-300795</t>
        </is>
      </c>
      <c r="B797" t="inlineStr">
        <is>
          <t>2025-10-19 07:43:00</t>
        </is>
      </c>
      <c r="C797" t="inlineStr">
        <is>
          <t>Paid Search</t>
        </is>
      </c>
      <c r="D797" t="inlineStr">
        <is>
          <t>Competitive Exam Prep</t>
        </is>
      </c>
      <c r="E797" t="inlineStr">
        <is>
          <t>South Region</t>
        </is>
      </c>
      <c r="F797" t="inlineStr">
        <is>
          <t>Rep_12</t>
        </is>
      </c>
      <c r="G797" t="n">
        <v>4.75</v>
      </c>
      <c r="H797" t="inlineStr">
        <is>
          <t>Proposal Sent</t>
        </is>
      </c>
      <c r="I797" t="inlineStr">
        <is>
          <t>Lost</t>
        </is>
      </c>
      <c r="J797" t="inlineStr">
        <is>
          <t>Price Objection</t>
        </is>
      </c>
      <c r="K797" t="n">
        <v>811.21</v>
      </c>
      <c r="L797" t="inlineStr">
        <is>
          <t>2025-11-16 11:03:20.456836</t>
        </is>
      </c>
      <c r="M797">
        <f>VLOOKUP(H797,'Stage Order'!$A$2:$B$8,2,FALSE)</f>
        <v/>
      </c>
      <c r="N797">
        <f>IF(G797&lt;=1,"1. Under 1 hour",IF(G797&lt;=24,"2. 1-24 hours",IF(G797&lt;=72,"3. 1-3 days","4. Over 3 days")))</f>
        <v/>
      </c>
      <c r="O797">
        <f>TEXT(B797,"YYYY-MM")</f>
        <v/>
      </c>
    </row>
    <row r="798">
      <c r="A798" t="inlineStr">
        <is>
          <t>LD-300796</t>
        </is>
      </c>
      <c r="B798" t="inlineStr">
        <is>
          <t>2025-11-14 16:05:00</t>
        </is>
      </c>
      <c r="C798" t="inlineStr">
        <is>
          <t>Webinar</t>
        </is>
      </c>
      <c r="D798" t="inlineStr">
        <is>
          <t>Language Learning</t>
        </is>
      </c>
      <c r="E798" t="inlineStr">
        <is>
          <t>South Region</t>
        </is>
      </c>
      <c r="F798" t="inlineStr">
        <is>
          <t>Rep_12</t>
        </is>
      </c>
      <c r="G798" t="n">
        <v>9.300000000000001</v>
      </c>
      <c r="H798" t="inlineStr">
        <is>
          <t>Closed</t>
        </is>
      </c>
      <c r="I798" t="inlineStr">
        <is>
          <t>Won</t>
        </is>
      </c>
      <c r="K798" t="n">
        <v>343.31</v>
      </c>
      <c r="L798" t="inlineStr">
        <is>
          <t>2025-12-25 03:00:31.495788</t>
        </is>
      </c>
      <c r="M798">
        <f>VLOOKUP(H798,'Stage Order'!$A$2:$B$8,2,FALSE)</f>
        <v/>
      </c>
      <c r="N798">
        <f>IF(G798&lt;=1,"1. Under 1 hour",IF(G798&lt;=24,"2. 1-24 hours",IF(G798&lt;=72,"3. 1-3 days","4. Over 3 days")))</f>
        <v/>
      </c>
      <c r="O798">
        <f>TEXT(B798,"YYYY-MM")</f>
        <v/>
      </c>
    </row>
    <row r="799">
      <c r="A799" t="inlineStr">
        <is>
          <t>LD-300797</t>
        </is>
      </c>
      <c r="B799" t="inlineStr">
        <is>
          <t>2025-07-06 20:35:00</t>
        </is>
      </c>
      <c r="C799" t="inlineStr">
        <is>
          <t>Referral</t>
        </is>
      </c>
      <c r="D799" t="inlineStr">
        <is>
          <t>K-12 Math</t>
        </is>
      </c>
      <c r="E799" t="inlineStr">
        <is>
          <t>South Region</t>
        </is>
      </c>
      <c r="F799" t="inlineStr">
        <is>
          <t>Rep_12</t>
        </is>
      </c>
      <c r="G799" t="n">
        <v>5.9</v>
      </c>
      <c r="H799" t="inlineStr">
        <is>
          <t>Contacted</t>
        </is>
      </c>
      <c r="I799" t="inlineStr">
        <is>
          <t>Open</t>
        </is>
      </c>
      <c r="M799">
        <f>VLOOKUP(H799,'Stage Order'!$A$2:$B$8,2,FALSE)</f>
        <v/>
      </c>
      <c r="N799">
        <f>IF(G799&lt;=1,"1. Under 1 hour",IF(G799&lt;=24,"2. 1-24 hours",IF(G799&lt;=72,"3. 1-3 days","4. Over 3 days")))</f>
        <v/>
      </c>
      <c r="O799">
        <f>TEXT(B799,"YYYY-MM")</f>
        <v/>
      </c>
    </row>
    <row r="800">
      <c r="A800" t="inlineStr">
        <is>
          <t>LD-300798</t>
        </is>
      </c>
      <c r="B800" t="inlineStr">
        <is>
          <t>2025-08-29 14:49:00</t>
        </is>
      </c>
      <c r="C800" t="inlineStr">
        <is>
          <t>Webinar</t>
        </is>
      </c>
      <c r="D800" t="inlineStr">
        <is>
          <t>Study Abroad Prep</t>
        </is>
      </c>
      <c r="E800" t="inlineStr">
        <is>
          <t>South Region</t>
        </is>
      </c>
      <c r="F800" t="inlineStr">
        <is>
          <t>Rep_02</t>
        </is>
      </c>
      <c r="G800" t="n">
        <v>2.15</v>
      </c>
      <c r="H800" t="inlineStr">
        <is>
          <t>Contacted</t>
        </is>
      </c>
      <c r="I800" t="inlineStr">
        <is>
          <t>Open</t>
        </is>
      </c>
      <c r="M800">
        <f>VLOOKUP(H800,'Stage Order'!$A$2:$B$8,2,FALSE)</f>
        <v/>
      </c>
      <c r="N800">
        <f>IF(G800&lt;=1,"1. Under 1 hour",IF(G800&lt;=24,"2. 1-24 hours",IF(G800&lt;=72,"3. 1-3 days","4. Over 3 days")))</f>
        <v/>
      </c>
      <c r="O800">
        <f>TEXT(B800,"YYYY-MM")</f>
        <v/>
      </c>
    </row>
    <row r="801">
      <c r="A801" t="inlineStr">
        <is>
          <t>LD-300799</t>
        </is>
      </c>
      <c r="B801" t="inlineStr">
        <is>
          <t>2025-03-31 15:44:00</t>
        </is>
      </c>
      <c r="C801" t="inlineStr">
        <is>
          <t>Organic Search</t>
        </is>
      </c>
      <c r="D801" t="inlineStr">
        <is>
          <t>Coding for Kids</t>
        </is>
      </c>
      <c r="E801" t="inlineStr">
        <is>
          <t>West Region</t>
        </is>
      </c>
      <c r="F801" t="inlineStr">
        <is>
          <t>Rep_13</t>
        </is>
      </c>
      <c r="G801" t="n">
        <v>4.18</v>
      </c>
      <c r="H801" t="inlineStr">
        <is>
          <t>Demo Completed</t>
        </is>
      </c>
      <c r="I801" t="inlineStr">
        <is>
          <t>Lost</t>
        </is>
      </c>
      <c r="J801" t="inlineStr">
        <is>
          <t>No Response / Ghosted</t>
        </is>
      </c>
      <c r="K801" t="n">
        <v>604.4400000000001</v>
      </c>
      <c r="L801" t="inlineStr">
        <is>
          <t>2025-04-26 20:13:38.264659</t>
        </is>
      </c>
      <c r="M801">
        <f>VLOOKUP(H801,'Stage Order'!$A$2:$B$8,2,FALSE)</f>
        <v/>
      </c>
      <c r="N801">
        <f>IF(G801&lt;=1,"1. Under 1 hour",IF(G801&lt;=24,"2. 1-24 hours",IF(G801&lt;=72,"3. 1-3 days","4. Over 3 days")))</f>
        <v/>
      </c>
      <c r="O801">
        <f>TEXT(B801,"YYYY-MM")</f>
        <v/>
      </c>
    </row>
    <row r="802">
      <c r="A802" t="inlineStr">
        <is>
          <t>LD-300800</t>
        </is>
      </c>
      <c r="B802" t="inlineStr">
        <is>
          <t>2026-06-19 13:15:00</t>
        </is>
      </c>
      <c r="C802" t="inlineStr">
        <is>
          <t>Partner Channel</t>
        </is>
      </c>
      <c r="D802" t="inlineStr">
        <is>
          <t>K-12 Math</t>
        </is>
      </c>
      <c r="E802" t="inlineStr">
        <is>
          <t>East Region</t>
        </is>
      </c>
      <c r="F802" t="inlineStr">
        <is>
          <t>Rep_04</t>
        </is>
      </c>
      <c r="G802" t="n">
        <v>12.05</v>
      </c>
      <c r="H802" t="inlineStr">
        <is>
          <t>Demo Scheduled</t>
        </is>
      </c>
      <c r="I802" t="inlineStr">
        <is>
          <t>Open</t>
        </is>
      </c>
      <c r="M802">
        <f>VLOOKUP(H802,'Stage Order'!$A$2:$B$8,2,FALSE)</f>
        <v/>
      </c>
      <c r="N802">
        <f>IF(G802&lt;=1,"1. Under 1 hour",IF(G802&lt;=24,"2. 1-24 hours",IF(G802&lt;=72,"3. 1-3 days","4. Over 3 days")))</f>
        <v/>
      </c>
      <c r="O802">
        <f>TEXT(B802,"YYYY-MM")</f>
        <v/>
      </c>
    </row>
    <row r="803">
      <c r="A803" t="inlineStr">
        <is>
          <t>LD-300801</t>
        </is>
      </c>
      <c r="B803" t="inlineStr">
        <is>
          <t>2025-08-01 12:10:00</t>
        </is>
      </c>
      <c r="C803" t="inlineStr">
        <is>
          <t>Organic Search</t>
        </is>
      </c>
      <c r="D803" t="inlineStr">
        <is>
          <t>Competitive Exam Prep</t>
        </is>
      </c>
      <c r="E803" t="inlineStr">
        <is>
          <t>West Region</t>
        </is>
      </c>
      <c r="F803" t="inlineStr">
        <is>
          <t>Rep_03</t>
        </is>
      </c>
      <c r="G803" t="n">
        <v>1.8</v>
      </c>
      <c r="H803" t="inlineStr">
        <is>
          <t>Demo Scheduled</t>
        </is>
      </c>
      <c r="I803" t="inlineStr">
        <is>
          <t>Open</t>
        </is>
      </c>
      <c r="M803">
        <f>VLOOKUP(H803,'Stage Order'!$A$2:$B$8,2,FALSE)</f>
        <v/>
      </c>
      <c r="N803">
        <f>IF(G803&lt;=1,"1. Under 1 hour",IF(G803&lt;=24,"2. 1-24 hours",IF(G803&lt;=72,"3. 1-3 days","4. Over 3 days")))</f>
        <v/>
      </c>
      <c r="O803">
        <f>TEXT(B803,"YYYY-MM")</f>
        <v/>
      </c>
    </row>
    <row r="804">
      <c r="A804" t="inlineStr">
        <is>
          <t>LD-300802</t>
        </is>
      </c>
      <c r="B804" t="inlineStr">
        <is>
          <t>2025-11-17 19:21:00</t>
        </is>
      </c>
      <c r="C804" t="inlineStr">
        <is>
          <t>Social Media</t>
        </is>
      </c>
      <c r="D804" t="inlineStr">
        <is>
          <t>Competitive Exam Prep</t>
        </is>
      </c>
      <c r="E804" t="inlineStr">
        <is>
          <t>North Region</t>
        </is>
      </c>
      <c r="F804" t="inlineStr">
        <is>
          <t>Rep_11</t>
        </is>
      </c>
      <c r="G804" t="n">
        <v>1.04</v>
      </c>
      <c r="H804" t="inlineStr">
        <is>
          <t>Contacted</t>
        </is>
      </c>
      <c r="I804" t="inlineStr">
        <is>
          <t>Open</t>
        </is>
      </c>
      <c r="M804">
        <f>VLOOKUP(H804,'Stage Order'!$A$2:$B$8,2,FALSE)</f>
        <v/>
      </c>
      <c r="N804">
        <f>IF(G804&lt;=1,"1. Under 1 hour",IF(G804&lt;=24,"2. 1-24 hours",IF(G804&lt;=72,"3. 1-3 days","4. Over 3 days")))</f>
        <v/>
      </c>
      <c r="O804">
        <f>TEXT(B804,"YYYY-MM")</f>
        <v/>
      </c>
    </row>
    <row r="805">
      <c r="A805" t="inlineStr">
        <is>
          <t>LD-300803</t>
        </is>
      </c>
      <c r="B805" t="inlineStr">
        <is>
          <t>2025-04-02 09:32:00</t>
        </is>
      </c>
      <c r="C805" t="inlineStr">
        <is>
          <t>Social Media</t>
        </is>
      </c>
      <c r="D805" t="inlineStr">
        <is>
          <t>K-12 Math</t>
        </is>
      </c>
      <c r="E805" t="inlineStr">
        <is>
          <t>North Region</t>
        </is>
      </c>
      <c r="F805" t="inlineStr">
        <is>
          <t>Rep_01</t>
        </is>
      </c>
      <c r="G805" t="n">
        <v>0.73</v>
      </c>
      <c r="H805" t="inlineStr">
        <is>
          <t>Contacted</t>
        </is>
      </c>
      <c r="I805" t="inlineStr">
        <is>
          <t>Open</t>
        </is>
      </c>
      <c r="M805">
        <f>VLOOKUP(H805,'Stage Order'!$A$2:$B$8,2,FALSE)</f>
        <v/>
      </c>
      <c r="N805">
        <f>IF(G805&lt;=1,"1. Under 1 hour",IF(G805&lt;=24,"2. 1-24 hours",IF(G805&lt;=72,"3. 1-3 days","4. Over 3 days")))</f>
        <v/>
      </c>
      <c r="O805">
        <f>TEXT(B805,"YYYY-MM")</f>
        <v/>
      </c>
    </row>
    <row r="806">
      <c r="A806" t="inlineStr">
        <is>
          <t>LD-300804</t>
        </is>
      </c>
      <c r="B806" t="inlineStr">
        <is>
          <t>2025-09-11 10:13:00</t>
        </is>
      </c>
      <c r="C806" t="inlineStr">
        <is>
          <t>Organic Search</t>
        </is>
      </c>
      <c r="D806" t="inlineStr">
        <is>
          <t>Competitive Exam Prep</t>
        </is>
      </c>
      <c r="E806" t="inlineStr">
        <is>
          <t>South Region</t>
        </is>
      </c>
      <c r="F806" t="inlineStr">
        <is>
          <t>Rep_07</t>
        </is>
      </c>
      <c r="G806" t="n">
        <v>9.75</v>
      </c>
      <c r="H806" t="inlineStr">
        <is>
          <t>Negotiation</t>
        </is>
      </c>
      <c r="I806" t="inlineStr">
        <is>
          <t>Lost</t>
        </is>
      </c>
      <c r="J806" t="inlineStr">
        <is>
          <t>Bad Timing</t>
        </is>
      </c>
      <c r="K806" t="n">
        <v>979.17</v>
      </c>
      <c r="L806" t="inlineStr">
        <is>
          <t>2025-10-20 18:13:17.890135</t>
        </is>
      </c>
      <c r="M806">
        <f>VLOOKUP(H806,'Stage Order'!$A$2:$B$8,2,FALSE)</f>
        <v/>
      </c>
      <c r="N806">
        <f>IF(G806&lt;=1,"1. Under 1 hour",IF(G806&lt;=24,"2. 1-24 hours",IF(G806&lt;=72,"3. 1-3 days","4. Over 3 days")))</f>
        <v/>
      </c>
      <c r="O806">
        <f>TEXT(B806,"YYYY-MM")</f>
        <v/>
      </c>
    </row>
    <row r="807">
      <c r="A807" t="inlineStr">
        <is>
          <t>LD-300805</t>
        </is>
      </c>
      <c r="B807" t="inlineStr">
        <is>
          <t>2025-05-23 20:06:00</t>
        </is>
      </c>
      <c r="C807" t="inlineStr">
        <is>
          <t>Social Media</t>
        </is>
      </c>
      <c r="D807" t="inlineStr">
        <is>
          <t>Competitive Exam Prep</t>
        </is>
      </c>
      <c r="E807" t="inlineStr">
        <is>
          <t>North Region</t>
        </is>
      </c>
      <c r="F807" t="inlineStr">
        <is>
          <t>Rep_11</t>
        </is>
      </c>
      <c r="G807" t="n">
        <v>1.21</v>
      </c>
      <c r="H807" t="inlineStr">
        <is>
          <t>Demo Scheduled</t>
        </is>
      </c>
      <c r="I807" t="inlineStr">
        <is>
          <t>Open</t>
        </is>
      </c>
      <c r="M807">
        <f>VLOOKUP(H807,'Stage Order'!$A$2:$B$8,2,FALSE)</f>
        <v/>
      </c>
      <c r="N807">
        <f>IF(G807&lt;=1,"1. Under 1 hour",IF(G807&lt;=24,"2. 1-24 hours",IF(G807&lt;=72,"3. 1-3 days","4. Over 3 days")))</f>
        <v/>
      </c>
      <c r="O807">
        <f>TEXT(B807,"YYYY-MM")</f>
        <v/>
      </c>
    </row>
    <row r="808">
      <c r="A808" t="inlineStr">
        <is>
          <t>LD-300806</t>
        </is>
      </c>
      <c r="B808" t="inlineStr">
        <is>
          <t>2025-03-11 15:52:00</t>
        </is>
      </c>
      <c r="C808" t="inlineStr">
        <is>
          <t>Referral</t>
        </is>
      </c>
      <c r="D808" t="inlineStr">
        <is>
          <t>Competitive Exam Prep</t>
        </is>
      </c>
      <c r="E808" t="inlineStr">
        <is>
          <t>East Region</t>
        </is>
      </c>
      <c r="F808" t="inlineStr">
        <is>
          <t>Rep_09</t>
        </is>
      </c>
      <c r="G808" t="n">
        <v>1.5</v>
      </c>
      <c r="H808" t="inlineStr">
        <is>
          <t>Contacted</t>
        </is>
      </c>
      <c r="I808" t="inlineStr">
        <is>
          <t>Open</t>
        </is>
      </c>
      <c r="M808">
        <f>VLOOKUP(H808,'Stage Order'!$A$2:$B$8,2,FALSE)</f>
        <v/>
      </c>
      <c r="N808">
        <f>IF(G808&lt;=1,"1. Under 1 hour",IF(G808&lt;=24,"2. 1-24 hours",IF(G808&lt;=72,"3. 1-3 days","4. Over 3 days")))</f>
        <v/>
      </c>
      <c r="O808">
        <f>TEXT(B808,"YYYY-MM")</f>
        <v/>
      </c>
    </row>
    <row r="809">
      <c r="A809" t="inlineStr">
        <is>
          <t>LD-300807</t>
        </is>
      </c>
      <c r="B809" t="inlineStr">
        <is>
          <t>2026-03-11 16:03:00</t>
        </is>
      </c>
      <c r="C809" t="inlineStr">
        <is>
          <t>Webinar</t>
        </is>
      </c>
      <c r="D809" t="inlineStr">
        <is>
          <t>Coding for Kids</t>
        </is>
      </c>
      <c r="E809" t="inlineStr">
        <is>
          <t>South Region</t>
        </is>
      </c>
      <c r="F809" t="inlineStr">
        <is>
          <t>Rep_12</t>
        </is>
      </c>
      <c r="G809" t="n">
        <v>3.21</v>
      </c>
      <c r="H809" t="inlineStr">
        <is>
          <t>Closed</t>
        </is>
      </c>
      <c r="I809" t="inlineStr">
        <is>
          <t>Won</t>
        </is>
      </c>
      <c r="K809" t="n">
        <v>686.53</v>
      </c>
      <c r="L809" t="inlineStr">
        <is>
          <t>2026-04-25 18:46:18.428140</t>
        </is>
      </c>
      <c r="M809">
        <f>VLOOKUP(H809,'Stage Order'!$A$2:$B$8,2,FALSE)</f>
        <v/>
      </c>
      <c r="N809">
        <f>IF(G809&lt;=1,"1. Under 1 hour",IF(G809&lt;=24,"2. 1-24 hours",IF(G809&lt;=72,"3. 1-3 days","4. Over 3 days")))</f>
        <v/>
      </c>
      <c r="O809">
        <f>TEXT(B809,"YYYY-MM")</f>
        <v/>
      </c>
    </row>
    <row r="810">
      <c r="A810" t="inlineStr">
        <is>
          <t>LD-300808</t>
        </is>
      </c>
      <c r="B810" t="inlineStr">
        <is>
          <t>2025-01-30 12:20:00</t>
        </is>
      </c>
      <c r="C810" t="inlineStr">
        <is>
          <t>Cold Outreach</t>
        </is>
      </c>
      <c r="D810" t="inlineStr">
        <is>
          <t>Language Learning</t>
        </is>
      </c>
      <c r="E810" t="inlineStr">
        <is>
          <t>East Region</t>
        </is>
      </c>
      <c r="F810" t="inlineStr">
        <is>
          <t>Rep_04</t>
        </is>
      </c>
      <c r="G810" t="n">
        <v>3.47</v>
      </c>
      <c r="H810" t="inlineStr">
        <is>
          <t>Contacted</t>
        </is>
      </c>
      <c r="I810" t="inlineStr">
        <is>
          <t>Open</t>
        </is>
      </c>
      <c r="M810">
        <f>VLOOKUP(H810,'Stage Order'!$A$2:$B$8,2,FALSE)</f>
        <v/>
      </c>
      <c r="N810">
        <f>IF(G810&lt;=1,"1. Under 1 hour",IF(G810&lt;=24,"2. 1-24 hours",IF(G810&lt;=72,"3. 1-3 days","4. Over 3 days")))</f>
        <v/>
      </c>
      <c r="O810">
        <f>TEXT(B810,"YYYY-MM")</f>
        <v/>
      </c>
    </row>
    <row r="811">
      <c r="A811" t="inlineStr">
        <is>
          <t>LD-300809</t>
        </is>
      </c>
      <c r="B811" t="inlineStr">
        <is>
          <t>2025-05-13 16:23:00</t>
        </is>
      </c>
      <c r="C811" t="inlineStr">
        <is>
          <t>Organic Search</t>
        </is>
      </c>
      <c r="D811" t="inlineStr">
        <is>
          <t>Language Learning</t>
        </is>
      </c>
      <c r="E811" t="inlineStr">
        <is>
          <t>East Region</t>
        </is>
      </c>
      <c r="F811" t="inlineStr">
        <is>
          <t>Rep_04</t>
        </is>
      </c>
      <c r="G811" t="n">
        <v>12.48</v>
      </c>
      <c r="H811" t="inlineStr">
        <is>
          <t>Lead</t>
        </is>
      </c>
      <c r="I811" t="inlineStr">
        <is>
          <t>Open</t>
        </is>
      </c>
      <c r="M811">
        <f>VLOOKUP(H811,'Stage Order'!$A$2:$B$8,2,FALSE)</f>
        <v/>
      </c>
      <c r="N811">
        <f>IF(G811&lt;=1,"1. Under 1 hour",IF(G811&lt;=24,"2. 1-24 hours",IF(G811&lt;=72,"3. 1-3 days","4. Over 3 days")))</f>
        <v/>
      </c>
      <c r="O811">
        <f>TEXT(B811,"YYYY-MM")</f>
        <v/>
      </c>
    </row>
    <row r="812">
      <c r="A812" t="inlineStr">
        <is>
          <t>LD-300810</t>
        </is>
      </c>
      <c r="B812" t="inlineStr">
        <is>
          <t>2025-03-19 09:11:00</t>
        </is>
      </c>
      <c r="C812" t="inlineStr">
        <is>
          <t>Paid Search</t>
        </is>
      </c>
      <c r="D812" t="inlineStr">
        <is>
          <t>Coding for Kids</t>
        </is>
      </c>
      <c r="E812" t="inlineStr">
        <is>
          <t>North Region</t>
        </is>
      </c>
      <c r="F812" t="inlineStr">
        <is>
          <t>Rep_06</t>
        </is>
      </c>
      <c r="G812" t="n">
        <v>3.74</v>
      </c>
      <c r="H812" t="inlineStr">
        <is>
          <t>Negotiation</t>
        </is>
      </c>
      <c r="I812" t="inlineStr">
        <is>
          <t>Lost</t>
        </is>
      </c>
      <c r="J812" t="inlineStr">
        <is>
          <t>Bad Timing</t>
        </is>
      </c>
      <c r="K812" t="n">
        <v>629.3099999999999</v>
      </c>
      <c r="L812" t="inlineStr">
        <is>
          <t>2025-04-28 17:48:20.604434</t>
        </is>
      </c>
      <c r="M812">
        <f>VLOOKUP(H812,'Stage Order'!$A$2:$B$8,2,FALSE)</f>
        <v/>
      </c>
      <c r="N812">
        <f>IF(G812&lt;=1,"1. Under 1 hour",IF(G812&lt;=24,"2. 1-24 hours",IF(G812&lt;=72,"3. 1-3 days","4. Over 3 days")))</f>
        <v/>
      </c>
      <c r="O812">
        <f>TEXT(B812,"YYYY-MM")</f>
        <v/>
      </c>
    </row>
    <row r="813">
      <c r="A813" t="inlineStr">
        <is>
          <t>LD-300811</t>
        </is>
      </c>
      <c r="B813" t="inlineStr">
        <is>
          <t>2025-02-25 14:05:00</t>
        </is>
      </c>
      <c r="C813" t="inlineStr">
        <is>
          <t>Cold Outreach</t>
        </is>
      </c>
      <c r="D813" t="inlineStr">
        <is>
          <t>Coding for Kids</t>
        </is>
      </c>
      <c r="E813" t="inlineStr">
        <is>
          <t>South Region</t>
        </is>
      </c>
      <c r="F813" t="inlineStr">
        <is>
          <t>Rep_12</t>
        </is>
      </c>
      <c r="G813" t="n">
        <v>0.79</v>
      </c>
      <c r="H813" t="inlineStr">
        <is>
          <t>Lead</t>
        </is>
      </c>
      <c r="I813" t="inlineStr">
        <is>
          <t>Open</t>
        </is>
      </c>
      <c r="M813">
        <f>VLOOKUP(H813,'Stage Order'!$A$2:$B$8,2,FALSE)</f>
        <v/>
      </c>
      <c r="N813">
        <f>IF(G813&lt;=1,"1. Under 1 hour",IF(G813&lt;=24,"2. 1-24 hours",IF(G813&lt;=72,"3. 1-3 days","4. Over 3 days")))</f>
        <v/>
      </c>
      <c r="O813">
        <f>TEXT(B813,"YYYY-MM")</f>
        <v/>
      </c>
    </row>
    <row r="814">
      <c r="A814" t="inlineStr">
        <is>
          <t>LD-300812</t>
        </is>
      </c>
      <c r="B814" t="inlineStr">
        <is>
          <t>2026-02-10 14:15:00</t>
        </is>
      </c>
      <c r="C814" t="inlineStr">
        <is>
          <t>Webinar</t>
        </is>
      </c>
      <c r="D814" t="inlineStr">
        <is>
          <t>Competitive Exam Prep</t>
        </is>
      </c>
      <c r="E814" t="inlineStr">
        <is>
          <t>East Region</t>
        </is>
      </c>
      <c r="F814" t="inlineStr">
        <is>
          <t>Rep_09</t>
        </is>
      </c>
      <c r="G814" t="n">
        <v>1.2</v>
      </c>
      <c r="H814" t="inlineStr">
        <is>
          <t>Contacted</t>
        </is>
      </c>
      <c r="I814" t="inlineStr">
        <is>
          <t>Open</t>
        </is>
      </c>
      <c r="M814">
        <f>VLOOKUP(H814,'Stage Order'!$A$2:$B$8,2,FALSE)</f>
        <v/>
      </c>
      <c r="N814">
        <f>IF(G814&lt;=1,"1. Under 1 hour",IF(G814&lt;=24,"2. 1-24 hours",IF(G814&lt;=72,"3. 1-3 days","4. Over 3 days")))</f>
        <v/>
      </c>
      <c r="O814">
        <f>TEXT(B814,"YYYY-MM")</f>
        <v/>
      </c>
    </row>
    <row r="815">
      <c r="A815" t="inlineStr">
        <is>
          <t>LD-300813</t>
        </is>
      </c>
      <c r="B815" t="inlineStr">
        <is>
          <t>2025-08-05 20:59:00</t>
        </is>
      </c>
      <c r="C815" t="inlineStr">
        <is>
          <t>Partner Channel</t>
        </is>
      </c>
      <c r="D815" t="inlineStr">
        <is>
          <t>K-12 Math</t>
        </is>
      </c>
      <c r="E815" t="inlineStr">
        <is>
          <t>East Region</t>
        </is>
      </c>
      <c r="F815" t="inlineStr">
        <is>
          <t>Rep_04</t>
        </is>
      </c>
      <c r="G815" t="n">
        <v>1.2</v>
      </c>
      <c r="H815" t="inlineStr">
        <is>
          <t>Contacted</t>
        </is>
      </c>
      <c r="I815" t="inlineStr">
        <is>
          <t>Open</t>
        </is>
      </c>
      <c r="M815">
        <f>VLOOKUP(H815,'Stage Order'!$A$2:$B$8,2,FALSE)</f>
        <v/>
      </c>
      <c r="N815">
        <f>IF(G815&lt;=1,"1. Under 1 hour",IF(G815&lt;=24,"2. 1-24 hours",IF(G815&lt;=72,"3. 1-3 days","4. Over 3 days")))</f>
        <v/>
      </c>
      <c r="O815">
        <f>TEXT(B815,"YYYY-MM")</f>
        <v/>
      </c>
    </row>
    <row r="816">
      <c r="A816" t="inlineStr">
        <is>
          <t>LD-300814</t>
        </is>
      </c>
      <c r="B816" t="inlineStr">
        <is>
          <t>2025-01-20 14:48:00</t>
        </is>
      </c>
      <c r="C816" t="inlineStr">
        <is>
          <t>Organic Search</t>
        </is>
      </c>
      <c r="D816" t="inlineStr">
        <is>
          <t>Study Abroad Prep</t>
        </is>
      </c>
      <c r="E816" t="inlineStr">
        <is>
          <t>South Region</t>
        </is>
      </c>
      <c r="F816" t="inlineStr">
        <is>
          <t>Rep_07</t>
        </is>
      </c>
      <c r="G816" t="n">
        <v>1.45</v>
      </c>
      <c r="H816" t="inlineStr">
        <is>
          <t>Closed</t>
        </is>
      </c>
      <c r="I816" t="inlineStr">
        <is>
          <t>Won</t>
        </is>
      </c>
      <c r="K816" t="n">
        <v>1585.21</v>
      </c>
      <c r="L816" t="inlineStr">
        <is>
          <t>2025-03-17 10:04:23.055623</t>
        </is>
      </c>
      <c r="M816">
        <f>VLOOKUP(H816,'Stage Order'!$A$2:$B$8,2,FALSE)</f>
        <v/>
      </c>
      <c r="N816">
        <f>IF(G816&lt;=1,"1. Under 1 hour",IF(G816&lt;=24,"2. 1-24 hours",IF(G816&lt;=72,"3. 1-3 days","4. Over 3 days")))</f>
        <v/>
      </c>
      <c r="O816">
        <f>TEXT(B816,"YYYY-MM")</f>
        <v/>
      </c>
    </row>
    <row r="817">
      <c r="A817" t="inlineStr">
        <is>
          <t>LD-300815</t>
        </is>
      </c>
      <c r="B817" t="inlineStr">
        <is>
          <t>2025-08-01 07:06:00</t>
        </is>
      </c>
      <c r="C817" t="inlineStr">
        <is>
          <t>Paid Search</t>
        </is>
      </c>
      <c r="D817" t="inlineStr">
        <is>
          <t>Coding for Kids</t>
        </is>
      </c>
      <c r="E817" t="inlineStr">
        <is>
          <t>International</t>
        </is>
      </c>
      <c r="F817" t="inlineStr">
        <is>
          <t>Rep_15</t>
        </is>
      </c>
      <c r="G817" t="n">
        <v>2.79</v>
      </c>
      <c r="H817" t="inlineStr">
        <is>
          <t>Closed</t>
        </is>
      </c>
      <c r="I817" t="inlineStr">
        <is>
          <t>Won</t>
        </is>
      </c>
      <c r="K817" t="n">
        <v>647.99</v>
      </c>
      <c r="L817" t="inlineStr">
        <is>
          <t>2025-09-09 05:55:00.653368</t>
        </is>
      </c>
      <c r="M817">
        <f>VLOOKUP(H817,'Stage Order'!$A$2:$B$8,2,FALSE)</f>
        <v/>
      </c>
      <c r="N817">
        <f>IF(G817&lt;=1,"1. Under 1 hour",IF(G817&lt;=24,"2. 1-24 hours",IF(G817&lt;=72,"3. 1-3 days","4. Over 3 days")))</f>
        <v/>
      </c>
      <c r="O817">
        <f>TEXT(B817,"YYYY-MM")</f>
        <v/>
      </c>
    </row>
    <row r="818">
      <c r="A818" t="inlineStr">
        <is>
          <t>LD-300816</t>
        </is>
      </c>
      <c r="B818" t="inlineStr">
        <is>
          <t>2025-07-19 17:29:00</t>
        </is>
      </c>
      <c r="C818" t="inlineStr">
        <is>
          <t>Referral</t>
        </is>
      </c>
      <c r="D818" t="inlineStr">
        <is>
          <t>Competitive Exam Prep</t>
        </is>
      </c>
      <c r="E818" t="inlineStr">
        <is>
          <t>South Region</t>
        </is>
      </c>
      <c r="F818" t="inlineStr">
        <is>
          <t>Rep_07</t>
        </is>
      </c>
      <c r="G818" t="n">
        <v>11.95</v>
      </c>
      <c r="H818" t="inlineStr">
        <is>
          <t>Closed</t>
        </is>
      </c>
      <c r="I818" t="inlineStr">
        <is>
          <t>Won</t>
        </is>
      </c>
      <c r="K818" t="n">
        <v>1006.54</v>
      </c>
      <c r="L818" t="inlineStr">
        <is>
          <t>2025-09-05 21:20:50.447084</t>
        </is>
      </c>
      <c r="M818">
        <f>VLOOKUP(H818,'Stage Order'!$A$2:$B$8,2,FALSE)</f>
        <v/>
      </c>
      <c r="N818">
        <f>IF(G818&lt;=1,"1. Under 1 hour",IF(G818&lt;=24,"2. 1-24 hours",IF(G818&lt;=72,"3. 1-3 days","4. Over 3 days")))</f>
        <v/>
      </c>
      <c r="O818">
        <f>TEXT(B818,"YYYY-MM")</f>
        <v/>
      </c>
    </row>
    <row r="819">
      <c r="A819" t="inlineStr">
        <is>
          <t>LD-300817</t>
        </is>
      </c>
      <c r="B819" t="inlineStr">
        <is>
          <t>2026-05-13 11:39:00</t>
        </is>
      </c>
      <c r="C819" t="inlineStr">
        <is>
          <t>Organic Search</t>
        </is>
      </c>
      <c r="D819" t="inlineStr">
        <is>
          <t>K-12 Math</t>
        </is>
      </c>
      <c r="E819" t="inlineStr">
        <is>
          <t>South Region</t>
        </is>
      </c>
      <c r="F819" t="inlineStr">
        <is>
          <t>Rep_02</t>
        </is>
      </c>
      <c r="G819" t="n">
        <v>2.24</v>
      </c>
      <c r="H819" t="inlineStr">
        <is>
          <t>Contacted</t>
        </is>
      </c>
      <c r="I819" t="inlineStr">
        <is>
          <t>Open</t>
        </is>
      </c>
      <c r="M819">
        <f>VLOOKUP(H819,'Stage Order'!$A$2:$B$8,2,FALSE)</f>
        <v/>
      </c>
      <c r="N819">
        <f>IF(G819&lt;=1,"1. Under 1 hour",IF(G819&lt;=24,"2. 1-24 hours",IF(G819&lt;=72,"3. 1-3 days","4. Over 3 days")))</f>
        <v/>
      </c>
      <c r="O819">
        <f>TEXT(B819,"YYYY-MM")</f>
        <v/>
      </c>
    </row>
    <row r="820">
      <c r="A820" t="inlineStr">
        <is>
          <t>LD-300818</t>
        </is>
      </c>
      <c r="B820" t="inlineStr">
        <is>
          <t>2025-11-14 19:11:00</t>
        </is>
      </c>
      <c r="C820" t="inlineStr">
        <is>
          <t>Organic Search</t>
        </is>
      </c>
      <c r="D820" t="inlineStr">
        <is>
          <t>Language Learning</t>
        </is>
      </c>
      <c r="E820" t="inlineStr">
        <is>
          <t>West Region</t>
        </is>
      </c>
      <c r="F820" t="inlineStr">
        <is>
          <t>Rep_13</t>
        </is>
      </c>
      <c r="G820" t="n">
        <v>0.46</v>
      </c>
      <c r="H820" t="inlineStr">
        <is>
          <t>Contacted</t>
        </is>
      </c>
      <c r="I820" t="inlineStr">
        <is>
          <t>Open</t>
        </is>
      </c>
      <c r="M820">
        <f>VLOOKUP(H820,'Stage Order'!$A$2:$B$8,2,FALSE)</f>
        <v/>
      </c>
      <c r="N820">
        <f>IF(G820&lt;=1,"1. Under 1 hour",IF(G820&lt;=24,"2. 1-24 hours",IF(G820&lt;=72,"3. 1-3 days","4. Over 3 days")))</f>
        <v/>
      </c>
      <c r="O820">
        <f>TEXT(B820,"YYYY-MM")</f>
        <v/>
      </c>
    </row>
    <row r="821">
      <c r="A821" t="inlineStr">
        <is>
          <t>LD-300819</t>
        </is>
      </c>
      <c r="B821" t="inlineStr">
        <is>
          <t>2025-03-26 20:57:00</t>
        </is>
      </c>
      <c r="C821" t="inlineStr">
        <is>
          <t>Organic Search</t>
        </is>
      </c>
      <c r="D821" t="inlineStr">
        <is>
          <t>Coding for Kids</t>
        </is>
      </c>
      <c r="E821" t="inlineStr">
        <is>
          <t>North Region</t>
        </is>
      </c>
      <c r="F821" t="inlineStr">
        <is>
          <t>Rep_06</t>
        </is>
      </c>
      <c r="G821" t="n">
        <v>6.51</v>
      </c>
      <c r="H821" t="inlineStr">
        <is>
          <t>Proposal Sent</t>
        </is>
      </c>
      <c r="I821" t="inlineStr">
        <is>
          <t>Lost</t>
        </is>
      </c>
      <c r="J821" t="inlineStr">
        <is>
          <t>Budget Not Approved</t>
        </is>
      </c>
      <c r="K821" t="n">
        <v>708.08</v>
      </c>
      <c r="L821" t="inlineStr">
        <is>
          <t>2025-04-28 12:24:58.592591</t>
        </is>
      </c>
      <c r="M821">
        <f>VLOOKUP(H821,'Stage Order'!$A$2:$B$8,2,FALSE)</f>
        <v/>
      </c>
      <c r="N821">
        <f>IF(G821&lt;=1,"1. Under 1 hour",IF(G821&lt;=24,"2. 1-24 hours",IF(G821&lt;=72,"3. 1-3 days","4. Over 3 days")))</f>
        <v/>
      </c>
      <c r="O821">
        <f>TEXT(B821,"YYYY-MM")</f>
        <v/>
      </c>
    </row>
    <row r="822">
      <c r="A822" t="inlineStr">
        <is>
          <t>LD-300820</t>
        </is>
      </c>
      <c r="B822" t="inlineStr">
        <is>
          <t>2025-08-11 14:37:00</t>
        </is>
      </c>
      <c r="C822" t="inlineStr">
        <is>
          <t>Cold Outreach</t>
        </is>
      </c>
      <c r="D822" t="inlineStr">
        <is>
          <t>K-12 Math</t>
        </is>
      </c>
      <c r="E822" t="inlineStr">
        <is>
          <t>East Region</t>
        </is>
      </c>
      <c r="F822" t="inlineStr">
        <is>
          <t>Rep_14</t>
        </is>
      </c>
      <c r="G822" t="n">
        <v>8.93</v>
      </c>
      <c r="H822" t="inlineStr">
        <is>
          <t>Lead</t>
        </is>
      </c>
      <c r="I822" t="inlineStr">
        <is>
          <t>Open</t>
        </is>
      </c>
      <c r="M822">
        <f>VLOOKUP(H822,'Stage Order'!$A$2:$B$8,2,FALSE)</f>
        <v/>
      </c>
      <c r="N822">
        <f>IF(G822&lt;=1,"1. Under 1 hour",IF(G822&lt;=24,"2. 1-24 hours",IF(G822&lt;=72,"3. 1-3 days","4. Over 3 days")))</f>
        <v/>
      </c>
      <c r="O822">
        <f>TEXT(B822,"YYYY-MM")</f>
        <v/>
      </c>
    </row>
    <row r="823">
      <c r="A823" t="inlineStr">
        <is>
          <t>LD-300821</t>
        </is>
      </c>
      <c r="B823" t="inlineStr">
        <is>
          <t>2025-08-13 12:35:00</t>
        </is>
      </c>
      <c r="C823" t="inlineStr">
        <is>
          <t>Organic Search</t>
        </is>
      </c>
      <c r="D823" t="inlineStr">
        <is>
          <t>Language Learning</t>
        </is>
      </c>
      <c r="E823" t="inlineStr">
        <is>
          <t>West Region</t>
        </is>
      </c>
      <c r="F823" t="inlineStr">
        <is>
          <t>Rep_08</t>
        </is>
      </c>
      <c r="G823" t="n">
        <v>3.56</v>
      </c>
      <c r="H823" t="inlineStr">
        <is>
          <t>Negotiation</t>
        </is>
      </c>
      <c r="I823" t="inlineStr">
        <is>
          <t>Lost</t>
        </is>
      </c>
      <c r="J823" t="inlineStr">
        <is>
          <t>Budget Not Approved</t>
        </is>
      </c>
      <c r="K823" t="n">
        <v>368.78</v>
      </c>
      <c r="L823" t="inlineStr">
        <is>
          <t>2025-09-14 22:17:19.527142</t>
        </is>
      </c>
      <c r="M823">
        <f>VLOOKUP(H823,'Stage Order'!$A$2:$B$8,2,FALSE)</f>
        <v/>
      </c>
      <c r="N823">
        <f>IF(G823&lt;=1,"1. Under 1 hour",IF(G823&lt;=24,"2. 1-24 hours",IF(G823&lt;=72,"3. 1-3 days","4. Over 3 days")))</f>
        <v/>
      </c>
      <c r="O823">
        <f>TEXT(B823,"YYYY-MM")</f>
        <v/>
      </c>
    </row>
    <row r="824">
      <c r="A824" t="inlineStr">
        <is>
          <t>LD-300822</t>
        </is>
      </c>
      <c r="B824" t="inlineStr">
        <is>
          <t>2025-04-15 17:59:00</t>
        </is>
      </c>
      <c r="C824" t="inlineStr">
        <is>
          <t>Referral</t>
        </is>
      </c>
      <c r="D824" t="inlineStr">
        <is>
          <t>Competitive Exam Prep</t>
        </is>
      </c>
      <c r="E824" t="inlineStr">
        <is>
          <t>North Region</t>
        </is>
      </c>
      <c r="F824" t="inlineStr">
        <is>
          <t>Rep_11</t>
        </is>
      </c>
      <c r="G824" t="n">
        <v>2.22</v>
      </c>
      <c r="H824" t="inlineStr">
        <is>
          <t>Negotiation</t>
        </is>
      </c>
      <c r="I824" t="inlineStr">
        <is>
          <t>Lost</t>
        </is>
      </c>
      <c r="J824" t="inlineStr">
        <is>
          <t>Went With Competitor</t>
        </is>
      </c>
      <c r="K824" t="n">
        <v>1105.31</v>
      </c>
      <c r="L824" t="inlineStr">
        <is>
          <t>2025-05-23 10:42:45.845956</t>
        </is>
      </c>
      <c r="M824">
        <f>VLOOKUP(H824,'Stage Order'!$A$2:$B$8,2,FALSE)</f>
        <v/>
      </c>
      <c r="N824">
        <f>IF(G824&lt;=1,"1. Under 1 hour",IF(G824&lt;=24,"2. 1-24 hours",IF(G824&lt;=72,"3. 1-3 days","4. Over 3 days")))</f>
        <v/>
      </c>
      <c r="O824">
        <f>TEXT(B824,"YYYY-MM")</f>
        <v/>
      </c>
    </row>
    <row r="825">
      <c r="A825" t="inlineStr">
        <is>
          <t>LD-300823</t>
        </is>
      </c>
      <c r="B825" t="inlineStr">
        <is>
          <t>2026-05-01 12:43:00</t>
        </is>
      </c>
      <c r="C825" t="inlineStr">
        <is>
          <t>Social Media</t>
        </is>
      </c>
      <c r="D825" t="inlineStr">
        <is>
          <t>Study Abroad Prep</t>
        </is>
      </c>
      <c r="E825" t="inlineStr">
        <is>
          <t>North Region</t>
        </is>
      </c>
      <c r="F825" t="inlineStr">
        <is>
          <t>Rep_11</t>
        </is>
      </c>
      <c r="G825" t="n">
        <v>4.16</v>
      </c>
      <c r="H825" t="inlineStr">
        <is>
          <t>Contacted</t>
        </is>
      </c>
      <c r="I825" t="inlineStr">
        <is>
          <t>Open</t>
        </is>
      </c>
      <c r="M825">
        <f>VLOOKUP(H825,'Stage Order'!$A$2:$B$8,2,FALSE)</f>
        <v/>
      </c>
      <c r="N825">
        <f>IF(G825&lt;=1,"1. Under 1 hour",IF(G825&lt;=24,"2. 1-24 hours",IF(G825&lt;=72,"3. 1-3 days","4. Over 3 days")))</f>
        <v/>
      </c>
      <c r="O825">
        <f>TEXT(B825,"YYYY-MM")</f>
        <v/>
      </c>
    </row>
    <row r="826">
      <c r="A826" t="inlineStr">
        <is>
          <t>LD-300824</t>
        </is>
      </c>
      <c r="B826" t="inlineStr">
        <is>
          <t>2026-01-12 17:48:00</t>
        </is>
      </c>
      <c r="C826" t="inlineStr">
        <is>
          <t>Partner Channel</t>
        </is>
      </c>
      <c r="D826" t="inlineStr">
        <is>
          <t>Language Learning</t>
        </is>
      </c>
      <c r="E826" t="inlineStr">
        <is>
          <t>South Region</t>
        </is>
      </c>
      <c r="F826" t="inlineStr">
        <is>
          <t>Rep_07</t>
        </is>
      </c>
      <c r="G826" t="n">
        <v>1.02</v>
      </c>
      <c r="H826" t="inlineStr">
        <is>
          <t>Negotiation</t>
        </is>
      </c>
      <c r="I826" t="inlineStr">
        <is>
          <t>Lost</t>
        </is>
      </c>
      <c r="J826" t="inlineStr">
        <is>
          <t>Budget Not Approved</t>
        </is>
      </c>
      <c r="K826" t="n">
        <v>298.23</v>
      </c>
      <c r="L826" t="inlineStr">
        <is>
          <t>2026-02-26 00:55:09.785271</t>
        </is>
      </c>
      <c r="M826">
        <f>VLOOKUP(H826,'Stage Order'!$A$2:$B$8,2,FALSE)</f>
        <v/>
      </c>
      <c r="N826">
        <f>IF(G826&lt;=1,"1. Under 1 hour",IF(G826&lt;=24,"2. 1-24 hours",IF(G826&lt;=72,"3. 1-3 days","4. Over 3 days")))</f>
        <v/>
      </c>
      <c r="O826">
        <f>TEXT(B826,"YYYY-MM")</f>
        <v/>
      </c>
    </row>
    <row r="827">
      <c r="A827" t="inlineStr">
        <is>
          <t>LD-300825</t>
        </is>
      </c>
      <c r="B827" t="inlineStr">
        <is>
          <t>2026-03-25 12:35:00</t>
        </is>
      </c>
      <c r="C827" t="inlineStr">
        <is>
          <t>Organic Search</t>
        </is>
      </c>
      <c r="D827" t="inlineStr">
        <is>
          <t>Coding for Kids</t>
        </is>
      </c>
      <c r="E827" t="inlineStr">
        <is>
          <t>South Region</t>
        </is>
      </c>
      <c r="F827" t="inlineStr">
        <is>
          <t>Rep_02</t>
        </is>
      </c>
      <c r="G827" t="n">
        <v>1.02</v>
      </c>
      <c r="H827" t="inlineStr">
        <is>
          <t>Contacted</t>
        </is>
      </c>
      <c r="I827" t="inlineStr">
        <is>
          <t>Open</t>
        </is>
      </c>
      <c r="M827">
        <f>VLOOKUP(H827,'Stage Order'!$A$2:$B$8,2,FALSE)</f>
        <v/>
      </c>
      <c r="N827">
        <f>IF(G827&lt;=1,"1. Under 1 hour",IF(G827&lt;=24,"2. 1-24 hours",IF(G827&lt;=72,"3. 1-3 days","4. Over 3 days")))</f>
        <v/>
      </c>
      <c r="O827">
        <f>TEXT(B827,"YYYY-MM")</f>
        <v/>
      </c>
    </row>
    <row r="828">
      <c r="A828" t="inlineStr">
        <is>
          <t>LD-300826</t>
        </is>
      </c>
      <c r="B828" t="inlineStr">
        <is>
          <t>2025-09-24 18:14:00</t>
        </is>
      </c>
      <c r="C828" t="inlineStr">
        <is>
          <t>Referral</t>
        </is>
      </c>
      <c r="D828" t="inlineStr">
        <is>
          <t>Competitive Exam Prep</t>
        </is>
      </c>
      <c r="E828" t="inlineStr">
        <is>
          <t>South Region</t>
        </is>
      </c>
      <c r="F828" t="inlineStr">
        <is>
          <t>Rep_07</t>
        </is>
      </c>
      <c r="G828" t="n">
        <v>1.28</v>
      </c>
      <c r="H828" t="inlineStr">
        <is>
          <t>Contacted</t>
        </is>
      </c>
      <c r="I828" t="inlineStr">
        <is>
          <t>Open</t>
        </is>
      </c>
      <c r="M828">
        <f>VLOOKUP(H828,'Stage Order'!$A$2:$B$8,2,FALSE)</f>
        <v/>
      </c>
      <c r="N828">
        <f>IF(G828&lt;=1,"1. Under 1 hour",IF(G828&lt;=24,"2. 1-24 hours",IF(G828&lt;=72,"3. 1-3 days","4. Over 3 days")))</f>
        <v/>
      </c>
      <c r="O828">
        <f>TEXT(B828,"YYYY-MM")</f>
        <v/>
      </c>
    </row>
    <row r="829">
      <c r="A829" t="inlineStr">
        <is>
          <t>LD-300827</t>
        </is>
      </c>
      <c r="B829" t="inlineStr">
        <is>
          <t>2025-08-07 14:06:00</t>
        </is>
      </c>
      <c r="C829" t="inlineStr">
        <is>
          <t>Webinar</t>
        </is>
      </c>
      <c r="D829" t="inlineStr">
        <is>
          <t>Competitive Exam Prep</t>
        </is>
      </c>
      <c r="E829" t="inlineStr">
        <is>
          <t>International</t>
        </is>
      </c>
      <c r="F829" t="inlineStr">
        <is>
          <t>Rep_05</t>
        </is>
      </c>
      <c r="G829" t="n">
        <v>2.77</v>
      </c>
      <c r="H829" t="inlineStr">
        <is>
          <t>Contacted</t>
        </is>
      </c>
      <c r="I829" t="inlineStr">
        <is>
          <t>Open</t>
        </is>
      </c>
      <c r="M829">
        <f>VLOOKUP(H829,'Stage Order'!$A$2:$B$8,2,FALSE)</f>
        <v/>
      </c>
      <c r="N829">
        <f>IF(G829&lt;=1,"1. Under 1 hour",IF(G829&lt;=24,"2. 1-24 hours",IF(G829&lt;=72,"3. 1-3 days","4. Over 3 days")))</f>
        <v/>
      </c>
      <c r="O829">
        <f>TEXT(B829,"YYYY-MM")</f>
        <v/>
      </c>
    </row>
    <row r="830">
      <c r="A830" t="inlineStr">
        <is>
          <t>LD-300828</t>
        </is>
      </c>
      <c r="B830" t="inlineStr">
        <is>
          <t>2025-04-09 09:40:00</t>
        </is>
      </c>
      <c r="C830" t="inlineStr">
        <is>
          <t>Referral</t>
        </is>
      </c>
      <c r="D830" t="inlineStr">
        <is>
          <t>Study Abroad Prep</t>
        </is>
      </c>
      <c r="E830" t="inlineStr">
        <is>
          <t>South Region</t>
        </is>
      </c>
      <c r="F830" t="inlineStr">
        <is>
          <t>Rep_12</t>
        </is>
      </c>
      <c r="G830" t="n">
        <v>0.55</v>
      </c>
      <c r="H830" t="inlineStr">
        <is>
          <t>Contacted</t>
        </is>
      </c>
      <c r="I830" t="inlineStr">
        <is>
          <t>Open</t>
        </is>
      </c>
      <c r="M830">
        <f>VLOOKUP(H830,'Stage Order'!$A$2:$B$8,2,FALSE)</f>
        <v/>
      </c>
      <c r="N830">
        <f>IF(G830&lt;=1,"1. Under 1 hour",IF(G830&lt;=24,"2. 1-24 hours",IF(G830&lt;=72,"3. 1-3 days","4. Over 3 days")))</f>
        <v/>
      </c>
      <c r="O830">
        <f>TEXT(B830,"YYYY-MM")</f>
        <v/>
      </c>
    </row>
    <row r="831">
      <c r="A831" t="inlineStr">
        <is>
          <t>LD-300829</t>
        </is>
      </c>
      <c r="B831" t="inlineStr">
        <is>
          <t>2025-08-22 11:05:00</t>
        </is>
      </c>
      <c r="C831" t="inlineStr">
        <is>
          <t>Webinar</t>
        </is>
      </c>
      <c r="D831" t="inlineStr">
        <is>
          <t>K-12 Math</t>
        </is>
      </c>
      <c r="E831" t="inlineStr">
        <is>
          <t>West Region</t>
        </is>
      </c>
      <c r="F831" t="inlineStr">
        <is>
          <t>Rep_03</t>
        </is>
      </c>
      <c r="G831" t="n">
        <v>5.23</v>
      </c>
      <c r="H831" t="inlineStr">
        <is>
          <t>Closed</t>
        </is>
      </c>
      <c r="I831" t="inlineStr">
        <is>
          <t>Won</t>
        </is>
      </c>
      <c r="K831" t="n">
        <v>565.11</v>
      </c>
      <c r="L831" t="inlineStr">
        <is>
          <t>2025-09-30 05:59:21.338342</t>
        </is>
      </c>
      <c r="M831">
        <f>VLOOKUP(H831,'Stage Order'!$A$2:$B$8,2,FALSE)</f>
        <v/>
      </c>
      <c r="N831">
        <f>IF(G831&lt;=1,"1. Under 1 hour",IF(G831&lt;=24,"2. 1-24 hours",IF(G831&lt;=72,"3. 1-3 days","4. Over 3 days")))</f>
        <v/>
      </c>
      <c r="O831">
        <f>TEXT(B831,"YYYY-MM")</f>
        <v/>
      </c>
    </row>
    <row r="832">
      <c r="A832" t="inlineStr">
        <is>
          <t>LD-300830</t>
        </is>
      </c>
      <c r="B832" t="inlineStr">
        <is>
          <t>2025-02-15 08:37:00</t>
        </is>
      </c>
      <c r="C832" t="inlineStr">
        <is>
          <t>Cold Outreach</t>
        </is>
      </c>
      <c r="D832" t="inlineStr">
        <is>
          <t>Coding for Kids</t>
        </is>
      </c>
      <c r="E832" t="inlineStr">
        <is>
          <t>West Region</t>
        </is>
      </c>
      <c r="F832" t="inlineStr">
        <is>
          <t>Rep_08</t>
        </is>
      </c>
      <c r="G832" t="n">
        <v>2.07</v>
      </c>
      <c r="H832" t="inlineStr">
        <is>
          <t>Contacted</t>
        </is>
      </c>
      <c r="I832" t="inlineStr">
        <is>
          <t>Open</t>
        </is>
      </c>
      <c r="M832">
        <f>VLOOKUP(H832,'Stage Order'!$A$2:$B$8,2,FALSE)</f>
        <v/>
      </c>
      <c r="N832">
        <f>IF(G832&lt;=1,"1. Under 1 hour",IF(G832&lt;=24,"2. 1-24 hours",IF(G832&lt;=72,"3. 1-3 days","4. Over 3 days")))</f>
        <v/>
      </c>
      <c r="O832">
        <f>TEXT(B832,"YYYY-MM")</f>
        <v/>
      </c>
    </row>
    <row r="833">
      <c r="A833" t="inlineStr">
        <is>
          <t>LD-300831</t>
        </is>
      </c>
      <c r="B833" t="inlineStr">
        <is>
          <t>2025-10-09 15:09:00</t>
        </is>
      </c>
      <c r="C833" t="inlineStr">
        <is>
          <t>Social Media</t>
        </is>
      </c>
      <c r="D833" t="inlineStr">
        <is>
          <t>Language Learning</t>
        </is>
      </c>
      <c r="E833" t="inlineStr">
        <is>
          <t>International</t>
        </is>
      </c>
      <c r="F833" t="inlineStr">
        <is>
          <t>Rep_15</t>
        </is>
      </c>
      <c r="G833" t="n">
        <v>2.63</v>
      </c>
      <c r="H833" t="inlineStr">
        <is>
          <t>Negotiation</t>
        </is>
      </c>
      <c r="I833" t="inlineStr">
        <is>
          <t>Lost</t>
        </is>
      </c>
      <c r="J833" t="inlineStr">
        <is>
          <t>No Response / Ghosted</t>
        </is>
      </c>
      <c r="K833" t="n">
        <v>323.04</v>
      </c>
      <c r="L833" t="inlineStr">
        <is>
          <t>2025-11-18 06:42:19.241400</t>
        </is>
      </c>
      <c r="M833">
        <f>VLOOKUP(H833,'Stage Order'!$A$2:$B$8,2,FALSE)</f>
        <v/>
      </c>
      <c r="N833">
        <f>IF(G833&lt;=1,"1. Under 1 hour",IF(G833&lt;=24,"2. 1-24 hours",IF(G833&lt;=72,"3. 1-3 days","4. Over 3 days")))</f>
        <v/>
      </c>
      <c r="O833">
        <f>TEXT(B833,"YYYY-MM")</f>
        <v/>
      </c>
    </row>
    <row r="834">
      <c r="A834" t="inlineStr">
        <is>
          <t>LD-300832</t>
        </is>
      </c>
      <c r="B834" t="inlineStr">
        <is>
          <t>2025-03-27 15:27:00</t>
        </is>
      </c>
      <c r="C834" t="inlineStr">
        <is>
          <t>Webinar</t>
        </is>
      </c>
      <c r="D834" t="inlineStr">
        <is>
          <t>Competitive Exam Prep</t>
        </is>
      </c>
      <c r="E834" t="inlineStr">
        <is>
          <t>North Region</t>
        </is>
      </c>
      <c r="F834" t="inlineStr">
        <is>
          <t>Rep_06</t>
        </is>
      </c>
      <c r="G834" t="n">
        <v>0.48</v>
      </c>
      <c r="H834" t="inlineStr">
        <is>
          <t>Closed</t>
        </is>
      </c>
      <c r="I834" t="inlineStr">
        <is>
          <t>Won</t>
        </is>
      </c>
      <c r="K834" t="n">
        <v>870</v>
      </c>
      <c r="L834" t="inlineStr">
        <is>
          <t>2025-05-14 04:19:00.487812</t>
        </is>
      </c>
      <c r="M834">
        <f>VLOOKUP(H834,'Stage Order'!$A$2:$B$8,2,FALSE)</f>
        <v/>
      </c>
      <c r="N834">
        <f>IF(G834&lt;=1,"1. Under 1 hour",IF(G834&lt;=24,"2. 1-24 hours",IF(G834&lt;=72,"3. 1-3 days","4. Over 3 days")))</f>
        <v/>
      </c>
      <c r="O834">
        <f>TEXT(B834,"YYYY-MM")</f>
        <v/>
      </c>
    </row>
    <row r="835">
      <c r="A835" t="inlineStr">
        <is>
          <t>LD-300833</t>
        </is>
      </c>
      <c r="B835" t="inlineStr">
        <is>
          <t>2025-07-11 16:25:00</t>
        </is>
      </c>
      <c r="C835" t="inlineStr">
        <is>
          <t>Organic Search</t>
        </is>
      </c>
      <c r="D835" t="inlineStr">
        <is>
          <t>Study Abroad Prep</t>
        </is>
      </c>
      <c r="E835" t="inlineStr">
        <is>
          <t>North Region</t>
        </is>
      </c>
      <c r="F835" t="inlineStr">
        <is>
          <t>Rep_11</t>
        </is>
      </c>
      <c r="G835" t="n">
        <v>3.41</v>
      </c>
      <c r="H835" t="inlineStr">
        <is>
          <t>Demo Completed</t>
        </is>
      </c>
      <c r="I835" t="inlineStr">
        <is>
          <t>Lost</t>
        </is>
      </c>
      <c r="J835" t="inlineStr">
        <is>
          <t>No Response / Ghosted</t>
        </is>
      </c>
      <c r="K835" t="n">
        <v>1648.45</v>
      </c>
      <c r="L835" t="inlineStr">
        <is>
          <t>2025-08-19 00:48:34.731710</t>
        </is>
      </c>
      <c r="M835">
        <f>VLOOKUP(H835,'Stage Order'!$A$2:$B$8,2,FALSE)</f>
        <v/>
      </c>
      <c r="N835">
        <f>IF(G835&lt;=1,"1. Under 1 hour",IF(G835&lt;=24,"2. 1-24 hours",IF(G835&lt;=72,"3. 1-3 days","4. Over 3 days")))</f>
        <v/>
      </c>
      <c r="O835">
        <f>TEXT(B835,"YYYY-MM")</f>
        <v/>
      </c>
    </row>
    <row r="836">
      <c r="A836" t="inlineStr">
        <is>
          <t>LD-300834</t>
        </is>
      </c>
      <c r="B836" t="inlineStr">
        <is>
          <t>2025-01-24 17:15:00</t>
        </is>
      </c>
      <c r="C836" t="inlineStr">
        <is>
          <t>Webinar</t>
        </is>
      </c>
      <c r="D836" t="inlineStr">
        <is>
          <t>Competitive Exam Prep</t>
        </is>
      </c>
      <c r="E836" t="inlineStr">
        <is>
          <t>South Region</t>
        </is>
      </c>
      <c r="F836" t="inlineStr">
        <is>
          <t>Rep_02</t>
        </is>
      </c>
      <c r="G836" t="n">
        <v>0.64</v>
      </c>
      <c r="H836" t="inlineStr">
        <is>
          <t>Contacted</t>
        </is>
      </c>
      <c r="I836" t="inlineStr">
        <is>
          <t>Open</t>
        </is>
      </c>
      <c r="M836">
        <f>VLOOKUP(H836,'Stage Order'!$A$2:$B$8,2,FALSE)</f>
        <v/>
      </c>
      <c r="N836">
        <f>IF(G836&lt;=1,"1. Under 1 hour",IF(G836&lt;=24,"2. 1-24 hours",IF(G836&lt;=72,"3. 1-3 days","4. Over 3 days")))</f>
        <v/>
      </c>
      <c r="O836">
        <f>TEXT(B836,"YYYY-MM")</f>
        <v/>
      </c>
    </row>
    <row r="837">
      <c r="A837" t="inlineStr">
        <is>
          <t>LD-300835</t>
        </is>
      </c>
      <c r="B837" t="inlineStr">
        <is>
          <t>2025-08-04 18:30:00</t>
        </is>
      </c>
      <c r="C837" t="inlineStr">
        <is>
          <t>Social Media</t>
        </is>
      </c>
      <c r="D837" t="inlineStr">
        <is>
          <t>Competitive Exam Prep</t>
        </is>
      </c>
      <c r="E837" t="inlineStr">
        <is>
          <t>North Region</t>
        </is>
      </c>
      <c r="F837" t="inlineStr">
        <is>
          <t>Rep_01</t>
        </is>
      </c>
      <c r="G837" t="n">
        <v>1.75</v>
      </c>
      <c r="H837" t="inlineStr">
        <is>
          <t>Closed</t>
        </is>
      </c>
      <c r="I837" t="inlineStr">
        <is>
          <t>Won</t>
        </is>
      </c>
      <c r="K837" t="n">
        <v>1124.73</v>
      </c>
      <c r="L837" t="inlineStr">
        <is>
          <t>2025-09-27 06:20:51.984710</t>
        </is>
      </c>
      <c r="M837">
        <f>VLOOKUP(H837,'Stage Order'!$A$2:$B$8,2,FALSE)</f>
        <v/>
      </c>
      <c r="N837">
        <f>IF(G837&lt;=1,"1. Under 1 hour",IF(G837&lt;=24,"2. 1-24 hours",IF(G837&lt;=72,"3. 1-3 days","4. Over 3 days")))</f>
        <v/>
      </c>
      <c r="O837">
        <f>TEXT(B837,"YYYY-MM")</f>
        <v/>
      </c>
    </row>
    <row r="838">
      <c r="A838" t="inlineStr">
        <is>
          <t>LD-300836</t>
        </is>
      </c>
      <c r="B838" t="inlineStr">
        <is>
          <t>2026-05-21 18:20:00</t>
        </is>
      </c>
      <c r="C838" t="inlineStr">
        <is>
          <t>Referral</t>
        </is>
      </c>
      <c r="D838" t="inlineStr">
        <is>
          <t>K-12 Math</t>
        </is>
      </c>
      <c r="E838" t="inlineStr">
        <is>
          <t>South Region</t>
        </is>
      </c>
      <c r="F838" t="inlineStr">
        <is>
          <t>Rep_07</t>
        </is>
      </c>
      <c r="G838" t="n">
        <v>2.98</v>
      </c>
      <c r="H838" t="inlineStr">
        <is>
          <t>Closed</t>
        </is>
      </c>
      <c r="I838" t="inlineStr">
        <is>
          <t>Won</t>
        </is>
      </c>
      <c r="K838" t="n">
        <v>515.63</v>
      </c>
      <c r="L838" t="inlineStr">
        <is>
          <t>2026-07-02 12:15:50.105790</t>
        </is>
      </c>
      <c r="M838">
        <f>VLOOKUP(H838,'Stage Order'!$A$2:$B$8,2,FALSE)</f>
        <v/>
      </c>
      <c r="N838">
        <f>IF(G838&lt;=1,"1. Under 1 hour",IF(G838&lt;=24,"2. 1-24 hours",IF(G838&lt;=72,"3. 1-3 days","4. Over 3 days")))</f>
        <v/>
      </c>
      <c r="O838">
        <f>TEXT(B838,"YYYY-MM")</f>
        <v/>
      </c>
    </row>
    <row r="839">
      <c r="A839" t="inlineStr">
        <is>
          <t>LD-300837</t>
        </is>
      </c>
      <c r="B839" t="inlineStr">
        <is>
          <t>2026-04-24 11:15:00</t>
        </is>
      </c>
      <c r="C839" t="inlineStr">
        <is>
          <t>Organic Search</t>
        </is>
      </c>
      <c r="D839" t="inlineStr">
        <is>
          <t>Coding for Kids</t>
        </is>
      </c>
      <c r="E839" t="inlineStr">
        <is>
          <t>North Region</t>
        </is>
      </c>
      <c r="F839" t="inlineStr">
        <is>
          <t>Rep_11</t>
        </is>
      </c>
      <c r="G839" t="n">
        <v>0.35</v>
      </c>
      <c r="H839" t="inlineStr">
        <is>
          <t>Negotiation</t>
        </is>
      </c>
      <c r="I839" t="inlineStr">
        <is>
          <t>Lost</t>
        </is>
      </c>
      <c r="J839" t="inlineStr">
        <is>
          <t>Went With Competitor</t>
        </is>
      </c>
      <c r="K839" t="n">
        <v>714.55</v>
      </c>
      <c r="L839" t="inlineStr">
        <is>
          <t>2026-06-02 11:12:02.286047</t>
        </is>
      </c>
      <c r="M839">
        <f>VLOOKUP(H839,'Stage Order'!$A$2:$B$8,2,FALSE)</f>
        <v/>
      </c>
      <c r="N839">
        <f>IF(G839&lt;=1,"1. Under 1 hour",IF(G839&lt;=24,"2. 1-24 hours",IF(G839&lt;=72,"3. 1-3 days","4. Over 3 days")))</f>
        <v/>
      </c>
      <c r="O839">
        <f>TEXT(B839,"YYYY-MM")</f>
        <v/>
      </c>
    </row>
    <row r="840">
      <c r="A840" t="inlineStr">
        <is>
          <t>LD-300838</t>
        </is>
      </c>
      <c r="B840" t="inlineStr">
        <is>
          <t>2025-08-19 07:43:00</t>
        </is>
      </c>
      <c r="C840" t="inlineStr">
        <is>
          <t>Webinar</t>
        </is>
      </c>
      <c r="D840" t="inlineStr">
        <is>
          <t>Study Abroad Prep</t>
        </is>
      </c>
      <c r="E840" t="inlineStr">
        <is>
          <t>North Region</t>
        </is>
      </c>
      <c r="F840" t="inlineStr">
        <is>
          <t>Rep_06</t>
        </is>
      </c>
      <c r="G840" t="n">
        <v>0.66</v>
      </c>
      <c r="H840" t="inlineStr">
        <is>
          <t>Negotiation</t>
        </is>
      </c>
      <c r="I840" t="inlineStr">
        <is>
          <t>Lost</t>
        </is>
      </c>
      <c r="J840" t="inlineStr">
        <is>
          <t>Bad Timing</t>
        </is>
      </c>
      <c r="K840" t="n">
        <v>1291.9</v>
      </c>
      <c r="L840" t="inlineStr">
        <is>
          <t>2025-10-01 07:20:01.181564</t>
        </is>
      </c>
      <c r="M840">
        <f>VLOOKUP(H840,'Stage Order'!$A$2:$B$8,2,FALSE)</f>
        <v/>
      </c>
      <c r="N840">
        <f>IF(G840&lt;=1,"1. Under 1 hour",IF(G840&lt;=24,"2. 1-24 hours",IF(G840&lt;=72,"3. 1-3 days","4. Over 3 days")))</f>
        <v/>
      </c>
      <c r="O840">
        <f>TEXT(B840,"YYYY-MM")</f>
        <v/>
      </c>
    </row>
    <row r="841">
      <c r="A841" t="inlineStr">
        <is>
          <t>LD-300839</t>
        </is>
      </c>
      <c r="B841" t="inlineStr">
        <is>
          <t>2025-06-30 07:00:00</t>
        </is>
      </c>
      <c r="C841" t="inlineStr">
        <is>
          <t>Paid Search</t>
        </is>
      </c>
      <c r="D841" t="inlineStr">
        <is>
          <t>Competitive Exam Prep</t>
        </is>
      </c>
      <c r="E841" t="inlineStr">
        <is>
          <t>North Region</t>
        </is>
      </c>
      <c r="F841" t="inlineStr">
        <is>
          <t>Rep_01</t>
        </is>
      </c>
      <c r="G841" t="n">
        <v>9.57</v>
      </c>
      <c r="H841" t="inlineStr">
        <is>
          <t>Negotiation</t>
        </is>
      </c>
      <c r="I841" t="inlineStr">
        <is>
          <t>Lost</t>
        </is>
      </c>
      <c r="J841" t="inlineStr">
        <is>
          <t>No Response / Ghosted</t>
        </is>
      </c>
      <c r="K841" t="n">
        <v>891.49</v>
      </c>
      <c r="L841" t="inlineStr">
        <is>
          <t>2025-08-11 01:33:15.359450</t>
        </is>
      </c>
      <c r="M841">
        <f>VLOOKUP(H841,'Stage Order'!$A$2:$B$8,2,FALSE)</f>
        <v/>
      </c>
      <c r="N841">
        <f>IF(G841&lt;=1,"1. Under 1 hour",IF(G841&lt;=24,"2. 1-24 hours",IF(G841&lt;=72,"3. 1-3 days","4. Over 3 days")))</f>
        <v/>
      </c>
      <c r="O841">
        <f>TEXT(B841,"YYYY-MM")</f>
        <v/>
      </c>
    </row>
    <row r="842">
      <c r="A842" t="inlineStr">
        <is>
          <t>LD-300840</t>
        </is>
      </c>
      <c r="B842" t="inlineStr">
        <is>
          <t>2025-03-14 16:52:00</t>
        </is>
      </c>
      <c r="C842" t="inlineStr">
        <is>
          <t>Paid Search</t>
        </is>
      </c>
      <c r="D842" t="inlineStr">
        <is>
          <t>Language Learning</t>
        </is>
      </c>
      <c r="E842" t="inlineStr">
        <is>
          <t>West Region</t>
        </is>
      </c>
      <c r="F842" t="inlineStr">
        <is>
          <t>Rep_08</t>
        </is>
      </c>
      <c r="G842" t="n">
        <v>23.69</v>
      </c>
      <c r="H842" t="inlineStr">
        <is>
          <t>Contacted</t>
        </is>
      </c>
      <c r="I842" t="inlineStr">
        <is>
          <t>Open</t>
        </is>
      </c>
      <c r="M842">
        <f>VLOOKUP(H842,'Stage Order'!$A$2:$B$8,2,FALSE)</f>
        <v/>
      </c>
      <c r="N842">
        <f>IF(G842&lt;=1,"1. Under 1 hour",IF(G842&lt;=24,"2. 1-24 hours",IF(G842&lt;=72,"3. 1-3 days","4. Over 3 days")))</f>
        <v/>
      </c>
      <c r="O842">
        <f>TEXT(B842,"YYYY-MM")</f>
        <v/>
      </c>
    </row>
    <row r="843">
      <c r="A843" t="inlineStr">
        <is>
          <t>LD-300841</t>
        </is>
      </c>
      <c r="B843" t="inlineStr">
        <is>
          <t>2026-03-31 15:22:00</t>
        </is>
      </c>
      <c r="C843" t="inlineStr">
        <is>
          <t>Cold Outreach</t>
        </is>
      </c>
      <c r="D843" t="inlineStr">
        <is>
          <t>K-12 Math</t>
        </is>
      </c>
      <c r="E843" t="inlineStr">
        <is>
          <t>South Region</t>
        </is>
      </c>
      <c r="F843" t="inlineStr">
        <is>
          <t>Rep_12</t>
        </is>
      </c>
      <c r="G843" t="n">
        <v>0.39</v>
      </c>
      <c r="H843" t="inlineStr">
        <is>
          <t>Lead</t>
        </is>
      </c>
      <c r="I843" t="inlineStr">
        <is>
          <t>Open</t>
        </is>
      </c>
      <c r="M843">
        <f>VLOOKUP(H843,'Stage Order'!$A$2:$B$8,2,FALSE)</f>
        <v/>
      </c>
      <c r="N843">
        <f>IF(G843&lt;=1,"1. Under 1 hour",IF(G843&lt;=24,"2. 1-24 hours",IF(G843&lt;=72,"3. 1-3 days","4. Over 3 days")))</f>
        <v/>
      </c>
      <c r="O843">
        <f>TEXT(B843,"YYYY-MM")</f>
        <v/>
      </c>
    </row>
    <row r="844">
      <c r="A844" t="inlineStr">
        <is>
          <t>LD-300842</t>
        </is>
      </c>
      <c r="B844" t="inlineStr">
        <is>
          <t>2025-01-20 19:11:00</t>
        </is>
      </c>
      <c r="C844" t="inlineStr">
        <is>
          <t>Partner Channel</t>
        </is>
      </c>
      <c r="D844" t="inlineStr">
        <is>
          <t>Competitive Exam Prep</t>
        </is>
      </c>
      <c r="E844" t="inlineStr">
        <is>
          <t>East Region</t>
        </is>
      </c>
      <c r="F844" t="inlineStr">
        <is>
          <t>Rep_04</t>
        </is>
      </c>
      <c r="G844" t="n">
        <v>1.87</v>
      </c>
      <c r="H844" t="inlineStr">
        <is>
          <t>Contacted</t>
        </is>
      </c>
      <c r="I844" t="inlineStr">
        <is>
          <t>Open</t>
        </is>
      </c>
      <c r="M844">
        <f>VLOOKUP(H844,'Stage Order'!$A$2:$B$8,2,FALSE)</f>
        <v/>
      </c>
      <c r="N844">
        <f>IF(G844&lt;=1,"1. Under 1 hour",IF(G844&lt;=24,"2. 1-24 hours",IF(G844&lt;=72,"3. 1-3 days","4. Over 3 days")))</f>
        <v/>
      </c>
      <c r="O844">
        <f>TEXT(B844,"YYYY-MM")</f>
        <v/>
      </c>
    </row>
    <row r="845">
      <c r="A845" t="inlineStr">
        <is>
          <t>LD-300843</t>
        </is>
      </c>
      <c r="B845" t="inlineStr">
        <is>
          <t>2025-07-19 08:05:00</t>
        </is>
      </c>
      <c r="C845" t="inlineStr">
        <is>
          <t>Referral</t>
        </is>
      </c>
      <c r="D845" t="inlineStr">
        <is>
          <t>K-12 Math</t>
        </is>
      </c>
      <c r="E845" t="inlineStr">
        <is>
          <t>West Region</t>
        </is>
      </c>
      <c r="F845" t="inlineStr">
        <is>
          <t>Rep_03</t>
        </is>
      </c>
      <c r="G845" t="n">
        <v>7.14</v>
      </c>
      <c r="H845" t="inlineStr">
        <is>
          <t>Demo Scheduled</t>
        </is>
      </c>
      <c r="I845" t="inlineStr">
        <is>
          <t>Open</t>
        </is>
      </c>
      <c r="M845">
        <f>VLOOKUP(H845,'Stage Order'!$A$2:$B$8,2,FALSE)</f>
        <v/>
      </c>
      <c r="N845">
        <f>IF(G845&lt;=1,"1. Under 1 hour",IF(G845&lt;=24,"2. 1-24 hours",IF(G845&lt;=72,"3. 1-3 days","4. Over 3 days")))</f>
        <v/>
      </c>
      <c r="O845">
        <f>TEXT(B845,"YYYY-MM")</f>
        <v/>
      </c>
    </row>
    <row r="846">
      <c r="A846" t="inlineStr">
        <is>
          <t>LD-300844</t>
        </is>
      </c>
      <c r="B846" t="inlineStr">
        <is>
          <t>2025-07-08 17:33:00</t>
        </is>
      </c>
      <c r="C846" t="inlineStr">
        <is>
          <t>Organic Search</t>
        </is>
      </c>
      <c r="D846" t="inlineStr">
        <is>
          <t>Competitive Exam Prep</t>
        </is>
      </c>
      <c r="E846" t="inlineStr">
        <is>
          <t>East Region</t>
        </is>
      </c>
      <c r="F846" t="inlineStr">
        <is>
          <t>Rep_14</t>
        </is>
      </c>
      <c r="G846" t="n">
        <v>6.03</v>
      </c>
      <c r="H846" t="inlineStr">
        <is>
          <t>Demo Scheduled</t>
        </is>
      </c>
      <c r="I846" t="inlineStr">
        <is>
          <t>Open</t>
        </is>
      </c>
      <c r="M846">
        <f>VLOOKUP(H846,'Stage Order'!$A$2:$B$8,2,FALSE)</f>
        <v/>
      </c>
      <c r="N846">
        <f>IF(G846&lt;=1,"1. Under 1 hour",IF(G846&lt;=24,"2. 1-24 hours",IF(G846&lt;=72,"3. 1-3 days","4. Over 3 days")))</f>
        <v/>
      </c>
      <c r="O846">
        <f>TEXT(B846,"YYYY-MM")</f>
        <v/>
      </c>
    </row>
    <row r="847">
      <c r="A847" t="inlineStr">
        <is>
          <t>LD-300845</t>
        </is>
      </c>
      <c r="B847" t="inlineStr">
        <is>
          <t>2025-11-03 17:52:00</t>
        </is>
      </c>
      <c r="C847" t="inlineStr">
        <is>
          <t>Webinar</t>
        </is>
      </c>
      <c r="D847" t="inlineStr">
        <is>
          <t>Study Abroad Prep</t>
        </is>
      </c>
      <c r="E847" t="inlineStr">
        <is>
          <t>South Region</t>
        </is>
      </c>
      <c r="F847" t="inlineStr">
        <is>
          <t>Rep_12</t>
        </is>
      </c>
      <c r="G847" t="n">
        <v>1.65</v>
      </c>
      <c r="H847" t="inlineStr">
        <is>
          <t>Lead</t>
        </is>
      </c>
      <c r="I847" t="inlineStr">
        <is>
          <t>Open</t>
        </is>
      </c>
      <c r="M847">
        <f>VLOOKUP(H847,'Stage Order'!$A$2:$B$8,2,FALSE)</f>
        <v/>
      </c>
      <c r="N847">
        <f>IF(G847&lt;=1,"1. Under 1 hour",IF(G847&lt;=24,"2. 1-24 hours",IF(G847&lt;=72,"3. 1-3 days","4. Over 3 days")))</f>
        <v/>
      </c>
      <c r="O847">
        <f>TEXT(B847,"YYYY-MM")</f>
        <v/>
      </c>
    </row>
    <row r="848">
      <c r="A848" t="inlineStr">
        <is>
          <t>LD-300846</t>
        </is>
      </c>
      <c r="B848" t="inlineStr">
        <is>
          <t>2026-03-15 19:51:00</t>
        </is>
      </c>
      <c r="C848" t="inlineStr">
        <is>
          <t>Referral</t>
        </is>
      </c>
      <c r="D848" t="inlineStr">
        <is>
          <t>Competitive Exam Prep</t>
        </is>
      </c>
      <c r="E848" t="inlineStr">
        <is>
          <t>West Region</t>
        </is>
      </c>
      <c r="F848" t="inlineStr">
        <is>
          <t>Rep_08</t>
        </is>
      </c>
      <c r="G848" t="n">
        <v>0.79</v>
      </c>
      <c r="H848" t="inlineStr">
        <is>
          <t>Closed</t>
        </is>
      </c>
      <c r="I848" t="inlineStr">
        <is>
          <t>Won</t>
        </is>
      </c>
      <c r="K848" t="n">
        <v>1061.27</v>
      </c>
      <c r="L848" t="inlineStr">
        <is>
          <t>2026-04-26 12:52:32.357190</t>
        </is>
      </c>
      <c r="M848">
        <f>VLOOKUP(H848,'Stage Order'!$A$2:$B$8,2,FALSE)</f>
        <v/>
      </c>
      <c r="N848">
        <f>IF(G848&lt;=1,"1. Under 1 hour",IF(G848&lt;=24,"2. 1-24 hours",IF(G848&lt;=72,"3. 1-3 days","4. Over 3 days")))</f>
        <v/>
      </c>
      <c r="O848">
        <f>TEXT(B848,"YYYY-MM")</f>
        <v/>
      </c>
    </row>
    <row r="849">
      <c r="A849" t="inlineStr">
        <is>
          <t>LD-300847</t>
        </is>
      </c>
      <c r="B849" t="inlineStr">
        <is>
          <t>2026-04-03 13:40:00</t>
        </is>
      </c>
      <c r="C849" t="inlineStr">
        <is>
          <t>Cold Outreach</t>
        </is>
      </c>
      <c r="D849" t="inlineStr">
        <is>
          <t>Competitive Exam Prep</t>
        </is>
      </c>
      <c r="E849" t="inlineStr">
        <is>
          <t>South Region</t>
        </is>
      </c>
      <c r="F849" t="inlineStr">
        <is>
          <t>Rep_12</t>
        </is>
      </c>
      <c r="G849" t="n">
        <v>1.17</v>
      </c>
      <c r="H849" t="inlineStr">
        <is>
          <t>Lead</t>
        </is>
      </c>
      <c r="I849" t="inlineStr">
        <is>
          <t>Open</t>
        </is>
      </c>
      <c r="M849">
        <f>VLOOKUP(H849,'Stage Order'!$A$2:$B$8,2,FALSE)</f>
        <v/>
      </c>
      <c r="N849">
        <f>IF(G849&lt;=1,"1. Under 1 hour",IF(G849&lt;=24,"2. 1-24 hours",IF(G849&lt;=72,"3. 1-3 days","4. Over 3 days")))</f>
        <v/>
      </c>
      <c r="O849">
        <f>TEXT(B849,"YYYY-MM")</f>
        <v/>
      </c>
    </row>
    <row r="850">
      <c r="A850" t="inlineStr">
        <is>
          <t>LD-300848</t>
        </is>
      </c>
      <c r="B850" t="inlineStr">
        <is>
          <t>2025-03-14 12:06:00</t>
        </is>
      </c>
      <c r="C850" t="inlineStr">
        <is>
          <t>Social Media</t>
        </is>
      </c>
      <c r="D850" t="inlineStr">
        <is>
          <t>Language Learning</t>
        </is>
      </c>
      <c r="E850" t="inlineStr">
        <is>
          <t>West Region</t>
        </is>
      </c>
      <c r="F850" t="inlineStr">
        <is>
          <t>Rep_03</t>
        </is>
      </c>
      <c r="G850" t="n">
        <v>3.45</v>
      </c>
      <c r="H850" t="inlineStr">
        <is>
          <t>Lead</t>
        </is>
      </c>
      <c r="I850" t="inlineStr">
        <is>
          <t>Open</t>
        </is>
      </c>
      <c r="M850">
        <f>VLOOKUP(H850,'Stage Order'!$A$2:$B$8,2,FALSE)</f>
        <v/>
      </c>
      <c r="N850">
        <f>IF(G850&lt;=1,"1. Under 1 hour",IF(G850&lt;=24,"2. 1-24 hours",IF(G850&lt;=72,"3. 1-3 days","4. Over 3 days")))</f>
        <v/>
      </c>
      <c r="O850">
        <f>TEXT(B850,"YYYY-MM")</f>
        <v/>
      </c>
    </row>
    <row r="851">
      <c r="A851" t="inlineStr">
        <is>
          <t>LD-300849</t>
        </is>
      </c>
      <c r="B851" t="inlineStr">
        <is>
          <t>2025-07-29 15:30:00</t>
        </is>
      </c>
      <c r="C851" t="inlineStr">
        <is>
          <t>Organic Search</t>
        </is>
      </c>
      <c r="D851" t="inlineStr">
        <is>
          <t>K-12 Math</t>
        </is>
      </c>
      <c r="E851" t="inlineStr">
        <is>
          <t>East Region</t>
        </is>
      </c>
      <c r="F851" t="inlineStr">
        <is>
          <t>Rep_14</t>
        </is>
      </c>
      <c r="G851" t="n">
        <v>21.82</v>
      </c>
      <c r="H851" t="inlineStr">
        <is>
          <t>Demo Scheduled</t>
        </is>
      </c>
      <c r="I851" t="inlineStr">
        <is>
          <t>Open</t>
        </is>
      </c>
      <c r="M851">
        <f>VLOOKUP(H851,'Stage Order'!$A$2:$B$8,2,FALSE)</f>
        <v/>
      </c>
      <c r="N851">
        <f>IF(G851&lt;=1,"1. Under 1 hour",IF(G851&lt;=24,"2. 1-24 hours",IF(G851&lt;=72,"3. 1-3 days","4. Over 3 days")))</f>
        <v/>
      </c>
      <c r="O851">
        <f>TEXT(B851,"YYYY-MM")</f>
        <v/>
      </c>
    </row>
    <row r="852">
      <c r="A852" t="inlineStr">
        <is>
          <t>LD-300850</t>
        </is>
      </c>
      <c r="B852" t="inlineStr">
        <is>
          <t>2025-03-17 09:36:00</t>
        </is>
      </c>
      <c r="C852" t="inlineStr">
        <is>
          <t>Cold Outreach</t>
        </is>
      </c>
      <c r="D852" t="inlineStr">
        <is>
          <t>K-12 Math</t>
        </is>
      </c>
      <c r="E852" t="inlineStr">
        <is>
          <t>North Region</t>
        </is>
      </c>
      <c r="F852" t="inlineStr">
        <is>
          <t>Rep_01</t>
        </is>
      </c>
      <c r="G852" t="n">
        <v>5.01</v>
      </c>
      <c r="H852" t="inlineStr">
        <is>
          <t>Lead</t>
        </is>
      </c>
      <c r="I852" t="inlineStr">
        <is>
          <t>Open</t>
        </is>
      </c>
      <c r="M852">
        <f>VLOOKUP(H852,'Stage Order'!$A$2:$B$8,2,FALSE)</f>
        <v/>
      </c>
      <c r="N852">
        <f>IF(G852&lt;=1,"1. Under 1 hour",IF(G852&lt;=24,"2. 1-24 hours",IF(G852&lt;=72,"3. 1-3 days","4. Over 3 days")))</f>
        <v/>
      </c>
      <c r="O852">
        <f>TEXT(B852,"YYYY-MM")</f>
        <v/>
      </c>
    </row>
    <row r="853">
      <c r="A853" t="inlineStr">
        <is>
          <t>LD-300851</t>
        </is>
      </c>
      <c r="B853" t="inlineStr">
        <is>
          <t>2026-02-22 07:07:00</t>
        </is>
      </c>
      <c r="C853" t="inlineStr">
        <is>
          <t>Paid Search</t>
        </is>
      </c>
      <c r="D853" t="inlineStr">
        <is>
          <t>Language Learning</t>
        </is>
      </c>
      <c r="E853" t="inlineStr">
        <is>
          <t>North Region</t>
        </is>
      </c>
      <c r="F853" t="inlineStr">
        <is>
          <t>Rep_01</t>
        </is>
      </c>
      <c r="G853" t="n">
        <v>0.6899999999999999</v>
      </c>
      <c r="H853" t="inlineStr">
        <is>
          <t>Contacted</t>
        </is>
      </c>
      <c r="I853" t="inlineStr">
        <is>
          <t>Open</t>
        </is>
      </c>
      <c r="M853">
        <f>VLOOKUP(H853,'Stage Order'!$A$2:$B$8,2,FALSE)</f>
        <v/>
      </c>
      <c r="N853">
        <f>IF(G853&lt;=1,"1. Under 1 hour",IF(G853&lt;=24,"2. 1-24 hours",IF(G853&lt;=72,"3. 1-3 days","4. Over 3 days")))</f>
        <v/>
      </c>
      <c r="O853">
        <f>TEXT(B853,"YYYY-MM")</f>
        <v/>
      </c>
    </row>
    <row r="854">
      <c r="A854" t="inlineStr">
        <is>
          <t>LD-300852</t>
        </is>
      </c>
      <c r="B854" t="inlineStr">
        <is>
          <t>2026-02-27 15:23:00</t>
        </is>
      </c>
      <c r="C854" t="inlineStr">
        <is>
          <t>Referral</t>
        </is>
      </c>
      <c r="D854" t="inlineStr">
        <is>
          <t>Study Abroad Prep</t>
        </is>
      </c>
      <c r="E854" t="inlineStr">
        <is>
          <t>South Region</t>
        </is>
      </c>
      <c r="F854" t="inlineStr">
        <is>
          <t>Rep_07</t>
        </is>
      </c>
      <c r="G854" t="n">
        <v>8.26</v>
      </c>
      <c r="H854" t="inlineStr">
        <is>
          <t>Negotiation</t>
        </is>
      </c>
      <c r="I854" t="inlineStr">
        <is>
          <t>Lost</t>
        </is>
      </c>
      <c r="J854" t="inlineStr">
        <is>
          <t>No Response / Ghosted</t>
        </is>
      </c>
      <c r="K854" t="n">
        <v>1210.71</v>
      </c>
      <c r="L854" t="inlineStr">
        <is>
          <t>2026-04-19 13:40:35.626170</t>
        </is>
      </c>
      <c r="M854">
        <f>VLOOKUP(H854,'Stage Order'!$A$2:$B$8,2,FALSE)</f>
        <v/>
      </c>
      <c r="N854">
        <f>IF(G854&lt;=1,"1. Under 1 hour",IF(G854&lt;=24,"2. 1-24 hours",IF(G854&lt;=72,"3. 1-3 days","4. Over 3 days")))</f>
        <v/>
      </c>
      <c r="O854">
        <f>TEXT(B854,"YYYY-MM")</f>
        <v/>
      </c>
    </row>
    <row r="855">
      <c r="A855" t="inlineStr">
        <is>
          <t>LD-300853</t>
        </is>
      </c>
      <c r="B855" t="inlineStr">
        <is>
          <t>2025-10-03 18:11:00</t>
        </is>
      </c>
      <c r="C855" t="inlineStr">
        <is>
          <t>Webinar</t>
        </is>
      </c>
      <c r="D855" t="inlineStr">
        <is>
          <t>Study Abroad Prep</t>
        </is>
      </c>
      <c r="E855" t="inlineStr">
        <is>
          <t>West Region</t>
        </is>
      </c>
      <c r="F855" t="inlineStr">
        <is>
          <t>Rep_03</t>
        </is>
      </c>
      <c r="G855" t="n">
        <v>9.720000000000001</v>
      </c>
      <c r="H855" t="inlineStr">
        <is>
          <t>Demo Completed</t>
        </is>
      </c>
      <c r="I855" t="inlineStr">
        <is>
          <t>Lost</t>
        </is>
      </c>
      <c r="J855" t="inlineStr">
        <is>
          <t>Bad Timing</t>
        </is>
      </c>
      <c r="K855" t="n">
        <v>1536.8</v>
      </c>
      <c r="L855" t="inlineStr">
        <is>
          <t>2025-10-26 08:14:16.174719</t>
        </is>
      </c>
      <c r="M855">
        <f>VLOOKUP(H855,'Stage Order'!$A$2:$B$8,2,FALSE)</f>
        <v/>
      </c>
      <c r="N855">
        <f>IF(G855&lt;=1,"1. Under 1 hour",IF(G855&lt;=24,"2. 1-24 hours",IF(G855&lt;=72,"3. 1-3 days","4. Over 3 days")))</f>
        <v/>
      </c>
      <c r="O855">
        <f>TEXT(B855,"YYYY-MM")</f>
        <v/>
      </c>
    </row>
    <row r="856">
      <c r="A856" t="inlineStr">
        <is>
          <t>LD-300854</t>
        </is>
      </c>
      <c r="B856" t="inlineStr">
        <is>
          <t>2025-02-13 17:40:00</t>
        </is>
      </c>
      <c r="C856" t="inlineStr">
        <is>
          <t>Referral</t>
        </is>
      </c>
      <c r="D856" t="inlineStr">
        <is>
          <t>Competitive Exam Prep</t>
        </is>
      </c>
      <c r="E856" t="inlineStr">
        <is>
          <t>North Region</t>
        </is>
      </c>
      <c r="F856" t="inlineStr">
        <is>
          <t>Rep_06</t>
        </is>
      </c>
      <c r="G856" t="n">
        <v>23.86</v>
      </c>
      <c r="H856" t="inlineStr">
        <is>
          <t>Closed</t>
        </is>
      </c>
      <c r="I856" t="inlineStr">
        <is>
          <t>Won</t>
        </is>
      </c>
      <c r="K856" t="n">
        <v>853.0599999999999</v>
      </c>
      <c r="L856" t="inlineStr">
        <is>
          <t>2025-03-12 19:38:59.138237</t>
        </is>
      </c>
      <c r="M856">
        <f>VLOOKUP(H856,'Stage Order'!$A$2:$B$8,2,FALSE)</f>
        <v/>
      </c>
      <c r="N856">
        <f>IF(G856&lt;=1,"1. Under 1 hour",IF(G856&lt;=24,"2. 1-24 hours",IF(G856&lt;=72,"3. 1-3 days","4. Over 3 days")))</f>
        <v/>
      </c>
      <c r="O856">
        <f>TEXT(B856,"YYYY-MM")</f>
        <v/>
      </c>
    </row>
    <row r="857">
      <c r="A857" t="inlineStr">
        <is>
          <t>LD-300855</t>
        </is>
      </c>
      <c r="B857" t="inlineStr">
        <is>
          <t>2026-02-02 18:00:00</t>
        </is>
      </c>
      <c r="C857" t="inlineStr">
        <is>
          <t>Partner Channel</t>
        </is>
      </c>
      <c r="D857" t="inlineStr">
        <is>
          <t>Language Learning</t>
        </is>
      </c>
      <c r="E857" t="inlineStr">
        <is>
          <t>South Region</t>
        </is>
      </c>
      <c r="F857" t="inlineStr">
        <is>
          <t>Rep_12</t>
        </is>
      </c>
      <c r="G857" t="n">
        <v>3.69</v>
      </c>
      <c r="H857" t="inlineStr">
        <is>
          <t>Contacted</t>
        </is>
      </c>
      <c r="I857" t="inlineStr">
        <is>
          <t>Open</t>
        </is>
      </c>
      <c r="M857">
        <f>VLOOKUP(H857,'Stage Order'!$A$2:$B$8,2,FALSE)</f>
        <v/>
      </c>
      <c r="N857">
        <f>IF(G857&lt;=1,"1. Under 1 hour",IF(G857&lt;=24,"2. 1-24 hours",IF(G857&lt;=72,"3. 1-3 days","4. Over 3 days")))</f>
        <v/>
      </c>
      <c r="O857">
        <f>TEXT(B857,"YYYY-MM")</f>
        <v/>
      </c>
    </row>
    <row r="858">
      <c r="A858" t="inlineStr">
        <is>
          <t>LD-300856</t>
        </is>
      </c>
      <c r="B858" t="inlineStr">
        <is>
          <t>2025-09-10 11:18:00</t>
        </is>
      </c>
      <c r="C858" t="inlineStr">
        <is>
          <t>Partner Channel</t>
        </is>
      </c>
      <c r="D858" t="inlineStr">
        <is>
          <t>Study Abroad Prep</t>
        </is>
      </c>
      <c r="E858" t="inlineStr">
        <is>
          <t>West Region</t>
        </is>
      </c>
      <c r="F858" t="inlineStr">
        <is>
          <t>Rep_13</t>
        </is>
      </c>
      <c r="G858" t="n">
        <v>0.61</v>
      </c>
      <c r="H858" t="inlineStr">
        <is>
          <t>Lead</t>
        </is>
      </c>
      <c r="I858" t="inlineStr">
        <is>
          <t>Open</t>
        </is>
      </c>
      <c r="M858">
        <f>VLOOKUP(H858,'Stage Order'!$A$2:$B$8,2,FALSE)</f>
        <v/>
      </c>
      <c r="N858">
        <f>IF(G858&lt;=1,"1. Under 1 hour",IF(G858&lt;=24,"2. 1-24 hours",IF(G858&lt;=72,"3. 1-3 days","4. Over 3 days")))</f>
        <v/>
      </c>
      <c r="O858">
        <f>TEXT(B858,"YYYY-MM")</f>
        <v/>
      </c>
    </row>
    <row r="859">
      <c r="A859" t="inlineStr">
        <is>
          <t>LD-300857</t>
        </is>
      </c>
      <c r="B859" t="inlineStr">
        <is>
          <t>2025-08-08 12:37:00</t>
        </is>
      </c>
      <c r="C859" t="inlineStr">
        <is>
          <t>Paid Search</t>
        </is>
      </c>
      <c r="D859" t="inlineStr">
        <is>
          <t>Competitive Exam Prep</t>
        </is>
      </c>
      <c r="E859" t="inlineStr">
        <is>
          <t>West Region</t>
        </is>
      </c>
      <c r="F859" t="inlineStr">
        <is>
          <t>Rep_13</t>
        </is>
      </c>
      <c r="G859" t="n">
        <v>1.73</v>
      </c>
      <c r="H859" t="inlineStr">
        <is>
          <t>Demo Completed</t>
        </is>
      </c>
      <c r="I859" t="inlineStr">
        <is>
          <t>Lost</t>
        </is>
      </c>
      <c r="J859" t="inlineStr">
        <is>
          <t>No Response / Ghosted</t>
        </is>
      </c>
      <c r="K859" t="n">
        <v>1148.44</v>
      </c>
      <c r="L859" t="inlineStr">
        <is>
          <t>2025-09-02 10:29:18.451715</t>
        </is>
      </c>
      <c r="M859">
        <f>VLOOKUP(H859,'Stage Order'!$A$2:$B$8,2,FALSE)</f>
        <v/>
      </c>
      <c r="N859">
        <f>IF(G859&lt;=1,"1. Under 1 hour",IF(G859&lt;=24,"2. 1-24 hours",IF(G859&lt;=72,"3. 1-3 days","4. Over 3 days")))</f>
        <v/>
      </c>
      <c r="O859">
        <f>TEXT(B859,"YYYY-MM")</f>
        <v/>
      </c>
    </row>
    <row r="860">
      <c r="A860" t="inlineStr">
        <is>
          <t>LD-300858</t>
        </is>
      </c>
      <c r="B860" t="inlineStr">
        <is>
          <t>2026-01-31 09:07:00</t>
        </is>
      </c>
      <c r="C860" t="inlineStr">
        <is>
          <t>Paid Search</t>
        </is>
      </c>
      <c r="D860" t="inlineStr">
        <is>
          <t>Competitive Exam Prep</t>
        </is>
      </c>
      <c r="E860" t="inlineStr">
        <is>
          <t>South Region</t>
        </is>
      </c>
      <c r="F860" t="inlineStr">
        <is>
          <t>Rep_07</t>
        </is>
      </c>
      <c r="G860" t="n">
        <v>4.5</v>
      </c>
      <c r="H860" t="inlineStr">
        <is>
          <t>Proposal Sent</t>
        </is>
      </c>
      <c r="I860" t="inlineStr">
        <is>
          <t>Lost</t>
        </is>
      </c>
      <c r="J860" t="inlineStr">
        <is>
          <t>Went With Competitor</t>
        </is>
      </c>
      <c r="K860" t="n">
        <v>982.3099999999999</v>
      </c>
      <c r="L860" t="inlineStr">
        <is>
          <t>2026-03-12 17:29:18.630204</t>
        </is>
      </c>
      <c r="M860">
        <f>VLOOKUP(H860,'Stage Order'!$A$2:$B$8,2,FALSE)</f>
        <v/>
      </c>
      <c r="N860">
        <f>IF(G860&lt;=1,"1. Under 1 hour",IF(G860&lt;=24,"2. 1-24 hours",IF(G860&lt;=72,"3. 1-3 days","4. Over 3 days")))</f>
        <v/>
      </c>
      <c r="O860">
        <f>TEXT(B860,"YYYY-MM")</f>
        <v/>
      </c>
    </row>
    <row r="861">
      <c r="A861" t="inlineStr">
        <is>
          <t>LD-300859</t>
        </is>
      </c>
      <c r="B861" t="inlineStr">
        <is>
          <t>2025-03-28 08:20:00</t>
        </is>
      </c>
      <c r="C861" t="inlineStr">
        <is>
          <t>Organic Search</t>
        </is>
      </c>
      <c r="D861" t="inlineStr">
        <is>
          <t>K-12 Math</t>
        </is>
      </c>
      <c r="E861" t="inlineStr">
        <is>
          <t>South Region</t>
        </is>
      </c>
      <c r="F861" t="inlineStr">
        <is>
          <t>Rep_02</t>
        </is>
      </c>
      <c r="G861" t="n">
        <v>2.42</v>
      </c>
      <c r="H861" t="inlineStr">
        <is>
          <t>Lead</t>
        </is>
      </c>
      <c r="I861" t="inlineStr">
        <is>
          <t>Open</t>
        </is>
      </c>
      <c r="M861">
        <f>VLOOKUP(H861,'Stage Order'!$A$2:$B$8,2,FALSE)</f>
        <v/>
      </c>
      <c r="N861">
        <f>IF(G861&lt;=1,"1. Under 1 hour",IF(G861&lt;=24,"2. 1-24 hours",IF(G861&lt;=72,"3. 1-3 days","4. Over 3 days")))</f>
        <v/>
      </c>
      <c r="O861">
        <f>TEXT(B861,"YYYY-MM")</f>
        <v/>
      </c>
    </row>
    <row r="862">
      <c r="A862" t="inlineStr">
        <is>
          <t>LD-300860</t>
        </is>
      </c>
      <c r="B862" t="inlineStr">
        <is>
          <t>2026-06-25 12:24:00</t>
        </is>
      </c>
      <c r="C862" t="inlineStr">
        <is>
          <t>Referral</t>
        </is>
      </c>
      <c r="D862" t="inlineStr">
        <is>
          <t>Coding for Kids</t>
        </is>
      </c>
      <c r="E862" t="inlineStr">
        <is>
          <t>International</t>
        </is>
      </c>
      <c r="F862" t="inlineStr">
        <is>
          <t>Rep_05</t>
        </is>
      </c>
      <c r="G862" t="n">
        <v>1.25</v>
      </c>
      <c r="H862" t="inlineStr">
        <is>
          <t>Contacted</t>
        </is>
      </c>
      <c r="I862" t="inlineStr">
        <is>
          <t>Open</t>
        </is>
      </c>
      <c r="M862">
        <f>VLOOKUP(H862,'Stage Order'!$A$2:$B$8,2,FALSE)</f>
        <v/>
      </c>
      <c r="N862">
        <f>IF(G862&lt;=1,"1. Under 1 hour",IF(G862&lt;=24,"2. 1-24 hours",IF(G862&lt;=72,"3. 1-3 days","4. Over 3 days")))</f>
        <v/>
      </c>
      <c r="O862">
        <f>TEXT(B862,"YYYY-MM")</f>
        <v/>
      </c>
    </row>
    <row r="863">
      <c r="A863" t="inlineStr">
        <is>
          <t>LD-300861</t>
        </is>
      </c>
      <c r="B863" t="inlineStr">
        <is>
          <t>2025-02-04 15:03:00</t>
        </is>
      </c>
      <c r="C863" t="inlineStr">
        <is>
          <t>Partner Channel</t>
        </is>
      </c>
      <c r="D863" t="inlineStr">
        <is>
          <t>K-12 Math</t>
        </is>
      </c>
      <c r="E863" t="inlineStr">
        <is>
          <t>South Region</t>
        </is>
      </c>
      <c r="F863" t="inlineStr">
        <is>
          <t>Rep_12</t>
        </is>
      </c>
      <c r="G863" t="n">
        <v>5.66</v>
      </c>
      <c r="H863" t="inlineStr">
        <is>
          <t>Contacted</t>
        </is>
      </c>
      <c r="I863" t="inlineStr">
        <is>
          <t>Open</t>
        </is>
      </c>
      <c r="M863">
        <f>VLOOKUP(H863,'Stage Order'!$A$2:$B$8,2,FALSE)</f>
        <v/>
      </c>
      <c r="N863">
        <f>IF(G863&lt;=1,"1. Under 1 hour",IF(G863&lt;=24,"2. 1-24 hours",IF(G863&lt;=72,"3. 1-3 days","4. Over 3 days")))</f>
        <v/>
      </c>
      <c r="O863">
        <f>TEXT(B863,"YYYY-MM")</f>
        <v/>
      </c>
    </row>
    <row r="864">
      <c r="A864" t="inlineStr">
        <is>
          <t>LD-300862</t>
        </is>
      </c>
      <c r="B864" t="inlineStr">
        <is>
          <t>2025-06-04 08:09:00</t>
        </is>
      </c>
      <c r="C864" t="inlineStr">
        <is>
          <t>Partner Channel</t>
        </is>
      </c>
      <c r="D864" t="inlineStr">
        <is>
          <t>Coding for Kids</t>
        </is>
      </c>
      <c r="E864" t="inlineStr">
        <is>
          <t>North Region</t>
        </is>
      </c>
      <c r="F864" t="inlineStr">
        <is>
          <t>Rep_06</t>
        </is>
      </c>
      <c r="G864" t="n">
        <v>1.04</v>
      </c>
      <c r="H864" t="inlineStr">
        <is>
          <t>Contacted</t>
        </is>
      </c>
      <c r="I864" t="inlineStr">
        <is>
          <t>Open</t>
        </is>
      </c>
      <c r="M864">
        <f>VLOOKUP(H864,'Stage Order'!$A$2:$B$8,2,FALSE)</f>
        <v/>
      </c>
      <c r="N864">
        <f>IF(G864&lt;=1,"1. Under 1 hour",IF(G864&lt;=24,"2. 1-24 hours",IF(G864&lt;=72,"3. 1-3 days","4. Over 3 days")))</f>
        <v/>
      </c>
      <c r="O864">
        <f>TEXT(B864,"YYYY-MM")</f>
        <v/>
      </c>
    </row>
    <row r="865">
      <c r="A865" t="inlineStr">
        <is>
          <t>LD-300863</t>
        </is>
      </c>
      <c r="B865" t="inlineStr">
        <is>
          <t>2025-01-07 10:56:00</t>
        </is>
      </c>
      <c r="C865" t="inlineStr">
        <is>
          <t>Webinar</t>
        </is>
      </c>
      <c r="D865" t="inlineStr">
        <is>
          <t>Language Learning</t>
        </is>
      </c>
      <c r="E865" t="inlineStr">
        <is>
          <t>East Region</t>
        </is>
      </c>
      <c r="F865" t="inlineStr">
        <is>
          <t>Rep_09</t>
        </is>
      </c>
      <c r="G865" t="n">
        <v>6.24</v>
      </c>
      <c r="H865" t="inlineStr">
        <is>
          <t>Contacted</t>
        </is>
      </c>
      <c r="I865" t="inlineStr">
        <is>
          <t>Open</t>
        </is>
      </c>
      <c r="M865">
        <f>VLOOKUP(H865,'Stage Order'!$A$2:$B$8,2,FALSE)</f>
        <v/>
      </c>
      <c r="N865">
        <f>IF(G865&lt;=1,"1. Under 1 hour",IF(G865&lt;=24,"2. 1-24 hours",IF(G865&lt;=72,"3. 1-3 days","4. Over 3 days")))</f>
        <v/>
      </c>
      <c r="O865">
        <f>TEXT(B865,"YYYY-MM")</f>
        <v/>
      </c>
    </row>
    <row r="866">
      <c r="A866" t="inlineStr">
        <is>
          <t>LD-300864</t>
        </is>
      </c>
      <c r="B866" t="inlineStr">
        <is>
          <t>2026-01-07 18:09:00</t>
        </is>
      </c>
      <c r="C866" t="inlineStr">
        <is>
          <t>Cold Outreach</t>
        </is>
      </c>
      <c r="D866" t="inlineStr">
        <is>
          <t>K-12 Math</t>
        </is>
      </c>
      <c r="E866" t="inlineStr">
        <is>
          <t>West Region</t>
        </is>
      </c>
      <c r="F866" t="inlineStr">
        <is>
          <t>Rep_08</t>
        </is>
      </c>
      <c r="G866" t="n">
        <v>1.13</v>
      </c>
      <c r="H866" t="inlineStr">
        <is>
          <t>Lead</t>
        </is>
      </c>
      <c r="I866" t="inlineStr">
        <is>
          <t>Open</t>
        </is>
      </c>
      <c r="M866">
        <f>VLOOKUP(H866,'Stage Order'!$A$2:$B$8,2,FALSE)</f>
        <v/>
      </c>
      <c r="N866">
        <f>IF(G866&lt;=1,"1. Under 1 hour",IF(G866&lt;=24,"2. 1-24 hours",IF(G866&lt;=72,"3. 1-3 days","4. Over 3 days")))</f>
        <v/>
      </c>
      <c r="O866">
        <f>TEXT(B866,"YYYY-MM")</f>
        <v/>
      </c>
    </row>
    <row r="867">
      <c r="A867" t="inlineStr">
        <is>
          <t>LD-300865</t>
        </is>
      </c>
      <c r="B867" t="inlineStr">
        <is>
          <t>2026-06-19 12:52:00</t>
        </is>
      </c>
      <c r="C867" t="inlineStr">
        <is>
          <t>Referral</t>
        </is>
      </c>
      <c r="D867" t="inlineStr">
        <is>
          <t>Coding for Kids</t>
        </is>
      </c>
      <c r="E867" t="inlineStr">
        <is>
          <t>South Region</t>
        </is>
      </c>
      <c r="F867" t="inlineStr">
        <is>
          <t>Rep_12</t>
        </is>
      </c>
      <c r="G867" t="n">
        <v>2.77</v>
      </c>
      <c r="H867" t="inlineStr">
        <is>
          <t>Negotiation</t>
        </is>
      </c>
      <c r="I867" t="inlineStr">
        <is>
          <t>Lost</t>
        </is>
      </c>
      <c r="J867" t="inlineStr">
        <is>
          <t>Bad Timing</t>
        </is>
      </c>
      <c r="K867" t="n">
        <v>691.5</v>
      </c>
      <c r="L867" t="inlineStr">
        <is>
          <t>2026-08-06 18:18:49.350325</t>
        </is>
      </c>
      <c r="M867">
        <f>VLOOKUP(H867,'Stage Order'!$A$2:$B$8,2,FALSE)</f>
        <v/>
      </c>
      <c r="N867">
        <f>IF(G867&lt;=1,"1. Under 1 hour",IF(G867&lt;=24,"2. 1-24 hours",IF(G867&lt;=72,"3. 1-3 days","4. Over 3 days")))</f>
        <v/>
      </c>
      <c r="O867">
        <f>TEXT(B867,"YYYY-MM")</f>
        <v/>
      </c>
    </row>
    <row r="868">
      <c r="A868" t="inlineStr">
        <is>
          <t>LD-300866</t>
        </is>
      </c>
      <c r="B868" t="inlineStr">
        <is>
          <t>2025-01-22 16:56:00</t>
        </is>
      </c>
      <c r="C868" t="inlineStr">
        <is>
          <t>Referral</t>
        </is>
      </c>
      <c r="D868" t="inlineStr">
        <is>
          <t>Language Learning</t>
        </is>
      </c>
      <c r="E868" t="inlineStr">
        <is>
          <t>East Region</t>
        </is>
      </c>
      <c r="F868" t="inlineStr">
        <is>
          <t>Rep_09</t>
        </is>
      </c>
      <c r="G868" t="n">
        <v>1.25</v>
      </c>
      <c r="H868" t="inlineStr">
        <is>
          <t>Contacted</t>
        </is>
      </c>
      <c r="I868" t="inlineStr">
        <is>
          <t>Open</t>
        </is>
      </c>
      <c r="M868">
        <f>VLOOKUP(H868,'Stage Order'!$A$2:$B$8,2,FALSE)</f>
        <v/>
      </c>
      <c r="N868">
        <f>IF(G868&lt;=1,"1. Under 1 hour",IF(G868&lt;=24,"2. 1-24 hours",IF(G868&lt;=72,"3. 1-3 days","4. Over 3 days")))</f>
        <v/>
      </c>
      <c r="O868">
        <f>TEXT(B868,"YYYY-MM")</f>
        <v/>
      </c>
    </row>
    <row r="869">
      <c r="A869" t="inlineStr">
        <is>
          <t>LD-300867</t>
        </is>
      </c>
      <c r="B869" t="inlineStr">
        <is>
          <t>2025-12-05 13:40:00</t>
        </is>
      </c>
      <c r="C869" t="inlineStr">
        <is>
          <t>Paid Search</t>
        </is>
      </c>
      <c r="D869" t="inlineStr">
        <is>
          <t>K-12 Math</t>
        </is>
      </c>
      <c r="E869" t="inlineStr">
        <is>
          <t>South Region</t>
        </is>
      </c>
      <c r="F869" t="inlineStr">
        <is>
          <t>Rep_12</t>
        </is>
      </c>
      <c r="G869" t="n">
        <v>0.5</v>
      </c>
      <c r="H869" t="inlineStr">
        <is>
          <t>Contacted</t>
        </is>
      </c>
      <c r="I869" t="inlineStr">
        <is>
          <t>Open</t>
        </is>
      </c>
      <c r="M869">
        <f>VLOOKUP(H869,'Stage Order'!$A$2:$B$8,2,FALSE)</f>
        <v/>
      </c>
      <c r="N869">
        <f>IF(G869&lt;=1,"1. Under 1 hour",IF(G869&lt;=24,"2. 1-24 hours",IF(G869&lt;=72,"3. 1-3 days","4. Over 3 days")))</f>
        <v/>
      </c>
      <c r="O869">
        <f>TEXT(B869,"YYYY-MM")</f>
        <v/>
      </c>
    </row>
    <row r="870">
      <c r="A870" t="inlineStr">
        <is>
          <t>LD-300868</t>
        </is>
      </c>
      <c r="B870" t="inlineStr">
        <is>
          <t>2026-02-19 14:21:00</t>
        </is>
      </c>
      <c r="C870" t="inlineStr">
        <is>
          <t>Social Media</t>
        </is>
      </c>
      <c r="D870" t="inlineStr">
        <is>
          <t>Competitive Exam Prep</t>
        </is>
      </c>
      <c r="E870" t="inlineStr">
        <is>
          <t>North Region</t>
        </is>
      </c>
      <c r="F870" t="inlineStr">
        <is>
          <t>Rep_11</t>
        </is>
      </c>
      <c r="G870" t="n">
        <v>1.11</v>
      </c>
      <c r="H870" t="inlineStr">
        <is>
          <t>Lead</t>
        </is>
      </c>
      <c r="I870" t="inlineStr">
        <is>
          <t>Open</t>
        </is>
      </c>
      <c r="M870">
        <f>VLOOKUP(H870,'Stage Order'!$A$2:$B$8,2,FALSE)</f>
        <v/>
      </c>
      <c r="N870">
        <f>IF(G870&lt;=1,"1. Under 1 hour",IF(G870&lt;=24,"2. 1-24 hours",IF(G870&lt;=72,"3. 1-3 days","4. Over 3 days")))</f>
        <v/>
      </c>
      <c r="O870">
        <f>TEXT(B870,"YYYY-MM")</f>
        <v/>
      </c>
    </row>
    <row r="871">
      <c r="A871" t="inlineStr">
        <is>
          <t>LD-300869</t>
        </is>
      </c>
      <c r="B871" t="inlineStr">
        <is>
          <t>2026-05-10 16:10:00</t>
        </is>
      </c>
      <c r="C871" t="inlineStr">
        <is>
          <t>Referral</t>
        </is>
      </c>
      <c r="D871" t="inlineStr">
        <is>
          <t>Competitive Exam Prep</t>
        </is>
      </c>
      <c r="E871" t="inlineStr">
        <is>
          <t>East Region</t>
        </is>
      </c>
      <c r="F871" t="inlineStr">
        <is>
          <t>Rep_09</t>
        </is>
      </c>
      <c r="G871" t="n">
        <v>26.56</v>
      </c>
      <c r="H871" t="inlineStr">
        <is>
          <t>Closed</t>
        </is>
      </c>
      <c r="I871" t="inlineStr">
        <is>
          <t>Won</t>
        </is>
      </c>
      <c r="K871" t="n">
        <v>1177.17</v>
      </c>
      <c r="L871" t="inlineStr">
        <is>
          <t>2026-07-12 08:59:24.680858</t>
        </is>
      </c>
      <c r="M871">
        <f>VLOOKUP(H871,'Stage Order'!$A$2:$B$8,2,FALSE)</f>
        <v/>
      </c>
      <c r="N871">
        <f>IF(G871&lt;=1,"1. Under 1 hour",IF(G871&lt;=24,"2. 1-24 hours",IF(G871&lt;=72,"3. 1-3 days","4. Over 3 days")))</f>
        <v/>
      </c>
      <c r="O871">
        <f>TEXT(B871,"YYYY-MM")</f>
        <v/>
      </c>
    </row>
    <row r="872">
      <c r="A872" t="inlineStr">
        <is>
          <t>LD-300870</t>
        </is>
      </c>
      <c r="B872" t="inlineStr">
        <is>
          <t>2025-11-26 14:28:00</t>
        </is>
      </c>
      <c r="C872" t="inlineStr">
        <is>
          <t>Referral</t>
        </is>
      </c>
      <c r="D872" t="inlineStr">
        <is>
          <t>Study Abroad Prep</t>
        </is>
      </c>
      <c r="E872" t="inlineStr">
        <is>
          <t>North Region</t>
        </is>
      </c>
      <c r="F872" t="inlineStr">
        <is>
          <t>Rep_06</t>
        </is>
      </c>
      <c r="G872" t="n">
        <v>0.9399999999999999</v>
      </c>
      <c r="H872" t="inlineStr">
        <is>
          <t>Contacted</t>
        </is>
      </c>
      <c r="I872" t="inlineStr">
        <is>
          <t>Open</t>
        </is>
      </c>
      <c r="M872">
        <f>VLOOKUP(H872,'Stage Order'!$A$2:$B$8,2,FALSE)</f>
        <v/>
      </c>
      <c r="N872">
        <f>IF(G872&lt;=1,"1. Under 1 hour",IF(G872&lt;=24,"2. 1-24 hours",IF(G872&lt;=72,"3. 1-3 days","4. Over 3 days")))</f>
        <v/>
      </c>
      <c r="O872">
        <f>TEXT(B872,"YYYY-MM")</f>
        <v/>
      </c>
    </row>
    <row r="873">
      <c r="A873" t="inlineStr">
        <is>
          <t>LD-300871</t>
        </is>
      </c>
      <c r="B873" t="inlineStr">
        <is>
          <t>2026-03-10 08:35:00</t>
        </is>
      </c>
      <c r="C873" t="inlineStr">
        <is>
          <t>Referral</t>
        </is>
      </c>
      <c r="D873" t="inlineStr">
        <is>
          <t>Language Learning</t>
        </is>
      </c>
      <c r="E873" t="inlineStr">
        <is>
          <t>North Region</t>
        </is>
      </c>
      <c r="F873" t="inlineStr">
        <is>
          <t>Rep_01</t>
        </is>
      </c>
      <c r="G873" t="n">
        <v>1.14</v>
      </c>
      <c r="H873" t="inlineStr">
        <is>
          <t>Negotiation</t>
        </is>
      </c>
      <c r="I873" t="inlineStr">
        <is>
          <t>Lost</t>
        </is>
      </c>
      <c r="J873" t="inlineStr">
        <is>
          <t>Bad Timing</t>
        </is>
      </c>
      <c r="K873" t="n">
        <v>350.4</v>
      </c>
      <c r="L873" t="inlineStr">
        <is>
          <t>2026-04-22 16:59:41.481393</t>
        </is>
      </c>
      <c r="M873">
        <f>VLOOKUP(H873,'Stage Order'!$A$2:$B$8,2,FALSE)</f>
        <v/>
      </c>
      <c r="N873">
        <f>IF(G873&lt;=1,"1. Under 1 hour",IF(G873&lt;=24,"2. 1-24 hours",IF(G873&lt;=72,"3. 1-3 days","4. Over 3 days")))</f>
        <v/>
      </c>
      <c r="O873">
        <f>TEXT(B873,"YYYY-MM")</f>
        <v/>
      </c>
    </row>
    <row r="874">
      <c r="A874" t="inlineStr">
        <is>
          <t>LD-300872</t>
        </is>
      </c>
      <c r="B874" t="inlineStr">
        <is>
          <t>2025-12-12 15:50:00</t>
        </is>
      </c>
      <c r="C874" t="inlineStr">
        <is>
          <t>Partner Channel</t>
        </is>
      </c>
      <c r="D874" t="inlineStr">
        <is>
          <t>K-12 Math</t>
        </is>
      </c>
      <c r="E874" t="inlineStr">
        <is>
          <t>International</t>
        </is>
      </c>
      <c r="F874" t="inlineStr">
        <is>
          <t>Rep_05</t>
        </is>
      </c>
      <c r="G874" t="n">
        <v>1.62</v>
      </c>
      <c r="H874" t="inlineStr">
        <is>
          <t>Contacted</t>
        </is>
      </c>
      <c r="I874" t="inlineStr">
        <is>
          <t>Open</t>
        </is>
      </c>
      <c r="M874">
        <f>VLOOKUP(H874,'Stage Order'!$A$2:$B$8,2,FALSE)</f>
        <v/>
      </c>
      <c r="N874">
        <f>IF(G874&lt;=1,"1. Under 1 hour",IF(G874&lt;=24,"2. 1-24 hours",IF(G874&lt;=72,"3. 1-3 days","4. Over 3 days")))</f>
        <v/>
      </c>
      <c r="O874">
        <f>TEXT(B874,"YYYY-MM")</f>
        <v/>
      </c>
    </row>
    <row r="875">
      <c r="A875" t="inlineStr">
        <is>
          <t>LD-300873</t>
        </is>
      </c>
      <c r="B875" t="inlineStr">
        <is>
          <t>2025-01-17 09:06:00</t>
        </is>
      </c>
      <c r="C875" t="inlineStr">
        <is>
          <t>Organic Search</t>
        </is>
      </c>
      <c r="D875" t="inlineStr">
        <is>
          <t>Coding for Kids</t>
        </is>
      </c>
      <c r="E875" t="inlineStr">
        <is>
          <t>North Region</t>
        </is>
      </c>
      <c r="F875" t="inlineStr">
        <is>
          <t>Rep_11</t>
        </is>
      </c>
      <c r="G875" t="n">
        <v>2.06</v>
      </c>
      <c r="H875" t="inlineStr">
        <is>
          <t>Demo Completed</t>
        </is>
      </c>
      <c r="I875" t="inlineStr">
        <is>
          <t>Lost</t>
        </is>
      </c>
      <c r="J875" t="inlineStr">
        <is>
          <t>Went With Competitor</t>
        </is>
      </c>
      <c r="K875" t="n">
        <v>683.16</v>
      </c>
      <c r="L875" t="inlineStr">
        <is>
          <t>2025-02-05 03:55:20.056158</t>
        </is>
      </c>
      <c r="M875">
        <f>VLOOKUP(H875,'Stage Order'!$A$2:$B$8,2,FALSE)</f>
        <v/>
      </c>
      <c r="N875">
        <f>IF(G875&lt;=1,"1. Under 1 hour",IF(G875&lt;=24,"2. 1-24 hours",IF(G875&lt;=72,"3. 1-3 days","4. Over 3 days")))</f>
        <v/>
      </c>
      <c r="O875">
        <f>TEXT(B875,"YYYY-MM")</f>
        <v/>
      </c>
    </row>
    <row r="876">
      <c r="A876" t="inlineStr">
        <is>
          <t>LD-300874</t>
        </is>
      </c>
      <c r="B876" t="inlineStr">
        <is>
          <t>2026-03-03 18:54:00</t>
        </is>
      </c>
      <c r="C876" t="inlineStr">
        <is>
          <t>Social Media</t>
        </is>
      </c>
      <c r="D876" t="inlineStr">
        <is>
          <t>K-12 Math</t>
        </is>
      </c>
      <c r="E876" t="inlineStr">
        <is>
          <t>West Region</t>
        </is>
      </c>
      <c r="F876" t="inlineStr">
        <is>
          <t>Rep_13</t>
        </is>
      </c>
      <c r="G876" t="n">
        <v>0.49</v>
      </c>
      <c r="H876" t="inlineStr">
        <is>
          <t>Contacted</t>
        </is>
      </c>
      <c r="I876" t="inlineStr">
        <is>
          <t>Open</t>
        </is>
      </c>
      <c r="M876">
        <f>VLOOKUP(H876,'Stage Order'!$A$2:$B$8,2,FALSE)</f>
        <v/>
      </c>
      <c r="N876">
        <f>IF(G876&lt;=1,"1. Under 1 hour",IF(G876&lt;=24,"2. 1-24 hours",IF(G876&lt;=72,"3. 1-3 days","4. Over 3 days")))</f>
        <v/>
      </c>
      <c r="O876">
        <f>TEXT(B876,"YYYY-MM")</f>
        <v/>
      </c>
    </row>
    <row r="877">
      <c r="A877" t="inlineStr">
        <is>
          <t>LD-300875</t>
        </is>
      </c>
      <c r="B877" t="inlineStr">
        <is>
          <t>2025-10-13 20:51:00</t>
        </is>
      </c>
      <c r="C877" t="inlineStr">
        <is>
          <t>Paid Search</t>
        </is>
      </c>
      <c r="D877" t="inlineStr">
        <is>
          <t>K-12 Math</t>
        </is>
      </c>
      <c r="E877" t="inlineStr">
        <is>
          <t>North Region</t>
        </is>
      </c>
      <c r="F877" t="inlineStr">
        <is>
          <t>Rep_06</t>
        </is>
      </c>
      <c r="G877" t="n">
        <v>9.289999999999999</v>
      </c>
      <c r="H877" t="inlineStr">
        <is>
          <t>Contacted</t>
        </is>
      </c>
      <c r="I877" t="inlineStr">
        <is>
          <t>Open</t>
        </is>
      </c>
      <c r="M877">
        <f>VLOOKUP(H877,'Stage Order'!$A$2:$B$8,2,FALSE)</f>
        <v/>
      </c>
      <c r="N877">
        <f>IF(G877&lt;=1,"1. Under 1 hour",IF(G877&lt;=24,"2. 1-24 hours",IF(G877&lt;=72,"3. 1-3 days","4. Over 3 days")))</f>
        <v/>
      </c>
      <c r="O877">
        <f>TEXT(B877,"YYYY-MM")</f>
        <v/>
      </c>
    </row>
    <row r="878">
      <c r="A878" t="inlineStr">
        <is>
          <t>LD-300876</t>
        </is>
      </c>
      <c r="B878" t="inlineStr">
        <is>
          <t>2026-01-10 18:34:00</t>
        </is>
      </c>
      <c r="C878" t="inlineStr">
        <is>
          <t>Social Media</t>
        </is>
      </c>
      <c r="D878" t="inlineStr">
        <is>
          <t>K-12 Math</t>
        </is>
      </c>
      <c r="E878" t="inlineStr">
        <is>
          <t>North Region</t>
        </is>
      </c>
      <c r="F878" t="inlineStr">
        <is>
          <t>Rep_06</t>
        </is>
      </c>
      <c r="G878" t="n">
        <v>4.37</v>
      </c>
      <c r="H878" t="inlineStr">
        <is>
          <t>Contacted</t>
        </is>
      </c>
      <c r="I878" t="inlineStr">
        <is>
          <t>Open</t>
        </is>
      </c>
      <c r="M878">
        <f>VLOOKUP(H878,'Stage Order'!$A$2:$B$8,2,FALSE)</f>
        <v/>
      </c>
      <c r="N878">
        <f>IF(G878&lt;=1,"1. Under 1 hour",IF(G878&lt;=24,"2. 1-24 hours",IF(G878&lt;=72,"3. 1-3 days","4. Over 3 days")))</f>
        <v/>
      </c>
      <c r="O878">
        <f>TEXT(B878,"YYYY-MM")</f>
        <v/>
      </c>
    </row>
    <row r="879">
      <c r="A879" t="inlineStr">
        <is>
          <t>LD-300877</t>
        </is>
      </c>
      <c r="B879" t="inlineStr">
        <is>
          <t>2025-01-02 18:57:00</t>
        </is>
      </c>
      <c r="C879" t="inlineStr">
        <is>
          <t>Cold Outreach</t>
        </is>
      </c>
      <c r="D879" t="inlineStr">
        <is>
          <t>Language Learning</t>
        </is>
      </c>
      <c r="E879" t="inlineStr">
        <is>
          <t>East Region</t>
        </is>
      </c>
      <c r="F879" t="inlineStr">
        <is>
          <t>Rep_04</t>
        </is>
      </c>
      <c r="G879" t="n">
        <v>3.03</v>
      </c>
      <c r="H879" t="inlineStr">
        <is>
          <t>Contacted</t>
        </is>
      </c>
      <c r="I879" t="inlineStr">
        <is>
          <t>Open</t>
        </is>
      </c>
      <c r="M879">
        <f>VLOOKUP(H879,'Stage Order'!$A$2:$B$8,2,FALSE)</f>
        <v/>
      </c>
      <c r="N879">
        <f>IF(G879&lt;=1,"1. Under 1 hour",IF(G879&lt;=24,"2. 1-24 hours",IF(G879&lt;=72,"3. 1-3 days","4. Over 3 days")))</f>
        <v/>
      </c>
      <c r="O879">
        <f>TEXT(B879,"YYYY-MM")</f>
        <v/>
      </c>
    </row>
    <row r="880">
      <c r="A880" t="inlineStr">
        <is>
          <t>LD-300878</t>
        </is>
      </c>
      <c r="B880" t="inlineStr">
        <is>
          <t>2026-05-29 09:44:00</t>
        </is>
      </c>
      <c r="C880" t="inlineStr">
        <is>
          <t>Partner Channel</t>
        </is>
      </c>
      <c r="D880" t="inlineStr">
        <is>
          <t>Competitive Exam Prep</t>
        </is>
      </c>
      <c r="E880" t="inlineStr">
        <is>
          <t>West Region</t>
        </is>
      </c>
      <c r="F880" t="inlineStr">
        <is>
          <t>Rep_03</t>
        </is>
      </c>
      <c r="G880" t="n">
        <v>7.51</v>
      </c>
      <c r="H880" t="inlineStr">
        <is>
          <t>Negotiation</t>
        </is>
      </c>
      <c r="I880" t="inlineStr">
        <is>
          <t>Lost</t>
        </is>
      </c>
      <c r="J880" t="inlineStr">
        <is>
          <t>Bad Timing</t>
        </is>
      </c>
      <c r="K880" t="n">
        <v>1105.34</v>
      </c>
      <c r="L880" t="inlineStr">
        <is>
          <t>2026-07-02 03:12:00.805175</t>
        </is>
      </c>
      <c r="M880">
        <f>VLOOKUP(H880,'Stage Order'!$A$2:$B$8,2,FALSE)</f>
        <v/>
      </c>
      <c r="N880">
        <f>IF(G880&lt;=1,"1. Under 1 hour",IF(G880&lt;=24,"2. 1-24 hours",IF(G880&lt;=72,"3. 1-3 days","4. Over 3 days")))</f>
        <v/>
      </c>
      <c r="O880">
        <f>TEXT(B880,"YYYY-MM")</f>
        <v/>
      </c>
    </row>
    <row r="881">
      <c r="A881" t="inlineStr">
        <is>
          <t>LD-300879</t>
        </is>
      </c>
      <c r="B881" t="inlineStr">
        <is>
          <t>2026-05-05 15:57:00</t>
        </is>
      </c>
      <c r="C881" t="inlineStr">
        <is>
          <t>Organic Search</t>
        </is>
      </c>
      <c r="D881" t="inlineStr">
        <is>
          <t>Coding for Kids</t>
        </is>
      </c>
      <c r="E881" t="inlineStr">
        <is>
          <t>West Region</t>
        </is>
      </c>
      <c r="F881" t="inlineStr">
        <is>
          <t>Rep_03</t>
        </is>
      </c>
      <c r="G881" t="n">
        <v>2.5</v>
      </c>
      <c r="H881" t="inlineStr">
        <is>
          <t>Contacted</t>
        </is>
      </c>
      <c r="I881" t="inlineStr">
        <is>
          <t>Open</t>
        </is>
      </c>
      <c r="M881">
        <f>VLOOKUP(H881,'Stage Order'!$A$2:$B$8,2,FALSE)</f>
        <v/>
      </c>
      <c r="N881">
        <f>IF(G881&lt;=1,"1. Under 1 hour",IF(G881&lt;=24,"2. 1-24 hours",IF(G881&lt;=72,"3. 1-3 days","4. Over 3 days")))</f>
        <v/>
      </c>
      <c r="O881">
        <f>TEXT(B881,"YYYY-MM")</f>
        <v/>
      </c>
    </row>
    <row r="882">
      <c r="A882" t="inlineStr">
        <is>
          <t>LD-300880</t>
        </is>
      </c>
      <c r="B882" t="inlineStr">
        <is>
          <t>2025-12-19 08:45:00</t>
        </is>
      </c>
      <c r="C882" t="inlineStr">
        <is>
          <t>Cold Outreach</t>
        </is>
      </c>
      <c r="D882" t="inlineStr">
        <is>
          <t>Competitive Exam Prep</t>
        </is>
      </c>
      <c r="E882" t="inlineStr">
        <is>
          <t>International</t>
        </is>
      </c>
      <c r="F882" t="inlineStr">
        <is>
          <t>Rep_15</t>
        </is>
      </c>
      <c r="G882" t="n">
        <v>6.17</v>
      </c>
      <c r="H882" t="inlineStr">
        <is>
          <t>Lead</t>
        </is>
      </c>
      <c r="I882" t="inlineStr">
        <is>
          <t>Open</t>
        </is>
      </c>
      <c r="M882">
        <f>VLOOKUP(H882,'Stage Order'!$A$2:$B$8,2,FALSE)</f>
        <v/>
      </c>
      <c r="N882">
        <f>IF(G882&lt;=1,"1. Under 1 hour",IF(G882&lt;=24,"2. 1-24 hours",IF(G882&lt;=72,"3. 1-3 days","4. Over 3 days")))</f>
        <v/>
      </c>
      <c r="O882">
        <f>TEXT(B882,"YYYY-MM")</f>
        <v/>
      </c>
    </row>
    <row r="883">
      <c r="A883" t="inlineStr">
        <is>
          <t>LD-300881</t>
        </is>
      </c>
      <c r="B883" t="inlineStr">
        <is>
          <t>2025-11-20 16:02:00</t>
        </is>
      </c>
      <c r="C883" t="inlineStr">
        <is>
          <t>Partner Channel</t>
        </is>
      </c>
      <c r="D883" t="inlineStr">
        <is>
          <t>Language Learning</t>
        </is>
      </c>
      <c r="E883" t="inlineStr">
        <is>
          <t>North Region</t>
        </is>
      </c>
      <c r="F883" t="inlineStr">
        <is>
          <t>Rep_11</t>
        </is>
      </c>
      <c r="G883" t="n">
        <v>4.27</v>
      </c>
      <c r="H883" t="inlineStr">
        <is>
          <t>Contacted</t>
        </is>
      </c>
      <c r="I883" t="inlineStr">
        <is>
          <t>Open</t>
        </is>
      </c>
      <c r="M883">
        <f>VLOOKUP(H883,'Stage Order'!$A$2:$B$8,2,FALSE)</f>
        <v/>
      </c>
      <c r="N883">
        <f>IF(G883&lt;=1,"1. Under 1 hour",IF(G883&lt;=24,"2. 1-24 hours",IF(G883&lt;=72,"3. 1-3 days","4. Over 3 days")))</f>
        <v/>
      </c>
      <c r="O883">
        <f>TEXT(B883,"YYYY-MM")</f>
        <v/>
      </c>
    </row>
    <row r="884">
      <c r="A884" t="inlineStr">
        <is>
          <t>LD-300882</t>
        </is>
      </c>
      <c r="B884" t="inlineStr">
        <is>
          <t>2025-05-16 13:37:00</t>
        </is>
      </c>
      <c r="C884" t="inlineStr">
        <is>
          <t>Organic Search</t>
        </is>
      </c>
      <c r="D884" t="inlineStr">
        <is>
          <t>Competitive Exam Prep</t>
        </is>
      </c>
      <c r="E884" t="inlineStr">
        <is>
          <t>International</t>
        </is>
      </c>
      <c r="F884" t="inlineStr">
        <is>
          <t>Rep_15</t>
        </is>
      </c>
      <c r="G884" t="n">
        <v>7.86</v>
      </c>
      <c r="H884" t="inlineStr">
        <is>
          <t>Proposal Sent</t>
        </is>
      </c>
      <c r="I884" t="inlineStr">
        <is>
          <t>Lost</t>
        </is>
      </c>
      <c r="J884" t="inlineStr">
        <is>
          <t>Budget Not Approved</t>
        </is>
      </c>
      <c r="K884" t="n">
        <v>870.62</v>
      </c>
      <c r="L884" t="inlineStr">
        <is>
          <t>2025-06-11 18:47:03.892181</t>
        </is>
      </c>
      <c r="M884">
        <f>VLOOKUP(H884,'Stage Order'!$A$2:$B$8,2,FALSE)</f>
        <v/>
      </c>
      <c r="N884">
        <f>IF(G884&lt;=1,"1. Under 1 hour",IF(G884&lt;=24,"2. 1-24 hours",IF(G884&lt;=72,"3. 1-3 days","4. Over 3 days")))</f>
        <v/>
      </c>
      <c r="O884">
        <f>TEXT(B884,"YYYY-MM")</f>
        <v/>
      </c>
    </row>
    <row r="885">
      <c r="A885" t="inlineStr">
        <is>
          <t>LD-300883</t>
        </is>
      </c>
      <c r="B885" t="inlineStr">
        <is>
          <t>2025-09-18 11:07:00</t>
        </is>
      </c>
      <c r="C885" t="inlineStr">
        <is>
          <t>Referral</t>
        </is>
      </c>
      <c r="D885" t="inlineStr">
        <is>
          <t>Competitive Exam Prep</t>
        </is>
      </c>
      <c r="E885" t="inlineStr">
        <is>
          <t>International</t>
        </is>
      </c>
      <c r="F885" t="inlineStr">
        <is>
          <t>Rep_05</t>
        </is>
      </c>
      <c r="G885" t="n">
        <v>1.38</v>
      </c>
      <c r="H885" t="inlineStr">
        <is>
          <t>Contacted</t>
        </is>
      </c>
      <c r="I885" t="inlineStr">
        <is>
          <t>Open</t>
        </is>
      </c>
      <c r="M885">
        <f>VLOOKUP(H885,'Stage Order'!$A$2:$B$8,2,FALSE)</f>
        <v/>
      </c>
      <c r="N885">
        <f>IF(G885&lt;=1,"1. Under 1 hour",IF(G885&lt;=24,"2. 1-24 hours",IF(G885&lt;=72,"3. 1-3 days","4. Over 3 days")))</f>
        <v/>
      </c>
      <c r="O885">
        <f>TEXT(B885,"YYYY-MM")</f>
        <v/>
      </c>
    </row>
    <row r="886">
      <c r="A886" t="inlineStr">
        <is>
          <t>LD-300884</t>
        </is>
      </c>
      <c r="B886" t="inlineStr">
        <is>
          <t>2026-03-20 11:27:00</t>
        </is>
      </c>
      <c r="C886" t="inlineStr">
        <is>
          <t>Paid Search</t>
        </is>
      </c>
      <c r="D886" t="inlineStr">
        <is>
          <t>K-12 Math</t>
        </is>
      </c>
      <c r="E886" t="inlineStr">
        <is>
          <t>North Region</t>
        </is>
      </c>
      <c r="F886" t="inlineStr">
        <is>
          <t>Rep_11</t>
        </is>
      </c>
      <c r="G886" t="n">
        <v>2.63</v>
      </c>
      <c r="H886" t="inlineStr">
        <is>
          <t>Contacted</t>
        </is>
      </c>
      <c r="I886" t="inlineStr">
        <is>
          <t>Open</t>
        </is>
      </c>
      <c r="M886">
        <f>VLOOKUP(H886,'Stage Order'!$A$2:$B$8,2,FALSE)</f>
        <v/>
      </c>
      <c r="N886">
        <f>IF(G886&lt;=1,"1. Under 1 hour",IF(G886&lt;=24,"2. 1-24 hours",IF(G886&lt;=72,"3. 1-3 days","4. Over 3 days")))</f>
        <v/>
      </c>
      <c r="O886">
        <f>TEXT(B886,"YYYY-MM")</f>
        <v/>
      </c>
    </row>
    <row r="887">
      <c r="A887" t="inlineStr">
        <is>
          <t>LD-300885</t>
        </is>
      </c>
      <c r="B887" t="inlineStr">
        <is>
          <t>2025-06-27 15:26:00</t>
        </is>
      </c>
      <c r="C887" t="inlineStr">
        <is>
          <t>Organic Search</t>
        </is>
      </c>
      <c r="D887" t="inlineStr">
        <is>
          <t>Coding for Kids</t>
        </is>
      </c>
      <c r="E887" t="inlineStr">
        <is>
          <t>North Region</t>
        </is>
      </c>
      <c r="F887" t="inlineStr">
        <is>
          <t>Rep_06</t>
        </is>
      </c>
      <c r="G887" t="n">
        <v>14.43</v>
      </c>
      <c r="H887" t="inlineStr">
        <is>
          <t>Contacted</t>
        </is>
      </c>
      <c r="I887" t="inlineStr">
        <is>
          <t>Open</t>
        </is>
      </c>
      <c r="M887">
        <f>VLOOKUP(H887,'Stage Order'!$A$2:$B$8,2,FALSE)</f>
        <v/>
      </c>
      <c r="N887">
        <f>IF(G887&lt;=1,"1. Under 1 hour",IF(G887&lt;=24,"2. 1-24 hours",IF(G887&lt;=72,"3. 1-3 days","4. Over 3 days")))</f>
        <v/>
      </c>
      <c r="O887">
        <f>TEXT(B887,"YYYY-MM")</f>
        <v/>
      </c>
    </row>
    <row r="888">
      <c r="A888" t="inlineStr">
        <is>
          <t>LD-300886</t>
        </is>
      </c>
      <c r="B888" t="inlineStr">
        <is>
          <t>2025-02-14 11:02:00</t>
        </is>
      </c>
      <c r="C888" t="inlineStr">
        <is>
          <t>Partner Channel</t>
        </is>
      </c>
      <c r="D888" t="inlineStr">
        <is>
          <t>K-12 Math</t>
        </is>
      </c>
      <c r="E888" t="inlineStr">
        <is>
          <t>South Region</t>
        </is>
      </c>
      <c r="F888" t="inlineStr">
        <is>
          <t>Rep_02</t>
        </is>
      </c>
      <c r="G888" t="n">
        <v>2.95</v>
      </c>
      <c r="H888" t="inlineStr">
        <is>
          <t>Contacted</t>
        </is>
      </c>
      <c r="I888" t="inlineStr">
        <is>
          <t>Open</t>
        </is>
      </c>
      <c r="M888">
        <f>VLOOKUP(H888,'Stage Order'!$A$2:$B$8,2,FALSE)</f>
        <v/>
      </c>
      <c r="N888">
        <f>IF(G888&lt;=1,"1. Under 1 hour",IF(G888&lt;=24,"2. 1-24 hours",IF(G888&lt;=72,"3. 1-3 days","4. Over 3 days")))</f>
        <v/>
      </c>
      <c r="O888">
        <f>TEXT(B888,"YYYY-MM")</f>
        <v/>
      </c>
    </row>
    <row r="889">
      <c r="A889" t="inlineStr">
        <is>
          <t>LD-300887</t>
        </is>
      </c>
      <c r="B889" t="inlineStr">
        <is>
          <t>2026-04-19 20:50:00</t>
        </is>
      </c>
      <c r="C889" t="inlineStr">
        <is>
          <t>Organic Search</t>
        </is>
      </c>
      <c r="D889" t="inlineStr">
        <is>
          <t>Competitive Exam Prep</t>
        </is>
      </c>
      <c r="E889" t="inlineStr">
        <is>
          <t>East Region</t>
        </is>
      </c>
      <c r="F889" t="inlineStr">
        <is>
          <t>Rep_09</t>
        </is>
      </c>
      <c r="G889" t="n">
        <v>11.36</v>
      </c>
      <c r="H889" t="inlineStr">
        <is>
          <t>Lead</t>
        </is>
      </c>
      <c r="I889" t="inlineStr">
        <is>
          <t>Open</t>
        </is>
      </c>
      <c r="M889">
        <f>VLOOKUP(H889,'Stage Order'!$A$2:$B$8,2,FALSE)</f>
        <v/>
      </c>
      <c r="N889">
        <f>IF(G889&lt;=1,"1. Under 1 hour",IF(G889&lt;=24,"2. 1-24 hours",IF(G889&lt;=72,"3. 1-3 days","4. Over 3 days")))</f>
        <v/>
      </c>
      <c r="O889">
        <f>TEXT(B889,"YYYY-MM")</f>
        <v/>
      </c>
    </row>
    <row r="890">
      <c r="A890" t="inlineStr">
        <is>
          <t>LD-300888</t>
        </is>
      </c>
      <c r="B890" t="inlineStr">
        <is>
          <t>2025-09-15 12:41:00</t>
        </is>
      </c>
      <c r="C890" t="inlineStr">
        <is>
          <t>Partner Channel</t>
        </is>
      </c>
      <c r="D890" t="inlineStr">
        <is>
          <t>Study Abroad Prep</t>
        </is>
      </c>
      <c r="E890" t="inlineStr">
        <is>
          <t>North Region</t>
        </is>
      </c>
      <c r="F890" t="inlineStr">
        <is>
          <t>Rep_06</t>
        </is>
      </c>
      <c r="G890" t="n">
        <v>11.81</v>
      </c>
      <c r="H890" t="inlineStr">
        <is>
          <t>Contacted</t>
        </is>
      </c>
      <c r="I890" t="inlineStr">
        <is>
          <t>Open</t>
        </is>
      </c>
      <c r="M890">
        <f>VLOOKUP(H890,'Stage Order'!$A$2:$B$8,2,FALSE)</f>
        <v/>
      </c>
      <c r="N890">
        <f>IF(G890&lt;=1,"1. Under 1 hour",IF(G890&lt;=24,"2. 1-24 hours",IF(G890&lt;=72,"3. 1-3 days","4. Over 3 days")))</f>
        <v/>
      </c>
      <c r="O890">
        <f>TEXT(B890,"YYYY-MM")</f>
        <v/>
      </c>
    </row>
    <row r="891">
      <c r="A891" t="inlineStr">
        <is>
          <t>LD-300889</t>
        </is>
      </c>
      <c r="B891" t="inlineStr">
        <is>
          <t>2025-04-14 09:27:00</t>
        </is>
      </c>
      <c r="C891" t="inlineStr">
        <is>
          <t>Referral</t>
        </is>
      </c>
      <c r="D891" t="inlineStr">
        <is>
          <t>Coding for Kids</t>
        </is>
      </c>
      <c r="E891" t="inlineStr">
        <is>
          <t>West Region</t>
        </is>
      </c>
      <c r="F891" t="inlineStr">
        <is>
          <t>Rep_13</t>
        </is>
      </c>
      <c r="G891" t="n">
        <v>3.47</v>
      </c>
      <c r="H891" t="inlineStr">
        <is>
          <t>Contacted</t>
        </is>
      </c>
      <c r="I891" t="inlineStr">
        <is>
          <t>Open</t>
        </is>
      </c>
      <c r="M891">
        <f>VLOOKUP(H891,'Stage Order'!$A$2:$B$8,2,FALSE)</f>
        <v/>
      </c>
      <c r="N891">
        <f>IF(G891&lt;=1,"1. Under 1 hour",IF(G891&lt;=24,"2. 1-24 hours",IF(G891&lt;=72,"3. 1-3 days","4. Over 3 days")))</f>
        <v/>
      </c>
      <c r="O891">
        <f>TEXT(B891,"YYYY-MM")</f>
        <v/>
      </c>
    </row>
    <row r="892">
      <c r="A892" t="inlineStr">
        <is>
          <t>LD-300890</t>
        </is>
      </c>
      <c r="B892" t="inlineStr">
        <is>
          <t>2025-04-17 11:08:00</t>
        </is>
      </c>
      <c r="C892" t="inlineStr">
        <is>
          <t>Cold Outreach</t>
        </is>
      </c>
      <c r="D892" t="inlineStr">
        <is>
          <t>Competitive Exam Prep</t>
        </is>
      </c>
      <c r="E892" t="inlineStr">
        <is>
          <t>International</t>
        </is>
      </c>
      <c r="F892" t="inlineStr">
        <is>
          <t>Rep_05</t>
        </is>
      </c>
      <c r="G892" t="n">
        <v>1.63</v>
      </c>
      <c r="H892" t="inlineStr">
        <is>
          <t>Lead</t>
        </is>
      </c>
      <c r="I892" t="inlineStr">
        <is>
          <t>Open</t>
        </is>
      </c>
      <c r="M892">
        <f>VLOOKUP(H892,'Stage Order'!$A$2:$B$8,2,FALSE)</f>
        <v/>
      </c>
      <c r="N892">
        <f>IF(G892&lt;=1,"1. Under 1 hour",IF(G892&lt;=24,"2. 1-24 hours",IF(G892&lt;=72,"3. 1-3 days","4. Over 3 days")))</f>
        <v/>
      </c>
      <c r="O892">
        <f>TEXT(B892,"YYYY-MM")</f>
        <v/>
      </c>
    </row>
    <row r="893">
      <c r="A893" t="inlineStr">
        <is>
          <t>LD-300891</t>
        </is>
      </c>
      <c r="B893" t="inlineStr">
        <is>
          <t>2025-08-08 18:05:00</t>
        </is>
      </c>
      <c r="C893" t="inlineStr">
        <is>
          <t>Partner Channel</t>
        </is>
      </c>
      <c r="D893" t="inlineStr">
        <is>
          <t>Language Learning</t>
        </is>
      </c>
      <c r="E893" t="inlineStr">
        <is>
          <t>East Region</t>
        </is>
      </c>
      <c r="F893" t="inlineStr">
        <is>
          <t>Rep_09</t>
        </is>
      </c>
      <c r="G893" t="n">
        <v>4.21</v>
      </c>
      <c r="H893" t="inlineStr">
        <is>
          <t>Closed</t>
        </is>
      </c>
      <c r="I893" t="inlineStr">
        <is>
          <t>Won</t>
        </is>
      </c>
      <c r="K893" t="n">
        <v>416.06</v>
      </c>
      <c r="L893" t="inlineStr">
        <is>
          <t>2025-09-06 02:25:59.692431</t>
        </is>
      </c>
      <c r="M893">
        <f>VLOOKUP(H893,'Stage Order'!$A$2:$B$8,2,FALSE)</f>
        <v/>
      </c>
      <c r="N893">
        <f>IF(G893&lt;=1,"1. Under 1 hour",IF(G893&lt;=24,"2. 1-24 hours",IF(G893&lt;=72,"3. 1-3 days","4. Over 3 days")))</f>
        <v/>
      </c>
      <c r="O893">
        <f>TEXT(B893,"YYYY-MM")</f>
        <v/>
      </c>
    </row>
    <row r="894">
      <c r="A894" t="inlineStr">
        <is>
          <t>LD-300892</t>
        </is>
      </c>
      <c r="B894" t="inlineStr">
        <is>
          <t>2025-07-09 12:21:00</t>
        </is>
      </c>
      <c r="C894" t="inlineStr">
        <is>
          <t>Organic Search</t>
        </is>
      </c>
      <c r="D894" t="inlineStr">
        <is>
          <t>Competitive Exam Prep</t>
        </is>
      </c>
      <c r="E894" t="inlineStr">
        <is>
          <t>West Region</t>
        </is>
      </c>
      <c r="F894" t="inlineStr">
        <is>
          <t>Rep_13</t>
        </is>
      </c>
      <c r="G894" t="n">
        <v>5.31</v>
      </c>
      <c r="H894" t="inlineStr">
        <is>
          <t>Contacted</t>
        </is>
      </c>
      <c r="I894" t="inlineStr">
        <is>
          <t>Open</t>
        </is>
      </c>
      <c r="M894">
        <f>VLOOKUP(H894,'Stage Order'!$A$2:$B$8,2,FALSE)</f>
        <v/>
      </c>
      <c r="N894">
        <f>IF(G894&lt;=1,"1. Under 1 hour",IF(G894&lt;=24,"2. 1-24 hours",IF(G894&lt;=72,"3. 1-3 days","4. Over 3 days")))</f>
        <v/>
      </c>
      <c r="O894">
        <f>TEXT(B894,"YYYY-MM")</f>
        <v/>
      </c>
    </row>
    <row r="895">
      <c r="A895" t="inlineStr">
        <is>
          <t>LD-300893</t>
        </is>
      </c>
      <c r="B895" t="inlineStr">
        <is>
          <t>2025-02-21 20:16:00</t>
        </is>
      </c>
      <c r="C895" t="inlineStr">
        <is>
          <t>Webinar</t>
        </is>
      </c>
      <c r="D895" t="inlineStr">
        <is>
          <t>Coding for Kids</t>
        </is>
      </c>
      <c r="E895" t="inlineStr">
        <is>
          <t>South Region</t>
        </is>
      </c>
      <c r="F895" t="inlineStr">
        <is>
          <t>Rep_02</t>
        </is>
      </c>
      <c r="G895" t="n">
        <v>2.3</v>
      </c>
      <c r="H895" t="inlineStr">
        <is>
          <t>Contacted</t>
        </is>
      </c>
      <c r="I895" t="inlineStr">
        <is>
          <t>Open</t>
        </is>
      </c>
      <c r="M895">
        <f>VLOOKUP(H895,'Stage Order'!$A$2:$B$8,2,FALSE)</f>
        <v/>
      </c>
      <c r="N895">
        <f>IF(G895&lt;=1,"1. Under 1 hour",IF(G895&lt;=24,"2. 1-24 hours",IF(G895&lt;=72,"3. 1-3 days","4. Over 3 days")))</f>
        <v/>
      </c>
      <c r="O895">
        <f>TEXT(B895,"YYYY-MM")</f>
        <v/>
      </c>
    </row>
    <row r="896">
      <c r="A896" t="inlineStr">
        <is>
          <t>LD-300894</t>
        </is>
      </c>
      <c r="B896" t="inlineStr">
        <is>
          <t>2025-08-29 11:23:00</t>
        </is>
      </c>
      <c r="C896" t="inlineStr">
        <is>
          <t>Paid Search</t>
        </is>
      </c>
      <c r="D896" t="inlineStr">
        <is>
          <t>Competitive Exam Prep</t>
        </is>
      </c>
      <c r="E896" t="inlineStr">
        <is>
          <t>South Region</t>
        </is>
      </c>
      <c r="F896" t="inlineStr">
        <is>
          <t>Rep_12</t>
        </is>
      </c>
      <c r="G896" t="n">
        <v>1.64</v>
      </c>
      <c r="H896" t="inlineStr">
        <is>
          <t>Contacted</t>
        </is>
      </c>
      <c r="I896" t="inlineStr">
        <is>
          <t>Open</t>
        </is>
      </c>
      <c r="M896">
        <f>VLOOKUP(H896,'Stage Order'!$A$2:$B$8,2,FALSE)</f>
        <v/>
      </c>
      <c r="N896">
        <f>IF(G896&lt;=1,"1. Under 1 hour",IF(G896&lt;=24,"2. 1-24 hours",IF(G896&lt;=72,"3. 1-3 days","4. Over 3 days")))</f>
        <v/>
      </c>
      <c r="O896">
        <f>TEXT(B896,"YYYY-MM")</f>
        <v/>
      </c>
    </row>
    <row r="897">
      <c r="A897" t="inlineStr">
        <is>
          <t>LD-300895</t>
        </is>
      </c>
      <c r="B897" t="inlineStr">
        <is>
          <t>2026-04-15 13:28:00</t>
        </is>
      </c>
      <c r="C897" t="inlineStr">
        <is>
          <t>Paid Search</t>
        </is>
      </c>
      <c r="D897" t="inlineStr">
        <is>
          <t>Language Learning</t>
        </is>
      </c>
      <c r="E897" t="inlineStr">
        <is>
          <t>South Region</t>
        </is>
      </c>
      <c r="F897" t="inlineStr">
        <is>
          <t>Rep_12</t>
        </is>
      </c>
      <c r="G897" t="n">
        <v>20.91</v>
      </c>
      <c r="H897" t="inlineStr">
        <is>
          <t>Closed</t>
        </is>
      </c>
      <c r="I897" t="inlineStr">
        <is>
          <t>Won</t>
        </is>
      </c>
      <c r="K897" t="n">
        <v>365.86</v>
      </c>
      <c r="L897" t="inlineStr">
        <is>
          <t>2026-05-30 17:10:39.178730</t>
        </is>
      </c>
      <c r="M897">
        <f>VLOOKUP(H897,'Stage Order'!$A$2:$B$8,2,FALSE)</f>
        <v/>
      </c>
      <c r="N897">
        <f>IF(G897&lt;=1,"1. Under 1 hour",IF(G897&lt;=24,"2. 1-24 hours",IF(G897&lt;=72,"3. 1-3 days","4. Over 3 days")))</f>
        <v/>
      </c>
      <c r="O897">
        <f>TEXT(B897,"YYYY-MM")</f>
        <v/>
      </c>
    </row>
    <row r="898">
      <c r="A898" t="inlineStr">
        <is>
          <t>LD-300896</t>
        </is>
      </c>
      <c r="B898" t="inlineStr">
        <is>
          <t>2025-02-15 10:27:00</t>
        </is>
      </c>
      <c r="C898" t="inlineStr">
        <is>
          <t>Referral</t>
        </is>
      </c>
      <c r="D898" t="inlineStr">
        <is>
          <t>K-12 Math</t>
        </is>
      </c>
      <c r="E898" t="inlineStr">
        <is>
          <t>East Region</t>
        </is>
      </c>
      <c r="F898" t="inlineStr">
        <is>
          <t>Rep_04</t>
        </is>
      </c>
      <c r="G898" t="n">
        <v>5.54</v>
      </c>
      <c r="H898" t="inlineStr">
        <is>
          <t>Closed</t>
        </is>
      </c>
      <c r="I898" t="inlineStr">
        <is>
          <t>Won</t>
        </is>
      </c>
      <c r="K898" t="n">
        <v>517.83</v>
      </c>
      <c r="L898" t="inlineStr">
        <is>
          <t>2025-03-30 12:16:43.581249</t>
        </is>
      </c>
      <c r="M898">
        <f>VLOOKUP(H898,'Stage Order'!$A$2:$B$8,2,FALSE)</f>
        <v/>
      </c>
      <c r="N898">
        <f>IF(G898&lt;=1,"1. Under 1 hour",IF(G898&lt;=24,"2. 1-24 hours",IF(G898&lt;=72,"3. 1-3 days","4. Over 3 days")))</f>
        <v/>
      </c>
      <c r="O898">
        <f>TEXT(B898,"YYYY-MM")</f>
        <v/>
      </c>
    </row>
    <row r="899">
      <c r="A899" t="inlineStr">
        <is>
          <t>LD-300897</t>
        </is>
      </c>
      <c r="B899" t="inlineStr">
        <is>
          <t>2026-05-25 20:37:00</t>
        </is>
      </c>
      <c r="C899" t="inlineStr">
        <is>
          <t>Social Media</t>
        </is>
      </c>
      <c r="D899" t="inlineStr">
        <is>
          <t>Competitive Exam Prep</t>
        </is>
      </c>
      <c r="E899" t="inlineStr">
        <is>
          <t>South Region</t>
        </is>
      </c>
      <c r="F899" t="inlineStr">
        <is>
          <t>Rep_02</t>
        </is>
      </c>
      <c r="G899" t="n">
        <v>1.16</v>
      </c>
      <c r="H899" t="inlineStr">
        <is>
          <t>Lead</t>
        </is>
      </c>
      <c r="I899" t="inlineStr">
        <is>
          <t>Open</t>
        </is>
      </c>
      <c r="M899">
        <f>VLOOKUP(H899,'Stage Order'!$A$2:$B$8,2,FALSE)</f>
        <v/>
      </c>
      <c r="N899">
        <f>IF(G899&lt;=1,"1. Under 1 hour",IF(G899&lt;=24,"2. 1-24 hours",IF(G899&lt;=72,"3. 1-3 days","4. Over 3 days")))</f>
        <v/>
      </c>
      <c r="O899">
        <f>TEXT(B899,"YYYY-MM")</f>
        <v/>
      </c>
    </row>
    <row r="900">
      <c r="A900" t="inlineStr">
        <is>
          <t>LD-300898</t>
        </is>
      </c>
      <c r="B900" t="inlineStr">
        <is>
          <t>2026-02-25 16:08:00</t>
        </is>
      </c>
      <c r="C900" t="inlineStr">
        <is>
          <t>Paid Search</t>
        </is>
      </c>
      <c r="D900" t="inlineStr">
        <is>
          <t>Coding for Kids</t>
        </is>
      </c>
      <c r="E900" t="inlineStr">
        <is>
          <t>East Region</t>
        </is>
      </c>
      <c r="F900" t="inlineStr">
        <is>
          <t>Rep_04</t>
        </is>
      </c>
      <c r="G900" t="n">
        <v>5.55</v>
      </c>
      <c r="H900" t="inlineStr">
        <is>
          <t>Demo Completed</t>
        </is>
      </c>
      <c r="I900" t="inlineStr">
        <is>
          <t>Lost</t>
        </is>
      </c>
      <c r="J900" t="inlineStr">
        <is>
          <t>Price Objection</t>
        </is>
      </c>
      <c r="K900" t="n">
        <v>703.87</v>
      </c>
      <c r="L900" t="inlineStr">
        <is>
          <t>2026-03-20 19:24:09.221059</t>
        </is>
      </c>
      <c r="M900">
        <f>VLOOKUP(H900,'Stage Order'!$A$2:$B$8,2,FALSE)</f>
        <v/>
      </c>
      <c r="N900">
        <f>IF(G900&lt;=1,"1. Under 1 hour",IF(G900&lt;=24,"2. 1-24 hours",IF(G900&lt;=72,"3. 1-3 days","4. Over 3 days")))</f>
        <v/>
      </c>
      <c r="O900">
        <f>TEXT(B900,"YYYY-MM")</f>
        <v/>
      </c>
    </row>
    <row r="901">
      <c r="A901" t="inlineStr">
        <is>
          <t>LD-300899</t>
        </is>
      </c>
      <c r="B901" t="inlineStr">
        <is>
          <t>2025-09-12 17:59:00</t>
        </is>
      </c>
      <c r="C901" t="inlineStr">
        <is>
          <t>Organic Search</t>
        </is>
      </c>
      <c r="D901" t="inlineStr">
        <is>
          <t>K-12 Math</t>
        </is>
      </c>
      <c r="E901" t="inlineStr">
        <is>
          <t>International</t>
        </is>
      </c>
      <c r="F901" t="inlineStr">
        <is>
          <t>Rep_15</t>
        </is>
      </c>
      <c r="G901" t="n">
        <v>0.29</v>
      </c>
      <c r="H901" t="inlineStr">
        <is>
          <t>Proposal Sent</t>
        </is>
      </c>
      <c r="I901" t="inlineStr">
        <is>
          <t>Lost</t>
        </is>
      </c>
      <c r="J901" t="inlineStr">
        <is>
          <t>Went With Competitor</t>
        </is>
      </c>
      <c r="K901" t="n">
        <v>450.15</v>
      </c>
      <c r="L901" t="inlineStr">
        <is>
          <t>2025-10-29 20:33:53.633491</t>
        </is>
      </c>
      <c r="M901">
        <f>VLOOKUP(H901,'Stage Order'!$A$2:$B$8,2,FALSE)</f>
        <v/>
      </c>
      <c r="N901">
        <f>IF(G901&lt;=1,"1. Under 1 hour",IF(G901&lt;=24,"2. 1-24 hours",IF(G901&lt;=72,"3. 1-3 days","4. Over 3 days")))</f>
        <v/>
      </c>
      <c r="O901">
        <f>TEXT(B901,"YYYY-MM")</f>
        <v/>
      </c>
    </row>
    <row r="902">
      <c r="A902" t="inlineStr">
        <is>
          <t>LD-300900</t>
        </is>
      </c>
      <c r="B902" t="inlineStr">
        <is>
          <t>2025-02-03 10:24:00</t>
        </is>
      </c>
      <c r="C902" t="inlineStr">
        <is>
          <t>Paid Search</t>
        </is>
      </c>
      <c r="D902" t="inlineStr">
        <is>
          <t>Language Learning</t>
        </is>
      </c>
      <c r="E902" t="inlineStr">
        <is>
          <t>South Region</t>
        </is>
      </c>
      <c r="F902" t="inlineStr">
        <is>
          <t>Rep_07</t>
        </is>
      </c>
      <c r="G902" t="n">
        <v>4.09</v>
      </c>
      <c r="H902" t="inlineStr">
        <is>
          <t>Contacted</t>
        </is>
      </c>
      <c r="I902" t="inlineStr">
        <is>
          <t>Open</t>
        </is>
      </c>
      <c r="M902">
        <f>VLOOKUP(H902,'Stage Order'!$A$2:$B$8,2,FALSE)</f>
        <v/>
      </c>
      <c r="N902">
        <f>IF(G902&lt;=1,"1. Under 1 hour",IF(G902&lt;=24,"2. 1-24 hours",IF(G902&lt;=72,"3. 1-3 days","4. Over 3 days")))</f>
        <v/>
      </c>
      <c r="O902">
        <f>TEXT(B902,"YYYY-MM")</f>
        <v/>
      </c>
    </row>
    <row r="903">
      <c r="A903" t="inlineStr">
        <is>
          <t>LD-300901</t>
        </is>
      </c>
      <c r="B903" t="inlineStr">
        <is>
          <t>2025-10-11 09:07:00</t>
        </is>
      </c>
      <c r="C903" t="inlineStr">
        <is>
          <t>Referral</t>
        </is>
      </c>
      <c r="D903" t="inlineStr">
        <is>
          <t>Language Learning</t>
        </is>
      </c>
      <c r="E903" t="inlineStr">
        <is>
          <t>South Region</t>
        </is>
      </c>
      <c r="F903" t="inlineStr">
        <is>
          <t>Rep_07</t>
        </is>
      </c>
      <c r="G903" t="n">
        <v>10.98</v>
      </c>
      <c r="H903" t="inlineStr">
        <is>
          <t>Contacted</t>
        </is>
      </c>
      <c r="I903" t="inlineStr">
        <is>
          <t>Open</t>
        </is>
      </c>
      <c r="M903">
        <f>VLOOKUP(H903,'Stage Order'!$A$2:$B$8,2,FALSE)</f>
        <v/>
      </c>
      <c r="N903">
        <f>IF(G903&lt;=1,"1. Under 1 hour",IF(G903&lt;=24,"2. 1-24 hours",IF(G903&lt;=72,"3. 1-3 days","4. Over 3 days")))</f>
        <v/>
      </c>
      <c r="O903">
        <f>TEXT(B903,"YYYY-MM")</f>
        <v/>
      </c>
    </row>
    <row r="904">
      <c r="A904" t="inlineStr">
        <is>
          <t>LD-300902</t>
        </is>
      </c>
      <c r="B904" t="inlineStr">
        <is>
          <t>2025-12-20 07:04:00</t>
        </is>
      </c>
      <c r="C904" t="inlineStr">
        <is>
          <t>Partner Channel</t>
        </is>
      </c>
      <c r="D904" t="inlineStr">
        <is>
          <t>K-12 Math</t>
        </is>
      </c>
      <c r="E904" t="inlineStr">
        <is>
          <t>International</t>
        </is>
      </c>
      <c r="F904" t="inlineStr">
        <is>
          <t>Rep_10</t>
        </is>
      </c>
      <c r="G904" t="n">
        <v>2.25</v>
      </c>
      <c r="H904" t="inlineStr">
        <is>
          <t>Contacted</t>
        </is>
      </c>
      <c r="I904" t="inlineStr">
        <is>
          <t>Open</t>
        </is>
      </c>
      <c r="M904">
        <f>VLOOKUP(H904,'Stage Order'!$A$2:$B$8,2,FALSE)</f>
        <v/>
      </c>
      <c r="N904">
        <f>IF(G904&lt;=1,"1. Under 1 hour",IF(G904&lt;=24,"2. 1-24 hours",IF(G904&lt;=72,"3. 1-3 days","4. Over 3 days")))</f>
        <v/>
      </c>
      <c r="O904">
        <f>TEXT(B904,"YYYY-MM")</f>
        <v/>
      </c>
    </row>
    <row r="905">
      <c r="A905" t="inlineStr">
        <is>
          <t>LD-300903</t>
        </is>
      </c>
      <c r="B905" t="inlineStr">
        <is>
          <t>2026-02-19 16:39:00</t>
        </is>
      </c>
      <c r="C905" t="inlineStr">
        <is>
          <t>Paid Search</t>
        </is>
      </c>
      <c r="D905" t="inlineStr">
        <is>
          <t>K-12 Math</t>
        </is>
      </c>
      <c r="E905" t="inlineStr">
        <is>
          <t>South Region</t>
        </is>
      </c>
      <c r="F905" t="inlineStr">
        <is>
          <t>Rep_12</t>
        </is>
      </c>
      <c r="G905" t="n">
        <v>2.71</v>
      </c>
      <c r="H905" t="inlineStr">
        <is>
          <t>Contacted</t>
        </is>
      </c>
      <c r="I905" t="inlineStr">
        <is>
          <t>Open</t>
        </is>
      </c>
      <c r="M905">
        <f>VLOOKUP(H905,'Stage Order'!$A$2:$B$8,2,FALSE)</f>
        <v/>
      </c>
      <c r="N905">
        <f>IF(G905&lt;=1,"1. Under 1 hour",IF(G905&lt;=24,"2. 1-24 hours",IF(G905&lt;=72,"3. 1-3 days","4. Over 3 days")))</f>
        <v/>
      </c>
      <c r="O905">
        <f>TEXT(B905,"YYYY-MM")</f>
        <v/>
      </c>
    </row>
    <row r="906">
      <c r="A906" t="inlineStr">
        <is>
          <t>LD-300904</t>
        </is>
      </c>
      <c r="B906" t="inlineStr">
        <is>
          <t>2025-03-02 07:18:00</t>
        </is>
      </c>
      <c r="C906" t="inlineStr">
        <is>
          <t>Webinar</t>
        </is>
      </c>
      <c r="D906" t="inlineStr">
        <is>
          <t>Language Learning</t>
        </is>
      </c>
      <c r="E906" t="inlineStr">
        <is>
          <t>North Region</t>
        </is>
      </c>
      <c r="F906" t="inlineStr">
        <is>
          <t>Rep_01</t>
        </is>
      </c>
      <c r="G906" t="n">
        <v>3.26</v>
      </c>
      <c r="H906" t="inlineStr">
        <is>
          <t>Contacted</t>
        </is>
      </c>
      <c r="I906" t="inlineStr">
        <is>
          <t>Open</t>
        </is>
      </c>
      <c r="M906">
        <f>VLOOKUP(H906,'Stage Order'!$A$2:$B$8,2,FALSE)</f>
        <v/>
      </c>
      <c r="N906">
        <f>IF(G906&lt;=1,"1. Under 1 hour",IF(G906&lt;=24,"2. 1-24 hours",IF(G906&lt;=72,"3. 1-3 days","4. Over 3 days")))</f>
        <v/>
      </c>
      <c r="O906">
        <f>TEXT(B906,"YYYY-MM")</f>
        <v/>
      </c>
    </row>
    <row r="907">
      <c r="A907" t="inlineStr">
        <is>
          <t>LD-300905</t>
        </is>
      </c>
      <c r="B907" t="inlineStr">
        <is>
          <t>2026-02-27 10:10:00</t>
        </is>
      </c>
      <c r="C907" t="inlineStr">
        <is>
          <t>Paid Search</t>
        </is>
      </c>
      <c r="D907" t="inlineStr">
        <is>
          <t>Coding for Kids</t>
        </is>
      </c>
      <c r="E907" t="inlineStr">
        <is>
          <t>South Region</t>
        </is>
      </c>
      <c r="F907" t="inlineStr">
        <is>
          <t>Rep_12</t>
        </is>
      </c>
      <c r="G907" t="n">
        <v>3.12</v>
      </c>
      <c r="H907" t="inlineStr">
        <is>
          <t>Proposal Sent</t>
        </is>
      </c>
      <c r="I907" t="inlineStr">
        <is>
          <t>Lost</t>
        </is>
      </c>
      <c r="J907" t="inlineStr">
        <is>
          <t>Bad Timing</t>
        </is>
      </c>
      <c r="K907" t="n">
        <v>607.84</v>
      </c>
      <c r="L907" t="inlineStr">
        <is>
          <t>2026-03-30 02:19:12.560971</t>
        </is>
      </c>
      <c r="M907">
        <f>VLOOKUP(H907,'Stage Order'!$A$2:$B$8,2,FALSE)</f>
        <v/>
      </c>
      <c r="N907">
        <f>IF(G907&lt;=1,"1. Under 1 hour",IF(G907&lt;=24,"2. 1-24 hours",IF(G907&lt;=72,"3. 1-3 days","4. Over 3 days")))</f>
        <v/>
      </c>
      <c r="O907">
        <f>TEXT(B907,"YYYY-MM")</f>
        <v/>
      </c>
    </row>
    <row r="908">
      <c r="A908" t="inlineStr">
        <is>
          <t>LD-300906</t>
        </is>
      </c>
      <c r="B908" t="inlineStr">
        <is>
          <t>2025-10-03 09:59:00</t>
        </is>
      </c>
      <c r="C908" t="inlineStr">
        <is>
          <t>Referral</t>
        </is>
      </c>
      <c r="D908" t="inlineStr">
        <is>
          <t>Study Abroad Prep</t>
        </is>
      </c>
      <c r="E908" t="inlineStr">
        <is>
          <t>West Region</t>
        </is>
      </c>
      <c r="F908" t="inlineStr">
        <is>
          <t>Rep_03</t>
        </is>
      </c>
      <c r="G908" t="n">
        <v>7.21</v>
      </c>
      <c r="H908" t="inlineStr">
        <is>
          <t>Closed</t>
        </is>
      </c>
      <c r="I908" t="inlineStr">
        <is>
          <t>Won</t>
        </is>
      </c>
      <c r="K908" t="n">
        <v>1341.78</v>
      </c>
      <c r="L908" t="inlineStr">
        <is>
          <t>2025-11-03 15:26:26.394575</t>
        </is>
      </c>
      <c r="M908">
        <f>VLOOKUP(H908,'Stage Order'!$A$2:$B$8,2,FALSE)</f>
        <v/>
      </c>
      <c r="N908">
        <f>IF(G908&lt;=1,"1. Under 1 hour",IF(G908&lt;=24,"2. 1-24 hours",IF(G908&lt;=72,"3. 1-3 days","4. Over 3 days")))</f>
        <v/>
      </c>
      <c r="O908">
        <f>TEXT(B908,"YYYY-MM")</f>
        <v/>
      </c>
    </row>
    <row r="909">
      <c r="A909" t="inlineStr">
        <is>
          <t>LD-300907</t>
        </is>
      </c>
      <c r="B909" t="inlineStr">
        <is>
          <t>2026-01-20 14:54:00</t>
        </is>
      </c>
      <c r="C909" t="inlineStr">
        <is>
          <t>Referral</t>
        </is>
      </c>
      <c r="D909" t="inlineStr">
        <is>
          <t>Coding for Kids</t>
        </is>
      </c>
      <c r="E909" t="inlineStr">
        <is>
          <t>North Region</t>
        </is>
      </c>
      <c r="F909" t="inlineStr">
        <is>
          <t>Rep_11</t>
        </is>
      </c>
      <c r="G909" t="n">
        <v>2.03</v>
      </c>
      <c r="H909" t="inlineStr">
        <is>
          <t>Negotiation</t>
        </is>
      </c>
      <c r="I909" t="inlineStr">
        <is>
          <t>Lost</t>
        </is>
      </c>
      <c r="J909" t="inlineStr">
        <is>
          <t>Price Objection</t>
        </is>
      </c>
      <c r="K909" t="n">
        <v>650.95</v>
      </c>
      <c r="L909" t="inlineStr">
        <is>
          <t>2026-03-03 10:48:56.791815</t>
        </is>
      </c>
      <c r="M909">
        <f>VLOOKUP(H909,'Stage Order'!$A$2:$B$8,2,FALSE)</f>
        <v/>
      </c>
      <c r="N909">
        <f>IF(G909&lt;=1,"1. Under 1 hour",IF(G909&lt;=24,"2. 1-24 hours",IF(G909&lt;=72,"3. 1-3 days","4. Over 3 days")))</f>
        <v/>
      </c>
      <c r="O909">
        <f>TEXT(B909,"YYYY-MM")</f>
        <v/>
      </c>
    </row>
    <row r="910">
      <c r="A910" t="inlineStr">
        <is>
          <t>LD-300908</t>
        </is>
      </c>
      <c r="B910" t="inlineStr">
        <is>
          <t>2025-03-12 18:33:00</t>
        </is>
      </c>
      <c r="C910" t="inlineStr">
        <is>
          <t>Paid Search</t>
        </is>
      </c>
      <c r="D910" t="inlineStr">
        <is>
          <t>Study Abroad Prep</t>
        </is>
      </c>
      <c r="E910" t="inlineStr">
        <is>
          <t>West Region</t>
        </is>
      </c>
      <c r="F910" t="inlineStr">
        <is>
          <t>Rep_08</t>
        </is>
      </c>
      <c r="G910" t="n">
        <v>1.81</v>
      </c>
      <c r="H910" t="inlineStr">
        <is>
          <t>Proposal Sent</t>
        </is>
      </c>
      <c r="I910" t="inlineStr">
        <is>
          <t>Lost</t>
        </is>
      </c>
      <c r="J910" t="inlineStr">
        <is>
          <t>Went With Competitor</t>
        </is>
      </c>
      <c r="K910" t="n">
        <v>1477.63</v>
      </c>
      <c r="L910" t="inlineStr">
        <is>
          <t>2025-04-13 01:13:50.449719</t>
        </is>
      </c>
      <c r="M910">
        <f>VLOOKUP(H910,'Stage Order'!$A$2:$B$8,2,FALSE)</f>
        <v/>
      </c>
      <c r="N910">
        <f>IF(G910&lt;=1,"1. Under 1 hour",IF(G910&lt;=24,"2. 1-24 hours",IF(G910&lt;=72,"3. 1-3 days","4. Over 3 days")))</f>
        <v/>
      </c>
      <c r="O910">
        <f>TEXT(B910,"YYYY-MM")</f>
        <v/>
      </c>
    </row>
    <row r="911">
      <c r="A911" t="inlineStr">
        <is>
          <t>LD-300909</t>
        </is>
      </c>
      <c r="B911" t="inlineStr">
        <is>
          <t>2025-08-12 20:37:00</t>
        </is>
      </c>
      <c r="C911" t="inlineStr">
        <is>
          <t>Organic Search</t>
        </is>
      </c>
      <c r="D911" t="inlineStr">
        <is>
          <t>Language Learning</t>
        </is>
      </c>
      <c r="E911" t="inlineStr">
        <is>
          <t>South Region</t>
        </is>
      </c>
      <c r="F911" t="inlineStr">
        <is>
          <t>Rep_02</t>
        </is>
      </c>
      <c r="G911" t="n">
        <v>8.69</v>
      </c>
      <c r="H911" t="inlineStr">
        <is>
          <t>Closed</t>
        </is>
      </c>
      <c r="I911" t="inlineStr">
        <is>
          <t>Won</t>
        </is>
      </c>
      <c r="K911" t="n">
        <v>289.78</v>
      </c>
      <c r="L911" t="inlineStr">
        <is>
          <t>2025-09-23 00:14:24.674416</t>
        </is>
      </c>
      <c r="M911">
        <f>VLOOKUP(H911,'Stage Order'!$A$2:$B$8,2,FALSE)</f>
        <v/>
      </c>
      <c r="N911">
        <f>IF(G911&lt;=1,"1. Under 1 hour",IF(G911&lt;=24,"2. 1-24 hours",IF(G911&lt;=72,"3. 1-3 days","4. Over 3 days")))</f>
        <v/>
      </c>
      <c r="O911">
        <f>TEXT(B911,"YYYY-MM")</f>
        <v/>
      </c>
    </row>
    <row r="912">
      <c r="A912" t="inlineStr">
        <is>
          <t>LD-300910</t>
        </is>
      </c>
      <c r="B912" t="inlineStr">
        <is>
          <t>2025-03-13 13:38:00</t>
        </is>
      </c>
      <c r="C912" t="inlineStr">
        <is>
          <t>Partner Channel</t>
        </is>
      </c>
      <c r="D912" t="inlineStr">
        <is>
          <t>Competitive Exam Prep</t>
        </is>
      </c>
      <c r="E912" t="inlineStr">
        <is>
          <t>West Region</t>
        </is>
      </c>
      <c r="F912" t="inlineStr">
        <is>
          <t>Rep_08</t>
        </is>
      </c>
      <c r="G912" t="n">
        <v>3.99</v>
      </c>
      <c r="H912" t="inlineStr">
        <is>
          <t>Contacted</t>
        </is>
      </c>
      <c r="I912" t="inlineStr">
        <is>
          <t>Open</t>
        </is>
      </c>
      <c r="M912">
        <f>VLOOKUP(H912,'Stage Order'!$A$2:$B$8,2,FALSE)</f>
        <v/>
      </c>
      <c r="N912">
        <f>IF(G912&lt;=1,"1. Under 1 hour",IF(G912&lt;=24,"2. 1-24 hours",IF(G912&lt;=72,"3. 1-3 days","4. Over 3 days")))</f>
        <v/>
      </c>
      <c r="O912">
        <f>TEXT(B912,"YYYY-MM")</f>
        <v/>
      </c>
    </row>
    <row r="913">
      <c r="A913" t="inlineStr">
        <is>
          <t>LD-300911</t>
        </is>
      </c>
      <c r="B913" t="inlineStr">
        <is>
          <t>2026-06-19 08:39:00</t>
        </is>
      </c>
      <c r="C913" t="inlineStr">
        <is>
          <t>Cold Outreach</t>
        </is>
      </c>
      <c r="D913" t="inlineStr">
        <is>
          <t>Study Abroad Prep</t>
        </is>
      </c>
      <c r="E913" t="inlineStr">
        <is>
          <t>West Region</t>
        </is>
      </c>
      <c r="F913" t="inlineStr">
        <is>
          <t>Rep_08</t>
        </is>
      </c>
      <c r="G913" t="n">
        <v>1.44</v>
      </c>
      <c r="H913" t="inlineStr">
        <is>
          <t>Lead</t>
        </is>
      </c>
      <c r="I913" t="inlineStr">
        <is>
          <t>Open</t>
        </is>
      </c>
      <c r="M913">
        <f>VLOOKUP(H913,'Stage Order'!$A$2:$B$8,2,FALSE)</f>
        <v/>
      </c>
      <c r="N913">
        <f>IF(G913&lt;=1,"1. Under 1 hour",IF(G913&lt;=24,"2. 1-24 hours",IF(G913&lt;=72,"3. 1-3 days","4. Over 3 days")))</f>
        <v/>
      </c>
      <c r="O913">
        <f>TEXT(B913,"YYYY-MM")</f>
        <v/>
      </c>
    </row>
    <row r="914">
      <c r="A914" t="inlineStr">
        <is>
          <t>LD-300912</t>
        </is>
      </c>
      <c r="B914" t="inlineStr">
        <is>
          <t>2026-05-27 14:18:00</t>
        </is>
      </c>
      <c r="C914" t="inlineStr">
        <is>
          <t>Cold Outreach</t>
        </is>
      </c>
      <c r="D914" t="inlineStr">
        <is>
          <t>K-12 Math</t>
        </is>
      </c>
      <c r="E914" t="inlineStr">
        <is>
          <t>West Region</t>
        </is>
      </c>
      <c r="F914" t="inlineStr">
        <is>
          <t>Rep_08</t>
        </is>
      </c>
      <c r="G914" t="n">
        <v>3.09</v>
      </c>
      <c r="H914" t="inlineStr">
        <is>
          <t>Lead</t>
        </is>
      </c>
      <c r="I914" t="inlineStr">
        <is>
          <t>Open</t>
        </is>
      </c>
      <c r="M914">
        <f>VLOOKUP(H914,'Stage Order'!$A$2:$B$8,2,FALSE)</f>
        <v/>
      </c>
      <c r="N914">
        <f>IF(G914&lt;=1,"1. Under 1 hour",IF(G914&lt;=24,"2. 1-24 hours",IF(G914&lt;=72,"3. 1-3 days","4. Over 3 days")))</f>
        <v/>
      </c>
      <c r="O914">
        <f>TEXT(B914,"YYYY-MM")</f>
        <v/>
      </c>
    </row>
    <row r="915">
      <c r="A915" t="inlineStr">
        <is>
          <t>LD-300913</t>
        </is>
      </c>
      <c r="B915" t="inlineStr">
        <is>
          <t>2025-02-24 09:50:00</t>
        </is>
      </c>
      <c r="C915" t="inlineStr">
        <is>
          <t>Paid Search</t>
        </is>
      </c>
      <c r="D915" t="inlineStr">
        <is>
          <t>Competitive Exam Prep</t>
        </is>
      </c>
      <c r="E915" t="inlineStr">
        <is>
          <t>East Region</t>
        </is>
      </c>
      <c r="F915" t="inlineStr">
        <is>
          <t>Rep_14</t>
        </is>
      </c>
      <c r="G915" t="n">
        <v>3.85</v>
      </c>
      <c r="H915" t="inlineStr">
        <is>
          <t>Contacted</t>
        </is>
      </c>
      <c r="I915" t="inlineStr">
        <is>
          <t>Open</t>
        </is>
      </c>
      <c r="M915">
        <f>VLOOKUP(H915,'Stage Order'!$A$2:$B$8,2,FALSE)</f>
        <v/>
      </c>
      <c r="N915">
        <f>IF(G915&lt;=1,"1. Under 1 hour",IF(G915&lt;=24,"2. 1-24 hours",IF(G915&lt;=72,"3. 1-3 days","4. Over 3 days")))</f>
        <v/>
      </c>
      <c r="O915">
        <f>TEXT(B915,"YYYY-MM")</f>
        <v/>
      </c>
    </row>
    <row r="916">
      <c r="A916" t="inlineStr">
        <is>
          <t>LD-300914</t>
        </is>
      </c>
      <c r="B916" t="inlineStr">
        <is>
          <t>2025-12-05 14:25:00</t>
        </is>
      </c>
      <c r="C916" t="inlineStr">
        <is>
          <t>Paid Search</t>
        </is>
      </c>
      <c r="D916" t="inlineStr">
        <is>
          <t>Coding for Kids</t>
        </is>
      </c>
      <c r="E916" t="inlineStr">
        <is>
          <t>West Region</t>
        </is>
      </c>
      <c r="F916" t="inlineStr">
        <is>
          <t>Rep_03</t>
        </is>
      </c>
      <c r="G916" t="n">
        <v>14.25</v>
      </c>
      <c r="H916" t="inlineStr">
        <is>
          <t>Closed</t>
        </is>
      </c>
      <c r="I916" t="inlineStr">
        <is>
          <t>Won</t>
        </is>
      </c>
      <c r="K916" t="n">
        <v>762.2</v>
      </c>
      <c r="L916" t="inlineStr">
        <is>
          <t>2026-01-10 07:24:02.622319</t>
        </is>
      </c>
      <c r="M916">
        <f>VLOOKUP(H916,'Stage Order'!$A$2:$B$8,2,FALSE)</f>
        <v/>
      </c>
      <c r="N916">
        <f>IF(G916&lt;=1,"1. Under 1 hour",IF(G916&lt;=24,"2. 1-24 hours",IF(G916&lt;=72,"3. 1-3 days","4. Over 3 days")))</f>
        <v/>
      </c>
      <c r="O916">
        <f>TEXT(B916,"YYYY-MM")</f>
        <v/>
      </c>
    </row>
    <row r="917">
      <c r="A917" t="inlineStr">
        <is>
          <t>LD-300915</t>
        </is>
      </c>
      <c r="B917" t="inlineStr">
        <is>
          <t>2025-08-29 13:29:00</t>
        </is>
      </c>
      <c r="C917" t="inlineStr">
        <is>
          <t>Paid Search</t>
        </is>
      </c>
      <c r="D917" t="inlineStr">
        <is>
          <t>Language Learning</t>
        </is>
      </c>
      <c r="E917" t="inlineStr">
        <is>
          <t>North Region</t>
        </is>
      </c>
      <c r="F917" t="inlineStr">
        <is>
          <t>Rep_11</t>
        </is>
      </c>
      <c r="G917" t="n">
        <v>1.21</v>
      </c>
      <c r="H917" t="inlineStr">
        <is>
          <t>Lead</t>
        </is>
      </c>
      <c r="I917" t="inlineStr">
        <is>
          <t>Open</t>
        </is>
      </c>
      <c r="M917">
        <f>VLOOKUP(H917,'Stage Order'!$A$2:$B$8,2,FALSE)</f>
        <v/>
      </c>
      <c r="N917">
        <f>IF(G917&lt;=1,"1. Under 1 hour",IF(G917&lt;=24,"2. 1-24 hours",IF(G917&lt;=72,"3. 1-3 days","4. Over 3 days")))</f>
        <v/>
      </c>
      <c r="O917">
        <f>TEXT(B917,"YYYY-MM")</f>
        <v/>
      </c>
    </row>
    <row r="918">
      <c r="A918" t="inlineStr">
        <is>
          <t>LD-300916</t>
        </is>
      </c>
      <c r="B918" t="inlineStr">
        <is>
          <t>2025-10-22 16:37:00</t>
        </is>
      </c>
      <c r="C918" t="inlineStr">
        <is>
          <t>Webinar</t>
        </is>
      </c>
      <c r="D918" t="inlineStr">
        <is>
          <t>Language Learning</t>
        </is>
      </c>
      <c r="E918" t="inlineStr">
        <is>
          <t>West Region</t>
        </is>
      </c>
      <c r="F918" t="inlineStr">
        <is>
          <t>Rep_03</t>
        </is>
      </c>
      <c r="G918" t="n">
        <v>4.13</v>
      </c>
      <c r="H918" t="inlineStr">
        <is>
          <t>Closed</t>
        </is>
      </c>
      <c r="I918" t="inlineStr">
        <is>
          <t>Won</t>
        </is>
      </c>
      <c r="K918" t="n">
        <v>300.38</v>
      </c>
      <c r="L918" t="inlineStr">
        <is>
          <t>2025-11-30 17:30:28.282315</t>
        </is>
      </c>
      <c r="M918">
        <f>VLOOKUP(H918,'Stage Order'!$A$2:$B$8,2,FALSE)</f>
        <v/>
      </c>
      <c r="N918">
        <f>IF(G918&lt;=1,"1. Under 1 hour",IF(G918&lt;=24,"2. 1-24 hours",IF(G918&lt;=72,"3. 1-3 days","4. Over 3 days")))</f>
        <v/>
      </c>
      <c r="O918">
        <f>TEXT(B918,"YYYY-MM")</f>
        <v/>
      </c>
    </row>
    <row r="919">
      <c r="A919" t="inlineStr">
        <is>
          <t>LD-300917</t>
        </is>
      </c>
      <c r="B919" t="inlineStr">
        <is>
          <t>2025-07-17 13:28:00</t>
        </is>
      </c>
      <c r="C919" t="inlineStr">
        <is>
          <t>Paid Search</t>
        </is>
      </c>
      <c r="D919" t="inlineStr">
        <is>
          <t>K-12 Math</t>
        </is>
      </c>
      <c r="E919" t="inlineStr">
        <is>
          <t>North Region</t>
        </is>
      </c>
      <c r="F919" t="inlineStr">
        <is>
          <t>Rep_06</t>
        </is>
      </c>
      <c r="G919" t="n">
        <v>2.97</v>
      </c>
      <c r="H919" t="inlineStr">
        <is>
          <t>Lead</t>
        </is>
      </c>
      <c r="I919" t="inlineStr">
        <is>
          <t>Open</t>
        </is>
      </c>
      <c r="M919">
        <f>VLOOKUP(H919,'Stage Order'!$A$2:$B$8,2,FALSE)</f>
        <v/>
      </c>
      <c r="N919">
        <f>IF(G919&lt;=1,"1. Under 1 hour",IF(G919&lt;=24,"2. 1-24 hours",IF(G919&lt;=72,"3. 1-3 days","4. Over 3 days")))</f>
        <v/>
      </c>
      <c r="O919">
        <f>TEXT(B919,"YYYY-MM")</f>
        <v/>
      </c>
    </row>
    <row r="920">
      <c r="A920" t="inlineStr">
        <is>
          <t>LD-300918</t>
        </is>
      </c>
      <c r="B920" t="inlineStr">
        <is>
          <t>2025-02-15 11:51:00</t>
        </is>
      </c>
      <c r="C920" t="inlineStr">
        <is>
          <t>Paid Search</t>
        </is>
      </c>
      <c r="D920" t="inlineStr">
        <is>
          <t>K-12 Math</t>
        </is>
      </c>
      <c r="E920" t="inlineStr">
        <is>
          <t>West Region</t>
        </is>
      </c>
      <c r="F920" t="inlineStr">
        <is>
          <t>Rep_08</t>
        </is>
      </c>
      <c r="G920" t="n">
        <v>8</v>
      </c>
      <c r="H920" t="inlineStr">
        <is>
          <t>Contacted</t>
        </is>
      </c>
      <c r="I920" t="inlineStr">
        <is>
          <t>Open</t>
        </is>
      </c>
      <c r="M920">
        <f>VLOOKUP(H920,'Stage Order'!$A$2:$B$8,2,FALSE)</f>
        <v/>
      </c>
      <c r="N920">
        <f>IF(G920&lt;=1,"1. Under 1 hour",IF(G920&lt;=24,"2. 1-24 hours",IF(G920&lt;=72,"3. 1-3 days","4. Over 3 days")))</f>
        <v/>
      </c>
      <c r="O920">
        <f>TEXT(B920,"YYYY-MM")</f>
        <v/>
      </c>
    </row>
    <row r="921">
      <c r="A921" t="inlineStr">
        <is>
          <t>LD-300919</t>
        </is>
      </c>
      <c r="B921" t="inlineStr">
        <is>
          <t>2026-01-11 07:08:00</t>
        </is>
      </c>
      <c r="C921" t="inlineStr">
        <is>
          <t>Cold Outreach</t>
        </is>
      </c>
      <c r="D921" t="inlineStr">
        <is>
          <t>Coding for Kids</t>
        </is>
      </c>
      <c r="E921" t="inlineStr">
        <is>
          <t>West Region</t>
        </is>
      </c>
      <c r="F921" t="inlineStr">
        <is>
          <t>Rep_13</t>
        </is>
      </c>
      <c r="G921" t="n">
        <v>2.82</v>
      </c>
      <c r="H921" t="inlineStr">
        <is>
          <t>Contacted</t>
        </is>
      </c>
      <c r="I921" t="inlineStr">
        <is>
          <t>Open</t>
        </is>
      </c>
      <c r="M921">
        <f>VLOOKUP(H921,'Stage Order'!$A$2:$B$8,2,FALSE)</f>
        <v/>
      </c>
      <c r="N921">
        <f>IF(G921&lt;=1,"1. Under 1 hour",IF(G921&lt;=24,"2. 1-24 hours",IF(G921&lt;=72,"3. 1-3 days","4. Over 3 days")))</f>
        <v/>
      </c>
      <c r="O921">
        <f>TEXT(B921,"YYYY-MM")</f>
        <v/>
      </c>
    </row>
    <row r="922">
      <c r="A922" t="inlineStr">
        <is>
          <t>LD-300920</t>
        </is>
      </c>
      <c r="B922" t="inlineStr">
        <is>
          <t>2025-12-03 13:20:00</t>
        </is>
      </c>
      <c r="C922" t="inlineStr">
        <is>
          <t>Paid Search</t>
        </is>
      </c>
      <c r="D922" t="inlineStr">
        <is>
          <t>Study Abroad Prep</t>
        </is>
      </c>
      <c r="E922" t="inlineStr">
        <is>
          <t>West Region</t>
        </is>
      </c>
      <c r="F922" t="inlineStr">
        <is>
          <t>Rep_08</t>
        </is>
      </c>
      <c r="G922" t="n">
        <v>1</v>
      </c>
      <c r="H922" t="inlineStr">
        <is>
          <t>Closed</t>
        </is>
      </c>
      <c r="I922" t="inlineStr">
        <is>
          <t>Won</t>
        </is>
      </c>
      <c r="K922" t="n">
        <v>1497.71</v>
      </c>
      <c r="L922" t="inlineStr">
        <is>
          <t>2026-01-11 10:26:40.559389</t>
        </is>
      </c>
      <c r="M922">
        <f>VLOOKUP(H922,'Stage Order'!$A$2:$B$8,2,FALSE)</f>
        <v/>
      </c>
      <c r="N922">
        <f>IF(G922&lt;=1,"1. Under 1 hour",IF(G922&lt;=24,"2. 1-24 hours",IF(G922&lt;=72,"3. 1-3 days","4. Over 3 days")))</f>
        <v/>
      </c>
      <c r="O922">
        <f>TEXT(B922,"YYYY-MM")</f>
        <v/>
      </c>
    </row>
    <row r="923">
      <c r="A923" t="inlineStr">
        <is>
          <t>LD-300921</t>
        </is>
      </c>
      <c r="B923" t="inlineStr">
        <is>
          <t>2026-01-14 14:08:00</t>
        </is>
      </c>
      <c r="C923" t="inlineStr">
        <is>
          <t>Cold Outreach</t>
        </is>
      </c>
      <c r="D923" t="inlineStr">
        <is>
          <t>Competitive Exam Prep</t>
        </is>
      </c>
      <c r="E923" t="inlineStr">
        <is>
          <t>North Region</t>
        </is>
      </c>
      <c r="F923" t="inlineStr">
        <is>
          <t>Rep_06</t>
        </is>
      </c>
      <c r="G923" t="n">
        <v>13.01</v>
      </c>
      <c r="H923" t="inlineStr">
        <is>
          <t>Lead</t>
        </is>
      </c>
      <c r="I923" t="inlineStr">
        <is>
          <t>Open</t>
        </is>
      </c>
      <c r="M923">
        <f>VLOOKUP(H923,'Stage Order'!$A$2:$B$8,2,FALSE)</f>
        <v/>
      </c>
      <c r="N923">
        <f>IF(G923&lt;=1,"1. Under 1 hour",IF(G923&lt;=24,"2. 1-24 hours",IF(G923&lt;=72,"3. 1-3 days","4. Over 3 days")))</f>
        <v/>
      </c>
      <c r="O923">
        <f>TEXT(B923,"YYYY-MM")</f>
        <v/>
      </c>
    </row>
    <row r="924">
      <c r="A924" t="inlineStr">
        <is>
          <t>LD-300922</t>
        </is>
      </c>
      <c r="B924" t="inlineStr">
        <is>
          <t>2025-11-17 17:43:00</t>
        </is>
      </c>
      <c r="C924" t="inlineStr">
        <is>
          <t>Organic Search</t>
        </is>
      </c>
      <c r="D924" t="inlineStr">
        <is>
          <t>Competitive Exam Prep</t>
        </is>
      </c>
      <c r="E924" t="inlineStr">
        <is>
          <t>North Region</t>
        </is>
      </c>
      <c r="F924" t="inlineStr">
        <is>
          <t>Rep_06</t>
        </is>
      </c>
      <c r="G924" t="n">
        <v>12.32</v>
      </c>
      <c r="H924" t="inlineStr">
        <is>
          <t>Lead</t>
        </is>
      </c>
      <c r="I924" t="inlineStr">
        <is>
          <t>Open</t>
        </is>
      </c>
      <c r="M924">
        <f>VLOOKUP(H924,'Stage Order'!$A$2:$B$8,2,FALSE)</f>
        <v/>
      </c>
      <c r="N924">
        <f>IF(G924&lt;=1,"1. Under 1 hour",IF(G924&lt;=24,"2. 1-24 hours",IF(G924&lt;=72,"3. 1-3 days","4. Over 3 days")))</f>
        <v/>
      </c>
      <c r="O924">
        <f>TEXT(B924,"YYYY-MM")</f>
        <v/>
      </c>
    </row>
    <row r="925">
      <c r="A925" t="inlineStr">
        <is>
          <t>LD-300923</t>
        </is>
      </c>
      <c r="B925" t="inlineStr">
        <is>
          <t>2026-02-03 20:28:00</t>
        </is>
      </c>
      <c r="C925" t="inlineStr">
        <is>
          <t>Paid Search</t>
        </is>
      </c>
      <c r="D925" t="inlineStr">
        <is>
          <t>Competitive Exam Prep</t>
        </is>
      </c>
      <c r="E925" t="inlineStr">
        <is>
          <t>East Region</t>
        </is>
      </c>
      <c r="F925" t="inlineStr">
        <is>
          <t>Rep_14</t>
        </is>
      </c>
      <c r="G925" t="n">
        <v>0.88</v>
      </c>
      <c r="H925" t="inlineStr">
        <is>
          <t>Contacted</t>
        </is>
      </c>
      <c r="I925" t="inlineStr">
        <is>
          <t>Open</t>
        </is>
      </c>
      <c r="M925">
        <f>VLOOKUP(H925,'Stage Order'!$A$2:$B$8,2,FALSE)</f>
        <v/>
      </c>
      <c r="N925">
        <f>IF(G925&lt;=1,"1. Under 1 hour",IF(G925&lt;=24,"2. 1-24 hours",IF(G925&lt;=72,"3. 1-3 days","4. Over 3 days")))</f>
        <v/>
      </c>
      <c r="O925">
        <f>TEXT(B925,"YYYY-MM")</f>
        <v/>
      </c>
    </row>
    <row r="926">
      <c r="A926" t="inlineStr">
        <is>
          <t>LD-300924</t>
        </is>
      </c>
      <c r="B926" t="inlineStr">
        <is>
          <t>2026-01-14 09:00:00</t>
        </is>
      </c>
      <c r="C926" t="inlineStr">
        <is>
          <t>Paid Search</t>
        </is>
      </c>
      <c r="D926" t="inlineStr">
        <is>
          <t>Coding for Kids</t>
        </is>
      </c>
      <c r="E926" t="inlineStr">
        <is>
          <t>West Region</t>
        </is>
      </c>
      <c r="F926" t="inlineStr">
        <is>
          <t>Rep_03</t>
        </is>
      </c>
      <c r="G926" t="n">
        <v>16.56</v>
      </c>
      <c r="H926" t="inlineStr">
        <is>
          <t>Contacted</t>
        </is>
      </c>
      <c r="I926" t="inlineStr">
        <is>
          <t>Open</t>
        </is>
      </c>
      <c r="M926">
        <f>VLOOKUP(H926,'Stage Order'!$A$2:$B$8,2,FALSE)</f>
        <v/>
      </c>
      <c r="N926">
        <f>IF(G926&lt;=1,"1. Under 1 hour",IF(G926&lt;=24,"2. 1-24 hours",IF(G926&lt;=72,"3. 1-3 days","4. Over 3 days")))</f>
        <v/>
      </c>
      <c r="O926">
        <f>TEXT(B926,"YYYY-MM")</f>
        <v/>
      </c>
    </row>
    <row r="927">
      <c r="A927" t="inlineStr">
        <is>
          <t>LD-300925</t>
        </is>
      </c>
      <c r="B927" t="inlineStr">
        <is>
          <t>2025-02-06 18:38:00</t>
        </is>
      </c>
      <c r="C927" t="inlineStr">
        <is>
          <t>Referral</t>
        </is>
      </c>
      <c r="D927" t="inlineStr">
        <is>
          <t>Study Abroad Prep</t>
        </is>
      </c>
      <c r="E927" t="inlineStr">
        <is>
          <t>North Region</t>
        </is>
      </c>
      <c r="F927" t="inlineStr">
        <is>
          <t>Rep_06</t>
        </is>
      </c>
      <c r="G927" t="n">
        <v>5.31</v>
      </c>
      <c r="H927" t="inlineStr">
        <is>
          <t>Contacted</t>
        </is>
      </c>
      <c r="I927" t="inlineStr">
        <is>
          <t>Open</t>
        </is>
      </c>
      <c r="M927">
        <f>VLOOKUP(H927,'Stage Order'!$A$2:$B$8,2,FALSE)</f>
        <v/>
      </c>
      <c r="N927">
        <f>IF(G927&lt;=1,"1. Under 1 hour",IF(G927&lt;=24,"2. 1-24 hours",IF(G927&lt;=72,"3. 1-3 days","4. Over 3 days")))</f>
        <v/>
      </c>
      <c r="O927">
        <f>TEXT(B927,"YYYY-MM")</f>
        <v/>
      </c>
    </row>
    <row r="928">
      <c r="A928" t="inlineStr">
        <is>
          <t>LD-300926</t>
        </is>
      </c>
      <c r="B928" t="inlineStr">
        <is>
          <t>2025-05-28 11:57:00</t>
        </is>
      </c>
      <c r="C928" t="inlineStr">
        <is>
          <t>Referral</t>
        </is>
      </c>
      <c r="D928" t="inlineStr">
        <is>
          <t>K-12 Math</t>
        </is>
      </c>
      <c r="E928" t="inlineStr">
        <is>
          <t>North Region</t>
        </is>
      </c>
      <c r="F928" t="inlineStr">
        <is>
          <t>Rep_11</t>
        </is>
      </c>
      <c r="G928" t="n">
        <v>5.07</v>
      </c>
      <c r="H928" t="inlineStr">
        <is>
          <t>Negotiation</t>
        </is>
      </c>
      <c r="I928" t="inlineStr">
        <is>
          <t>Lost</t>
        </is>
      </c>
      <c r="J928" t="inlineStr">
        <is>
          <t>No Response / Ghosted</t>
        </is>
      </c>
      <c r="K928" t="n">
        <v>470.31</v>
      </c>
      <c r="L928" t="inlineStr">
        <is>
          <t>2025-06-30 01:42:04.895234</t>
        </is>
      </c>
      <c r="M928">
        <f>VLOOKUP(H928,'Stage Order'!$A$2:$B$8,2,FALSE)</f>
        <v/>
      </c>
      <c r="N928">
        <f>IF(G928&lt;=1,"1. Under 1 hour",IF(G928&lt;=24,"2. 1-24 hours",IF(G928&lt;=72,"3. 1-3 days","4. Over 3 days")))</f>
        <v/>
      </c>
      <c r="O928">
        <f>TEXT(B928,"YYYY-MM")</f>
        <v/>
      </c>
    </row>
    <row r="929">
      <c r="A929" t="inlineStr">
        <is>
          <t>LD-300927</t>
        </is>
      </c>
      <c r="B929" t="inlineStr">
        <is>
          <t>2025-04-14 17:38:00</t>
        </is>
      </c>
      <c r="C929" t="inlineStr">
        <is>
          <t>Paid Search</t>
        </is>
      </c>
      <c r="D929" t="inlineStr">
        <is>
          <t>Language Learning</t>
        </is>
      </c>
      <c r="E929" t="inlineStr">
        <is>
          <t>East Region</t>
        </is>
      </c>
      <c r="F929" t="inlineStr">
        <is>
          <t>Rep_09</t>
        </is>
      </c>
      <c r="G929" t="n">
        <v>1.61</v>
      </c>
      <c r="H929" t="inlineStr">
        <is>
          <t>Contacted</t>
        </is>
      </c>
      <c r="I929" t="inlineStr">
        <is>
          <t>Open</t>
        </is>
      </c>
      <c r="M929">
        <f>VLOOKUP(H929,'Stage Order'!$A$2:$B$8,2,FALSE)</f>
        <v/>
      </c>
      <c r="N929">
        <f>IF(G929&lt;=1,"1. Under 1 hour",IF(G929&lt;=24,"2. 1-24 hours",IF(G929&lt;=72,"3. 1-3 days","4. Over 3 days")))</f>
        <v/>
      </c>
      <c r="O929">
        <f>TEXT(B929,"YYYY-MM")</f>
        <v/>
      </c>
    </row>
    <row r="930">
      <c r="A930" t="inlineStr">
        <is>
          <t>LD-300928</t>
        </is>
      </c>
      <c r="B930" t="inlineStr">
        <is>
          <t>2026-01-25 11:43:00</t>
        </is>
      </c>
      <c r="C930" t="inlineStr">
        <is>
          <t>Referral</t>
        </is>
      </c>
      <c r="D930" t="inlineStr">
        <is>
          <t>K-12 Math</t>
        </is>
      </c>
      <c r="E930" t="inlineStr">
        <is>
          <t>North Region</t>
        </is>
      </c>
      <c r="F930" t="inlineStr">
        <is>
          <t>Rep_01</t>
        </is>
      </c>
      <c r="G930" t="n">
        <v>6.68</v>
      </c>
      <c r="H930" t="inlineStr">
        <is>
          <t>Closed</t>
        </is>
      </c>
      <c r="I930" t="inlineStr">
        <is>
          <t>Won</t>
        </is>
      </c>
      <c r="K930" t="n">
        <v>472.04</v>
      </c>
      <c r="L930" t="inlineStr">
        <is>
          <t>2026-03-06 20:51:49.627983</t>
        </is>
      </c>
      <c r="M930">
        <f>VLOOKUP(H930,'Stage Order'!$A$2:$B$8,2,FALSE)</f>
        <v/>
      </c>
      <c r="N930">
        <f>IF(G930&lt;=1,"1. Under 1 hour",IF(G930&lt;=24,"2. 1-24 hours",IF(G930&lt;=72,"3. 1-3 days","4. Over 3 days")))</f>
        <v/>
      </c>
      <c r="O930">
        <f>TEXT(B930,"YYYY-MM")</f>
        <v/>
      </c>
    </row>
    <row r="931">
      <c r="A931" t="inlineStr">
        <is>
          <t>LD-300929</t>
        </is>
      </c>
      <c r="B931" t="inlineStr">
        <is>
          <t>2026-02-03 17:55:00</t>
        </is>
      </c>
      <c r="C931" t="inlineStr">
        <is>
          <t>Organic Search</t>
        </is>
      </c>
      <c r="D931" t="inlineStr">
        <is>
          <t>Language Learning</t>
        </is>
      </c>
      <c r="E931" t="inlineStr">
        <is>
          <t>South Region</t>
        </is>
      </c>
      <c r="F931" t="inlineStr">
        <is>
          <t>Rep_07</t>
        </is>
      </c>
      <c r="G931" t="n">
        <v>5.06</v>
      </c>
      <c r="H931" t="inlineStr">
        <is>
          <t>Proposal Sent</t>
        </is>
      </c>
      <c r="I931" t="inlineStr">
        <is>
          <t>Lost</t>
        </is>
      </c>
      <c r="J931" t="inlineStr">
        <is>
          <t>No Response / Ghosted</t>
        </is>
      </c>
      <c r="K931" t="n">
        <v>359.75</v>
      </c>
      <c r="L931" t="inlineStr">
        <is>
          <t>2026-03-03 00:18:06.088631</t>
        </is>
      </c>
      <c r="M931">
        <f>VLOOKUP(H931,'Stage Order'!$A$2:$B$8,2,FALSE)</f>
        <v/>
      </c>
      <c r="N931">
        <f>IF(G931&lt;=1,"1. Under 1 hour",IF(G931&lt;=24,"2. 1-24 hours",IF(G931&lt;=72,"3. 1-3 days","4. Over 3 days")))</f>
        <v/>
      </c>
      <c r="O931">
        <f>TEXT(B931,"YYYY-MM")</f>
        <v/>
      </c>
    </row>
    <row r="932">
      <c r="A932" t="inlineStr">
        <is>
          <t>LD-300930</t>
        </is>
      </c>
      <c r="B932" t="inlineStr">
        <is>
          <t>2025-02-04 19:10:00</t>
        </is>
      </c>
      <c r="C932" t="inlineStr">
        <is>
          <t>Organic Search</t>
        </is>
      </c>
      <c r="D932" t="inlineStr">
        <is>
          <t>K-12 Math</t>
        </is>
      </c>
      <c r="E932" t="inlineStr">
        <is>
          <t>East Region</t>
        </is>
      </c>
      <c r="F932" t="inlineStr">
        <is>
          <t>Rep_04</t>
        </is>
      </c>
      <c r="G932" t="n">
        <v>5.47</v>
      </c>
      <c r="H932" t="inlineStr">
        <is>
          <t>Contacted</t>
        </is>
      </c>
      <c r="I932" t="inlineStr">
        <is>
          <t>Open</t>
        </is>
      </c>
      <c r="M932">
        <f>VLOOKUP(H932,'Stage Order'!$A$2:$B$8,2,FALSE)</f>
        <v/>
      </c>
      <c r="N932">
        <f>IF(G932&lt;=1,"1. Under 1 hour",IF(G932&lt;=24,"2. 1-24 hours",IF(G932&lt;=72,"3. 1-3 days","4. Over 3 days")))</f>
        <v/>
      </c>
      <c r="O932">
        <f>TEXT(B932,"YYYY-MM")</f>
        <v/>
      </c>
    </row>
    <row r="933">
      <c r="A933" t="inlineStr">
        <is>
          <t>LD-300931</t>
        </is>
      </c>
      <c r="B933" t="inlineStr">
        <is>
          <t>2025-08-01 09:04:00</t>
        </is>
      </c>
      <c r="C933" t="inlineStr">
        <is>
          <t>Social Media</t>
        </is>
      </c>
      <c r="D933" t="inlineStr">
        <is>
          <t>K-12 Math</t>
        </is>
      </c>
      <c r="E933" t="inlineStr">
        <is>
          <t>International</t>
        </is>
      </c>
      <c r="F933" t="inlineStr">
        <is>
          <t>Rep_10</t>
        </is>
      </c>
      <c r="G933" t="n">
        <v>3.23</v>
      </c>
      <c r="H933" t="inlineStr">
        <is>
          <t>Demo Completed</t>
        </is>
      </c>
      <c r="I933" t="inlineStr">
        <is>
          <t>Lost</t>
        </is>
      </c>
      <c r="J933" t="inlineStr">
        <is>
          <t>Price Objection</t>
        </is>
      </c>
      <c r="K933" t="n">
        <v>475.42</v>
      </c>
      <c r="L933" t="inlineStr">
        <is>
          <t>2025-09-01 05:25:16.485328</t>
        </is>
      </c>
      <c r="M933">
        <f>VLOOKUP(H933,'Stage Order'!$A$2:$B$8,2,FALSE)</f>
        <v/>
      </c>
      <c r="N933">
        <f>IF(G933&lt;=1,"1. Under 1 hour",IF(G933&lt;=24,"2. 1-24 hours",IF(G933&lt;=72,"3. 1-3 days","4. Over 3 days")))</f>
        <v/>
      </c>
      <c r="O933">
        <f>TEXT(B933,"YYYY-MM")</f>
        <v/>
      </c>
    </row>
    <row r="934">
      <c r="A934" t="inlineStr">
        <is>
          <t>LD-300932</t>
        </is>
      </c>
      <c r="B934" t="inlineStr">
        <is>
          <t>2026-03-25 14:30:00</t>
        </is>
      </c>
      <c r="C934" t="inlineStr">
        <is>
          <t>Webinar</t>
        </is>
      </c>
      <c r="D934" t="inlineStr">
        <is>
          <t>Coding for Kids</t>
        </is>
      </c>
      <c r="E934" t="inlineStr">
        <is>
          <t>North Region</t>
        </is>
      </c>
      <c r="F934" t="inlineStr">
        <is>
          <t>Rep_11</t>
        </is>
      </c>
      <c r="G934" t="n">
        <v>2.97</v>
      </c>
      <c r="H934" t="inlineStr">
        <is>
          <t>Contacted</t>
        </is>
      </c>
      <c r="I934" t="inlineStr">
        <is>
          <t>Open</t>
        </is>
      </c>
      <c r="M934">
        <f>VLOOKUP(H934,'Stage Order'!$A$2:$B$8,2,FALSE)</f>
        <v/>
      </c>
      <c r="N934">
        <f>IF(G934&lt;=1,"1. Under 1 hour",IF(G934&lt;=24,"2. 1-24 hours",IF(G934&lt;=72,"3. 1-3 days","4. Over 3 days")))</f>
        <v/>
      </c>
      <c r="O934">
        <f>TEXT(B934,"YYYY-MM")</f>
        <v/>
      </c>
    </row>
    <row r="935">
      <c r="A935" t="inlineStr">
        <is>
          <t>LD-300933</t>
        </is>
      </c>
      <c r="B935" t="inlineStr">
        <is>
          <t>2025-04-11 18:31:00</t>
        </is>
      </c>
      <c r="C935" t="inlineStr">
        <is>
          <t>Paid Search</t>
        </is>
      </c>
      <c r="D935" t="inlineStr">
        <is>
          <t>Coding for Kids</t>
        </is>
      </c>
      <c r="E935" t="inlineStr">
        <is>
          <t>South Region</t>
        </is>
      </c>
      <c r="F935" t="inlineStr">
        <is>
          <t>Rep_07</t>
        </is>
      </c>
      <c r="G935" t="n">
        <v>4.51</v>
      </c>
      <c r="H935" t="inlineStr">
        <is>
          <t>Contacted</t>
        </is>
      </c>
      <c r="I935" t="inlineStr">
        <is>
          <t>Open</t>
        </is>
      </c>
      <c r="M935">
        <f>VLOOKUP(H935,'Stage Order'!$A$2:$B$8,2,FALSE)</f>
        <v/>
      </c>
      <c r="N935">
        <f>IF(G935&lt;=1,"1. Under 1 hour",IF(G935&lt;=24,"2. 1-24 hours",IF(G935&lt;=72,"3. 1-3 days","4. Over 3 days")))</f>
        <v/>
      </c>
      <c r="O935">
        <f>TEXT(B935,"YYYY-MM")</f>
        <v/>
      </c>
    </row>
    <row r="936">
      <c r="A936" t="inlineStr">
        <is>
          <t>LD-300934</t>
        </is>
      </c>
      <c r="B936" t="inlineStr">
        <is>
          <t>2025-05-30 19:33:00</t>
        </is>
      </c>
      <c r="C936" t="inlineStr">
        <is>
          <t>Webinar</t>
        </is>
      </c>
      <c r="D936" t="inlineStr">
        <is>
          <t>K-12 Math</t>
        </is>
      </c>
      <c r="E936" t="inlineStr">
        <is>
          <t>West Region</t>
        </is>
      </c>
      <c r="F936" t="inlineStr">
        <is>
          <t>Rep_08</t>
        </is>
      </c>
      <c r="G936" t="n">
        <v>7.79</v>
      </c>
      <c r="H936" t="inlineStr">
        <is>
          <t>Lead</t>
        </is>
      </c>
      <c r="I936" t="inlineStr">
        <is>
          <t>Open</t>
        </is>
      </c>
      <c r="M936">
        <f>VLOOKUP(H936,'Stage Order'!$A$2:$B$8,2,FALSE)</f>
        <v/>
      </c>
      <c r="N936">
        <f>IF(G936&lt;=1,"1. Under 1 hour",IF(G936&lt;=24,"2. 1-24 hours",IF(G936&lt;=72,"3. 1-3 days","4. Over 3 days")))</f>
        <v/>
      </c>
      <c r="O936">
        <f>TEXT(B936,"YYYY-MM")</f>
        <v/>
      </c>
    </row>
    <row r="937">
      <c r="A937" t="inlineStr">
        <is>
          <t>LD-300935</t>
        </is>
      </c>
      <c r="B937" t="inlineStr">
        <is>
          <t>2025-08-02 20:59:00</t>
        </is>
      </c>
      <c r="C937" t="inlineStr">
        <is>
          <t>Organic Search</t>
        </is>
      </c>
      <c r="D937" t="inlineStr">
        <is>
          <t>Coding for Kids</t>
        </is>
      </c>
      <c r="E937" t="inlineStr">
        <is>
          <t>International</t>
        </is>
      </c>
      <c r="F937" t="inlineStr">
        <is>
          <t>Rep_05</t>
        </is>
      </c>
      <c r="G937" t="n">
        <v>3.47</v>
      </c>
      <c r="H937" t="inlineStr">
        <is>
          <t>Contacted</t>
        </is>
      </c>
      <c r="I937" t="inlineStr">
        <is>
          <t>Open</t>
        </is>
      </c>
      <c r="M937">
        <f>VLOOKUP(H937,'Stage Order'!$A$2:$B$8,2,FALSE)</f>
        <v/>
      </c>
      <c r="N937">
        <f>IF(G937&lt;=1,"1. Under 1 hour",IF(G937&lt;=24,"2. 1-24 hours",IF(G937&lt;=72,"3. 1-3 days","4. Over 3 days")))</f>
        <v/>
      </c>
      <c r="O937">
        <f>TEXT(B937,"YYYY-MM")</f>
        <v/>
      </c>
    </row>
    <row r="938">
      <c r="A938" t="inlineStr">
        <is>
          <t>LD-300936</t>
        </is>
      </c>
      <c r="B938" t="inlineStr">
        <is>
          <t>2025-07-03 12:45:00</t>
        </is>
      </c>
      <c r="C938" t="inlineStr">
        <is>
          <t>Referral</t>
        </is>
      </c>
      <c r="D938" t="inlineStr">
        <is>
          <t>Language Learning</t>
        </is>
      </c>
      <c r="E938" t="inlineStr">
        <is>
          <t>East Region</t>
        </is>
      </c>
      <c r="F938" t="inlineStr">
        <is>
          <t>Rep_14</t>
        </is>
      </c>
      <c r="G938" t="n">
        <v>2.7</v>
      </c>
      <c r="H938" t="inlineStr">
        <is>
          <t>Contacted</t>
        </is>
      </c>
      <c r="I938" t="inlineStr">
        <is>
          <t>Open</t>
        </is>
      </c>
      <c r="M938">
        <f>VLOOKUP(H938,'Stage Order'!$A$2:$B$8,2,FALSE)</f>
        <v/>
      </c>
      <c r="N938">
        <f>IF(G938&lt;=1,"1. Under 1 hour",IF(G938&lt;=24,"2. 1-24 hours",IF(G938&lt;=72,"3. 1-3 days","4. Over 3 days")))</f>
        <v/>
      </c>
      <c r="O938">
        <f>TEXT(B938,"YYYY-MM")</f>
        <v/>
      </c>
    </row>
    <row r="939">
      <c r="A939" t="inlineStr">
        <is>
          <t>LD-300937</t>
        </is>
      </c>
      <c r="B939" t="inlineStr">
        <is>
          <t>2026-03-30 18:53:00</t>
        </is>
      </c>
      <c r="C939" t="inlineStr">
        <is>
          <t>Social Media</t>
        </is>
      </c>
      <c r="D939" t="inlineStr">
        <is>
          <t>K-12 Math</t>
        </is>
      </c>
      <c r="E939" t="inlineStr">
        <is>
          <t>North Region</t>
        </is>
      </c>
      <c r="F939" t="inlineStr">
        <is>
          <t>Rep_06</t>
        </is>
      </c>
      <c r="G939" t="n">
        <v>3.76</v>
      </c>
      <c r="H939" t="inlineStr">
        <is>
          <t>Contacted</t>
        </is>
      </c>
      <c r="I939" t="inlineStr">
        <is>
          <t>Open</t>
        </is>
      </c>
      <c r="M939">
        <f>VLOOKUP(H939,'Stage Order'!$A$2:$B$8,2,FALSE)</f>
        <v/>
      </c>
      <c r="N939">
        <f>IF(G939&lt;=1,"1. Under 1 hour",IF(G939&lt;=24,"2. 1-24 hours",IF(G939&lt;=72,"3. 1-3 days","4. Over 3 days")))</f>
        <v/>
      </c>
      <c r="O939">
        <f>TEXT(B939,"YYYY-MM")</f>
        <v/>
      </c>
    </row>
    <row r="940">
      <c r="A940" t="inlineStr">
        <is>
          <t>LD-300938</t>
        </is>
      </c>
      <c r="B940" t="inlineStr">
        <is>
          <t>2025-07-16 12:18:00</t>
        </is>
      </c>
      <c r="C940" t="inlineStr">
        <is>
          <t>Cold Outreach</t>
        </is>
      </c>
      <c r="D940" t="inlineStr">
        <is>
          <t>K-12 Math</t>
        </is>
      </c>
      <c r="E940" t="inlineStr">
        <is>
          <t>West Region</t>
        </is>
      </c>
      <c r="F940" t="inlineStr">
        <is>
          <t>Rep_03</t>
        </is>
      </c>
      <c r="G940" t="n">
        <v>0.29</v>
      </c>
      <c r="H940" t="inlineStr">
        <is>
          <t>Lead</t>
        </is>
      </c>
      <c r="I940" t="inlineStr">
        <is>
          <t>Open</t>
        </is>
      </c>
      <c r="M940">
        <f>VLOOKUP(H940,'Stage Order'!$A$2:$B$8,2,FALSE)</f>
        <v/>
      </c>
      <c r="N940">
        <f>IF(G940&lt;=1,"1. Under 1 hour",IF(G940&lt;=24,"2. 1-24 hours",IF(G940&lt;=72,"3. 1-3 days","4. Over 3 days")))</f>
        <v/>
      </c>
      <c r="O940">
        <f>TEXT(B940,"YYYY-MM")</f>
        <v/>
      </c>
    </row>
    <row r="941">
      <c r="A941" t="inlineStr">
        <is>
          <t>LD-300939</t>
        </is>
      </c>
      <c r="B941" t="inlineStr">
        <is>
          <t>2026-01-10 09:22:00</t>
        </is>
      </c>
      <c r="C941" t="inlineStr">
        <is>
          <t>Paid Search</t>
        </is>
      </c>
      <c r="D941" t="inlineStr">
        <is>
          <t>Coding for Kids</t>
        </is>
      </c>
      <c r="E941" t="inlineStr">
        <is>
          <t>South Region</t>
        </is>
      </c>
      <c r="F941" t="inlineStr">
        <is>
          <t>Rep_07</t>
        </is>
      </c>
      <c r="G941" t="n">
        <v>1.89</v>
      </c>
      <c r="H941" t="inlineStr">
        <is>
          <t>Contacted</t>
        </is>
      </c>
      <c r="I941" t="inlineStr">
        <is>
          <t>Open</t>
        </is>
      </c>
      <c r="M941">
        <f>VLOOKUP(H941,'Stage Order'!$A$2:$B$8,2,FALSE)</f>
        <v/>
      </c>
      <c r="N941">
        <f>IF(G941&lt;=1,"1. Under 1 hour",IF(G941&lt;=24,"2. 1-24 hours",IF(G941&lt;=72,"3. 1-3 days","4. Over 3 days")))</f>
        <v/>
      </c>
      <c r="O941">
        <f>TEXT(B941,"YYYY-MM")</f>
        <v/>
      </c>
    </row>
    <row r="942">
      <c r="A942" t="inlineStr">
        <is>
          <t>LD-300940</t>
        </is>
      </c>
      <c r="B942" t="inlineStr">
        <is>
          <t>2025-10-27 16:45:00</t>
        </is>
      </c>
      <c r="C942" t="inlineStr">
        <is>
          <t>Organic Search</t>
        </is>
      </c>
      <c r="D942" t="inlineStr">
        <is>
          <t>Competitive Exam Prep</t>
        </is>
      </c>
      <c r="E942" t="inlineStr">
        <is>
          <t>North Region</t>
        </is>
      </c>
      <c r="F942" t="inlineStr">
        <is>
          <t>Rep_06</t>
        </is>
      </c>
      <c r="G942" t="n">
        <v>2.29</v>
      </c>
      <c r="H942" t="inlineStr">
        <is>
          <t>Contacted</t>
        </is>
      </c>
      <c r="I942" t="inlineStr">
        <is>
          <t>Open</t>
        </is>
      </c>
      <c r="M942">
        <f>VLOOKUP(H942,'Stage Order'!$A$2:$B$8,2,FALSE)</f>
        <v/>
      </c>
      <c r="N942">
        <f>IF(G942&lt;=1,"1. Under 1 hour",IF(G942&lt;=24,"2. 1-24 hours",IF(G942&lt;=72,"3. 1-3 days","4. Over 3 days")))</f>
        <v/>
      </c>
      <c r="O942">
        <f>TEXT(B942,"YYYY-MM")</f>
        <v/>
      </c>
    </row>
    <row r="943">
      <c r="A943" t="inlineStr">
        <is>
          <t>LD-300941</t>
        </is>
      </c>
      <c r="B943" t="inlineStr">
        <is>
          <t>2026-05-08 07:37:00</t>
        </is>
      </c>
      <c r="C943" t="inlineStr">
        <is>
          <t>Paid Search</t>
        </is>
      </c>
      <c r="D943" t="inlineStr">
        <is>
          <t>Study Abroad Prep</t>
        </is>
      </c>
      <c r="E943" t="inlineStr">
        <is>
          <t>East Region</t>
        </is>
      </c>
      <c r="F943" t="inlineStr">
        <is>
          <t>Rep_04</t>
        </is>
      </c>
      <c r="G943" t="n">
        <v>6.29</v>
      </c>
      <c r="H943" t="inlineStr">
        <is>
          <t>Proposal Sent</t>
        </is>
      </c>
      <c r="I943" t="inlineStr">
        <is>
          <t>Lost</t>
        </is>
      </c>
      <c r="J943" t="inlineStr">
        <is>
          <t>Price Objection</t>
        </is>
      </c>
      <c r="K943" t="n">
        <v>1681.41</v>
      </c>
      <c r="L943" t="inlineStr">
        <is>
          <t>2026-06-22 05:50:42.665312</t>
        </is>
      </c>
      <c r="M943">
        <f>VLOOKUP(H943,'Stage Order'!$A$2:$B$8,2,FALSE)</f>
        <v/>
      </c>
      <c r="N943">
        <f>IF(G943&lt;=1,"1. Under 1 hour",IF(G943&lt;=24,"2. 1-24 hours",IF(G943&lt;=72,"3. 1-3 days","4. Over 3 days")))</f>
        <v/>
      </c>
      <c r="O943">
        <f>TEXT(B943,"YYYY-MM")</f>
        <v/>
      </c>
    </row>
    <row r="944">
      <c r="A944" t="inlineStr">
        <is>
          <t>LD-300942</t>
        </is>
      </c>
      <c r="B944" t="inlineStr">
        <is>
          <t>2025-01-01 08:15:00</t>
        </is>
      </c>
      <c r="C944" t="inlineStr">
        <is>
          <t>Webinar</t>
        </is>
      </c>
      <c r="D944" t="inlineStr">
        <is>
          <t>Coding for Kids</t>
        </is>
      </c>
      <c r="E944" t="inlineStr">
        <is>
          <t>West Region</t>
        </is>
      </c>
      <c r="F944" t="inlineStr">
        <is>
          <t>Rep_13</t>
        </is>
      </c>
      <c r="G944" t="n">
        <v>6.19</v>
      </c>
      <c r="H944" t="inlineStr">
        <is>
          <t>Contacted</t>
        </is>
      </c>
      <c r="I944" t="inlineStr">
        <is>
          <t>Open</t>
        </is>
      </c>
      <c r="M944">
        <f>VLOOKUP(H944,'Stage Order'!$A$2:$B$8,2,FALSE)</f>
        <v/>
      </c>
      <c r="N944">
        <f>IF(G944&lt;=1,"1. Under 1 hour",IF(G944&lt;=24,"2. 1-24 hours",IF(G944&lt;=72,"3. 1-3 days","4. Over 3 days")))</f>
        <v/>
      </c>
      <c r="O944">
        <f>TEXT(B944,"YYYY-MM")</f>
        <v/>
      </c>
    </row>
    <row r="945">
      <c r="A945" t="inlineStr">
        <is>
          <t>LD-300943</t>
        </is>
      </c>
      <c r="B945" t="inlineStr">
        <is>
          <t>2026-03-18 10:28:00</t>
        </is>
      </c>
      <c r="C945" t="inlineStr">
        <is>
          <t>Paid Search</t>
        </is>
      </c>
      <c r="D945" t="inlineStr">
        <is>
          <t>K-12 Math</t>
        </is>
      </c>
      <c r="E945" t="inlineStr">
        <is>
          <t>East Region</t>
        </is>
      </c>
      <c r="F945" t="inlineStr">
        <is>
          <t>Rep_09</t>
        </is>
      </c>
      <c r="G945" t="n">
        <v>1.85</v>
      </c>
      <c r="H945" t="inlineStr">
        <is>
          <t>Closed</t>
        </is>
      </c>
      <c r="I945" t="inlineStr">
        <is>
          <t>Won</t>
        </is>
      </c>
      <c r="K945" t="n">
        <v>503.65</v>
      </c>
      <c r="L945" t="inlineStr">
        <is>
          <t>2026-04-18 11:07:12.922398</t>
        </is>
      </c>
      <c r="M945">
        <f>VLOOKUP(H945,'Stage Order'!$A$2:$B$8,2,FALSE)</f>
        <v/>
      </c>
      <c r="N945">
        <f>IF(G945&lt;=1,"1. Under 1 hour",IF(G945&lt;=24,"2. 1-24 hours",IF(G945&lt;=72,"3. 1-3 days","4. Over 3 days")))</f>
        <v/>
      </c>
      <c r="O945">
        <f>TEXT(B945,"YYYY-MM")</f>
        <v/>
      </c>
    </row>
    <row r="946">
      <c r="A946" t="inlineStr">
        <is>
          <t>LD-300944</t>
        </is>
      </c>
      <c r="B946" t="inlineStr">
        <is>
          <t>2025-08-23 07:21:00</t>
        </is>
      </c>
      <c r="C946" t="inlineStr">
        <is>
          <t>Organic Search</t>
        </is>
      </c>
      <c r="D946" t="inlineStr">
        <is>
          <t>Language Learning</t>
        </is>
      </c>
      <c r="E946" t="inlineStr">
        <is>
          <t>West Region</t>
        </is>
      </c>
      <c r="F946" t="inlineStr">
        <is>
          <t>Rep_13</t>
        </is>
      </c>
      <c r="G946" t="n">
        <v>19.37</v>
      </c>
      <c r="H946" t="inlineStr">
        <is>
          <t>Contacted</t>
        </is>
      </c>
      <c r="I946" t="inlineStr">
        <is>
          <t>Open</t>
        </is>
      </c>
      <c r="M946">
        <f>VLOOKUP(H946,'Stage Order'!$A$2:$B$8,2,FALSE)</f>
        <v/>
      </c>
      <c r="N946">
        <f>IF(G946&lt;=1,"1. Under 1 hour",IF(G946&lt;=24,"2. 1-24 hours",IF(G946&lt;=72,"3. 1-3 days","4. Over 3 days")))</f>
        <v/>
      </c>
      <c r="O946">
        <f>TEXT(B946,"YYYY-MM")</f>
        <v/>
      </c>
    </row>
    <row r="947">
      <c r="A947" t="inlineStr">
        <is>
          <t>LD-300945</t>
        </is>
      </c>
      <c r="B947" t="inlineStr">
        <is>
          <t>2026-04-07 18:44:00</t>
        </is>
      </c>
      <c r="C947" t="inlineStr">
        <is>
          <t>Cold Outreach</t>
        </is>
      </c>
      <c r="D947" t="inlineStr">
        <is>
          <t>K-12 Math</t>
        </is>
      </c>
      <c r="E947" t="inlineStr">
        <is>
          <t>East Region</t>
        </is>
      </c>
      <c r="F947" t="inlineStr">
        <is>
          <t>Rep_14</t>
        </is>
      </c>
      <c r="G947" t="n">
        <v>3.81</v>
      </c>
      <c r="H947" t="inlineStr">
        <is>
          <t>Demo Scheduled</t>
        </is>
      </c>
      <c r="I947" t="inlineStr">
        <is>
          <t>Open</t>
        </is>
      </c>
      <c r="M947">
        <f>VLOOKUP(H947,'Stage Order'!$A$2:$B$8,2,FALSE)</f>
        <v/>
      </c>
      <c r="N947">
        <f>IF(G947&lt;=1,"1. Under 1 hour",IF(G947&lt;=24,"2. 1-24 hours",IF(G947&lt;=72,"3. 1-3 days","4. Over 3 days")))</f>
        <v/>
      </c>
      <c r="O947">
        <f>TEXT(B947,"YYYY-MM")</f>
        <v/>
      </c>
    </row>
    <row r="948">
      <c r="A948" t="inlineStr">
        <is>
          <t>LD-300946</t>
        </is>
      </c>
      <c r="B948" t="inlineStr">
        <is>
          <t>2026-05-29 14:55:00</t>
        </is>
      </c>
      <c r="C948" t="inlineStr">
        <is>
          <t>Paid Search</t>
        </is>
      </c>
      <c r="D948" t="inlineStr">
        <is>
          <t>K-12 Math</t>
        </is>
      </c>
      <c r="E948" t="inlineStr">
        <is>
          <t>West Region</t>
        </is>
      </c>
      <c r="F948" t="inlineStr">
        <is>
          <t>Rep_13</t>
        </is>
      </c>
      <c r="G948" t="n">
        <v>6.45</v>
      </c>
      <c r="H948" t="inlineStr">
        <is>
          <t>Demo Scheduled</t>
        </is>
      </c>
      <c r="I948" t="inlineStr">
        <is>
          <t>Open</t>
        </is>
      </c>
      <c r="M948">
        <f>VLOOKUP(H948,'Stage Order'!$A$2:$B$8,2,FALSE)</f>
        <v/>
      </c>
      <c r="N948">
        <f>IF(G948&lt;=1,"1. Under 1 hour",IF(G948&lt;=24,"2. 1-24 hours",IF(G948&lt;=72,"3. 1-3 days","4. Over 3 days")))</f>
        <v/>
      </c>
      <c r="O948">
        <f>TEXT(B948,"YYYY-MM")</f>
        <v/>
      </c>
    </row>
    <row r="949">
      <c r="A949" t="inlineStr">
        <is>
          <t>LD-300947</t>
        </is>
      </c>
      <c r="B949" t="inlineStr">
        <is>
          <t>2025-01-06 20:59:00</t>
        </is>
      </c>
      <c r="C949" t="inlineStr">
        <is>
          <t>Cold Outreach</t>
        </is>
      </c>
      <c r="D949" t="inlineStr">
        <is>
          <t>K-12 Math</t>
        </is>
      </c>
      <c r="E949" t="inlineStr">
        <is>
          <t>West Region</t>
        </is>
      </c>
      <c r="F949" t="inlineStr">
        <is>
          <t>Rep_08</t>
        </is>
      </c>
      <c r="G949" t="n">
        <v>2.14</v>
      </c>
      <c r="H949" t="inlineStr">
        <is>
          <t>Contacted</t>
        </is>
      </c>
      <c r="I949" t="inlineStr">
        <is>
          <t>Open</t>
        </is>
      </c>
      <c r="M949">
        <f>VLOOKUP(H949,'Stage Order'!$A$2:$B$8,2,FALSE)</f>
        <v/>
      </c>
      <c r="N949">
        <f>IF(G949&lt;=1,"1. Under 1 hour",IF(G949&lt;=24,"2. 1-24 hours",IF(G949&lt;=72,"3. 1-3 days","4. Over 3 days")))</f>
        <v/>
      </c>
      <c r="O949">
        <f>TEXT(B949,"YYYY-MM")</f>
        <v/>
      </c>
    </row>
    <row r="950">
      <c r="A950" t="inlineStr">
        <is>
          <t>LD-300948</t>
        </is>
      </c>
      <c r="B950" t="inlineStr">
        <is>
          <t>2025-07-18 08:56:00</t>
        </is>
      </c>
      <c r="C950" t="inlineStr">
        <is>
          <t>Paid Search</t>
        </is>
      </c>
      <c r="D950" t="inlineStr">
        <is>
          <t>K-12 Math</t>
        </is>
      </c>
      <c r="E950" t="inlineStr">
        <is>
          <t>North Region</t>
        </is>
      </c>
      <c r="F950" t="inlineStr">
        <is>
          <t>Rep_01</t>
        </is>
      </c>
      <c r="G950" t="n">
        <v>2.13</v>
      </c>
      <c r="H950" t="inlineStr">
        <is>
          <t>Contacted</t>
        </is>
      </c>
      <c r="I950" t="inlineStr">
        <is>
          <t>Open</t>
        </is>
      </c>
      <c r="M950">
        <f>VLOOKUP(H950,'Stage Order'!$A$2:$B$8,2,FALSE)</f>
        <v/>
      </c>
      <c r="N950">
        <f>IF(G950&lt;=1,"1. Under 1 hour",IF(G950&lt;=24,"2. 1-24 hours",IF(G950&lt;=72,"3. 1-3 days","4. Over 3 days")))</f>
        <v/>
      </c>
      <c r="O950">
        <f>TEXT(B950,"YYYY-MM")</f>
        <v/>
      </c>
    </row>
    <row r="951">
      <c r="A951" t="inlineStr">
        <is>
          <t>LD-300949</t>
        </is>
      </c>
      <c r="B951" t="inlineStr">
        <is>
          <t>2025-02-07 11:21:00</t>
        </is>
      </c>
      <c r="C951" t="inlineStr">
        <is>
          <t>Social Media</t>
        </is>
      </c>
      <c r="D951" t="inlineStr">
        <is>
          <t>K-12 Math</t>
        </is>
      </c>
      <c r="E951" t="inlineStr">
        <is>
          <t>West Region</t>
        </is>
      </c>
      <c r="F951" t="inlineStr">
        <is>
          <t>Rep_08</t>
        </is>
      </c>
      <c r="G951" t="n">
        <v>7.97</v>
      </c>
      <c r="H951" t="inlineStr">
        <is>
          <t>Contacted</t>
        </is>
      </c>
      <c r="I951" t="inlineStr">
        <is>
          <t>Open</t>
        </is>
      </c>
      <c r="M951">
        <f>VLOOKUP(H951,'Stage Order'!$A$2:$B$8,2,FALSE)</f>
        <v/>
      </c>
      <c r="N951">
        <f>IF(G951&lt;=1,"1. Under 1 hour",IF(G951&lt;=24,"2. 1-24 hours",IF(G951&lt;=72,"3. 1-3 days","4. Over 3 days")))</f>
        <v/>
      </c>
      <c r="O951">
        <f>TEXT(B951,"YYYY-MM")</f>
        <v/>
      </c>
    </row>
    <row r="952">
      <c r="A952" t="inlineStr">
        <is>
          <t>LD-300950</t>
        </is>
      </c>
      <c r="B952" t="inlineStr">
        <is>
          <t>2025-09-28 13:23:00</t>
        </is>
      </c>
      <c r="C952" t="inlineStr">
        <is>
          <t>Social Media</t>
        </is>
      </c>
      <c r="D952" t="inlineStr">
        <is>
          <t>Competitive Exam Prep</t>
        </is>
      </c>
      <c r="E952" t="inlineStr">
        <is>
          <t>West Region</t>
        </is>
      </c>
      <c r="F952" t="inlineStr">
        <is>
          <t>Rep_08</t>
        </is>
      </c>
      <c r="G952" t="n">
        <v>0.65</v>
      </c>
      <c r="H952" t="inlineStr">
        <is>
          <t>Contacted</t>
        </is>
      </c>
      <c r="I952" t="inlineStr">
        <is>
          <t>Open</t>
        </is>
      </c>
      <c r="M952">
        <f>VLOOKUP(H952,'Stage Order'!$A$2:$B$8,2,FALSE)</f>
        <v/>
      </c>
      <c r="N952">
        <f>IF(G952&lt;=1,"1. Under 1 hour",IF(G952&lt;=24,"2. 1-24 hours",IF(G952&lt;=72,"3. 1-3 days","4. Over 3 days")))</f>
        <v/>
      </c>
      <c r="O952">
        <f>TEXT(B952,"YYYY-MM")</f>
        <v/>
      </c>
    </row>
    <row r="953">
      <c r="A953" t="inlineStr">
        <is>
          <t>LD-300951</t>
        </is>
      </c>
      <c r="B953" t="inlineStr">
        <is>
          <t>2025-08-10 09:43:00</t>
        </is>
      </c>
      <c r="C953" t="inlineStr">
        <is>
          <t>Organic Search</t>
        </is>
      </c>
      <c r="D953" t="inlineStr">
        <is>
          <t>K-12 Math</t>
        </is>
      </c>
      <c r="E953" t="inlineStr">
        <is>
          <t>South Region</t>
        </is>
      </c>
      <c r="F953" t="inlineStr">
        <is>
          <t>Rep_07</t>
        </is>
      </c>
      <c r="G953" t="n">
        <v>22.03</v>
      </c>
      <c r="H953" t="inlineStr">
        <is>
          <t>Contacted</t>
        </is>
      </c>
      <c r="I953" t="inlineStr">
        <is>
          <t>Open</t>
        </is>
      </c>
      <c r="M953">
        <f>VLOOKUP(H953,'Stage Order'!$A$2:$B$8,2,FALSE)</f>
        <v/>
      </c>
      <c r="N953">
        <f>IF(G953&lt;=1,"1. Under 1 hour",IF(G953&lt;=24,"2. 1-24 hours",IF(G953&lt;=72,"3. 1-3 days","4. Over 3 days")))</f>
        <v/>
      </c>
      <c r="O953">
        <f>TEXT(B953,"YYYY-MM")</f>
        <v/>
      </c>
    </row>
    <row r="954">
      <c r="A954" t="inlineStr">
        <is>
          <t>LD-300952</t>
        </is>
      </c>
      <c r="B954" t="inlineStr">
        <is>
          <t>2026-02-20 18:37:00</t>
        </is>
      </c>
      <c r="C954" t="inlineStr">
        <is>
          <t>Social Media</t>
        </is>
      </c>
      <c r="D954" t="inlineStr">
        <is>
          <t>Language Learning</t>
        </is>
      </c>
      <c r="E954" t="inlineStr">
        <is>
          <t>South Region</t>
        </is>
      </c>
      <c r="F954" t="inlineStr">
        <is>
          <t>Rep_02</t>
        </is>
      </c>
      <c r="G954" t="n">
        <v>6.35</v>
      </c>
      <c r="H954" t="inlineStr">
        <is>
          <t>Contacted</t>
        </is>
      </c>
      <c r="I954" t="inlineStr">
        <is>
          <t>Open</t>
        </is>
      </c>
      <c r="M954">
        <f>VLOOKUP(H954,'Stage Order'!$A$2:$B$8,2,FALSE)</f>
        <v/>
      </c>
      <c r="N954">
        <f>IF(G954&lt;=1,"1. Under 1 hour",IF(G954&lt;=24,"2. 1-24 hours",IF(G954&lt;=72,"3. 1-3 days","4. Over 3 days")))</f>
        <v/>
      </c>
      <c r="O954">
        <f>TEXT(B954,"YYYY-MM")</f>
        <v/>
      </c>
    </row>
    <row r="955">
      <c r="A955" t="inlineStr">
        <is>
          <t>LD-300953</t>
        </is>
      </c>
      <c r="B955" t="inlineStr">
        <is>
          <t>2026-01-26 17:39:00</t>
        </is>
      </c>
      <c r="C955" t="inlineStr">
        <is>
          <t>Webinar</t>
        </is>
      </c>
      <c r="D955" t="inlineStr">
        <is>
          <t>Coding for Kids</t>
        </is>
      </c>
      <c r="E955" t="inlineStr">
        <is>
          <t>South Region</t>
        </is>
      </c>
      <c r="F955" t="inlineStr">
        <is>
          <t>Rep_12</t>
        </is>
      </c>
      <c r="G955" t="n">
        <v>2.27</v>
      </c>
      <c r="H955" t="inlineStr">
        <is>
          <t>Closed</t>
        </is>
      </c>
      <c r="I955" t="inlineStr">
        <is>
          <t>Won</t>
        </is>
      </c>
      <c r="K955" t="n">
        <v>615.28</v>
      </c>
      <c r="L955" t="inlineStr">
        <is>
          <t>2026-03-09 03:47:32.405409</t>
        </is>
      </c>
      <c r="M955">
        <f>VLOOKUP(H955,'Stage Order'!$A$2:$B$8,2,FALSE)</f>
        <v/>
      </c>
      <c r="N955">
        <f>IF(G955&lt;=1,"1. Under 1 hour",IF(G955&lt;=24,"2. 1-24 hours",IF(G955&lt;=72,"3. 1-3 days","4. Over 3 days")))</f>
        <v/>
      </c>
      <c r="O955">
        <f>TEXT(B955,"YYYY-MM")</f>
        <v/>
      </c>
    </row>
    <row r="956">
      <c r="A956" t="inlineStr">
        <is>
          <t>LD-300954</t>
        </is>
      </c>
      <c r="B956" t="inlineStr">
        <is>
          <t>2025-10-29 10:09:00</t>
        </is>
      </c>
      <c r="C956" t="inlineStr">
        <is>
          <t>Organic Search</t>
        </is>
      </c>
      <c r="D956" t="inlineStr">
        <is>
          <t>Language Learning</t>
        </is>
      </c>
      <c r="E956" t="inlineStr">
        <is>
          <t>West Region</t>
        </is>
      </c>
      <c r="F956" t="inlineStr">
        <is>
          <t>Rep_03</t>
        </is>
      </c>
      <c r="G956" t="n">
        <v>6.24</v>
      </c>
      <c r="H956" t="inlineStr">
        <is>
          <t>Negotiation</t>
        </is>
      </c>
      <c r="I956" t="inlineStr">
        <is>
          <t>Lost</t>
        </is>
      </c>
      <c r="J956" t="inlineStr">
        <is>
          <t>Went With Competitor</t>
        </is>
      </c>
      <c r="K956" t="n">
        <v>404.03</v>
      </c>
      <c r="L956" t="inlineStr">
        <is>
          <t>2025-12-03 22:51:31.228901</t>
        </is>
      </c>
      <c r="M956">
        <f>VLOOKUP(H956,'Stage Order'!$A$2:$B$8,2,FALSE)</f>
        <v/>
      </c>
      <c r="N956">
        <f>IF(G956&lt;=1,"1. Under 1 hour",IF(G956&lt;=24,"2. 1-24 hours",IF(G956&lt;=72,"3. 1-3 days","4. Over 3 days")))</f>
        <v/>
      </c>
      <c r="O956">
        <f>TEXT(B956,"YYYY-MM")</f>
        <v/>
      </c>
    </row>
    <row r="957">
      <c r="A957" t="inlineStr">
        <is>
          <t>LD-300955</t>
        </is>
      </c>
      <c r="B957" t="inlineStr">
        <is>
          <t>2025-05-16 12:13:00</t>
        </is>
      </c>
      <c r="C957" t="inlineStr">
        <is>
          <t>Webinar</t>
        </is>
      </c>
      <c r="D957" t="inlineStr">
        <is>
          <t>K-12 Math</t>
        </is>
      </c>
      <c r="E957" t="inlineStr">
        <is>
          <t>East Region</t>
        </is>
      </c>
      <c r="F957" t="inlineStr">
        <is>
          <t>Rep_09</t>
        </is>
      </c>
      <c r="G957" t="n">
        <v>0.6899999999999999</v>
      </c>
      <c r="H957" t="inlineStr">
        <is>
          <t>Contacted</t>
        </is>
      </c>
      <c r="I957" t="inlineStr">
        <is>
          <t>Open</t>
        </is>
      </c>
      <c r="M957">
        <f>VLOOKUP(H957,'Stage Order'!$A$2:$B$8,2,FALSE)</f>
        <v/>
      </c>
      <c r="N957">
        <f>IF(G957&lt;=1,"1. Under 1 hour",IF(G957&lt;=24,"2. 1-24 hours",IF(G957&lt;=72,"3. 1-3 days","4. Over 3 days")))</f>
        <v/>
      </c>
      <c r="O957">
        <f>TEXT(B957,"YYYY-MM")</f>
        <v/>
      </c>
    </row>
    <row r="958">
      <c r="A958" t="inlineStr">
        <is>
          <t>LD-300956</t>
        </is>
      </c>
      <c r="B958" t="inlineStr">
        <is>
          <t>2026-03-24 18:11:00</t>
        </is>
      </c>
      <c r="C958" t="inlineStr">
        <is>
          <t>Organic Search</t>
        </is>
      </c>
      <c r="D958" t="inlineStr">
        <is>
          <t>K-12 Math</t>
        </is>
      </c>
      <c r="E958" t="inlineStr">
        <is>
          <t>South Region</t>
        </is>
      </c>
      <c r="F958" t="inlineStr">
        <is>
          <t>Rep_12</t>
        </is>
      </c>
      <c r="G958" t="n">
        <v>8.029999999999999</v>
      </c>
      <c r="H958" t="inlineStr">
        <is>
          <t>Contacted</t>
        </is>
      </c>
      <c r="I958" t="inlineStr">
        <is>
          <t>Open</t>
        </is>
      </c>
      <c r="M958">
        <f>VLOOKUP(H958,'Stage Order'!$A$2:$B$8,2,FALSE)</f>
        <v/>
      </c>
      <c r="N958">
        <f>IF(G958&lt;=1,"1. Under 1 hour",IF(G958&lt;=24,"2. 1-24 hours",IF(G958&lt;=72,"3. 1-3 days","4. Over 3 days")))</f>
        <v/>
      </c>
      <c r="O958">
        <f>TEXT(B958,"YYYY-MM")</f>
        <v/>
      </c>
    </row>
    <row r="959">
      <c r="A959" t="inlineStr">
        <is>
          <t>LD-300957</t>
        </is>
      </c>
      <c r="B959" t="inlineStr">
        <is>
          <t>2026-03-10 11:11:00</t>
        </is>
      </c>
      <c r="C959" t="inlineStr">
        <is>
          <t>Referral</t>
        </is>
      </c>
      <c r="D959" t="inlineStr">
        <is>
          <t>K-12 Math</t>
        </is>
      </c>
      <c r="E959" t="inlineStr">
        <is>
          <t>North Region</t>
        </is>
      </c>
      <c r="F959" t="inlineStr">
        <is>
          <t>Rep_01</t>
        </is>
      </c>
      <c r="G959" t="n">
        <v>0.5600000000000001</v>
      </c>
      <c r="H959" t="inlineStr">
        <is>
          <t>Closed</t>
        </is>
      </c>
      <c r="I959" t="inlineStr">
        <is>
          <t>Won</t>
        </is>
      </c>
      <c r="K959" t="n">
        <v>428.99</v>
      </c>
      <c r="L959" t="inlineStr">
        <is>
          <t>2026-04-16 03:11:51.114495</t>
        </is>
      </c>
      <c r="M959">
        <f>VLOOKUP(H959,'Stage Order'!$A$2:$B$8,2,FALSE)</f>
        <v/>
      </c>
      <c r="N959">
        <f>IF(G959&lt;=1,"1. Under 1 hour",IF(G959&lt;=24,"2. 1-24 hours",IF(G959&lt;=72,"3. 1-3 days","4. Over 3 days")))</f>
        <v/>
      </c>
      <c r="O959">
        <f>TEXT(B959,"YYYY-MM")</f>
        <v/>
      </c>
    </row>
    <row r="960">
      <c r="A960" t="inlineStr">
        <is>
          <t>LD-300958</t>
        </is>
      </c>
      <c r="B960" t="inlineStr">
        <is>
          <t>2026-06-19 16:53:00</t>
        </is>
      </c>
      <c r="C960" t="inlineStr">
        <is>
          <t>Social Media</t>
        </is>
      </c>
      <c r="D960" t="inlineStr">
        <is>
          <t>K-12 Math</t>
        </is>
      </c>
      <c r="E960" t="inlineStr">
        <is>
          <t>East Region</t>
        </is>
      </c>
      <c r="F960" t="inlineStr">
        <is>
          <t>Rep_04</t>
        </is>
      </c>
      <c r="G960" t="n">
        <v>14.23</v>
      </c>
      <c r="H960" t="inlineStr">
        <is>
          <t>Lead</t>
        </is>
      </c>
      <c r="I960" t="inlineStr">
        <is>
          <t>Open</t>
        </is>
      </c>
      <c r="M960">
        <f>VLOOKUP(H960,'Stage Order'!$A$2:$B$8,2,FALSE)</f>
        <v/>
      </c>
      <c r="N960">
        <f>IF(G960&lt;=1,"1. Under 1 hour",IF(G960&lt;=24,"2. 1-24 hours",IF(G960&lt;=72,"3. 1-3 days","4. Over 3 days")))</f>
        <v/>
      </c>
      <c r="O960">
        <f>TEXT(B960,"YYYY-MM")</f>
        <v/>
      </c>
    </row>
    <row r="961">
      <c r="A961" t="inlineStr">
        <is>
          <t>LD-300959</t>
        </is>
      </c>
      <c r="B961" t="inlineStr">
        <is>
          <t>2026-05-12 16:05:00</t>
        </is>
      </c>
      <c r="C961" t="inlineStr">
        <is>
          <t>Organic Search</t>
        </is>
      </c>
      <c r="D961" t="inlineStr">
        <is>
          <t>K-12 Math</t>
        </is>
      </c>
      <c r="E961" t="inlineStr">
        <is>
          <t>South Region</t>
        </is>
      </c>
      <c r="F961" t="inlineStr">
        <is>
          <t>Rep_07</t>
        </is>
      </c>
      <c r="G961" t="n">
        <v>2.45</v>
      </c>
      <c r="H961" t="inlineStr">
        <is>
          <t>Contacted</t>
        </is>
      </c>
      <c r="I961" t="inlineStr">
        <is>
          <t>Open</t>
        </is>
      </c>
      <c r="M961">
        <f>VLOOKUP(H961,'Stage Order'!$A$2:$B$8,2,FALSE)</f>
        <v/>
      </c>
      <c r="N961">
        <f>IF(G961&lt;=1,"1. Under 1 hour",IF(G961&lt;=24,"2. 1-24 hours",IF(G961&lt;=72,"3. 1-3 days","4. Over 3 days")))</f>
        <v/>
      </c>
      <c r="O961">
        <f>TEXT(B961,"YYYY-MM")</f>
        <v/>
      </c>
    </row>
    <row r="962">
      <c r="A962" t="inlineStr">
        <is>
          <t>LD-300960</t>
        </is>
      </c>
      <c r="B962" t="inlineStr">
        <is>
          <t>2025-06-11 08:31:00</t>
        </is>
      </c>
      <c r="C962" t="inlineStr">
        <is>
          <t>Webinar</t>
        </is>
      </c>
      <c r="D962" t="inlineStr">
        <is>
          <t>K-12 Math</t>
        </is>
      </c>
      <c r="E962" t="inlineStr">
        <is>
          <t>South Region</t>
        </is>
      </c>
      <c r="F962" t="inlineStr">
        <is>
          <t>Rep_02</t>
        </is>
      </c>
      <c r="G962" t="n">
        <v>4.04</v>
      </c>
      <c r="H962" t="inlineStr">
        <is>
          <t>Contacted</t>
        </is>
      </c>
      <c r="I962" t="inlineStr">
        <is>
          <t>Open</t>
        </is>
      </c>
      <c r="M962">
        <f>VLOOKUP(H962,'Stage Order'!$A$2:$B$8,2,FALSE)</f>
        <v/>
      </c>
      <c r="N962">
        <f>IF(G962&lt;=1,"1. Under 1 hour",IF(G962&lt;=24,"2. 1-24 hours",IF(G962&lt;=72,"3. 1-3 days","4. Over 3 days")))</f>
        <v/>
      </c>
      <c r="O962">
        <f>TEXT(B962,"YYYY-MM")</f>
        <v/>
      </c>
    </row>
    <row r="963">
      <c r="A963" t="inlineStr">
        <is>
          <t>LD-300961</t>
        </is>
      </c>
      <c r="B963" t="inlineStr">
        <is>
          <t>2026-06-05 15:55:00</t>
        </is>
      </c>
      <c r="C963" t="inlineStr">
        <is>
          <t>Paid Search</t>
        </is>
      </c>
      <c r="D963" t="inlineStr">
        <is>
          <t>Coding for Kids</t>
        </is>
      </c>
      <c r="E963" t="inlineStr">
        <is>
          <t>West Region</t>
        </is>
      </c>
      <c r="F963" t="inlineStr">
        <is>
          <t>Rep_03</t>
        </is>
      </c>
      <c r="G963" t="n">
        <v>1.27</v>
      </c>
      <c r="H963" t="inlineStr">
        <is>
          <t>Demo Scheduled</t>
        </is>
      </c>
      <c r="I963" t="inlineStr">
        <is>
          <t>Open</t>
        </is>
      </c>
      <c r="M963">
        <f>VLOOKUP(H963,'Stage Order'!$A$2:$B$8,2,FALSE)</f>
        <v/>
      </c>
      <c r="N963">
        <f>IF(G963&lt;=1,"1. Under 1 hour",IF(G963&lt;=24,"2. 1-24 hours",IF(G963&lt;=72,"3. 1-3 days","4. Over 3 days")))</f>
        <v/>
      </c>
      <c r="O963">
        <f>TEXT(B963,"YYYY-MM")</f>
        <v/>
      </c>
    </row>
    <row r="964">
      <c r="A964" t="inlineStr">
        <is>
          <t>LD-300962</t>
        </is>
      </c>
      <c r="B964" t="inlineStr">
        <is>
          <t>2025-03-21 08:44:00</t>
        </is>
      </c>
      <c r="C964" t="inlineStr">
        <is>
          <t>Webinar</t>
        </is>
      </c>
      <c r="D964" t="inlineStr">
        <is>
          <t>Coding for Kids</t>
        </is>
      </c>
      <c r="E964" t="inlineStr">
        <is>
          <t>East Region</t>
        </is>
      </c>
      <c r="F964" t="inlineStr">
        <is>
          <t>Rep_04</t>
        </is>
      </c>
      <c r="G964" t="n">
        <v>11.42</v>
      </c>
      <c r="H964" t="inlineStr">
        <is>
          <t>Demo Completed</t>
        </is>
      </c>
      <c r="I964" t="inlineStr">
        <is>
          <t>Lost</t>
        </is>
      </c>
      <c r="J964" t="inlineStr">
        <is>
          <t>No Response / Ghosted</t>
        </is>
      </c>
      <c r="K964" t="n">
        <v>767.04</v>
      </c>
      <c r="L964" t="inlineStr">
        <is>
          <t>2025-04-22 09:50:06.628762</t>
        </is>
      </c>
      <c r="M964">
        <f>VLOOKUP(H964,'Stage Order'!$A$2:$B$8,2,FALSE)</f>
        <v/>
      </c>
      <c r="N964">
        <f>IF(G964&lt;=1,"1. Under 1 hour",IF(G964&lt;=24,"2. 1-24 hours",IF(G964&lt;=72,"3. 1-3 days","4. Over 3 days")))</f>
        <v/>
      </c>
      <c r="O964">
        <f>TEXT(B964,"YYYY-MM")</f>
        <v/>
      </c>
    </row>
    <row r="965">
      <c r="A965" t="inlineStr">
        <is>
          <t>LD-300963</t>
        </is>
      </c>
      <c r="B965" t="inlineStr">
        <is>
          <t>2025-06-09 20:31:00</t>
        </is>
      </c>
      <c r="C965" t="inlineStr">
        <is>
          <t>Partner Channel</t>
        </is>
      </c>
      <c r="D965" t="inlineStr">
        <is>
          <t>Coding for Kids</t>
        </is>
      </c>
      <c r="E965" t="inlineStr">
        <is>
          <t>South Region</t>
        </is>
      </c>
      <c r="F965" t="inlineStr">
        <is>
          <t>Rep_02</t>
        </is>
      </c>
      <c r="G965" t="n">
        <v>2.08</v>
      </c>
      <c r="H965" t="inlineStr">
        <is>
          <t>Negotiation</t>
        </is>
      </c>
      <c r="I965" t="inlineStr">
        <is>
          <t>Lost</t>
        </is>
      </c>
      <c r="J965" t="inlineStr">
        <is>
          <t>Price Objection</t>
        </is>
      </c>
      <c r="K965" t="n">
        <v>676.8099999999999</v>
      </c>
      <c r="L965" t="inlineStr">
        <is>
          <t>2025-08-01 13:08:32.428609</t>
        </is>
      </c>
      <c r="M965">
        <f>VLOOKUP(H965,'Stage Order'!$A$2:$B$8,2,FALSE)</f>
        <v/>
      </c>
      <c r="N965">
        <f>IF(G965&lt;=1,"1. Under 1 hour",IF(G965&lt;=24,"2. 1-24 hours",IF(G965&lt;=72,"3. 1-3 days","4. Over 3 days")))</f>
        <v/>
      </c>
      <c r="O965">
        <f>TEXT(B965,"YYYY-MM")</f>
        <v/>
      </c>
    </row>
    <row r="966">
      <c r="A966" t="inlineStr">
        <is>
          <t>LD-300964</t>
        </is>
      </c>
      <c r="B966" t="inlineStr">
        <is>
          <t>2025-04-04 08:52:00</t>
        </is>
      </c>
      <c r="C966" t="inlineStr">
        <is>
          <t>Paid Search</t>
        </is>
      </c>
      <c r="D966" t="inlineStr">
        <is>
          <t>Language Learning</t>
        </is>
      </c>
      <c r="E966" t="inlineStr">
        <is>
          <t>South Region</t>
        </is>
      </c>
      <c r="F966" t="inlineStr">
        <is>
          <t>Rep_02</t>
        </is>
      </c>
      <c r="G966" t="n">
        <v>0.53</v>
      </c>
      <c r="H966" t="inlineStr">
        <is>
          <t>Negotiation</t>
        </is>
      </c>
      <c r="I966" t="inlineStr">
        <is>
          <t>Lost</t>
        </is>
      </c>
      <c r="J966" t="inlineStr">
        <is>
          <t>Bad Timing</t>
        </is>
      </c>
      <c r="K966" t="n">
        <v>396.72</v>
      </c>
      <c r="L966" t="inlineStr">
        <is>
          <t>2025-05-17 11:07:34.275796</t>
        </is>
      </c>
      <c r="M966">
        <f>VLOOKUP(H966,'Stage Order'!$A$2:$B$8,2,FALSE)</f>
        <v/>
      </c>
      <c r="N966">
        <f>IF(G966&lt;=1,"1. Under 1 hour",IF(G966&lt;=24,"2. 1-24 hours",IF(G966&lt;=72,"3. 1-3 days","4. Over 3 days")))</f>
        <v/>
      </c>
      <c r="O966">
        <f>TEXT(B966,"YYYY-MM")</f>
        <v/>
      </c>
    </row>
    <row r="967">
      <c r="A967" t="inlineStr">
        <is>
          <t>LD-300965</t>
        </is>
      </c>
      <c r="B967" t="inlineStr">
        <is>
          <t>2026-05-13 17:46:00</t>
        </is>
      </c>
      <c r="C967" t="inlineStr">
        <is>
          <t>Webinar</t>
        </is>
      </c>
      <c r="D967" t="inlineStr">
        <is>
          <t>Competitive Exam Prep</t>
        </is>
      </c>
      <c r="E967" t="inlineStr">
        <is>
          <t>North Region</t>
        </is>
      </c>
      <c r="F967" t="inlineStr">
        <is>
          <t>Rep_11</t>
        </is>
      </c>
      <c r="G967" t="n">
        <v>4.15</v>
      </c>
      <c r="H967" t="inlineStr">
        <is>
          <t>Contacted</t>
        </is>
      </c>
      <c r="I967" t="inlineStr">
        <is>
          <t>Open</t>
        </is>
      </c>
      <c r="M967">
        <f>VLOOKUP(H967,'Stage Order'!$A$2:$B$8,2,FALSE)</f>
        <v/>
      </c>
      <c r="N967">
        <f>IF(G967&lt;=1,"1. Under 1 hour",IF(G967&lt;=24,"2. 1-24 hours",IF(G967&lt;=72,"3. 1-3 days","4. Over 3 days")))</f>
        <v/>
      </c>
      <c r="O967">
        <f>TEXT(B967,"YYYY-MM")</f>
        <v/>
      </c>
    </row>
    <row r="968">
      <c r="A968" t="inlineStr">
        <is>
          <t>LD-300966</t>
        </is>
      </c>
      <c r="B968" t="inlineStr">
        <is>
          <t>2025-08-04 13:45:00</t>
        </is>
      </c>
      <c r="C968" t="inlineStr">
        <is>
          <t>Organic Search</t>
        </is>
      </c>
      <c r="D968" t="inlineStr">
        <is>
          <t>K-12 Math</t>
        </is>
      </c>
      <c r="E968" t="inlineStr">
        <is>
          <t>North Region</t>
        </is>
      </c>
      <c r="F968" t="inlineStr">
        <is>
          <t>Rep_11</t>
        </is>
      </c>
      <c r="G968" t="n">
        <v>1.51</v>
      </c>
      <c r="H968" t="inlineStr">
        <is>
          <t>Closed</t>
        </is>
      </c>
      <c r="I968" t="inlineStr">
        <is>
          <t>Won</t>
        </is>
      </c>
      <c r="K968" t="n">
        <v>454.28</v>
      </c>
      <c r="L968" t="inlineStr">
        <is>
          <t>2025-09-07 09:16:26.376572</t>
        </is>
      </c>
      <c r="M968">
        <f>VLOOKUP(H968,'Stage Order'!$A$2:$B$8,2,FALSE)</f>
        <v/>
      </c>
      <c r="N968">
        <f>IF(G968&lt;=1,"1. Under 1 hour",IF(G968&lt;=24,"2. 1-24 hours",IF(G968&lt;=72,"3. 1-3 days","4. Over 3 days")))</f>
        <v/>
      </c>
      <c r="O968">
        <f>TEXT(B968,"YYYY-MM")</f>
        <v/>
      </c>
    </row>
    <row r="969">
      <c r="A969" t="inlineStr">
        <is>
          <t>LD-300967</t>
        </is>
      </c>
      <c r="B969" t="inlineStr">
        <is>
          <t>2026-03-02 17:51:00</t>
        </is>
      </c>
      <c r="C969" t="inlineStr">
        <is>
          <t>Webinar</t>
        </is>
      </c>
      <c r="D969" t="inlineStr">
        <is>
          <t>K-12 Math</t>
        </is>
      </c>
      <c r="E969" t="inlineStr">
        <is>
          <t>East Region</t>
        </is>
      </c>
      <c r="F969" t="inlineStr">
        <is>
          <t>Rep_09</t>
        </is>
      </c>
      <c r="G969" t="n">
        <v>3.47</v>
      </c>
      <c r="H969" t="inlineStr">
        <is>
          <t>Contacted</t>
        </is>
      </c>
      <c r="I969" t="inlineStr">
        <is>
          <t>Open</t>
        </is>
      </c>
      <c r="M969">
        <f>VLOOKUP(H969,'Stage Order'!$A$2:$B$8,2,FALSE)</f>
        <v/>
      </c>
      <c r="N969">
        <f>IF(G969&lt;=1,"1. Under 1 hour",IF(G969&lt;=24,"2. 1-24 hours",IF(G969&lt;=72,"3. 1-3 days","4. Over 3 days")))</f>
        <v/>
      </c>
      <c r="O969">
        <f>TEXT(B969,"YYYY-MM")</f>
        <v/>
      </c>
    </row>
    <row r="970">
      <c r="A970" t="inlineStr">
        <is>
          <t>LD-300968</t>
        </is>
      </c>
      <c r="B970" t="inlineStr">
        <is>
          <t>2026-06-26 17:48:00</t>
        </is>
      </c>
      <c r="C970" t="inlineStr">
        <is>
          <t>Referral</t>
        </is>
      </c>
      <c r="D970" t="inlineStr">
        <is>
          <t>Competitive Exam Prep</t>
        </is>
      </c>
      <c r="E970" t="inlineStr">
        <is>
          <t>East Region</t>
        </is>
      </c>
      <c r="F970" t="inlineStr">
        <is>
          <t>Rep_09</t>
        </is>
      </c>
      <c r="G970" t="n">
        <v>5.39</v>
      </c>
      <c r="H970" t="inlineStr">
        <is>
          <t>Contacted</t>
        </is>
      </c>
      <c r="I970" t="inlineStr">
        <is>
          <t>Open</t>
        </is>
      </c>
      <c r="M970">
        <f>VLOOKUP(H970,'Stage Order'!$A$2:$B$8,2,FALSE)</f>
        <v/>
      </c>
      <c r="N970">
        <f>IF(G970&lt;=1,"1. Under 1 hour",IF(G970&lt;=24,"2. 1-24 hours",IF(G970&lt;=72,"3. 1-3 days","4. Over 3 days")))</f>
        <v/>
      </c>
      <c r="O970">
        <f>TEXT(B970,"YYYY-MM")</f>
        <v/>
      </c>
    </row>
    <row r="971">
      <c r="A971" t="inlineStr">
        <is>
          <t>LD-300969</t>
        </is>
      </c>
      <c r="B971" t="inlineStr">
        <is>
          <t>2025-10-02 08:26:00</t>
        </is>
      </c>
      <c r="C971" t="inlineStr">
        <is>
          <t>Paid Search</t>
        </is>
      </c>
      <c r="D971" t="inlineStr">
        <is>
          <t>Study Abroad Prep</t>
        </is>
      </c>
      <c r="E971" t="inlineStr">
        <is>
          <t>West Region</t>
        </is>
      </c>
      <c r="F971" t="inlineStr">
        <is>
          <t>Rep_03</t>
        </is>
      </c>
      <c r="G971" t="n">
        <v>5.68</v>
      </c>
      <c r="H971" t="inlineStr">
        <is>
          <t>Lead</t>
        </is>
      </c>
      <c r="I971" t="inlineStr">
        <is>
          <t>Open</t>
        </is>
      </c>
      <c r="M971">
        <f>VLOOKUP(H971,'Stage Order'!$A$2:$B$8,2,FALSE)</f>
        <v/>
      </c>
      <c r="N971">
        <f>IF(G971&lt;=1,"1. Under 1 hour",IF(G971&lt;=24,"2. 1-24 hours",IF(G971&lt;=72,"3. 1-3 days","4. Over 3 days")))</f>
        <v/>
      </c>
      <c r="O971">
        <f>TEXT(B971,"YYYY-MM")</f>
        <v/>
      </c>
    </row>
    <row r="972">
      <c r="A972" t="inlineStr">
        <is>
          <t>LD-300970</t>
        </is>
      </c>
      <c r="B972" t="inlineStr">
        <is>
          <t>2025-04-24 15:42:00</t>
        </is>
      </c>
      <c r="C972" t="inlineStr">
        <is>
          <t>Social Media</t>
        </is>
      </c>
      <c r="D972" t="inlineStr">
        <is>
          <t>Language Learning</t>
        </is>
      </c>
      <c r="E972" t="inlineStr">
        <is>
          <t>East Region</t>
        </is>
      </c>
      <c r="F972" t="inlineStr">
        <is>
          <t>Rep_04</t>
        </is>
      </c>
      <c r="G972" t="n">
        <v>4.72</v>
      </c>
      <c r="H972" t="inlineStr">
        <is>
          <t>Lead</t>
        </is>
      </c>
      <c r="I972" t="inlineStr">
        <is>
          <t>Open</t>
        </is>
      </c>
      <c r="M972">
        <f>VLOOKUP(H972,'Stage Order'!$A$2:$B$8,2,FALSE)</f>
        <v/>
      </c>
      <c r="N972">
        <f>IF(G972&lt;=1,"1. Under 1 hour",IF(G972&lt;=24,"2. 1-24 hours",IF(G972&lt;=72,"3. 1-3 days","4. Over 3 days")))</f>
        <v/>
      </c>
      <c r="O972">
        <f>TEXT(B972,"YYYY-MM")</f>
        <v/>
      </c>
    </row>
    <row r="973">
      <c r="A973" t="inlineStr">
        <is>
          <t>LD-300971</t>
        </is>
      </c>
      <c r="B973" t="inlineStr">
        <is>
          <t>2025-09-16 14:56:00</t>
        </is>
      </c>
      <c r="C973" t="inlineStr">
        <is>
          <t>Social Media</t>
        </is>
      </c>
      <c r="D973" t="inlineStr">
        <is>
          <t>Study Abroad Prep</t>
        </is>
      </c>
      <c r="E973" t="inlineStr">
        <is>
          <t>East Region</t>
        </is>
      </c>
      <c r="F973" t="inlineStr">
        <is>
          <t>Rep_04</t>
        </is>
      </c>
      <c r="G973" t="n">
        <v>6.74</v>
      </c>
      <c r="H973" t="inlineStr">
        <is>
          <t>Lead</t>
        </is>
      </c>
      <c r="I973" t="inlineStr">
        <is>
          <t>Open</t>
        </is>
      </c>
      <c r="M973">
        <f>VLOOKUP(H973,'Stage Order'!$A$2:$B$8,2,FALSE)</f>
        <v/>
      </c>
      <c r="N973">
        <f>IF(G973&lt;=1,"1. Under 1 hour",IF(G973&lt;=24,"2. 1-24 hours",IF(G973&lt;=72,"3. 1-3 days","4. Over 3 days")))</f>
        <v/>
      </c>
      <c r="O973">
        <f>TEXT(B973,"YYYY-MM")</f>
        <v/>
      </c>
    </row>
    <row r="974">
      <c r="A974" t="inlineStr">
        <is>
          <t>LD-300972</t>
        </is>
      </c>
      <c r="B974" t="inlineStr">
        <is>
          <t>2026-05-19 08:11:00</t>
        </is>
      </c>
      <c r="C974" t="inlineStr">
        <is>
          <t>Organic Search</t>
        </is>
      </c>
      <c r="D974" t="inlineStr">
        <is>
          <t>Coding for Kids</t>
        </is>
      </c>
      <c r="E974" t="inlineStr">
        <is>
          <t>South Region</t>
        </is>
      </c>
      <c r="F974" t="inlineStr">
        <is>
          <t>Rep_12</t>
        </is>
      </c>
      <c r="G974" t="n">
        <v>2.22</v>
      </c>
      <c r="H974" t="inlineStr">
        <is>
          <t>Demo Completed</t>
        </is>
      </c>
      <c r="I974" t="inlineStr">
        <is>
          <t>Lost</t>
        </is>
      </c>
      <c r="J974" t="inlineStr">
        <is>
          <t>Price Objection</t>
        </is>
      </c>
      <c r="K974" t="n">
        <v>615.17</v>
      </c>
      <c r="L974" t="inlineStr">
        <is>
          <t>2026-06-27 13:07:25.232329</t>
        </is>
      </c>
      <c r="M974">
        <f>VLOOKUP(H974,'Stage Order'!$A$2:$B$8,2,FALSE)</f>
        <v/>
      </c>
      <c r="N974">
        <f>IF(G974&lt;=1,"1. Under 1 hour",IF(G974&lt;=24,"2. 1-24 hours",IF(G974&lt;=72,"3. 1-3 days","4. Over 3 days")))</f>
        <v/>
      </c>
      <c r="O974">
        <f>TEXT(B974,"YYYY-MM")</f>
        <v/>
      </c>
    </row>
    <row r="975">
      <c r="A975" t="inlineStr">
        <is>
          <t>LD-300973</t>
        </is>
      </c>
      <c r="B975" t="inlineStr">
        <is>
          <t>2025-05-23 08:55:00</t>
        </is>
      </c>
      <c r="C975" t="inlineStr">
        <is>
          <t>Referral</t>
        </is>
      </c>
      <c r="D975" t="inlineStr">
        <is>
          <t>Study Abroad Prep</t>
        </is>
      </c>
      <c r="E975" t="inlineStr">
        <is>
          <t>West Region</t>
        </is>
      </c>
      <c r="F975" t="inlineStr">
        <is>
          <t>Rep_13</t>
        </is>
      </c>
      <c r="G975" t="n">
        <v>4.97</v>
      </c>
      <c r="H975" t="inlineStr">
        <is>
          <t>Closed</t>
        </is>
      </c>
      <c r="I975" t="inlineStr">
        <is>
          <t>Won</t>
        </is>
      </c>
      <c r="K975" t="n">
        <v>1465.24</v>
      </c>
      <c r="L975" t="inlineStr">
        <is>
          <t>2025-07-07 05:02:45.265790</t>
        </is>
      </c>
      <c r="M975">
        <f>VLOOKUP(H975,'Stage Order'!$A$2:$B$8,2,FALSE)</f>
        <v/>
      </c>
      <c r="N975">
        <f>IF(G975&lt;=1,"1. Under 1 hour",IF(G975&lt;=24,"2. 1-24 hours",IF(G975&lt;=72,"3. 1-3 days","4. Over 3 days")))</f>
        <v/>
      </c>
      <c r="O975">
        <f>TEXT(B975,"YYYY-MM")</f>
        <v/>
      </c>
    </row>
    <row r="976">
      <c r="A976" t="inlineStr">
        <is>
          <t>LD-300974</t>
        </is>
      </c>
      <c r="B976" t="inlineStr">
        <is>
          <t>2026-05-07 14:55:00</t>
        </is>
      </c>
      <c r="C976" t="inlineStr">
        <is>
          <t>Partner Channel</t>
        </is>
      </c>
      <c r="D976" t="inlineStr">
        <is>
          <t>K-12 Math</t>
        </is>
      </c>
      <c r="E976" t="inlineStr">
        <is>
          <t>West Region</t>
        </is>
      </c>
      <c r="F976" t="inlineStr">
        <is>
          <t>Rep_03</t>
        </is>
      </c>
      <c r="G976" t="n">
        <v>4.94</v>
      </c>
      <c r="H976" t="inlineStr">
        <is>
          <t>Contacted</t>
        </is>
      </c>
      <c r="I976" t="inlineStr">
        <is>
          <t>Open</t>
        </is>
      </c>
      <c r="M976">
        <f>VLOOKUP(H976,'Stage Order'!$A$2:$B$8,2,FALSE)</f>
        <v/>
      </c>
      <c r="N976">
        <f>IF(G976&lt;=1,"1. Under 1 hour",IF(G976&lt;=24,"2. 1-24 hours",IF(G976&lt;=72,"3. 1-3 days","4. Over 3 days")))</f>
        <v/>
      </c>
      <c r="O976">
        <f>TEXT(B976,"YYYY-MM")</f>
        <v/>
      </c>
    </row>
    <row r="977">
      <c r="A977" t="inlineStr">
        <is>
          <t>LD-300975</t>
        </is>
      </c>
      <c r="B977" t="inlineStr">
        <is>
          <t>2025-05-23 17:19:00</t>
        </is>
      </c>
      <c r="C977" t="inlineStr">
        <is>
          <t>Paid Search</t>
        </is>
      </c>
      <c r="D977" t="inlineStr">
        <is>
          <t>K-12 Math</t>
        </is>
      </c>
      <c r="E977" t="inlineStr">
        <is>
          <t>North Region</t>
        </is>
      </c>
      <c r="F977" t="inlineStr">
        <is>
          <t>Rep_01</t>
        </is>
      </c>
      <c r="G977" t="n">
        <v>0.6</v>
      </c>
      <c r="H977" t="inlineStr">
        <is>
          <t>Lead</t>
        </is>
      </c>
      <c r="I977" t="inlineStr">
        <is>
          <t>Open</t>
        </is>
      </c>
      <c r="M977">
        <f>VLOOKUP(H977,'Stage Order'!$A$2:$B$8,2,FALSE)</f>
        <v/>
      </c>
      <c r="N977">
        <f>IF(G977&lt;=1,"1. Under 1 hour",IF(G977&lt;=24,"2. 1-24 hours",IF(G977&lt;=72,"3. 1-3 days","4. Over 3 days")))</f>
        <v/>
      </c>
      <c r="O977">
        <f>TEXT(B977,"YYYY-MM")</f>
        <v/>
      </c>
    </row>
    <row r="978">
      <c r="A978" t="inlineStr">
        <is>
          <t>LD-300976</t>
        </is>
      </c>
      <c r="B978" t="inlineStr">
        <is>
          <t>2025-07-22 10:23:00</t>
        </is>
      </c>
      <c r="C978" t="inlineStr">
        <is>
          <t>Paid Search</t>
        </is>
      </c>
      <c r="D978" t="inlineStr">
        <is>
          <t>Study Abroad Prep</t>
        </is>
      </c>
      <c r="E978" t="inlineStr">
        <is>
          <t>North Region</t>
        </is>
      </c>
      <c r="F978" t="inlineStr">
        <is>
          <t>Rep_11</t>
        </is>
      </c>
      <c r="G978" t="n">
        <v>4.1</v>
      </c>
      <c r="H978" t="inlineStr">
        <is>
          <t>Contacted</t>
        </is>
      </c>
      <c r="I978" t="inlineStr">
        <is>
          <t>Open</t>
        </is>
      </c>
      <c r="M978">
        <f>VLOOKUP(H978,'Stage Order'!$A$2:$B$8,2,FALSE)</f>
        <v/>
      </c>
      <c r="N978">
        <f>IF(G978&lt;=1,"1. Under 1 hour",IF(G978&lt;=24,"2. 1-24 hours",IF(G978&lt;=72,"3. 1-3 days","4. Over 3 days")))</f>
        <v/>
      </c>
      <c r="O978">
        <f>TEXT(B978,"YYYY-MM")</f>
        <v/>
      </c>
    </row>
    <row r="979">
      <c r="A979" t="inlineStr">
        <is>
          <t>LD-300977</t>
        </is>
      </c>
      <c r="B979" t="inlineStr">
        <is>
          <t>2026-02-04 16:45:00</t>
        </is>
      </c>
      <c r="C979" t="inlineStr">
        <is>
          <t>Partner Channel</t>
        </is>
      </c>
      <c r="D979" t="inlineStr">
        <is>
          <t>Coding for Kids</t>
        </is>
      </c>
      <c r="E979" t="inlineStr">
        <is>
          <t>East Region</t>
        </is>
      </c>
      <c r="F979" t="inlineStr">
        <is>
          <t>Rep_04</t>
        </is>
      </c>
      <c r="G979" t="n">
        <v>3.82</v>
      </c>
      <c r="H979" t="inlineStr">
        <is>
          <t>Lead</t>
        </is>
      </c>
      <c r="I979" t="inlineStr">
        <is>
          <t>Open</t>
        </is>
      </c>
      <c r="M979">
        <f>VLOOKUP(H979,'Stage Order'!$A$2:$B$8,2,FALSE)</f>
        <v/>
      </c>
      <c r="N979">
        <f>IF(G979&lt;=1,"1. Under 1 hour",IF(G979&lt;=24,"2. 1-24 hours",IF(G979&lt;=72,"3. 1-3 days","4. Over 3 days")))</f>
        <v/>
      </c>
      <c r="O979">
        <f>TEXT(B979,"YYYY-MM")</f>
        <v/>
      </c>
    </row>
    <row r="980">
      <c r="A980" t="inlineStr">
        <is>
          <t>LD-300978</t>
        </is>
      </c>
      <c r="B980" t="inlineStr">
        <is>
          <t>2025-11-28 15:13:00</t>
        </is>
      </c>
      <c r="C980" t="inlineStr">
        <is>
          <t>Organic Search</t>
        </is>
      </c>
      <c r="D980" t="inlineStr">
        <is>
          <t>Competitive Exam Prep</t>
        </is>
      </c>
      <c r="E980" t="inlineStr">
        <is>
          <t>North Region</t>
        </is>
      </c>
      <c r="F980" t="inlineStr">
        <is>
          <t>Rep_11</t>
        </is>
      </c>
      <c r="G980" t="n">
        <v>0.5600000000000001</v>
      </c>
      <c r="H980" t="inlineStr">
        <is>
          <t>Closed</t>
        </is>
      </c>
      <c r="I980" t="inlineStr">
        <is>
          <t>Won</t>
        </is>
      </c>
      <c r="K980" t="n">
        <v>1002.53</v>
      </c>
      <c r="L980" t="inlineStr">
        <is>
          <t>2026-01-01 23:01:17.092029</t>
        </is>
      </c>
      <c r="M980">
        <f>VLOOKUP(H980,'Stage Order'!$A$2:$B$8,2,FALSE)</f>
        <v/>
      </c>
      <c r="N980">
        <f>IF(G980&lt;=1,"1. Under 1 hour",IF(G980&lt;=24,"2. 1-24 hours",IF(G980&lt;=72,"3. 1-3 days","4. Over 3 days")))</f>
        <v/>
      </c>
      <c r="O980">
        <f>TEXT(B980,"YYYY-MM")</f>
        <v/>
      </c>
    </row>
    <row r="981">
      <c r="A981" t="inlineStr">
        <is>
          <t>LD-300979</t>
        </is>
      </c>
      <c r="B981" t="inlineStr">
        <is>
          <t>2025-02-23 18:59:00</t>
        </is>
      </c>
      <c r="C981" t="inlineStr">
        <is>
          <t>Paid Search</t>
        </is>
      </c>
      <c r="D981" t="inlineStr">
        <is>
          <t>Competitive Exam Prep</t>
        </is>
      </c>
      <c r="E981" t="inlineStr">
        <is>
          <t>North Region</t>
        </is>
      </c>
      <c r="F981" t="inlineStr">
        <is>
          <t>Rep_11</t>
        </is>
      </c>
      <c r="G981" t="n">
        <v>26.74</v>
      </c>
      <c r="H981" t="inlineStr">
        <is>
          <t>Contacted</t>
        </is>
      </c>
      <c r="I981" t="inlineStr">
        <is>
          <t>Open</t>
        </is>
      </c>
      <c r="M981">
        <f>VLOOKUP(H981,'Stage Order'!$A$2:$B$8,2,FALSE)</f>
        <v/>
      </c>
      <c r="N981">
        <f>IF(G981&lt;=1,"1. Under 1 hour",IF(G981&lt;=24,"2. 1-24 hours",IF(G981&lt;=72,"3. 1-3 days","4. Over 3 days")))</f>
        <v/>
      </c>
      <c r="O981">
        <f>TEXT(B981,"YYYY-MM")</f>
        <v/>
      </c>
    </row>
    <row r="982">
      <c r="A982" t="inlineStr">
        <is>
          <t>LD-300980</t>
        </is>
      </c>
      <c r="B982" t="inlineStr">
        <is>
          <t>2025-03-03 17:38:00</t>
        </is>
      </c>
      <c r="C982" t="inlineStr">
        <is>
          <t>Paid Search</t>
        </is>
      </c>
      <c r="D982" t="inlineStr">
        <is>
          <t>Coding for Kids</t>
        </is>
      </c>
      <c r="E982" t="inlineStr">
        <is>
          <t>South Region</t>
        </is>
      </c>
      <c r="F982" t="inlineStr">
        <is>
          <t>Rep_07</t>
        </is>
      </c>
      <c r="G982" t="n">
        <v>11.1</v>
      </c>
      <c r="H982" t="inlineStr">
        <is>
          <t>Proposal Sent</t>
        </is>
      </c>
      <c r="I982" t="inlineStr">
        <is>
          <t>Lost</t>
        </is>
      </c>
      <c r="J982" t="inlineStr">
        <is>
          <t>No Response / Ghosted</t>
        </is>
      </c>
      <c r="K982" t="n">
        <v>755.1799999999999</v>
      </c>
      <c r="L982" t="inlineStr">
        <is>
          <t>2025-03-26 13:47:31.952534</t>
        </is>
      </c>
      <c r="M982">
        <f>VLOOKUP(H982,'Stage Order'!$A$2:$B$8,2,FALSE)</f>
        <v/>
      </c>
      <c r="N982">
        <f>IF(G982&lt;=1,"1. Under 1 hour",IF(G982&lt;=24,"2. 1-24 hours",IF(G982&lt;=72,"3. 1-3 days","4. Over 3 days")))</f>
        <v/>
      </c>
      <c r="O982">
        <f>TEXT(B982,"YYYY-MM")</f>
        <v/>
      </c>
    </row>
    <row r="983">
      <c r="A983" t="inlineStr">
        <is>
          <t>LD-300981</t>
        </is>
      </c>
      <c r="B983" t="inlineStr">
        <is>
          <t>2025-08-08 10:26:00</t>
        </is>
      </c>
      <c r="C983" t="inlineStr">
        <is>
          <t>Social Media</t>
        </is>
      </c>
      <c r="D983" t="inlineStr">
        <is>
          <t>K-12 Math</t>
        </is>
      </c>
      <c r="E983" t="inlineStr">
        <is>
          <t>International</t>
        </is>
      </c>
      <c r="F983" t="inlineStr">
        <is>
          <t>Rep_05</t>
        </is>
      </c>
      <c r="G983" t="n">
        <v>0.61</v>
      </c>
      <c r="H983" t="inlineStr">
        <is>
          <t>Contacted</t>
        </is>
      </c>
      <c r="I983" t="inlineStr">
        <is>
          <t>Open</t>
        </is>
      </c>
      <c r="M983">
        <f>VLOOKUP(H983,'Stage Order'!$A$2:$B$8,2,FALSE)</f>
        <v/>
      </c>
      <c r="N983">
        <f>IF(G983&lt;=1,"1. Under 1 hour",IF(G983&lt;=24,"2. 1-24 hours",IF(G983&lt;=72,"3. 1-3 days","4. Over 3 days")))</f>
        <v/>
      </c>
      <c r="O983">
        <f>TEXT(B983,"YYYY-MM")</f>
        <v/>
      </c>
    </row>
    <row r="984">
      <c r="A984" t="inlineStr">
        <is>
          <t>LD-300982</t>
        </is>
      </c>
      <c r="B984" t="inlineStr">
        <is>
          <t>2025-10-31 20:39:00</t>
        </is>
      </c>
      <c r="C984" t="inlineStr">
        <is>
          <t>Organic Search</t>
        </is>
      </c>
      <c r="D984" t="inlineStr">
        <is>
          <t>Study Abroad Prep</t>
        </is>
      </c>
      <c r="E984" t="inlineStr">
        <is>
          <t>West Region</t>
        </is>
      </c>
      <c r="F984" t="inlineStr">
        <is>
          <t>Rep_13</t>
        </is>
      </c>
      <c r="G984" t="n">
        <v>0.35</v>
      </c>
      <c r="H984" t="inlineStr">
        <is>
          <t>Negotiation</t>
        </is>
      </c>
      <c r="I984" t="inlineStr">
        <is>
          <t>Lost</t>
        </is>
      </c>
      <c r="J984" t="inlineStr">
        <is>
          <t>Price Objection</t>
        </is>
      </c>
      <c r="K984" t="n">
        <v>1675.89</v>
      </c>
      <c r="L984" t="inlineStr">
        <is>
          <t>2025-12-08 19:37:46.699113</t>
        </is>
      </c>
      <c r="M984">
        <f>VLOOKUP(H984,'Stage Order'!$A$2:$B$8,2,FALSE)</f>
        <v/>
      </c>
      <c r="N984">
        <f>IF(G984&lt;=1,"1. Under 1 hour",IF(G984&lt;=24,"2. 1-24 hours",IF(G984&lt;=72,"3. 1-3 days","4. Over 3 days")))</f>
        <v/>
      </c>
      <c r="O984">
        <f>TEXT(B984,"YYYY-MM")</f>
        <v/>
      </c>
    </row>
    <row r="985">
      <c r="A985" t="inlineStr">
        <is>
          <t>LD-300983</t>
        </is>
      </c>
      <c r="B985" t="inlineStr">
        <is>
          <t>2025-07-17 07:57:00</t>
        </is>
      </c>
      <c r="C985" t="inlineStr">
        <is>
          <t>Referral</t>
        </is>
      </c>
      <c r="D985" t="inlineStr">
        <is>
          <t>Competitive Exam Prep</t>
        </is>
      </c>
      <c r="E985" t="inlineStr">
        <is>
          <t>South Region</t>
        </is>
      </c>
      <c r="F985" t="inlineStr">
        <is>
          <t>Rep_12</t>
        </is>
      </c>
      <c r="G985" t="n">
        <v>2.09</v>
      </c>
      <c r="H985" t="inlineStr">
        <is>
          <t>Closed</t>
        </is>
      </c>
      <c r="I985" t="inlineStr">
        <is>
          <t>Won</t>
        </is>
      </c>
      <c r="K985" t="n">
        <v>1156.71</v>
      </c>
      <c r="L985" t="inlineStr">
        <is>
          <t>2025-08-30 00:03:16.766311</t>
        </is>
      </c>
      <c r="M985">
        <f>VLOOKUP(H985,'Stage Order'!$A$2:$B$8,2,FALSE)</f>
        <v/>
      </c>
      <c r="N985">
        <f>IF(G985&lt;=1,"1. Under 1 hour",IF(G985&lt;=24,"2. 1-24 hours",IF(G985&lt;=72,"3. 1-3 days","4. Over 3 days")))</f>
        <v/>
      </c>
      <c r="O985">
        <f>TEXT(B985,"YYYY-MM")</f>
        <v/>
      </c>
    </row>
    <row r="986">
      <c r="A986" t="inlineStr">
        <is>
          <t>LD-300984</t>
        </is>
      </c>
      <c r="B986" t="inlineStr">
        <is>
          <t>2025-01-03 09:00:00</t>
        </is>
      </c>
      <c r="C986" t="inlineStr">
        <is>
          <t>Referral</t>
        </is>
      </c>
      <c r="D986" t="inlineStr">
        <is>
          <t>K-12 Math</t>
        </is>
      </c>
      <c r="E986" t="inlineStr">
        <is>
          <t>International</t>
        </is>
      </c>
      <c r="F986" t="inlineStr">
        <is>
          <t>Rep_10</t>
        </is>
      </c>
      <c r="G986" t="n">
        <v>6.7</v>
      </c>
      <c r="H986" t="inlineStr">
        <is>
          <t>Closed</t>
        </is>
      </c>
      <c r="I986" t="inlineStr">
        <is>
          <t>Won</t>
        </is>
      </c>
      <c r="K986" t="n">
        <v>441.68</v>
      </c>
      <c r="L986" t="inlineStr">
        <is>
          <t>2025-02-08 03:03:25.505883</t>
        </is>
      </c>
      <c r="M986">
        <f>VLOOKUP(H986,'Stage Order'!$A$2:$B$8,2,FALSE)</f>
        <v/>
      </c>
      <c r="N986">
        <f>IF(G986&lt;=1,"1. Under 1 hour",IF(G986&lt;=24,"2. 1-24 hours",IF(G986&lt;=72,"3. 1-3 days","4. Over 3 days")))</f>
        <v/>
      </c>
      <c r="O986">
        <f>TEXT(B986,"YYYY-MM")</f>
        <v/>
      </c>
    </row>
    <row r="987">
      <c r="A987" t="inlineStr">
        <is>
          <t>LD-300985</t>
        </is>
      </c>
      <c r="B987" t="inlineStr">
        <is>
          <t>2025-03-28 16:47:00</t>
        </is>
      </c>
      <c r="C987" t="inlineStr">
        <is>
          <t>Referral</t>
        </is>
      </c>
      <c r="D987" t="inlineStr">
        <is>
          <t>Coding for Kids</t>
        </is>
      </c>
      <c r="E987" t="inlineStr">
        <is>
          <t>West Region</t>
        </is>
      </c>
      <c r="F987" t="inlineStr">
        <is>
          <t>Rep_03</t>
        </is>
      </c>
      <c r="G987" t="n">
        <v>2.56</v>
      </c>
      <c r="H987" t="inlineStr">
        <is>
          <t>Contacted</t>
        </is>
      </c>
      <c r="I987" t="inlineStr">
        <is>
          <t>Open</t>
        </is>
      </c>
      <c r="M987">
        <f>VLOOKUP(H987,'Stage Order'!$A$2:$B$8,2,FALSE)</f>
        <v/>
      </c>
      <c r="N987">
        <f>IF(G987&lt;=1,"1. Under 1 hour",IF(G987&lt;=24,"2. 1-24 hours",IF(G987&lt;=72,"3. 1-3 days","4. Over 3 days")))</f>
        <v/>
      </c>
      <c r="O987">
        <f>TEXT(B987,"YYYY-MM")</f>
        <v/>
      </c>
    </row>
    <row r="988">
      <c r="A988" t="inlineStr">
        <is>
          <t>LD-300986</t>
        </is>
      </c>
      <c r="B988" t="inlineStr">
        <is>
          <t>2025-06-15 14:39:00</t>
        </is>
      </c>
      <c r="C988" t="inlineStr">
        <is>
          <t>Organic Search</t>
        </is>
      </c>
      <c r="D988" t="inlineStr">
        <is>
          <t>K-12 Math</t>
        </is>
      </c>
      <c r="E988" t="inlineStr">
        <is>
          <t>South Region</t>
        </is>
      </c>
      <c r="F988" t="inlineStr">
        <is>
          <t>Rep_12</t>
        </is>
      </c>
      <c r="G988" t="n">
        <v>5.01</v>
      </c>
      <c r="H988" t="inlineStr">
        <is>
          <t>Contacted</t>
        </is>
      </c>
      <c r="I988" t="inlineStr">
        <is>
          <t>Open</t>
        </is>
      </c>
      <c r="M988">
        <f>VLOOKUP(H988,'Stage Order'!$A$2:$B$8,2,FALSE)</f>
        <v/>
      </c>
      <c r="N988">
        <f>IF(G988&lt;=1,"1. Under 1 hour",IF(G988&lt;=24,"2. 1-24 hours",IF(G988&lt;=72,"3. 1-3 days","4. Over 3 days")))</f>
        <v/>
      </c>
      <c r="O988">
        <f>TEXT(B988,"YYYY-MM")</f>
        <v/>
      </c>
    </row>
    <row r="989">
      <c r="A989" t="inlineStr">
        <is>
          <t>LD-300987</t>
        </is>
      </c>
      <c r="B989" t="inlineStr">
        <is>
          <t>2026-02-17 17:15:00</t>
        </is>
      </c>
      <c r="C989" t="inlineStr">
        <is>
          <t>Organic Search</t>
        </is>
      </c>
      <c r="D989" t="inlineStr">
        <is>
          <t>K-12 Math</t>
        </is>
      </c>
      <c r="E989" t="inlineStr">
        <is>
          <t>South Region</t>
        </is>
      </c>
      <c r="F989" t="inlineStr">
        <is>
          <t>Rep_07</t>
        </is>
      </c>
      <c r="G989" t="n">
        <v>6.69</v>
      </c>
      <c r="H989" t="inlineStr">
        <is>
          <t>Contacted</t>
        </is>
      </c>
      <c r="I989" t="inlineStr">
        <is>
          <t>Open</t>
        </is>
      </c>
      <c r="M989">
        <f>VLOOKUP(H989,'Stage Order'!$A$2:$B$8,2,FALSE)</f>
        <v/>
      </c>
      <c r="N989">
        <f>IF(G989&lt;=1,"1. Under 1 hour",IF(G989&lt;=24,"2. 1-24 hours",IF(G989&lt;=72,"3. 1-3 days","4. Over 3 days")))</f>
        <v/>
      </c>
      <c r="O989">
        <f>TEXT(B989,"YYYY-MM")</f>
        <v/>
      </c>
    </row>
    <row r="990">
      <c r="A990" t="inlineStr">
        <is>
          <t>LD-300988</t>
        </is>
      </c>
      <c r="B990" t="inlineStr">
        <is>
          <t>2025-07-02 15:40:00</t>
        </is>
      </c>
      <c r="C990" t="inlineStr">
        <is>
          <t>Paid Search</t>
        </is>
      </c>
      <c r="D990" t="inlineStr">
        <is>
          <t>Language Learning</t>
        </is>
      </c>
      <c r="E990" t="inlineStr">
        <is>
          <t>West Region</t>
        </is>
      </c>
      <c r="F990" t="inlineStr">
        <is>
          <t>Rep_08</t>
        </is>
      </c>
      <c r="G990" t="n">
        <v>3.28</v>
      </c>
      <c r="H990" t="inlineStr">
        <is>
          <t>Contacted</t>
        </is>
      </c>
      <c r="I990" t="inlineStr">
        <is>
          <t>Open</t>
        </is>
      </c>
      <c r="M990">
        <f>VLOOKUP(H990,'Stage Order'!$A$2:$B$8,2,FALSE)</f>
        <v/>
      </c>
      <c r="N990">
        <f>IF(G990&lt;=1,"1. Under 1 hour",IF(G990&lt;=24,"2. 1-24 hours",IF(G990&lt;=72,"3. 1-3 days","4. Over 3 days")))</f>
        <v/>
      </c>
      <c r="O990">
        <f>TEXT(B990,"YYYY-MM")</f>
        <v/>
      </c>
    </row>
    <row r="991">
      <c r="A991" t="inlineStr">
        <is>
          <t>LD-300989</t>
        </is>
      </c>
      <c r="B991" t="inlineStr">
        <is>
          <t>2025-03-26 07:48:00</t>
        </is>
      </c>
      <c r="C991" t="inlineStr">
        <is>
          <t>Referral</t>
        </is>
      </c>
      <c r="D991" t="inlineStr">
        <is>
          <t>Language Learning</t>
        </is>
      </c>
      <c r="E991" t="inlineStr">
        <is>
          <t>International</t>
        </is>
      </c>
      <c r="F991" t="inlineStr">
        <is>
          <t>Rep_05</t>
        </is>
      </c>
      <c r="G991" t="n">
        <v>0.5600000000000001</v>
      </c>
      <c r="H991" t="inlineStr">
        <is>
          <t>Contacted</t>
        </is>
      </c>
      <c r="I991" t="inlineStr">
        <is>
          <t>Open</t>
        </is>
      </c>
      <c r="M991">
        <f>VLOOKUP(H991,'Stage Order'!$A$2:$B$8,2,FALSE)</f>
        <v/>
      </c>
      <c r="N991">
        <f>IF(G991&lt;=1,"1. Under 1 hour",IF(G991&lt;=24,"2. 1-24 hours",IF(G991&lt;=72,"3. 1-3 days","4. Over 3 days")))</f>
        <v/>
      </c>
      <c r="O991">
        <f>TEXT(B991,"YYYY-MM")</f>
        <v/>
      </c>
    </row>
    <row r="992">
      <c r="A992" t="inlineStr">
        <is>
          <t>LD-300990</t>
        </is>
      </c>
      <c r="B992" t="inlineStr">
        <is>
          <t>2026-01-27 15:03:00</t>
        </is>
      </c>
      <c r="C992" t="inlineStr">
        <is>
          <t>Webinar</t>
        </is>
      </c>
      <c r="D992" t="inlineStr">
        <is>
          <t>Study Abroad Prep</t>
        </is>
      </c>
      <c r="E992" t="inlineStr">
        <is>
          <t>North Region</t>
        </is>
      </c>
      <c r="F992" t="inlineStr">
        <is>
          <t>Rep_01</t>
        </is>
      </c>
      <c r="G992" t="n">
        <v>15.52</v>
      </c>
      <c r="H992" t="inlineStr">
        <is>
          <t>Proposal Sent</t>
        </is>
      </c>
      <c r="I992" t="inlineStr">
        <is>
          <t>Lost</t>
        </is>
      </c>
      <c r="J992" t="inlineStr">
        <is>
          <t>Price Objection</t>
        </is>
      </c>
      <c r="K992" t="n">
        <v>1672</v>
      </c>
      <c r="L992" t="inlineStr">
        <is>
          <t>2026-03-18 03:15:48.545065</t>
        </is>
      </c>
      <c r="M992">
        <f>VLOOKUP(H992,'Stage Order'!$A$2:$B$8,2,FALSE)</f>
        <v/>
      </c>
      <c r="N992">
        <f>IF(G992&lt;=1,"1. Under 1 hour",IF(G992&lt;=24,"2. 1-24 hours",IF(G992&lt;=72,"3. 1-3 days","4. Over 3 days")))</f>
        <v/>
      </c>
      <c r="O992">
        <f>TEXT(B992,"YYYY-MM")</f>
        <v/>
      </c>
    </row>
    <row r="993">
      <c r="A993" t="inlineStr">
        <is>
          <t>LD-300991</t>
        </is>
      </c>
      <c r="B993" t="inlineStr">
        <is>
          <t>2026-01-21 14:53:00</t>
        </is>
      </c>
      <c r="C993" t="inlineStr">
        <is>
          <t>Organic Search</t>
        </is>
      </c>
      <c r="D993" t="inlineStr">
        <is>
          <t>Language Learning</t>
        </is>
      </c>
      <c r="E993" t="inlineStr">
        <is>
          <t>West Region</t>
        </is>
      </c>
      <c r="F993" t="inlineStr">
        <is>
          <t>Rep_08</t>
        </is>
      </c>
      <c r="G993" t="n">
        <v>6.77</v>
      </c>
      <c r="H993" t="inlineStr">
        <is>
          <t>Negotiation</t>
        </is>
      </c>
      <c r="I993" t="inlineStr">
        <is>
          <t>Lost</t>
        </is>
      </c>
      <c r="J993" t="inlineStr">
        <is>
          <t>Budget Not Approved</t>
        </is>
      </c>
      <c r="K993" t="n">
        <v>395.72</v>
      </c>
      <c r="L993" t="inlineStr">
        <is>
          <t>2026-03-10 21:05:40.214257</t>
        </is>
      </c>
      <c r="M993">
        <f>VLOOKUP(H993,'Stage Order'!$A$2:$B$8,2,FALSE)</f>
        <v/>
      </c>
      <c r="N993">
        <f>IF(G993&lt;=1,"1. Under 1 hour",IF(G993&lt;=24,"2. 1-24 hours",IF(G993&lt;=72,"3. 1-3 days","4. Over 3 days")))</f>
        <v/>
      </c>
      <c r="O993">
        <f>TEXT(B993,"YYYY-MM")</f>
        <v/>
      </c>
    </row>
    <row r="994">
      <c r="A994" t="inlineStr">
        <is>
          <t>LD-300992</t>
        </is>
      </c>
      <c r="B994" t="inlineStr">
        <is>
          <t>2025-04-08 08:30:00</t>
        </is>
      </c>
      <c r="C994" t="inlineStr">
        <is>
          <t>Partner Channel</t>
        </is>
      </c>
      <c r="D994" t="inlineStr">
        <is>
          <t>Competitive Exam Prep</t>
        </is>
      </c>
      <c r="E994" t="inlineStr">
        <is>
          <t>North Region</t>
        </is>
      </c>
      <c r="F994" t="inlineStr">
        <is>
          <t>Rep_01</t>
        </is>
      </c>
      <c r="G994" t="n">
        <v>0.93</v>
      </c>
      <c r="H994" t="inlineStr">
        <is>
          <t>Closed</t>
        </is>
      </c>
      <c r="I994" t="inlineStr">
        <is>
          <t>Won</t>
        </is>
      </c>
      <c r="K994" t="n">
        <v>975.52</v>
      </c>
      <c r="L994" t="inlineStr">
        <is>
          <t>2025-05-28 19:20:37.535767</t>
        </is>
      </c>
      <c r="M994">
        <f>VLOOKUP(H994,'Stage Order'!$A$2:$B$8,2,FALSE)</f>
        <v/>
      </c>
      <c r="N994">
        <f>IF(G994&lt;=1,"1. Under 1 hour",IF(G994&lt;=24,"2. 1-24 hours",IF(G994&lt;=72,"3. 1-3 days","4. Over 3 days")))</f>
        <v/>
      </c>
      <c r="O994">
        <f>TEXT(B994,"YYYY-MM")</f>
        <v/>
      </c>
    </row>
    <row r="995">
      <c r="A995" t="inlineStr">
        <is>
          <t>LD-300993</t>
        </is>
      </c>
      <c r="B995" t="inlineStr">
        <is>
          <t>2025-10-10 13:26:00</t>
        </is>
      </c>
      <c r="C995" t="inlineStr">
        <is>
          <t>Cold Outreach</t>
        </is>
      </c>
      <c r="D995" t="inlineStr">
        <is>
          <t>Coding for Kids</t>
        </is>
      </c>
      <c r="E995" t="inlineStr">
        <is>
          <t>North Region</t>
        </is>
      </c>
      <c r="F995" t="inlineStr">
        <is>
          <t>Rep_11</t>
        </is>
      </c>
      <c r="G995" t="n">
        <v>10.19</v>
      </c>
      <c r="H995" t="inlineStr">
        <is>
          <t>Lead</t>
        </is>
      </c>
      <c r="I995" t="inlineStr">
        <is>
          <t>Open</t>
        </is>
      </c>
      <c r="M995">
        <f>VLOOKUP(H995,'Stage Order'!$A$2:$B$8,2,FALSE)</f>
        <v/>
      </c>
      <c r="N995">
        <f>IF(G995&lt;=1,"1. Under 1 hour",IF(G995&lt;=24,"2. 1-24 hours",IF(G995&lt;=72,"3. 1-3 days","4. Over 3 days")))</f>
        <v/>
      </c>
      <c r="O995">
        <f>TEXT(B995,"YYYY-MM")</f>
        <v/>
      </c>
    </row>
    <row r="996">
      <c r="A996" t="inlineStr">
        <is>
          <t>LD-300994</t>
        </is>
      </c>
      <c r="B996" t="inlineStr">
        <is>
          <t>2025-12-12 12:00:00</t>
        </is>
      </c>
      <c r="C996" t="inlineStr">
        <is>
          <t>Paid Search</t>
        </is>
      </c>
      <c r="D996" t="inlineStr">
        <is>
          <t>Study Abroad Prep</t>
        </is>
      </c>
      <c r="E996" t="inlineStr">
        <is>
          <t>South Region</t>
        </is>
      </c>
      <c r="F996" t="inlineStr">
        <is>
          <t>Rep_12</t>
        </is>
      </c>
      <c r="G996" t="n">
        <v>22.86</v>
      </c>
      <c r="H996" t="inlineStr">
        <is>
          <t>Negotiation</t>
        </is>
      </c>
      <c r="I996" t="inlineStr">
        <is>
          <t>Lost</t>
        </is>
      </c>
      <c r="J996" t="inlineStr">
        <is>
          <t>Price Objection</t>
        </is>
      </c>
      <c r="K996" t="n">
        <v>1690.64</v>
      </c>
      <c r="L996" t="inlineStr">
        <is>
          <t>2026-02-16 20:12:08.248185</t>
        </is>
      </c>
      <c r="M996">
        <f>VLOOKUP(H996,'Stage Order'!$A$2:$B$8,2,FALSE)</f>
        <v/>
      </c>
      <c r="N996">
        <f>IF(G996&lt;=1,"1. Under 1 hour",IF(G996&lt;=24,"2. 1-24 hours",IF(G996&lt;=72,"3. 1-3 days","4. Over 3 days")))</f>
        <v/>
      </c>
      <c r="O996">
        <f>TEXT(B996,"YYYY-MM")</f>
        <v/>
      </c>
    </row>
    <row r="997">
      <c r="A997" t="inlineStr">
        <is>
          <t>LD-300995</t>
        </is>
      </c>
      <c r="B997" t="inlineStr">
        <is>
          <t>2026-04-06 18:31:00</t>
        </is>
      </c>
      <c r="C997" t="inlineStr">
        <is>
          <t>Paid Search</t>
        </is>
      </c>
      <c r="D997" t="inlineStr">
        <is>
          <t>K-12 Math</t>
        </is>
      </c>
      <c r="E997" t="inlineStr">
        <is>
          <t>East Region</t>
        </is>
      </c>
      <c r="F997" t="inlineStr">
        <is>
          <t>Rep_09</t>
        </is>
      </c>
      <c r="G997" t="n">
        <v>6.15</v>
      </c>
      <c r="H997" t="inlineStr">
        <is>
          <t>Contacted</t>
        </is>
      </c>
      <c r="I997" t="inlineStr">
        <is>
          <t>Open</t>
        </is>
      </c>
      <c r="M997">
        <f>VLOOKUP(H997,'Stage Order'!$A$2:$B$8,2,FALSE)</f>
        <v/>
      </c>
      <c r="N997">
        <f>IF(G997&lt;=1,"1. Under 1 hour",IF(G997&lt;=24,"2. 1-24 hours",IF(G997&lt;=72,"3. 1-3 days","4. Over 3 days")))</f>
        <v/>
      </c>
      <c r="O997">
        <f>TEXT(B997,"YYYY-MM")</f>
        <v/>
      </c>
    </row>
    <row r="998">
      <c r="A998" t="inlineStr">
        <is>
          <t>LD-300996</t>
        </is>
      </c>
      <c r="B998" t="inlineStr">
        <is>
          <t>2025-08-27 10:09:00</t>
        </is>
      </c>
      <c r="C998" t="inlineStr">
        <is>
          <t>Organic Search</t>
        </is>
      </c>
      <c r="D998" t="inlineStr">
        <is>
          <t>Study Abroad Prep</t>
        </is>
      </c>
      <c r="E998" t="inlineStr">
        <is>
          <t>North Region</t>
        </is>
      </c>
      <c r="F998" t="inlineStr">
        <is>
          <t>Rep_01</t>
        </is>
      </c>
      <c r="G998" t="n">
        <v>0.55</v>
      </c>
      <c r="H998" t="inlineStr">
        <is>
          <t>Proposal Sent</t>
        </is>
      </c>
      <c r="I998" t="inlineStr">
        <is>
          <t>Lost</t>
        </is>
      </c>
      <c r="J998" t="inlineStr">
        <is>
          <t>No Response / Ghosted</t>
        </is>
      </c>
      <c r="K998" t="n">
        <v>1681.09</v>
      </c>
      <c r="L998" t="inlineStr">
        <is>
          <t>2025-10-01 18:22:41.595084</t>
        </is>
      </c>
      <c r="M998">
        <f>VLOOKUP(H998,'Stage Order'!$A$2:$B$8,2,FALSE)</f>
        <v/>
      </c>
      <c r="N998">
        <f>IF(G998&lt;=1,"1. Under 1 hour",IF(G998&lt;=24,"2. 1-24 hours",IF(G998&lt;=72,"3. 1-3 days","4. Over 3 days")))</f>
        <v/>
      </c>
      <c r="O998">
        <f>TEXT(B998,"YYYY-MM")</f>
        <v/>
      </c>
    </row>
    <row r="999">
      <c r="A999" t="inlineStr">
        <is>
          <t>LD-300997</t>
        </is>
      </c>
      <c r="B999" t="inlineStr">
        <is>
          <t>2026-05-07 14:50:00</t>
        </is>
      </c>
      <c r="C999" t="inlineStr">
        <is>
          <t>Cold Outreach</t>
        </is>
      </c>
      <c r="D999" t="inlineStr">
        <is>
          <t>K-12 Math</t>
        </is>
      </c>
      <c r="E999" t="inlineStr">
        <is>
          <t>South Region</t>
        </is>
      </c>
      <c r="F999" t="inlineStr">
        <is>
          <t>Rep_12</t>
        </is>
      </c>
      <c r="G999" t="n">
        <v>2.53</v>
      </c>
      <c r="H999" t="inlineStr">
        <is>
          <t>Lead</t>
        </is>
      </c>
      <c r="I999" t="inlineStr">
        <is>
          <t>Open</t>
        </is>
      </c>
      <c r="M999">
        <f>VLOOKUP(H999,'Stage Order'!$A$2:$B$8,2,FALSE)</f>
        <v/>
      </c>
      <c r="N999">
        <f>IF(G999&lt;=1,"1. Under 1 hour",IF(G999&lt;=24,"2. 1-24 hours",IF(G999&lt;=72,"3. 1-3 days","4. Over 3 days")))</f>
        <v/>
      </c>
      <c r="O999">
        <f>TEXT(B999,"YYYY-MM")</f>
        <v/>
      </c>
    </row>
    <row r="1000">
      <c r="A1000" t="inlineStr">
        <is>
          <t>LD-300998</t>
        </is>
      </c>
      <c r="B1000" t="inlineStr">
        <is>
          <t>2025-06-13 20:02:00</t>
        </is>
      </c>
      <c r="C1000" t="inlineStr">
        <is>
          <t>Referral</t>
        </is>
      </c>
      <c r="D1000" t="inlineStr">
        <is>
          <t>Competitive Exam Prep</t>
        </is>
      </c>
      <c r="E1000" t="inlineStr">
        <is>
          <t>North Region</t>
        </is>
      </c>
      <c r="F1000" t="inlineStr">
        <is>
          <t>Rep_01</t>
        </is>
      </c>
      <c r="G1000" t="n">
        <v>1.17</v>
      </c>
      <c r="H1000" t="inlineStr">
        <is>
          <t>Closed</t>
        </is>
      </c>
      <c r="I1000" t="inlineStr">
        <is>
          <t>Won</t>
        </is>
      </c>
      <c r="K1000" t="n">
        <v>842.86</v>
      </c>
      <c r="L1000" t="inlineStr">
        <is>
          <t>2025-07-21 19:26:57.163592</t>
        </is>
      </c>
      <c r="M1000">
        <f>VLOOKUP(H1000,'Stage Order'!$A$2:$B$8,2,FALSE)</f>
        <v/>
      </c>
      <c r="N1000">
        <f>IF(G1000&lt;=1,"1. Under 1 hour",IF(G1000&lt;=24,"2. 1-24 hours",IF(G1000&lt;=72,"3. 1-3 days","4. Over 3 days")))</f>
        <v/>
      </c>
      <c r="O1000">
        <f>TEXT(B1000,"YYYY-MM")</f>
        <v/>
      </c>
    </row>
    <row r="1001">
      <c r="A1001" t="inlineStr">
        <is>
          <t>LD-300999</t>
        </is>
      </c>
      <c r="B1001" t="inlineStr">
        <is>
          <t>2025-01-31 19:16:00</t>
        </is>
      </c>
      <c r="C1001" t="inlineStr">
        <is>
          <t>Webinar</t>
        </is>
      </c>
      <c r="D1001" t="inlineStr">
        <is>
          <t>Language Learning</t>
        </is>
      </c>
      <c r="E1001" t="inlineStr">
        <is>
          <t>East Region</t>
        </is>
      </c>
      <c r="F1001" t="inlineStr">
        <is>
          <t>Rep_09</t>
        </is>
      </c>
      <c r="G1001" t="n">
        <v>6.74</v>
      </c>
      <c r="H1001" t="inlineStr">
        <is>
          <t>Demo Completed</t>
        </is>
      </c>
      <c r="I1001" t="inlineStr">
        <is>
          <t>Lost</t>
        </is>
      </c>
      <c r="J1001" t="inlineStr">
        <is>
          <t>Went With Competitor</t>
        </is>
      </c>
      <c r="K1001" t="n">
        <v>305.66</v>
      </c>
      <c r="L1001" t="inlineStr">
        <is>
          <t>2025-03-01 08:24:57.775651</t>
        </is>
      </c>
      <c r="M1001">
        <f>VLOOKUP(H1001,'Stage Order'!$A$2:$B$8,2,FALSE)</f>
        <v/>
      </c>
      <c r="N1001">
        <f>IF(G1001&lt;=1,"1. Under 1 hour",IF(G1001&lt;=24,"2. 1-24 hours",IF(G1001&lt;=72,"3. 1-3 days","4. Over 3 days")))</f>
        <v/>
      </c>
      <c r="O1001">
        <f>TEXT(B1001,"YYYY-MM")</f>
        <v/>
      </c>
    </row>
    <row r="1002">
      <c r="A1002" t="inlineStr">
        <is>
          <t>LD-301000</t>
        </is>
      </c>
      <c r="B1002" t="inlineStr">
        <is>
          <t>2025-01-20 13:28:00</t>
        </is>
      </c>
      <c r="C1002" t="inlineStr">
        <is>
          <t>Cold Outreach</t>
        </is>
      </c>
      <c r="D1002" t="inlineStr">
        <is>
          <t>K-12 Math</t>
        </is>
      </c>
      <c r="E1002" t="inlineStr">
        <is>
          <t>East Region</t>
        </is>
      </c>
      <c r="F1002" t="inlineStr">
        <is>
          <t>Rep_14</t>
        </is>
      </c>
      <c r="G1002" t="n">
        <v>0.9399999999999999</v>
      </c>
      <c r="H1002" t="inlineStr">
        <is>
          <t>Demo Scheduled</t>
        </is>
      </c>
      <c r="I1002" t="inlineStr">
        <is>
          <t>Open</t>
        </is>
      </c>
      <c r="M1002">
        <f>VLOOKUP(H1002,'Stage Order'!$A$2:$B$8,2,FALSE)</f>
        <v/>
      </c>
      <c r="N1002">
        <f>IF(G1002&lt;=1,"1. Under 1 hour",IF(G1002&lt;=24,"2. 1-24 hours",IF(G1002&lt;=72,"3. 1-3 days","4. Over 3 days")))</f>
        <v/>
      </c>
      <c r="O1002">
        <f>TEXT(B1002,"YYYY-MM")</f>
        <v/>
      </c>
    </row>
    <row r="1003">
      <c r="A1003" t="inlineStr">
        <is>
          <t>LD-301001</t>
        </is>
      </c>
      <c r="B1003" t="inlineStr">
        <is>
          <t>2025-09-08 08:53:00</t>
        </is>
      </c>
      <c r="C1003" t="inlineStr">
        <is>
          <t>Organic Search</t>
        </is>
      </c>
      <c r="D1003" t="inlineStr">
        <is>
          <t>Coding for Kids</t>
        </is>
      </c>
      <c r="E1003" t="inlineStr">
        <is>
          <t>South Region</t>
        </is>
      </c>
      <c r="F1003" t="inlineStr">
        <is>
          <t>Rep_12</t>
        </is>
      </c>
      <c r="G1003" t="n">
        <v>6.58</v>
      </c>
      <c r="H1003" t="inlineStr">
        <is>
          <t>Negotiation</t>
        </is>
      </c>
      <c r="I1003" t="inlineStr">
        <is>
          <t>Lost</t>
        </is>
      </c>
      <c r="J1003" t="inlineStr">
        <is>
          <t>Bad Timing</t>
        </is>
      </c>
      <c r="K1003" t="n">
        <v>600.02</v>
      </c>
      <c r="L1003" t="inlineStr">
        <is>
          <t>2025-10-04 12:06:38.536408</t>
        </is>
      </c>
      <c r="M1003">
        <f>VLOOKUP(H1003,'Stage Order'!$A$2:$B$8,2,FALSE)</f>
        <v/>
      </c>
      <c r="N1003">
        <f>IF(G1003&lt;=1,"1. Under 1 hour",IF(G1003&lt;=24,"2. 1-24 hours",IF(G1003&lt;=72,"3. 1-3 days","4. Over 3 days")))</f>
        <v/>
      </c>
      <c r="O1003">
        <f>TEXT(B1003,"YYYY-MM")</f>
        <v/>
      </c>
    </row>
    <row r="1004">
      <c r="A1004" t="inlineStr">
        <is>
          <t>LD-301002</t>
        </is>
      </c>
      <c r="B1004" t="inlineStr">
        <is>
          <t>2025-10-09 10:06:00</t>
        </is>
      </c>
      <c r="C1004" t="inlineStr">
        <is>
          <t>Organic Search</t>
        </is>
      </c>
      <c r="D1004" t="inlineStr">
        <is>
          <t>Coding for Kids</t>
        </is>
      </c>
      <c r="E1004" t="inlineStr">
        <is>
          <t>South Region</t>
        </is>
      </c>
      <c r="F1004" t="inlineStr">
        <is>
          <t>Rep_07</t>
        </is>
      </c>
      <c r="G1004" t="n">
        <v>2.55</v>
      </c>
      <c r="H1004" t="inlineStr">
        <is>
          <t>Proposal Sent</t>
        </is>
      </c>
      <c r="I1004" t="inlineStr">
        <is>
          <t>Lost</t>
        </is>
      </c>
      <c r="J1004" t="inlineStr">
        <is>
          <t>Price Objection</t>
        </is>
      </c>
      <c r="K1004" t="n">
        <v>612.73</v>
      </c>
      <c r="L1004" t="inlineStr">
        <is>
          <t>2025-11-18 15:34:56.270406</t>
        </is>
      </c>
      <c r="M1004">
        <f>VLOOKUP(H1004,'Stage Order'!$A$2:$B$8,2,FALSE)</f>
        <v/>
      </c>
      <c r="N1004">
        <f>IF(G1004&lt;=1,"1. Under 1 hour",IF(G1004&lt;=24,"2. 1-24 hours",IF(G1004&lt;=72,"3. 1-3 days","4. Over 3 days")))</f>
        <v/>
      </c>
      <c r="O1004">
        <f>TEXT(B1004,"YYYY-MM")</f>
        <v/>
      </c>
    </row>
    <row r="1005">
      <c r="A1005" t="inlineStr">
        <is>
          <t>LD-301003</t>
        </is>
      </c>
      <c r="B1005" t="inlineStr">
        <is>
          <t>2025-07-18 11:12:00</t>
        </is>
      </c>
      <c r="C1005" t="inlineStr">
        <is>
          <t>Webinar</t>
        </is>
      </c>
      <c r="D1005" t="inlineStr">
        <is>
          <t>K-12 Math</t>
        </is>
      </c>
      <c r="E1005" t="inlineStr">
        <is>
          <t>East Region</t>
        </is>
      </c>
      <c r="F1005" t="inlineStr">
        <is>
          <t>Rep_04</t>
        </is>
      </c>
      <c r="G1005" t="n">
        <v>0.39</v>
      </c>
      <c r="H1005" t="inlineStr">
        <is>
          <t>Contacted</t>
        </is>
      </c>
      <c r="I1005" t="inlineStr">
        <is>
          <t>Open</t>
        </is>
      </c>
      <c r="M1005">
        <f>VLOOKUP(H1005,'Stage Order'!$A$2:$B$8,2,FALSE)</f>
        <v/>
      </c>
      <c r="N1005">
        <f>IF(G1005&lt;=1,"1. Under 1 hour",IF(G1005&lt;=24,"2. 1-24 hours",IF(G1005&lt;=72,"3. 1-3 days","4. Over 3 days")))</f>
        <v/>
      </c>
      <c r="O1005">
        <f>TEXT(B1005,"YYYY-MM")</f>
        <v/>
      </c>
    </row>
    <row r="1006">
      <c r="A1006" t="inlineStr">
        <is>
          <t>LD-301004</t>
        </is>
      </c>
      <c r="B1006" t="inlineStr">
        <is>
          <t>2025-01-12 18:02:00</t>
        </is>
      </c>
      <c r="C1006" t="inlineStr">
        <is>
          <t>Social Media</t>
        </is>
      </c>
      <c r="D1006" t="inlineStr">
        <is>
          <t>Competitive Exam Prep</t>
        </is>
      </c>
      <c r="E1006" t="inlineStr">
        <is>
          <t>West Region</t>
        </is>
      </c>
      <c r="F1006" t="inlineStr">
        <is>
          <t>Rep_13</t>
        </is>
      </c>
      <c r="G1006" t="n">
        <v>0.73</v>
      </c>
      <c r="H1006" t="inlineStr">
        <is>
          <t>Contacted</t>
        </is>
      </c>
      <c r="I1006" t="inlineStr">
        <is>
          <t>Open</t>
        </is>
      </c>
      <c r="M1006">
        <f>VLOOKUP(H1006,'Stage Order'!$A$2:$B$8,2,FALSE)</f>
        <v/>
      </c>
      <c r="N1006">
        <f>IF(G1006&lt;=1,"1. Under 1 hour",IF(G1006&lt;=24,"2. 1-24 hours",IF(G1006&lt;=72,"3. 1-3 days","4. Over 3 days")))</f>
        <v/>
      </c>
      <c r="O1006">
        <f>TEXT(B1006,"YYYY-MM")</f>
        <v/>
      </c>
    </row>
    <row r="1007">
      <c r="A1007" t="inlineStr">
        <is>
          <t>LD-301005</t>
        </is>
      </c>
      <c r="B1007" t="inlineStr">
        <is>
          <t>2025-06-08 11:44:00</t>
        </is>
      </c>
      <c r="C1007" t="inlineStr">
        <is>
          <t>Cold Outreach</t>
        </is>
      </c>
      <c r="D1007" t="inlineStr">
        <is>
          <t>Competitive Exam Prep</t>
        </is>
      </c>
      <c r="E1007" t="inlineStr">
        <is>
          <t>West Region</t>
        </is>
      </c>
      <c r="F1007" t="inlineStr">
        <is>
          <t>Rep_03</t>
        </is>
      </c>
      <c r="G1007" t="n">
        <v>2.64</v>
      </c>
      <c r="H1007" t="inlineStr">
        <is>
          <t>Lead</t>
        </is>
      </c>
      <c r="I1007" t="inlineStr">
        <is>
          <t>Open</t>
        </is>
      </c>
      <c r="M1007">
        <f>VLOOKUP(H1007,'Stage Order'!$A$2:$B$8,2,FALSE)</f>
        <v/>
      </c>
      <c r="N1007">
        <f>IF(G1007&lt;=1,"1. Under 1 hour",IF(G1007&lt;=24,"2. 1-24 hours",IF(G1007&lt;=72,"3. 1-3 days","4. Over 3 days")))</f>
        <v/>
      </c>
      <c r="O1007">
        <f>TEXT(B1007,"YYYY-MM")</f>
        <v/>
      </c>
    </row>
    <row r="1008">
      <c r="A1008" t="inlineStr">
        <is>
          <t>LD-301006</t>
        </is>
      </c>
      <c r="B1008" t="inlineStr">
        <is>
          <t>2025-11-21 11:26:00</t>
        </is>
      </c>
      <c r="C1008" t="inlineStr">
        <is>
          <t>Organic Search</t>
        </is>
      </c>
      <c r="D1008" t="inlineStr">
        <is>
          <t>K-12 Math</t>
        </is>
      </c>
      <c r="E1008" t="inlineStr">
        <is>
          <t>West Region</t>
        </is>
      </c>
      <c r="F1008" t="inlineStr">
        <is>
          <t>Rep_08</t>
        </is>
      </c>
      <c r="G1008" t="n">
        <v>4.12</v>
      </c>
      <c r="H1008" t="inlineStr">
        <is>
          <t>Lead</t>
        </is>
      </c>
      <c r="I1008" t="inlineStr">
        <is>
          <t>Open</t>
        </is>
      </c>
      <c r="M1008">
        <f>VLOOKUP(H1008,'Stage Order'!$A$2:$B$8,2,FALSE)</f>
        <v/>
      </c>
      <c r="N1008">
        <f>IF(G1008&lt;=1,"1. Under 1 hour",IF(G1008&lt;=24,"2. 1-24 hours",IF(G1008&lt;=72,"3. 1-3 days","4. Over 3 days")))</f>
        <v/>
      </c>
      <c r="O1008">
        <f>TEXT(B1008,"YYYY-MM")</f>
        <v/>
      </c>
    </row>
    <row r="1009">
      <c r="A1009" t="inlineStr">
        <is>
          <t>LD-301007</t>
        </is>
      </c>
      <c r="B1009" t="inlineStr">
        <is>
          <t>2025-06-26 16:28:00</t>
        </is>
      </c>
      <c r="C1009" t="inlineStr">
        <is>
          <t>Referral</t>
        </is>
      </c>
      <c r="D1009" t="inlineStr">
        <is>
          <t>K-12 Math</t>
        </is>
      </c>
      <c r="E1009" t="inlineStr">
        <is>
          <t>South Region</t>
        </is>
      </c>
      <c r="F1009" t="inlineStr">
        <is>
          <t>Rep_07</t>
        </is>
      </c>
      <c r="G1009" t="n">
        <v>2.97</v>
      </c>
      <c r="H1009" t="inlineStr">
        <is>
          <t>Closed</t>
        </is>
      </c>
      <c r="I1009" t="inlineStr">
        <is>
          <t>Won</t>
        </is>
      </c>
      <c r="K1009" t="n">
        <v>412.3</v>
      </c>
      <c r="L1009" t="inlineStr">
        <is>
          <t>2025-07-24 17:28:19.861446</t>
        </is>
      </c>
      <c r="M1009">
        <f>VLOOKUP(H1009,'Stage Order'!$A$2:$B$8,2,FALSE)</f>
        <v/>
      </c>
      <c r="N1009">
        <f>IF(G1009&lt;=1,"1. Under 1 hour",IF(G1009&lt;=24,"2. 1-24 hours",IF(G1009&lt;=72,"3. 1-3 days","4. Over 3 days")))</f>
        <v/>
      </c>
      <c r="O1009">
        <f>TEXT(B1009,"YYYY-MM")</f>
        <v/>
      </c>
    </row>
    <row r="1010">
      <c r="A1010" t="inlineStr">
        <is>
          <t>LD-301008</t>
        </is>
      </c>
      <c r="B1010" t="inlineStr">
        <is>
          <t>2026-01-14 18:16:00</t>
        </is>
      </c>
      <c r="C1010" t="inlineStr">
        <is>
          <t>Partner Channel</t>
        </is>
      </c>
      <c r="D1010" t="inlineStr">
        <is>
          <t>Competitive Exam Prep</t>
        </is>
      </c>
      <c r="E1010" t="inlineStr">
        <is>
          <t>South Region</t>
        </is>
      </c>
      <c r="F1010" t="inlineStr">
        <is>
          <t>Rep_07</t>
        </is>
      </c>
      <c r="G1010" t="n">
        <v>10.78</v>
      </c>
      <c r="H1010" t="inlineStr">
        <is>
          <t>Negotiation</t>
        </is>
      </c>
      <c r="I1010" t="inlineStr">
        <is>
          <t>Lost</t>
        </is>
      </c>
      <c r="J1010" t="inlineStr">
        <is>
          <t>Price Objection</t>
        </is>
      </c>
      <c r="K1010" t="n">
        <v>1168.54</v>
      </c>
      <c r="L1010" t="inlineStr">
        <is>
          <t>2026-03-02 19:55:03.988938</t>
        </is>
      </c>
      <c r="M1010">
        <f>VLOOKUP(H1010,'Stage Order'!$A$2:$B$8,2,FALSE)</f>
        <v/>
      </c>
      <c r="N1010">
        <f>IF(G1010&lt;=1,"1. Under 1 hour",IF(G1010&lt;=24,"2. 1-24 hours",IF(G1010&lt;=72,"3. 1-3 days","4. Over 3 days")))</f>
        <v/>
      </c>
      <c r="O1010">
        <f>TEXT(B1010,"YYYY-MM")</f>
        <v/>
      </c>
    </row>
    <row r="1011">
      <c r="A1011" t="inlineStr">
        <is>
          <t>LD-301009</t>
        </is>
      </c>
      <c r="B1011" t="inlineStr">
        <is>
          <t>2025-10-26 15:42:00</t>
        </is>
      </c>
      <c r="C1011" t="inlineStr">
        <is>
          <t>Webinar</t>
        </is>
      </c>
      <c r="D1011" t="inlineStr">
        <is>
          <t>Language Learning</t>
        </is>
      </c>
      <c r="E1011" t="inlineStr">
        <is>
          <t>West Region</t>
        </is>
      </c>
      <c r="F1011" t="inlineStr">
        <is>
          <t>Rep_13</t>
        </is>
      </c>
      <c r="G1011" t="n">
        <v>2.74</v>
      </c>
      <c r="H1011" t="inlineStr">
        <is>
          <t>Contacted</t>
        </is>
      </c>
      <c r="I1011" t="inlineStr">
        <is>
          <t>Open</t>
        </is>
      </c>
      <c r="M1011">
        <f>VLOOKUP(H1011,'Stage Order'!$A$2:$B$8,2,FALSE)</f>
        <v/>
      </c>
      <c r="N1011">
        <f>IF(G1011&lt;=1,"1. Under 1 hour",IF(G1011&lt;=24,"2. 1-24 hours",IF(G1011&lt;=72,"3. 1-3 days","4. Over 3 days")))</f>
        <v/>
      </c>
      <c r="O1011">
        <f>TEXT(B1011,"YYYY-MM")</f>
        <v/>
      </c>
    </row>
    <row r="1012">
      <c r="A1012" t="inlineStr">
        <is>
          <t>LD-301010</t>
        </is>
      </c>
      <c r="B1012" t="inlineStr">
        <is>
          <t>2025-03-19 07:45:00</t>
        </is>
      </c>
      <c r="C1012" t="inlineStr">
        <is>
          <t>Social Media</t>
        </is>
      </c>
      <c r="D1012" t="inlineStr">
        <is>
          <t>Coding for Kids</t>
        </is>
      </c>
      <c r="E1012" t="inlineStr">
        <is>
          <t>South Region</t>
        </is>
      </c>
      <c r="F1012" t="inlineStr">
        <is>
          <t>Rep_02</t>
        </is>
      </c>
      <c r="G1012" t="n">
        <v>2.81</v>
      </c>
      <c r="H1012" t="inlineStr">
        <is>
          <t>Contacted</t>
        </is>
      </c>
      <c r="I1012" t="inlineStr">
        <is>
          <t>Open</t>
        </is>
      </c>
      <c r="M1012">
        <f>VLOOKUP(H1012,'Stage Order'!$A$2:$B$8,2,FALSE)</f>
        <v/>
      </c>
      <c r="N1012">
        <f>IF(G1012&lt;=1,"1. Under 1 hour",IF(G1012&lt;=24,"2. 1-24 hours",IF(G1012&lt;=72,"3. 1-3 days","4. Over 3 days")))</f>
        <v/>
      </c>
      <c r="O1012">
        <f>TEXT(B1012,"YYYY-MM")</f>
        <v/>
      </c>
    </row>
    <row r="1013">
      <c r="A1013" t="inlineStr">
        <is>
          <t>LD-301011</t>
        </is>
      </c>
      <c r="B1013" t="inlineStr">
        <is>
          <t>2026-06-04 15:48:00</t>
        </is>
      </c>
      <c r="C1013" t="inlineStr">
        <is>
          <t>Referral</t>
        </is>
      </c>
      <c r="D1013" t="inlineStr">
        <is>
          <t>Competitive Exam Prep</t>
        </is>
      </c>
      <c r="E1013" t="inlineStr">
        <is>
          <t>South Region</t>
        </is>
      </c>
      <c r="F1013" t="inlineStr">
        <is>
          <t>Rep_02</t>
        </is>
      </c>
      <c r="G1013" t="n">
        <v>1.99</v>
      </c>
      <c r="H1013" t="inlineStr">
        <is>
          <t>Contacted</t>
        </is>
      </c>
      <c r="I1013" t="inlineStr">
        <is>
          <t>Open</t>
        </is>
      </c>
      <c r="M1013">
        <f>VLOOKUP(H1013,'Stage Order'!$A$2:$B$8,2,FALSE)</f>
        <v/>
      </c>
      <c r="N1013">
        <f>IF(G1013&lt;=1,"1. Under 1 hour",IF(G1013&lt;=24,"2. 1-24 hours",IF(G1013&lt;=72,"3. 1-3 days","4. Over 3 days")))</f>
        <v/>
      </c>
      <c r="O1013">
        <f>TEXT(B1013,"YYYY-MM")</f>
        <v/>
      </c>
    </row>
    <row r="1014">
      <c r="A1014" t="inlineStr">
        <is>
          <t>LD-301012</t>
        </is>
      </c>
      <c r="B1014" t="inlineStr">
        <is>
          <t>2025-11-28 07:23:00</t>
        </is>
      </c>
      <c r="C1014" t="inlineStr">
        <is>
          <t>Paid Search</t>
        </is>
      </c>
      <c r="D1014" t="inlineStr">
        <is>
          <t>Competitive Exam Prep</t>
        </is>
      </c>
      <c r="E1014" t="inlineStr">
        <is>
          <t>North Region</t>
        </is>
      </c>
      <c r="F1014" t="inlineStr">
        <is>
          <t>Rep_11</t>
        </is>
      </c>
      <c r="G1014" t="n">
        <v>5.88</v>
      </c>
      <c r="H1014" t="inlineStr">
        <is>
          <t>Demo Scheduled</t>
        </is>
      </c>
      <c r="I1014" t="inlineStr">
        <is>
          <t>Open</t>
        </is>
      </c>
      <c r="M1014">
        <f>VLOOKUP(H1014,'Stage Order'!$A$2:$B$8,2,FALSE)</f>
        <v/>
      </c>
      <c r="N1014">
        <f>IF(G1014&lt;=1,"1. Under 1 hour",IF(G1014&lt;=24,"2. 1-24 hours",IF(G1014&lt;=72,"3. 1-3 days","4. Over 3 days")))</f>
        <v/>
      </c>
      <c r="O1014">
        <f>TEXT(B1014,"YYYY-MM")</f>
        <v/>
      </c>
    </row>
    <row r="1015">
      <c r="A1015" t="inlineStr">
        <is>
          <t>LD-301013</t>
        </is>
      </c>
      <c r="B1015" t="inlineStr">
        <is>
          <t>2025-07-15 16:01:00</t>
        </is>
      </c>
      <c r="C1015" t="inlineStr">
        <is>
          <t>Paid Search</t>
        </is>
      </c>
      <c r="D1015" t="inlineStr">
        <is>
          <t>Language Learning</t>
        </is>
      </c>
      <c r="E1015" t="inlineStr">
        <is>
          <t>West Region</t>
        </is>
      </c>
      <c r="F1015" t="inlineStr">
        <is>
          <t>Rep_13</t>
        </is>
      </c>
      <c r="G1015" t="n">
        <v>5.31</v>
      </c>
      <c r="H1015" t="inlineStr">
        <is>
          <t>Demo Completed</t>
        </is>
      </c>
      <c r="I1015" t="inlineStr">
        <is>
          <t>Lost</t>
        </is>
      </c>
      <c r="J1015" t="inlineStr">
        <is>
          <t>Went With Competitor</t>
        </is>
      </c>
      <c r="K1015" t="n">
        <v>401.03</v>
      </c>
      <c r="L1015" t="inlineStr">
        <is>
          <t>2025-08-08 23:11:20.048381</t>
        </is>
      </c>
      <c r="M1015">
        <f>VLOOKUP(H1015,'Stage Order'!$A$2:$B$8,2,FALSE)</f>
        <v/>
      </c>
      <c r="N1015">
        <f>IF(G1015&lt;=1,"1. Under 1 hour",IF(G1015&lt;=24,"2. 1-24 hours",IF(G1015&lt;=72,"3. 1-3 days","4. Over 3 days")))</f>
        <v/>
      </c>
      <c r="O1015">
        <f>TEXT(B1015,"YYYY-MM")</f>
        <v/>
      </c>
    </row>
    <row r="1016">
      <c r="A1016" t="inlineStr">
        <is>
          <t>LD-301014</t>
        </is>
      </c>
      <c r="B1016" t="inlineStr">
        <is>
          <t>2025-07-24 08:47:00</t>
        </is>
      </c>
      <c r="C1016" t="inlineStr">
        <is>
          <t>Paid Search</t>
        </is>
      </c>
      <c r="D1016" t="inlineStr">
        <is>
          <t>Coding for Kids</t>
        </is>
      </c>
      <c r="E1016" t="inlineStr">
        <is>
          <t>International</t>
        </is>
      </c>
      <c r="F1016" t="inlineStr">
        <is>
          <t>Rep_10</t>
        </is>
      </c>
      <c r="G1016" t="n">
        <v>3.52</v>
      </c>
      <c r="H1016" t="inlineStr">
        <is>
          <t>Closed</t>
        </is>
      </c>
      <c r="I1016" t="inlineStr">
        <is>
          <t>Won</t>
        </is>
      </c>
      <c r="K1016" t="n">
        <v>702.64</v>
      </c>
      <c r="L1016" t="inlineStr">
        <is>
          <t>2025-08-22 21:19:53.348499</t>
        </is>
      </c>
      <c r="M1016">
        <f>VLOOKUP(H1016,'Stage Order'!$A$2:$B$8,2,FALSE)</f>
        <v/>
      </c>
      <c r="N1016">
        <f>IF(G1016&lt;=1,"1. Under 1 hour",IF(G1016&lt;=24,"2. 1-24 hours",IF(G1016&lt;=72,"3. 1-3 days","4. Over 3 days")))</f>
        <v/>
      </c>
      <c r="O1016">
        <f>TEXT(B1016,"YYYY-MM")</f>
        <v/>
      </c>
    </row>
    <row r="1017">
      <c r="A1017" t="inlineStr">
        <is>
          <t>LD-301015</t>
        </is>
      </c>
      <c r="B1017" t="inlineStr">
        <is>
          <t>2025-05-21 07:58:00</t>
        </is>
      </c>
      <c r="C1017" t="inlineStr">
        <is>
          <t>Organic Search</t>
        </is>
      </c>
      <c r="D1017" t="inlineStr">
        <is>
          <t>Language Learning</t>
        </is>
      </c>
      <c r="E1017" t="inlineStr">
        <is>
          <t>South Region</t>
        </is>
      </c>
      <c r="F1017" t="inlineStr">
        <is>
          <t>Rep_12</t>
        </is>
      </c>
      <c r="G1017" t="n">
        <v>4.4</v>
      </c>
      <c r="H1017" t="inlineStr">
        <is>
          <t>Closed</t>
        </is>
      </c>
      <c r="I1017" t="inlineStr">
        <is>
          <t>Won</t>
        </is>
      </c>
      <c r="K1017" t="n">
        <v>387.65</v>
      </c>
      <c r="L1017" t="inlineStr">
        <is>
          <t>2025-06-27 11:31:04.277409</t>
        </is>
      </c>
      <c r="M1017">
        <f>VLOOKUP(H1017,'Stage Order'!$A$2:$B$8,2,FALSE)</f>
        <v/>
      </c>
      <c r="N1017">
        <f>IF(G1017&lt;=1,"1. Under 1 hour",IF(G1017&lt;=24,"2. 1-24 hours",IF(G1017&lt;=72,"3. 1-3 days","4. Over 3 days")))</f>
        <v/>
      </c>
      <c r="O1017">
        <f>TEXT(B1017,"YYYY-MM")</f>
        <v/>
      </c>
    </row>
    <row r="1018">
      <c r="A1018" t="inlineStr">
        <is>
          <t>LD-301016</t>
        </is>
      </c>
      <c r="B1018" t="inlineStr">
        <is>
          <t>2026-05-25 07:57:00</t>
        </is>
      </c>
      <c r="C1018" t="inlineStr">
        <is>
          <t>Paid Search</t>
        </is>
      </c>
      <c r="D1018" t="inlineStr">
        <is>
          <t>Language Learning</t>
        </is>
      </c>
      <c r="E1018" t="inlineStr">
        <is>
          <t>South Region</t>
        </is>
      </c>
      <c r="F1018" t="inlineStr">
        <is>
          <t>Rep_07</t>
        </is>
      </c>
      <c r="G1018" t="n">
        <v>1.05</v>
      </c>
      <c r="H1018" t="inlineStr">
        <is>
          <t>Lead</t>
        </is>
      </c>
      <c r="I1018" t="inlineStr">
        <is>
          <t>Open</t>
        </is>
      </c>
      <c r="M1018">
        <f>VLOOKUP(H1018,'Stage Order'!$A$2:$B$8,2,FALSE)</f>
        <v/>
      </c>
      <c r="N1018">
        <f>IF(G1018&lt;=1,"1. Under 1 hour",IF(G1018&lt;=24,"2. 1-24 hours",IF(G1018&lt;=72,"3. 1-3 days","4. Over 3 days")))</f>
        <v/>
      </c>
      <c r="O1018">
        <f>TEXT(B1018,"YYYY-MM")</f>
        <v/>
      </c>
    </row>
    <row r="1019">
      <c r="A1019" t="inlineStr">
        <is>
          <t>LD-301017</t>
        </is>
      </c>
      <c r="B1019" t="inlineStr">
        <is>
          <t>2026-02-26 09:51:00</t>
        </is>
      </c>
      <c r="C1019" t="inlineStr">
        <is>
          <t>Paid Search</t>
        </is>
      </c>
      <c r="D1019" t="inlineStr">
        <is>
          <t>Coding for Kids</t>
        </is>
      </c>
      <c r="E1019" t="inlineStr">
        <is>
          <t>North Region</t>
        </is>
      </c>
      <c r="F1019" t="inlineStr">
        <is>
          <t>Rep_06</t>
        </is>
      </c>
      <c r="G1019" t="n">
        <v>3.33</v>
      </c>
      <c r="H1019" t="inlineStr">
        <is>
          <t>Contacted</t>
        </is>
      </c>
      <c r="I1019" t="inlineStr">
        <is>
          <t>Open</t>
        </is>
      </c>
      <c r="M1019">
        <f>VLOOKUP(H1019,'Stage Order'!$A$2:$B$8,2,FALSE)</f>
        <v/>
      </c>
      <c r="N1019">
        <f>IF(G1019&lt;=1,"1. Under 1 hour",IF(G1019&lt;=24,"2. 1-24 hours",IF(G1019&lt;=72,"3. 1-3 days","4. Over 3 days")))</f>
        <v/>
      </c>
      <c r="O1019">
        <f>TEXT(B1019,"YYYY-MM")</f>
        <v/>
      </c>
    </row>
    <row r="1020">
      <c r="A1020" t="inlineStr">
        <is>
          <t>LD-301018</t>
        </is>
      </c>
      <c r="B1020" t="inlineStr">
        <is>
          <t>2025-07-22 13:47:00</t>
        </is>
      </c>
      <c r="C1020" t="inlineStr">
        <is>
          <t>Organic Search</t>
        </is>
      </c>
      <c r="D1020" t="inlineStr">
        <is>
          <t>Coding for Kids</t>
        </is>
      </c>
      <c r="E1020" t="inlineStr">
        <is>
          <t>West Region</t>
        </is>
      </c>
      <c r="F1020" t="inlineStr">
        <is>
          <t>Rep_08</t>
        </is>
      </c>
      <c r="G1020" t="n">
        <v>1.94</v>
      </c>
      <c r="H1020" t="inlineStr">
        <is>
          <t>Demo Completed</t>
        </is>
      </c>
      <c r="I1020" t="inlineStr">
        <is>
          <t>Lost</t>
        </is>
      </c>
      <c r="J1020" t="inlineStr">
        <is>
          <t>Bad Timing</t>
        </is>
      </c>
      <c r="K1020" t="n">
        <v>642.5700000000001</v>
      </c>
      <c r="L1020" t="inlineStr">
        <is>
          <t>2025-08-20 07:25:12.897806</t>
        </is>
      </c>
      <c r="M1020">
        <f>VLOOKUP(H1020,'Stage Order'!$A$2:$B$8,2,FALSE)</f>
        <v/>
      </c>
      <c r="N1020">
        <f>IF(G1020&lt;=1,"1. Under 1 hour",IF(G1020&lt;=24,"2. 1-24 hours",IF(G1020&lt;=72,"3. 1-3 days","4. Over 3 days")))</f>
        <v/>
      </c>
      <c r="O1020">
        <f>TEXT(B1020,"YYYY-MM")</f>
        <v/>
      </c>
    </row>
    <row r="1021">
      <c r="A1021" t="inlineStr">
        <is>
          <t>LD-301019</t>
        </is>
      </c>
      <c r="B1021" t="inlineStr">
        <is>
          <t>2026-01-21 09:03:00</t>
        </is>
      </c>
      <c r="C1021" t="inlineStr">
        <is>
          <t>Paid Search</t>
        </is>
      </c>
      <c r="D1021" t="inlineStr">
        <is>
          <t>Competitive Exam Prep</t>
        </is>
      </c>
      <c r="E1021" t="inlineStr">
        <is>
          <t>North Region</t>
        </is>
      </c>
      <c r="F1021" t="inlineStr">
        <is>
          <t>Rep_11</t>
        </is>
      </c>
      <c r="G1021" t="n">
        <v>3.12</v>
      </c>
      <c r="H1021" t="inlineStr">
        <is>
          <t>Negotiation</t>
        </is>
      </c>
      <c r="I1021" t="inlineStr">
        <is>
          <t>Lost</t>
        </is>
      </c>
      <c r="J1021" t="inlineStr">
        <is>
          <t>Price Objection</t>
        </is>
      </c>
      <c r="K1021" t="n">
        <v>1181.63</v>
      </c>
      <c r="L1021" t="inlineStr">
        <is>
          <t>2026-02-27 07:32:18.870438</t>
        </is>
      </c>
      <c r="M1021">
        <f>VLOOKUP(H1021,'Stage Order'!$A$2:$B$8,2,FALSE)</f>
        <v/>
      </c>
      <c r="N1021">
        <f>IF(G1021&lt;=1,"1. Under 1 hour",IF(G1021&lt;=24,"2. 1-24 hours",IF(G1021&lt;=72,"3. 1-3 days","4. Over 3 days")))</f>
        <v/>
      </c>
      <c r="O1021">
        <f>TEXT(B1021,"YYYY-MM")</f>
        <v/>
      </c>
    </row>
    <row r="1022">
      <c r="A1022" t="inlineStr">
        <is>
          <t>LD-301020</t>
        </is>
      </c>
      <c r="B1022" t="inlineStr">
        <is>
          <t>2025-09-16 11:20:00</t>
        </is>
      </c>
      <c r="C1022" t="inlineStr">
        <is>
          <t>Webinar</t>
        </is>
      </c>
      <c r="D1022" t="inlineStr">
        <is>
          <t>K-12 Math</t>
        </is>
      </c>
      <c r="E1022" t="inlineStr">
        <is>
          <t>West Region</t>
        </is>
      </c>
      <c r="F1022" t="inlineStr">
        <is>
          <t>Rep_03</t>
        </is>
      </c>
      <c r="G1022" t="n">
        <v>1.99</v>
      </c>
      <c r="H1022" t="inlineStr">
        <is>
          <t>Contacted</t>
        </is>
      </c>
      <c r="I1022" t="inlineStr">
        <is>
          <t>Open</t>
        </is>
      </c>
      <c r="M1022">
        <f>VLOOKUP(H1022,'Stage Order'!$A$2:$B$8,2,FALSE)</f>
        <v/>
      </c>
      <c r="N1022">
        <f>IF(G1022&lt;=1,"1. Under 1 hour",IF(G1022&lt;=24,"2. 1-24 hours",IF(G1022&lt;=72,"3. 1-3 days","4. Over 3 days")))</f>
        <v/>
      </c>
      <c r="O1022">
        <f>TEXT(B1022,"YYYY-MM")</f>
        <v/>
      </c>
    </row>
    <row r="1023">
      <c r="A1023" t="inlineStr">
        <is>
          <t>LD-301021</t>
        </is>
      </c>
      <c r="B1023" t="inlineStr">
        <is>
          <t>2025-07-08 10:23:00</t>
        </is>
      </c>
      <c r="C1023" t="inlineStr">
        <is>
          <t>Organic Search</t>
        </is>
      </c>
      <c r="D1023" t="inlineStr">
        <is>
          <t>Language Learning</t>
        </is>
      </c>
      <c r="E1023" t="inlineStr">
        <is>
          <t>West Region</t>
        </is>
      </c>
      <c r="F1023" t="inlineStr">
        <is>
          <t>Rep_13</t>
        </is>
      </c>
      <c r="G1023" t="n">
        <v>0.21</v>
      </c>
      <c r="H1023" t="inlineStr">
        <is>
          <t>Contacted</t>
        </is>
      </c>
      <c r="I1023" t="inlineStr">
        <is>
          <t>Open</t>
        </is>
      </c>
      <c r="M1023">
        <f>VLOOKUP(H1023,'Stage Order'!$A$2:$B$8,2,FALSE)</f>
        <v/>
      </c>
      <c r="N1023">
        <f>IF(G1023&lt;=1,"1. Under 1 hour",IF(G1023&lt;=24,"2. 1-24 hours",IF(G1023&lt;=72,"3. 1-3 days","4. Over 3 days")))</f>
        <v/>
      </c>
      <c r="O1023">
        <f>TEXT(B1023,"YYYY-MM")</f>
        <v/>
      </c>
    </row>
    <row r="1024">
      <c r="A1024" t="inlineStr">
        <is>
          <t>LD-301022</t>
        </is>
      </c>
      <c r="B1024" t="inlineStr">
        <is>
          <t>2025-06-28 10:21:00</t>
        </is>
      </c>
      <c r="C1024" t="inlineStr">
        <is>
          <t>Organic Search</t>
        </is>
      </c>
      <c r="D1024" t="inlineStr">
        <is>
          <t>Competitive Exam Prep</t>
        </is>
      </c>
      <c r="E1024" t="inlineStr">
        <is>
          <t>West Region</t>
        </is>
      </c>
      <c r="F1024" t="inlineStr">
        <is>
          <t>Rep_13</t>
        </is>
      </c>
      <c r="G1024" t="n">
        <v>2.49</v>
      </c>
      <c r="H1024" t="inlineStr">
        <is>
          <t>Contacted</t>
        </is>
      </c>
      <c r="I1024" t="inlineStr">
        <is>
          <t>Open</t>
        </is>
      </c>
      <c r="M1024">
        <f>VLOOKUP(H1024,'Stage Order'!$A$2:$B$8,2,FALSE)</f>
        <v/>
      </c>
      <c r="N1024">
        <f>IF(G1024&lt;=1,"1. Under 1 hour",IF(G1024&lt;=24,"2. 1-24 hours",IF(G1024&lt;=72,"3. 1-3 days","4. Over 3 days")))</f>
        <v/>
      </c>
      <c r="O1024">
        <f>TEXT(B1024,"YYYY-MM")</f>
        <v/>
      </c>
    </row>
    <row r="1025">
      <c r="A1025" t="inlineStr">
        <is>
          <t>LD-301023</t>
        </is>
      </c>
      <c r="B1025" t="inlineStr">
        <is>
          <t>2025-07-31 15:28:00</t>
        </is>
      </c>
      <c r="C1025" t="inlineStr">
        <is>
          <t>Partner Channel</t>
        </is>
      </c>
      <c r="D1025" t="inlineStr">
        <is>
          <t>K-12 Math</t>
        </is>
      </c>
      <c r="E1025" t="inlineStr">
        <is>
          <t>International</t>
        </is>
      </c>
      <c r="F1025" t="inlineStr">
        <is>
          <t>Rep_15</t>
        </is>
      </c>
      <c r="G1025" t="n">
        <v>3.95</v>
      </c>
      <c r="H1025" t="inlineStr">
        <is>
          <t>Contacted</t>
        </is>
      </c>
      <c r="I1025" t="inlineStr">
        <is>
          <t>Open</t>
        </is>
      </c>
      <c r="M1025">
        <f>VLOOKUP(H1025,'Stage Order'!$A$2:$B$8,2,FALSE)</f>
        <v/>
      </c>
      <c r="N1025">
        <f>IF(G1025&lt;=1,"1. Under 1 hour",IF(G1025&lt;=24,"2. 1-24 hours",IF(G1025&lt;=72,"3. 1-3 days","4. Over 3 days")))</f>
        <v/>
      </c>
      <c r="O1025">
        <f>TEXT(B1025,"YYYY-MM")</f>
        <v/>
      </c>
    </row>
    <row r="1026">
      <c r="A1026" t="inlineStr">
        <is>
          <t>LD-301024</t>
        </is>
      </c>
      <c r="B1026" t="inlineStr">
        <is>
          <t>2026-01-19 12:40:00</t>
        </is>
      </c>
      <c r="C1026" t="inlineStr">
        <is>
          <t>Partner Channel</t>
        </is>
      </c>
      <c r="D1026" t="inlineStr">
        <is>
          <t>K-12 Math</t>
        </is>
      </c>
      <c r="E1026" t="inlineStr">
        <is>
          <t>East Region</t>
        </is>
      </c>
      <c r="F1026" t="inlineStr">
        <is>
          <t>Rep_04</t>
        </is>
      </c>
      <c r="G1026" t="n">
        <v>1.51</v>
      </c>
      <c r="H1026" t="inlineStr">
        <is>
          <t>Proposal Sent</t>
        </is>
      </c>
      <c r="I1026" t="inlineStr">
        <is>
          <t>Lost</t>
        </is>
      </c>
      <c r="J1026" t="inlineStr">
        <is>
          <t>Bad Timing</t>
        </is>
      </c>
      <c r="K1026" t="n">
        <v>448.43</v>
      </c>
      <c r="L1026" t="inlineStr">
        <is>
          <t>2026-02-24 10:06:55.730643</t>
        </is>
      </c>
      <c r="M1026">
        <f>VLOOKUP(H1026,'Stage Order'!$A$2:$B$8,2,FALSE)</f>
        <v/>
      </c>
      <c r="N1026">
        <f>IF(G1026&lt;=1,"1. Under 1 hour",IF(G1026&lt;=24,"2. 1-24 hours",IF(G1026&lt;=72,"3. 1-3 days","4. Over 3 days")))</f>
        <v/>
      </c>
      <c r="O1026">
        <f>TEXT(B1026,"YYYY-MM")</f>
        <v/>
      </c>
    </row>
    <row r="1027">
      <c r="A1027" t="inlineStr">
        <is>
          <t>LD-301025</t>
        </is>
      </c>
      <c r="B1027" t="inlineStr">
        <is>
          <t>2026-05-23 15:32:00</t>
        </is>
      </c>
      <c r="C1027" t="inlineStr">
        <is>
          <t>Partner Channel</t>
        </is>
      </c>
      <c r="D1027" t="inlineStr">
        <is>
          <t>Competitive Exam Prep</t>
        </is>
      </c>
      <c r="E1027" t="inlineStr">
        <is>
          <t>West Region</t>
        </is>
      </c>
      <c r="F1027" t="inlineStr">
        <is>
          <t>Rep_13</t>
        </is>
      </c>
      <c r="G1027" t="n">
        <v>2.48</v>
      </c>
      <c r="H1027" t="inlineStr">
        <is>
          <t>Demo Completed</t>
        </is>
      </c>
      <c r="I1027" t="inlineStr">
        <is>
          <t>Lost</t>
        </is>
      </c>
      <c r="J1027" t="inlineStr">
        <is>
          <t>Went With Competitor</t>
        </is>
      </c>
      <c r="K1027" t="n">
        <v>1048.06</v>
      </c>
      <c r="L1027" t="inlineStr">
        <is>
          <t>2026-06-11 09:37:44.140610</t>
        </is>
      </c>
      <c r="M1027">
        <f>VLOOKUP(H1027,'Stage Order'!$A$2:$B$8,2,FALSE)</f>
        <v/>
      </c>
      <c r="N1027">
        <f>IF(G1027&lt;=1,"1. Under 1 hour",IF(G1027&lt;=24,"2. 1-24 hours",IF(G1027&lt;=72,"3. 1-3 days","4. Over 3 days")))</f>
        <v/>
      </c>
      <c r="O1027">
        <f>TEXT(B1027,"YYYY-MM")</f>
        <v/>
      </c>
    </row>
    <row r="1028">
      <c r="A1028" t="inlineStr">
        <is>
          <t>LD-301026</t>
        </is>
      </c>
      <c r="B1028" t="inlineStr">
        <is>
          <t>2025-10-31 20:10:00</t>
        </is>
      </c>
      <c r="C1028" t="inlineStr">
        <is>
          <t>Cold Outreach</t>
        </is>
      </c>
      <c r="D1028" t="inlineStr">
        <is>
          <t>Coding for Kids</t>
        </is>
      </c>
      <c r="E1028" t="inlineStr">
        <is>
          <t>West Region</t>
        </is>
      </c>
      <c r="F1028" t="inlineStr">
        <is>
          <t>Rep_08</t>
        </is>
      </c>
      <c r="G1028" t="n">
        <v>1.3</v>
      </c>
      <c r="H1028" t="inlineStr">
        <is>
          <t>Lead</t>
        </is>
      </c>
      <c r="I1028" t="inlineStr">
        <is>
          <t>Open</t>
        </is>
      </c>
      <c r="M1028">
        <f>VLOOKUP(H1028,'Stage Order'!$A$2:$B$8,2,FALSE)</f>
        <v/>
      </c>
      <c r="N1028">
        <f>IF(G1028&lt;=1,"1. Under 1 hour",IF(G1028&lt;=24,"2. 1-24 hours",IF(G1028&lt;=72,"3. 1-3 days","4. Over 3 days")))</f>
        <v/>
      </c>
      <c r="O1028">
        <f>TEXT(B1028,"YYYY-MM")</f>
        <v/>
      </c>
    </row>
    <row r="1029">
      <c r="A1029" t="inlineStr">
        <is>
          <t>LD-301027</t>
        </is>
      </c>
      <c r="B1029" t="inlineStr">
        <is>
          <t>2025-04-11 16:57:00</t>
        </is>
      </c>
      <c r="C1029" t="inlineStr">
        <is>
          <t>Webinar</t>
        </is>
      </c>
      <c r="D1029" t="inlineStr">
        <is>
          <t>Study Abroad Prep</t>
        </is>
      </c>
      <c r="E1029" t="inlineStr">
        <is>
          <t>North Region</t>
        </is>
      </c>
      <c r="F1029" t="inlineStr">
        <is>
          <t>Rep_06</t>
        </is>
      </c>
      <c r="G1029" t="n">
        <v>3.98</v>
      </c>
      <c r="H1029" t="inlineStr">
        <is>
          <t>Contacted</t>
        </is>
      </c>
      <c r="I1029" t="inlineStr">
        <is>
          <t>Open</t>
        </is>
      </c>
      <c r="M1029">
        <f>VLOOKUP(H1029,'Stage Order'!$A$2:$B$8,2,FALSE)</f>
        <v/>
      </c>
      <c r="N1029">
        <f>IF(G1029&lt;=1,"1. Under 1 hour",IF(G1029&lt;=24,"2. 1-24 hours",IF(G1029&lt;=72,"3. 1-3 days","4. Over 3 days")))</f>
        <v/>
      </c>
      <c r="O1029">
        <f>TEXT(B1029,"YYYY-MM")</f>
        <v/>
      </c>
    </row>
    <row r="1030">
      <c r="A1030" t="inlineStr">
        <is>
          <t>LD-301028</t>
        </is>
      </c>
      <c r="B1030" t="inlineStr">
        <is>
          <t>2026-02-28 12:37:00</t>
        </is>
      </c>
      <c r="C1030" t="inlineStr">
        <is>
          <t>Social Media</t>
        </is>
      </c>
      <c r="D1030" t="inlineStr">
        <is>
          <t>Competitive Exam Prep</t>
        </is>
      </c>
      <c r="E1030" t="inlineStr">
        <is>
          <t>West Region</t>
        </is>
      </c>
      <c r="F1030" t="inlineStr">
        <is>
          <t>Rep_13</t>
        </is>
      </c>
      <c r="G1030" t="n">
        <v>0.54</v>
      </c>
      <c r="H1030" t="inlineStr">
        <is>
          <t>Negotiation</t>
        </is>
      </c>
      <c r="I1030" t="inlineStr">
        <is>
          <t>Lost</t>
        </is>
      </c>
      <c r="J1030" t="inlineStr">
        <is>
          <t>Bad Timing</t>
        </is>
      </c>
      <c r="K1030" t="n">
        <v>1006.32</v>
      </c>
      <c r="L1030" t="inlineStr">
        <is>
          <t>2026-04-03 17:06:22.040254</t>
        </is>
      </c>
      <c r="M1030">
        <f>VLOOKUP(H1030,'Stage Order'!$A$2:$B$8,2,FALSE)</f>
        <v/>
      </c>
      <c r="N1030">
        <f>IF(G1030&lt;=1,"1. Under 1 hour",IF(G1030&lt;=24,"2. 1-24 hours",IF(G1030&lt;=72,"3. 1-3 days","4. Over 3 days")))</f>
        <v/>
      </c>
      <c r="O1030">
        <f>TEXT(B1030,"YYYY-MM")</f>
        <v/>
      </c>
    </row>
    <row r="1031">
      <c r="A1031" t="inlineStr">
        <is>
          <t>LD-301029</t>
        </is>
      </c>
      <c r="B1031" t="inlineStr">
        <is>
          <t>2026-03-18 12:41:00</t>
        </is>
      </c>
      <c r="C1031" t="inlineStr">
        <is>
          <t>Paid Search</t>
        </is>
      </c>
      <c r="D1031" t="inlineStr">
        <is>
          <t>K-12 Math</t>
        </is>
      </c>
      <c r="E1031" t="inlineStr">
        <is>
          <t>East Region</t>
        </is>
      </c>
      <c r="F1031" t="inlineStr">
        <is>
          <t>Rep_14</t>
        </is>
      </c>
      <c r="G1031" t="n">
        <v>3.51</v>
      </c>
      <c r="H1031" t="inlineStr">
        <is>
          <t>Lead</t>
        </is>
      </c>
      <c r="I1031" t="inlineStr">
        <is>
          <t>Open</t>
        </is>
      </c>
      <c r="M1031">
        <f>VLOOKUP(H1031,'Stage Order'!$A$2:$B$8,2,FALSE)</f>
        <v/>
      </c>
      <c r="N1031">
        <f>IF(G1031&lt;=1,"1. Under 1 hour",IF(G1031&lt;=24,"2. 1-24 hours",IF(G1031&lt;=72,"3. 1-3 days","4. Over 3 days")))</f>
        <v/>
      </c>
      <c r="O1031">
        <f>TEXT(B1031,"YYYY-MM")</f>
        <v/>
      </c>
    </row>
    <row r="1032">
      <c r="A1032" t="inlineStr">
        <is>
          <t>LD-301030</t>
        </is>
      </c>
      <c r="B1032" t="inlineStr">
        <is>
          <t>2025-01-21 07:37:00</t>
        </is>
      </c>
      <c r="C1032" t="inlineStr">
        <is>
          <t>Partner Channel</t>
        </is>
      </c>
      <c r="D1032" t="inlineStr">
        <is>
          <t>Study Abroad Prep</t>
        </is>
      </c>
      <c r="E1032" t="inlineStr">
        <is>
          <t>North Region</t>
        </is>
      </c>
      <c r="F1032" t="inlineStr">
        <is>
          <t>Rep_01</t>
        </is>
      </c>
      <c r="G1032" t="n">
        <v>9.85</v>
      </c>
      <c r="H1032" t="inlineStr">
        <is>
          <t>Closed</t>
        </is>
      </c>
      <c r="I1032" t="inlineStr">
        <is>
          <t>Won</t>
        </is>
      </c>
      <c r="K1032" t="n">
        <v>1202.09</v>
      </c>
      <c r="L1032" t="inlineStr">
        <is>
          <t>2025-02-25 21:04:55.301980</t>
        </is>
      </c>
      <c r="M1032">
        <f>VLOOKUP(H1032,'Stage Order'!$A$2:$B$8,2,FALSE)</f>
        <v/>
      </c>
      <c r="N1032">
        <f>IF(G1032&lt;=1,"1. Under 1 hour",IF(G1032&lt;=24,"2. 1-24 hours",IF(G1032&lt;=72,"3. 1-3 days","4. Over 3 days")))</f>
        <v/>
      </c>
      <c r="O1032">
        <f>TEXT(B1032,"YYYY-MM")</f>
        <v/>
      </c>
    </row>
    <row r="1033">
      <c r="A1033" t="inlineStr">
        <is>
          <t>LD-301031</t>
        </is>
      </c>
      <c r="B1033" t="inlineStr">
        <is>
          <t>2025-12-10 08:59:00</t>
        </is>
      </c>
      <c r="C1033" t="inlineStr">
        <is>
          <t>Organic Search</t>
        </is>
      </c>
      <c r="D1033" t="inlineStr">
        <is>
          <t>Competitive Exam Prep</t>
        </is>
      </c>
      <c r="E1033" t="inlineStr">
        <is>
          <t>South Region</t>
        </is>
      </c>
      <c r="F1033" t="inlineStr">
        <is>
          <t>Rep_07</t>
        </is>
      </c>
      <c r="G1033" t="n">
        <v>2.29</v>
      </c>
      <c r="H1033" t="inlineStr">
        <is>
          <t>Contacted</t>
        </is>
      </c>
      <c r="I1033" t="inlineStr">
        <is>
          <t>Open</t>
        </is>
      </c>
      <c r="M1033">
        <f>VLOOKUP(H1033,'Stage Order'!$A$2:$B$8,2,FALSE)</f>
        <v/>
      </c>
      <c r="N1033">
        <f>IF(G1033&lt;=1,"1. Under 1 hour",IF(G1033&lt;=24,"2. 1-24 hours",IF(G1033&lt;=72,"3. 1-3 days","4. Over 3 days")))</f>
        <v/>
      </c>
      <c r="O1033">
        <f>TEXT(B1033,"YYYY-MM")</f>
        <v/>
      </c>
    </row>
    <row r="1034">
      <c r="A1034" t="inlineStr">
        <is>
          <t>LD-301032</t>
        </is>
      </c>
      <c r="B1034" t="inlineStr">
        <is>
          <t>2025-07-31 16:44:00</t>
        </is>
      </c>
      <c r="C1034" t="inlineStr">
        <is>
          <t>Referral</t>
        </is>
      </c>
      <c r="D1034" t="inlineStr">
        <is>
          <t>Coding for Kids</t>
        </is>
      </c>
      <c r="E1034" t="inlineStr">
        <is>
          <t>West Region</t>
        </is>
      </c>
      <c r="F1034" t="inlineStr">
        <is>
          <t>Rep_03</t>
        </is>
      </c>
      <c r="G1034" t="n">
        <v>3.01</v>
      </c>
      <c r="H1034" t="inlineStr">
        <is>
          <t>Negotiation</t>
        </is>
      </c>
      <c r="I1034" t="inlineStr">
        <is>
          <t>Lost</t>
        </is>
      </c>
      <c r="J1034" t="inlineStr">
        <is>
          <t>Bad Timing</t>
        </is>
      </c>
      <c r="K1034" t="n">
        <v>527.1900000000001</v>
      </c>
      <c r="L1034" t="inlineStr">
        <is>
          <t>2025-09-19 05:56:07.827000</t>
        </is>
      </c>
      <c r="M1034">
        <f>VLOOKUP(H1034,'Stage Order'!$A$2:$B$8,2,FALSE)</f>
        <v/>
      </c>
      <c r="N1034">
        <f>IF(G1034&lt;=1,"1. Under 1 hour",IF(G1034&lt;=24,"2. 1-24 hours",IF(G1034&lt;=72,"3. 1-3 days","4. Over 3 days")))</f>
        <v/>
      </c>
      <c r="O1034">
        <f>TEXT(B1034,"YYYY-MM")</f>
        <v/>
      </c>
    </row>
    <row r="1035">
      <c r="A1035" t="inlineStr">
        <is>
          <t>LD-301033</t>
        </is>
      </c>
      <c r="B1035" t="inlineStr">
        <is>
          <t>2025-02-27 09:28:00</t>
        </is>
      </c>
      <c r="C1035" t="inlineStr">
        <is>
          <t>Paid Search</t>
        </is>
      </c>
      <c r="D1035" t="inlineStr">
        <is>
          <t>Coding for Kids</t>
        </is>
      </c>
      <c r="E1035" t="inlineStr">
        <is>
          <t>West Region</t>
        </is>
      </c>
      <c r="F1035" t="inlineStr">
        <is>
          <t>Rep_13</t>
        </is>
      </c>
      <c r="G1035" t="n">
        <v>5.57</v>
      </c>
      <c r="H1035" t="inlineStr">
        <is>
          <t>Demo Completed</t>
        </is>
      </c>
      <c r="I1035" t="inlineStr">
        <is>
          <t>Lost</t>
        </is>
      </c>
      <c r="J1035" t="inlineStr">
        <is>
          <t>Bad Timing</t>
        </is>
      </c>
      <c r="K1035" t="n">
        <v>740.9299999999999</v>
      </c>
      <c r="L1035" t="inlineStr">
        <is>
          <t>2025-04-05 11:26:04.299817</t>
        </is>
      </c>
      <c r="M1035">
        <f>VLOOKUP(H1035,'Stage Order'!$A$2:$B$8,2,FALSE)</f>
        <v/>
      </c>
      <c r="N1035">
        <f>IF(G1035&lt;=1,"1. Under 1 hour",IF(G1035&lt;=24,"2. 1-24 hours",IF(G1035&lt;=72,"3. 1-3 days","4. Over 3 days")))</f>
        <v/>
      </c>
      <c r="O1035">
        <f>TEXT(B1035,"YYYY-MM")</f>
        <v/>
      </c>
    </row>
    <row r="1036">
      <c r="A1036" t="inlineStr">
        <is>
          <t>LD-301034</t>
        </is>
      </c>
      <c r="B1036" t="inlineStr">
        <is>
          <t>2025-01-07 07:43:00</t>
        </is>
      </c>
      <c r="C1036" t="inlineStr">
        <is>
          <t>Cold Outreach</t>
        </is>
      </c>
      <c r="D1036" t="inlineStr">
        <is>
          <t>K-12 Math</t>
        </is>
      </c>
      <c r="E1036" t="inlineStr">
        <is>
          <t>International</t>
        </is>
      </c>
      <c r="F1036" t="inlineStr">
        <is>
          <t>Rep_05</t>
        </is>
      </c>
      <c r="G1036" t="n">
        <v>1.61</v>
      </c>
      <c r="H1036" t="inlineStr">
        <is>
          <t>Lead</t>
        </is>
      </c>
      <c r="I1036" t="inlineStr">
        <is>
          <t>Open</t>
        </is>
      </c>
      <c r="M1036">
        <f>VLOOKUP(H1036,'Stage Order'!$A$2:$B$8,2,FALSE)</f>
        <v/>
      </c>
      <c r="N1036">
        <f>IF(G1036&lt;=1,"1. Under 1 hour",IF(G1036&lt;=24,"2. 1-24 hours",IF(G1036&lt;=72,"3. 1-3 days","4. Over 3 days")))</f>
        <v/>
      </c>
      <c r="O1036">
        <f>TEXT(B1036,"YYYY-MM")</f>
        <v/>
      </c>
    </row>
    <row r="1037">
      <c r="A1037" t="inlineStr">
        <is>
          <t>LD-301035</t>
        </is>
      </c>
      <c r="B1037" t="inlineStr">
        <is>
          <t>2025-01-24 15:13:00</t>
        </is>
      </c>
      <c r="C1037" t="inlineStr">
        <is>
          <t>Cold Outreach</t>
        </is>
      </c>
      <c r="D1037" t="inlineStr">
        <is>
          <t>Coding for Kids</t>
        </is>
      </c>
      <c r="E1037" t="inlineStr">
        <is>
          <t>North Region</t>
        </is>
      </c>
      <c r="F1037" t="inlineStr">
        <is>
          <t>Rep_06</t>
        </is>
      </c>
      <c r="G1037" t="n">
        <v>10.49</v>
      </c>
      <c r="H1037" t="inlineStr">
        <is>
          <t>Contacted</t>
        </is>
      </c>
      <c r="I1037" t="inlineStr">
        <is>
          <t>Open</t>
        </is>
      </c>
      <c r="M1037">
        <f>VLOOKUP(H1037,'Stage Order'!$A$2:$B$8,2,FALSE)</f>
        <v/>
      </c>
      <c r="N1037">
        <f>IF(G1037&lt;=1,"1. Under 1 hour",IF(G1037&lt;=24,"2. 1-24 hours",IF(G1037&lt;=72,"3. 1-3 days","4. Over 3 days")))</f>
        <v/>
      </c>
      <c r="O1037">
        <f>TEXT(B1037,"YYYY-MM")</f>
        <v/>
      </c>
    </row>
    <row r="1038">
      <c r="A1038" t="inlineStr">
        <is>
          <t>LD-301036</t>
        </is>
      </c>
      <c r="B1038" t="inlineStr">
        <is>
          <t>2025-12-30 19:20:00</t>
        </is>
      </c>
      <c r="C1038" t="inlineStr">
        <is>
          <t>Paid Search</t>
        </is>
      </c>
      <c r="D1038" t="inlineStr">
        <is>
          <t>Language Learning</t>
        </is>
      </c>
      <c r="E1038" t="inlineStr">
        <is>
          <t>West Region</t>
        </is>
      </c>
      <c r="F1038" t="inlineStr">
        <is>
          <t>Rep_13</t>
        </is>
      </c>
      <c r="G1038" t="n">
        <v>7.81</v>
      </c>
      <c r="H1038" t="inlineStr">
        <is>
          <t>Proposal Sent</t>
        </is>
      </c>
      <c r="I1038" t="inlineStr">
        <is>
          <t>Lost</t>
        </is>
      </c>
      <c r="J1038" t="inlineStr">
        <is>
          <t>No Response / Ghosted</t>
        </is>
      </c>
      <c r="K1038" t="n">
        <v>328.19</v>
      </c>
      <c r="L1038" t="inlineStr">
        <is>
          <t>2026-02-11 07:55:10.738574</t>
        </is>
      </c>
      <c r="M1038">
        <f>VLOOKUP(H1038,'Stage Order'!$A$2:$B$8,2,FALSE)</f>
        <v/>
      </c>
      <c r="N1038">
        <f>IF(G1038&lt;=1,"1. Under 1 hour",IF(G1038&lt;=24,"2. 1-24 hours",IF(G1038&lt;=72,"3. 1-3 days","4. Over 3 days")))</f>
        <v/>
      </c>
      <c r="O1038">
        <f>TEXT(B1038,"YYYY-MM")</f>
        <v/>
      </c>
    </row>
    <row r="1039">
      <c r="A1039" t="inlineStr">
        <is>
          <t>LD-301037</t>
        </is>
      </c>
      <c r="B1039" t="inlineStr">
        <is>
          <t>2025-07-21 12:43:00</t>
        </is>
      </c>
      <c r="C1039" t="inlineStr">
        <is>
          <t>Partner Channel</t>
        </is>
      </c>
      <c r="D1039" t="inlineStr">
        <is>
          <t>K-12 Math</t>
        </is>
      </c>
      <c r="E1039" t="inlineStr">
        <is>
          <t>East Region</t>
        </is>
      </c>
      <c r="F1039" t="inlineStr">
        <is>
          <t>Rep_09</t>
        </is>
      </c>
      <c r="G1039" t="n">
        <v>2.25</v>
      </c>
      <c r="H1039" t="inlineStr">
        <is>
          <t>Demo Completed</t>
        </is>
      </c>
      <c r="I1039" t="inlineStr">
        <is>
          <t>Lost</t>
        </is>
      </c>
      <c r="J1039" t="inlineStr">
        <is>
          <t>Budget Not Approved</t>
        </is>
      </c>
      <c r="K1039" t="n">
        <v>412.09</v>
      </c>
      <c r="L1039" t="inlineStr">
        <is>
          <t>2025-08-17 07:37:27.729692</t>
        </is>
      </c>
      <c r="M1039">
        <f>VLOOKUP(H1039,'Stage Order'!$A$2:$B$8,2,FALSE)</f>
        <v/>
      </c>
      <c r="N1039">
        <f>IF(G1039&lt;=1,"1. Under 1 hour",IF(G1039&lt;=24,"2. 1-24 hours",IF(G1039&lt;=72,"3. 1-3 days","4. Over 3 days")))</f>
        <v/>
      </c>
      <c r="O1039">
        <f>TEXT(B1039,"YYYY-MM")</f>
        <v/>
      </c>
    </row>
    <row r="1040">
      <c r="A1040" t="inlineStr">
        <is>
          <t>LD-301038</t>
        </is>
      </c>
      <c r="B1040" t="inlineStr">
        <is>
          <t>2025-09-11 08:33:00</t>
        </is>
      </c>
      <c r="C1040" t="inlineStr">
        <is>
          <t>Paid Search</t>
        </is>
      </c>
      <c r="D1040" t="inlineStr">
        <is>
          <t>Competitive Exam Prep</t>
        </is>
      </c>
      <c r="E1040" t="inlineStr">
        <is>
          <t>East Region</t>
        </is>
      </c>
      <c r="F1040" t="inlineStr">
        <is>
          <t>Rep_14</t>
        </is>
      </c>
      <c r="G1040" t="n">
        <v>6.88</v>
      </c>
      <c r="H1040" t="inlineStr">
        <is>
          <t>Demo Completed</t>
        </is>
      </c>
      <c r="I1040" t="inlineStr">
        <is>
          <t>Lost</t>
        </is>
      </c>
      <c r="J1040" t="inlineStr">
        <is>
          <t>Price Objection</t>
        </is>
      </c>
      <c r="K1040" t="n">
        <v>1041.56</v>
      </c>
      <c r="L1040" t="inlineStr">
        <is>
          <t>2025-10-04 20:33:04.972266</t>
        </is>
      </c>
      <c r="M1040">
        <f>VLOOKUP(H1040,'Stage Order'!$A$2:$B$8,2,FALSE)</f>
        <v/>
      </c>
      <c r="N1040">
        <f>IF(G1040&lt;=1,"1. Under 1 hour",IF(G1040&lt;=24,"2. 1-24 hours",IF(G1040&lt;=72,"3. 1-3 days","4. Over 3 days")))</f>
        <v/>
      </c>
      <c r="O1040">
        <f>TEXT(B1040,"YYYY-MM")</f>
        <v/>
      </c>
    </row>
    <row r="1041">
      <c r="A1041" t="inlineStr">
        <is>
          <t>LD-301039</t>
        </is>
      </c>
      <c r="B1041" t="inlineStr">
        <is>
          <t>2025-11-28 20:47:00</t>
        </is>
      </c>
      <c r="C1041" t="inlineStr">
        <is>
          <t>Referral</t>
        </is>
      </c>
      <c r="D1041" t="inlineStr">
        <is>
          <t>Coding for Kids</t>
        </is>
      </c>
      <c r="E1041" t="inlineStr">
        <is>
          <t>West Region</t>
        </is>
      </c>
      <c r="F1041" t="inlineStr">
        <is>
          <t>Rep_13</t>
        </is>
      </c>
      <c r="G1041" t="n">
        <v>5.25</v>
      </c>
      <c r="H1041" t="inlineStr">
        <is>
          <t>Closed</t>
        </is>
      </c>
      <c r="I1041" t="inlineStr">
        <is>
          <t>Won</t>
        </is>
      </c>
      <c r="K1041" t="n">
        <v>533.75</v>
      </c>
      <c r="L1041" t="inlineStr">
        <is>
          <t>2026-01-06 21:56:51.370079</t>
        </is>
      </c>
      <c r="M1041">
        <f>VLOOKUP(H1041,'Stage Order'!$A$2:$B$8,2,FALSE)</f>
        <v/>
      </c>
      <c r="N1041">
        <f>IF(G1041&lt;=1,"1. Under 1 hour",IF(G1041&lt;=24,"2. 1-24 hours",IF(G1041&lt;=72,"3. 1-3 days","4. Over 3 days")))</f>
        <v/>
      </c>
      <c r="O1041">
        <f>TEXT(B1041,"YYYY-MM")</f>
        <v/>
      </c>
    </row>
    <row r="1042">
      <c r="A1042" t="inlineStr">
        <is>
          <t>LD-301040</t>
        </is>
      </c>
      <c r="B1042" t="inlineStr">
        <is>
          <t>2026-05-29 16:31:00</t>
        </is>
      </c>
      <c r="C1042" t="inlineStr">
        <is>
          <t>Referral</t>
        </is>
      </c>
      <c r="D1042" t="inlineStr">
        <is>
          <t>K-12 Math</t>
        </is>
      </c>
      <c r="E1042" t="inlineStr">
        <is>
          <t>West Region</t>
        </is>
      </c>
      <c r="F1042" t="inlineStr">
        <is>
          <t>Rep_13</t>
        </is>
      </c>
      <c r="G1042" t="n">
        <v>0.86</v>
      </c>
      <c r="H1042" t="inlineStr">
        <is>
          <t>Closed</t>
        </is>
      </c>
      <c r="I1042" t="inlineStr">
        <is>
          <t>Won</t>
        </is>
      </c>
      <c r="K1042" t="n">
        <v>473.03</v>
      </c>
      <c r="L1042" t="inlineStr">
        <is>
          <t>2026-07-14 18:25:41.738254</t>
        </is>
      </c>
      <c r="M1042">
        <f>VLOOKUP(H1042,'Stage Order'!$A$2:$B$8,2,FALSE)</f>
        <v/>
      </c>
      <c r="N1042">
        <f>IF(G1042&lt;=1,"1. Under 1 hour",IF(G1042&lt;=24,"2. 1-24 hours",IF(G1042&lt;=72,"3. 1-3 days","4. Over 3 days")))</f>
        <v/>
      </c>
      <c r="O1042">
        <f>TEXT(B1042,"YYYY-MM")</f>
        <v/>
      </c>
    </row>
    <row r="1043">
      <c r="A1043" t="inlineStr">
        <is>
          <t>LD-301041</t>
        </is>
      </c>
      <c r="B1043" t="inlineStr">
        <is>
          <t>2025-09-10 18:05:00</t>
        </is>
      </c>
      <c r="C1043" t="inlineStr">
        <is>
          <t>Partner Channel</t>
        </is>
      </c>
      <c r="D1043" t="inlineStr">
        <is>
          <t>Competitive Exam Prep</t>
        </is>
      </c>
      <c r="E1043" t="inlineStr">
        <is>
          <t>International</t>
        </is>
      </c>
      <c r="F1043" t="inlineStr">
        <is>
          <t>Rep_05</t>
        </is>
      </c>
      <c r="G1043" t="n">
        <v>20.45</v>
      </c>
      <c r="H1043" t="inlineStr">
        <is>
          <t>Contacted</t>
        </is>
      </c>
      <c r="I1043" t="inlineStr">
        <is>
          <t>Open</t>
        </is>
      </c>
      <c r="M1043">
        <f>VLOOKUP(H1043,'Stage Order'!$A$2:$B$8,2,FALSE)</f>
        <v/>
      </c>
      <c r="N1043">
        <f>IF(G1043&lt;=1,"1. Under 1 hour",IF(G1043&lt;=24,"2. 1-24 hours",IF(G1043&lt;=72,"3. 1-3 days","4. Over 3 days")))</f>
        <v/>
      </c>
      <c r="O1043">
        <f>TEXT(B1043,"YYYY-MM")</f>
        <v/>
      </c>
    </row>
    <row r="1044">
      <c r="A1044" t="inlineStr">
        <is>
          <t>LD-301042</t>
        </is>
      </c>
      <c r="B1044" t="inlineStr">
        <is>
          <t>2026-01-09 10:54:00</t>
        </is>
      </c>
      <c r="C1044" t="inlineStr">
        <is>
          <t>Referral</t>
        </is>
      </c>
      <c r="D1044" t="inlineStr">
        <is>
          <t>Language Learning</t>
        </is>
      </c>
      <c r="E1044" t="inlineStr">
        <is>
          <t>South Region</t>
        </is>
      </c>
      <c r="F1044" t="inlineStr">
        <is>
          <t>Rep_12</t>
        </is>
      </c>
      <c r="G1044" t="n">
        <v>6.21</v>
      </c>
      <c r="H1044" t="inlineStr">
        <is>
          <t>Closed</t>
        </is>
      </c>
      <c r="I1044" t="inlineStr">
        <is>
          <t>Won</t>
        </is>
      </c>
      <c r="K1044" t="n">
        <v>302.68</v>
      </c>
      <c r="L1044" t="inlineStr">
        <is>
          <t>2026-02-11 22:46:55.041437</t>
        </is>
      </c>
      <c r="M1044">
        <f>VLOOKUP(H1044,'Stage Order'!$A$2:$B$8,2,FALSE)</f>
        <v/>
      </c>
      <c r="N1044">
        <f>IF(G1044&lt;=1,"1. Under 1 hour",IF(G1044&lt;=24,"2. 1-24 hours",IF(G1044&lt;=72,"3. 1-3 days","4. Over 3 days")))</f>
        <v/>
      </c>
      <c r="O1044">
        <f>TEXT(B1044,"YYYY-MM")</f>
        <v/>
      </c>
    </row>
    <row r="1045">
      <c r="A1045" t="inlineStr">
        <is>
          <t>LD-301043</t>
        </is>
      </c>
      <c r="B1045" t="inlineStr">
        <is>
          <t>2026-04-16 11:33:00</t>
        </is>
      </c>
      <c r="C1045" t="inlineStr">
        <is>
          <t>Referral</t>
        </is>
      </c>
      <c r="D1045" t="inlineStr">
        <is>
          <t>Coding for Kids</t>
        </is>
      </c>
      <c r="E1045" t="inlineStr">
        <is>
          <t>East Region</t>
        </is>
      </c>
      <c r="F1045" t="inlineStr">
        <is>
          <t>Rep_14</t>
        </is>
      </c>
      <c r="G1045" t="n">
        <v>16.69</v>
      </c>
      <c r="H1045" t="inlineStr">
        <is>
          <t>Negotiation</t>
        </is>
      </c>
      <c r="I1045" t="inlineStr">
        <is>
          <t>Lost</t>
        </is>
      </c>
      <c r="J1045" t="inlineStr">
        <is>
          <t>Price Objection</t>
        </is>
      </c>
      <c r="K1045" t="n">
        <v>648.85</v>
      </c>
      <c r="L1045" t="inlineStr">
        <is>
          <t>2026-05-27 12:29:58.731701</t>
        </is>
      </c>
      <c r="M1045">
        <f>VLOOKUP(H1045,'Stage Order'!$A$2:$B$8,2,FALSE)</f>
        <v/>
      </c>
      <c r="N1045">
        <f>IF(G1045&lt;=1,"1. Under 1 hour",IF(G1045&lt;=24,"2. 1-24 hours",IF(G1045&lt;=72,"3. 1-3 days","4. Over 3 days")))</f>
        <v/>
      </c>
      <c r="O1045">
        <f>TEXT(B1045,"YYYY-MM")</f>
        <v/>
      </c>
    </row>
    <row r="1046">
      <c r="A1046" t="inlineStr">
        <is>
          <t>LD-301044</t>
        </is>
      </c>
      <c r="B1046" t="inlineStr">
        <is>
          <t>2026-03-12 15:09:00</t>
        </is>
      </c>
      <c r="C1046" t="inlineStr">
        <is>
          <t>Organic Search</t>
        </is>
      </c>
      <c r="D1046" t="inlineStr">
        <is>
          <t>Study Abroad Prep</t>
        </is>
      </c>
      <c r="E1046" t="inlineStr">
        <is>
          <t>South Region</t>
        </is>
      </c>
      <c r="F1046" t="inlineStr">
        <is>
          <t>Rep_12</t>
        </is>
      </c>
      <c r="G1046" t="n">
        <v>0.74</v>
      </c>
      <c r="H1046" t="inlineStr">
        <is>
          <t>Contacted</t>
        </is>
      </c>
      <c r="I1046" t="inlineStr">
        <is>
          <t>Open</t>
        </is>
      </c>
      <c r="M1046">
        <f>VLOOKUP(H1046,'Stage Order'!$A$2:$B$8,2,FALSE)</f>
        <v/>
      </c>
      <c r="N1046">
        <f>IF(G1046&lt;=1,"1. Under 1 hour",IF(G1046&lt;=24,"2. 1-24 hours",IF(G1046&lt;=72,"3. 1-3 days","4. Over 3 days")))</f>
        <v/>
      </c>
      <c r="O1046">
        <f>TEXT(B1046,"YYYY-MM")</f>
        <v/>
      </c>
    </row>
    <row r="1047">
      <c r="A1047" t="inlineStr">
        <is>
          <t>LD-301045</t>
        </is>
      </c>
      <c r="B1047" t="inlineStr">
        <is>
          <t>2025-09-12 13:48:00</t>
        </is>
      </c>
      <c r="C1047" t="inlineStr">
        <is>
          <t>Organic Search</t>
        </is>
      </c>
      <c r="D1047" t="inlineStr">
        <is>
          <t>Coding for Kids</t>
        </is>
      </c>
      <c r="E1047" t="inlineStr">
        <is>
          <t>East Region</t>
        </is>
      </c>
      <c r="F1047" t="inlineStr">
        <is>
          <t>Rep_04</t>
        </is>
      </c>
      <c r="G1047" t="n">
        <v>4.88</v>
      </c>
      <c r="H1047" t="inlineStr">
        <is>
          <t>Lead</t>
        </is>
      </c>
      <c r="I1047" t="inlineStr">
        <is>
          <t>Open</t>
        </is>
      </c>
      <c r="M1047">
        <f>VLOOKUP(H1047,'Stage Order'!$A$2:$B$8,2,FALSE)</f>
        <v/>
      </c>
      <c r="N1047">
        <f>IF(G1047&lt;=1,"1. Under 1 hour",IF(G1047&lt;=24,"2. 1-24 hours",IF(G1047&lt;=72,"3. 1-3 days","4. Over 3 days")))</f>
        <v/>
      </c>
      <c r="O1047">
        <f>TEXT(B1047,"YYYY-MM")</f>
        <v/>
      </c>
    </row>
    <row r="1048">
      <c r="A1048" t="inlineStr">
        <is>
          <t>LD-301046</t>
        </is>
      </c>
      <c r="B1048" t="inlineStr">
        <is>
          <t>2025-09-22 10:21:00</t>
        </is>
      </c>
      <c r="C1048" t="inlineStr">
        <is>
          <t>Referral</t>
        </is>
      </c>
      <c r="D1048" t="inlineStr">
        <is>
          <t>Language Learning</t>
        </is>
      </c>
      <c r="E1048" t="inlineStr">
        <is>
          <t>South Region</t>
        </is>
      </c>
      <c r="F1048" t="inlineStr">
        <is>
          <t>Rep_12</t>
        </is>
      </c>
      <c r="G1048" t="n">
        <v>5.12</v>
      </c>
      <c r="H1048" t="inlineStr">
        <is>
          <t>Contacted</t>
        </is>
      </c>
      <c r="I1048" t="inlineStr">
        <is>
          <t>Open</t>
        </is>
      </c>
      <c r="M1048">
        <f>VLOOKUP(H1048,'Stage Order'!$A$2:$B$8,2,FALSE)</f>
        <v/>
      </c>
      <c r="N1048">
        <f>IF(G1048&lt;=1,"1. Under 1 hour",IF(G1048&lt;=24,"2. 1-24 hours",IF(G1048&lt;=72,"3. 1-3 days","4. Over 3 days")))</f>
        <v/>
      </c>
      <c r="O1048">
        <f>TEXT(B1048,"YYYY-MM")</f>
        <v/>
      </c>
    </row>
    <row r="1049">
      <c r="A1049" t="inlineStr">
        <is>
          <t>LD-301047</t>
        </is>
      </c>
      <c r="B1049" t="inlineStr">
        <is>
          <t>2025-07-16 17:37:00</t>
        </is>
      </c>
      <c r="C1049" t="inlineStr">
        <is>
          <t>Paid Search</t>
        </is>
      </c>
      <c r="D1049" t="inlineStr">
        <is>
          <t>Competitive Exam Prep</t>
        </is>
      </c>
      <c r="E1049" t="inlineStr">
        <is>
          <t>West Region</t>
        </is>
      </c>
      <c r="F1049" t="inlineStr">
        <is>
          <t>Rep_13</t>
        </is>
      </c>
      <c r="G1049" t="n">
        <v>26.21</v>
      </c>
      <c r="H1049" t="inlineStr">
        <is>
          <t>Lead</t>
        </is>
      </c>
      <c r="I1049" t="inlineStr">
        <is>
          <t>Open</t>
        </is>
      </c>
      <c r="M1049">
        <f>VLOOKUP(H1049,'Stage Order'!$A$2:$B$8,2,FALSE)</f>
        <v/>
      </c>
      <c r="N1049">
        <f>IF(G1049&lt;=1,"1. Under 1 hour",IF(G1049&lt;=24,"2. 1-24 hours",IF(G1049&lt;=72,"3. 1-3 days","4. Over 3 days")))</f>
        <v/>
      </c>
      <c r="O1049">
        <f>TEXT(B1049,"YYYY-MM")</f>
        <v/>
      </c>
    </row>
    <row r="1050">
      <c r="A1050" t="inlineStr">
        <is>
          <t>LD-301048</t>
        </is>
      </c>
      <c r="B1050" t="inlineStr">
        <is>
          <t>2026-03-04 10:12:00</t>
        </is>
      </c>
      <c r="C1050" t="inlineStr">
        <is>
          <t>Cold Outreach</t>
        </is>
      </c>
      <c r="D1050" t="inlineStr">
        <is>
          <t>Language Learning</t>
        </is>
      </c>
      <c r="E1050" t="inlineStr">
        <is>
          <t>West Region</t>
        </is>
      </c>
      <c r="F1050" t="inlineStr">
        <is>
          <t>Rep_13</t>
        </is>
      </c>
      <c r="G1050" t="n">
        <v>1.97</v>
      </c>
      <c r="H1050" t="inlineStr">
        <is>
          <t>Lead</t>
        </is>
      </c>
      <c r="I1050" t="inlineStr">
        <is>
          <t>Open</t>
        </is>
      </c>
      <c r="M1050">
        <f>VLOOKUP(H1050,'Stage Order'!$A$2:$B$8,2,FALSE)</f>
        <v/>
      </c>
      <c r="N1050">
        <f>IF(G1050&lt;=1,"1. Under 1 hour",IF(G1050&lt;=24,"2. 1-24 hours",IF(G1050&lt;=72,"3. 1-3 days","4. Over 3 days")))</f>
        <v/>
      </c>
      <c r="O1050">
        <f>TEXT(B1050,"YYYY-MM")</f>
        <v/>
      </c>
    </row>
    <row r="1051">
      <c r="A1051" t="inlineStr">
        <is>
          <t>LD-301049</t>
        </is>
      </c>
      <c r="B1051" t="inlineStr">
        <is>
          <t>2026-06-19 12:08:00</t>
        </is>
      </c>
      <c r="C1051" t="inlineStr">
        <is>
          <t>Organic Search</t>
        </is>
      </c>
      <c r="D1051" t="inlineStr">
        <is>
          <t>Study Abroad Prep</t>
        </is>
      </c>
      <c r="E1051" t="inlineStr">
        <is>
          <t>International</t>
        </is>
      </c>
      <c r="F1051" t="inlineStr">
        <is>
          <t>Rep_15</t>
        </is>
      </c>
      <c r="G1051" t="n">
        <v>3.03</v>
      </c>
      <c r="H1051" t="inlineStr">
        <is>
          <t>Proposal Sent</t>
        </is>
      </c>
      <c r="I1051" t="inlineStr">
        <is>
          <t>Lost</t>
        </is>
      </c>
      <c r="J1051" t="inlineStr">
        <is>
          <t>Price Objection</t>
        </is>
      </c>
      <c r="K1051" t="n">
        <v>1482.05</v>
      </c>
      <c r="L1051" t="inlineStr">
        <is>
          <t>2026-07-23 01:01:10.859175</t>
        </is>
      </c>
      <c r="M1051">
        <f>VLOOKUP(H1051,'Stage Order'!$A$2:$B$8,2,FALSE)</f>
        <v/>
      </c>
      <c r="N1051">
        <f>IF(G1051&lt;=1,"1. Under 1 hour",IF(G1051&lt;=24,"2. 1-24 hours",IF(G1051&lt;=72,"3. 1-3 days","4. Over 3 days")))</f>
        <v/>
      </c>
      <c r="O1051">
        <f>TEXT(B1051,"YYYY-MM")</f>
        <v/>
      </c>
    </row>
    <row r="1052">
      <c r="A1052" t="inlineStr">
        <is>
          <t>LD-301050</t>
        </is>
      </c>
      <c r="B1052" t="inlineStr">
        <is>
          <t>2026-03-20 08:49:00</t>
        </is>
      </c>
      <c r="C1052" t="inlineStr">
        <is>
          <t>Cold Outreach</t>
        </is>
      </c>
      <c r="D1052" t="inlineStr">
        <is>
          <t>Competitive Exam Prep</t>
        </is>
      </c>
      <c r="E1052" t="inlineStr">
        <is>
          <t>East Region</t>
        </is>
      </c>
      <c r="F1052" t="inlineStr">
        <is>
          <t>Rep_04</t>
        </is>
      </c>
      <c r="G1052" t="n">
        <v>4.51</v>
      </c>
      <c r="H1052" t="inlineStr">
        <is>
          <t>Demo Scheduled</t>
        </is>
      </c>
      <c r="I1052" t="inlineStr">
        <is>
          <t>Open</t>
        </is>
      </c>
      <c r="M1052">
        <f>VLOOKUP(H1052,'Stage Order'!$A$2:$B$8,2,FALSE)</f>
        <v/>
      </c>
      <c r="N1052">
        <f>IF(G1052&lt;=1,"1. Under 1 hour",IF(G1052&lt;=24,"2. 1-24 hours",IF(G1052&lt;=72,"3. 1-3 days","4. Over 3 days")))</f>
        <v/>
      </c>
      <c r="O1052">
        <f>TEXT(B1052,"YYYY-MM")</f>
        <v/>
      </c>
    </row>
    <row r="1053">
      <c r="A1053" t="inlineStr">
        <is>
          <t>LD-301051</t>
        </is>
      </c>
      <c r="B1053" t="inlineStr">
        <is>
          <t>2026-06-11 18:10:00</t>
        </is>
      </c>
      <c r="C1053" t="inlineStr">
        <is>
          <t>Organic Search</t>
        </is>
      </c>
      <c r="D1053" t="inlineStr">
        <is>
          <t>Competitive Exam Prep</t>
        </is>
      </c>
      <c r="E1053" t="inlineStr">
        <is>
          <t>South Region</t>
        </is>
      </c>
      <c r="F1053" t="inlineStr">
        <is>
          <t>Rep_07</t>
        </is>
      </c>
      <c r="G1053" t="n">
        <v>14.42</v>
      </c>
      <c r="H1053" t="inlineStr">
        <is>
          <t>Contacted</t>
        </is>
      </c>
      <c r="I1053" t="inlineStr">
        <is>
          <t>Open</t>
        </is>
      </c>
      <c r="M1053">
        <f>VLOOKUP(H1053,'Stage Order'!$A$2:$B$8,2,FALSE)</f>
        <v/>
      </c>
      <c r="N1053">
        <f>IF(G1053&lt;=1,"1. Under 1 hour",IF(G1053&lt;=24,"2. 1-24 hours",IF(G1053&lt;=72,"3. 1-3 days","4. Over 3 days")))</f>
        <v/>
      </c>
      <c r="O1053">
        <f>TEXT(B1053,"YYYY-MM")</f>
        <v/>
      </c>
    </row>
    <row r="1054">
      <c r="A1054" t="inlineStr">
        <is>
          <t>LD-301052</t>
        </is>
      </c>
      <c r="B1054" t="inlineStr">
        <is>
          <t>2025-10-27 12:20:00</t>
        </is>
      </c>
      <c r="C1054" t="inlineStr">
        <is>
          <t>Paid Search</t>
        </is>
      </c>
      <c r="D1054" t="inlineStr">
        <is>
          <t>Competitive Exam Prep</t>
        </is>
      </c>
      <c r="E1054" t="inlineStr">
        <is>
          <t>West Region</t>
        </is>
      </c>
      <c r="F1054" t="inlineStr">
        <is>
          <t>Rep_03</t>
        </is>
      </c>
      <c r="G1054" t="n">
        <v>1.35</v>
      </c>
      <c r="H1054" t="inlineStr">
        <is>
          <t>Lead</t>
        </is>
      </c>
      <c r="I1054" t="inlineStr">
        <is>
          <t>Open</t>
        </is>
      </c>
      <c r="M1054">
        <f>VLOOKUP(H1054,'Stage Order'!$A$2:$B$8,2,FALSE)</f>
        <v/>
      </c>
      <c r="N1054">
        <f>IF(G1054&lt;=1,"1. Under 1 hour",IF(G1054&lt;=24,"2. 1-24 hours",IF(G1054&lt;=72,"3. 1-3 days","4. Over 3 days")))</f>
        <v/>
      </c>
      <c r="O1054">
        <f>TEXT(B1054,"YYYY-MM")</f>
        <v/>
      </c>
    </row>
    <row r="1055">
      <c r="A1055" t="inlineStr">
        <is>
          <t>LD-301053</t>
        </is>
      </c>
      <c r="B1055" t="inlineStr">
        <is>
          <t>2026-05-18 12:23:00</t>
        </is>
      </c>
      <c r="C1055" t="inlineStr">
        <is>
          <t>Webinar</t>
        </is>
      </c>
      <c r="D1055" t="inlineStr">
        <is>
          <t>Competitive Exam Prep</t>
        </is>
      </c>
      <c r="E1055" t="inlineStr">
        <is>
          <t>South Region</t>
        </is>
      </c>
      <c r="F1055" t="inlineStr">
        <is>
          <t>Rep_07</t>
        </is>
      </c>
      <c r="G1055" t="n">
        <v>1.66</v>
      </c>
      <c r="H1055" t="inlineStr">
        <is>
          <t>Demo Completed</t>
        </is>
      </c>
      <c r="I1055" t="inlineStr">
        <is>
          <t>Lost</t>
        </is>
      </c>
      <c r="J1055" t="inlineStr">
        <is>
          <t>No Response / Ghosted</t>
        </is>
      </c>
      <c r="K1055" t="n">
        <v>875.0700000000001</v>
      </c>
      <c r="L1055" t="inlineStr">
        <is>
          <t>2026-06-18 20:38:34.927263</t>
        </is>
      </c>
      <c r="M1055">
        <f>VLOOKUP(H1055,'Stage Order'!$A$2:$B$8,2,FALSE)</f>
        <v/>
      </c>
      <c r="N1055">
        <f>IF(G1055&lt;=1,"1. Under 1 hour",IF(G1055&lt;=24,"2. 1-24 hours",IF(G1055&lt;=72,"3. 1-3 days","4. Over 3 days")))</f>
        <v/>
      </c>
      <c r="O1055">
        <f>TEXT(B1055,"YYYY-MM")</f>
        <v/>
      </c>
    </row>
    <row r="1056">
      <c r="A1056" t="inlineStr">
        <is>
          <t>LD-301054</t>
        </is>
      </c>
      <c r="B1056" t="inlineStr">
        <is>
          <t>2026-02-12 12:47:00</t>
        </is>
      </c>
      <c r="C1056" t="inlineStr">
        <is>
          <t>Paid Search</t>
        </is>
      </c>
      <c r="D1056" t="inlineStr">
        <is>
          <t>Coding for Kids</t>
        </is>
      </c>
      <c r="E1056" t="inlineStr">
        <is>
          <t>West Region</t>
        </is>
      </c>
      <c r="F1056" t="inlineStr">
        <is>
          <t>Rep_03</t>
        </is>
      </c>
      <c r="G1056" t="n">
        <v>5.32</v>
      </c>
      <c r="H1056" t="inlineStr">
        <is>
          <t>Contacted</t>
        </is>
      </c>
      <c r="I1056" t="inlineStr">
        <is>
          <t>Open</t>
        </is>
      </c>
      <c r="M1056">
        <f>VLOOKUP(H1056,'Stage Order'!$A$2:$B$8,2,FALSE)</f>
        <v/>
      </c>
      <c r="N1056">
        <f>IF(G1056&lt;=1,"1. Under 1 hour",IF(G1056&lt;=24,"2. 1-24 hours",IF(G1056&lt;=72,"3. 1-3 days","4. Over 3 days")))</f>
        <v/>
      </c>
      <c r="O1056">
        <f>TEXT(B1056,"YYYY-MM")</f>
        <v/>
      </c>
    </row>
    <row r="1057">
      <c r="A1057" t="inlineStr">
        <is>
          <t>LD-301055</t>
        </is>
      </c>
      <c r="B1057" t="inlineStr">
        <is>
          <t>2025-04-16 10:03:00</t>
        </is>
      </c>
      <c r="C1057" t="inlineStr">
        <is>
          <t>Partner Channel</t>
        </is>
      </c>
      <c r="D1057" t="inlineStr">
        <is>
          <t>Competitive Exam Prep</t>
        </is>
      </c>
      <c r="E1057" t="inlineStr">
        <is>
          <t>East Region</t>
        </is>
      </c>
      <c r="F1057" t="inlineStr">
        <is>
          <t>Rep_04</t>
        </is>
      </c>
      <c r="G1057" t="n">
        <v>2.67</v>
      </c>
      <c r="H1057" t="inlineStr">
        <is>
          <t>Lead</t>
        </is>
      </c>
      <c r="I1057" t="inlineStr">
        <is>
          <t>Open</t>
        </is>
      </c>
      <c r="M1057">
        <f>VLOOKUP(H1057,'Stage Order'!$A$2:$B$8,2,FALSE)</f>
        <v/>
      </c>
      <c r="N1057">
        <f>IF(G1057&lt;=1,"1. Under 1 hour",IF(G1057&lt;=24,"2. 1-24 hours",IF(G1057&lt;=72,"3. 1-3 days","4. Over 3 days")))</f>
        <v/>
      </c>
      <c r="O1057">
        <f>TEXT(B1057,"YYYY-MM")</f>
        <v/>
      </c>
    </row>
    <row r="1058">
      <c r="A1058" t="inlineStr">
        <is>
          <t>LD-301056</t>
        </is>
      </c>
      <c r="B1058" t="inlineStr">
        <is>
          <t>2025-11-28 18:30:00</t>
        </is>
      </c>
      <c r="C1058" t="inlineStr">
        <is>
          <t>Referral</t>
        </is>
      </c>
      <c r="D1058" t="inlineStr">
        <is>
          <t>Competitive Exam Prep</t>
        </is>
      </c>
      <c r="E1058" t="inlineStr">
        <is>
          <t>South Region</t>
        </is>
      </c>
      <c r="F1058" t="inlineStr">
        <is>
          <t>Rep_02</t>
        </is>
      </c>
      <c r="G1058" t="n">
        <v>0.58</v>
      </c>
      <c r="H1058" t="inlineStr">
        <is>
          <t>Contacted</t>
        </is>
      </c>
      <c r="I1058" t="inlineStr">
        <is>
          <t>Open</t>
        </is>
      </c>
      <c r="M1058">
        <f>VLOOKUP(H1058,'Stage Order'!$A$2:$B$8,2,FALSE)</f>
        <v/>
      </c>
      <c r="N1058">
        <f>IF(G1058&lt;=1,"1. Under 1 hour",IF(G1058&lt;=24,"2. 1-24 hours",IF(G1058&lt;=72,"3. 1-3 days","4. Over 3 days")))</f>
        <v/>
      </c>
      <c r="O1058">
        <f>TEXT(B1058,"YYYY-MM")</f>
        <v/>
      </c>
    </row>
    <row r="1059">
      <c r="A1059" t="inlineStr">
        <is>
          <t>LD-301057</t>
        </is>
      </c>
      <c r="B1059" t="inlineStr">
        <is>
          <t>2026-03-06 18:47:00</t>
        </is>
      </c>
      <c r="C1059" t="inlineStr">
        <is>
          <t>Paid Search</t>
        </is>
      </c>
      <c r="D1059" t="inlineStr">
        <is>
          <t>Study Abroad Prep</t>
        </is>
      </c>
      <c r="E1059" t="inlineStr">
        <is>
          <t>South Region</t>
        </is>
      </c>
      <c r="F1059" t="inlineStr">
        <is>
          <t>Rep_12</t>
        </is>
      </c>
      <c r="G1059" t="n">
        <v>5.29</v>
      </c>
      <c r="H1059" t="inlineStr">
        <is>
          <t>Contacted</t>
        </is>
      </c>
      <c r="I1059" t="inlineStr">
        <is>
          <t>Open</t>
        </is>
      </c>
      <c r="M1059">
        <f>VLOOKUP(H1059,'Stage Order'!$A$2:$B$8,2,FALSE)</f>
        <v/>
      </c>
      <c r="N1059">
        <f>IF(G1059&lt;=1,"1. Under 1 hour",IF(G1059&lt;=24,"2. 1-24 hours",IF(G1059&lt;=72,"3. 1-3 days","4. Over 3 days")))</f>
        <v/>
      </c>
      <c r="O1059">
        <f>TEXT(B1059,"YYYY-MM")</f>
        <v/>
      </c>
    </row>
    <row r="1060">
      <c r="A1060" t="inlineStr">
        <is>
          <t>LD-301058</t>
        </is>
      </c>
      <c r="B1060" t="inlineStr">
        <is>
          <t>2026-06-02 20:16:00</t>
        </is>
      </c>
      <c r="C1060" t="inlineStr">
        <is>
          <t>Organic Search</t>
        </is>
      </c>
      <c r="D1060" t="inlineStr">
        <is>
          <t>Study Abroad Prep</t>
        </is>
      </c>
      <c r="E1060" t="inlineStr">
        <is>
          <t>South Region</t>
        </is>
      </c>
      <c r="F1060" t="inlineStr">
        <is>
          <t>Rep_02</t>
        </is>
      </c>
      <c r="G1060" t="n">
        <v>1.77</v>
      </c>
      <c r="H1060" t="inlineStr">
        <is>
          <t>Proposal Sent</t>
        </is>
      </c>
      <c r="I1060" t="inlineStr">
        <is>
          <t>Lost</t>
        </is>
      </c>
      <c r="J1060" t="inlineStr">
        <is>
          <t>No Response / Ghosted</t>
        </is>
      </c>
      <c r="K1060" t="n">
        <v>1455.87</v>
      </c>
      <c r="L1060" t="inlineStr">
        <is>
          <t>2026-07-05 08:40:50.756183</t>
        </is>
      </c>
      <c r="M1060">
        <f>VLOOKUP(H1060,'Stage Order'!$A$2:$B$8,2,FALSE)</f>
        <v/>
      </c>
      <c r="N1060">
        <f>IF(G1060&lt;=1,"1. Under 1 hour",IF(G1060&lt;=24,"2. 1-24 hours",IF(G1060&lt;=72,"3. 1-3 days","4. Over 3 days")))</f>
        <v/>
      </c>
      <c r="O1060">
        <f>TEXT(B1060,"YYYY-MM")</f>
        <v/>
      </c>
    </row>
    <row r="1061">
      <c r="A1061" t="inlineStr">
        <is>
          <t>LD-301059</t>
        </is>
      </c>
      <c r="B1061" t="inlineStr">
        <is>
          <t>2026-01-22 18:15:00</t>
        </is>
      </c>
      <c r="C1061" t="inlineStr">
        <is>
          <t>Cold Outreach</t>
        </is>
      </c>
      <c r="D1061" t="inlineStr">
        <is>
          <t>K-12 Math</t>
        </is>
      </c>
      <c r="E1061" t="inlineStr">
        <is>
          <t>South Region</t>
        </is>
      </c>
      <c r="F1061" t="inlineStr">
        <is>
          <t>Rep_12</t>
        </is>
      </c>
      <c r="G1061" t="n">
        <v>4.3</v>
      </c>
      <c r="H1061" t="inlineStr">
        <is>
          <t>Contacted</t>
        </is>
      </c>
      <c r="I1061" t="inlineStr">
        <is>
          <t>Open</t>
        </is>
      </c>
      <c r="M1061">
        <f>VLOOKUP(H1061,'Stage Order'!$A$2:$B$8,2,FALSE)</f>
        <v/>
      </c>
      <c r="N1061">
        <f>IF(G1061&lt;=1,"1. Under 1 hour",IF(G1061&lt;=24,"2. 1-24 hours",IF(G1061&lt;=72,"3. 1-3 days","4. Over 3 days")))</f>
        <v/>
      </c>
      <c r="O1061">
        <f>TEXT(B1061,"YYYY-MM")</f>
        <v/>
      </c>
    </row>
    <row r="1062">
      <c r="A1062" t="inlineStr">
        <is>
          <t>LD-301060</t>
        </is>
      </c>
      <c r="B1062" t="inlineStr">
        <is>
          <t>2025-05-16 18:20:00</t>
        </is>
      </c>
      <c r="C1062" t="inlineStr">
        <is>
          <t>Organic Search</t>
        </is>
      </c>
      <c r="D1062" t="inlineStr">
        <is>
          <t>K-12 Math</t>
        </is>
      </c>
      <c r="E1062" t="inlineStr">
        <is>
          <t>South Region</t>
        </is>
      </c>
      <c r="F1062" t="inlineStr">
        <is>
          <t>Rep_12</t>
        </is>
      </c>
      <c r="G1062" t="n">
        <v>1.48</v>
      </c>
      <c r="H1062" t="inlineStr">
        <is>
          <t>Negotiation</t>
        </is>
      </c>
      <c r="I1062" t="inlineStr">
        <is>
          <t>Lost</t>
        </is>
      </c>
      <c r="J1062" t="inlineStr">
        <is>
          <t>Price Objection</t>
        </is>
      </c>
      <c r="K1062" t="n">
        <v>568.9299999999999</v>
      </c>
      <c r="L1062" t="inlineStr">
        <is>
          <t>2025-07-07 13:30:14.089284</t>
        </is>
      </c>
      <c r="M1062">
        <f>VLOOKUP(H1062,'Stage Order'!$A$2:$B$8,2,FALSE)</f>
        <v/>
      </c>
      <c r="N1062">
        <f>IF(G1062&lt;=1,"1. Under 1 hour",IF(G1062&lt;=24,"2. 1-24 hours",IF(G1062&lt;=72,"3. 1-3 days","4. Over 3 days")))</f>
        <v/>
      </c>
      <c r="O1062">
        <f>TEXT(B1062,"YYYY-MM")</f>
        <v/>
      </c>
    </row>
    <row r="1063">
      <c r="A1063" t="inlineStr">
        <is>
          <t>LD-301061</t>
        </is>
      </c>
      <c r="B1063" t="inlineStr">
        <is>
          <t>2025-07-07 13:29:00</t>
        </is>
      </c>
      <c r="C1063" t="inlineStr">
        <is>
          <t>Referral</t>
        </is>
      </c>
      <c r="D1063" t="inlineStr">
        <is>
          <t>Language Learning</t>
        </is>
      </c>
      <c r="E1063" t="inlineStr">
        <is>
          <t>South Region</t>
        </is>
      </c>
      <c r="F1063" t="inlineStr">
        <is>
          <t>Rep_02</t>
        </is>
      </c>
      <c r="G1063" t="n">
        <v>6.3</v>
      </c>
      <c r="H1063" t="inlineStr">
        <is>
          <t>Closed</t>
        </is>
      </c>
      <c r="I1063" t="inlineStr">
        <is>
          <t>Won</t>
        </is>
      </c>
      <c r="K1063" t="n">
        <v>372</v>
      </c>
      <c r="L1063" t="inlineStr">
        <is>
          <t>2025-08-23 00:57:39.408576</t>
        </is>
      </c>
      <c r="M1063">
        <f>VLOOKUP(H1063,'Stage Order'!$A$2:$B$8,2,FALSE)</f>
        <v/>
      </c>
      <c r="N1063">
        <f>IF(G1063&lt;=1,"1. Under 1 hour",IF(G1063&lt;=24,"2. 1-24 hours",IF(G1063&lt;=72,"3. 1-3 days","4. Over 3 days")))</f>
        <v/>
      </c>
      <c r="O1063">
        <f>TEXT(B1063,"YYYY-MM")</f>
        <v/>
      </c>
    </row>
    <row r="1064">
      <c r="A1064" t="inlineStr">
        <is>
          <t>LD-301062</t>
        </is>
      </c>
      <c r="B1064" t="inlineStr">
        <is>
          <t>2026-03-25 14:24:00</t>
        </is>
      </c>
      <c r="C1064" t="inlineStr">
        <is>
          <t>Paid Search</t>
        </is>
      </c>
      <c r="D1064" t="inlineStr">
        <is>
          <t>K-12 Math</t>
        </is>
      </c>
      <c r="E1064" t="inlineStr">
        <is>
          <t>South Region</t>
        </is>
      </c>
      <c r="F1064" t="inlineStr">
        <is>
          <t>Rep_12</t>
        </is>
      </c>
      <c r="G1064" t="n">
        <v>5.86</v>
      </c>
      <c r="H1064" t="inlineStr">
        <is>
          <t>Negotiation</t>
        </is>
      </c>
      <c r="I1064" t="inlineStr">
        <is>
          <t>Lost</t>
        </is>
      </c>
      <c r="J1064" t="inlineStr">
        <is>
          <t>Price Objection</t>
        </is>
      </c>
      <c r="K1064" t="n">
        <v>516.74</v>
      </c>
      <c r="L1064" t="inlineStr">
        <is>
          <t>2026-05-07 18:11:42.280763</t>
        </is>
      </c>
      <c r="M1064">
        <f>VLOOKUP(H1064,'Stage Order'!$A$2:$B$8,2,FALSE)</f>
        <v/>
      </c>
      <c r="N1064">
        <f>IF(G1064&lt;=1,"1. Under 1 hour",IF(G1064&lt;=24,"2. 1-24 hours",IF(G1064&lt;=72,"3. 1-3 days","4. Over 3 days")))</f>
        <v/>
      </c>
      <c r="O1064">
        <f>TEXT(B1064,"YYYY-MM")</f>
        <v/>
      </c>
    </row>
    <row r="1065">
      <c r="A1065" t="inlineStr">
        <is>
          <t>LD-301063</t>
        </is>
      </c>
      <c r="B1065" t="inlineStr">
        <is>
          <t>2026-02-28 12:41:00</t>
        </is>
      </c>
      <c r="C1065" t="inlineStr">
        <is>
          <t>Webinar</t>
        </is>
      </c>
      <c r="D1065" t="inlineStr">
        <is>
          <t>Language Learning</t>
        </is>
      </c>
      <c r="E1065" t="inlineStr">
        <is>
          <t>East Region</t>
        </is>
      </c>
      <c r="F1065" t="inlineStr">
        <is>
          <t>Rep_09</t>
        </is>
      </c>
      <c r="G1065" t="n">
        <v>1.67</v>
      </c>
      <c r="H1065" t="inlineStr">
        <is>
          <t>Proposal Sent</t>
        </is>
      </c>
      <c r="I1065" t="inlineStr">
        <is>
          <t>Lost</t>
        </is>
      </c>
      <c r="J1065" t="inlineStr">
        <is>
          <t>No Response / Ghosted</t>
        </is>
      </c>
      <c r="K1065" t="n">
        <v>389.1</v>
      </c>
      <c r="L1065" t="inlineStr">
        <is>
          <t>2026-04-03 16:58:34.569575</t>
        </is>
      </c>
      <c r="M1065">
        <f>VLOOKUP(H1065,'Stage Order'!$A$2:$B$8,2,FALSE)</f>
        <v/>
      </c>
      <c r="N1065">
        <f>IF(G1065&lt;=1,"1. Under 1 hour",IF(G1065&lt;=24,"2. 1-24 hours",IF(G1065&lt;=72,"3. 1-3 days","4. Over 3 days")))</f>
        <v/>
      </c>
      <c r="O1065">
        <f>TEXT(B1065,"YYYY-MM")</f>
        <v/>
      </c>
    </row>
    <row r="1066">
      <c r="A1066" t="inlineStr">
        <is>
          <t>LD-301064</t>
        </is>
      </c>
      <c r="B1066" t="inlineStr">
        <is>
          <t>2025-10-24 09:31:00</t>
        </is>
      </c>
      <c r="C1066" t="inlineStr">
        <is>
          <t>Webinar</t>
        </is>
      </c>
      <c r="D1066" t="inlineStr">
        <is>
          <t>Language Learning</t>
        </is>
      </c>
      <c r="E1066" t="inlineStr">
        <is>
          <t>North Region</t>
        </is>
      </c>
      <c r="F1066" t="inlineStr">
        <is>
          <t>Rep_01</t>
        </is>
      </c>
      <c r="G1066" t="n">
        <v>6.33</v>
      </c>
      <c r="H1066" t="inlineStr">
        <is>
          <t>Closed</t>
        </is>
      </c>
      <c r="I1066" t="inlineStr">
        <is>
          <t>Won</t>
        </is>
      </c>
      <c r="K1066" t="n">
        <v>296.39</v>
      </c>
      <c r="L1066" t="inlineStr">
        <is>
          <t>2025-12-12 14:36:08.936189</t>
        </is>
      </c>
      <c r="M1066">
        <f>VLOOKUP(H1066,'Stage Order'!$A$2:$B$8,2,FALSE)</f>
        <v/>
      </c>
      <c r="N1066">
        <f>IF(G1066&lt;=1,"1. Under 1 hour",IF(G1066&lt;=24,"2. 1-24 hours",IF(G1066&lt;=72,"3. 1-3 days","4. Over 3 days")))</f>
        <v/>
      </c>
      <c r="O1066">
        <f>TEXT(B1066,"YYYY-MM")</f>
        <v/>
      </c>
    </row>
    <row r="1067">
      <c r="A1067" t="inlineStr">
        <is>
          <t>LD-301065</t>
        </is>
      </c>
      <c r="B1067" t="inlineStr">
        <is>
          <t>2026-05-13 11:44:00</t>
        </is>
      </c>
      <c r="C1067" t="inlineStr">
        <is>
          <t>Paid Search</t>
        </is>
      </c>
      <c r="D1067" t="inlineStr">
        <is>
          <t>K-12 Math</t>
        </is>
      </c>
      <c r="E1067" t="inlineStr">
        <is>
          <t>North Region</t>
        </is>
      </c>
      <c r="F1067" t="inlineStr">
        <is>
          <t>Rep_11</t>
        </is>
      </c>
      <c r="G1067" t="n">
        <v>7</v>
      </c>
      <c r="H1067" t="inlineStr">
        <is>
          <t>Contacted</t>
        </is>
      </c>
      <c r="I1067" t="inlineStr">
        <is>
          <t>Open</t>
        </is>
      </c>
      <c r="M1067">
        <f>VLOOKUP(H1067,'Stage Order'!$A$2:$B$8,2,FALSE)</f>
        <v/>
      </c>
      <c r="N1067">
        <f>IF(G1067&lt;=1,"1. Under 1 hour",IF(G1067&lt;=24,"2. 1-24 hours",IF(G1067&lt;=72,"3. 1-3 days","4. Over 3 days")))</f>
        <v/>
      </c>
      <c r="O1067">
        <f>TEXT(B1067,"YYYY-MM")</f>
        <v/>
      </c>
    </row>
    <row r="1068">
      <c r="A1068" t="inlineStr">
        <is>
          <t>LD-301066</t>
        </is>
      </c>
      <c r="B1068" t="inlineStr">
        <is>
          <t>2025-09-05 18:40:00</t>
        </is>
      </c>
      <c r="C1068" t="inlineStr">
        <is>
          <t>Cold Outreach</t>
        </is>
      </c>
      <c r="D1068" t="inlineStr">
        <is>
          <t>Competitive Exam Prep</t>
        </is>
      </c>
      <c r="E1068" t="inlineStr">
        <is>
          <t>South Region</t>
        </is>
      </c>
      <c r="F1068" t="inlineStr">
        <is>
          <t>Rep_02</t>
        </is>
      </c>
      <c r="G1068" t="n">
        <v>1.96</v>
      </c>
      <c r="H1068" t="inlineStr">
        <is>
          <t>Contacted</t>
        </is>
      </c>
      <c r="I1068" t="inlineStr">
        <is>
          <t>Open</t>
        </is>
      </c>
      <c r="M1068">
        <f>VLOOKUP(H1068,'Stage Order'!$A$2:$B$8,2,FALSE)</f>
        <v/>
      </c>
      <c r="N1068">
        <f>IF(G1068&lt;=1,"1. Under 1 hour",IF(G1068&lt;=24,"2. 1-24 hours",IF(G1068&lt;=72,"3. 1-3 days","4. Over 3 days")))</f>
        <v/>
      </c>
      <c r="O1068">
        <f>TEXT(B1068,"YYYY-MM")</f>
        <v/>
      </c>
    </row>
    <row r="1069">
      <c r="A1069" t="inlineStr">
        <is>
          <t>LD-301067</t>
        </is>
      </c>
      <c r="B1069" t="inlineStr">
        <is>
          <t>2025-01-24 09:05:00</t>
        </is>
      </c>
      <c r="C1069" t="inlineStr">
        <is>
          <t>Social Media</t>
        </is>
      </c>
      <c r="D1069" t="inlineStr">
        <is>
          <t>Language Learning</t>
        </is>
      </c>
      <c r="E1069" t="inlineStr">
        <is>
          <t>South Region</t>
        </is>
      </c>
      <c r="F1069" t="inlineStr">
        <is>
          <t>Rep_07</t>
        </is>
      </c>
      <c r="G1069" t="n">
        <v>8.4</v>
      </c>
      <c r="H1069" t="inlineStr">
        <is>
          <t>Contacted</t>
        </is>
      </c>
      <c r="I1069" t="inlineStr">
        <is>
          <t>Open</t>
        </is>
      </c>
      <c r="M1069">
        <f>VLOOKUP(H1069,'Stage Order'!$A$2:$B$8,2,FALSE)</f>
        <v/>
      </c>
      <c r="N1069">
        <f>IF(G1069&lt;=1,"1. Under 1 hour",IF(G1069&lt;=24,"2. 1-24 hours",IF(G1069&lt;=72,"3. 1-3 days","4. Over 3 days")))</f>
        <v/>
      </c>
      <c r="O1069">
        <f>TEXT(B1069,"YYYY-MM")</f>
        <v/>
      </c>
    </row>
    <row r="1070">
      <c r="A1070" t="inlineStr">
        <is>
          <t>LD-301068</t>
        </is>
      </c>
      <c r="B1070" t="inlineStr">
        <is>
          <t>2025-03-13 11:36:00</t>
        </is>
      </c>
      <c r="C1070" t="inlineStr">
        <is>
          <t>Paid Search</t>
        </is>
      </c>
      <c r="D1070" t="inlineStr">
        <is>
          <t>Language Learning</t>
        </is>
      </c>
      <c r="E1070" t="inlineStr">
        <is>
          <t>South Region</t>
        </is>
      </c>
      <c r="F1070" t="inlineStr">
        <is>
          <t>Rep_02</t>
        </is>
      </c>
      <c r="G1070" t="n">
        <v>19.25</v>
      </c>
      <c r="H1070" t="inlineStr">
        <is>
          <t>Proposal Sent</t>
        </is>
      </c>
      <c r="I1070" t="inlineStr">
        <is>
          <t>Lost</t>
        </is>
      </c>
      <c r="J1070" t="inlineStr">
        <is>
          <t>Price Objection</t>
        </is>
      </c>
      <c r="K1070" t="n">
        <v>326.57</v>
      </c>
      <c r="L1070" t="inlineStr">
        <is>
          <t>2025-04-12 16:56:17.100675</t>
        </is>
      </c>
      <c r="M1070">
        <f>VLOOKUP(H1070,'Stage Order'!$A$2:$B$8,2,FALSE)</f>
        <v/>
      </c>
      <c r="N1070">
        <f>IF(G1070&lt;=1,"1. Under 1 hour",IF(G1070&lt;=24,"2. 1-24 hours",IF(G1070&lt;=72,"3. 1-3 days","4. Over 3 days")))</f>
        <v/>
      </c>
      <c r="O1070">
        <f>TEXT(B1070,"YYYY-MM")</f>
        <v/>
      </c>
    </row>
    <row r="1071">
      <c r="A1071" t="inlineStr">
        <is>
          <t>LD-301069</t>
        </is>
      </c>
      <c r="B1071" t="inlineStr">
        <is>
          <t>2025-02-12 14:35:00</t>
        </is>
      </c>
      <c r="C1071" t="inlineStr">
        <is>
          <t>Organic Search</t>
        </is>
      </c>
      <c r="D1071" t="inlineStr">
        <is>
          <t>Coding for Kids</t>
        </is>
      </c>
      <c r="E1071" t="inlineStr">
        <is>
          <t>North Region</t>
        </is>
      </c>
      <c r="F1071" t="inlineStr">
        <is>
          <t>Rep_11</t>
        </is>
      </c>
      <c r="G1071" t="n">
        <v>0.31</v>
      </c>
      <c r="H1071" t="inlineStr">
        <is>
          <t>Negotiation</t>
        </is>
      </c>
      <c r="I1071" t="inlineStr">
        <is>
          <t>Lost</t>
        </is>
      </c>
      <c r="J1071" t="inlineStr">
        <is>
          <t>Price Objection</t>
        </is>
      </c>
      <c r="K1071" t="n">
        <v>709.38</v>
      </c>
      <c r="L1071" t="inlineStr">
        <is>
          <t>2025-03-24 11:51:31.771548</t>
        </is>
      </c>
      <c r="M1071">
        <f>VLOOKUP(H1071,'Stage Order'!$A$2:$B$8,2,FALSE)</f>
        <v/>
      </c>
      <c r="N1071">
        <f>IF(G1071&lt;=1,"1. Under 1 hour",IF(G1071&lt;=24,"2. 1-24 hours",IF(G1071&lt;=72,"3. 1-3 days","4. Over 3 days")))</f>
        <v/>
      </c>
      <c r="O1071">
        <f>TEXT(B1071,"YYYY-MM")</f>
        <v/>
      </c>
    </row>
    <row r="1072">
      <c r="A1072" t="inlineStr">
        <is>
          <t>LD-301070</t>
        </is>
      </c>
      <c r="B1072" t="inlineStr">
        <is>
          <t>2025-06-26 13:56:00</t>
        </is>
      </c>
      <c r="C1072" t="inlineStr">
        <is>
          <t>Partner Channel</t>
        </is>
      </c>
      <c r="D1072" t="inlineStr">
        <is>
          <t>K-12 Math</t>
        </is>
      </c>
      <c r="E1072" t="inlineStr">
        <is>
          <t>East Region</t>
        </is>
      </c>
      <c r="F1072" t="inlineStr">
        <is>
          <t>Rep_09</t>
        </is>
      </c>
      <c r="G1072" t="n">
        <v>1.48</v>
      </c>
      <c r="H1072" t="inlineStr">
        <is>
          <t>Lead</t>
        </is>
      </c>
      <c r="I1072" t="inlineStr">
        <is>
          <t>Open</t>
        </is>
      </c>
      <c r="M1072">
        <f>VLOOKUP(H1072,'Stage Order'!$A$2:$B$8,2,FALSE)</f>
        <v/>
      </c>
      <c r="N1072">
        <f>IF(G1072&lt;=1,"1. Under 1 hour",IF(G1072&lt;=24,"2. 1-24 hours",IF(G1072&lt;=72,"3. 1-3 days","4. Over 3 days")))</f>
        <v/>
      </c>
      <c r="O1072">
        <f>TEXT(B1072,"YYYY-MM")</f>
        <v/>
      </c>
    </row>
    <row r="1073">
      <c r="A1073" t="inlineStr">
        <is>
          <t>LD-301071</t>
        </is>
      </c>
      <c r="B1073" t="inlineStr">
        <is>
          <t>2025-11-02 10:06:00</t>
        </is>
      </c>
      <c r="C1073" t="inlineStr">
        <is>
          <t>Cold Outreach</t>
        </is>
      </c>
      <c r="D1073" t="inlineStr">
        <is>
          <t>Coding for Kids</t>
        </is>
      </c>
      <c r="E1073" t="inlineStr">
        <is>
          <t>North Region</t>
        </is>
      </c>
      <c r="F1073" t="inlineStr">
        <is>
          <t>Rep_11</t>
        </is>
      </c>
      <c r="G1073" t="n">
        <v>2.17</v>
      </c>
      <c r="H1073" t="inlineStr">
        <is>
          <t>Lead</t>
        </is>
      </c>
      <c r="I1073" t="inlineStr">
        <is>
          <t>Open</t>
        </is>
      </c>
      <c r="M1073">
        <f>VLOOKUP(H1073,'Stage Order'!$A$2:$B$8,2,FALSE)</f>
        <v/>
      </c>
      <c r="N1073">
        <f>IF(G1073&lt;=1,"1. Under 1 hour",IF(G1073&lt;=24,"2. 1-24 hours",IF(G1073&lt;=72,"3. 1-3 days","4. Over 3 days")))</f>
        <v/>
      </c>
      <c r="O1073">
        <f>TEXT(B1073,"YYYY-MM")</f>
        <v/>
      </c>
    </row>
    <row r="1074">
      <c r="A1074" t="inlineStr">
        <is>
          <t>LD-301072</t>
        </is>
      </c>
      <c r="B1074" t="inlineStr">
        <is>
          <t>2025-10-21 08:14:00</t>
        </is>
      </c>
      <c r="C1074" t="inlineStr">
        <is>
          <t>Social Media</t>
        </is>
      </c>
      <c r="D1074" t="inlineStr">
        <is>
          <t>Competitive Exam Prep</t>
        </is>
      </c>
      <c r="E1074" t="inlineStr">
        <is>
          <t>South Region</t>
        </is>
      </c>
      <c r="F1074" t="inlineStr">
        <is>
          <t>Rep_07</t>
        </is>
      </c>
      <c r="G1074" t="n">
        <v>1.15</v>
      </c>
      <c r="H1074" t="inlineStr">
        <is>
          <t>Demo Scheduled</t>
        </is>
      </c>
      <c r="I1074" t="inlineStr">
        <is>
          <t>Open</t>
        </is>
      </c>
      <c r="M1074">
        <f>VLOOKUP(H1074,'Stage Order'!$A$2:$B$8,2,FALSE)</f>
        <v/>
      </c>
      <c r="N1074">
        <f>IF(G1074&lt;=1,"1. Under 1 hour",IF(G1074&lt;=24,"2. 1-24 hours",IF(G1074&lt;=72,"3. 1-3 days","4. Over 3 days")))</f>
        <v/>
      </c>
      <c r="O1074">
        <f>TEXT(B1074,"YYYY-MM")</f>
        <v/>
      </c>
    </row>
    <row r="1075">
      <c r="A1075" t="inlineStr">
        <is>
          <t>LD-301073</t>
        </is>
      </c>
      <c r="B1075" t="inlineStr">
        <is>
          <t>2025-12-09 10:28:00</t>
        </is>
      </c>
      <c r="C1075" t="inlineStr">
        <is>
          <t>Paid Search</t>
        </is>
      </c>
      <c r="D1075" t="inlineStr">
        <is>
          <t>K-12 Math</t>
        </is>
      </c>
      <c r="E1075" t="inlineStr">
        <is>
          <t>South Region</t>
        </is>
      </c>
      <c r="F1075" t="inlineStr">
        <is>
          <t>Rep_02</t>
        </is>
      </c>
      <c r="G1075" t="n">
        <v>3</v>
      </c>
      <c r="H1075" t="inlineStr">
        <is>
          <t>Contacted</t>
        </is>
      </c>
      <c r="I1075" t="inlineStr">
        <is>
          <t>Open</t>
        </is>
      </c>
      <c r="M1075">
        <f>VLOOKUP(H1075,'Stage Order'!$A$2:$B$8,2,FALSE)</f>
        <v/>
      </c>
      <c r="N1075">
        <f>IF(G1075&lt;=1,"1. Under 1 hour",IF(G1075&lt;=24,"2. 1-24 hours",IF(G1075&lt;=72,"3. 1-3 days","4. Over 3 days")))</f>
        <v/>
      </c>
      <c r="O1075">
        <f>TEXT(B1075,"YYYY-MM")</f>
        <v/>
      </c>
    </row>
    <row r="1076">
      <c r="A1076" t="inlineStr">
        <is>
          <t>LD-301074</t>
        </is>
      </c>
      <c r="B1076" t="inlineStr">
        <is>
          <t>2025-01-18 17:18:00</t>
        </is>
      </c>
      <c r="C1076" t="inlineStr">
        <is>
          <t>Paid Search</t>
        </is>
      </c>
      <c r="D1076" t="inlineStr">
        <is>
          <t>K-12 Math</t>
        </is>
      </c>
      <c r="E1076" t="inlineStr">
        <is>
          <t>North Region</t>
        </is>
      </c>
      <c r="F1076" t="inlineStr">
        <is>
          <t>Rep_11</t>
        </is>
      </c>
      <c r="G1076" t="n">
        <v>0.76</v>
      </c>
      <c r="H1076" t="inlineStr">
        <is>
          <t>Demo Completed</t>
        </is>
      </c>
      <c r="I1076" t="inlineStr">
        <is>
          <t>Lost</t>
        </is>
      </c>
      <c r="J1076" t="inlineStr">
        <is>
          <t>Went With Competitor</t>
        </is>
      </c>
      <c r="K1076" t="n">
        <v>529.49</v>
      </c>
      <c r="L1076" t="inlineStr">
        <is>
          <t>2025-02-26 03:50:11.076872</t>
        </is>
      </c>
      <c r="M1076">
        <f>VLOOKUP(H1076,'Stage Order'!$A$2:$B$8,2,FALSE)</f>
        <v/>
      </c>
      <c r="N1076">
        <f>IF(G1076&lt;=1,"1. Under 1 hour",IF(G1076&lt;=24,"2. 1-24 hours",IF(G1076&lt;=72,"3. 1-3 days","4. Over 3 days")))</f>
        <v/>
      </c>
      <c r="O1076">
        <f>TEXT(B1076,"YYYY-MM")</f>
        <v/>
      </c>
    </row>
    <row r="1077">
      <c r="A1077" t="inlineStr">
        <is>
          <t>LD-301075</t>
        </is>
      </c>
      <c r="B1077" t="inlineStr">
        <is>
          <t>2025-06-27 16:03:00</t>
        </is>
      </c>
      <c r="C1077" t="inlineStr">
        <is>
          <t>Organic Search</t>
        </is>
      </c>
      <c r="D1077" t="inlineStr">
        <is>
          <t>Competitive Exam Prep</t>
        </is>
      </c>
      <c r="E1077" t="inlineStr">
        <is>
          <t>North Region</t>
        </is>
      </c>
      <c r="F1077" t="inlineStr">
        <is>
          <t>Rep_01</t>
        </is>
      </c>
      <c r="G1077" t="n">
        <v>9.77</v>
      </c>
      <c r="H1077" t="inlineStr">
        <is>
          <t>Contacted</t>
        </is>
      </c>
      <c r="I1077" t="inlineStr">
        <is>
          <t>Open</t>
        </is>
      </c>
      <c r="M1077">
        <f>VLOOKUP(H1077,'Stage Order'!$A$2:$B$8,2,FALSE)</f>
        <v/>
      </c>
      <c r="N1077">
        <f>IF(G1077&lt;=1,"1. Under 1 hour",IF(G1077&lt;=24,"2. 1-24 hours",IF(G1077&lt;=72,"3. 1-3 days","4. Over 3 days")))</f>
        <v/>
      </c>
      <c r="O1077">
        <f>TEXT(B1077,"YYYY-MM")</f>
        <v/>
      </c>
    </row>
    <row r="1078">
      <c r="A1078" t="inlineStr">
        <is>
          <t>LD-301076</t>
        </is>
      </c>
      <c r="B1078" t="inlineStr">
        <is>
          <t>2025-02-02 13:04:00</t>
        </is>
      </c>
      <c r="C1078" t="inlineStr">
        <is>
          <t>Social Media</t>
        </is>
      </c>
      <c r="D1078" t="inlineStr">
        <is>
          <t>Competitive Exam Prep</t>
        </is>
      </c>
      <c r="E1078" t="inlineStr">
        <is>
          <t>West Region</t>
        </is>
      </c>
      <c r="F1078" t="inlineStr">
        <is>
          <t>Rep_08</t>
        </is>
      </c>
      <c r="G1078" t="n">
        <v>6.02</v>
      </c>
      <c r="H1078" t="inlineStr">
        <is>
          <t>Contacted</t>
        </is>
      </c>
      <c r="I1078" t="inlineStr">
        <is>
          <t>Open</t>
        </is>
      </c>
      <c r="M1078">
        <f>VLOOKUP(H1078,'Stage Order'!$A$2:$B$8,2,FALSE)</f>
        <v/>
      </c>
      <c r="N1078">
        <f>IF(G1078&lt;=1,"1. Under 1 hour",IF(G1078&lt;=24,"2. 1-24 hours",IF(G1078&lt;=72,"3. 1-3 days","4. Over 3 days")))</f>
        <v/>
      </c>
      <c r="O1078">
        <f>TEXT(B1078,"YYYY-MM")</f>
        <v/>
      </c>
    </row>
    <row r="1079">
      <c r="A1079" t="inlineStr">
        <is>
          <t>LD-301077</t>
        </is>
      </c>
      <c r="B1079" t="inlineStr">
        <is>
          <t>2025-09-18 20:21:00</t>
        </is>
      </c>
      <c r="C1079" t="inlineStr">
        <is>
          <t>Cold Outreach</t>
        </is>
      </c>
      <c r="D1079" t="inlineStr">
        <is>
          <t>K-12 Math</t>
        </is>
      </c>
      <c r="E1079" t="inlineStr">
        <is>
          <t>North Region</t>
        </is>
      </c>
      <c r="F1079" t="inlineStr">
        <is>
          <t>Rep_06</t>
        </is>
      </c>
      <c r="G1079" t="n">
        <v>0.84</v>
      </c>
      <c r="H1079" t="inlineStr">
        <is>
          <t>Lead</t>
        </is>
      </c>
      <c r="I1079" t="inlineStr">
        <is>
          <t>Open</t>
        </is>
      </c>
      <c r="M1079">
        <f>VLOOKUP(H1079,'Stage Order'!$A$2:$B$8,2,FALSE)</f>
        <v/>
      </c>
      <c r="N1079">
        <f>IF(G1079&lt;=1,"1. Under 1 hour",IF(G1079&lt;=24,"2. 1-24 hours",IF(G1079&lt;=72,"3. 1-3 days","4. Over 3 days")))</f>
        <v/>
      </c>
      <c r="O1079">
        <f>TEXT(B1079,"YYYY-MM")</f>
        <v/>
      </c>
    </row>
    <row r="1080">
      <c r="A1080" t="inlineStr">
        <is>
          <t>LD-301078</t>
        </is>
      </c>
      <c r="B1080" t="inlineStr">
        <is>
          <t>2026-02-23 13:56:00</t>
        </is>
      </c>
      <c r="C1080" t="inlineStr">
        <is>
          <t>Paid Search</t>
        </is>
      </c>
      <c r="D1080" t="inlineStr">
        <is>
          <t>Competitive Exam Prep</t>
        </is>
      </c>
      <c r="E1080" t="inlineStr">
        <is>
          <t>South Region</t>
        </is>
      </c>
      <c r="F1080" t="inlineStr">
        <is>
          <t>Rep_07</t>
        </is>
      </c>
      <c r="G1080" t="n">
        <v>5.07</v>
      </c>
      <c r="H1080" t="inlineStr">
        <is>
          <t>Proposal Sent</t>
        </is>
      </c>
      <c r="I1080" t="inlineStr">
        <is>
          <t>Lost</t>
        </is>
      </c>
      <c r="J1080" t="inlineStr">
        <is>
          <t>Price Objection</t>
        </is>
      </c>
      <c r="K1080" t="n">
        <v>972.22</v>
      </c>
      <c r="L1080" t="inlineStr">
        <is>
          <t>2026-04-02 02:32:42.308051</t>
        </is>
      </c>
      <c r="M1080">
        <f>VLOOKUP(H1080,'Stage Order'!$A$2:$B$8,2,FALSE)</f>
        <v/>
      </c>
      <c r="N1080">
        <f>IF(G1080&lt;=1,"1. Under 1 hour",IF(G1080&lt;=24,"2. 1-24 hours",IF(G1080&lt;=72,"3. 1-3 days","4. Over 3 days")))</f>
        <v/>
      </c>
      <c r="O1080">
        <f>TEXT(B1080,"YYYY-MM")</f>
        <v/>
      </c>
    </row>
    <row r="1081">
      <c r="A1081" t="inlineStr">
        <is>
          <t>LD-301079</t>
        </is>
      </c>
      <c r="B1081" t="inlineStr">
        <is>
          <t>2025-11-17 12:34:00</t>
        </is>
      </c>
      <c r="C1081" t="inlineStr">
        <is>
          <t>Social Media</t>
        </is>
      </c>
      <c r="D1081" t="inlineStr">
        <is>
          <t>Competitive Exam Prep</t>
        </is>
      </c>
      <c r="E1081" t="inlineStr">
        <is>
          <t>North Region</t>
        </is>
      </c>
      <c r="F1081" t="inlineStr">
        <is>
          <t>Rep_11</t>
        </is>
      </c>
      <c r="G1081" t="n">
        <v>1.56</v>
      </c>
      <c r="H1081" t="inlineStr">
        <is>
          <t>Contacted</t>
        </is>
      </c>
      <c r="I1081" t="inlineStr">
        <is>
          <t>Open</t>
        </is>
      </c>
      <c r="M1081">
        <f>VLOOKUP(H1081,'Stage Order'!$A$2:$B$8,2,FALSE)</f>
        <v/>
      </c>
      <c r="N1081">
        <f>IF(G1081&lt;=1,"1. Under 1 hour",IF(G1081&lt;=24,"2. 1-24 hours",IF(G1081&lt;=72,"3. 1-3 days","4. Over 3 days")))</f>
        <v/>
      </c>
      <c r="O1081">
        <f>TEXT(B1081,"YYYY-MM")</f>
        <v/>
      </c>
    </row>
    <row r="1082">
      <c r="A1082" t="inlineStr">
        <is>
          <t>LD-301080</t>
        </is>
      </c>
      <c r="B1082" t="inlineStr">
        <is>
          <t>2025-02-24 15:50:00</t>
        </is>
      </c>
      <c r="C1082" t="inlineStr">
        <is>
          <t>Webinar</t>
        </is>
      </c>
      <c r="D1082" t="inlineStr">
        <is>
          <t>Coding for Kids</t>
        </is>
      </c>
      <c r="E1082" t="inlineStr">
        <is>
          <t>North Region</t>
        </is>
      </c>
      <c r="F1082" t="inlineStr">
        <is>
          <t>Rep_11</t>
        </is>
      </c>
      <c r="G1082" t="n">
        <v>2.41</v>
      </c>
      <c r="H1082" t="inlineStr">
        <is>
          <t>Closed</t>
        </is>
      </c>
      <c r="I1082" t="inlineStr">
        <is>
          <t>Won</t>
        </is>
      </c>
      <c r="K1082" t="n">
        <v>548.83</v>
      </c>
      <c r="L1082" t="inlineStr">
        <is>
          <t>2025-04-08 12:32:20.863873</t>
        </is>
      </c>
      <c r="M1082">
        <f>VLOOKUP(H1082,'Stage Order'!$A$2:$B$8,2,FALSE)</f>
        <v/>
      </c>
      <c r="N1082">
        <f>IF(G1082&lt;=1,"1. Under 1 hour",IF(G1082&lt;=24,"2. 1-24 hours",IF(G1082&lt;=72,"3. 1-3 days","4. Over 3 days")))</f>
        <v/>
      </c>
      <c r="O1082">
        <f>TEXT(B1082,"YYYY-MM")</f>
        <v/>
      </c>
    </row>
    <row r="1083">
      <c r="A1083" t="inlineStr">
        <is>
          <t>LD-301081</t>
        </is>
      </c>
      <c r="B1083" t="inlineStr">
        <is>
          <t>2025-03-11 09:43:00</t>
        </is>
      </c>
      <c r="C1083" t="inlineStr">
        <is>
          <t>Organic Search</t>
        </is>
      </c>
      <c r="D1083" t="inlineStr">
        <is>
          <t>K-12 Math</t>
        </is>
      </c>
      <c r="E1083" t="inlineStr">
        <is>
          <t>South Region</t>
        </is>
      </c>
      <c r="F1083" t="inlineStr">
        <is>
          <t>Rep_12</t>
        </is>
      </c>
      <c r="G1083" t="n">
        <v>5.2</v>
      </c>
      <c r="H1083" t="inlineStr">
        <is>
          <t>Negotiation</t>
        </is>
      </c>
      <c r="I1083" t="inlineStr">
        <is>
          <t>Lost</t>
        </is>
      </c>
      <c r="J1083" t="inlineStr">
        <is>
          <t>Budget Not Approved</t>
        </is>
      </c>
      <c r="K1083" t="n">
        <v>582.5</v>
      </c>
      <c r="L1083" t="inlineStr">
        <is>
          <t>2025-04-23 00:23:48.960911</t>
        </is>
      </c>
      <c r="M1083">
        <f>VLOOKUP(H1083,'Stage Order'!$A$2:$B$8,2,FALSE)</f>
        <v/>
      </c>
      <c r="N1083">
        <f>IF(G1083&lt;=1,"1. Under 1 hour",IF(G1083&lt;=24,"2. 1-24 hours",IF(G1083&lt;=72,"3. 1-3 days","4. Over 3 days")))</f>
        <v/>
      </c>
      <c r="O1083">
        <f>TEXT(B1083,"YYYY-MM")</f>
        <v/>
      </c>
    </row>
    <row r="1084">
      <c r="A1084" t="inlineStr">
        <is>
          <t>LD-301082</t>
        </is>
      </c>
      <c r="B1084" t="inlineStr">
        <is>
          <t>2025-06-16 10:03:00</t>
        </is>
      </c>
      <c r="C1084" t="inlineStr">
        <is>
          <t>Social Media</t>
        </is>
      </c>
      <c r="D1084" t="inlineStr">
        <is>
          <t>Language Learning</t>
        </is>
      </c>
      <c r="E1084" t="inlineStr">
        <is>
          <t>West Region</t>
        </is>
      </c>
      <c r="F1084" t="inlineStr">
        <is>
          <t>Rep_08</t>
        </is>
      </c>
      <c r="G1084" t="n">
        <v>1.53</v>
      </c>
      <c r="H1084" t="inlineStr">
        <is>
          <t>Contacted</t>
        </is>
      </c>
      <c r="I1084" t="inlineStr">
        <is>
          <t>Open</t>
        </is>
      </c>
      <c r="M1084">
        <f>VLOOKUP(H1084,'Stage Order'!$A$2:$B$8,2,FALSE)</f>
        <v/>
      </c>
      <c r="N1084">
        <f>IF(G1084&lt;=1,"1. Under 1 hour",IF(G1084&lt;=24,"2. 1-24 hours",IF(G1084&lt;=72,"3. 1-3 days","4. Over 3 days")))</f>
        <v/>
      </c>
      <c r="O1084">
        <f>TEXT(B1084,"YYYY-MM")</f>
        <v/>
      </c>
    </row>
    <row r="1085">
      <c r="A1085" t="inlineStr">
        <is>
          <t>LD-301083</t>
        </is>
      </c>
      <c r="B1085" t="inlineStr">
        <is>
          <t>2026-03-12 15:37:00</t>
        </is>
      </c>
      <c r="C1085" t="inlineStr">
        <is>
          <t>Webinar</t>
        </is>
      </c>
      <c r="D1085" t="inlineStr">
        <is>
          <t>Competitive Exam Prep</t>
        </is>
      </c>
      <c r="E1085" t="inlineStr">
        <is>
          <t>International</t>
        </is>
      </c>
      <c r="F1085" t="inlineStr">
        <is>
          <t>Rep_10</t>
        </is>
      </c>
      <c r="G1085" t="n">
        <v>7.19</v>
      </c>
      <c r="H1085" t="inlineStr">
        <is>
          <t>Contacted</t>
        </is>
      </c>
      <c r="I1085" t="inlineStr">
        <is>
          <t>Open</t>
        </is>
      </c>
      <c r="M1085">
        <f>VLOOKUP(H1085,'Stage Order'!$A$2:$B$8,2,FALSE)</f>
        <v/>
      </c>
      <c r="N1085">
        <f>IF(G1085&lt;=1,"1. Under 1 hour",IF(G1085&lt;=24,"2. 1-24 hours",IF(G1085&lt;=72,"3. 1-3 days","4. Over 3 days")))</f>
        <v/>
      </c>
      <c r="O1085">
        <f>TEXT(B1085,"YYYY-MM")</f>
        <v/>
      </c>
    </row>
    <row r="1086">
      <c r="A1086" t="inlineStr">
        <is>
          <t>LD-301084</t>
        </is>
      </c>
      <c r="B1086" t="inlineStr">
        <is>
          <t>2026-06-29 07:41:00</t>
        </is>
      </c>
      <c r="C1086" t="inlineStr">
        <is>
          <t>Referral</t>
        </is>
      </c>
      <c r="D1086" t="inlineStr">
        <is>
          <t>Competitive Exam Prep</t>
        </is>
      </c>
      <c r="E1086" t="inlineStr">
        <is>
          <t>South Region</t>
        </is>
      </c>
      <c r="F1086" t="inlineStr">
        <is>
          <t>Rep_12</t>
        </is>
      </c>
      <c r="G1086" t="n">
        <v>0.6</v>
      </c>
      <c r="H1086" t="inlineStr">
        <is>
          <t>Closed</t>
        </is>
      </c>
      <c r="I1086" t="inlineStr">
        <is>
          <t>Won</t>
        </is>
      </c>
      <c r="K1086" t="n">
        <v>939.4400000000001</v>
      </c>
      <c r="L1086" t="inlineStr">
        <is>
          <t>2026-08-08 08:24:09.308131</t>
        </is>
      </c>
      <c r="M1086">
        <f>VLOOKUP(H1086,'Stage Order'!$A$2:$B$8,2,FALSE)</f>
        <v/>
      </c>
      <c r="N1086">
        <f>IF(G1086&lt;=1,"1. Under 1 hour",IF(G1086&lt;=24,"2. 1-24 hours",IF(G1086&lt;=72,"3. 1-3 days","4. Over 3 days")))</f>
        <v/>
      </c>
      <c r="O1086">
        <f>TEXT(B1086,"YYYY-MM")</f>
        <v/>
      </c>
    </row>
    <row r="1087">
      <c r="A1087" t="inlineStr">
        <is>
          <t>LD-301085</t>
        </is>
      </c>
      <c r="B1087" t="inlineStr">
        <is>
          <t>2026-02-11 19:48:00</t>
        </is>
      </c>
      <c r="C1087" t="inlineStr">
        <is>
          <t>Social Media</t>
        </is>
      </c>
      <c r="D1087" t="inlineStr">
        <is>
          <t>Language Learning</t>
        </is>
      </c>
      <c r="E1087" t="inlineStr">
        <is>
          <t>West Region</t>
        </is>
      </c>
      <c r="F1087" t="inlineStr">
        <is>
          <t>Rep_08</t>
        </is>
      </c>
      <c r="G1087" t="n">
        <v>4.77</v>
      </c>
      <c r="H1087" t="inlineStr">
        <is>
          <t>Contacted</t>
        </is>
      </c>
      <c r="I1087" t="inlineStr">
        <is>
          <t>Open</t>
        </is>
      </c>
      <c r="M1087">
        <f>VLOOKUP(H1087,'Stage Order'!$A$2:$B$8,2,FALSE)</f>
        <v/>
      </c>
      <c r="N1087">
        <f>IF(G1087&lt;=1,"1. Under 1 hour",IF(G1087&lt;=24,"2. 1-24 hours",IF(G1087&lt;=72,"3. 1-3 days","4. Over 3 days")))</f>
        <v/>
      </c>
      <c r="O1087">
        <f>TEXT(B1087,"YYYY-MM")</f>
        <v/>
      </c>
    </row>
    <row r="1088">
      <c r="A1088" t="inlineStr">
        <is>
          <t>LD-301086</t>
        </is>
      </c>
      <c r="B1088" t="inlineStr">
        <is>
          <t>2025-12-03 12:47:00</t>
        </is>
      </c>
      <c r="C1088" t="inlineStr">
        <is>
          <t>Paid Search</t>
        </is>
      </c>
      <c r="D1088" t="inlineStr">
        <is>
          <t>Language Learning</t>
        </is>
      </c>
      <c r="E1088" t="inlineStr">
        <is>
          <t>South Region</t>
        </is>
      </c>
      <c r="F1088" t="inlineStr">
        <is>
          <t>Rep_02</t>
        </is>
      </c>
      <c r="G1088" t="n">
        <v>1.21</v>
      </c>
      <c r="H1088" t="inlineStr">
        <is>
          <t>Demo Completed</t>
        </is>
      </c>
      <c r="I1088" t="inlineStr">
        <is>
          <t>Lost</t>
        </is>
      </c>
      <c r="J1088" t="inlineStr">
        <is>
          <t>Price Objection</t>
        </is>
      </c>
      <c r="K1088" t="n">
        <v>420.49</v>
      </c>
      <c r="L1088" t="inlineStr">
        <is>
          <t>2025-12-28 18:53:37.429624</t>
        </is>
      </c>
      <c r="M1088">
        <f>VLOOKUP(H1088,'Stage Order'!$A$2:$B$8,2,FALSE)</f>
        <v/>
      </c>
      <c r="N1088">
        <f>IF(G1088&lt;=1,"1. Under 1 hour",IF(G1088&lt;=24,"2. 1-24 hours",IF(G1088&lt;=72,"3. 1-3 days","4. Over 3 days")))</f>
        <v/>
      </c>
      <c r="O1088">
        <f>TEXT(B1088,"YYYY-MM")</f>
        <v/>
      </c>
    </row>
    <row r="1089">
      <c r="A1089" t="inlineStr">
        <is>
          <t>LD-301087</t>
        </is>
      </c>
      <c r="B1089" t="inlineStr">
        <is>
          <t>2025-07-23 14:27:00</t>
        </is>
      </c>
      <c r="C1089" t="inlineStr">
        <is>
          <t>Organic Search</t>
        </is>
      </c>
      <c r="D1089" t="inlineStr">
        <is>
          <t>Competitive Exam Prep</t>
        </is>
      </c>
      <c r="E1089" t="inlineStr">
        <is>
          <t>South Region</t>
        </is>
      </c>
      <c r="F1089" t="inlineStr">
        <is>
          <t>Rep_02</t>
        </is>
      </c>
      <c r="G1089" t="n">
        <v>2.52</v>
      </c>
      <c r="H1089" t="inlineStr">
        <is>
          <t>Contacted</t>
        </is>
      </c>
      <c r="I1089" t="inlineStr">
        <is>
          <t>Open</t>
        </is>
      </c>
      <c r="M1089">
        <f>VLOOKUP(H1089,'Stage Order'!$A$2:$B$8,2,FALSE)</f>
        <v/>
      </c>
      <c r="N1089">
        <f>IF(G1089&lt;=1,"1. Under 1 hour",IF(G1089&lt;=24,"2. 1-24 hours",IF(G1089&lt;=72,"3. 1-3 days","4. Over 3 days")))</f>
        <v/>
      </c>
      <c r="O1089">
        <f>TEXT(B1089,"YYYY-MM")</f>
        <v/>
      </c>
    </row>
    <row r="1090">
      <c r="A1090" t="inlineStr">
        <is>
          <t>LD-301088</t>
        </is>
      </c>
      <c r="B1090" t="inlineStr">
        <is>
          <t>2026-01-28 10:48:00</t>
        </is>
      </c>
      <c r="C1090" t="inlineStr">
        <is>
          <t>Paid Search</t>
        </is>
      </c>
      <c r="D1090" t="inlineStr">
        <is>
          <t>Competitive Exam Prep</t>
        </is>
      </c>
      <c r="E1090" t="inlineStr">
        <is>
          <t>East Region</t>
        </is>
      </c>
      <c r="F1090" t="inlineStr">
        <is>
          <t>Rep_14</t>
        </is>
      </c>
      <c r="G1090" t="n">
        <v>3.44</v>
      </c>
      <c r="H1090" t="inlineStr">
        <is>
          <t>Contacted</t>
        </is>
      </c>
      <c r="I1090" t="inlineStr">
        <is>
          <t>Open</t>
        </is>
      </c>
      <c r="M1090">
        <f>VLOOKUP(H1090,'Stage Order'!$A$2:$B$8,2,FALSE)</f>
        <v/>
      </c>
      <c r="N1090">
        <f>IF(G1090&lt;=1,"1. Under 1 hour",IF(G1090&lt;=24,"2. 1-24 hours",IF(G1090&lt;=72,"3. 1-3 days","4. Over 3 days")))</f>
        <v/>
      </c>
      <c r="O1090">
        <f>TEXT(B1090,"YYYY-MM")</f>
        <v/>
      </c>
    </row>
    <row r="1091">
      <c r="A1091" t="inlineStr">
        <is>
          <t>LD-301089</t>
        </is>
      </c>
      <c r="B1091" t="inlineStr">
        <is>
          <t>2025-11-08 14:20:00</t>
        </is>
      </c>
      <c r="C1091" t="inlineStr">
        <is>
          <t>Referral</t>
        </is>
      </c>
      <c r="D1091" t="inlineStr">
        <is>
          <t>K-12 Math</t>
        </is>
      </c>
      <c r="E1091" t="inlineStr">
        <is>
          <t>East Region</t>
        </is>
      </c>
      <c r="F1091" t="inlineStr">
        <is>
          <t>Rep_09</t>
        </is>
      </c>
      <c r="G1091" t="n">
        <v>2.29</v>
      </c>
      <c r="H1091" t="inlineStr">
        <is>
          <t>Closed</t>
        </is>
      </c>
      <c r="I1091" t="inlineStr">
        <is>
          <t>Won</t>
        </is>
      </c>
      <c r="K1091" t="n">
        <v>511.29</v>
      </c>
      <c r="L1091" t="inlineStr">
        <is>
          <t>2025-12-08 07:57:58.933599</t>
        </is>
      </c>
      <c r="M1091">
        <f>VLOOKUP(H1091,'Stage Order'!$A$2:$B$8,2,FALSE)</f>
        <v/>
      </c>
      <c r="N1091">
        <f>IF(G1091&lt;=1,"1. Under 1 hour",IF(G1091&lt;=24,"2. 1-24 hours",IF(G1091&lt;=72,"3. 1-3 days","4. Over 3 days")))</f>
        <v/>
      </c>
      <c r="O1091">
        <f>TEXT(B1091,"YYYY-MM")</f>
        <v/>
      </c>
    </row>
    <row r="1092">
      <c r="A1092" t="inlineStr">
        <is>
          <t>LD-301090</t>
        </is>
      </c>
      <c r="B1092" t="inlineStr">
        <is>
          <t>2025-01-24 10:48:00</t>
        </is>
      </c>
      <c r="C1092" t="inlineStr">
        <is>
          <t>Referral</t>
        </is>
      </c>
      <c r="D1092" t="inlineStr">
        <is>
          <t>Competitive Exam Prep</t>
        </is>
      </c>
      <c r="E1092" t="inlineStr">
        <is>
          <t>West Region</t>
        </is>
      </c>
      <c r="F1092" t="inlineStr">
        <is>
          <t>Rep_03</t>
        </is>
      </c>
      <c r="G1092" t="n">
        <v>1.27</v>
      </c>
      <c r="H1092" t="inlineStr">
        <is>
          <t>Negotiation</t>
        </is>
      </c>
      <c r="I1092" t="inlineStr">
        <is>
          <t>Lost</t>
        </is>
      </c>
      <c r="J1092" t="inlineStr">
        <is>
          <t>Budget Not Approved</t>
        </is>
      </c>
      <c r="K1092" t="n">
        <v>1050.6</v>
      </c>
      <c r="L1092" t="inlineStr">
        <is>
          <t>2025-02-24 19:29:02.509483</t>
        </is>
      </c>
      <c r="M1092">
        <f>VLOOKUP(H1092,'Stage Order'!$A$2:$B$8,2,FALSE)</f>
        <v/>
      </c>
      <c r="N1092">
        <f>IF(G1092&lt;=1,"1. Under 1 hour",IF(G1092&lt;=24,"2. 1-24 hours",IF(G1092&lt;=72,"3. 1-3 days","4. Over 3 days")))</f>
        <v/>
      </c>
      <c r="O1092">
        <f>TEXT(B1092,"YYYY-MM")</f>
        <v/>
      </c>
    </row>
    <row r="1093">
      <c r="A1093" t="inlineStr">
        <is>
          <t>LD-301091</t>
        </is>
      </c>
      <c r="B1093" t="inlineStr">
        <is>
          <t>2025-02-05 20:56:00</t>
        </is>
      </c>
      <c r="C1093" t="inlineStr">
        <is>
          <t>Social Media</t>
        </is>
      </c>
      <c r="D1093" t="inlineStr">
        <is>
          <t>Coding for Kids</t>
        </is>
      </c>
      <c r="E1093" t="inlineStr">
        <is>
          <t>North Region</t>
        </is>
      </c>
      <c r="F1093" t="inlineStr">
        <is>
          <t>Rep_06</t>
        </is>
      </c>
      <c r="G1093" t="n">
        <v>2.18</v>
      </c>
      <c r="H1093" t="inlineStr">
        <is>
          <t>Demo Scheduled</t>
        </is>
      </c>
      <c r="I1093" t="inlineStr">
        <is>
          <t>Open</t>
        </is>
      </c>
      <c r="M1093">
        <f>VLOOKUP(H1093,'Stage Order'!$A$2:$B$8,2,FALSE)</f>
        <v/>
      </c>
      <c r="N1093">
        <f>IF(G1093&lt;=1,"1. Under 1 hour",IF(G1093&lt;=24,"2. 1-24 hours",IF(G1093&lt;=72,"3. 1-3 days","4. Over 3 days")))</f>
        <v/>
      </c>
      <c r="O1093">
        <f>TEXT(B1093,"YYYY-MM")</f>
        <v/>
      </c>
    </row>
    <row r="1094">
      <c r="A1094" t="inlineStr">
        <is>
          <t>LD-301092</t>
        </is>
      </c>
      <c r="B1094" t="inlineStr">
        <is>
          <t>2026-06-29 17:13:00</t>
        </is>
      </c>
      <c r="C1094" t="inlineStr">
        <is>
          <t>Referral</t>
        </is>
      </c>
      <c r="D1094" t="inlineStr">
        <is>
          <t>Study Abroad Prep</t>
        </is>
      </c>
      <c r="E1094" t="inlineStr">
        <is>
          <t>South Region</t>
        </is>
      </c>
      <c r="F1094" t="inlineStr">
        <is>
          <t>Rep_07</t>
        </is>
      </c>
      <c r="G1094" t="n">
        <v>1.05</v>
      </c>
      <c r="H1094" t="inlineStr">
        <is>
          <t>Demo Scheduled</t>
        </is>
      </c>
      <c r="I1094" t="inlineStr">
        <is>
          <t>Open</t>
        </is>
      </c>
      <c r="M1094">
        <f>VLOOKUP(H1094,'Stage Order'!$A$2:$B$8,2,FALSE)</f>
        <v/>
      </c>
      <c r="N1094">
        <f>IF(G1094&lt;=1,"1. Under 1 hour",IF(G1094&lt;=24,"2. 1-24 hours",IF(G1094&lt;=72,"3. 1-3 days","4. Over 3 days")))</f>
        <v/>
      </c>
      <c r="O1094">
        <f>TEXT(B1094,"YYYY-MM")</f>
        <v/>
      </c>
    </row>
    <row r="1095">
      <c r="A1095" t="inlineStr">
        <is>
          <t>LD-301093</t>
        </is>
      </c>
      <c r="B1095" t="inlineStr">
        <is>
          <t>2025-05-30 16:43:00</t>
        </is>
      </c>
      <c r="C1095" t="inlineStr">
        <is>
          <t>Organic Search</t>
        </is>
      </c>
      <c r="D1095" t="inlineStr">
        <is>
          <t>Competitive Exam Prep</t>
        </is>
      </c>
      <c r="E1095" t="inlineStr">
        <is>
          <t>East Region</t>
        </is>
      </c>
      <c r="F1095" t="inlineStr">
        <is>
          <t>Rep_14</t>
        </is>
      </c>
      <c r="G1095" t="n">
        <v>5.61</v>
      </c>
      <c r="H1095" t="inlineStr">
        <is>
          <t>Lead</t>
        </is>
      </c>
      <c r="I1095" t="inlineStr">
        <is>
          <t>Open</t>
        </is>
      </c>
      <c r="M1095">
        <f>VLOOKUP(H1095,'Stage Order'!$A$2:$B$8,2,FALSE)</f>
        <v/>
      </c>
      <c r="N1095">
        <f>IF(G1095&lt;=1,"1. Under 1 hour",IF(G1095&lt;=24,"2. 1-24 hours",IF(G1095&lt;=72,"3. 1-3 days","4. Over 3 days")))</f>
        <v/>
      </c>
      <c r="O1095">
        <f>TEXT(B1095,"YYYY-MM")</f>
        <v/>
      </c>
    </row>
    <row r="1096">
      <c r="A1096" t="inlineStr">
        <is>
          <t>LD-301094</t>
        </is>
      </c>
      <c r="B1096" t="inlineStr">
        <is>
          <t>2025-06-24 19:16:00</t>
        </is>
      </c>
      <c r="C1096" t="inlineStr">
        <is>
          <t>Webinar</t>
        </is>
      </c>
      <c r="D1096" t="inlineStr">
        <is>
          <t>K-12 Math</t>
        </is>
      </c>
      <c r="E1096" t="inlineStr">
        <is>
          <t>North Region</t>
        </is>
      </c>
      <c r="F1096" t="inlineStr">
        <is>
          <t>Rep_11</t>
        </is>
      </c>
      <c r="G1096" t="n">
        <v>1.08</v>
      </c>
      <c r="H1096" t="inlineStr">
        <is>
          <t>Contacted</t>
        </is>
      </c>
      <c r="I1096" t="inlineStr">
        <is>
          <t>Open</t>
        </is>
      </c>
      <c r="M1096">
        <f>VLOOKUP(H1096,'Stage Order'!$A$2:$B$8,2,FALSE)</f>
        <v/>
      </c>
      <c r="N1096">
        <f>IF(G1096&lt;=1,"1. Under 1 hour",IF(G1096&lt;=24,"2. 1-24 hours",IF(G1096&lt;=72,"3. 1-3 days","4. Over 3 days")))</f>
        <v/>
      </c>
      <c r="O1096">
        <f>TEXT(B1096,"YYYY-MM")</f>
        <v/>
      </c>
    </row>
    <row r="1097">
      <c r="A1097" t="inlineStr">
        <is>
          <t>LD-301095</t>
        </is>
      </c>
      <c r="B1097" t="inlineStr">
        <is>
          <t>2025-11-25 20:34:00</t>
        </is>
      </c>
      <c r="C1097" t="inlineStr">
        <is>
          <t>Webinar</t>
        </is>
      </c>
      <c r="D1097" t="inlineStr">
        <is>
          <t>Language Learning</t>
        </is>
      </c>
      <c r="E1097" t="inlineStr">
        <is>
          <t>West Region</t>
        </is>
      </c>
      <c r="F1097" t="inlineStr">
        <is>
          <t>Rep_03</t>
        </is>
      </c>
      <c r="G1097" t="n">
        <v>2.25</v>
      </c>
      <c r="H1097" t="inlineStr">
        <is>
          <t>Demo Scheduled</t>
        </is>
      </c>
      <c r="I1097" t="inlineStr">
        <is>
          <t>Open</t>
        </is>
      </c>
      <c r="M1097">
        <f>VLOOKUP(H1097,'Stage Order'!$A$2:$B$8,2,FALSE)</f>
        <v/>
      </c>
      <c r="N1097">
        <f>IF(G1097&lt;=1,"1. Under 1 hour",IF(G1097&lt;=24,"2. 1-24 hours",IF(G1097&lt;=72,"3. 1-3 days","4. Over 3 days")))</f>
        <v/>
      </c>
      <c r="O1097">
        <f>TEXT(B1097,"YYYY-MM")</f>
        <v/>
      </c>
    </row>
    <row r="1098">
      <c r="A1098" t="inlineStr">
        <is>
          <t>LD-301096</t>
        </is>
      </c>
      <c r="B1098" t="inlineStr">
        <is>
          <t>2025-09-30 10:54:00</t>
        </is>
      </c>
      <c r="C1098" t="inlineStr">
        <is>
          <t>Organic Search</t>
        </is>
      </c>
      <c r="D1098" t="inlineStr">
        <is>
          <t>Competitive Exam Prep</t>
        </is>
      </c>
      <c r="E1098" t="inlineStr">
        <is>
          <t>East Region</t>
        </is>
      </c>
      <c r="F1098" t="inlineStr">
        <is>
          <t>Rep_04</t>
        </is>
      </c>
      <c r="G1098" t="n">
        <v>5.44</v>
      </c>
      <c r="H1098" t="inlineStr">
        <is>
          <t>Closed</t>
        </is>
      </c>
      <c r="I1098" t="inlineStr">
        <is>
          <t>Won</t>
        </is>
      </c>
      <c r="K1098" t="n">
        <v>917.74</v>
      </c>
      <c r="L1098" t="inlineStr">
        <is>
          <t>2025-10-27 22:18:27.780718</t>
        </is>
      </c>
      <c r="M1098">
        <f>VLOOKUP(H1098,'Stage Order'!$A$2:$B$8,2,FALSE)</f>
        <v/>
      </c>
      <c r="N1098">
        <f>IF(G1098&lt;=1,"1. Under 1 hour",IF(G1098&lt;=24,"2. 1-24 hours",IF(G1098&lt;=72,"3. 1-3 days","4. Over 3 days")))</f>
        <v/>
      </c>
      <c r="O1098">
        <f>TEXT(B1098,"YYYY-MM")</f>
        <v/>
      </c>
    </row>
    <row r="1099">
      <c r="A1099" t="inlineStr">
        <is>
          <t>LD-301097</t>
        </is>
      </c>
      <c r="B1099" t="inlineStr">
        <is>
          <t>2026-03-16 09:07:00</t>
        </is>
      </c>
      <c r="C1099" t="inlineStr">
        <is>
          <t>Paid Search</t>
        </is>
      </c>
      <c r="D1099" t="inlineStr">
        <is>
          <t>Competitive Exam Prep</t>
        </is>
      </c>
      <c r="E1099" t="inlineStr">
        <is>
          <t>South Region</t>
        </is>
      </c>
      <c r="F1099" t="inlineStr">
        <is>
          <t>Rep_02</t>
        </is>
      </c>
      <c r="G1099" t="n">
        <v>1.11</v>
      </c>
      <c r="H1099" t="inlineStr">
        <is>
          <t>Contacted</t>
        </is>
      </c>
      <c r="I1099" t="inlineStr">
        <is>
          <t>Open</t>
        </is>
      </c>
      <c r="M1099">
        <f>VLOOKUP(H1099,'Stage Order'!$A$2:$B$8,2,FALSE)</f>
        <v/>
      </c>
      <c r="N1099">
        <f>IF(G1099&lt;=1,"1. Under 1 hour",IF(G1099&lt;=24,"2. 1-24 hours",IF(G1099&lt;=72,"3. 1-3 days","4. Over 3 days")))</f>
        <v/>
      </c>
      <c r="O1099">
        <f>TEXT(B1099,"YYYY-MM")</f>
        <v/>
      </c>
    </row>
    <row r="1100">
      <c r="A1100" t="inlineStr">
        <is>
          <t>LD-301098</t>
        </is>
      </c>
      <c r="B1100" t="inlineStr">
        <is>
          <t>2025-03-18 19:20:00</t>
        </is>
      </c>
      <c r="C1100" t="inlineStr">
        <is>
          <t>Webinar</t>
        </is>
      </c>
      <c r="D1100" t="inlineStr">
        <is>
          <t>K-12 Math</t>
        </is>
      </c>
      <c r="E1100" t="inlineStr">
        <is>
          <t>South Region</t>
        </is>
      </c>
      <c r="F1100" t="inlineStr">
        <is>
          <t>Rep_07</t>
        </is>
      </c>
      <c r="G1100" t="n">
        <v>6.19</v>
      </c>
      <c r="H1100" t="inlineStr">
        <is>
          <t>Contacted</t>
        </is>
      </c>
      <c r="I1100" t="inlineStr">
        <is>
          <t>Open</t>
        </is>
      </c>
      <c r="M1100">
        <f>VLOOKUP(H1100,'Stage Order'!$A$2:$B$8,2,FALSE)</f>
        <v/>
      </c>
      <c r="N1100">
        <f>IF(G1100&lt;=1,"1. Under 1 hour",IF(G1100&lt;=24,"2. 1-24 hours",IF(G1100&lt;=72,"3. 1-3 days","4. Over 3 days")))</f>
        <v/>
      </c>
      <c r="O1100">
        <f>TEXT(B1100,"YYYY-MM")</f>
        <v/>
      </c>
    </row>
    <row r="1101">
      <c r="A1101" t="inlineStr">
        <is>
          <t>LD-301099</t>
        </is>
      </c>
      <c r="B1101" t="inlineStr">
        <is>
          <t>2025-03-05 16:18:00</t>
        </is>
      </c>
      <c r="C1101" t="inlineStr">
        <is>
          <t>Paid Search</t>
        </is>
      </c>
      <c r="D1101" t="inlineStr">
        <is>
          <t>K-12 Math</t>
        </is>
      </c>
      <c r="E1101" t="inlineStr">
        <is>
          <t>East Region</t>
        </is>
      </c>
      <c r="F1101" t="inlineStr">
        <is>
          <t>Rep_09</t>
        </is>
      </c>
      <c r="G1101" t="n">
        <v>6.61</v>
      </c>
      <c r="H1101" t="inlineStr">
        <is>
          <t>Demo Completed</t>
        </is>
      </c>
      <c r="I1101" t="inlineStr">
        <is>
          <t>Lost</t>
        </is>
      </c>
      <c r="J1101" t="inlineStr">
        <is>
          <t>No Response / Ghosted</t>
        </is>
      </c>
      <c r="K1101" t="n">
        <v>583.33</v>
      </c>
      <c r="L1101" t="inlineStr">
        <is>
          <t>2025-04-07 14:38:54.232717</t>
        </is>
      </c>
      <c r="M1101">
        <f>VLOOKUP(H1101,'Stage Order'!$A$2:$B$8,2,FALSE)</f>
        <v/>
      </c>
      <c r="N1101">
        <f>IF(G1101&lt;=1,"1. Under 1 hour",IF(G1101&lt;=24,"2. 1-24 hours",IF(G1101&lt;=72,"3. 1-3 days","4. Over 3 days")))</f>
        <v/>
      </c>
      <c r="O1101">
        <f>TEXT(B1101,"YYYY-MM")</f>
        <v/>
      </c>
    </row>
    <row r="1102">
      <c r="A1102" t="inlineStr">
        <is>
          <t>LD-301100</t>
        </is>
      </c>
      <c r="B1102" t="inlineStr">
        <is>
          <t>2025-03-30 08:13:00</t>
        </is>
      </c>
      <c r="C1102" t="inlineStr">
        <is>
          <t>Partner Channel</t>
        </is>
      </c>
      <c r="D1102" t="inlineStr">
        <is>
          <t>Coding for Kids</t>
        </is>
      </c>
      <c r="E1102" t="inlineStr">
        <is>
          <t>South Region</t>
        </is>
      </c>
      <c r="F1102" t="inlineStr">
        <is>
          <t>Rep_02</t>
        </is>
      </c>
      <c r="G1102" t="n">
        <v>1.32</v>
      </c>
      <c r="H1102" t="inlineStr">
        <is>
          <t>Contacted</t>
        </is>
      </c>
      <c r="I1102" t="inlineStr">
        <is>
          <t>Open</t>
        </is>
      </c>
      <c r="M1102">
        <f>VLOOKUP(H1102,'Stage Order'!$A$2:$B$8,2,FALSE)</f>
        <v/>
      </c>
      <c r="N1102">
        <f>IF(G1102&lt;=1,"1. Under 1 hour",IF(G1102&lt;=24,"2. 1-24 hours",IF(G1102&lt;=72,"3. 1-3 days","4. Over 3 days")))</f>
        <v/>
      </c>
      <c r="O1102">
        <f>TEXT(B1102,"YYYY-MM")</f>
        <v/>
      </c>
    </row>
    <row r="1103">
      <c r="A1103" t="inlineStr">
        <is>
          <t>LD-301101</t>
        </is>
      </c>
      <c r="B1103" t="inlineStr">
        <is>
          <t>2026-06-26 10:39:00</t>
        </is>
      </c>
      <c r="C1103" t="inlineStr">
        <is>
          <t>Social Media</t>
        </is>
      </c>
      <c r="D1103" t="inlineStr">
        <is>
          <t>Coding for Kids</t>
        </is>
      </c>
      <c r="E1103" t="inlineStr">
        <is>
          <t>South Region</t>
        </is>
      </c>
      <c r="F1103" t="inlineStr">
        <is>
          <t>Rep_02</t>
        </is>
      </c>
      <c r="G1103" t="n">
        <v>11.13</v>
      </c>
      <c r="H1103" t="inlineStr">
        <is>
          <t>Lead</t>
        </is>
      </c>
      <c r="I1103" t="inlineStr">
        <is>
          <t>Open</t>
        </is>
      </c>
      <c r="M1103">
        <f>VLOOKUP(H1103,'Stage Order'!$A$2:$B$8,2,FALSE)</f>
        <v/>
      </c>
      <c r="N1103">
        <f>IF(G1103&lt;=1,"1. Under 1 hour",IF(G1103&lt;=24,"2. 1-24 hours",IF(G1103&lt;=72,"3. 1-3 days","4. Over 3 days")))</f>
        <v/>
      </c>
      <c r="O1103">
        <f>TEXT(B1103,"YYYY-MM")</f>
        <v/>
      </c>
    </row>
    <row r="1104">
      <c r="A1104" t="inlineStr">
        <is>
          <t>LD-301102</t>
        </is>
      </c>
      <c r="B1104" t="inlineStr">
        <is>
          <t>2025-10-11 10:26:00</t>
        </is>
      </c>
      <c r="C1104" t="inlineStr">
        <is>
          <t>Social Media</t>
        </is>
      </c>
      <c r="D1104" t="inlineStr">
        <is>
          <t>Language Learning</t>
        </is>
      </c>
      <c r="E1104" t="inlineStr">
        <is>
          <t>South Region</t>
        </is>
      </c>
      <c r="F1104" t="inlineStr">
        <is>
          <t>Rep_07</t>
        </is>
      </c>
      <c r="G1104" t="n">
        <v>0.76</v>
      </c>
      <c r="H1104" t="inlineStr">
        <is>
          <t>Contacted</t>
        </is>
      </c>
      <c r="I1104" t="inlineStr">
        <is>
          <t>Open</t>
        </is>
      </c>
      <c r="M1104">
        <f>VLOOKUP(H1104,'Stage Order'!$A$2:$B$8,2,FALSE)</f>
        <v/>
      </c>
      <c r="N1104">
        <f>IF(G1104&lt;=1,"1. Under 1 hour",IF(G1104&lt;=24,"2. 1-24 hours",IF(G1104&lt;=72,"3. 1-3 days","4. Over 3 days")))</f>
        <v/>
      </c>
      <c r="O1104">
        <f>TEXT(B1104,"YYYY-MM")</f>
        <v/>
      </c>
    </row>
    <row r="1105">
      <c r="A1105" t="inlineStr">
        <is>
          <t>LD-301103</t>
        </is>
      </c>
      <c r="B1105" t="inlineStr">
        <is>
          <t>2025-09-15 12:14:00</t>
        </is>
      </c>
      <c r="C1105" t="inlineStr">
        <is>
          <t>Webinar</t>
        </is>
      </c>
      <c r="D1105" t="inlineStr">
        <is>
          <t>Language Learning</t>
        </is>
      </c>
      <c r="E1105" t="inlineStr">
        <is>
          <t>West Region</t>
        </is>
      </c>
      <c r="F1105" t="inlineStr">
        <is>
          <t>Rep_08</t>
        </is>
      </c>
      <c r="G1105" t="n">
        <v>2.19</v>
      </c>
      <c r="H1105" t="inlineStr">
        <is>
          <t>Demo Scheduled</t>
        </is>
      </c>
      <c r="I1105" t="inlineStr">
        <is>
          <t>Open</t>
        </is>
      </c>
      <c r="M1105">
        <f>VLOOKUP(H1105,'Stage Order'!$A$2:$B$8,2,FALSE)</f>
        <v/>
      </c>
      <c r="N1105">
        <f>IF(G1105&lt;=1,"1. Under 1 hour",IF(G1105&lt;=24,"2. 1-24 hours",IF(G1105&lt;=72,"3. 1-3 days","4. Over 3 days")))</f>
        <v/>
      </c>
      <c r="O1105">
        <f>TEXT(B1105,"YYYY-MM")</f>
        <v/>
      </c>
    </row>
    <row r="1106">
      <c r="A1106" t="inlineStr">
        <is>
          <t>LD-301104</t>
        </is>
      </c>
      <c r="B1106" t="inlineStr">
        <is>
          <t>2025-08-07 12:02:00</t>
        </is>
      </c>
      <c r="C1106" t="inlineStr">
        <is>
          <t>Paid Search</t>
        </is>
      </c>
      <c r="D1106" t="inlineStr">
        <is>
          <t>K-12 Math</t>
        </is>
      </c>
      <c r="E1106" t="inlineStr">
        <is>
          <t>International</t>
        </is>
      </c>
      <c r="F1106" t="inlineStr">
        <is>
          <t>Rep_15</t>
        </is>
      </c>
      <c r="G1106" t="n">
        <v>1.55</v>
      </c>
      <c r="H1106" t="inlineStr">
        <is>
          <t>Contacted</t>
        </is>
      </c>
      <c r="I1106" t="inlineStr">
        <is>
          <t>Open</t>
        </is>
      </c>
      <c r="M1106">
        <f>VLOOKUP(H1106,'Stage Order'!$A$2:$B$8,2,FALSE)</f>
        <v/>
      </c>
      <c r="N1106">
        <f>IF(G1106&lt;=1,"1. Under 1 hour",IF(G1106&lt;=24,"2. 1-24 hours",IF(G1106&lt;=72,"3. 1-3 days","4. Over 3 days")))</f>
        <v/>
      </c>
      <c r="O1106">
        <f>TEXT(B1106,"YYYY-MM")</f>
        <v/>
      </c>
    </row>
    <row r="1107">
      <c r="A1107" t="inlineStr">
        <is>
          <t>LD-301105</t>
        </is>
      </c>
      <c r="B1107" t="inlineStr">
        <is>
          <t>2025-11-27 18:41:00</t>
        </is>
      </c>
      <c r="C1107" t="inlineStr">
        <is>
          <t>Social Media</t>
        </is>
      </c>
      <c r="D1107" t="inlineStr">
        <is>
          <t>Competitive Exam Prep</t>
        </is>
      </c>
      <c r="E1107" t="inlineStr">
        <is>
          <t>West Region</t>
        </is>
      </c>
      <c r="F1107" t="inlineStr">
        <is>
          <t>Rep_08</t>
        </is>
      </c>
      <c r="G1107" t="n">
        <v>1.79</v>
      </c>
      <c r="H1107" t="inlineStr">
        <is>
          <t>Contacted</t>
        </is>
      </c>
      <c r="I1107" t="inlineStr">
        <is>
          <t>Open</t>
        </is>
      </c>
      <c r="M1107">
        <f>VLOOKUP(H1107,'Stage Order'!$A$2:$B$8,2,FALSE)</f>
        <v/>
      </c>
      <c r="N1107">
        <f>IF(G1107&lt;=1,"1. Under 1 hour",IF(G1107&lt;=24,"2. 1-24 hours",IF(G1107&lt;=72,"3. 1-3 days","4. Over 3 days")))</f>
        <v/>
      </c>
      <c r="O1107">
        <f>TEXT(B1107,"YYYY-MM")</f>
        <v/>
      </c>
    </row>
    <row r="1108">
      <c r="A1108" t="inlineStr">
        <is>
          <t>LD-301106</t>
        </is>
      </c>
      <c r="B1108" t="inlineStr">
        <is>
          <t>2025-06-25 16:10:00</t>
        </is>
      </c>
      <c r="C1108" t="inlineStr">
        <is>
          <t>Webinar</t>
        </is>
      </c>
      <c r="D1108" t="inlineStr">
        <is>
          <t>K-12 Math</t>
        </is>
      </c>
      <c r="E1108" t="inlineStr">
        <is>
          <t>South Region</t>
        </is>
      </c>
      <c r="F1108" t="inlineStr">
        <is>
          <t>Rep_07</t>
        </is>
      </c>
      <c r="G1108" t="n">
        <v>1.09</v>
      </c>
      <c r="H1108" t="inlineStr">
        <is>
          <t>Contacted</t>
        </is>
      </c>
      <c r="I1108" t="inlineStr">
        <is>
          <t>Open</t>
        </is>
      </c>
      <c r="M1108">
        <f>VLOOKUP(H1108,'Stage Order'!$A$2:$B$8,2,FALSE)</f>
        <v/>
      </c>
      <c r="N1108">
        <f>IF(G1108&lt;=1,"1. Under 1 hour",IF(G1108&lt;=24,"2. 1-24 hours",IF(G1108&lt;=72,"3. 1-3 days","4. Over 3 days")))</f>
        <v/>
      </c>
      <c r="O1108">
        <f>TEXT(B1108,"YYYY-MM")</f>
        <v/>
      </c>
    </row>
    <row r="1109">
      <c r="A1109" t="inlineStr">
        <is>
          <t>LD-301107</t>
        </is>
      </c>
      <c r="B1109" t="inlineStr">
        <is>
          <t>2026-02-24 14:52:00</t>
        </is>
      </c>
      <c r="C1109" t="inlineStr">
        <is>
          <t>Webinar</t>
        </is>
      </c>
      <c r="D1109" t="inlineStr">
        <is>
          <t>Study Abroad Prep</t>
        </is>
      </c>
      <c r="E1109" t="inlineStr">
        <is>
          <t>South Region</t>
        </is>
      </c>
      <c r="F1109" t="inlineStr">
        <is>
          <t>Rep_12</t>
        </is>
      </c>
      <c r="G1109" t="n">
        <v>10.59</v>
      </c>
      <c r="H1109" t="inlineStr">
        <is>
          <t>Contacted</t>
        </is>
      </c>
      <c r="I1109" t="inlineStr">
        <is>
          <t>Open</t>
        </is>
      </c>
      <c r="M1109">
        <f>VLOOKUP(H1109,'Stage Order'!$A$2:$B$8,2,FALSE)</f>
        <v/>
      </c>
      <c r="N1109">
        <f>IF(G1109&lt;=1,"1. Under 1 hour",IF(G1109&lt;=24,"2. 1-24 hours",IF(G1109&lt;=72,"3. 1-3 days","4. Over 3 days")))</f>
        <v/>
      </c>
      <c r="O1109">
        <f>TEXT(B1109,"YYYY-MM")</f>
        <v/>
      </c>
    </row>
    <row r="1110">
      <c r="A1110" t="inlineStr">
        <is>
          <t>LD-301108</t>
        </is>
      </c>
      <c r="B1110" t="inlineStr">
        <is>
          <t>2025-03-21 11:49:00</t>
        </is>
      </c>
      <c r="C1110" t="inlineStr">
        <is>
          <t>Organic Search</t>
        </is>
      </c>
      <c r="D1110" t="inlineStr">
        <is>
          <t>Coding for Kids</t>
        </is>
      </c>
      <c r="E1110" t="inlineStr">
        <is>
          <t>West Region</t>
        </is>
      </c>
      <c r="F1110" t="inlineStr">
        <is>
          <t>Rep_03</t>
        </is>
      </c>
      <c r="G1110" t="n">
        <v>0.6</v>
      </c>
      <c r="H1110" t="inlineStr">
        <is>
          <t>Contacted</t>
        </is>
      </c>
      <c r="I1110" t="inlineStr">
        <is>
          <t>Open</t>
        </is>
      </c>
      <c r="M1110">
        <f>VLOOKUP(H1110,'Stage Order'!$A$2:$B$8,2,FALSE)</f>
        <v/>
      </c>
      <c r="N1110">
        <f>IF(G1110&lt;=1,"1. Under 1 hour",IF(G1110&lt;=24,"2. 1-24 hours",IF(G1110&lt;=72,"3. 1-3 days","4. Over 3 days")))</f>
        <v/>
      </c>
      <c r="O1110">
        <f>TEXT(B1110,"YYYY-MM")</f>
        <v/>
      </c>
    </row>
    <row r="1111">
      <c r="A1111" t="inlineStr">
        <is>
          <t>LD-301109</t>
        </is>
      </c>
      <c r="B1111" t="inlineStr">
        <is>
          <t>2025-01-24 17:40:00</t>
        </is>
      </c>
      <c r="C1111" t="inlineStr">
        <is>
          <t>Webinar</t>
        </is>
      </c>
      <c r="D1111" t="inlineStr">
        <is>
          <t>K-12 Math</t>
        </is>
      </c>
      <c r="E1111" t="inlineStr">
        <is>
          <t>North Region</t>
        </is>
      </c>
      <c r="F1111" t="inlineStr">
        <is>
          <t>Rep_11</t>
        </is>
      </c>
      <c r="G1111" t="n">
        <v>6.03</v>
      </c>
      <c r="H1111" t="inlineStr">
        <is>
          <t>Closed</t>
        </is>
      </c>
      <c r="I1111" t="inlineStr">
        <is>
          <t>Won</t>
        </is>
      </c>
      <c r="K1111" t="n">
        <v>564.25</v>
      </c>
      <c r="L1111" t="inlineStr">
        <is>
          <t>2025-03-07 16:20:15.383339</t>
        </is>
      </c>
      <c r="M1111">
        <f>VLOOKUP(H1111,'Stage Order'!$A$2:$B$8,2,FALSE)</f>
        <v/>
      </c>
      <c r="N1111">
        <f>IF(G1111&lt;=1,"1. Under 1 hour",IF(G1111&lt;=24,"2. 1-24 hours",IF(G1111&lt;=72,"3. 1-3 days","4. Over 3 days")))</f>
        <v/>
      </c>
      <c r="O1111">
        <f>TEXT(B1111,"YYYY-MM")</f>
        <v/>
      </c>
    </row>
    <row r="1112">
      <c r="A1112" t="inlineStr">
        <is>
          <t>LD-301110</t>
        </is>
      </c>
      <c r="B1112" t="inlineStr">
        <is>
          <t>2026-02-11 09:54:00</t>
        </is>
      </c>
      <c r="C1112" t="inlineStr">
        <is>
          <t>Paid Search</t>
        </is>
      </c>
      <c r="D1112" t="inlineStr">
        <is>
          <t>K-12 Math</t>
        </is>
      </c>
      <c r="E1112" t="inlineStr">
        <is>
          <t>South Region</t>
        </is>
      </c>
      <c r="F1112" t="inlineStr">
        <is>
          <t>Rep_02</t>
        </is>
      </c>
      <c r="G1112" t="n">
        <v>2.22</v>
      </c>
      <c r="H1112" t="inlineStr">
        <is>
          <t>Contacted</t>
        </is>
      </c>
      <c r="I1112" t="inlineStr">
        <is>
          <t>Open</t>
        </is>
      </c>
      <c r="M1112">
        <f>VLOOKUP(H1112,'Stage Order'!$A$2:$B$8,2,FALSE)</f>
        <v/>
      </c>
      <c r="N1112">
        <f>IF(G1112&lt;=1,"1. Under 1 hour",IF(G1112&lt;=24,"2. 1-24 hours",IF(G1112&lt;=72,"3. 1-3 days","4. Over 3 days")))</f>
        <v/>
      </c>
      <c r="O1112">
        <f>TEXT(B1112,"YYYY-MM")</f>
        <v/>
      </c>
    </row>
    <row r="1113">
      <c r="A1113" t="inlineStr">
        <is>
          <t>LD-301111</t>
        </is>
      </c>
      <c r="B1113" t="inlineStr">
        <is>
          <t>2025-02-09 11:10:00</t>
        </is>
      </c>
      <c r="C1113" t="inlineStr">
        <is>
          <t>Social Media</t>
        </is>
      </c>
      <c r="D1113" t="inlineStr">
        <is>
          <t>K-12 Math</t>
        </is>
      </c>
      <c r="E1113" t="inlineStr">
        <is>
          <t>International</t>
        </is>
      </c>
      <c r="F1113" t="inlineStr">
        <is>
          <t>Rep_05</t>
        </is>
      </c>
      <c r="G1113" t="n">
        <v>2.04</v>
      </c>
      <c r="H1113" t="inlineStr">
        <is>
          <t>Contacted</t>
        </is>
      </c>
      <c r="I1113" t="inlineStr">
        <is>
          <t>Open</t>
        </is>
      </c>
      <c r="M1113">
        <f>VLOOKUP(H1113,'Stage Order'!$A$2:$B$8,2,FALSE)</f>
        <v/>
      </c>
      <c r="N1113">
        <f>IF(G1113&lt;=1,"1. Under 1 hour",IF(G1113&lt;=24,"2. 1-24 hours",IF(G1113&lt;=72,"3. 1-3 days","4. Over 3 days")))</f>
        <v/>
      </c>
      <c r="O1113">
        <f>TEXT(B1113,"YYYY-MM")</f>
        <v/>
      </c>
    </row>
    <row r="1114">
      <c r="A1114" t="inlineStr">
        <is>
          <t>LD-301112</t>
        </is>
      </c>
      <c r="B1114" t="inlineStr">
        <is>
          <t>2025-03-28 16:11:00</t>
        </is>
      </c>
      <c r="C1114" t="inlineStr">
        <is>
          <t>Paid Search</t>
        </is>
      </c>
      <c r="D1114" t="inlineStr">
        <is>
          <t>Language Learning</t>
        </is>
      </c>
      <c r="E1114" t="inlineStr">
        <is>
          <t>West Region</t>
        </is>
      </c>
      <c r="F1114" t="inlineStr">
        <is>
          <t>Rep_13</t>
        </is>
      </c>
      <c r="G1114" t="n">
        <v>15.73</v>
      </c>
      <c r="H1114" t="inlineStr">
        <is>
          <t>Contacted</t>
        </is>
      </c>
      <c r="I1114" t="inlineStr">
        <is>
          <t>Open</t>
        </is>
      </c>
      <c r="M1114">
        <f>VLOOKUP(H1114,'Stage Order'!$A$2:$B$8,2,FALSE)</f>
        <v/>
      </c>
      <c r="N1114">
        <f>IF(G1114&lt;=1,"1. Under 1 hour",IF(G1114&lt;=24,"2. 1-24 hours",IF(G1114&lt;=72,"3. 1-3 days","4. Over 3 days")))</f>
        <v/>
      </c>
      <c r="O1114">
        <f>TEXT(B1114,"YYYY-MM")</f>
        <v/>
      </c>
    </row>
    <row r="1115">
      <c r="A1115" t="inlineStr">
        <is>
          <t>LD-301113</t>
        </is>
      </c>
      <c r="B1115" t="inlineStr">
        <is>
          <t>2025-07-18 09:08:00</t>
        </is>
      </c>
      <c r="C1115" t="inlineStr">
        <is>
          <t>Referral</t>
        </is>
      </c>
      <c r="D1115" t="inlineStr">
        <is>
          <t>K-12 Math</t>
        </is>
      </c>
      <c r="E1115" t="inlineStr">
        <is>
          <t>North Region</t>
        </is>
      </c>
      <c r="F1115" t="inlineStr">
        <is>
          <t>Rep_01</t>
        </is>
      </c>
      <c r="G1115" t="n">
        <v>1.46</v>
      </c>
      <c r="H1115" t="inlineStr">
        <is>
          <t>Contacted</t>
        </is>
      </c>
      <c r="I1115" t="inlineStr">
        <is>
          <t>Open</t>
        </is>
      </c>
      <c r="M1115">
        <f>VLOOKUP(H1115,'Stage Order'!$A$2:$B$8,2,FALSE)</f>
        <v/>
      </c>
      <c r="N1115">
        <f>IF(G1115&lt;=1,"1. Under 1 hour",IF(G1115&lt;=24,"2. 1-24 hours",IF(G1115&lt;=72,"3. 1-3 days","4. Over 3 days")))</f>
        <v/>
      </c>
      <c r="O1115">
        <f>TEXT(B1115,"YYYY-MM")</f>
        <v/>
      </c>
    </row>
    <row r="1116">
      <c r="A1116" t="inlineStr">
        <is>
          <t>LD-301114</t>
        </is>
      </c>
      <c r="B1116" t="inlineStr">
        <is>
          <t>2025-11-14 17:48:00</t>
        </is>
      </c>
      <c r="C1116" t="inlineStr">
        <is>
          <t>Referral</t>
        </is>
      </c>
      <c r="D1116" t="inlineStr">
        <is>
          <t>Competitive Exam Prep</t>
        </is>
      </c>
      <c r="E1116" t="inlineStr">
        <is>
          <t>East Region</t>
        </is>
      </c>
      <c r="F1116" t="inlineStr">
        <is>
          <t>Rep_09</t>
        </is>
      </c>
      <c r="G1116" t="n">
        <v>5.5</v>
      </c>
      <c r="H1116" t="inlineStr">
        <is>
          <t>Contacted</t>
        </is>
      </c>
      <c r="I1116" t="inlineStr">
        <is>
          <t>Open</t>
        </is>
      </c>
      <c r="M1116">
        <f>VLOOKUP(H1116,'Stage Order'!$A$2:$B$8,2,FALSE)</f>
        <v/>
      </c>
      <c r="N1116">
        <f>IF(G1116&lt;=1,"1. Under 1 hour",IF(G1116&lt;=24,"2. 1-24 hours",IF(G1116&lt;=72,"3. 1-3 days","4. Over 3 days")))</f>
        <v/>
      </c>
      <c r="O1116">
        <f>TEXT(B1116,"YYYY-MM")</f>
        <v/>
      </c>
    </row>
    <row r="1117">
      <c r="A1117" t="inlineStr">
        <is>
          <t>LD-301115</t>
        </is>
      </c>
      <c r="B1117" t="inlineStr">
        <is>
          <t>2025-09-02 13:58:00</t>
        </is>
      </c>
      <c r="C1117" t="inlineStr">
        <is>
          <t>Referral</t>
        </is>
      </c>
      <c r="D1117" t="inlineStr">
        <is>
          <t>Competitive Exam Prep</t>
        </is>
      </c>
      <c r="E1117" t="inlineStr">
        <is>
          <t>North Region</t>
        </is>
      </c>
      <c r="F1117" t="inlineStr">
        <is>
          <t>Rep_06</t>
        </is>
      </c>
      <c r="G1117" t="n">
        <v>0.9</v>
      </c>
      <c r="H1117" t="inlineStr">
        <is>
          <t>Closed</t>
        </is>
      </c>
      <c r="I1117" t="inlineStr">
        <is>
          <t>Won</t>
        </is>
      </c>
      <c r="K1117" t="n">
        <v>834.14</v>
      </c>
      <c r="L1117" t="inlineStr">
        <is>
          <t>2025-10-17 16:24:50.891004</t>
        </is>
      </c>
      <c r="M1117">
        <f>VLOOKUP(H1117,'Stage Order'!$A$2:$B$8,2,FALSE)</f>
        <v/>
      </c>
      <c r="N1117">
        <f>IF(G1117&lt;=1,"1. Under 1 hour",IF(G1117&lt;=24,"2. 1-24 hours",IF(G1117&lt;=72,"3. 1-3 days","4. Over 3 days")))</f>
        <v/>
      </c>
      <c r="O1117">
        <f>TEXT(B1117,"YYYY-MM")</f>
        <v/>
      </c>
    </row>
    <row r="1118">
      <c r="A1118" t="inlineStr">
        <is>
          <t>LD-301116</t>
        </is>
      </c>
      <c r="B1118" t="inlineStr">
        <is>
          <t>2025-12-24 09:45:00</t>
        </is>
      </c>
      <c r="C1118" t="inlineStr">
        <is>
          <t>Social Media</t>
        </is>
      </c>
      <c r="D1118" t="inlineStr">
        <is>
          <t>Coding for Kids</t>
        </is>
      </c>
      <c r="E1118" t="inlineStr">
        <is>
          <t>International</t>
        </is>
      </c>
      <c r="F1118" t="inlineStr">
        <is>
          <t>Rep_05</t>
        </is>
      </c>
      <c r="G1118" t="n">
        <v>1.36</v>
      </c>
      <c r="H1118" t="inlineStr">
        <is>
          <t>Lead</t>
        </is>
      </c>
      <c r="I1118" t="inlineStr">
        <is>
          <t>Open</t>
        </is>
      </c>
      <c r="M1118">
        <f>VLOOKUP(H1118,'Stage Order'!$A$2:$B$8,2,FALSE)</f>
        <v/>
      </c>
      <c r="N1118">
        <f>IF(G1118&lt;=1,"1. Under 1 hour",IF(G1118&lt;=24,"2. 1-24 hours",IF(G1118&lt;=72,"3. 1-3 days","4. Over 3 days")))</f>
        <v/>
      </c>
      <c r="O1118">
        <f>TEXT(B1118,"YYYY-MM")</f>
        <v/>
      </c>
    </row>
    <row r="1119">
      <c r="A1119" t="inlineStr">
        <is>
          <t>LD-301117</t>
        </is>
      </c>
      <c r="B1119" t="inlineStr">
        <is>
          <t>2025-10-17 15:49:00</t>
        </is>
      </c>
      <c r="C1119" t="inlineStr">
        <is>
          <t>Partner Channel</t>
        </is>
      </c>
      <c r="D1119" t="inlineStr">
        <is>
          <t>Language Learning</t>
        </is>
      </c>
      <c r="E1119" t="inlineStr">
        <is>
          <t>West Region</t>
        </is>
      </c>
      <c r="F1119" t="inlineStr">
        <is>
          <t>Rep_03</t>
        </is>
      </c>
      <c r="G1119" t="n">
        <v>11.14</v>
      </c>
      <c r="H1119" t="inlineStr">
        <is>
          <t>Demo Completed</t>
        </is>
      </c>
      <c r="I1119" t="inlineStr">
        <is>
          <t>Lost</t>
        </is>
      </c>
      <c r="J1119" t="inlineStr">
        <is>
          <t>Budget Not Approved</t>
        </is>
      </c>
      <c r="K1119" t="n">
        <v>372.1</v>
      </c>
      <c r="L1119" t="inlineStr">
        <is>
          <t>2025-11-10 17:09:07.438854</t>
        </is>
      </c>
      <c r="M1119">
        <f>VLOOKUP(H1119,'Stage Order'!$A$2:$B$8,2,FALSE)</f>
        <v/>
      </c>
      <c r="N1119">
        <f>IF(G1119&lt;=1,"1. Under 1 hour",IF(G1119&lt;=24,"2. 1-24 hours",IF(G1119&lt;=72,"3. 1-3 days","4. Over 3 days")))</f>
        <v/>
      </c>
      <c r="O1119">
        <f>TEXT(B1119,"YYYY-MM")</f>
        <v/>
      </c>
    </row>
    <row r="1120">
      <c r="A1120" t="inlineStr">
        <is>
          <t>LD-301118</t>
        </is>
      </c>
      <c r="B1120" t="inlineStr">
        <is>
          <t>2025-04-28 08:56:00</t>
        </is>
      </c>
      <c r="C1120" t="inlineStr">
        <is>
          <t>Social Media</t>
        </is>
      </c>
      <c r="D1120" t="inlineStr">
        <is>
          <t>Language Learning</t>
        </is>
      </c>
      <c r="E1120" t="inlineStr">
        <is>
          <t>South Region</t>
        </is>
      </c>
      <c r="F1120" t="inlineStr">
        <is>
          <t>Rep_12</t>
        </is>
      </c>
      <c r="G1120" t="n">
        <v>2.69</v>
      </c>
      <c r="H1120" t="inlineStr">
        <is>
          <t>Lead</t>
        </is>
      </c>
      <c r="I1120" t="inlineStr">
        <is>
          <t>Open</t>
        </is>
      </c>
      <c r="M1120">
        <f>VLOOKUP(H1120,'Stage Order'!$A$2:$B$8,2,FALSE)</f>
        <v/>
      </c>
      <c r="N1120">
        <f>IF(G1120&lt;=1,"1. Under 1 hour",IF(G1120&lt;=24,"2. 1-24 hours",IF(G1120&lt;=72,"3. 1-3 days","4. Over 3 days")))</f>
        <v/>
      </c>
      <c r="O1120">
        <f>TEXT(B1120,"YYYY-MM")</f>
        <v/>
      </c>
    </row>
    <row r="1121">
      <c r="A1121" t="inlineStr">
        <is>
          <t>LD-301119</t>
        </is>
      </c>
      <c r="B1121" t="inlineStr">
        <is>
          <t>2025-03-07 16:14:00</t>
        </is>
      </c>
      <c r="C1121" t="inlineStr">
        <is>
          <t>Organic Search</t>
        </is>
      </c>
      <c r="D1121" t="inlineStr">
        <is>
          <t>Competitive Exam Prep</t>
        </is>
      </c>
      <c r="E1121" t="inlineStr">
        <is>
          <t>East Region</t>
        </is>
      </c>
      <c r="F1121" t="inlineStr">
        <is>
          <t>Rep_09</t>
        </is>
      </c>
      <c r="G1121" t="n">
        <v>21.27</v>
      </c>
      <c r="H1121" t="inlineStr">
        <is>
          <t>Contacted</t>
        </is>
      </c>
      <c r="I1121" t="inlineStr">
        <is>
          <t>Open</t>
        </is>
      </c>
      <c r="M1121">
        <f>VLOOKUP(H1121,'Stage Order'!$A$2:$B$8,2,FALSE)</f>
        <v/>
      </c>
      <c r="N1121">
        <f>IF(G1121&lt;=1,"1. Under 1 hour",IF(G1121&lt;=24,"2. 1-24 hours",IF(G1121&lt;=72,"3. 1-3 days","4. Over 3 days")))</f>
        <v/>
      </c>
      <c r="O1121">
        <f>TEXT(B1121,"YYYY-MM")</f>
        <v/>
      </c>
    </row>
    <row r="1122">
      <c r="A1122" t="inlineStr">
        <is>
          <t>LD-301120</t>
        </is>
      </c>
      <c r="B1122" t="inlineStr">
        <is>
          <t>2025-11-25 12:18:00</t>
        </is>
      </c>
      <c r="C1122" t="inlineStr">
        <is>
          <t>Referral</t>
        </is>
      </c>
      <c r="D1122" t="inlineStr">
        <is>
          <t>Coding for Kids</t>
        </is>
      </c>
      <c r="E1122" t="inlineStr">
        <is>
          <t>North Region</t>
        </is>
      </c>
      <c r="F1122" t="inlineStr">
        <is>
          <t>Rep_06</t>
        </is>
      </c>
      <c r="G1122" t="n">
        <v>13.98</v>
      </c>
      <c r="H1122" t="inlineStr">
        <is>
          <t>Contacted</t>
        </is>
      </c>
      <c r="I1122" t="inlineStr">
        <is>
          <t>Open</t>
        </is>
      </c>
      <c r="M1122">
        <f>VLOOKUP(H1122,'Stage Order'!$A$2:$B$8,2,FALSE)</f>
        <v/>
      </c>
      <c r="N1122">
        <f>IF(G1122&lt;=1,"1. Under 1 hour",IF(G1122&lt;=24,"2. 1-24 hours",IF(G1122&lt;=72,"3. 1-3 days","4. Over 3 days")))</f>
        <v/>
      </c>
      <c r="O1122">
        <f>TEXT(B1122,"YYYY-MM")</f>
        <v/>
      </c>
    </row>
    <row r="1123">
      <c r="A1123" t="inlineStr">
        <is>
          <t>LD-301121</t>
        </is>
      </c>
      <c r="B1123" t="inlineStr">
        <is>
          <t>2025-03-26 19:23:00</t>
        </is>
      </c>
      <c r="C1123" t="inlineStr">
        <is>
          <t>Cold Outreach</t>
        </is>
      </c>
      <c r="D1123" t="inlineStr">
        <is>
          <t>Coding for Kids</t>
        </is>
      </c>
      <c r="E1123" t="inlineStr">
        <is>
          <t>West Region</t>
        </is>
      </c>
      <c r="F1123" t="inlineStr">
        <is>
          <t>Rep_03</t>
        </is>
      </c>
      <c r="G1123" t="n">
        <v>2.12</v>
      </c>
      <c r="H1123" t="inlineStr">
        <is>
          <t>Lead</t>
        </is>
      </c>
      <c r="I1123" t="inlineStr">
        <is>
          <t>Open</t>
        </is>
      </c>
      <c r="M1123">
        <f>VLOOKUP(H1123,'Stage Order'!$A$2:$B$8,2,FALSE)</f>
        <v/>
      </c>
      <c r="N1123">
        <f>IF(G1123&lt;=1,"1. Under 1 hour",IF(G1123&lt;=24,"2. 1-24 hours",IF(G1123&lt;=72,"3. 1-3 days","4. Over 3 days")))</f>
        <v/>
      </c>
      <c r="O1123">
        <f>TEXT(B1123,"YYYY-MM")</f>
        <v/>
      </c>
    </row>
    <row r="1124">
      <c r="A1124" t="inlineStr">
        <is>
          <t>LD-301122</t>
        </is>
      </c>
      <c r="B1124" t="inlineStr">
        <is>
          <t>2025-04-08 16:55:00</t>
        </is>
      </c>
      <c r="C1124" t="inlineStr">
        <is>
          <t>Partner Channel</t>
        </is>
      </c>
      <c r="D1124" t="inlineStr">
        <is>
          <t>Coding for Kids</t>
        </is>
      </c>
      <c r="E1124" t="inlineStr">
        <is>
          <t>South Region</t>
        </is>
      </c>
      <c r="F1124" t="inlineStr">
        <is>
          <t>Rep_07</t>
        </is>
      </c>
      <c r="G1124" t="n">
        <v>1.93</v>
      </c>
      <c r="H1124" t="inlineStr">
        <is>
          <t>Proposal Sent</t>
        </is>
      </c>
      <c r="I1124" t="inlineStr">
        <is>
          <t>Lost</t>
        </is>
      </c>
      <c r="J1124" t="inlineStr">
        <is>
          <t>No Response / Ghosted</t>
        </is>
      </c>
      <c r="K1124" t="n">
        <v>688.36</v>
      </c>
      <c r="L1124" t="inlineStr">
        <is>
          <t>2025-05-13 01:39:43.172124</t>
        </is>
      </c>
      <c r="M1124">
        <f>VLOOKUP(H1124,'Stage Order'!$A$2:$B$8,2,FALSE)</f>
        <v/>
      </c>
      <c r="N1124">
        <f>IF(G1124&lt;=1,"1. Under 1 hour",IF(G1124&lt;=24,"2. 1-24 hours",IF(G1124&lt;=72,"3. 1-3 days","4. Over 3 days")))</f>
        <v/>
      </c>
      <c r="O1124">
        <f>TEXT(B1124,"YYYY-MM")</f>
        <v/>
      </c>
    </row>
    <row r="1125">
      <c r="A1125" t="inlineStr">
        <is>
          <t>LD-301123</t>
        </is>
      </c>
      <c r="B1125" t="inlineStr">
        <is>
          <t>2025-03-27 16:26:00</t>
        </is>
      </c>
      <c r="C1125" t="inlineStr">
        <is>
          <t>Paid Search</t>
        </is>
      </c>
      <c r="D1125" t="inlineStr">
        <is>
          <t>K-12 Math</t>
        </is>
      </c>
      <c r="E1125" t="inlineStr">
        <is>
          <t>North Region</t>
        </is>
      </c>
      <c r="F1125" t="inlineStr">
        <is>
          <t>Rep_01</t>
        </is>
      </c>
      <c r="G1125" t="n">
        <v>6.57</v>
      </c>
      <c r="H1125" t="inlineStr">
        <is>
          <t>Demo Completed</t>
        </is>
      </c>
      <c r="I1125" t="inlineStr">
        <is>
          <t>Lost</t>
        </is>
      </c>
      <c r="J1125" t="inlineStr">
        <is>
          <t>No Response / Ghosted</t>
        </is>
      </c>
      <c r="K1125" t="n">
        <v>531.99</v>
      </c>
      <c r="L1125" t="inlineStr">
        <is>
          <t>2025-04-23 12:24:39.293382</t>
        </is>
      </c>
      <c r="M1125">
        <f>VLOOKUP(H1125,'Stage Order'!$A$2:$B$8,2,FALSE)</f>
        <v/>
      </c>
      <c r="N1125">
        <f>IF(G1125&lt;=1,"1. Under 1 hour",IF(G1125&lt;=24,"2. 1-24 hours",IF(G1125&lt;=72,"3. 1-3 days","4. Over 3 days")))</f>
        <v/>
      </c>
      <c r="O1125">
        <f>TEXT(B1125,"YYYY-MM")</f>
        <v/>
      </c>
    </row>
    <row r="1126">
      <c r="A1126" t="inlineStr">
        <is>
          <t>LD-301124</t>
        </is>
      </c>
      <c r="B1126" t="inlineStr">
        <is>
          <t>2025-10-25 17:03:00</t>
        </is>
      </c>
      <c r="C1126" t="inlineStr">
        <is>
          <t>Paid Search</t>
        </is>
      </c>
      <c r="D1126" t="inlineStr">
        <is>
          <t>K-12 Math</t>
        </is>
      </c>
      <c r="E1126" t="inlineStr">
        <is>
          <t>South Region</t>
        </is>
      </c>
      <c r="F1126" t="inlineStr">
        <is>
          <t>Rep_02</t>
        </is>
      </c>
      <c r="G1126" t="n">
        <v>0.88</v>
      </c>
      <c r="H1126" t="inlineStr">
        <is>
          <t>Contacted</t>
        </is>
      </c>
      <c r="I1126" t="inlineStr">
        <is>
          <t>Open</t>
        </is>
      </c>
      <c r="M1126">
        <f>VLOOKUP(H1126,'Stage Order'!$A$2:$B$8,2,FALSE)</f>
        <v/>
      </c>
      <c r="N1126">
        <f>IF(G1126&lt;=1,"1. Under 1 hour",IF(G1126&lt;=24,"2. 1-24 hours",IF(G1126&lt;=72,"3. 1-3 days","4. Over 3 days")))</f>
        <v/>
      </c>
      <c r="O1126">
        <f>TEXT(B1126,"YYYY-MM")</f>
        <v/>
      </c>
    </row>
    <row r="1127">
      <c r="A1127" t="inlineStr">
        <is>
          <t>LD-301125</t>
        </is>
      </c>
      <c r="B1127" t="inlineStr">
        <is>
          <t>2025-07-07 20:20:00</t>
        </is>
      </c>
      <c r="C1127" t="inlineStr">
        <is>
          <t>Social Media</t>
        </is>
      </c>
      <c r="D1127" t="inlineStr">
        <is>
          <t>Coding for Kids</t>
        </is>
      </c>
      <c r="E1127" t="inlineStr">
        <is>
          <t>North Region</t>
        </is>
      </c>
      <c r="F1127" t="inlineStr">
        <is>
          <t>Rep_06</t>
        </is>
      </c>
      <c r="G1127" t="n">
        <v>3.14</v>
      </c>
      <c r="H1127" t="inlineStr">
        <is>
          <t>Lead</t>
        </is>
      </c>
      <c r="I1127" t="inlineStr">
        <is>
          <t>Open</t>
        </is>
      </c>
      <c r="M1127">
        <f>VLOOKUP(H1127,'Stage Order'!$A$2:$B$8,2,FALSE)</f>
        <v/>
      </c>
      <c r="N1127">
        <f>IF(G1127&lt;=1,"1. Under 1 hour",IF(G1127&lt;=24,"2. 1-24 hours",IF(G1127&lt;=72,"3. 1-3 days","4. Over 3 days")))</f>
        <v/>
      </c>
      <c r="O1127">
        <f>TEXT(B1127,"YYYY-MM")</f>
        <v/>
      </c>
    </row>
    <row r="1128">
      <c r="A1128" t="inlineStr">
        <is>
          <t>LD-301126</t>
        </is>
      </c>
      <c r="B1128" t="inlineStr">
        <is>
          <t>2025-11-06 09:10:00</t>
        </is>
      </c>
      <c r="C1128" t="inlineStr">
        <is>
          <t>Referral</t>
        </is>
      </c>
      <c r="D1128" t="inlineStr">
        <is>
          <t>Study Abroad Prep</t>
        </is>
      </c>
      <c r="E1128" t="inlineStr">
        <is>
          <t>South Region</t>
        </is>
      </c>
      <c r="F1128" t="inlineStr">
        <is>
          <t>Rep_07</t>
        </is>
      </c>
      <c r="G1128" t="n">
        <v>3.44</v>
      </c>
      <c r="H1128" t="inlineStr">
        <is>
          <t>Negotiation</t>
        </is>
      </c>
      <c r="I1128" t="inlineStr">
        <is>
          <t>Lost</t>
        </is>
      </c>
      <c r="J1128" t="inlineStr">
        <is>
          <t>Price Objection</t>
        </is>
      </c>
      <c r="K1128" t="n">
        <v>1681.09</v>
      </c>
      <c r="L1128" t="inlineStr">
        <is>
          <t>2025-12-20 08:31:14.373623</t>
        </is>
      </c>
      <c r="M1128">
        <f>VLOOKUP(H1128,'Stage Order'!$A$2:$B$8,2,FALSE)</f>
        <v/>
      </c>
      <c r="N1128">
        <f>IF(G1128&lt;=1,"1. Under 1 hour",IF(G1128&lt;=24,"2. 1-24 hours",IF(G1128&lt;=72,"3. 1-3 days","4. Over 3 days")))</f>
        <v/>
      </c>
      <c r="O1128">
        <f>TEXT(B1128,"YYYY-MM")</f>
        <v/>
      </c>
    </row>
    <row r="1129">
      <c r="A1129" t="inlineStr">
        <is>
          <t>LD-301127</t>
        </is>
      </c>
      <c r="B1129" t="inlineStr">
        <is>
          <t>2026-06-19 09:51:00</t>
        </is>
      </c>
      <c r="C1129" t="inlineStr">
        <is>
          <t>Organic Search</t>
        </is>
      </c>
      <c r="D1129" t="inlineStr">
        <is>
          <t>Coding for Kids</t>
        </is>
      </c>
      <c r="E1129" t="inlineStr">
        <is>
          <t>South Region</t>
        </is>
      </c>
      <c r="F1129" t="inlineStr">
        <is>
          <t>Rep_02</t>
        </is>
      </c>
      <c r="G1129" t="n">
        <v>10.71</v>
      </c>
      <c r="H1129" t="inlineStr">
        <is>
          <t>Closed</t>
        </is>
      </c>
      <c r="I1129" t="inlineStr">
        <is>
          <t>Won</t>
        </is>
      </c>
      <c r="K1129" t="n">
        <v>556.77</v>
      </c>
      <c r="L1129" t="inlineStr">
        <is>
          <t>2026-08-01 22:38:38.070281</t>
        </is>
      </c>
      <c r="M1129">
        <f>VLOOKUP(H1129,'Stage Order'!$A$2:$B$8,2,FALSE)</f>
        <v/>
      </c>
      <c r="N1129">
        <f>IF(G1129&lt;=1,"1. Under 1 hour",IF(G1129&lt;=24,"2. 1-24 hours",IF(G1129&lt;=72,"3. 1-3 days","4. Over 3 days")))</f>
        <v/>
      </c>
      <c r="O1129">
        <f>TEXT(B1129,"YYYY-MM")</f>
        <v/>
      </c>
    </row>
    <row r="1130">
      <c r="A1130" t="inlineStr">
        <is>
          <t>LD-301128</t>
        </is>
      </c>
      <c r="B1130" t="inlineStr">
        <is>
          <t>2025-08-26 20:41:00</t>
        </is>
      </c>
      <c r="C1130" t="inlineStr">
        <is>
          <t>Referral</t>
        </is>
      </c>
      <c r="D1130" t="inlineStr">
        <is>
          <t>K-12 Math</t>
        </is>
      </c>
      <c r="E1130" t="inlineStr">
        <is>
          <t>South Region</t>
        </is>
      </c>
      <c r="F1130" t="inlineStr">
        <is>
          <t>Rep_12</t>
        </is>
      </c>
      <c r="G1130" t="n">
        <v>1.12</v>
      </c>
      <c r="H1130" t="inlineStr">
        <is>
          <t>Contacted</t>
        </is>
      </c>
      <c r="I1130" t="inlineStr">
        <is>
          <t>Open</t>
        </is>
      </c>
      <c r="M1130">
        <f>VLOOKUP(H1130,'Stage Order'!$A$2:$B$8,2,FALSE)</f>
        <v/>
      </c>
      <c r="N1130">
        <f>IF(G1130&lt;=1,"1. Under 1 hour",IF(G1130&lt;=24,"2. 1-24 hours",IF(G1130&lt;=72,"3. 1-3 days","4. Over 3 days")))</f>
        <v/>
      </c>
      <c r="O1130">
        <f>TEXT(B1130,"YYYY-MM")</f>
        <v/>
      </c>
    </row>
    <row r="1131">
      <c r="A1131" t="inlineStr">
        <is>
          <t>LD-301129</t>
        </is>
      </c>
      <c r="B1131" t="inlineStr">
        <is>
          <t>2025-06-25 09:14:00</t>
        </is>
      </c>
      <c r="C1131" t="inlineStr">
        <is>
          <t>Partner Channel</t>
        </is>
      </c>
      <c r="D1131" t="inlineStr">
        <is>
          <t>Language Learning</t>
        </is>
      </c>
      <c r="E1131" t="inlineStr">
        <is>
          <t>North Region</t>
        </is>
      </c>
      <c r="F1131" t="inlineStr">
        <is>
          <t>Rep_01</t>
        </is>
      </c>
      <c r="G1131" t="n">
        <v>8.74</v>
      </c>
      <c r="H1131" t="inlineStr">
        <is>
          <t>Contacted</t>
        </is>
      </c>
      <c r="I1131" t="inlineStr">
        <is>
          <t>Open</t>
        </is>
      </c>
      <c r="M1131">
        <f>VLOOKUP(H1131,'Stage Order'!$A$2:$B$8,2,FALSE)</f>
        <v/>
      </c>
      <c r="N1131">
        <f>IF(G1131&lt;=1,"1. Under 1 hour",IF(G1131&lt;=24,"2. 1-24 hours",IF(G1131&lt;=72,"3. 1-3 days","4. Over 3 days")))</f>
        <v/>
      </c>
      <c r="O1131">
        <f>TEXT(B1131,"YYYY-MM")</f>
        <v/>
      </c>
    </row>
    <row r="1132">
      <c r="A1132" t="inlineStr">
        <is>
          <t>LD-301130</t>
        </is>
      </c>
      <c r="B1132" t="inlineStr">
        <is>
          <t>2025-03-13 08:23:00</t>
        </is>
      </c>
      <c r="C1132" t="inlineStr">
        <is>
          <t>Social Media</t>
        </is>
      </c>
      <c r="D1132" t="inlineStr">
        <is>
          <t>Language Learning</t>
        </is>
      </c>
      <c r="E1132" t="inlineStr">
        <is>
          <t>South Region</t>
        </is>
      </c>
      <c r="F1132" t="inlineStr">
        <is>
          <t>Rep_07</t>
        </is>
      </c>
      <c r="G1132" t="n">
        <v>5.69</v>
      </c>
      <c r="H1132" t="inlineStr">
        <is>
          <t>Proposal Sent</t>
        </is>
      </c>
      <c r="I1132" t="inlineStr">
        <is>
          <t>Lost</t>
        </is>
      </c>
      <c r="J1132" t="inlineStr">
        <is>
          <t>Price Objection</t>
        </is>
      </c>
      <c r="K1132" t="n">
        <v>309.59</v>
      </c>
      <c r="L1132" t="inlineStr">
        <is>
          <t>2025-04-14 12:21:30.373444</t>
        </is>
      </c>
      <c r="M1132">
        <f>VLOOKUP(H1132,'Stage Order'!$A$2:$B$8,2,FALSE)</f>
        <v/>
      </c>
      <c r="N1132">
        <f>IF(G1132&lt;=1,"1. Under 1 hour",IF(G1132&lt;=24,"2. 1-24 hours",IF(G1132&lt;=72,"3. 1-3 days","4. Over 3 days")))</f>
        <v/>
      </c>
      <c r="O1132">
        <f>TEXT(B1132,"YYYY-MM")</f>
        <v/>
      </c>
    </row>
    <row r="1133">
      <c r="A1133" t="inlineStr">
        <is>
          <t>LD-301131</t>
        </is>
      </c>
      <c r="B1133" t="inlineStr">
        <is>
          <t>2026-05-06 12:21:00</t>
        </is>
      </c>
      <c r="C1133" t="inlineStr">
        <is>
          <t>Cold Outreach</t>
        </is>
      </c>
      <c r="D1133" t="inlineStr">
        <is>
          <t>Study Abroad Prep</t>
        </is>
      </c>
      <c r="E1133" t="inlineStr">
        <is>
          <t>West Region</t>
        </is>
      </c>
      <c r="F1133" t="inlineStr">
        <is>
          <t>Rep_13</t>
        </is>
      </c>
      <c r="G1133" t="n">
        <v>2.13</v>
      </c>
      <c r="H1133" t="inlineStr">
        <is>
          <t>Lead</t>
        </is>
      </c>
      <c r="I1133" t="inlineStr">
        <is>
          <t>Open</t>
        </is>
      </c>
      <c r="M1133">
        <f>VLOOKUP(H1133,'Stage Order'!$A$2:$B$8,2,FALSE)</f>
        <v/>
      </c>
      <c r="N1133">
        <f>IF(G1133&lt;=1,"1. Under 1 hour",IF(G1133&lt;=24,"2. 1-24 hours",IF(G1133&lt;=72,"3. 1-3 days","4. Over 3 days")))</f>
        <v/>
      </c>
      <c r="O1133">
        <f>TEXT(B1133,"YYYY-MM")</f>
        <v/>
      </c>
    </row>
    <row r="1134">
      <c r="A1134" t="inlineStr">
        <is>
          <t>LD-301132</t>
        </is>
      </c>
      <c r="B1134" t="inlineStr">
        <is>
          <t>2026-03-18 07:00:00</t>
        </is>
      </c>
      <c r="C1134" t="inlineStr">
        <is>
          <t>Cold Outreach</t>
        </is>
      </c>
      <c r="D1134" t="inlineStr">
        <is>
          <t>Language Learning</t>
        </is>
      </c>
      <c r="E1134" t="inlineStr">
        <is>
          <t>South Region</t>
        </is>
      </c>
      <c r="F1134" t="inlineStr">
        <is>
          <t>Rep_02</t>
        </is>
      </c>
      <c r="G1134" t="n">
        <v>2.83</v>
      </c>
      <c r="H1134" t="inlineStr">
        <is>
          <t>Lead</t>
        </is>
      </c>
      <c r="I1134" t="inlineStr">
        <is>
          <t>Open</t>
        </is>
      </c>
      <c r="M1134">
        <f>VLOOKUP(H1134,'Stage Order'!$A$2:$B$8,2,FALSE)</f>
        <v/>
      </c>
      <c r="N1134">
        <f>IF(G1134&lt;=1,"1. Under 1 hour",IF(G1134&lt;=24,"2. 1-24 hours",IF(G1134&lt;=72,"3. 1-3 days","4. Over 3 days")))</f>
        <v/>
      </c>
      <c r="O1134">
        <f>TEXT(B1134,"YYYY-MM")</f>
        <v/>
      </c>
    </row>
    <row r="1135">
      <c r="A1135" t="inlineStr">
        <is>
          <t>LD-301133</t>
        </is>
      </c>
      <c r="B1135" t="inlineStr">
        <is>
          <t>2025-04-11 10:02:00</t>
        </is>
      </c>
      <c r="C1135" t="inlineStr">
        <is>
          <t>Partner Channel</t>
        </is>
      </c>
      <c r="D1135" t="inlineStr">
        <is>
          <t>Language Learning</t>
        </is>
      </c>
      <c r="E1135" t="inlineStr">
        <is>
          <t>East Region</t>
        </is>
      </c>
      <c r="F1135" t="inlineStr">
        <is>
          <t>Rep_04</t>
        </is>
      </c>
      <c r="G1135" t="n">
        <v>0.96</v>
      </c>
      <c r="H1135" t="inlineStr">
        <is>
          <t>Lead</t>
        </is>
      </c>
      <c r="I1135" t="inlineStr">
        <is>
          <t>Open</t>
        </is>
      </c>
      <c r="M1135">
        <f>VLOOKUP(H1135,'Stage Order'!$A$2:$B$8,2,FALSE)</f>
        <v/>
      </c>
      <c r="N1135">
        <f>IF(G1135&lt;=1,"1. Under 1 hour",IF(G1135&lt;=24,"2. 1-24 hours",IF(G1135&lt;=72,"3. 1-3 days","4. Over 3 days")))</f>
        <v/>
      </c>
      <c r="O1135">
        <f>TEXT(B1135,"YYYY-MM")</f>
        <v/>
      </c>
    </row>
    <row r="1136">
      <c r="A1136" t="inlineStr">
        <is>
          <t>LD-301134</t>
        </is>
      </c>
      <c r="B1136" t="inlineStr">
        <is>
          <t>2026-05-01 12:40:00</t>
        </is>
      </c>
      <c r="C1136" t="inlineStr">
        <is>
          <t>Paid Search</t>
        </is>
      </c>
      <c r="D1136" t="inlineStr">
        <is>
          <t>Competitive Exam Prep</t>
        </is>
      </c>
      <c r="E1136" t="inlineStr">
        <is>
          <t>West Region</t>
        </is>
      </c>
      <c r="F1136" t="inlineStr">
        <is>
          <t>Rep_03</t>
        </is>
      </c>
      <c r="G1136" t="n">
        <v>2.28</v>
      </c>
      <c r="H1136" t="inlineStr">
        <is>
          <t>Demo Completed</t>
        </is>
      </c>
      <c r="I1136" t="inlineStr">
        <is>
          <t>Lost</t>
        </is>
      </c>
      <c r="J1136" t="inlineStr">
        <is>
          <t>Price Objection</t>
        </is>
      </c>
      <c r="K1136" t="n">
        <v>918.77</v>
      </c>
      <c r="L1136" t="inlineStr">
        <is>
          <t>2026-05-23 11:42:03.101183</t>
        </is>
      </c>
      <c r="M1136">
        <f>VLOOKUP(H1136,'Stage Order'!$A$2:$B$8,2,FALSE)</f>
        <v/>
      </c>
      <c r="N1136">
        <f>IF(G1136&lt;=1,"1. Under 1 hour",IF(G1136&lt;=24,"2. 1-24 hours",IF(G1136&lt;=72,"3. 1-3 days","4. Over 3 days")))</f>
        <v/>
      </c>
      <c r="O1136">
        <f>TEXT(B1136,"YYYY-MM")</f>
        <v/>
      </c>
    </row>
    <row r="1137">
      <c r="A1137" t="inlineStr">
        <is>
          <t>LD-301135</t>
        </is>
      </c>
      <c r="B1137" t="inlineStr">
        <is>
          <t>2026-01-15 17:37:00</t>
        </is>
      </c>
      <c r="C1137" t="inlineStr">
        <is>
          <t>Referral</t>
        </is>
      </c>
      <c r="D1137" t="inlineStr">
        <is>
          <t>Study Abroad Prep</t>
        </is>
      </c>
      <c r="E1137" t="inlineStr">
        <is>
          <t>International</t>
        </is>
      </c>
      <c r="F1137" t="inlineStr">
        <is>
          <t>Rep_10</t>
        </is>
      </c>
      <c r="G1137" t="n">
        <v>4.2</v>
      </c>
      <c r="H1137" t="inlineStr">
        <is>
          <t>Proposal Sent</t>
        </is>
      </c>
      <c r="I1137" t="inlineStr">
        <is>
          <t>Lost</t>
        </is>
      </c>
      <c r="J1137" t="inlineStr">
        <is>
          <t>Bad Timing</t>
        </is>
      </c>
      <c r="K1137" t="n">
        <v>1548.18</v>
      </c>
      <c r="L1137" t="inlineStr">
        <is>
          <t>2026-02-04 08:31:45.585980</t>
        </is>
      </c>
      <c r="M1137">
        <f>VLOOKUP(H1137,'Stage Order'!$A$2:$B$8,2,FALSE)</f>
        <v/>
      </c>
      <c r="N1137">
        <f>IF(G1137&lt;=1,"1. Under 1 hour",IF(G1137&lt;=24,"2. 1-24 hours",IF(G1137&lt;=72,"3. 1-3 days","4. Over 3 days")))</f>
        <v/>
      </c>
      <c r="O1137">
        <f>TEXT(B1137,"YYYY-MM")</f>
        <v/>
      </c>
    </row>
    <row r="1138">
      <c r="A1138" t="inlineStr">
        <is>
          <t>LD-301136</t>
        </is>
      </c>
      <c r="B1138" t="inlineStr">
        <is>
          <t>2026-05-04 15:22:00</t>
        </is>
      </c>
      <c r="C1138" t="inlineStr">
        <is>
          <t>Partner Channel</t>
        </is>
      </c>
      <c r="D1138" t="inlineStr">
        <is>
          <t>Competitive Exam Prep</t>
        </is>
      </c>
      <c r="E1138" t="inlineStr">
        <is>
          <t>North Region</t>
        </is>
      </c>
      <c r="F1138" t="inlineStr">
        <is>
          <t>Rep_11</t>
        </is>
      </c>
      <c r="G1138" t="n">
        <v>1.35</v>
      </c>
      <c r="H1138" t="inlineStr">
        <is>
          <t>Closed</t>
        </is>
      </c>
      <c r="I1138" t="inlineStr">
        <is>
          <t>Won</t>
        </is>
      </c>
      <c r="K1138" t="n">
        <v>1069.97</v>
      </c>
      <c r="L1138" t="inlineStr">
        <is>
          <t>2026-05-30 04:20:22.651557</t>
        </is>
      </c>
      <c r="M1138">
        <f>VLOOKUP(H1138,'Stage Order'!$A$2:$B$8,2,FALSE)</f>
        <v/>
      </c>
      <c r="N1138">
        <f>IF(G1138&lt;=1,"1. Under 1 hour",IF(G1138&lt;=24,"2. 1-24 hours",IF(G1138&lt;=72,"3. 1-3 days","4. Over 3 days")))</f>
        <v/>
      </c>
      <c r="O1138">
        <f>TEXT(B1138,"YYYY-MM")</f>
        <v/>
      </c>
    </row>
    <row r="1139">
      <c r="A1139" t="inlineStr">
        <is>
          <t>LD-301137</t>
        </is>
      </c>
      <c r="B1139" t="inlineStr">
        <is>
          <t>2025-11-17 20:25:00</t>
        </is>
      </c>
      <c r="C1139" t="inlineStr">
        <is>
          <t>Organic Search</t>
        </is>
      </c>
      <c r="D1139" t="inlineStr">
        <is>
          <t>Language Learning</t>
        </is>
      </c>
      <c r="E1139" t="inlineStr">
        <is>
          <t>North Region</t>
        </is>
      </c>
      <c r="F1139" t="inlineStr">
        <is>
          <t>Rep_06</t>
        </is>
      </c>
      <c r="G1139" t="n">
        <v>1.07</v>
      </c>
      <c r="H1139" t="inlineStr">
        <is>
          <t>Demo Completed</t>
        </is>
      </c>
      <c r="I1139" t="inlineStr">
        <is>
          <t>Lost</t>
        </is>
      </c>
      <c r="J1139" t="inlineStr">
        <is>
          <t>Went With Competitor</t>
        </is>
      </c>
      <c r="K1139" t="n">
        <v>293.07</v>
      </c>
      <c r="L1139" t="inlineStr">
        <is>
          <t>2025-12-12 13:04:51.211145</t>
        </is>
      </c>
      <c r="M1139">
        <f>VLOOKUP(H1139,'Stage Order'!$A$2:$B$8,2,FALSE)</f>
        <v/>
      </c>
      <c r="N1139">
        <f>IF(G1139&lt;=1,"1. Under 1 hour",IF(G1139&lt;=24,"2. 1-24 hours",IF(G1139&lt;=72,"3. 1-3 days","4. Over 3 days")))</f>
        <v/>
      </c>
      <c r="O1139">
        <f>TEXT(B1139,"YYYY-MM")</f>
        <v/>
      </c>
    </row>
    <row r="1140">
      <c r="A1140" t="inlineStr">
        <is>
          <t>LD-301138</t>
        </is>
      </c>
      <c r="B1140" t="inlineStr">
        <is>
          <t>2025-09-05 10:58:00</t>
        </is>
      </c>
      <c r="C1140" t="inlineStr">
        <is>
          <t>Paid Search</t>
        </is>
      </c>
      <c r="D1140" t="inlineStr">
        <is>
          <t>Study Abroad Prep</t>
        </is>
      </c>
      <c r="E1140" t="inlineStr">
        <is>
          <t>North Region</t>
        </is>
      </c>
      <c r="F1140" t="inlineStr">
        <is>
          <t>Rep_11</t>
        </is>
      </c>
      <c r="G1140" t="n">
        <v>1.78</v>
      </c>
      <c r="H1140" t="inlineStr">
        <is>
          <t>Negotiation</t>
        </is>
      </c>
      <c r="I1140" t="inlineStr">
        <is>
          <t>Lost</t>
        </is>
      </c>
      <c r="J1140" t="inlineStr">
        <is>
          <t>No Response / Ghosted</t>
        </is>
      </c>
      <c r="K1140" t="n">
        <v>1306.1</v>
      </c>
      <c r="L1140" t="inlineStr">
        <is>
          <t>2025-10-04 02:37:55.825748</t>
        </is>
      </c>
      <c r="M1140">
        <f>VLOOKUP(H1140,'Stage Order'!$A$2:$B$8,2,FALSE)</f>
        <v/>
      </c>
      <c r="N1140">
        <f>IF(G1140&lt;=1,"1. Under 1 hour",IF(G1140&lt;=24,"2. 1-24 hours",IF(G1140&lt;=72,"3. 1-3 days","4. Over 3 days")))</f>
        <v/>
      </c>
      <c r="O1140">
        <f>TEXT(B1140,"YYYY-MM")</f>
        <v/>
      </c>
    </row>
    <row r="1141">
      <c r="A1141" t="inlineStr">
        <is>
          <t>LD-301139</t>
        </is>
      </c>
      <c r="B1141" t="inlineStr">
        <is>
          <t>2025-12-22 15:50:00</t>
        </is>
      </c>
      <c r="C1141" t="inlineStr">
        <is>
          <t>Organic Search</t>
        </is>
      </c>
      <c r="D1141" t="inlineStr">
        <is>
          <t>Competitive Exam Prep</t>
        </is>
      </c>
      <c r="E1141" t="inlineStr">
        <is>
          <t>South Region</t>
        </is>
      </c>
      <c r="F1141" t="inlineStr">
        <is>
          <t>Rep_07</t>
        </is>
      </c>
      <c r="G1141" t="n">
        <v>5.52</v>
      </c>
      <c r="H1141" t="inlineStr">
        <is>
          <t>Contacted</t>
        </is>
      </c>
      <c r="I1141" t="inlineStr">
        <is>
          <t>Open</t>
        </is>
      </c>
      <c r="M1141">
        <f>VLOOKUP(H1141,'Stage Order'!$A$2:$B$8,2,FALSE)</f>
        <v/>
      </c>
      <c r="N1141">
        <f>IF(G1141&lt;=1,"1. Under 1 hour",IF(G1141&lt;=24,"2. 1-24 hours",IF(G1141&lt;=72,"3. 1-3 days","4. Over 3 days")))</f>
        <v/>
      </c>
      <c r="O1141">
        <f>TEXT(B1141,"YYYY-MM")</f>
        <v/>
      </c>
    </row>
    <row r="1142">
      <c r="A1142" t="inlineStr">
        <is>
          <t>LD-301140</t>
        </is>
      </c>
      <c r="B1142" t="inlineStr">
        <is>
          <t>2025-09-07 19:17:00</t>
        </is>
      </c>
      <c r="C1142" t="inlineStr">
        <is>
          <t>Organic Search</t>
        </is>
      </c>
      <c r="D1142" t="inlineStr">
        <is>
          <t>K-12 Math</t>
        </is>
      </c>
      <c r="E1142" t="inlineStr">
        <is>
          <t>East Region</t>
        </is>
      </c>
      <c r="F1142" t="inlineStr">
        <is>
          <t>Rep_04</t>
        </is>
      </c>
      <c r="G1142" t="n">
        <v>2.41</v>
      </c>
      <c r="H1142" t="inlineStr">
        <is>
          <t>Demo Completed</t>
        </is>
      </c>
      <c r="I1142" t="inlineStr">
        <is>
          <t>Lost</t>
        </is>
      </c>
      <c r="J1142" t="inlineStr">
        <is>
          <t>Went With Competitor</t>
        </is>
      </c>
      <c r="K1142" t="n">
        <v>427.37</v>
      </c>
      <c r="L1142" t="inlineStr">
        <is>
          <t>2025-10-16 08:15:04.243363</t>
        </is>
      </c>
      <c r="M1142">
        <f>VLOOKUP(H1142,'Stage Order'!$A$2:$B$8,2,FALSE)</f>
        <v/>
      </c>
      <c r="N1142">
        <f>IF(G1142&lt;=1,"1. Under 1 hour",IF(G1142&lt;=24,"2. 1-24 hours",IF(G1142&lt;=72,"3. 1-3 days","4. Over 3 days")))</f>
        <v/>
      </c>
      <c r="O1142">
        <f>TEXT(B1142,"YYYY-MM")</f>
        <v/>
      </c>
    </row>
    <row r="1143">
      <c r="A1143" t="inlineStr">
        <is>
          <t>LD-301141</t>
        </is>
      </c>
      <c r="B1143" t="inlineStr">
        <is>
          <t>2025-09-20 09:26:00</t>
        </is>
      </c>
      <c r="C1143" t="inlineStr">
        <is>
          <t>Paid Search</t>
        </is>
      </c>
      <c r="D1143" t="inlineStr">
        <is>
          <t>K-12 Math</t>
        </is>
      </c>
      <c r="E1143" t="inlineStr">
        <is>
          <t>North Region</t>
        </is>
      </c>
      <c r="F1143" t="inlineStr">
        <is>
          <t>Rep_06</t>
        </is>
      </c>
      <c r="G1143" t="n">
        <v>14.89</v>
      </c>
      <c r="H1143" t="inlineStr">
        <is>
          <t>Demo Completed</t>
        </is>
      </c>
      <c r="I1143" t="inlineStr">
        <is>
          <t>Lost</t>
        </is>
      </c>
      <c r="J1143" t="inlineStr">
        <is>
          <t>Bad Timing</t>
        </is>
      </c>
      <c r="K1143" t="n">
        <v>549.84</v>
      </c>
      <c r="L1143" t="inlineStr">
        <is>
          <t>2025-10-19 11:49:59.154283</t>
        </is>
      </c>
      <c r="M1143">
        <f>VLOOKUP(H1143,'Stage Order'!$A$2:$B$8,2,FALSE)</f>
        <v/>
      </c>
      <c r="N1143">
        <f>IF(G1143&lt;=1,"1. Under 1 hour",IF(G1143&lt;=24,"2. 1-24 hours",IF(G1143&lt;=72,"3. 1-3 days","4. Over 3 days")))</f>
        <v/>
      </c>
      <c r="O1143">
        <f>TEXT(B1143,"YYYY-MM")</f>
        <v/>
      </c>
    </row>
    <row r="1144">
      <c r="A1144" t="inlineStr">
        <is>
          <t>LD-301142</t>
        </is>
      </c>
      <c r="B1144" t="inlineStr">
        <is>
          <t>2026-06-10 14:20:00</t>
        </is>
      </c>
      <c r="C1144" t="inlineStr">
        <is>
          <t>Referral</t>
        </is>
      </c>
      <c r="D1144" t="inlineStr">
        <is>
          <t>Coding for Kids</t>
        </is>
      </c>
      <c r="E1144" t="inlineStr">
        <is>
          <t>South Region</t>
        </is>
      </c>
      <c r="F1144" t="inlineStr">
        <is>
          <t>Rep_02</t>
        </is>
      </c>
      <c r="G1144" t="n">
        <v>2.32</v>
      </c>
      <c r="H1144" t="inlineStr">
        <is>
          <t>Contacted</t>
        </is>
      </c>
      <c r="I1144" t="inlineStr">
        <is>
          <t>Open</t>
        </is>
      </c>
      <c r="M1144">
        <f>VLOOKUP(H1144,'Stage Order'!$A$2:$B$8,2,FALSE)</f>
        <v/>
      </c>
      <c r="N1144">
        <f>IF(G1144&lt;=1,"1. Under 1 hour",IF(G1144&lt;=24,"2. 1-24 hours",IF(G1144&lt;=72,"3. 1-3 days","4. Over 3 days")))</f>
        <v/>
      </c>
      <c r="O1144">
        <f>TEXT(B1144,"YYYY-MM")</f>
        <v/>
      </c>
    </row>
    <row r="1145">
      <c r="A1145" t="inlineStr">
        <is>
          <t>LD-301143</t>
        </is>
      </c>
      <c r="B1145" t="inlineStr">
        <is>
          <t>2026-06-17 08:53:00</t>
        </is>
      </c>
      <c r="C1145" t="inlineStr">
        <is>
          <t>Social Media</t>
        </is>
      </c>
      <c r="D1145" t="inlineStr">
        <is>
          <t>Coding for Kids</t>
        </is>
      </c>
      <c r="E1145" t="inlineStr">
        <is>
          <t>East Region</t>
        </is>
      </c>
      <c r="F1145" t="inlineStr">
        <is>
          <t>Rep_14</t>
        </is>
      </c>
      <c r="G1145" t="n">
        <v>5.68</v>
      </c>
      <c r="H1145" t="inlineStr">
        <is>
          <t>Lead</t>
        </is>
      </c>
      <c r="I1145" t="inlineStr">
        <is>
          <t>Open</t>
        </is>
      </c>
      <c r="M1145">
        <f>VLOOKUP(H1145,'Stage Order'!$A$2:$B$8,2,FALSE)</f>
        <v/>
      </c>
      <c r="N1145">
        <f>IF(G1145&lt;=1,"1. Under 1 hour",IF(G1145&lt;=24,"2. 1-24 hours",IF(G1145&lt;=72,"3. 1-3 days","4. Over 3 days")))</f>
        <v/>
      </c>
      <c r="O1145">
        <f>TEXT(B1145,"YYYY-MM")</f>
        <v/>
      </c>
    </row>
    <row r="1146">
      <c r="A1146" t="inlineStr">
        <is>
          <t>LD-301144</t>
        </is>
      </c>
      <c r="B1146" t="inlineStr">
        <is>
          <t>2025-11-10 17:02:00</t>
        </is>
      </c>
      <c r="C1146" t="inlineStr">
        <is>
          <t>Paid Search</t>
        </is>
      </c>
      <c r="D1146" t="inlineStr">
        <is>
          <t>Coding for Kids</t>
        </is>
      </c>
      <c r="E1146" t="inlineStr">
        <is>
          <t>West Region</t>
        </is>
      </c>
      <c r="F1146" t="inlineStr">
        <is>
          <t>Rep_08</t>
        </is>
      </c>
      <c r="G1146" t="n">
        <v>2.15</v>
      </c>
      <c r="H1146" t="inlineStr">
        <is>
          <t>Contacted</t>
        </is>
      </c>
      <c r="I1146" t="inlineStr">
        <is>
          <t>Open</t>
        </is>
      </c>
      <c r="M1146">
        <f>VLOOKUP(H1146,'Stage Order'!$A$2:$B$8,2,FALSE)</f>
        <v/>
      </c>
      <c r="N1146">
        <f>IF(G1146&lt;=1,"1. Under 1 hour",IF(G1146&lt;=24,"2. 1-24 hours",IF(G1146&lt;=72,"3. 1-3 days","4. Over 3 days")))</f>
        <v/>
      </c>
      <c r="O1146">
        <f>TEXT(B1146,"YYYY-MM")</f>
        <v/>
      </c>
    </row>
    <row r="1147">
      <c r="A1147" t="inlineStr">
        <is>
          <t>LD-301145</t>
        </is>
      </c>
      <c r="B1147" t="inlineStr">
        <is>
          <t>2025-11-12 20:22:00</t>
        </is>
      </c>
      <c r="C1147" t="inlineStr">
        <is>
          <t>Organic Search</t>
        </is>
      </c>
      <c r="D1147" t="inlineStr">
        <is>
          <t>Study Abroad Prep</t>
        </is>
      </c>
      <c r="E1147" t="inlineStr">
        <is>
          <t>East Region</t>
        </is>
      </c>
      <c r="F1147" t="inlineStr">
        <is>
          <t>Rep_14</t>
        </is>
      </c>
      <c r="G1147" t="n">
        <v>0.66</v>
      </c>
      <c r="H1147" t="inlineStr">
        <is>
          <t>Contacted</t>
        </is>
      </c>
      <c r="I1147" t="inlineStr">
        <is>
          <t>Open</t>
        </is>
      </c>
      <c r="M1147">
        <f>VLOOKUP(H1147,'Stage Order'!$A$2:$B$8,2,FALSE)</f>
        <v/>
      </c>
      <c r="N1147">
        <f>IF(G1147&lt;=1,"1. Under 1 hour",IF(G1147&lt;=24,"2. 1-24 hours",IF(G1147&lt;=72,"3. 1-3 days","4. Over 3 days")))</f>
        <v/>
      </c>
      <c r="O1147">
        <f>TEXT(B1147,"YYYY-MM")</f>
        <v/>
      </c>
    </row>
    <row r="1148">
      <c r="A1148" t="inlineStr">
        <is>
          <t>LD-301146</t>
        </is>
      </c>
      <c r="B1148" t="inlineStr">
        <is>
          <t>2026-06-15 08:49:00</t>
        </is>
      </c>
      <c r="C1148" t="inlineStr">
        <is>
          <t>Social Media</t>
        </is>
      </c>
      <c r="D1148" t="inlineStr">
        <is>
          <t>Study Abroad Prep</t>
        </is>
      </c>
      <c r="E1148" t="inlineStr">
        <is>
          <t>West Region</t>
        </is>
      </c>
      <c r="F1148" t="inlineStr">
        <is>
          <t>Rep_03</t>
        </is>
      </c>
      <c r="G1148" t="n">
        <v>2.83</v>
      </c>
      <c r="H1148" t="inlineStr">
        <is>
          <t>Lead</t>
        </is>
      </c>
      <c r="I1148" t="inlineStr">
        <is>
          <t>Open</t>
        </is>
      </c>
      <c r="M1148">
        <f>VLOOKUP(H1148,'Stage Order'!$A$2:$B$8,2,FALSE)</f>
        <v/>
      </c>
      <c r="N1148">
        <f>IF(G1148&lt;=1,"1. Under 1 hour",IF(G1148&lt;=24,"2. 1-24 hours",IF(G1148&lt;=72,"3. 1-3 days","4. Over 3 days")))</f>
        <v/>
      </c>
      <c r="O1148">
        <f>TEXT(B1148,"YYYY-MM")</f>
        <v/>
      </c>
    </row>
    <row r="1149">
      <c r="A1149" t="inlineStr">
        <is>
          <t>LD-301147</t>
        </is>
      </c>
      <c r="B1149" t="inlineStr">
        <is>
          <t>2025-08-31 15:54:00</t>
        </is>
      </c>
      <c r="C1149" t="inlineStr">
        <is>
          <t>Social Media</t>
        </is>
      </c>
      <c r="D1149" t="inlineStr">
        <is>
          <t>Competitive Exam Prep</t>
        </is>
      </c>
      <c r="E1149" t="inlineStr">
        <is>
          <t>East Region</t>
        </is>
      </c>
      <c r="F1149" t="inlineStr">
        <is>
          <t>Rep_14</t>
        </is>
      </c>
      <c r="G1149" t="n">
        <v>6.33</v>
      </c>
      <c r="H1149" t="inlineStr">
        <is>
          <t>Contacted</t>
        </is>
      </c>
      <c r="I1149" t="inlineStr">
        <is>
          <t>Open</t>
        </is>
      </c>
      <c r="M1149">
        <f>VLOOKUP(H1149,'Stage Order'!$A$2:$B$8,2,FALSE)</f>
        <v/>
      </c>
      <c r="N1149">
        <f>IF(G1149&lt;=1,"1. Under 1 hour",IF(G1149&lt;=24,"2. 1-24 hours",IF(G1149&lt;=72,"3. 1-3 days","4. Over 3 days")))</f>
        <v/>
      </c>
      <c r="O1149">
        <f>TEXT(B1149,"YYYY-MM")</f>
        <v/>
      </c>
    </row>
    <row r="1150">
      <c r="A1150" t="inlineStr">
        <is>
          <t>LD-301148</t>
        </is>
      </c>
      <c r="B1150" t="inlineStr">
        <is>
          <t>2026-04-11 19:27:00</t>
        </is>
      </c>
      <c r="C1150" t="inlineStr">
        <is>
          <t>Paid Search</t>
        </is>
      </c>
      <c r="D1150" t="inlineStr">
        <is>
          <t>Study Abroad Prep</t>
        </is>
      </c>
      <c r="E1150" t="inlineStr">
        <is>
          <t>East Region</t>
        </is>
      </c>
      <c r="F1150" t="inlineStr">
        <is>
          <t>Rep_09</t>
        </is>
      </c>
      <c r="G1150" t="n">
        <v>3.92</v>
      </c>
      <c r="H1150" t="inlineStr">
        <is>
          <t>Contacted</t>
        </is>
      </c>
      <c r="I1150" t="inlineStr">
        <is>
          <t>Open</t>
        </is>
      </c>
      <c r="M1150">
        <f>VLOOKUP(H1150,'Stage Order'!$A$2:$B$8,2,FALSE)</f>
        <v/>
      </c>
      <c r="N1150">
        <f>IF(G1150&lt;=1,"1. Under 1 hour",IF(G1150&lt;=24,"2. 1-24 hours",IF(G1150&lt;=72,"3. 1-3 days","4. Over 3 days")))</f>
        <v/>
      </c>
      <c r="O1150">
        <f>TEXT(B1150,"YYYY-MM")</f>
        <v/>
      </c>
    </row>
    <row r="1151">
      <c r="A1151" t="inlineStr">
        <is>
          <t>LD-301149</t>
        </is>
      </c>
      <c r="B1151" t="inlineStr">
        <is>
          <t>2025-03-11 16:26:00</t>
        </is>
      </c>
      <c r="C1151" t="inlineStr">
        <is>
          <t>Social Media</t>
        </is>
      </c>
      <c r="D1151" t="inlineStr">
        <is>
          <t>Competitive Exam Prep</t>
        </is>
      </c>
      <c r="E1151" t="inlineStr">
        <is>
          <t>East Region</t>
        </is>
      </c>
      <c r="F1151" t="inlineStr">
        <is>
          <t>Rep_09</t>
        </is>
      </c>
      <c r="G1151" t="n">
        <v>7.82</v>
      </c>
      <c r="H1151" t="inlineStr">
        <is>
          <t>Lead</t>
        </is>
      </c>
      <c r="I1151" t="inlineStr">
        <is>
          <t>Open</t>
        </is>
      </c>
      <c r="M1151">
        <f>VLOOKUP(H1151,'Stage Order'!$A$2:$B$8,2,FALSE)</f>
        <v/>
      </c>
      <c r="N1151">
        <f>IF(G1151&lt;=1,"1. Under 1 hour",IF(G1151&lt;=24,"2. 1-24 hours",IF(G1151&lt;=72,"3. 1-3 days","4. Over 3 days")))</f>
        <v/>
      </c>
      <c r="O1151">
        <f>TEXT(B1151,"YYYY-MM")</f>
        <v/>
      </c>
    </row>
    <row r="1152">
      <c r="A1152" t="inlineStr">
        <is>
          <t>LD-301150</t>
        </is>
      </c>
      <c r="B1152" t="inlineStr">
        <is>
          <t>2025-10-28 17:35:00</t>
        </is>
      </c>
      <c r="C1152" t="inlineStr">
        <is>
          <t>Partner Channel</t>
        </is>
      </c>
      <c r="D1152" t="inlineStr">
        <is>
          <t>Coding for Kids</t>
        </is>
      </c>
      <c r="E1152" t="inlineStr">
        <is>
          <t>South Region</t>
        </is>
      </c>
      <c r="F1152" t="inlineStr">
        <is>
          <t>Rep_07</t>
        </is>
      </c>
      <c r="G1152" t="n">
        <v>3.58</v>
      </c>
      <c r="H1152" t="inlineStr">
        <is>
          <t>Closed</t>
        </is>
      </c>
      <c r="I1152" t="inlineStr">
        <is>
          <t>Won</t>
        </is>
      </c>
      <c r="K1152" t="n">
        <v>660.95</v>
      </c>
      <c r="L1152" t="inlineStr">
        <is>
          <t>2025-12-10 01:44:34.422471</t>
        </is>
      </c>
      <c r="M1152">
        <f>VLOOKUP(H1152,'Stage Order'!$A$2:$B$8,2,FALSE)</f>
        <v/>
      </c>
      <c r="N1152">
        <f>IF(G1152&lt;=1,"1. Under 1 hour",IF(G1152&lt;=24,"2. 1-24 hours",IF(G1152&lt;=72,"3. 1-3 days","4. Over 3 days")))</f>
        <v/>
      </c>
      <c r="O1152">
        <f>TEXT(B1152,"YYYY-MM")</f>
        <v/>
      </c>
    </row>
    <row r="1153">
      <c r="A1153" t="inlineStr">
        <is>
          <t>LD-301151</t>
        </is>
      </c>
      <c r="B1153" t="inlineStr">
        <is>
          <t>2025-06-17 13:24:00</t>
        </is>
      </c>
      <c r="C1153" t="inlineStr">
        <is>
          <t>Partner Channel</t>
        </is>
      </c>
      <c r="D1153" t="inlineStr">
        <is>
          <t>K-12 Math</t>
        </is>
      </c>
      <c r="E1153" t="inlineStr">
        <is>
          <t>West Region</t>
        </is>
      </c>
      <c r="F1153" t="inlineStr">
        <is>
          <t>Rep_13</t>
        </is>
      </c>
      <c r="G1153" t="n">
        <v>2.46</v>
      </c>
      <c r="H1153" t="inlineStr">
        <is>
          <t>Demo Completed</t>
        </is>
      </c>
      <c r="I1153" t="inlineStr">
        <is>
          <t>Lost</t>
        </is>
      </c>
      <c r="J1153" t="inlineStr">
        <is>
          <t>Budget Not Approved</t>
        </is>
      </c>
      <c r="K1153" t="n">
        <v>557.33</v>
      </c>
      <c r="L1153" t="inlineStr">
        <is>
          <t>2025-07-30 08:24:00.320198</t>
        </is>
      </c>
      <c r="M1153">
        <f>VLOOKUP(H1153,'Stage Order'!$A$2:$B$8,2,FALSE)</f>
        <v/>
      </c>
      <c r="N1153">
        <f>IF(G1153&lt;=1,"1. Under 1 hour",IF(G1153&lt;=24,"2. 1-24 hours",IF(G1153&lt;=72,"3. 1-3 days","4. Over 3 days")))</f>
        <v/>
      </c>
      <c r="O1153">
        <f>TEXT(B1153,"YYYY-MM")</f>
        <v/>
      </c>
    </row>
    <row r="1154">
      <c r="A1154" t="inlineStr">
        <is>
          <t>LD-301152</t>
        </is>
      </c>
      <c r="B1154" t="inlineStr">
        <is>
          <t>2025-06-19 13:38:00</t>
        </is>
      </c>
      <c r="C1154" t="inlineStr">
        <is>
          <t>Cold Outreach</t>
        </is>
      </c>
      <c r="D1154" t="inlineStr">
        <is>
          <t>Language Learning</t>
        </is>
      </c>
      <c r="E1154" t="inlineStr">
        <is>
          <t>West Region</t>
        </is>
      </c>
      <c r="F1154" t="inlineStr">
        <is>
          <t>Rep_03</t>
        </is>
      </c>
      <c r="G1154" t="n">
        <v>2.38</v>
      </c>
      <c r="H1154" t="inlineStr">
        <is>
          <t>Lead</t>
        </is>
      </c>
      <c r="I1154" t="inlineStr">
        <is>
          <t>Open</t>
        </is>
      </c>
      <c r="M1154">
        <f>VLOOKUP(H1154,'Stage Order'!$A$2:$B$8,2,FALSE)</f>
        <v/>
      </c>
      <c r="N1154">
        <f>IF(G1154&lt;=1,"1. Under 1 hour",IF(G1154&lt;=24,"2. 1-24 hours",IF(G1154&lt;=72,"3. 1-3 days","4. Over 3 days")))</f>
        <v/>
      </c>
      <c r="O1154">
        <f>TEXT(B1154,"YYYY-MM")</f>
        <v/>
      </c>
    </row>
    <row r="1155">
      <c r="A1155" t="inlineStr">
        <is>
          <t>LD-301153</t>
        </is>
      </c>
      <c r="B1155" t="inlineStr">
        <is>
          <t>2025-09-12 14:03:00</t>
        </is>
      </c>
      <c r="C1155" t="inlineStr">
        <is>
          <t>Paid Search</t>
        </is>
      </c>
      <c r="D1155" t="inlineStr">
        <is>
          <t>Coding for Kids</t>
        </is>
      </c>
      <c r="E1155" t="inlineStr">
        <is>
          <t>South Region</t>
        </is>
      </c>
      <c r="F1155" t="inlineStr">
        <is>
          <t>Rep_02</t>
        </is>
      </c>
      <c r="G1155" t="n">
        <v>10.51</v>
      </c>
      <c r="H1155" t="inlineStr">
        <is>
          <t>Contacted</t>
        </is>
      </c>
      <c r="I1155" t="inlineStr">
        <is>
          <t>Open</t>
        </is>
      </c>
      <c r="M1155">
        <f>VLOOKUP(H1155,'Stage Order'!$A$2:$B$8,2,FALSE)</f>
        <v/>
      </c>
      <c r="N1155">
        <f>IF(G1155&lt;=1,"1. Under 1 hour",IF(G1155&lt;=24,"2. 1-24 hours",IF(G1155&lt;=72,"3. 1-3 days","4. Over 3 days")))</f>
        <v/>
      </c>
      <c r="O1155">
        <f>TEXT(B1155,"YYYY-MM")</f>
        <v/>
      </c>
    </row>
    <row r="1156">
      <c r="A1156" t="inlineStr">
        <is>
          <t>LD-301154</t>
        </is>
      </c>
      <c r="B1156" t="inlineStr">
        <is>
          <t>2025-02-20 16:34:00</t>
        </is>
      </c>
      <c r="C1156" t="inlineStr">
        <is>
          <t>Webinar</t>
        </is>
      </c>
      <c r="D1156" t="inlineStr">
        <is>
          <t>K-12 Math</t>
        </is>
      </c>
      <c r="E1156" t="inlineStr">
        <is>
          <t>North Region</t>
        </is>
      </c>
      <c r="F1156" t="inlineStr">
        <is>
          <t>Rep_11</t>
        </is>
      </c>
      <c r="G1156" t="n">
        <v>1.9</v>
      </c>
      <c r="H1156" t="inlineStr">
        <is>
          <t>Contacted</t>
        </is>
      </c>
      <c r="I1156" t="inlineStr">
        <is>
          <t>Open</t>
        </is>
      </c>
      <c r="M1156">
        <f>VLOOKUP(H1156,'Stage Order'!$A$2:$B$8,2,FALSE)</f>
        <v/>
      </c>
      <c r="N1156">
        <f>IF(G1156&lt;=1,"1. Under 1 hour",IF(G1156&lt;=24,"2. 1-24 hours",IF(G1156&lt;=72,"3. 1-3 days","4. Over 3 days")))</f>
        <v/>
      </c>
      <c r="O1156">
        <f>TEXT(B1156,"YYYY-MM")</f>
        <v/>
      </c>
    </row>
    <row r="1157">
      <c r="A1157" t="inlineStr">
        <is>
          <t>LD-301155</t>
        </is>
      </c>
      <c r="B1157" t="inlineStr">
        <is>
          <t>2025-08-22 15:10:00</t>
        </is>
      </c>
      <c r="C1157" t="inlineStr">
        <is>
          <t>Social Media</t>
        </is>
      </c>
      <c r="D1157" t="inlineStr">
        <is>
          <t>Coding for Kids</t>
        </is>
      </c>
      <c r="E1157" t="inlineStr">
        <is>
          <t>North Region</t>
        </is>
      </c>
      <c r="F1157" t="inlineStr">
        <is>
          <t>Rep_01</t>
        </is>
      </c>
      <c r="G1157" t="n">
        <v>6.41</v>
      </c>
      <c r="H1157" t="inlineStr">
        <is>
          <t>Contacted</t>
        </is>
      </c>
      <c r="I1157" t="inlineStr">
        <is>
          <t>Open</t>
        </is>
      </c>
      <c r="M1157">
        <f>VLOOKUP(H1157,'Stage Order'!$A$2:$B$8,2,FALSE)</f>
        <v/>
      </c>
      <c r="N1157">
        <f>IF(G1157&lt;=1,"1. Under 1 hour",IF(G1157&lt;=24,"2. 1-24 hours",IF(G1157&lt;=72,"3. 1-3 days","4. Over 3 days")))</f>
        <v/>
      </c>
      <c r="O1157">
        <f>TEXT(B1157,"YYYY-MM")</f>
        <v/>
      </c>
    </row>
    <row r="1158">
      <c r="A1158" t="inlineStr">
        <is>
          <t>LD-301156</t>
        </is>
      </c>
      <c r="B1158" t="inlineStr">
        <is>
          <t>2026-04-05 10:24:00</t>
        </is>
      </c>
      <c r="C1158" t="inlineStr">
        <is>
          <t>Cold Outreach</t>
        </is>
      </c>
      <c r="D1158" t="inlineStr">
        <is>
          <t>Study Abroad Prep</t>
        </is>
      </c>
      <c r="E1158" t="inlineStr">
        <is>
          <t>East Region</t>
        </is>
      </c>
      <c r="F1158" t="inlineStr">
        <is>
          <t>Rep_04</t>
        </is>
      </c>
      <c r="G1158" t="n">
        <v>0.89</v>
      </c>
      <c r="H1158" t="inlineStr">
        <is>
          <t>Lead</t>
        </is>
      </c>
      <c r="I1158" t="inlineStr">
        <is>
          <t>Open</t>
        </is>
      </c>
      <c r="M1158">
        <f>VLOOKUP(H1158,'Stage Order'!$A$2:$B$8,2,FALSE)</f>
        <v/>
      </c>
      <c r="N1158">
        <f>IF(G1158&lt;=1,"1. Under 1 hour",IF(G1158&lt;=24,"2. 1-24 hours",IF(G1158&lt;=72,"3. 1-3 days","4. Over 3 days")))</f>
        <v/>
      </c>
      <c r="O1158">
        <f>TEXT(B1158,"YYYY-MM")</f>
        <v/>
      </c>
    </row>
    <row r="1159">
      <c r="A1159" t="inlineStr">
        <is>
          <t>LD-301157</t>
        </is>
      </c>
      <c r="B1159" t="inlineStr">
        <is>
          <t>2025-04-18 08:45:00</t>
        </is>
      </c>
      <c r="C1159" t="inlineStr">
        <is>
          <t>Cold Outreach</t>
        </is>
      </c>
      <c r="D1159" t="inlineStr">
        <is>
          <t>K-12 Math</t>
        </is>
      </c>
      <c r="E1159" t="inlineStr">
        <is>
          <t>East Region</t>
        </is>
      </c>
      <c r="F1159" t="inlineStr">
        <is>
          <t>Rep_04</t>
        </is>
      </c>
      <c r="G1159" t="n">
        <v>2.04</v>
      </c>
      <c r="H1159" t="inlineStr">
        <is>
          <t>Lead</t>
        </is>
      </c>
      <c r="I1159" t="inlineStr">
        <is>
          <t>Open</t>
        </is>
      </c>
      <c r="M1159">
        <f>VLOOKUP(H1159,'Stage Order'!$A$2:$B$8,2,FALSE)</f>
        <v/>
      </c>
      <c r="N1159">
        <f>IF(G1159&lt;=1,"1. Under 1 hour",IF(G1159&lt;=24,"2. 1-24 hours",IF(G1159&lt;=72,"3. 1-3 days","4. Over 3 days")))</f>
        <v/>
      </c>
      <c r="O1159">
        <f>TEXT(B1159,"YYYY-MM")</f>
        <v/>
      </c>
    </row>
    <row r="1160">
      <c r="A1160" t="inlineStr">
        <is>
          <t>LD-301158</t>
        </is>
      </c>
      <c r="B1160" t="inlineStr">
        <is>
          <t>2025-01-31 18:41:00</t>
        </is>
      </c>
      <c r="C1160" t="inlineStr">
        <is>
          <t>Organic Search</t>
        </is>
      </c>
      <c r="D1160" t="inlineStr">
        <is>
          <t>K-12 Math</t>
        </is>
      </c>
      <c r="E1160" t="inlineStr">
        <is>
          <t>North Region</t>
        </is>
      </c>
      <c r="F1160" t="inlineStr">
        <is>
          <t>Rep_11</t>
        </is>
      </c>
      <c r="G1160" t="n">
        <v>1.46</v>
      </c>
      <c r="H1160" t="inlineStr">
        <is>
          <t>Contacted</t>
        </is>
      </c>
      <c r="I1160" t="inlineStr">
        <is>
          <t>Open</t>
        </is>
      </c>
      <c r="M1160">
        <f>VLOOKUP(H1160,'Stage Order'!$A$2:$B$8,2,FALSE)</f>
        <v/>
      </c>
      <c r="N1160">
        <f>IF(G1160&lt;=1,"1. Under 1 hour",IF(G1160&lt;=24,"2. 1-24 hours",IF(G1160&lt;=72,"3. 1-3 days","4. Over 3 days")))</f>
        <v/>
      </c>
      <c r="O1160">
        <f>TEXT(B1160,"YYYY-MM")</f>
        <v/>
      </c>
    </row>
    <row r="1161">
      <c r="A1161" t="inlineStr">
        <is>
          <t>LD-301159</t>
        </is>
      </c>
      <c r="B1161" t="inlineStr">
        <is>
          <t>2025-02-07 08:06:00</t>
        </is>
      </c>
      <c r="C1161" t="inlineStr">
        <is>
          <t>Webinar</t>
        </is>
      </c>
      <c r="D1161" t="inlineStr">
        <is>
          <t>Competitive Exam Prep</t>
        </is>
      </c>
      <c r="E1161" t="inlineStr">
        <is>
          <t>West Region</t>
        </is>
      </c>
      <c r="F1161" t="inlineStr">
        <is>
          <t>Rep_08</t>
        </is>
      </c>
      <c r="G1161" t="n">
        <v>2.72</v>
      </c>
      <c r="H1161" t="inlineStr">
        <is>
          <t>Contacted</t>
        </is>
      </c>
      <c r="I1161" t="inlineStr">
        <is>
          <t>Open</t>
        </is>
      </c>
      <c r="M1161">
        <f>VLOOKUP(H1161,'Stage Order'!$A$2:$B$8,2,FALSE)</f>
        <v/>
      </c>
      <c r="N1161">
        <f>IF(G1161&lt;=1,"1. Under 1 hour",IF(G1161&lt;=24,"2. 1-24 hours",IF(G1161&lt;=72,"3. 1-3 days","4. Over 3 days")))</f>
        <v/>
      </c>
      <c r="O1161">
        <f>TEXT(B1161,"YYYY-MM")</f>
        <v/>
      </c>
    </row>
    <row r="1162">
      <c r="A1162" t="inlineStr">
        <is>
          <t>LD-301160</t>
        </is>
      </c>
      <c r="B1162" t="inlineStr">
        <is>
          <t>2025-08-15 13:53:00</t>
        </is>
      </c>
      <c r="C1162" t="inlineStr">
        <is>
          <t>Cold Outreach</t>
        </is>
      </c>
      <c r="D1162" t="inlineStr">
        <is>
          <t>K-12 Math</t>
        </is>
      </c>
      <c r="E1162" t="inlineStr">
        <is>
          <t>North Region</t>
        </is>
      </c>
      <c r="F1162" t="inlineStr">
        <is>
          <t>Rep_01</t>
        </is>
      </c>
      <c r="G1162" t="n">
        <v>6.25</v>
      </c>
      <c r="H1162" t="inlineStr">
        <is>
          <t>Contacted</t>
        </is>
      </c>
      <c r="I1162" t="inlineStr">
        <is>
          <t>Open</t>
        </is>
      </c>
      <c r="M1162">
        <f>VLOOKUP(H1162,'Stage Order'!$A$2:$B$8,2,FALSE)</f>
        <v/>
      </c>
      <c r="N1162">
        <f>IF(G1162&lt;=1,"1. Under 1 hour",IF(G1162&lt;=24,"2. 1-24 hours",IF(G1162&lt;=72,"3. 1-3 days","4. Over 3 days")))</f>
        <v/>
      </c>
      <c r="O1162">
        <f>TEXT(B1162,"YYYY-MM")</f>
        <v/>
      </c>
    </row>
    <row r="1163">
      <c r="A1163" t="inlineStr">
        <is>
          <t>LD-301161</t>
        </is>
      </c>
      <c r="B1163" t="inlineStr">
        <is>
          <t>2025-10-22 07:11:00</t>
        </is>
      </c>
      <c r="C1163" t="inlineStr">
        <is>
          <t>Paid Search</t>
        </is>
      </c>
      <c r="D1163" t="inlineStr">
        <is>
          <t>Study Abroad Prep</t>
        </is>
      </c>
      <c r="E1163" t="inlineStr">
        <is>
          <t>West Region</t>
        </is>
      </c>
      <c r="F1163" t="inlineStr">
        <is>
          <t>Rep_13</t>
        </is>
      </c>
      <c r="G1163" t="n">
        <v>0.8100000000000001</v>
      </c>
      <c r="H1163" t="inlineStr">
        <is>
          <t>Contacted</t>
        </is>
      </c>
      <c r="I1163" t="inlineStr">
        <is>
          <t>Open</t>
        </is>
      </c>
      <c r="M1163">
        <f>VLOOKUP(H1163,'Stage Order'!$A$2:$B$8,2,FALSE)</f>
        <v/>
      </c>
      <c r="N1163">
        <f>IF(G1163&lt;=1,"1. Under 1 hour",IF(G1163&lt;=24,"2. 1-24 hours",IF(G1163&lt;=72,"3. 1-3 days","4. Over 3 days")))</f>
        <v/>
      </c>
      <c r="O1163">
        <f>TEXT(B1163,"YYYY-MM")</f>
        <v/>
      </c>
    </row>
    <row r="1164">
      <c r="A1164" t="inlineStr">
        <is>
          <t>LD-301162</t>
        </is>
      </c>
      <c r="B1164" t="inlineStr">
        <is>
          <t>2025-07-14 16:39:00</t>
        </is>
      </c>
      <c r="C1164" t="inlineStr">
        <is>
          <t>Cold Outreach</t>
        </is>
      </c>
      <c r="D1164" t="inlineStr">
        <is>
          <t>Coding for Kids</t>
        </is>
      </c>
      <c r="E1164" t="inlineStr">
        <is>
          <t>International</t>
        </is>
      </c>
      <c r="F1164" t="inlineStr">
        <is>
          <t>Rep_15</t>
        </is>
      </c>
      <c r="G1164" t="n">
        <v>1.53</v>
      </c>
      <c r="H1164" t="inlineStr">
        <is>
          <t>Lead</t>
        </is>
      </c>
      <c r="I1164" t="inlineStr">
        <is>
          <t>Open</t>
        </is>
      </c>
      <c r="M1164">
        <f>VLOOKUP(H1164,'Stage Order'!$A$2:$B$8,2,FALSE)</f>
        <v/>
      </c>
      <c r="N1164">
        <f>IF(G1164&lt;=1,"1. Under 1 hour",IF(G1164&lt;=24,"2. 1-24 hours",IF(G1164&lt;=72,"3. 1-3 days","4. Over 3 days")))</f>
        <v/>
      </c>
      <c r="O1164">
        <f>TEXT(B1164,"YYYY-MM")</f>
        <v/>
      </c>
    </row>
    <row r="1165">
      <c r="A1165" t="inlineStr">
        <is>
          <t>LD-301163</t>
        </is>
      </c>
      <c r="B1165" t="inlineStr">
        <is>
          <t>2025-06-27 09:41:00</t>
        </is>
      </c>
      <c r="C1165" t="inlineStr">
        <is>
          <t>Organic Search</t>
        </is>
      </c>
      <c r="D1165" t="inlineStr">
        <is>
          <t>Coding for Kids</t>
        </is>
      </c>
      <c r="E1165" t="inlineStr">
        <is>
          <t>International</t>
        </is>
      </c>
      <c r="F1165" t="inlineStr">
        <is>
          <t>Rep_05</t>
        </is>
      </c>
      <c r="G1165" t="n">
        <v>3.06</v>
      </c>
      <c r="H1165" t="inlineStr">
        <is>
          <t>Lead</t>
        </is>
      </c>
      <c r="I1165" t="inlineStr">
        <is>
          <t>Open</t>
        </is>
      </c>
      <c r="M1165">
        <f>VLOOKUP(H1165,'Stage Order'!$A$2:$B$8,2,FALSE)</f>
        <v/>
      </c>
      <c r="N1165">
        <f>IF(G1165&lt;=1,"1. Under 1 hour",IF(G1165&lt;=24,"2. 1-24 hours",IF(G1165&lt;=72,"3. 1-3 days","4. Over 3 days")))</f>
        <v/>
      </c>
      <c r="O1165">
        <f>TEXT(B1165,"YYYY-MM")</f>
        <v/>
      </c>
    </row>
    <row r="1166">
      <c r="A1166" t="inlineStr">
        <is>
          <t>LD-301164</t>
        </is>
      </c>
      <c r="B1166" t="inlineStr">
        <is>
          <t>2025-05-13 18:11:00</t>
        </is>
      </c>
      <c r="C1166" t="inlineStr">
        <is>
          <t>Paid Search</t>
        </is>
      </c>
      <c r="D1166" t="inlineStr">
        <is>
          <t>K-12 Math</t>
        </is>
      </c>
      <c r="E1166" t="inlineStr">
        <is>
          <t>International</t>
        </is>
      </c>
      <c r="F1166" t="inlineStr">
        <is>
          <t>Rep_10</t>
        </is>
      </c>
      <c r="G1166" t="n">
        <v>5.48</v>
      </c>
      <c r="H1166" t="inlineStr">
        <is>
          <t>Lead</t>
        </is>
      </c>
      <c r="I1166" t="inlineStr">
        <is>
          <t>Open</t>
        </is>
      </c>
      <c r="M1166">
        <f>VLOOKUP(H1166,'Stage Order'!$A$2:$B$8,2,FALSE)</f>
        <v/>
      </c>
      <c r="N1166">
        <f>IF(G1166&lt;=1,"1. Under 1 hour",IF(G1166&lt;=24,"2. 1-24 hours",IF(G1166&lt;=72,"3. 1-3 days","4. Over 3 days")))</f>
        <v/>
      </c>
      <c r="O1166">
        <f>TEXT(B1166,"YYYY-MM")</f>
        <v/>
      </c>
    </row>
    <row r="1167">
      <c r="A1167" t="inlineStr">
        <is>
          <t>LD-301165</t>
        </is>
      </c>
      <c r="B1167" t="inlineStr">
        <is>
          <t>2026-02-25 11:12:00</t>
        </is>
      </c>
      <c r="C1167" t="inlineStr">
        <is>
          <t>Social Media</t>
        </is>
      </c>
      <c r="D1167" t="inlineStr">
        <is>
          <t>Language Learning</t>
        </is>
      </c>
      <c r="E1167" t="inlineStr">
        <is>
          <t>West Region</t>
        </is>
      </c>
      <c r="F1167" t="inlineStr">
        <is>
          <t>Rep_13</t>
        </is>
      </c>
      <c r="G1167" t="n">
        <v>2.68</v>
      </c>
      <c r="H1167" t="inlineStr">
        <is>
          <t>Demo Completed</t>
        </is>
      </c>
      <c r="I1167" t="inlineStr">
        <is>
          <t>Lost</t>
        </is>
      </c>
      <c r="J1167" t="inlineStr">
        <is>
          <t>Bad Timing</t>
        </is>
      </c>
      <c r="K1167" t="n">
        <v>421.1</v>
      </c>
      <c r="L1167" t="inlineStr">
        <is>
          <t>2026-03-18 19:10:37.849511</t>
        </is>
      </c>
      <c r="M1167">
        <f>VLOOKUP(H1167,'Stage Order'!$A$2:$B$8,2,FALSE)</f>
        <v/>
      </c>
      <c r="N1167">
        <f>IF(G1167&lt;=1,"1. Under 1 hour",IF(G1167&lt;=24,"2. 1-24 hours",IF(G1167&lt;=72,"3. 1-3 days","4. Over 3 days")))</f>
        <v/>
      </c>
      <c r="O1167">
        <f>TEXT(B1167,"YYYY-MM")</f>
        <v/>
      </c>
    </row>
    <row r="1168">
      <c r="A1168" t="inlineStr">
        <is>
          <t>LD-301166</t>
        </is>
      </c>
      <c r="B1168" t="inlineStr">
        <is>
          <t>2025-03-05 19:41:00</t>
        </is>
      </c>
      <c r="C1168" t="inlineStr">
        <is>
          <t>Organic Search</t>
        </is>
      </c>
      <c r="D1168" t="inlineStr">
        <is>
          <t>Coding for Kids</t>
        </is>
      </c>
      <c r="E1168" t="inlineStr">
        <is>
          <t>South Region</t>
        </is>
      </c>
      <c r="F1168" t="inlineStr">
        <is>
          <t>Rep_12</t>
        </is>
      </c>
      <c r="G1168" t="n">
        <v>2.22</v>
      </c>
      <c r="H1168" t="inlineStr">
        <is>
          <t>Contacted</t>
        </is>
      </c>
      <c r="I1168" t="inlineStr">
        <is>
          <t>Open</t>
        </is>
      </c>
      <c r="M1168">
        <f>VLOOKUP(H1168,'Stage Order'!$A$2:$B$8,2,FALSE)</f>
        <v/>
      </c>
      <c r="N1168">
        <f>IF(G1168&lt;=1,"1. Under 1 hour",IF(G1168&lt;=24,"2. 1-24 hours",IF(G1168&lt;=72,"3. 1-3 days","4. Over 3 days")))</f>
        <v/>
      </c>
      <c r="O1168">
        <f>TEXT(B1168,"YYYY-MM")</f>
        <v/>
      </c>
    </row>
    <row r="1169">
      <c r="A1169" t="inlineStr">
        <is>
          <t>LD-301167</t>
        </is>
      </c>
      <c r="B1169" t="inlineStr">
        <is>
          <t>2025-08-26 18:20:00</t>
        </is>
      </c>
      <c r="C1169" t="inlineStr">
        <is>
          <t>Social Media</t>
        </is>
      </c>
      <c r="D1169" t="inlineStr">
        <is>
          <t>Coding for Kids</t>
        </is>
      </c>
      <c r="E1169" t="inlineStr">
        <is>
          <t>West Region</t>
        </is>
      </c>
      <c r="F1169" t="inlineStr">
        <is>
          <t>Rep_08</t>
        </is>
      </c>
      <c r="G1169" t="n">
        <v>2.22</v>
      </c>
      <c r="H1169" t="inlineStr">
        <is>
          <t>Contacted</t>
        </is>
      </c>
      <c r="I1169" t="inlineStr">
        <is>
          <t>Open</t>
        </is>
      </c>
      <c r="M1169">
        <f>VLOOKUP(H1169,'Stage Order'!$A$2:$B$8,2,FALSE)</f>
        <v/>
      </c>
      <c r="N1169">
        <f>IF(G1169&lt;=1,"1. Under 1 hour",IF(G1169&lt;=24,"2. 1-24 hours",IF(G1169&lt;=72,"3. 1-3 days","4. Over 3 days")))</f>
        <v/>
      </c>
      <c r="O1169">
        <f>TEXT(B1169,"YYYY-MM")</f>
        <v/>
      </c>
    </row>
    <row r="1170">
      <c r="A1170" t="inlineStr">
        <is>
          <t>LD-301168</t>
        </is>
      </c>
      <c r="B1170" t="inlineStr">
        <is>
          <t>2026-03-25 11:58:00</t>
        </is>
      </c>
      <c r="C1170" t="inlineStr">
        <is>
          <t>Paid Search</t>
        </is>
      </c>
      <c r="D1170" t="inlineStr">
        <is>
          <t>Study Abroad Prep</t>
        </is>
      </c>
      <c r="E1170" t="inlineStr">
        <is>
          <t>South Region</t>
        </is>
      </c>
      <c r="F1170" t="inlineStr">
        <is>
          <t>Rep_07</t>
        </is>
      </c>
      <c r="G1170" t="n">
        <v>4</v>
      </c>
      <c r="H1170" t="inlineStr">
        <is>
          <t>Contacted</t>
        </is>
      </c>
      <c r="I1170" t="inlineStr">
        <is>
          <t>Open</t>
        </is>
      </c>
      <c r="M1170">
        <f>VLOOKUP(H1170,'Stage Order'!$A$2:$B$8,2,FALSE)</f>
        <v/>
      </c>
      <c r="N1170">
        <f>IF(G1170&lt;=1,"1. Under 1 hour",IF(G1170&lt;=24,"2. 1-24 hours",IF(G1170&lt;=72,"3. 1-3 days","4. Over 3 days")))</f>
        <v/>
      </c>
      <c r="O1170">
        <f>TEXT(B1170,"YYYY-MM")</f>
        <v/>
      </c>
    </row>
    <row r="1171">
      <c r="A1171" t="inlineStr">
        <is>
          <t>LD-301169</t>
        </is>
      </c>
      <c r="B1171" t="inlineStr">
        <is>
          <t>2025-07-25 10:25:00</t>
        </is>
      </c>
      <c r="C1171" t="inlineStr">
        <is>
          <t>Social Media</t>
        </is>
      </c>
      <c r="D1171" t="inlineStr">
        <is>
          <t>Competitive Exam Prep</t>
        </is>
      </c>
      <c r="E1171" t="inlineStr">
        <is>
          <t>West Region</t>
        </is>
      </c>
      <c r="F1171" t="inlineStr">
        <is>
          <t>Rep_08</t>
        </is>
      </c>
      <c r="G1171" t="n">
        <v>1.62</v>
      </c>
      <c r="H1171" t="inlineStr">
        <is>
          <t>Contacted</t>
        </is>
      </c>
      <c r="I1171" t="inlineStr">
        <is>
          <t>Open</t>
        </is>
      </c>
      <c r="M1171">
        <f>VLOOKUP(H1171,'Stage Order'!$A$2:$B$8,2,FALSE)</f>
        <v/>
      </c>
      <c r="N1171">
        <f>IF(G1171&lt;=1,"1. Under 1 hour",IF(G1171&lt;=24,"2. 1-24 hours",IF(G1171&lt;=72,"3. 1-3 days","4. Over 3 days")))</f>
        <v/>
      </c>
      <c r="O1171">
        <f>TEXT(B1171,"YYYY-MM")</f>
        <v/>
      </c>
    </row>
    <row r="1172">
      <c r="A1172" t="inlineStr">
        <is>
          <t>LD-301170</t>
        </is>
      </c>
      <c r="B1172" t="inlineStr">
        <is>
          <t>2025-09-03 09:26:00</t>
        </is>
      </c>
      <c r="C1172" t="inlineStr">
        <is>
          <t>Paid Search</t>
        </is>
      </c>
      <c r="D1172" t="inlineStr">
        <is>
          <t>Coding for Kids</t>
        </is>
      </c>
      <c r="E1172" t="inlineStr">
        <is>
          <t>South Region</t>
        </is>
      </c>
      <c r="F1172" t="inlineStr">
        <is>
          <t>Rep_02</t>
        </is>
      </c>
      <c r="G1172" t="n">
        <v>1.58</v>
      </c>
      <c r="H1172" t="inlineStr">
        <is>
          <t>Demo Completed</t>
        </is>
      </c>
      <c r="I1172" t="inlineStr">
        <is>
          <t>Lost</t>
        </is>
      </c>
      <c r="J1172" t="inlineStr">
        <is>
          <t>Budget Not Approved</t>
        </is>
      </c>
      <c r="K1172" t="n">
        <v>563.78</v>
      </c>
      <c r="L1172" t="inlineStr">
        <is>
          <t>2025-10-07 21:34:28.614426</t>
        </is>
      </c>
      <c r="M1172">
        <f>VLOOKUP(H1172,'Stage Order'!$A$2:$B$8,2,FALSE)</f>
        <v/>
      </c>
      <c r="N1172">
        <f>IF(G1172&lt;=1,"1. Under 1 hour",IF(G1172&lt;=24,"2. 1-24 hours",IF(G1172&lt;=72,"3. 1-3 days","4. Over 3 days")))</f>
        <v/>
      </c>
      <c r="O1172">
        <f>TEXT(B1172,"YYYY-MM")</f>
        <v/>
      </c>
    </row>
    <row r="1173">
      <c r="A1173" t="inlineStr">
        <is>
          <t>LD-301171</t>
        </is>
      </c>
      <c r="B1173" t="inlineStr">
        <is>
          <t>2025-03-07 16:52:00</t>
        </is>
      </c>
      <c r="C1173" t="inlineStr">
        <is>
          <t>Social Media</t>
        </is>
      </c>
      <c r="D1173" t="inlineStr">
        <is>
          <t>K-12 Math</t>
        </is>
      </c>
      <c r="E1173" t="inlineStr">
        <is>
          <t>North Region</t>
        </is>
      </c>
      <c r="F1173" t="inlineStr">
        <is>
          <t>Rep_06</t>
        </is>
      </c>
      <c r="G1173" t="n">
        <v>1.68</v>
      </c>
      <c r="H1173" t="inlineStr">
        <is>
          <t>Contacted</t>
        </is>
      </c>
      <c r="I1173" t="inlineStr">
        <is>
          <t>Open</t>
        </is>
      </c>
      <c r="M1173">
        <f>VLOOKUP(H1173,'Stage Order'!$A$2:$B$8,2,FALSE)</f>
        <v/>
      </c>
      <c r="N1173">
        <f>IF(G1173&lt;=1,"1. Under 1 hour",IF(G1173&lt;=24,"2. 1-24 hours",IF(G1173&lt;=72,"3. 1-3 days","4. Over 3 days")))</f>
        <v/>
      </c>
      <c r="O1173">
        <f>TEXT(B1173,"YYYY-MM")</f>
        <v/>
      </c>
    </row>
    <row r="1174">
      <c r="A1174" t="inlineStr">
        <is>
          <t>LD-301172</t>
        </is>
      </c>
      <c r="B1174" t="inlineStr">
        <is>
          <t>2025-10-29 13:10:00</t>
        </is>
      </c>
      <c r="C1174" t="inlineStr">
        <is>
          <t>Webinar</t>
        </is>
      </c>
      <c r="D1174" t="inlineStr">
        <is>
          <t>Coding for Kids</t>
        </is>
      </c>
      <c r="E1174" t="inlineStr">
        <is>
          <t>West Region</t>
        </is>
      </c>
      <c r="F1174" t="inlineStr">
        <is>
          <t>Rep_03</t>
        </is>
      </c>
      <c r="G1174" t="n">
        <v>8.210000000000001</v>
      </c>
      <c r="H1174" t="inlineStr">
        <is>
          <t>Contacted</t>
        </is>
      </c>
      <c r="I1174" t="inlineStr">
        <is>
          <t>Open</t>
        </is>
      </c>
      <c r="M1174">
        <f>VLOOKUP(H1174,'Stage Order'!$A$2:$B$8,2,FALSE)</f>
        <v/>
      </c>
      <c r="N1174">
        <f>IF(G1174&lt;=1,"1. Under 1 hour",IF(G1174&lt;=24,"2. 1-24 hours",IF(G1174&lt;=72,"3. 1-3 days","4. Over 3 days")))</f>
        <v/>
      </c>
      <c r="O1174">
        <f>TEXT(B1174,"YYYY-MM")</f>
        <v/>
      </c>
    </row>
    <row r="1175">
      <c r="A1175" t="inlineStr">
        <is>
          <t>LD-301173</t>
        </is>
      </c>
      <c r="B1175" t="inlineStr">
        <is>
          <t>2025-08-28 20:50:00</t>
        </is>
      </c>
      <c r="C1175" t="inlineStr">
        <is>
          <t>Organic Search</t>
        </is>
      </c>
      <c r="D1175" t="inlineStr">
        <is>
          <t>Competitive Exam Prep</t>
        </is>
      </c>
      <c r="E1175" t="inlineStr">
        <is>
          <t>South Region</t>
        </is>
      </c>
      <c r="F1175" t="inlineStr">
        <is>
          <t>Rep_12</t>
        </is>
      </c>
      <c r="G1175" t="n">
        <v>0.89</v>
      </c>
      <c r="H1175" t="inlineStr">
        <is>
          <t>Contacted</t>
        </is>
      </c>
      <c r="I1175" t="inlineStr">
        <is>
          <t>Open</t>
        </is>
      </c>
      <c r="M1175">
        <f>VLOOKUP(H1175,'Stage Order'!$A$2:$B$8,2,FALSE)</f>
        <v/>
      </c>
      <c r="N1175">
        <f>IF(G1175&lt;=1,"1. Under 1 hour",IF(G1175&lt;=24,"2. 1-24 hours",IF(G1175&lt;=72,"3. 1-3 days","4. Over 3 days")))</f>
        <v/>
      </c>
      <c r="O1175">
        <f>TEXT(B1175,"YYYY-MM")</f>
        <v/>
      </c>
    </row>
    <row r="1176">
      <c r="A1176" t="inlineStr">
        <is>
          <t>LD-301174</t>
        </is>
      </c>
      <c r="B1176" t="inlineStr">
        <is>
          <t>2025-10-13 14:47:00</t>
        </is>
      </c>
      <c r="C1176" t="inlineStr">
        <is>
          <t>Referral</t>
        </is>
      </c>
      <c r="D1176" t="inlineStr">
        <is>
          <t>Coding for Kids</t>
        </is>
      </c>
      <c r="E1176" t="inlineStr">
        <is>
          <t>North Region</t>
        </is>
      </c>
      <c r="F1176" t="inlineStr">
        <is>
          <t>Rep_06</t>
        </is>
      </c>
      <c r="G1176" t="n">
        <v>3.64</v>
      </c>
      <c r="H1176" t="inlineStr">
        <is>
          <t>Contacted</t>
        </is>
      </c>
      <c r="I1176" t="inlineStr">
        <is>
          <t>Open</t>
        </is>
      </c>
      <c r="M1176">
        <f>VLOOKUP(H1176,'Stage Order'!$A$2:$B$8,2,FALSE)</f>
        <v/>
      </c>
      <c r="N1176">
        <f>IF(G1176&lt;=1,"1. Under 1 hour",IF(G1176&lt;=24,"2. 1-24 hours",IF(G1176&lt;=72,"3. 1-3 days","4. Over 3 days")))</f>
        <v/>
      </c>
      <c r="O1176">
        <f>TEXT(B1176,"YYYY-MM")</f>
        <v/>
      </c>
    </row>
    <row r="1177">
      <c r="A1177" t="inlineStr">
        <is>
          <t>LD-301175</t>
        </is>
      </c>
      <c r="B1177" t="inlineStr">
        <is>
          <t>2025-06-11 20:41:00</t>
        </is>
      </c>
      <c r="C1177" t="inlineStr">
        <is>
          <t>Partner Channel</t>
        </is>
      </c>
      <c r="D1177" t="inlineStr">
        <is>
          <t>K-12 Math</t>
        </is>
      </c>
      <c r="E1177" t="inlineStr">
        <is>
          <t>South Region</t>
        </is>
      </c>
      <c r="F1177" t="inlineStr">
        <is>
          <t>Rep_07</t>
        </is>
      </c>
      <c r="G1177" t="n">
        <v>1.51</v>
      </c>
      <c r="H1177" t="inlineStr">
        <is>
          <t>Demo Completed</t>
        </is>
      </c>
      <c r="I1177" t="inlineStr">
        <is>
          <t>Lost</t>
        </is>
      </c>
      <c r="J1177" t="inlineStr">
        <is>
          <t>Price Objection</t>
        </is>
      </c>
      <c r="K1177" t="n">
        <v>539.87</v>
      </c>
      <c r="L1177" t="inlineStr">
        <is>
          <t>2025-07-06 01:38:57.601769</t>
        </is>
      </c>
      <c r="M1177">
        <f>VLOOKUP(H1177,'Stage Order'!$A$2:$B$8,2,FALSE)</f>
        <v/>
      </c>
      <c r="N1177">
        <f>IF(G1177&lt;=1,"1. Under 1 hour",IF(G1177&lt;=24,"2. 1-24 hours",IF(G1177&lt;=72,"3. 1-3 days","4. Over 3 days")))</f>
        <v/>
      </c>
      <c r="O1177">
        <f>TEXT(B1177,"YYYY-MM")</f>
        <v/>
      </c>
    </row>
    <row r="1178">
      <c r="A1178" t="inlineStr">
        <is>
          <t>LD-301176</t>
        </is>
      </c>
      <c r="B1178" t="inlineStr">
        <is>
          <t>2025-04-12 14:54:00</t>
        </is>
      </c>
      <c r="C1178" t="inlineStr">
        <is>
          <t>Cold Outreach</t>
        </is>
      </c>
      <c r="D1178" t="inlineStr">
        <is>
          <t>Competitive Exam Prep</t>
        </is>
      </c>
      <c r="E1178" t="inlineStr">
        <is>
          <t>North Region</t>
        </is>
      </c>
      <c r="F1178" t="inlineStr">
        <is>
          <t>Rep_11</t>
        </is>
      </c>
      <c r="G1178" t="n">
        <v>1.66</v>
      </c>
      <c r="H1178" t="inlineStr">
        <is>
          <t>Contacted</t>
        </is>
      </c>
      <c r="I1178" t="inlineStr">
        <is>
          <t>Open</t>
        </is>
      </c>
      <c r="M1178">
        <f>VLOOKUP(H1178,'Stage Order'!$A$2:$B$8,2,FALSE)</f>
        <v/>
      </c>
      <c r="N1178">
        <f>IF(G1178&lt;=1,"1. Under 1 hour",IF(G1178&lt;=24,"2. 1-24 hours",IF(G1178&lt;=72,"3. 1-3 days","4. Over 3 days")))</f>
        <v/>
      </c>
      <c r="O1178">
        <f>TEXT(B1178,"YYYY-MM")</f>
        <v/>
      </c>
    </row>
    <row r="1179">
      <c r="A1179" t="inlineStr">
        <is>
          <t>LD-301177</t>
        </is>
      </c>
      <c r="B1179" t="inlineStr">
        <is>
          <t>2025-07-18 13:51:00</t>
        </is>
      </c>
      <c r="C1179" t="inlineStr">
        <is>
          <t>Organic Search</t>
        </is>
      </c>
      <c r="D1179" t="inlineStr">
        <is>
          <t>K-12 Math</t>
        </is>
      </c>
      <c r="E1179" t="inlineStr">
        <is>
          <t>International</t>
        </is>
      </c>
      <c r="F1179" t="inlineStr">
        <is>
          <t>Rep_15</t>
        </is>
      </c>
      <c r="G1179" t="n">
        <v>5.64</v>
      </c>
      <c r="H1179" t="inlineStr">
        <is>
          <t>Contacted</t>
        </is>
      </c>
      <c r="I1179" t="inlineStr">
        <is>
          <t>Open</t>
        </is>
      </c>
      <c r="M1179">
        <f>VLOOKUP(H1179,'Stage Order'!$A$2:$B$8,2,FALSE)</f>
        <v/>
      </c>
      <c r="N1179">
        <f>IF(G1179&lt;=1,"1. Under 1 hour",IF(G1179&lt;=24,"2. 1-24 hours",IF(G1179&lt;=72,"3. 1-3 days","4. Over 3 days")))</f>
        <v/>
      </c>
      <c r="O1179">
        <f>TEXT(B1179,"YYYY-MM")</f>
        <v/>
      </c>
    </row>
    <row r="1180">
      <c r="A1180" t="inlineStr">
        <is>
          <t>LD-301178</t>
        </is>
      </c>
      <c r="B1180" t="inlineStr">
        <is>
          <t>2025-05-08 08:22:00</t>
        </is>
      </c>
      <c r="C1180" t="inlineStr">
        <is>
          <t>Referral</t>
        </is>
      </c>
      <c r="D1180" t="inlineStr">
        <is>
          <t>Coding for Kids</t>
        </is>
      </c>
      <c r="E1180" t="inlineStr">
        <is>
          <t>North Region</t>
        </is>
      </c>
      <c r="F1180" t="inlineStr">
        <is>
          <t>Rep_06</t>
        </is>
      </c>
      <c r="G1180" t="n">
        <v>2.89</v>
      </c>
      <c r="H1180" t="inlineStr">
        <is>
          <t>Negotiation</t>
        </is>
      </c>
      <c r="I1180" t="inlineStr">
        <is>
          <t>Lost</t>
        </is>
      </c>
      <c r="J1180" t="inlineStr">
        <is>
          <t>No Response / Ghosted</t>
        </is>
      </c>
      <c r="K1180" t="n">
        <v>551.55</v>
      </c>
      <c r="L1180" t="inlineStr">
        <is>
          <t>2025-05-31 16:44:34.691719</t>
        </is>
      </c>
      <c r="M1180">
        <f>VLOOKUP(H1180,'Stage Order'!$A$2:$B$8,2,FALSE)</f>
        <v/>
      </c>
      <c r="N1180">
        <f>IF(G1180&lt;=1,"1. Under 1 hour",IF(G1180&lt;=24,"2. 1-24 hours",IF(G1180&lt;=72,"3. 1-3 days","4. Over 3 days")))</f>
        <v/>
      </c>
      <c r="O1180">
        <f>TEXT(B1180,"YYYY-MM")</f>
        <v/>
      </c>
    </row>
    <row r="1181">
      <c r="A1181" t="inlineStr">
        <is>
          <t>LD-301179</t>
        </is>
      </c>
      <c r="B1181" t="inlineStr">
        <is>
          <t>2025-05-15 14:02:00</t>
        </is>
      </c>
      <c r="C1181" t="inlineStr">
        <is>
          <t>Webinar</t>
        </is>
      </c>
      <c r="D1181" t="inlineStr">
        <is>
          <t>Competitive Exam Prep</t>
        </is>
      </c>
      <c r="E1181" t="inlineStr">
        <is>
          <t>International</t>
        </is>
      </c>
      <c r="F1181" t="inlineStr">
        <is>
          <t>Rep_05</t>
        </is>
      </c>
      <c r="G1181" t="n">
        <v>0.85</v>
      </c>
      <c r="H1181" t="inlineStr">
        <is>
          <t>Negotiation</t>
        </is>
      </c>
      <c r="I1181" t="inlineStr">
        <is>
          <t>Lost</t>
        </is>
      </c>
      <c r="J1181" t="inlineStr">
        <is>
          <t>Price Objection</t>
        </is>
      </c>
      <c r="K1181" t="n">
        <v>815.01</v>
      </c>
      <c r="L1181" t="inlineStr">
        <is>
          <t>2025-07-03 10:04:53.346579</t>
        </is>
      </c>
      <c r="M1181">
        <f>VLOOKUP(H1181,'Stage Order'!$A$2:$B$8,2,FALSE)</f>
        <v/>
      </c>
      <c r="N1181">
        <f>IF(G1181&lt;=1,"1. Under 1 hour",IF(G1181&lt;=24,"2. 1-24 hours",IF(G1181&lt;=72,"3. 1-3 days","4. Over 3 days")))</f>
        <v/>
      </c>
      <c r="O1181">
        <f>TEXT(B1181,"YYYY-MM")</f>
        <v/>
      </c>
    </row>
    <row r="1182">
      <c r="A1182" t="inlineStr">
        <is>
          <t>LD-301180</t>
        </is>
      </c>
      <c r="B1182" t="inlineStr">
        <is>
          <t>2025-06-25 15:46:00</t>
        </is>
      </c>
      <c r="C1182" t="inlineStr">
        <is>
          <t>Webinar</t>
        </is>
      </c>
      <c r="D1182" t="inlineStr">
        <is>
          <t>K-12 Math</t>
        </is>
      </c>
      <c r="E1182" t="inlineStr">
        <is>
          <t>South Region</t>
        </is>
      </c>
      <c r="F1182" t="inlineStr">
        <is>
          <t>Rep_07</t>
        </is>
      </c>
      <c r="G1182" t="n">
        <v>6.8</v>
      </c>
      <c r="H1182" t="inlineStr">
        <is>
          <t>Contacted</t>
        </is>
      </c>
      <c r="I1182" t="inlineStr">
        <is>
          <t>Open</t>
        </is>
      </c>
      <c r="M1182">
        <f>VLOOKUP(H1182,'Stage Order'!$A$2:$B$8,2,FALSE)</f>
        <v/>
      </c>
      <c r="N1182">
        <f>IF(G1182&lt;=1,"1. Under 1 hour",IF(G1182&lt;=24,"2. 1-24 hours",IF(G1182&lt;=72,"3. 1-3 days","4. Over 3 days")))</f>
        <v/>
      </c>
      <c r="O1182">
        <f>TEXT(B1182,"YYYY-MM")</f>
        <v/>
      </c>
    </row>
    <row r="1183">
      <c r="A1183" t="inlineStr">
        <is>
          <t>LD-301181</t>
        </is>
      </c>
      <c r="B1183" t="inlineStr">
        <is>
          <t>2025-03-27 20:02:00</t>
        </is>
      </c>
      <c r="C1183" t="inlineStr">
        <is>
          <t>Organic Search</t>
        </is>
      </c>
      <c r="D1183" t="inlineStr">
        <is>
          <t>K-12 Math</t>
        </is>
      </c>
      <c r="E1183" t="inlineStr">
        <is>
          <t>International</t>
        </is>
      </c>
      <c r="F1183" t="inlineStr">
        <is>
          <t>Rep_05</t>
        </is>
      </c>
      <c r="G1183" t="n">
        <v>2.95</v>
      </c>
      <c r="H1183" t="inlineStr">
        <is>
          <t>Contacted</t>
        </is>
      </c>
      <c r="I1183" t="inlineStr">
        <is>
          <t>Open</t>
        </is>
      </c>
      <c r="M1183">
        <f>VLOOKUP(H1183,'Stage Order'!$A$2:$B$8,2,FALSE)</f>
        <v/>
      </c>
      <c r="N1183">
        <f>IF(G1183&lt;=1,"1. Under 1 hour",IF(G1183&lt;=24,"2. 1-24 hours",IF(G1183&lt;=72,"3. 1-3 days","4. Over 3 days")))</f>
        <v/>
      </c>
      <c r="O1183">
        <f>TEXT(B1183,"YYYY-MM")</f>
        <v/>
      </c>
    </row>
    <row r="1184">
      <c r="A1184" t="inlineStr">
        <is>
          <t>LD-301182</t>
        </is>
      </c>
      <c r="B1184" t="inlineStr">
        <is>
          <t>2025-05-31 15:43:00</t>
        </is>
      </c>
      <c r="C1184" t="inlineStr">
        <is>
          <t>Social Media</t>
        </is>
      </c>
      <c r="D1184" t="inlineStr">
        <is>
          <t>K-12 Math</t>
        </is>
      </c>
      <c r="E1184" t="inlineStr">
        <is>
          <t>South Region</t>
        </is>
      </c>
      <c r="F1184" t="inlineStr">
        <is>
          <t>Rep_12</t>
        </is>
      </c>
      <c r="G1184" t="n">
        <v>1.41</v>
      </c>
      <c r="H1184" t="inlineStr">
        <is>
          <t>Contacted</t>
        </is>
      </c>
      <c r="I1184" t="inlineStr">
        <is>
          <t>Open</t>
        </is>
      </c>
      <c r="M1184">
        <f>VLOOKUP(H1184,'Stage Order'!$A$2:$B$8,2,FALSE)</f>
        <v/>
      </c>
      <c r="N1184">
        <f>IF(G1184&lt;=1,"1. Under 1 hour",IF(G1184&lt;=24,"2. 1-24 hours",IF(G1184&lt;=72,"3. 1-3 days","4. Over 3 days")))</f>
        <v/>
      </c>
      <c r="O1184">
        <f>TEXT(B1184,"YYYY-MM")</f>
        <v/>
      </c>
    </row>
    <row r="1185">
      <c r="A1185" t="inlineStr">
        <is>
          <t>LD-301183</t>
        </is>
      </c>
      <c r="B1185" t="inlineStr">
        <is>
          <t>2025-10-09 09:05:00</t>
        </is>
      </c>
      <c r="C1185" t="inlineStr">
        <is>
          <t>Social Media</t>
        </is>
      </c>
      <c r="D1185" t="inlineStr">
        <is>
          <t>K-12 Math</t>
        </is>
      </c>
      <c r="E1185" t="inlineStr">
        <is>
          <t>East Region</t>
        </is>
      </c>
      <c r="F1185" t="inlineStr">
        <is>
          <t>Rep_09</t>
        </is>
      </c>
      <c r="G1185" t="n">
        <v>1.91</v>
      </c>
      <c r="H1185" t="inlineStr">
        <is>
          <t>Lead</t>
        </is>
      </c>
      <c r="I1185" t="inlineStr">
        <is>
          <t>Open</t>
        </is>
      </c>
      <c r="M1185">
        <f>VLOOKUP(H1185,'Stage Order'!$A$2:$B$8,2,FALSE)</f>
        <v/>
      </c>
      <c r="N1185">
        <f>IF(G1185&lt;=1,"1. Under 1 hour",IF(G1185&lt;=24,"2. 1-24 hours",IF(G1185&lt;=72,"3. 1-3 days","4. Over 3 days")))</f>
        <v/>
      </c>
      <c r="O1185">
        <f>TEXT(B1185,"YYYY-MM")</f>
        <v/>
      </c>
    </row>
    <row r="1186">
      <c r="A1186" t="inlineStr">
        <is>
          <t>LD-301184</t>
        </is>
      </c>
      <c r="B1186" t="inlineStr">
        <is>
          <t>2025-09-05 07:37:00</t>
        </is>
      </c>
      <c r="C1186" t="inlineStr">
        <is>
          <t>Social Media</t>
        </is>
      </c>
      <c r="D1186" t="inlineStr">
        <is>
          <t>Competitive Exam Prep</t>
        </is>
      </c>
      <c r="E1186" t="inlineStr">
        <is>
          <t>International</t>
        </is>
      </c>
      <c r="F1186" t="inlineStr">
        <is>
          <t>Rep_05</t>
        </is>
      </c>
      <c r="G1186" t="n">
        <v>3.12</v>
      </c>
      <c r="H1186" t="inlineStr">
        <is>
          <t>Lead</t>
        </is>
      </c>
      <c r="I1186" t="inlineStr">
        <is>
          <t>Open</t>
        </is>
      </c>
      <c r="M1186">
        <f>VLOOKUP(H1186,'Stage Order'!$A$2:$B$8,2,FALSE)</f>
        <v/>
      </c>
      <c r="N1186">
        <f>IF(G1186&lt;=1,"1. Under 1 hour",IF(G1186&lt;=24,"2. 1-24 hours",IF(G1186&lt;=72,"3. 1-3 days","4. Over 3 days")))</f>
        <v/>
      </c>
      <c r="O1186">
        <f>TEXT(B1186,"YYYY-MM")</f>
        <v/>
      </c>
    </row>
    <row r="1187">
      <c r="A1187" t="inlineStr">
        <is>
          <t>LD-301185</t>
        </is>
      </c>
      <c r="B1187" t="inlineStr">
        <is>
          <t>2025-06-29 17:10:00</t>
        </is>
      </c>
      <c r="C1187" t="inlineStr">
        <is>
          <t>Cold Outreach</t>
        </is>
      </c>
      <c r="D1187" t="inlineStr">
        <is>
          <t>Language Learning</t>
        </is>
      </c>
      <c r="E1187" t="inlineStr">
        <is>
          <t>North Region</t>
        </is>
      </c>
      <c r="F1187" t="inlineStr">
        <is>
          <t>Rep_11</t>
        </is>
      </c>
      <c r="G1187" t="n">
        <v>3.54</v>
      </c>
      <c r="H1187" t="inlineStr">
        <is>
          <t>Lead</t>
        </is>
      </c>
      <c r="I1187" t="inlineStr">
        <is>
          <t>Open</t>
        </is>
      </c>
      <c r="M1187">
        <f>VLOOKUP(H1187,'Stage Order'!$A$2:$B$8,2,FALSE)</f>
        <v/>
      </c>
      <c r="N1187">
        <f>IF(G1187&lt;=1,"1. Under 1 hour",IF(G1187&lt;=24,"2. 1-24 hours",IF(G1187&lt;=72,"3. 1-3 days","4. Over 3 days")))</f>
        <v/>
      </c>
      <c r="O1187">
        <f>TEXT(B1187,"YYYY-MM")</f>
        <v/>
      </c>
    </row>
    <row r="1188">
      <c r="A1188" t="inlineStr">
        <is>
          <t>LD-301186</t>
        </is>
      </c>
      <c r="B1188" t="inlineStr">
        <is>
          <t>2025-01-08 14:11:00</t>
        </is>
      </c>
      <c r="C1188" t="inlineStr">
        <is>
          <t>Paid Search</t>
        </is>
      </c>
      <c r="D1188" t="inlineStr">
        <is>
          <t>K-12 Math</t>
        </is>
      </c>
      <c r="E1188" t="inlineStr">
        <is>
          <t>International</t>
        </is>
      </c>
      <c r="F1188" t="inlineStr">
        <is>
          <t>Rep_10</t>
        </is>
      </c>
      <c r="G1188" t="n">
        <v>5.48</v>
      </c>
      <c r="H1188" t="inlineStr">
        <is>
          <t>Contacted</t>
        </is>
      </c>
      <c r="I1188" t="inlineStr">
        <is>
          <t>Open</t>
        </is>
      </c>
      <c r="M1188">
        <f>VLOOKUP(H1188,'Stage Order'!$A$2:$B$8,2,FALSE)</f>
        <v/>
      </c>
      <c r="N1188">
        <f>IF(G1188&lt;=1,"1. Under 1 hour",IF(G1188&lt;=24,"2. 1-24 hours",IF(G1188&lt;=72,"3. 1-3 days","4. Over 3 days")))</f>
        <v/>
      </c>
      <c r="O1188">
        <f>TEXT(B1188,"YYYY-MM")</f>
        <v/>
      </c>
    </row>
    <row r="1189">
      <c r="A1189" t="inlineStr">
        <is>
          <t>LD-301187</t>
        </is>
      </c>
      <c r="B1189" t="inlineStr">
        <is>
          <t>2026-01-07 07:31:00</t>
        </is>
      </c>
      <c r="C1189" t="inlineStr">
        <is>
          <t>Organic Search</t>
        </is>
      </c>
      <c r="D1189" t="inlineStr">
        <is>
          <t>K-12 Math</t>
        </is>
      </c>
      <c r="E1189" t="inlineStr">
        <is>
          <t>International</t>
        </is>
      </c>
      <c r="F1189" t="inlineStr">
        <is>
          <t>Rep_15</t>
        </is>
      </c>
      <c r="G1189" t="n">
        <v>2.68</v>
      </c>
      <c r="H1189" t="inlineStr">
        <is>
          <t>Lead</t>
        </is>
      </c>
      <c r="I1189" t="inlineStr">
        <is>
          <t>Open</t>
        </is>
      </c>
      <c r="M1189">
        <f>VLOOKUP(H1189,'Stage Order'!$A$2:$B$8,2,FALSE)</f>
        <v/>
      </c>
      <c r="N1189">
        <f>IF(G1189&lt;=1,"1. Under 1 hour",IF(G1189&lt;=24,"2. 1-24 hours",IF(G1189&lt;=72,"3. 1-3 days","4. Over 3 days")))</f>
        <v/>
      </c>
      <c r="O1189">
        <f>TEXT(B1189,"YYYY-MM")</f>
        <v/>
      </c>
    </row>
    <row r="1190">
      <c r="A1190" t="inlineStr">
        <is>
          <t>LD-301188</t>
        </is>
      </c>
      <c r="B1190" t="inlineStr">
        <is>
          <t>2025-01-19 10:46:00</t>
        </is>
      </c>
      <c r="C1190" t="inlineStr">
        <is>
          <t>Paid Search</t>
        </is>
      </c>
      <c r="D1190" t="inlineStr">
        <is>
          <t>Language Learning</t>
        </is>
      </c>
      <c r="E1190" t="inlineStr">
        <is>
          <t>East Region</t>
        </is>
      </c>
      <c r="F1190" t="inlineStr">
        <is>
          <t>Rep_09</t>
        </is>
      </c>
      <c r="G1190" t="n">
        <v>2.21</v>
      </c>
      <c r="H1190" t="inlineStr">
        <is>
          <t>Proposal Sent</t>
        </is>
      </c>
      <c r="I1190" t="inlineStr">
        <is>
          <t>Lost</t>
        </is>
      </c>
      <c r="J1190" t="inlineStr">
        <is>
          <t>Price Objection</t>
        </is>
      </c>
      <c r="K1190" t="n">
        <v>386.65</v>
      </c>
      <c r="L1190" t="inlineStr">
        <is>
          <t>2025-03-05 15:39:15.850720</t>
        </is>
      </c>
      <c r="M1190">
        <f>VLOOKUP(H1190,'Stage Order'!$A$2:$B$8,2,FALSE)</f>
        <v/>
      </c>
      <c r="N1190">
        <f>IF(G1190&lt;=1,"1. Under 1 hour",IF(G1190&lt;=24,"2. 1-24 hours",IF(G1190&lt;=72,"3. 1-3 days","4. Over 3 days")))</f>
        <v/>
      </c>
      <c r="O1190">
        <f>TEXT(B1190,"YYYY-MM")</f>
        <v/>
      </c>
    </row>
    <row r="1191">
      <c r="A1191" t="inlineStr">
        <is>
          <t>LD-301189</t>
        </is>
      </c>
      <c r="B1191" t="inlineStr">
        <is>
          <t>2025-12-19 20:38:00</t>
        </is>
      </c>
      <c r="C1191" t="inlineStr">
        <is>
          <t>Paid Search</t>
        </is>
      </c>
      <c r="D1191" t="inlineStr">
        <is>
          <t>Coding for Kids</t>
        </is>
      </c>
      <c r="E1191" t="inlineStr">
        <is>
          <t>South Region</t>
        </is>
      </c>
      <c r="F1191" t="inlineStr">
        <is>
          <t>Rep_07</t>
        </is>
      </c>
      <c r="G1191" t="n">
        <v>1.75</v>
      </c>
      <c r="H1191" t="inlineStr">
        <is>
          <t>Contacted</t>
        </is>
      </c>
      <c r="I1191" t="inlineStr">
        <is>
          <t>Open</t>
        </is>
      </c>
      <c r="M1191">
        <f>VLOOKUP(H1191,'Stage Order'!$A$2:$B$8,2,FALSE)</f>
        <v/>
      </c>
      <c r="N1191">
        <f>IF(G1191&lt;=1,"1. Under 1 hour",IF(G1191&lt;=24,"2. 1-24 hours",IF(G1191&lt;=72,"3. 1-3 days","4. Over 3 days")))</f>
        <v/>
      </c>
      <c r="O1191">
        <f>TEXT(B1191,"YYYY-MM")</f>
        <v/>
      </c>
    </row>
    <row r="1192">
      <c r="A1192" t="inlineStr">
        <is>
          <t>LD-301190</t>
        </is>
      </c>
      <c r="B1192" t="inlineStr">
        <is>
          <t>2026-05-18 16:20:00</t>
        </is>
      </c>
      <c r="C1192" t="inlineStr">
        <is>
          <t>Referral</t>
        </is>
      </c>
      <c r="D1192" t="inlineStr">
        <is>
          <t>K-12 Math</t>
        </is>
      </c>
      <c r="E1192" t="inlineStr">
        <is>
          <t>East Region</t>
        </is>
      </c>
      <c r="F1192" t="inlineStr">
        <is>
          <t>Rep_04</t>
        </is>
      </c>
      <c r="G1192" t="n">
        <v>4.8</v>
      </c>
      <c r="H1192" t="inlineStr">
        <is>
          <t>Contacted</t>
        </is>
      </c>
      <c r="I1192" t="inlineStr">
        <is>
          <t>Open</t>
        </is>
      </c>
      <c r="M1192">
        <f>VLOOKUP(H1192,'Stage Order'!$A$2:$B$8,2,FALSE)</f>
        <v/>
      </c>
      <c r="N1192">
        <f>IF(G1192&lt;=1,"1. Under 1 hour",IF(G1192&lt;=24,"2. 1-24 hours",IF(G1192&lt;=72,"3. 1-3 days","4. Over 3 days")))</f>
        <v/>
      </c>
      <c r="O1192">
        <f>TEXT(B1192,"YYYY-MM")</f>
        <v/>
      </c>
    </row>
    <row r="1193">
      <c r="A1193" t="inlineStr">
        <is>
          <t>LD-301191</t>
        </is>
      </c>
      <c r="B1193" t="inlineStr">
        <is>
          <t>2025-06-19 17:11:00</t>
        </is>
      </c>
      <c r="C1193" t="inlineStr">
        <is>
          <t>Referral</t>
        </is>
      </c>
      <c r="D1193" t="inlineStr">
        <is>
          <t>K-12 Math</t>
        </is>
      </c>
      <c r="E1193" t="inlineStr">
        <is>
          <t>West Region</t>
        </is>
      </c>
      <c r="F1193" t="inlineStr">
        <is>
          <t>Rep_13</t>
        </is>
      </c>
      <c r="G1193" t="n">
        <v>22.65</v>
      </c>
      <c r="H1193" t="inlineStr">
        <is>
          <t>Contacted</t>
        </is>
      </c>
      <c r="I1193" t="inlineStr">
        <is>
          <t>Open</t>
        </is>
      </c>
      <c r="M1193">
        <f>VLOOKUP(H1193,'Stage Order'!$A$2:$B$8,2,FALSE)</f>
        <v/>
      </c>
      <c r="N1193">
        <f>IF(G1193&lt;=1,"1. Under 1 hour",IF(G1193&lt;=24,"2. 1-24 hours",IF(G1193&lt;=72,"3. 1-3 days","4. Over 3 days")))</f>
        <v/>
      </c>
      <c r="O1193">
        <f>TEXT(B1193,"YYYY-MM")</f>
        <v/>
      </c>
    </row>
    <row r="1194">
      <c r="A1194" t="inlineStr">
        <is>
          <t>LD-301192</t>
        </is>
      </c>
      <c r="B1194" t="inlineStr">
        <is>
          <t>2025-09-16 19:25:00</t>
        </is>
      </c>
      <c r="C1194" t="inlineStr">
        <is>
          <t>Cold Outreach</t>
        </is>
      </c>
      <c r="D1194" t="inlineStr">
        <is>
          <t>K-12 Math</t>
        </is>
      </c>
      <c r="E1194" t="inlineStr">
        <is>
          <t>North Region</t>
        </is>
      </c>
      <c r="F1194" t="inlineStr">
        <is>
          <t>Rep_06</t>
        </is>
      </c>
      <c r="G1194" t="n">
        <v>3.27</v>
      </c>
      <c r="H1194" t="inlineStr">
        <is>
          <t>Lead</t>
        </is>
      </c>
      <c r="I1194" t="inlineStr">
        <is>
          <t>Open</t>
        </is>
      </c>
      <c r="M1194">
        <f>VLOOKUP(H1194,'Stage Order'!$A$2:$B$8,2,FALSE)</f>
        <v/>
      </c>
      <c r="N1194">
        <f>IF(G1194&lt;=1,"1. Under 1 hour",IF(G1194&lt;=24,"2. 1-24 hours",IF(G1194&lt;=72,"3. 1-3 days","4. Over 3 days")))</f>
        <v/>
      </c>
      <c r="O1194">
        <f>TEXT(B1194,"YYYY-MM")</f>
        <v/>
      </c>
    </row>
    <row r="1195">
      <c r="A1195" t="inlineStr">
        <is>
          <t>LD-301193</t>
        </is>
      </c>
      <c r="B1195" t="inlineStr">
        <is>
          <t>2025-09-26 16:58:00</t>
        </is>
      </c>
      <c r="C1195" t="inlineStr">
        <is>
          <t>Social Media</t>
        </is>
      </c>
      <c r="D1195" t="inlineStr">
        <is>
          <t>Language Learning</t>
        </is>
      </c>
      <c r="E1195" t="inlineStr">
        <is>
          <t>West Region</t>
        </is>
      </c>
      <c r="F1195" t="inlineStr">
        <is>
          <t>Rep_03</t>
        </is>
      </c>
      <c r="G1195" t="n">
        <v>4.1</v>
      </c>
      <c r="H1195" t="inlineStr">
        <is>
          <t>Contacted</t>
        </is>
      </c>
      <c r="I1195" t="inlineStr">
        <is>
          <t>Open</t>
        </is>
      </c>
      <c r="M1195">
        <f>VLOOKUP(H1195,'Stage Order'!$A$2:$B$8,2,FALSE)</f>
        <v/>
      </c>
      <c r="N1195">
        <f>IF(G1195&lt;=1,"1. Under 1 hour",IF(G1195&lt;=24,"2. 1-24 hours",IF(G1195&lt;=72,"3. 1-3 days","4. Over 3 days")))</f>
        <v/>
      </c>
      <c r="O1195">
        <f>TEXT(B1195,"YYYY-MM")</f>
        <v/>
      </c>
    </row>
    <row r="1196">
      <c r="A1196" t="inlineStr">
        <is>
          <t>LD-301194</t>
        </is>
      </c>
      <c r="B1196" t="inlineStr">
        <is>
          <t>2025-03-12 10:14:00</t>
        </is>
      </c>
      <c r="C1196" t="inlineStr">
        <is>
          <t>Social Media</t>
        </is>
      </c>
      <c r="D1196" t="inlineStr">
        <is>
          <t>Coding for Kids</t>
        </is>
      </c>
      <c r="E1196" t="inlineStr">
        <is>
          <t>International</t>
        </is>
      </c>
      <c r="F1196" t="inlineStr">
        <is>
          <t>Rep_15</t>
        </is>
      </c>
      <c r="G1196" t="n">
        <v>2.08</v>
      </c>
      <c r="H1196" t="inlineStr">
        <is>
          <t>Contacted</t>
        </is>
      </c>
      <c r="I1196" t="inlineStr">
        <is>
          <t>Open</t>
        </is>
      </c>
      <c r="M1196">
        <f>VLOOKUP(H1196,'Stage Order'!$A$2:$B$8,2,FALSE)</f>
        <v/>
      </c>
      <c r="N1196">
        <f>IF(G1196&lt;=1,"1. Under 1 hour",IF(G1196&lt;=24,"2. 1-24 hours",IF(G1196&lt;=72,"3. 1-3 days","4. Over 3 days")))</f>
        <v/>
      </c>
      <c r="O1196">
        <f>TEXT(B1196,"YYYY-MM")</f>
        <v/>
      </c>
    </row>
    <row r="1197">
      <c r="A1197" t="inlineStr">
        <is>
          <t>LD-301195</t>
        </is>
      </c>
      <c r="B1197" t="inlineStr">
        <is>
          <t>2025-10-31 16:03:00</t>
        </is>
      </c>
      <c r="C1197" t="inlineStr">
        <is>
          <t>Cold Outreach</t>
        </is>
      </c>
      <c r="D1197" t="inlineStr">
        <is>
          <t>Language Learning</t>
        </is>
      </c>
      <c r="E1197" t="inlineStr">
        <is>
          <t>North Region</t>
        </is>
      </c>
      <c r="F1197" t="inlineStr">
        <is>
          <t>Rep_01</t>
        </is>
      </c>
      <c r="G1197" t="n">
        <v>0.73</v>
      </c>
      <c r="H1197" t="inlineStr">
        <is>
          <t>Lead</t>
        </is>
      </c>
      <c r="I1197" t="inlineStr">
        <is>
          <t>Open</t>
        </is>
      </c>
      <c r="M1197">
        <f>VLOOKUP(H1197,'Stage Order'!$A$2:$B$8,2,FALSE)</f>
        <v/>
      </c>
      <c r="N1197">
        <f>IF(G1197&lt;=1,"1. Under 1 hour",IF(G1197&lt;=24,"2. 1-24 hours",IF(G1197&lt;=72,"3. 1-3 days","4. Over 3 days")))</f>
        <v/>
      </c>
      <c r="O1197">
        <f>TEXT(B1197,"YYYY-MM")</f>
        <v/>
      </c>
    </row>
    <row r="1198">
      <c r="A1198" t="inlineStr">
        <is>
          <t>LD-301196</t>
        </is>
      </c>
      <c r="B1198" t="inlineStr">
        <is>
          <t>2025-11-07 15:58:00</t>
        </is>
      </c>
      <c r="C1198" t="inlineStr">
        <is>
          <t>Partner Channel</t>
        </is>
      </c>
      <c r="D1198" t="inlineStr">
        <is>
          <t>Competitive Exam Prep</t>
        </is>
      </c>
      <c r="E1198" t="inlineStr">
        <is>
          <t>North Region</t>
        </is>
      </c>
      <c r="F1198" t="inlineStr">
        <is>
          <t>Rep_11</t>
        </is>
      </c>
      <c r="G1198" t="n">
        <v>1.69</v>
      </c>
      <c r="H1198" t="inlineStr">
        <is>
          <t>Contacted</t>
        </is>
      </c>
      <c r="I1198" t="inlineStr">
        <is>
          <t>Open</t>
        </is>
      </c>
      <c r="M1198">
        <f>VLOOKUP(H1198,'Stage Order'!$A$2:$B$8,2,FALSE)</f>
        <v/>
      </c>
      <c r="N1198">
        <f>IF(G1198&lt;=1,"1. Under 1 hour",IF(G1198&lt;=24,"2. 1-24 hours",IF(G1198&lt;=72,"3. 1-3 days","4. Over 3 days")))</f>
        <v/>
      </c>
      <c r="O1198">
        <f>TEXT(B1198,"YYYY-MM")</f>
        <v/>
      </c>
    </row>
    <row r="1199">
      <c r="A1199" t="inlineStr">
        <is>
          <t>LD-301197</t>
        </is>
      </c>
      <c r="B1199" t="inlineStr">
        <is>
          <t>2025-02-14 16:55:00</t>
        </is>
      </c>
      <c r="C1199" t="inlineStr">
        <is>
          <t>Organic Search</t>
        </is>
      </c>
      <c r="D1199" t="inlineStr">
        <is>
          <t>Coding for Kids</t>
        </is>
      </c>
      <c r="E1199" t="inlineStr">
        <is>
          <t>North Region</t>
        </is>
      </c>
      <c r="F1199" t="inlineStr">
        <is>
          <t>Rep_11</t>
        </is>
      </c>
      <c r="G1199" t="n">
        <v>2.72</v>
      </c>
      <c r="H1199" t="inlineStr">
        <is>
          <t>Contacted</t>
        </is>
      </c>
      <c r="I1199" t="inlineStr">
        <is>
          <t>Open</t>
        </is>
      </c>
      <c r="M1199">
        <f>VLOOKUP(H1199,'Stage Order'!$A$2:$B$8,2,FALSE)</f>
        <v/>
      </c>
      <c r="N1199">
        <f>IF(G1199&lt;=1,"1. Under 1 hour",IF(G1199&lt;=24,"2. 1-24 hours",IF(G1199&lt;=72,"3. 1-3 days","4. Over 3 days")))</f>
        <v/>
      </c>
      <c r="O1199">
        <f>TEXT(B1199,"YYYY-MM")</f>
        <v/>
      </c>
    </row>
    <row r="1200">
      <c r="A1200" t="inlineStr">
        <is>
          <t>LD-301198</t>
        </is>
      </c>
      <c r="B1200" t="inlineStr">
        <is>
          <t>2025-07-22 18:46:00</t>
        </is>
      </c>
      <c r="C1200" t="inlineStr">
        <is>
          <t>Paid Search</t>
        </is>
      </c>
      <c r="D1200" t="inlineStr">
        <is>
          <t>Coding for Kids</t>
        </is>
      </c>
      <c r="E1200" t="inlineStr">
        <is>
          <t>West Region</t>
        </is>
      </c>
      <c r="F1200" t="inlineStr">
        <is>
          <t>Rep_13</t>
        </is>
      </c>
      <c r="G1200" t="n">
        <v>1.75</v>
      </c>
      <c r="H1200" t="inlineStr">
        <is>
          <t>Closed</t>
        </is>
      </c>
      <c r="I1200" t="inlineStr">
        <is>
          <t>Won</t>
        </is>
      </c>
      <c r="K1200" t="n">
        <v>719.46</v>
      </c>
      <c r="L1200" t="inlineStr">
        <is>
          <t>2025-09-05 00:28:49.484903</t>
        </is>
      </c>
      <c r="M1200">
        <f>VLOOKUP(H1200,'Stage Order'!$A$2:$B$8,2,FALSE)</f>
        <v/>
      </c>
      <c r="N1200">
        <f>IF(G1200&lt;=1,"1. Under 1 hour",IF(G1200&lt;=24,"2. 1-24 hours",IF(G1200&lt;=72,"3. 1-3 days","4. Over 3 days")))</f>
        <v/>
      </c>
      <c r="O1200">
        <f>TEXT(B1200,"YYYY-MM")</f>
        <v/>
      </c>
    </row>
    <row r="1201">
      <c r="A1201" t="inlineStr">
        <is>
          <t>LD-301199</t>
        </is>
      </c>
      <c r="B1201" t="inlineStr">
        <is>
          <t>2025-11-28 12:57:00</t>
        </is>
      </c>
      <c r="C1201" t="inlineStr">
        <is>
          <t>Partner Channel</t>
        </is>
      </c>
      <c r="D1201" t="inlineStr">
        <is>
          <t>Competitive Exam Prep</t>
        </is>
      </c>
      <c r="E1201" t="inlineStr">
        <is>
          <t>South Region</t>
        </is>
      </c>
      <c r="F1201" t="inlineStr">
        <is>
          <t>Rep_07</t>
        </is>
      </c>
      <c r="G1201" t="n">
        <v>10.79</v>
      </c>
      <c r="H1201" t="inlineStr">
        <is>
          <t>Contacted</t>
        </is>
      </c>
      <c r="I1201" t="inlineStr">
        <is>
          <t>Open</t>
        </is>
      </c>
      <c r="M1201">
        <f>VLOOKUP(H1201,'Stage Order'!$A$2:$B$8,2,FALSE)</f>
        <v/>
      </c>
      <c r="N1201">
        <f>IF(G1201&lt;=1,"1. Under 1 hour",IF(G1201&lt;=24,"2. 1-24 hours",IF(G1201&lt;=72,"3. 1-3 days","4. Over 3 days")))</f>
        <v/>
      </c>
      <c r="O1201">
        <f>TEXT(B1201,"YYYY-MM")</f>
        <v/>
      </c>
    </row>
    <row r="1202">
      <c r="A1202" t="inlineStr">
        <is>
          <t>LD-301200</t>
        </is>
      </c>
      <c r="B1202" t="inlineStr">
        <is>
          <t>2026-01-17 10:43:00</t>
        </is>
      </c>
      <c r="C1202" t="inlineStr">
        <is>
          <t>Paid Search</t>
        </is>
      </c>
      <c r="D1202" t="inlineStr">
        <is>
          <t>Competitive Exam Prep</t>
        </is>
      </c>
      <c r="E1202" t="inlineStr">
        <is>
          <t>North Region</t>
        </is>
      </c>
      <c r="F1202" t="inlineStr">
        <is>
          <t>Rep_06</t>
        </is>
      </c>
      <c r="G1202" t="n">
        <v>8.09</v>
      </c>
      <c r="H1202" t="inlineStr">
        <is>
          <t>Contacted</t>
        </is>
      </c>
      <c r="I1202" t="inlineStr">
        <is>
          <t>Open</t>
        </is>
      </c>
      <c r="M1202">
        <f>VLOOKUP(H1202,'Stage Order'!$A$2:$B$8,2,FALSE)</f>
        <v/>
      </c>
      <c r="N1202">
        <f>IF(G1202&lt;=1,"1. Under 1 hour",IF(G1202&lt;=24,"2. 1-24 hours",IF(G1202&lt;=72,"3. 1-3 days","4. Over 3 days")))</f>
        <v/>
      </c>
      <c r="O1202">
        <f>TEXT(B1202,"YYYY-MM")</f>
        <v/>
      </c>
    </row>
    <row r="1203">
      <c r="A1203" t="inlineStr">
        <is>
          <t>LD-301201</t>
        </is>
      </c>
      <c r="B1203" t="inlineStr">
        <is>
          <t>2026-01-24 09:35:00</t>
        </is>
      </c>
      <c r="C1203" t="inlineStr">
        <is>
          <t>Webinar</t>
        </is>
      </c>
      <c r="D1203" t="inlineStr">
        <is>
          <t>Competitive Exam Prep</t>
        </is>
      </c>
      <c r="E1203" t="inlineStr">
        <is>
          <t>North Region</t>
        </is>
      </c>
      <c r="F1203" t="inlineStr">
        <is>
          <t>Rep_06</t>
        </is>
      </c>
      <c r="G1203" t="n">
        <v>13.78</v>
      </c>
      <c r="H1203" t="inlineStr">
        <is>
          <t>Proposal Sent</t>
        </is>
      </c>
      <c r="I1203" t="inlineStr">
        <is>
          <t>Lost</t>
        </is>
      </c>
      <c r="J1203" t="inlineStr">
        <is>
          <t>Budget Not Approved</t>
        </is>
      </c>
      <c r="K1203" t="n">
        <v>1050.56</v>
      </c>
      <c r="L1203" t="inlineStr">
        <is>
          <t>2026-03-09 09:00:17.272284</t>
        </is>
      </c>
      <c r="M1203">
        <f>VLOOKUP(H1203,'Stage Order'!$A$2:$B$8,2,FALSE)</f>
        <v/>
      </c>
      <c r="N1203">
        <f>IF(G1203&lt;=1,"1. Under 1 hour",IF(G1203&lt;=24,"2. 1-24 hours",IF(G1203&lt;=72,"3. 1-3 days","4. Over 3 days")))</f>
        <v/>
      </c>
      <c r="O1203">
        <f>TEXT(B1203,"YYYY-MM")</f>
        <v/>
      </c>
    </row>
    <row r="1204">
      <c r="A1204" t="inlineStr">
        <is>
          <t>LD-301202</t>
        </is>
      </c>
      <c r="B1204" t="inlineStr">
        <is>
          <t>2025-06-26 18:20:00</t>
        </is>
      </c>
      <c r="C1204" t="inlineStr">
        <is>
          <t>Organic Search</t>
        </is>
      </c>
      <c r="D1204" t="inlineStr">
        <is>
          <t>Language Learning</t>
        </is>
      </c>
      <c r="E1204" t="inlineStr">
        <is>
          <t>West Region</t>
        </is>
      </c>
      <c r="F1204" t="inlineStr">
        <is>
          <t>Rep_08</t>
        </is>
      </c>
      <c r="G1204" t="n">
        <v>0.65</v>
      </c>
      <c r="H1204" t="inlineStr">
        <is>
          <t>Negotiation</t>
        </is>
      </c>
      <c r="I1204" t="inlineStr">
        <is>
          <t>Lost</t>
        </is>
      </c>
      <c r="J1204" t="inlineStr">
        <is>
          <t>Went With Competitor</t>
        </is>
      </c>
      <c r="K1204" t="n">
        <v>393.19</v>
      </c>
      <c r="L1204" t="inlineStr">
        <is>
          <t>2025-08-17 05:46:09.769219</t>
        </is>
      </c>
      <c r="M1204">
        <f>VLOOKUP(H1204,'Stage Order'!$A$2:$B$8,2,FALSE)</f>
        <v/>
      </c>
      <c r="N1204">
        <f>IF(G1204&lt;=1,"1. Under 1 hour",IF(G1204&lt;=24,"2. 1-24 hours",IF(G1204&lt;=72,"3. 1-3 days","4. Over 3 days")))</f>
        <v/>
      </c>
      <c r="O1204">
        <f>TEXT(B1204,"YYYY-MM")</f>
        <v/>
      </c>
    </row>
    <row r="1205">
      <c r="A1205" t="inlineStr">
        <is>
          <t>LD-301203</t>
        </is>
      </c>
      <c r="B1205" t="inlineStr">
        <is>
          <t>2026-02-05 16:38:00</t>
        </is>
      </c>
      <c r="C1205" t="inlineStr">
        <is>
          <t>Social Media</t>
        </is>
      </c>
      <c r="D1205" t="inlineStr">
        <is>
          <t>Study Abroad Prep</t>
        </is>
      </c>
      <c r="E1205" t="inlineStr">
        <is>
          <t>South Region</t>
        </is>
      </c>
      <c r="F1205" t="inlineStr">
        <is>
          <t>Rep_02</t>
        </is>
      </c>
      <c r="G1205" t="n">
        <v>3.78</v>
      </c>
      <c r="H1205" t="inlineStr">
        <is>
          <t>Contacted</t>
        </is>
      </c>
      <c r="I1205" t="inlineStr">
        <is>
          <t>Open</t>
        </is>
      </c>
      <c r="M1205">
        <f>VLOOKUP(H1205,'Stage Order'!$A$2:$B$8,2,FALSE)</f>
        <v/>
      </c>
      <c r="N1205">
        <f>IF(G1205&lt;=1,"1. Under 1 hour",IF(G1205&lt;=24,"2. 1-24 hours",IF(G1205&lt;=72,"3. 1-3 days","4. Over 3 days")))</f>
        <v/>
      </c>
      <c r="O1205">
        <f>TEXT(B1205,"YYYY-MM")</f>
        <v/>
      </c>
    </row>
    <row r="1206">
      <c r="A1206" t="inlineStr">
        <is>
          <t>LD-301204</t>
        </is>
      </c>
      <c r="B1206" t="inlineStr">
        <is>
          <t>2025-12-17 12:46:00</t>
        </is>
      </c>
      <c r="C1206" t="inlineStr">
        <is>
          <t>Paid Search</t>
        </is>
      </c>
      <c r="D1206" t="inlineStr">
        <is>
          <t>Language Learning</t>
        </is>
      </c>
      <c r="E1206" t="inlineStr">
        <is>
          <t>South Region</t>
        </is>
      </c>
      <c r="F1206" t="inlineStr">
        <is>
          <t>Rep_07</t>
        </is>
      </c>
      <c r="G1206" t="n">
        <v>3.97</v>
      </c>
      <c r="H1206" t="inlineStr">
        <is>
          <t>Contacted</t>
        </is>
      </c>
      <c r="I1206" t="inlineStr">
        <is>
          <t>Open</t>
        </is>
      </c>
      <c r="M1206">
        <f>VLOOKUP(H1206,'Stage Order'!$A$2:$B$8,2,FALSE)</f>
        <v/>
      </c>
      <c r="N1206">
        <f>IF(G1206&lt;=1,"1. Under 1 hour",IF(G1206&lt;=24,"2. 1-24 hours",IF(G1206&lt;=72,"3. 1-3 days","4. Over 3 days")))</f>
        <v/>
      </c>
      <c r="O1206">
        <f>TEXT(B1206,"YYYY-MM")</f>
        <v/>
      </c>
    </row>
    <row r="1207">
      <c r="A1207" t="inlineStr">
        <is>
          <t>LD-301205</t>
        </is>
      </c>
      <c r="B1207" t="inlineStr">
        <is>
          <t>2025-06-18 11:46:00</t>
        </is>
      </c>
      <c r="C1207" t="inlineStr">
        <is>
          <t>Paid Search</t>
        </is>
      </c>
      <c r="D1207" t="inlineStr">
        <is>
          <t>K-12 Math</t>
        </is>
      </c>
      <c r="E1207" t="inlineStr">
        <is>
          <t>South Region</t>
        </is>
      </c>
      <c r="F1207" t="inlineStr">
        <is>
          <t>Rep_07</t>
        </is>
      </c>
      <c r="G1207" t="n">
        <v>0.9</v>
      </c>
      <c r="H1207" t="inlineStr">
        <is>
          <t>Closed</t>
        </is>
      </c>
      <c r="I1207" t="inlineStr">
        <is>
          <t>Won</t>
        </is>
      </c>
      <c r="K1207" t="n">
        <v>503.06</v>
      </c>
      <c r="L1207" t="inlineStr">
        <is>
          <t>2025-07-29 01:07:01.121244</t>
        </is>
      </c>
      <c r="M1207">
        <f>VLOOKUP(H1207,'Stage Order'!$A$2:$B$8,2,FALSE)</f>
        <v/>
      </c>
      <c r="N1207">
        <f>IF(G1207&lt;=1,"1. Under 1 hour",IF(G1207&lt;=24,"2. 1-24 hours",IF(G1207&lt;=72,"3. 1-3 days","4. Over 3 days")))</f>
        <v/>
      </c>
      <c r="O1207">
        <f>TEXT(B1207,"YYYY-MM")</f>
        <v/>
      </c>
    </row>
    <row r="1208">
      <c r="A1208" t="inlineStr">
        <is>
          <t>LD-301206</t>
        </is>
      </c>
      <c r="B1208" t="inlineStr">
        <is>
          <t>2025-11-21 08:52:00</t>
        </is>
      </c>
      <c r="C1208" t="inlineStr">
        <is>
          <t>Social Media</t>
        </is>
      </c>
      <c r="D1208" t="inlineStr">
        <is>
          <t>Language Learning</t>
        </is>
      </c>
      <c r="E1208" t="inlineStr">
        <is>
          <t>South Region</t>
        </is>
      </c>
      <c r="F1208" t="inlineStr">
        <is>
          <t>Rep_12</t>
        </is>
      </c>
      <c r="G1208" t="n">
        <v>3.28</v>
      </c>
      <c r="H1208" t="inlineStr">
        <is>
          <t>Contacted</t>
        </is>
      </c>
      <c r="I1208" t="inlineStr">
        <is>
          <t>Open</t>
        </is>
      </c>
      <c r="M1208">
        <f>VLOOKUP(H1208,'Stage Order'!$A$2:$B$8,2,FALSE)</f>
        <v/>
      </c>
      <c r="N1208">
        <f>IF(G1208&lt;=1,"1. Under 1 hour",IF(G1208&lt;=24,"2. 1-24 hours",IF(G1208&lt;=72,"3. 1-3 days","4. Over 3 days")))</f>
        <v/>
      </c>
      <c r="O1208">
        <f>TEXT(B1208,"YYYY-MM")</f>
        <v/>
      </c>
    </row>
    <row r="1209">
      <c r="A1209" t="inlineStr">
        <is>
          <t>LD-301207</t>
        </is>
      </c>
      <c r="B1209" t="inlineStr">
        <is>
          <t>2026-02-13 18:17:00</t>
        </is>
      </c>
      <c r="C1209" t="inlineStr">
        <is>
          <t>Referral</t>
        </is>
      </c>
      <c r="D1209" t="inlineStr">
        <is>
          <t>K-12 Math</t>
        </is>
      </c>
      <c r="E1209" t="inlineStr">
        <is>
          <t>South Region</t>
        </is>
      </c>
      <c r="F1209" t="inlineStr">
        <is>
          <t>Rep_12</t>
        </is>
      </c>
      <c r="G1209" t="n">
        <v>1.03</v>
      </c>
      <c r="H1209" t="inlineStr">
        <is>
          <t>Contacted</t>
        </is>
      </c>
      <c r="I1209" t="inlineStr">
        <is>
          <t>Open</t>
        </is>
      </c>
      <c r="M1209">
        <f>VLOOKUP(H1209,'Stage Order'!$A$2:$B$8,2,FALSE)</f>
        <v/>
      </c>
      <c r="N1209">
        <f>IF(G1209&lt;=1,"1. Under 1 hour",IF(G1209&lt;=24,"2. 1-24 hours",IF(G1209&lt;=72,"3. 1-3 days","4. Over 3 days")))</f>
        <v/>
      </c>
      <c r="O1209">
        <f>TEXT(B1209,"YYYY-MM")</f>
        <v/>
      </c>
    </row>
    <row r="1210">
      <c r="A1210" t="inlineStr">
        <is>
          <t>LD-301208</t>
        </is>
      </c>
      <c r="B1210" t="inlineStr">
        <is>
          <t>2025-06-13 10:31:00</t>
        </is>
      </c>
      <c r="C1210" t="inlineStr">
        <is>
          <t>Organic Search</t>
        </is>
      </c>
      <c r="D1210" t="inlineStr">
        <is>
          <t>Coding for Kids</t>
        </is>
      </c>
      <c r="E1210" t="inlineStr">
        <is>
          <t>South Region</t>
        </is>
      </c>
      <c r="F1210" t="inlineStr">
        <is>
          <t>Rep_02</t>
        </is>
      </c>
      <c r="G1210" t="n">
        <v>3.48</v>
      </c>
      <c r="H1210" t="inlineStr">
        <is>
          <t>Contacted</t>
        </is>
      </c>
      <c r="I1210" t="inlineStr">
        <is>
          <t>Open</t>
        </is>
      </c>
      <c r="M1210">
        <f>VLOOKUP(H1210,'Stage Order'!$A$2:$B$8,2,FALSE)</f>
        <v/>
      </c>
      <c r="N1210">
        <f>IF(G1210&lt;=1,"1. Under 1 hour",IF(G1210&lt;=24,"2. 1-24 hours",IF(G1210&lt;=72,"3. 1-3 days","4. Over 3 days")))</f>
        <v/>
      </c>
      <c r="O1210">
        <f>TEXT(B1210,"YYYY-MM")</f>
        <v/>
      </c>
    </row>
    <row r="1211">
      <c r="A1211" t="inlineStr">
        <is>
          <t>LD-301209</t>
        </is>
      </c>
      <c r="B1211" t="inlineStr">
        <is>
          <t>2026-03-16 19:37:00</t>
        </is>
      </c>
      <c r="C1211" t="inlineStr">
        <is>
          <t>Social Media</t>
        </is>
      </c>
      <c r="D1211" t="inlineStr">
        <is>
          <t>Study Abroad Prep</t>
        </is>
      </c>
      <c r="E1211" t="inlineStr">
        <is>
          <t>South Region</t>
        </is>
      </c>
      <c r="F1211" t="inlineStr">
        <is>
          <t>Rep_02</t>
        </is>
      </c>
      <c r="G1211" t="n">
        <v>3.77</v>
      </c>
      <c r="H1211" t="inlineStr">
        <is>
          <t>Contacted</t>
        </is>
      </c>
      <c r="I1211" t="inlineStr">
        <is>
          <t>Open</t>
        </is>
      </c>
      <c r="M1211">
        <f>VLOOKUP(H1211,'Stage Order'!$A$2:$B$8,2,FALSE)</f>
        <v/>
      </c>
      <c r="N1211">
        <f>IF(G1211&lt;=1,"1. Under 1 hour",IF(G1211&lt;=24,"2. 1-24 hours",IF(G1211&lt;=72,"3. 1-3 days","4. Over 3 days")))</f>
        <v/>
      </c>
      <c r="O1211">
        <f>TEXT(B1211,"YYYY-MM")</f>
        <v/>
      </c>
    </row>
    <row r="1212">
      <c r="A1212" t="inlineStr">
        <is>
          <t>LD-301210</t>
        </is>
      </c>
      <c r="B1212" t="inlineStr">
        <is>
          <t>2026-02-12 12:06:00</t>
        </is>
      </c>
      <c r="C1212" t="inlineStr">
        <is>
          <t>Referral</t>
        </is>
      </c>
      <c r="D1212" t="inlineStr">
        <is>
          <t>Study Abroad Prep</t>
        </is>
      </c>
      <c r="E1212" t="inlineStr">
        <is>
          <t>South Region</t>
        </is>
      </c>
      <c r="F1212" t="inlineStr">
        <is>
          <t>Rep_02</t>
        </is>
      </c>
      <c r="G1212" t="n">
        <v>12.42</v>
      </c>
      <c r="H1212" t="inlineStr">
        <is>
          <t>Closed</t>
        </is>
      </c>
      <c r="I1212" t="inlineStr">
        <is>
          <t>Won</t>
        </is>
      </c>
      <c r="K1212" t="n">
        <v>1683.97</v>
      </c>
      <c r="L1212" t="inlineStr">
        <is>
          <t>2026-03-19 01:52:21.544479</t>
        </is>
      </c>
      <c r="M1212">
        <f>VLOOKUP(H1212,'Stage Order'!$A$2:$B$8,2,FALSE)</f>
        <v/>
      </c>
      <c r="N1212">
        <f>IF(G1212&lt;=1,"1. Under 1 hour",IF(G1212&lt;=24,"2. 1-24 hours",IF(G1212&lt;=72,"3. 1-3 days","4. Over 3 days")))</f>
        <v/>
      </c>
      <c r="O1212">
        <f>TEXT(B1212,"YYYY-MM")</f>
        <v/>
      </c>
    </row>
    <row r="1213">
      <c r="A1213" t="inlineStr">
        <is>
          <t>LD-301211</t>
        </is>
      </c>
      <c r="B1213" t="inlineStr">
        <is>
          <t>2026-06-11 11:12:00</t>
        </is>
      </c>
      <c r="C1213" t="inlineStr">
        <is>
          <t>Organic Search</t>
        </is>
      </c>
      <c r="D1213" t="inlineStr">
        <is>
          <t>Competitive Exam Prep</t>
        </is>
      </c>
      <c r="E1213" t="inlineStr">
        <is>
          <t>North Region</t>
        </is>
      </c>
      <c r="F1213" t="inlineStr">
        <is>
          <t>Rep_01</t>
        </is>
      </c>
      <c r="G1213" t="n">
        <v>3.71</v>
      </c>
      <c r="H1213" t="inlineStr">
        <is>
          <t>Demo Completed</t>
        </is>
      </c>
      <c r="I1213" t="inlineStr">
        <is>
          <t>Lost</t>
        </is>
      </c>
      <c r="J1213" t="inlineStr">
        <is>
          <t>No Response / Ghosted</t>
        </is>
      </c>
      <c r="K1213" t="n">
        <v>940.75</v>
      </c>
      <c r="L1213" t="inlineStr">
        <is>
          <t>2026-07-14 03:27:34.063809</t>
        </is>
      </c>
      <c r="M1213">
        <f>VLOOKUP(H1213,'Stage Order'!$A$2:$B$8,2,FALSE)</f>
        <v/>
      </c>
      <c r="N1213">
        <f>IF(G1213&lt;=1,"1. Under 1 hour",IF(G1213&lt;=24,"2. 1-24 hours",IF(G1213&lt;=72,"3. 1-3 days","4. Over 3 days")))</f>
        <v/>
      </c>
      <c r="O1213">
        <f>TEXT(B1213,"YYYY-MM")</f>
        <v/>
      </c>
    </row>
    <row r="1214">
      <c r="A1214" t="inlineStr">
        <is>
          <t>LD-301212</t>
        </is>
      </c>
      <c r="B1214" t="inlineStr">
        <is>
          <t>2026-02-09 18:00:00</t>
        </is>
      </c>
      <c r="C1214" t="inlineStr">
        <is>
          <t>Cold Outreach</t>
        </is>
      </c>
      <c r="D1214" t="inlineStr">
        <is>
          <t>Study Abroad Prep</t>
        </is>
      </c>
      <c r="E1214" t="inlineStr">
        <is>
          <t>West Region</t>
        </is>
      </c>
      <c r="F1214" t="inlineStr">
        <is>
          <t>Rep_13</t>
        </is>
      </c>
      <c r="G1214" t="n">
        <v>10.3</v>
      </c>
      <c r="H1214" t="inlineStr">
        <is>
          <t>Lead</t>
        </is>
      </c>
      <c r="I1214" t="inlineStr">
        <is>
          <t>Open</t>
        </is>
      </c>
      <c r="M1214">
        <f>VLOOKUP(H1214,'Stage Order'!$A$2:$B$8,2,FALSE)</f>
        <v/>
      </c>
      <c r="N1214">
        <f>IF(G1214&lt;=1,"1. Under 1 hour",IF(G1214&lt;=24,"2. 1-24 hours",IF(G1214&lt;=72,"3. 1-3 days","4. Over 3 days")))</f>
        <v/>
      </c>
      <c r="O1214">
        <f>TEXT(B1214,"YYYY-MM")</f>
        <v/>
      </c>
    </row>
    <row r="1215">
      <c r="A1215" t="inlineStr">
        <is>
          <t>LD-301213</t>
        </is>
      </c>
      <c r="B1215" t="inlineStr">
        <is>
          <t>2026-05-04 09:18:00</t>
        </is>
      </c>
      <c r="C1215" t="inlineStr">
        <is>
          <t>Cold Outreach</t>
        </is>
      </c>
      <c r="D1215" t="inlineStr">
        <is>
          <t>Language Learning</t>
        </is>
      </c>
      <c r="E1215" t="inlineStr">
        <is>
          <t>East Region</t>
        </is>
      </c>
      <c r="F1215" t="inlineStr">
        <is>
          <t>Rep_09</t>
        </is>
      </c>
      <c r="G1215" t="n">
        <v>2.3</v>
      </c>
      <c r="H1215" t="inlineStr">
        <is>
          <t>Lead</t>
        </is>
      </c>
      <c r="I1215" t="inlineStr">
        <is>
          <t>Open</t>
        </is>
      </c>
      <c r="M1215">
        <f>VLOOKUP(H1215,'Stage Order'!$A$2:$B$8,2,FALSE)</f>
        <v/>
      </c>
      <c r="N1215">
        <f>IF(G1215&lt;=1,"1. Under 1 hour",IF(G1215&lt;=24,"2. 1-24 hours",IF(G1215&lt;=72,"3. 1-3 days","4. Over 3 days")))</f>
        <v/>
      </c>
      <c r="O1215">
        <f>TEXT(B1215,"YYYY-MM")</f>
        <v/>
      </c>
    </row>
    <row r="1216">
      <c r="A1216" t="inlineStr">
        <is>
          <t>LD-301214</t>
        </is>
      </c>
      <c r="B1216" t="inlineStr">
        <is>
          <t>2026-06-05 13:52:00</t>
        </is>
      </c>
      <c r="C1216" t="inlineStr">
        <is>
          <t>Cold Outreach</t>
        </is>
      </c>
      <c r="D1216" t="inlineStr">
        <is>
          <t>K-12 Math</t>
        </is>
      </c>
      <c r="E1216" t="inlineStr">
        <is>
          <t>North Region</t>
        </is>
      </c>
      <c r="F1216" t="inlineStr">
        <is>
          <t>Rep_01</t>
        </is>
      </c>
      <c r="G1216" t="n">
        <v>4.64</v>
      </c>
      <c r="H1216" t="inlineStr">
        <is>
          <t>Demo Completed</t>
        </is>
      </c>
      <c r="I1216" t="inlineStr">
        <is>
          <t>Lost</t>
        </is>
      </c>
      <c r="J1216" t="inlineStr">
        <is>
          <t>Went With Competitor</t>
        </is>
      </c>
      <c r="K1216" t="n">
        <v>416.32</v>
      </c>
      <c r="L1216" t="inlineStr">
        <is>
          <t>2026-07-06 20:21:26.738252</t>
        </is>
      </c>
      <c r="M1216">
        <f>VLOOKUP(H1216,'Stage Order'!$A$2:$B$8,2,FALSE)</f>
        <v/>
      </c>
      <c r="N1216">
        <f>IF(G1216&lt;=1,"1. Under 1 hour",IF(G1216&lt;=24,"2. 1-24 hours",IF(G1216&lt;=72,"3. 1-3 days","4. Over 3 days")))</f>
        <v/>
      </c>
      <c r="O1216">
        <f>TEXT(B1216,"YYYY-MM")</f>
        <v/>
      </c>
    </row>
    <row r="1217">
      <c r="A1217" t="inlineStr">
        <is>
          <t>LD-301215</t>
        </is>
      </c>
      <c r="B1217" t="inlineStr">
        <is>
          <t>2025-11-13 19:13:00</t>
        </is>
      </c>
      <c r="C1217" t="inlineStr">
        <is>
          <t>Referral</t>
        </is>
      </c>
      <c r="D1217" t="inlineStr">
        <is>
          <t>K-12 Math</t>
        </is>
      </c>
      <c r="E1217" t="inlineStr">
        <is>
          <t>West Region</t>
        </is>
      </c>
      <c r="F1217" t="inlineStr">
        <is>
          <t>Rep_03</t>
        </is>
      </c>
      <c r="G1217" t="n">
        <v>1.01</v>
      </c>
      <c r="H1217" t="inlineStr">
        <is>
          <t>Proposal Sent</t>
        </is>
      </c>
      <c r="I1217" t="inlineStr">
        <is>
          <t>Lost</t>
        </is>
      </c>
      <c r="J1217" t="inlineStr">
        <is>
          <t>Price Objection</t>
        </is>
      </c>
      <c r="K1217" t="n">
        <v>572.79</v>
      </c>
      <c r="L1217" t="inlineStr">
        <is>
          <t>2025-12-22 16:22:31.422989</t>
        </is>
      </c>
      <c r="M1217">
        <f>VLOOKUP(H1217,'Stage Order'!$A$2:$B$8,2,FALSE)</f>
        <v/>
      </c>
      <c r="N1217">
        <f>IF(G1217&lt;=1,"1. Under 1 hour",IF(G1217&lt;=24,"2. 1-24 hours",IF(G1217&lt;=72,"3. 1-3 days","4. Over 3 days")))</f>
        <v/>
      </c>
      <c r="O1217">
        <f>TEXT(B1217,"YYYY-MM")</f>
        <v/>
      </c>
    </row>
    <row r="1218">
      <c r="A1218" t="inlineStr">
        <is>
          <t>LD-301216</t>
        </is>
      </c>
      <c r="B1218" t="inlineStr">
        <is>
          <t>2025-08-28 08:57:00</t>
        </is>
      </c>
      <c r="C1218" t="inlineStr">
        <is>
          <t>Webinar</t>
        </is>
      </c>
      <c r="D1218" t="inlineStr">
        <is>
          <t>K-12 Math</t>
        </is>
      </c>
      <c r="E1218" t="inlineStr">
        <is>
          <t>South Region</t>
        </is>
      </c>
      <c r="F1218" t="inlineStr">
        <is>
          <t>Rep_12</t>
        </is>
      </c>
      <c r="G1218" t="n">
        <v>1.69</v>
      </c>
      <c r="H1218" t="inlineStr">
        <is>
          <t>Lead</t>
        </is>
      </c>
      <c r="I1218" t="inlineStr">
        <is>
          <t>Open</t>
        </is>
      </c>
      <c r="M1218">
        <f>VLOOKUP(H1218,'Stage Order'!$A$2:$B$8,2,FALSE)</f>
        <v/>
      </c>
      <c r="N1218">
        <f>IF(G1218&lt;=1,"1. Under 1 hour",IF(G1218&lt;=24,"2. 1-24 hours",IF(G1218&lt;=72,"3. 1-3 days","4. Over 3 days")))</f>
        <v/>
      </c>
      <c r="O1218">
        <f>TEXT(B1218,"YYYY-MM")</f>
        <v/>
      </c>
    </row>
    <row r="1219">
      <c r="A1219" t="inlineStr">
        <is>
          <t>LD-301217</t>
        </is>
      </c>
      <c r="B1219" t="inlineStr">
        <is>
          <t>2026-03-17 19:14:00</t>
        </is>
      </c>
      <c r="C1219" t="inlineStr">
        <is>
          <t>Paid Search</t>
        </is>
      </c>
      <c r="D1219" t="inlineStr">
        <is>
          <t>Study Abroad Prep</t>
        </is>
      </c>
      <c r="E1219" t="inlineStr">
        <is>
          <t>South Region</t>
        </is>
      </c>
      <c r="F1219" t="inlineStr">
        <is>
          <t>Rep_12</t>
        </is>
      </c>
      <c r="G1219" t="n">
        <v>12</v>
      </c>
      <c r="H1219" t="inlineStr">
        <is>
          <t>Negotiation</t>
        </is>
      </c>
      <c r="I1219" t="inlineStr">
        <is>
          <t>Lost</t>
        </is>
      </c>
      <c r="J1219" t="inlineStr">
        <is>
          <t>No Response / Ghosted</t>
        </is>
      </c>
      <c r="K1219" t="n">
        <v>1712.38</v>
      </c>
      <c r="L1219" t="inlineStr">
        <is>
          <t>2026-05-19 15:54:53.260561</t>
        </is>
      </c>
      <c r="M1219">
        <f>VLOOKUP(H1219,'Stage Order'!$A$2:$B$8,2,FALSE)</f>
        <v/>
      </c>
      <c r="N1219">
        <f>IF(G1219&lt;=1,"1. Under 1 hour",IF(G1219&lt;=24,"2. 1-24 hours",IF(G1219&lt;=72,"3. 1-3 days","4. Over 3 days")))</f>
        <v/>
      </c>
      <c r="O1219">
        <f>TEXT(B1219,"YYYY-MM")</f>
        <v/>
      </c>
    </row>
    <row r="1220">
      <c r="A1220" t="inlineStr">
        <is>
          <t>LD-301218</t>
        </is>
      </c>
      <c r="B1220" t="inlineStr">
        <is>
          <t>2025-07-03 14:45:00</t>
        </is>
      </c>
      <c r="C1220" t="inlineStr">
        <is>
          <t>Referral</t>
        </is>
      </c>
      <c r="D1220" t="inlineStr">
        <is>
          <t>Coding for Kids</t>
        </is>
      </c>
      <c r="E1220" t="inlineStr">
        <is>
          <t>South Region</t>
        </is>
      </c>
      <c r="F1220" t="inlineStr">
        <is>
          <t>Rep_02</t>
        </is>
      </c>
      <c r="G1220" t="n">
        <v>6.79</v>
      </c>
      <c r="H1220" t="inlineStr">
        <is>
          <t>Closed</t>
        </is>
      </c>
      <c r="I1220" t="inlineStr">
        <is>
          <t>Won</t>
        </is>
      </c>
      <c r="K1220" t="n">
        <v>568.3200000000001</v>
      </c>
      <c r="L1220" t="inlineStr">
        <is>
          <t>2025-08-26 03:18:32.621768</t>
        </is>
      </c>
      <c r="M1220">
        <f>VLOOKUP(H1220,'Stage Order'!$A$2:$B$8,2,FALSE)</f>
        <v/>
      </c>
      <c r="N1220">
        <f>IF(G1220&lt;=1,"1. Under 1 hour",IF(G1220&lt;=24,"2. 1-24 hours",IF(G1220&lt;=72,"3. 1-3 days","4. Over 3 days")))</f>
        <v/>
      </c>
      <c r="O1220">
        <f>TEXT(B1220,"YYYY-MM")</f>
        <v/>
      </c>
    </row>
    <row r="1221">
      <c r="A1221" t="inlineStr">
        <is>
          <t>LD-301219</t>
        </is>
      </c>
      <c r="B1221" t="inlineStr">
        <is>
          <t>2026-05-19 10:21:00</t>
        </is>
      </c>
      <c r="C1221" t="inlineStr">
        <is>
          <t>Cold Outreach</t>
        </is>
      </c>
      <c r="D1221" t="inlineStr">
        <is>
          <t>Competitive Exam Prep</t>
        </is>
      </c>
      <c r="E1221" t="inlineStr">
        <is>
          <t>South Region</t>
        </is>
      </c>
      <c r="F1221" t="inlineStr">
        <is>
          <t>Rep_12</t>
        </is>
      </c>
      <c r="G1221" t="n">
        <v>0.87</v>
      </c>
      <c r="H1221" t="inlineStr">
        <is>
          <t>Contacted</t>
        </is>
      </c>
      <c r="I1221" t="inlineStr">
        <is>
          <t>Open</t>
        </is>
      </c>
      <c r="M1221">
        <f>VLOOKUP(H1221,'Stage Order'!$A$2:$B$8,2,FALSE)</f>
        <v/>
      </c>
      <c r="N1221">
        <f>IF(G1221&lt;=1,"1. Under 1 hour",IF(G1221&lt;=24,"2. 1-24 hours",IF(G1221&lt;=72,"3. 1-3 days","4. Over 3 days")))</f>
        <v/>
      </c>
      <c r="O1221">
        <f>TEXT(B1221,"YYYY-MM")</f>
        <v/>
      </c>
    </row>
    <row r="1222">
      <c r="A1222" t="inlineStr">
        <is>
          <t>LD-301220</t>
        </is>
      </c>
      <c r="B1222" t="inlineStr">
        <is>
          <t>2025-11-26 11:51:00</t>
        </is>
      </c>
      <c r="C1222" t="inlineStr">
        <is>
          <t>Organic Search</t>
        </is>
      </c>
      <c r="D1222" t="inlineStr">
        <is>
          <t>Language Learning</t>
        </is>
      </c>
      <c r="E1222" t="inlineStr">
        <is>
          <t>East Region</t>
        </is>
      </c>
      <c r="F1222" t="inlineStr">
        <is>
          <t>Rep_14</t>
        </is>
      </c>
      <c r="G1222" t="n">
        <v>1.1</v>
      </c>
      <c r="H1222" t="inlineStr">
        <is>
          <t>Contacted</t>
        </is>
      </c>
      <c r="I1222" t="inlineStr">
        <is>
          <t>Open</t>
        </is>
      </c>
      <c r="M1222">
        <f>VLOOKUP(H1222,'Stage Order'!$A$2:$B$8,2,FALSE)</f>
        <v/>
      </c>
      <c r="N1222">
        <f>IF(G1222&lt;=1,"1. Under 1 hour",IF(G1222&lt;=24,"2. 1-24 hours",IF(G1222&lt;=72,"3. 1-3 days","4. Over 3 days")))</f>
        <v/>
      </c>
      <c r="O1222">
        <f>TEXT(B1222,"YYYY-MM")</f>
        <v/>
      </c>
    </row>
    <row r="1223">
      <c r="A1223" t="inlineStr">
        <is>
          <t>LD-301221</t>
        </is>
      </c>
      <c r="B1223" t="inlineStr">
        <is>
          <t>2025-02-28 17:17:00</t>
        </is>
      </c>
      <c r="C1223" t="inlineStr">
        <is>
          <t>Social Media</t>
        </is>
      </c>
      <c r="D1223" t="inlineStr">
        <is>
          <t>Language Learning</t>
        </is>
      </c>
      <c r="E1223" t="inlineStr">
        <is>
          <t>West Region</t>
        </is>
      </c>
      <c r="F1223" t="inlineStr">
        <is>
          <t>Rep_13</t>
        </is>
      </c>
      <c r="G1223" t="n">
        <v>2.52</v>
      </c>
      <c r="H1223" t="inlineStr">
        <is>
          <t>Lead</t>
        </is>
      </c>
      <c r="I1223" t="inlineStr">
        <is>
          <t>Open</t>
        </is>
      </c>
      <c r="M1223">
        <f>VLOOKUP(H1223,'Stage Order'!$A$2:$B$8,2,FALSE)</f>
        <v/>
      </c>
      <c r="N1223">
        <f>IF(G1223&lt;=1,"1. Under 1 hour",IF(G1223&lt;=24,"2. 1-24 hours",IF(G1223&lt;=72,"3. 1-3 days","4. Over 3 days")))</f>
        <v/>
      </c>
      <c r="O1223">
        <f>TEXT(B1223,"YYYY-MM")</f>
        <v/>
      </c>
    </row>
    <row r="1224">
      <c r="A1224" t="inlineStr">
        <is>
          <t>LD-301222</t>
        </is>
      </c>
      <c r="B1224" t="inlineStr">
        <is>
          <t>2026-05-31 09:26:00</t>
        </is>
      </c>
      <c r="C1224" t="inlineStr">
        <is>
          <t>Webinar</t>
        </is>
      </c>
      <c r="D1224" t="inlineStr">
        <is>
          <t>Language Learning</t>
        </is>
      </c>
      <c r="E1224" t="inlineStr">
        <is>
          <t>South Region</t>
        </is>
      </c>
      <c r="F1224" t="inlineStr">
        <is>
          <t>Rep_12</t>
        </is>
      </c>
      <c r="G1224" t="n">
        <v>1.9</v>
      </c>
      <c r="H1224" t="inlineStr">
        <is>
          <t>Closed</t>
        </is>
      </c>
      <c r="I1224" t="inlineStr">
        <is>
          <t>Won</t>
        </is>
      </c>
      <c r="K1224" t="n">
        <v>372</v>
      </c>
      <c r="L1224" t="inlineStr">
        <is>
          <t>2026-06-26 21:42:20.596755</t>
        </is>
      </c>
      <c r="M1224">
        <f>VLOOKUP(H1224,'Stage Order'!$A$2:$B$8,2,FALSE)</f>
        <v/>
      </c>
      <c r="N1224">
        <f>IF(G1224&lt;=1,"1. Under 1 hour",IF(G1224&lt;=24,"2. 1-24 hours",IF(G1224&lt;=72,"3. 1-3 days","4. Over 3 days")))</f>
        <v/>
      </c>
      <c r="O1224">
        <f>TEXT(B1224,"YYYY-MM")</f>
        <v/>
      </c>
    </row>
    <row r="1225">
      <c r="A1225" t="inlineStr">
        <is>
          <t>LD-301223</t>
        </is>
      </c>
      <c r="B1225" t="inlineStr">
        <is>
          <t>2025-05-12 14:19:00</t>
        </is>
      </c>
      <c r="C1225" t="inlineStr">
        <is>
          <t>Organic Search</t>
        </is>
      </c>
      <c r="D1225" t="inlineStr">
        <is>
          <t>Language Learning</t>
        </is>
      </c>
      <c r="E1225" t="inlineStr">
        <is>
          <t>North Region</t>
        </is>
      </c>
      <c r="F1225" t="inlineStr">
        <is>
          <t>Rep_06</t>
        </is>
      </c>
      <c r="G1225" t="n">
        <v>3.51</v>
      </c>
      <c r="H1225" t="inlineStr">
        <is>
          <t>Contacted</t>
        </is>
      </c>
      <c r="I1225" t="inlineStr">
        <is>
          <t>Open</t>
        </is>
      </c>
      <c r="M1225">
        <f>VLOOKUP(H1225,'Stage Order'!$A$2:$B$8,2,FALSE)</f>
        <v/>
      </c>
      <c r="N1225">
        <f>IF(G1225&lt;=1,"1. Under 1 hour",IF(G1225&lt;=24,"2. 1-24 hours",IF(G1225&lt;=72,"3. 1-3 days","4. Over 3 days")))</f>
        <v/>
      </c>
      <c r="O1225">
        <f>TEXT(B1225,"YYYY-MM")</f>
        <v/>
      </c>
    </row>
    <row r="1226">
      <c r="A1226" t="inlineStr">
        <is>
          <t>LD-301224</t>
        </is>
      </c>
      <c r="B1226" t="inlineStr">
        <is>
          <t>2025-11-27 19:21:00</t>
        </is>
      </c>
      <c r="C1226" t="inlineStr">
        <is>
          <t>Referral</t>
        </is>
      </c>
      <c r="D1226" t="inlineStr">
        <is>
          <t>K-12 Math</t>
        </is>
      </c>
      <c r="E1226" t="inlineStr">
        <is>
          <t>North Region</t>
        </is>
      </c>
      <c r="F1226" t="inlineStr">
        <is>
          <t>Rep_11</t>
        </is>
      </c>
      <c r="G1226" t="n">
        <v>2.21</v>
      </c>
      <c r="H1226" t="inlineStr">
        <is>
          <t>Contacted</t>
        </is>
      </c>
      <c r="I1226" t="inlineStr">
        <is>
          <t>Open</t>
        </is>
      </c>
      <c r="M1226">
        <f>VLOOKUP(H1226,'Stage Order'!$A$2:$B$8,2,FALSE)</f>
        <v/>
      </c>
      <c r="N1226">
        <f>IF(G1226&lt;=1,"1. Under 1 hour",IF(G1226&lt;=24,"2. 1-24 hours",IF(G1226&lt;=72,"3. 1-3 days","4. Over 3 days")))</f>
        <v/>
      </c>
      <c r="O1226">
        <f>TEXT(B1226,"YYYY-MM")</f>
        <v/>
      </c>
    </row>
    <row r="1227">
      <c r="A1227" t="inlineStr">
        <is>
          <t>LD-301225</t>
        </is>
      </c>
      <c r="B1227" t="inlineStr">
        <is>
          <t>2025-04-04 19:47:00</t>
        </is>
      </c>
      <c r="C1227" t="inlineStr">
        <is>
          <t>Referral</t>
        </is>
      </c>
      <c r="D1227" t="inlineStr">
        <is>
          <t>Competitive Exam Prep</t>
        </is>
      </c>
      <c r="E1227" t="inlineStr">
        <is>
          <t>International</t>
        </is>
      </c>
      <c r="F1227" t="inlineStr">
        <is>
          <t>Rep_10</t>
        </is>
      </c>
      <c r="G1227" t="n">
        <v>1.24</v>
      </c>
      <c r="H1227" t="inlineStr">
        <is>
          <t>Contacted</t>
        </is>
      </c>
      <c r="I1227" t="inlineStr">
        <is>
          <t>Open</t>
        </is>
      </c>
      <c r="M1227">
        <f>VLOOKUP(H1227,'Stage Order'!$A$2:$B$8,2,FALSE)</f>
        <v/>
      </c>
      <c r="N1227">
        <f>IF(G1227&lt;=1,"1. Under 1 hour",IF(G1227&lt;=24,"2. 1-24 hours",IF(G1227&lt;=72,"3. 1-3 days","4. Over 3 days")))</f>
        <v/>
      </c>
      <c r="O1227">
        <f>TEXT(B1227,"YYYY-MM")</f>
        <v/>
      </c>
    </row>
    <row r="1228">
      <c r="A1228" t="inlineStr">
        <is>
          <t>LD-301226</t>
        </is>
      </c>
      <c r="B1228" t="inlineStr">
        <is>
          <t>2025-10-15 16:29:00</t>
        </is>
      </c>
      <c r="C1228" t="inlineStr">
        <is>
          <t>Referral</t>
        </is>
      </c>
      <c r="D1228" t="inlineStr">
        <is>
          <t>Language Learning</t>
        </is>
      </c>
      <c r="E1228" t="inlineStr">
        <is>
          <t>East Region</t>
        </is>
      </c>
      <c r="F1228" t="inlineStr">
        <is>
          <t>Rep_14</t>
        </is>
      </c>
      <c r="G1228" t="n">
        <v>2.92</v>
      </c>
      <c r="H1228" t="inlineStr">
        <is>
          <t>Proposal Sent</t>
        </is>
      </c>
      <c r="I1228" t="inlineStr">
        <is>
          <t>Lost</t>
        </is>
      </c>
      <c r="J1228" t="inlineStr">
        <is>
          <t>No Response / Ghosted</t>
        </is>
      </c>
      <c r="K1228" t="n">
        <v>402.99</v>
      </c>
      <c r="L1228" t="inlineStr">
        <is>
          <t>2025-12-04 06:07:32.498812</t>
        </is>
      </c>
      <c r="M1228">
        <f>VLOOKUP(H1228,'Stage Order'!$A$2:$B$8,2,FALSE)</f>
        <v/>
      </c>
      <c r="N1228">
        <f>IF(G1228&lt;=1,"1. Under 1 hour",IF(G1228&lt;=24,"2. 1-24 hours",IF(G1228&lt;=72,"3. 1-3 days","4. Over 3 days")))</f>
        <v/>
      </c>
      <c r="O1228">
        <f>TEXT(B1228,"YYYY-MM")</f>
        <v/>
      </c>
    </row>
    <row r="1229">
      <c r="A1229" t="inlineStr">
        <is>
          <t>LD-301227</t>
        </is>
      </c>
      <c r="B1229" t="inlineStr">
        <is>
          <t>2026-05-30 07:27:00</t>
        </is>
      </c>
      <c r="C1229" t="inlineStr">
        <is>
          <t>Webinar</t>
        </is>
      </c>
      <c r="D1229" t="inlineStr">
        <is>
          <t>K-12 Math</t>
        </is>
      </c>
      <c r="E1229" t="inlineStr">
        <is>
          <t>South Region</t>
        </is>
      </c>
      <c r="F1229" t="inlineStr">
        <is>
          <t>Rep_12</t>
        </is>
      </c>
      <c r="G1229" t="n">
        <v>2.74</v>
      </c>
      <c r="H1229" t="inlineStr">
        <is>
          <t>Negotiation</t>
        </is>
      </c>
      <c r="I1229" t="inlineStr">
        <is>
          <t>Lost</t>
        </is>
      </c>
      <c r="J1229" t="inlineStr">
        <is>
          <t>No Response / Ghosted</t>
        </is>
      </c>
      <c r="K1229" t="n">
        <v>542.76</v>
      </c>
      <c r="L1229" t="inlineStr">
        <is>
          <t>2026-07-15 05:41:41.401660</t>
        </is>
      </c>
      <c r="M1229">
        <f>VLOOKUP(H1229,'Stage Order'!$A$2:$B$8,2,FALSE)</f>
        <v/>
      </c>
      <c r="N1229">
        <f>IF(G1229&lt;=1,"1. Under 1 hour",IF(G1229&lt;=24,"2. 1-24 hours",IF(G1229&lt;=72,"3. 1-3 days","4. Over 3 days")))</f>
        <v/>
      </c>
      <c r="O1229">
        <f>TEXT(B1229,"YYYY-MM")</f>
        <v/>
      </c>
    </row>
    <row r="1230">
      <c r="A1230" t="inlineStr">
        <is>
          <t>LD-301228</t>
        </is>
      </c>
      <c r="B1230" t="inlineStr">
        <is>
          <t>2025-10-07 15:32:00</t>
        </is>
      </c>
      <c r="C1230" t="inlineStr">
        <is>
          <t>Organic Search</t>
        </is>
      </c>
      <c r="D1230" t="inlineStr">
        <is>
          <t>Coding for Kids</t>
        </is>
      </c>
      <c r="E1230" t="inlineStr">
        <is>
          <t>North Region</t>
        </is>
      </c>
      <c r="F1230" t="inlineStr">
        <is>
          <t>Rep_11</t>
        </is>
      </c>
      <c r="G1230" t="n">
        <v>3.03</v>
      </c>
      <c r="H1230" t="inlineStr">
        <is>
          <t>Proposal Sent</t>
        </is>
      </c>
      <c r="I1230" t="inlineStr">
        <is>
          <t>Lost</t>
        </is>
      </c>
      <c r="J1230" t="inlineStr">
        <is>
          <t>No Response / Ghosted</t>
        </is>
      </c>
      <c r="K1230" t="n">
        <v>731.05</v>
      </c>
      <c r="L1230" t="inlineStr">
        <is>
          <t>2025-11-03 17:38:00.669305</t>
        </is>
      </c>
      <c r="M1230">
        <f>VLOOKUP(H1230,'Stage Order'!$A$2:$B$8,2,FALSE)</f>
        <v/>
      </c>
      <c r="N1230">
        <f>IF(G1230&lt;=1,"1. Under 1 hour",IF(G1230&lt;=24,"2. 1-24 hours",IF(G1230&lt;=72,"3. 1-3 days","4. Over 3 days")))</f>
        <v/>
      </c>
      <c r="O1230">
        <f>TEXT(B1230,"YYYY-MM")</f>
        <v/>
      </c>
    </row>
    <row r="1231">
      <c r="A1231" t="inlineStr">
        <is>
          <t>LD-301229</t>
        </is>
      </c>
      <c r="B1231" t="inlineStr">
        <is>
          <t>2025-06-27 18:28:00</t>
        </is>
      </c>
      <c r="C1231" t="inlineStr">
        <is>
          <t>Paid Search</t>
        </is>
      </c>
      <c r="D1231" t="inlineStr">
        <is>
          <t>Competitive Exam Prep</t>
        </is>
      </c>
      <c r="E1231" t="inlineStr">
        <is>
          <t>North Region</t>
        </is>
      </c>
      <c r="F1231" t="inlineStr">
        <is>
          <t>Rep_11</t>
        </is>
      </c>
      <c r="G1231" t="n">
        <v>5.66</v>
      </c>
      <c r="H1231" t="inlineStr">
        <is>
          <t>Contacted</t>
        </is>
      </c>
      <c r="I1231" t="inlineStr">
        <is>
          <t>Open</t>
        </is>
      </c>
      <c r="M1231">
        <f>VLOOKUP(H1231,'Stage Order'!$A$2:$B$8,2,FALSE)</f>
        <v/>
      </c>
      <c r="N1231">
        <f>IF(G1231&lt;=1,"1. Under 1 hour",IF(G1231&lt;=24,"2. 1-24 hours",IF(G1231&lt;=72,"3. 1-3 days","4. Over 3 days")))</f>
        <v/>
      </c>
      <c r="O1231">
        <f>TEXT(B1231,"YYYY-MM")</f>
        <v/>
      </c>
    </row>
    <row r="1232">
      <c r="A1232" t="inlineStr">
        <is>
          <t>LD-301230</t>
        </is>
      </c>
      <c r="B1232" t="inlineStr">
        <is>
          <t>2025-07-08 07:20:00</t>
        </is>
      </c>
      <c r="C1232" t="inlineStr">
        <is>
          <t>Organic Search</t>
        </is>
      </c>
      <c r="D1232" t="inlineStr">
        <is>
          <t>Competitive Exam Prep</t>
        </is>
      </c>
      <c r="E1232" t="inlineStr">
        <is>
          <t>West Region</t>
        </is>
      </c>
      <c r="F1232" t="inlineStr">
        <is>
          <t>Rep_03</t>
        </is>
      </c>
      <c r="G1232" t="n">
        <v>6.47</v>
      </c>
      <c r="H1232" t="inlineStr">
        <is>
          <t>Contacted</t>
        </is>
      </c>
      <c r="I1232" t="inlineStr">
        <is>
          <t>Open</t>
        </is>
      </c>
      <c r="M1232">
        <f>VLOOKUP(H1232,'Stage Order'!$A$2:$B$8,2,FALSE)</f>
        <v/>
      </c>
      <c r="N1232">
        <f>IF(G1232&lt;=1,"1. Under 1 hour",IF(G1232&lt;=24,"2. 1-24 hours",IF(G1232&lt;=72,"3. 1-3 days","4. Over 3 days")))</f>
        <v/>
      </c>
      <c r="O1232">
        <f>TEXT(B1232,"YYYY-MM")</f>
        <v/>
      </c>
    </row>
    <row r="1233">
      <c r="A1233" t="inlineStr">
        <is>
          <t>LD-301231</t>
        </is>
      </c>
      <c r="B1233" t="inlineStr">
        <is>
          <t>2026-05-29 13:45:00</t>
        </is>
      </c>
      <c r="C1233" t="inlineStr">
        <is>
          <t>Paid Search</t>
        </is>
      </c>
      <c r="D1233" t="inlineStr">
        <is>
          <t>Competitive Exam Prep</t>
        </is>
      </c>
      <c r="E1233" t="inlineStr">
        <is>
          <t>North Region</t>
        </is>
      </c>
      <c r="F1233" t="inlineStr">
        <is>
          <t>Rep_01</t>
        </is>
      </c>
      <c r="G1233" t="n">
        <v>8.59</v>
      </c>
      <c r="H1233" t="inlineStr">
        <is>
          <t>Negotiation</t>
        </is>
      </c>
      <c r="I1233" t="inlineStr">
        <is>
          <t>Lost</t>
        </is>
      </c>
      <c r="J1233" t="inlineStr">
        <is>
          <t>Price Objection</t>
        </is>
      </c>
      <c r="K1233" t="n">
        <v>965.36</v>
      </c>
      <c r="L1233" t="inlineStr">
        <is>
          <t>2026-06-27 20:02:17.440341</t>
        </is>
      </c>
      <c r="M1233">
        <f>VLOOKUP(H1233,'Stage Order'!$A$2:$B$8,2,FALSE)</f>
        <v/>
      </c>
      <c r="N1233">
        <f>IF(G1233&lt;=1,"1. Under 1 hour",IF(G1233&lt;=24,"2. 1-24 hours",IF(G1233&lt;=72,"3. 1-3 days","4. Over 3 days")))</f>
        <v/>
      </c>
      <c r="O1233">
        <f>TEXT(B1233,"YYYY-MM")</f>
        <v/>
      </c>
    </row>
    <row r="1234">
      <c r="A1234" t="inlineStr">
        <is>
          <t>LD-301232</t>
        </is>
      </c>
      <c r="B1234" t="inlineStr">
        <is>
          <t>2025-05-02 14:04:00</t>
        </is>
      </c>
      <c r="C1234" t="inlineStr">
        <is>
          <t>Organic Search</t>
        </is>
      </c>
      <c r="D1234" t="inlineStr">
        <is>
          <t>Competitive Exam Prep</t>
        </is>
      </c>
      <c r="E1234" t="inlineStr">
        <is>
          <t>International</t>
        </is>
      </c>
      <c r="F1234" t="inlineStr">
        <is>
          <t>Rep_15</t>
        </is>
      </c>
      <c r="G1234" t="n">
        <v>0.52</v>
      </c>
      <c r="H1234" t="inlineStr">
        <is>
          <t>Closed</t>
        </is>
      </c>
      <c r="I1234" t="inlineStr">
        <is>
          <t>Won</t>
        </is>
      </c>
      <c r="K1234" t="n">
        <v>835.88</v>
      </c>
      <c r="L1234" t="inlineStr">
        <is>
          <t>2025-06-16 09:09:53.117114</t>
        </is>
      </c>
      <c r="M1234">
        <f>VLOOKUP(H1234,'Stage Order'!$A$2:$B$8,2,FALSE)</f>
        <v/>
      </c>
      <c r="N1234">
        <f>IF(G1234&lt;=1,"1. Under 1 hour",IF(G1234&lt;=24,"2. 1-24 hours",IF(G1234&lt;=72,"3. 1-3 days","4. Over 3 days")))</f>
        <v/>
      </c>
      <c r="O1234">
        <f>TEXT(B1234,"YYYY-MM")</f>
        <v/>
      </c>
    </row>
    <row r="1235">
      <c r="A1235" t="inlineStr">
        <is>
          <t>LD-301233</t>
        </is>
      </c>
      <c r="B1235" t="inlineStr">
        <is>
          <t>2025-11-27 12:11:00</t>
        </is>
      </c>
      <c r="C1235" t="inlineStr">
        <is>
          <t>Paid Search</t>
        </is>
      </c>
      <c r="D1235" t="inlineStr">
        <is>
          <t>K-12 Math</t>
        </is>
      </c>
      <c r="E1235" t="inlineStr">
        <is>
          <t>International</t>
        </is>
      </c>
      <c r="F1235" t="inlineStr">
        <is>
          <t>Rep_05</t>
        </is>
      </c>
      <c r="G1235" t="n">
        <v>1.8</v>
      </c>
      <c r="H1235" t="inlineStr">
        <is>
          <t>Contacted</t>
        </is>
      </c>
      <c r="I1235" t="inlineStr">
        <is>
          <t>Open</t>
        </is>
      </c>
      <c r="M1235">
        <f>VLOOKUP(H1235,'Stage Order'!$A$2:$B$8,2,FALSE)</f>
        <v/>
      </c>
      <c r="N1235">
        <f>IF(G1235&lt;=1,"1. Under 1 hour",IF(G1235&lt;=24,"2. 1-24 hours",IF(G1235&lt;=72,"3. 1-3 days","4. Over 3 days")))</f>
        <v/>
      </c>
      <c r="O1235">
        <f>TEXT(B1235,"YYYY-MM")</f>
        <v/>
      </c>
    </row>
    <row r="1236">
      <c r="A1236" t="inlineStr">
        <is>
          <t>LD-301234</t>
        </is>
      </c>
      <c r="B1236" t="inlineStr">
        <is>
          <t>2026-04-21 16:44:00</t>
        </is>
      </c>
      <c r="C1236" t="inlineStr">
        <is>
          <t>Social Media</t>
        </is>
      </c>
      <c r="D1236" t="inlineStr">
        <is>
          <t>Competitive Exam Prep</t>
        </is>
      </c>
      <c r="E1236" t="inlineStr">
        <is>
          <t>East Region</t>
        </is>
      </c>
      <c r="F1236" t="inlineStr">
        <is>
          <t>Rep_04</t>
        </is>
      </c>
      <c r="G1236" t="n">
        <v>2.57</v>
      </c>
      <c r="H1236" t="inlineStr">
        <is>
          <t>Lead</t>
        </is>
      </c>
      <c r="I1236" t="inlineStr">
        <is>
          <t>Open</t>
        </is>
      </c>
      <c r="M1236">
        <f>VLOOKUP(H1236,'Stage Order'!$A$2:$B$8,2,FALSE)</f>
        <v/>
      </c>
      <c r="N1236">
        <f>IF(G1236&lt;=1,"1. Under 1 hour",IF(G1236&lt;=24,"2. 1-24 hours",IF(G1236&lt;=72,"3. 1-3 days","4. Over 3 days")))</f>
        <v/>
      </c>
      <c r="O1236">
        <f>TEXT(B1236,"YYYY-MM")</f>
        <v/>
      </c>
    </row>
    <row r="1237">
      <c r="A1237" t="inlineStr">
        <is>
          <t>LD-301235</t>
        </is>
      </c>
      <c r="B1237" t="inlineStr">
        <is>
          <t>2026-05-17 12:38:00</t>
        </is>
      </c>
      <c r="C1237" t="inlineStr">
        <is>
          <t>Organic Search</t>
        </is>
      </c>
      <c r="D1237" t="inlineStr">
        <is>
          <t>Study Abroad Prep</t>
        </is>
      </c>
      <c r="E1237" t="inlineStr">
        <is>
          <t>International</t>
        </is>
      </c>
      <c r="F1237" t="inlineStr">
        <is>
          <t>Rep_05</t>
        </is>
      </c>
      <c r="G1237" t="n">
        <v>7.38</v>
      </c>
      <c r="H1237" t="inlineStr">
        <is>
          <t>Contacted</t>
        </is>
      </c>
      <c r="I1237" t="inlineStr">
        <is>
          <t>Open</t>
        </is>
      </c>
      <c r="M1237">
        <f>VLOOKUP(H1237,'Stage Order'!$A$2:$B$8,2,FALSE)</f>
        <v/>
      </c>
      <c r="N1237">
        <f>IF(G1237&lt;=1,"1. Under 1 hour",IF(G1237&lt;=24,"2. 1-24 hours",IF(G1237&lt;=72,"3. 1-3 days","4. Over 3 days")))</f>
        <v/>
      </c>
      <c r="O1237">
        <f>TEXT(B1237,"YYYY-MM")</f>
        <v/>
      </c>
    </row>
    <row r="1238">
      <c r="A1238" t="inlineStr">
        <is>
          <t>LD-301236</t>
        </is>
      </c>
      <c r="B1238" t="inlineStr">
        <is>
          <t>2025-09-29 17:45:00</t>
        </is>
      </c>
      <c r="C1238" t="inlineStr">
        <is>
          <t>Referral</t>
        </is>
      </c>
      <c r="D1238" t="inlineStr">
        <is>
          <t>Competitive Exam Prep</t>
        </is>
      </c>
      <c r="E1238" t="inlineStr">
        <is>
          <t>West Region</t>
        </is>
      </c>
      <c r="F1238" t="inlineStr">
        <is>
          <t>Rep_03</t>
        </is>
      </c>
      <c r="G1238" t="n">
        <v>1.64</v>
      </c>
      <c r="H1238" t="inlineStr">
        <is>
          <t>Closed</t>
        </is>
      </c>
      <c r="I1238" t="inlineStr">
        <is>
          <t>Won</t>
        </is>
      </c>
      <c r="K1238" t="n">
        <v>879.1799999999999</v>
      </c>
      <c r="L1238" t="inlineStr">
        <is>
          <t>2025-11-09 12:05:21.873248</t>
        </is>
      </c>
      <c r="M1238">
        <f>VLOOKUP(H1238,'Stage Order'!$A$2:$B$8,2,FALSE)</f>
        <v/>
      </c>
      <c r="N1238">
        <f>IF(G1238&lt;=1,"1. Under 1 hour",IF(G1238&lt;=24,"2. 1-24 hours",IF(G1238&lt;=72,"3. 1-3 days","4. Over 3 days")))</f>
        <v/>
      </c>
      <c r="O1238">
        <f>TEXT(B1238,"YYYY-MM")</f>
        <v/>
      </c>
    </row>
    <row r="1239">
      <c r="A1239" t="inlineStr">
        <is>
          <t>LD-301237</t>
        </is>
      </c>
      <c r="B1239" t="inlineStr">
        <is>
          <t>2025-08-25 17:54:00</t>
        </is>
      </c>
      <c r="C1239" t="inlineStr">
        <is>
          <t>Webinar</t>
        </is>
      </c>
      <c r="D1239" t="inlineStr">
        <is>
          <t>Competitive Exam Prep</t>
        </is>
      </c>
      <c r="E1239" t="inlineStr">
        <is>
          <t>North Region</t>
        </is>
      </c>
      <c r="F1239" t="inlineStr">
        <is>
          <t>Rep_01</t>
        </is>
      </c>
      <c r="G1239" t="n">
        <v>9.880000000000001</v>
      </c>
      <c r="H1239" t="inlineStr">
        <is>
          <t>Closed</t>
        </is>
      </c>
      <c r="I1239" t="inlineStr">
        <is>
          <t>Won</t>
        </is>
      </c>
      <c r="K1239" t="n">
        <v>1125.14</v>
      </c>
      <c r="L1239" t="inlineStr">
        <is>
          <t>2025-09-29 02:01:06.564925</t>
        </is>
      </c>
      <c r="M1239">
        <f>VLOOKUP(H1239,'Stage Order'!$A$2:$B$8,2,FALSE)</f>
        <v/>
      </c>
      <c r="N1239">
        <f>IF(G1239&lt;=1,"1. Under 1 hour",IF(G1239&lt;=24,"2. 1-24 hours",IF(G1239&lt;=72,"3. 1-3 days","4. Over 3 days")))</f>
        <v/>
      </c>
      <c r="O1239">
        <f>TEXT(B1239,"YYYY-MM")</f>
        <v/>
      </c>
    </row>
    <row r="1240">
      <c r="A1240" t="inlineStr">
        <is>
          <t>LD-301238</t>
        </is>
      </c>
      <c r="B1240" t="inlineStr">
        <is>
          <t>2026-04-30 17:54:00</t>
        </is>
      </c>
      <c r="C1240" t="inlineStr">
        <is>
          <t>Webinar</t>
        </is>
      </c>
      <c r="D1240" t="inlineStr">
        <is>
          <t>Study Abroad Prep</t>
        </is>
      </c>
      <c r="E1240" t="inlineStr">
        <is>
          <t>North Region</t>
        </is>
      </c>
      <c r="F1240" t="inlineStr">
        <is>
          <t>Rep_11</t>
        </is>
      </c>
      <c r="G1240" t="n">
        <v>1.22</v>
      </c>
      <c r="H1240" t="inlineStr">
        <is>
          <t>Closed</t>
        </is>
      </c>
      <c r="I1240" t="inlineStr">
        <is>
          <t>Won</t>
        </is>
      </c>
      <c r="K1240" t="n">
        <v>1639.81</v>
      </c>
      <c r="L1240" t="inlineStr">
        <is>
          <t>2026-06-08 22:17:27.198270</t>
        </is>
      </c>
      <c r="M1240">
        <f>VLOOKUP(H1240,'Stage Order'!$A$2:$B$8,2,FALSE)</f>
        <v/>
      </c>
      <c r="N1240">
        <f>IF(G1240&lt;=1,"1. Under 1 hour",IF(G1240&lt;=24,"2. 1-24 hours",IF(G1240&lt;=72,"3. 1-3 days","4. Over 3 days")))</f>
        <v/>
      </c>
      <c r="O1240">
        <f>TEXT(B1240,"YYYY-MM")</f>
        <v/>
      </c>
    </row>
    <row r="1241">
      <c r="A1241" t="inlineStr">
        <is>
          <t>LD-301239</t>
        </is>
      </c>
      <c r="B1241" t="inlineStr">
        <is>
          <t>2025-07-15 19:16:00</t>
        </is>
      </c>
      <c r="C1241" t="inlineStr">
        <is>
          <t>Webinar</t>
        </is>
      </c>
      <c r="D1241" t="inlineStr">
        <is>
          <t>Competitive Exam Prep</t>
        </is>
      </c>
      <c r="E1241" t="inlineStr">
        <is>
          <t>International</t>
        </is>
      </c>
      <c r="F1241" t="inlineStr">
        <is>
          <t>Rep_05</t>
        </is>
      </c>
      <c r="G1241" t="n">
        <v>2.24</v>
      </c>
      <c r="H1241" t="inlineStr">
        <is>
          <t>Contacted</t>
        </is>
      </c>
      <c r="I1241" t="inlineStr">
        <is>
          <t>Open</t>
        </is>
      </c>
      <c r="M1241">
        <f>VLOOKUP(H1241,'Stage Order'!$A$2:$B$8,2,FALSE)</f>
        <v/>
      </c>
      <c r="N1241">
        <f>IF(G1241&lt;=1,"1. Under 1 hour",IF(G1241&lt;=24,"2. 1-24 hours",IF(G1241&lt;=72,"3. 1-3 days","4. Over 3 days")))</f>
        <v/>
      </c>
      <c r="O1241">
        <f>TEXT(B1241,"YYYY-MM")</f>
        <v/>
      </c>
    </row>
    <row r="1242">
      <c r="A1242" t="inlineStr">
        <is>
          <t>LD-301240</t>
        </is>
      </c>
      <c r="B1242" t="inlineStr">
        <is>
          <t>2026-01-23 16:38:00</t>
        </is>
      </c>
      <c r="C1242" t="inlineStr">
        <is>
          <t>Partner Channel</t>
        </is>
      </c>
      <c r="D1242" t="inlineStr">
        <is>
          <t>Competitive Exam Prep</t>
        </is>
      </c>
      <c r="E1242" t="inlineStr">
        <is>
          <t>East Region</t>
        </is>
      </c>
      <c r="F1242" t="inlineStr">
        <is>
          <t>Rep_14</t>
        </is>
      </c>
      <c r="G1242" t="n">
        <v>0.9</v>
      </c>
      <c r="H1242" t="inlineStr">
        <is>
          <t>Negotiation</t>
        </is>
      </c>
      <c r="I1242" t="inlineStr">
        <is>
          <t>Lost</t>
        </is>
      </c>
      <c r="J1242" t="inlineStr">
        <is>
          <t>Bad Timing</t>
        </is>
      </c>
      <c r="K1242" t="n">
        <v>848.71</v>
      </c>
      <c r="L1242" t="inlineStr">
        <is>
          <t>2026-03-15 15:12:06.710321</t>
        </is>
      </c>
      <c r="M1242">
        <f>VLOOKUP(H1242,'Stage Order'!$A$2:$B$8,2,FALSE)</f>
        <v/>
      </c>
      <c r="N1242">
        <f>IF(G1242&lt;=1,"1. Under 1 hour",IF(G1242&lt;=24,"2. 1-24 hours",IF(G1242&lt;=72,"3. 1-3 days","4. Over 3 days")))</f>
        <v/>
      </c>
      <c r="O1242">
        <f>TEXT(B1242,"YYYY-MM")</f>
        <v/>
      </c>
    </row>
    <row r="1243">
      <c r="A1243" t="inlineStr">
        <is>
          <t>LD-301241</t>
        </is>
      </c>
      <c r="B1243" t="inlineStr">
        <is>
          <t>2026-05-02 14:50:00</t>
        </is>
      </c>
      <c r="C1243" t="inlineStr">
        <is>
          <t>Cold Outreach</t>
        </is>
      </c>
      <c r="D1243" t="inlineStr">
        <is>
          <t>Competitive Exam Prep</t>
        </is>
      </c>
      <c r="E1243" t="inlineStr">
        <is>
          <t>West Region</t>
        </is>
      </c>
      <c r="F1243" t="inlineStr">
        <is>
          <t>Rep_03</t>
        </is>
      </c>
      <c r="G1243" t="n">
        <v>1.53</v>
      </c>
      <c r="H1243" t="inlineStr">
        <is>
          <t>Lead</t>
        </is>
      </c>
      <c r="I1243" t="inlineStr">
        <is>
          <t>Open</t>
        </is>
      </c>
      <c r="M1243">
        <f>VLOOKUP(H1243,'Stage Order'!$A$2:$B$8,2,FALSE)</f>
        <v/>
      </c>
      <c r="N1243">
        <f>IF(G1243&lt;=1,"1. Under 1 hour",IF(G1243&lt;=24,"2. 1-24 hours",IF(G1243&lt;=72,"3. 1-3 days","4. Over 3 days")))</f>
        <v/>
      </c>
      <c r="O1243">
        <f>TEXT(B1243,"YYYY-MM")</f>
        <v/>
      </c>
    </row>
    <row r="1244">
      <c r="A1244" t="inlineStr">
        <is>
          <t>LD-301242</t>
        </is>
      </c>
      <c r="B1244" t="inlineStr">
        <is>
          <t>2025-02-09 16:45:00</t>
        </is>
      </c>
      <c r="C1244" t="inlineStr">
        <is>
          <t>Webinar</t>
        </is>
      </c>
      <c r="D1244" t="inlineStr">
        <is>
          <t>Competitive Exam Prep</t>
        </is>
      </c>
      <c r="E1244" t="inlineStr">
        <is>
          <t>West Region</t>
        </is>
      </c>
      <c r="F1244" t="inlineStr">
        <is>
          <t>Rep_03</t>
        </is>
      </c>
      <c r="G1244" t="n">
        <v>2.03</v>
      </c>
      <c r="H1244" t="inlineStr">
        <is>
          <t>Closed</t>
        </is>
      </c>
      <c r="I1244" t="inlineStr">
        <is>
          <t>Won</t>
        </is>
      </c>
      <c r="K1244" t="n">
        <v>908.8</v>
      </c>
      <c r="L1244" t="inlineStr">
        <is>
          <t>2025-03-27 18:48:14.416257</t>
        </is>
      </c>
      <c r="M1244">
        <f>VLOOKUP(H1244,'Stage Order'!$A$2:$B$8,2,FALSE)</f>
        <v/>
      </c>
      <c r="N1244">
        <f>IF(G1244&lt;=1,"1. Under 1 hour",IF(G1244&lt;=24,"2. 1-24 hours",IF(G1244&lt;=72,"3. 1-3 days","4. Over 3 days")))</f>
        <v/>
      </c>
      <c r="O1244">
        <f>TEXT(B1244,"YYYY-MM")</f>
        <v/>
      </c>
    </row>
    <row r="1245">
      <c r="A1245" t="inlineStr">
        <is>
          <t>LD-301243</t>
        </is>
      </c>
      <c r="B1245" t="inlineStr">
        <is>
          <t>2026-03-10 18:28:00</t>
        </is>
      </c>
      <c r="C1245" t="inlineStr">
        <is>
          <t>Organic Search</t>
        </is>
      </c>
      <c r="D1245" t="inlineStr">
        <is>
          <t>Language Learning</t>
        </is>
      </c>
      <c r="E1245" t="inlineStr">
        <is>
          <t>North Region</t>
        </is>
      </c>
      <c r="F1245" t="inlineStr">
        <is>
          <t>Rep_06</t>
        </is>
      </c>
      <c r="G1245" t="n">
        <v>17.15</v>
      </c>
      <c r="H1245" t="inlineStr">
        <is>
          <t>Proposal Sent</t>
        </is>
      </c>
      <c r="I1245" t="inlineStr">
        <is>
          <t>Lost</t>
        </is>
      </c>
      <c r="J1245" t="inlineStr">
        <is>
          <t>No Response / Ghosted</t>
        </is>
      </c>
      <c r="K1245" t="n">
        <v>306.23</v>
      </c>
      <c r="L1245" t="inlineStr">
        <is>
          <t>2026-04-07 19:20:16.957917</t>
        </is>
      </c>
      <c r="M1245">
        <f>VLOOKUP(H1245,'Stage Order'!$A$2:$B$8,2,FALSE)</f>
        <v/>
      </c>
      <c r="N1245">
        <f>IF(G1245&lt;=1,"1. Under 1 hour",IF(G1245&lt;=24,"2. 1-24 hours",IF(G1245&lt;=72,"3. 1-3 days","4. Over 3 days")))</f>
        <v/>
      </c>
      <c r="O1245">
        <f>TEXT(B1245,"YYYY-MM")</f>
        <v/>
      </c>
    </row>
    <row r="1246">
      <c r="A1246" t="inlineStr">
        <is>
          <t>LD-301244</t>
        </is>
      </c>
      <c r="B1246" t="inlineStr">
        <is>
          <t>2026-01-14 12:07:00</t>
        </is>
      </c>
      <c r="C1246" t="inlineStr">
        <is>
          <t>Paid Search</t>
        </is>
      </c>
      <c r="D1246" t="inlineStr">
        <is>
          <t>Language Learning</t>
        </is>
      </c>
      <c r="E1246" t="inlineStr">
        <is>
          <t>North Region</t>
        </is>
      </c>
      <c r="F1246" t="inlineStr">
        <is>
          <t>Rep_11</t>
        </is>
      </c>
      <c r="G1246" t="n">
        <v>9.17</v>
      </c>
      <c r="H1246" t="inlineStr">
        <is>
          <t>Contacted</t>
        </is>
      </c>
      <c r="I1246" t="inlineStr">
        <is>
          <t>Open</t>
        </is>
      </c>
      <c r="M1246">
        <f>VLOOKUP(H1246,'Stage Order'!$A$2:$B$8,2,FALSE)</f>
        <v/>
      </c>
      <c r="N1246">
        <f>IF(G1246&lt;=1,"1. Under 1 hour",IF(G1246&lt;=24,"2. 1-24 hours",IF(G1246&lt;=72,"3. 1-3 days","4. Over 3 days")))</f>
        <v/>
      </c>
      <c r="O1246">
        <f>TEXT(B1246,"YYYY-MM")</f>
        <v/>
      </c>
    </row>
    <row r="1247">
      <c r="A1247" t="inlineStr">
        <is>
          <t>LD-301245</t>
        </is>
      </c>
      <c r="B1247" t="inlineStr">
        <is>
          <t>2026-05-01 14:32:00</t>
        </is>
      </c>
      <c r="C1247" t="inlineStr">
        <is>
          <t>Organic Search</t>
        </is>
      </c>
      <c r="D1247" t="inlineStr">
        <is>
          <t>K-12 Math</t>
        </is>
      </c>
      <c r="E1247" t="inlineStr">
        <is>
          <t>South Region</t>
        </is>
      </c>
      <c r="F1247" t="inlineStr">
        <is>
          <t>Rep_12</t>
        </is>
      </c>
      <c r="G1247" t="n">
        <v>2.32</v>
      </c>
      <c r="H1247" t="inlineStr">
        <is>
          <t>Demo Completed</t>
        </is>
      </c>
      <c r="I1247" t="inlineStr">
        <is>
          <t>Lost</t>
        </is>
      </c>
      <c r="J1247" t="inlineStr">
        <is>
          <t>Price Objection</t>
        </is>
      </c>
      <c r="K1247" t="n">
        <v>561.38</v>
      </c>
      <c r="L1247" t="inlineStr">
        <is>
          <t>2026-06-07 04:48:07.794597</t>
        </is>
      </c>
      <c r="M1247">
        <f>VLOOKUP(H1247,'Stage Order'!$A$2:$B$8,2,FALSE)</f>
        <v/>
      </c>
      <c r="N1247">
        <f>IF(G1247&lt;=1,"1. Under 1 hour",IF(G1247&lt;=24,"2. 1-24 hours",IF(G1247&lt;=72,"3. 1-3 days","4. Over 3 days")))</f>
        <v/>
      </c>
      <c r="O1247">
        <f>TEXT(B1247,"YYYY-MM")</f>
        <v/>
      </c>
    </row>
    <row r="1248">
      <c r="A1248" t="inlineStr">
        <is>
          <t>LD-301246</t>
        </is>
      </c>
      <c r="B1248" t="inlineStr">
        <is>
          <t>2025-04-07 13:38:00</t>
        </is>
      </c>
      <c r="C1248" t="inlineStr">
        <is>
          <t>Paid Search</t>
        </is>
      </c>
      <c r="D1248" t="inlineStr">
        <is>
          <t>K-12 Math</t>
        </is>
      </c>
      <c r="E1248" t="inlineStr">
        <is>
          <t>North Region</t>
        </is>
      </c>
      <c r="F1248" t="inlineStr">
        <is>
          <t>Rep_11</t>
        </is>
      </c>
      <c r="G1248" t="n">
        <v>13.19</v>
      </c>
      <c r="H1248" t="inlineStr">
        <is>
          <t>Contacted</t>
        </is>
      </c>
      <c r="I1248" t="inlineStr">
        <is>
          <t>Open</t>
        </is>
      </c>
      <c r="M1248">
        <f>VLOOKUP(H1248,'Stage Order'!$A$2:$B$8,2,FALSE)</f>
        <v/>
      </c>
      <c r="N1248">
        <f>IF(G1248&lt;=1,"1. Under 1 hour",IF(G1248&lt;=24,"2. 1-24 hours",IF(G1248&lt;=72,"3. 1-3 days","4. Over 3 days")))</f>
        <v/>
      </c>
      <c r="O1248">
        <f>TEXT(B1248,"YYYY-MM")</f>
        <v/>
      </c>
    </row>
    <row r="1249">
      <c r="A1249" t="inlineStr">
        <is>
          <t>LD-301247</t>
        </is>
      </c>
      <c r="B1249" t="inlineStr">
        <is>
          <t>2026-03-25 19:42:00</t>
        </is>
      </c>
      <c r="C1249" t="inlineStr">
        <is>
          <t>Paid Search</t>
        </is>
      </c>
      <c r="D1249" t="inlineStr">
        <is>
          <t>Competitive Exam Prep</t>
        </is>
      </c>
      <c r="E1249" t="inlineStr">
        <is>
          <t>South Region</t>
        </is>
      </c>
      <c r="F1249" t="inlineStr">
        <is>
          <t>Rep_07</t>
        </is>
      </c>
      <c r="G1249" t="n">
        <v>3.12</v>
      </c>
      <c r="H1249" t="inlineStr">
        <is>
          <t>Demo Completed</t>
        </is>
      </c>
      <c r="I1249" t="inlineStr">
        <is>
          <t>Lost</t>
        </is>
      </c>
      <c r="J1249" t="inlineStr">
        <is>
          <t>Went With Competitor</t>
        </is>
      </c>
      <c r="K1249" t="n">
        <v>1082.18</v>
      </c>
      <c r="L1249" t="inlineStr">
        <is>
          <t>2026-04-27 18:29:23.205754</t>
        </is>
      </c>
      <c r="M1249">
        <f>VLOOKUP(H1249,'Stage Order'!$A$2:$B$8,2,FALSE)</f>
        <v/>
      </c>
      <c r="N1249">
        <f>IF(G1249&lt;=1,"1. Under 1 hour",IF(G1249&lt;=24,"2. 1-24 hours",IF(G1249&lt;=72,"3. 1-3 days","4. Over 3 days")))</f>
        <v/>
      </c>
      <c r="O1249">
        <f>TEXT(B1249,"YYYY-MM")</f>
        <v/>
      </c>
    </row>
    <row r="1250">
      <c r="A1250" t="inlineStr">
        <is>
          <t>LD-301248</t>
        </is>
      </c>
      <c r="B1250" t="inlineStr">
        <is>
          <t>2025-09-18 08:20:00</t>
        </is>
      </c>
      <c r="C1250" t="inlineStr">
        <is>
          <t>Organic Search</t>
        </is>
      </c>
      <c r="D1250" t="inlineStr">
        <is>
          <t>Coding for Kids</t>
        </is>
      </c>
      <c r="E1250" t="inlineStr">
        <is>
          <t>East Region</t>
        </is>
      </c>
      <c r="F1250" t="inlineStr">
        <is>
          <t>Rep_04</t>
        </is>
      </c>
      <c r="G1250" t="n">
        <v>2.88</v>
      </c>
      <c r="H1250" t="inlineStr">
        <is>
          <t>Lead</t>
        </is>
      </c>
      <c r="I1250" t="inlineStr">
        <is>
          <t>Open</t>
        </is>
      </c>
      <c r="M1250">
        <f>VLOOKUP(H1250,'Stage Order'!$A$2:$B$8,2,FALSE)</f>
        <v/>
      </c>
      <c r="N1250">
        <f>IF(G1250&lt;=1,"1. Under 1 hour",IF(G1250&lt;=24,"2. 1-24 hours",IF(G1250&lt;=72,"3. 1-3 days","4. Over 3 days")))</f>
        <v/>
      </c>
      <c r="O1250">
        <f>TEXT(B1250,"YYYY-MM")</f>
        <v/>
      </c>
    </row>
    <row r="1251">
      <c r="A1251" t="inlineStr">
        <is>
          <t>LD-301249</t>
        </is>
      </c>
      <c r="B1251" t="inlineStr">
        <is>
          <t>2025-04-17 08:48:00</t>
        </is>
      </c>
      <c r="C1251" t="inlineStr">
        <is>
          <t>Referral</t>
        </is>
      </c>
      <c r="D1251" t="inlineStr">
        <is>
          <t>Language Learning</t>
        </is>
      </c>
      <c r="E1251" t="inlineStr">
        <is>
          <t>South Region</t>
        </is>
      </c>
      <c r="F1251" t="inlineStr">
        <is>
          <t>Rep_12</t>
        </is>
      </c>
      <c r="G1251" t="n">
        <v>2.68</v>
      </c>
      <c r="H1251" t="inlineStr">
        <is>
          <t>Contacted</t>
        </is>
      </c>
      <c r="I1251" t="inlineStr">
        <is>
          <t>Open</t>
        </is>
      </c>
      <c r="M1251">
        <f>VLOOKUP(H1251,'Stage Order'!$A$2:$B$8,2,FALSE)</f>
        <v/>
      </c>
      <c r="N1251">
        <f>IF(G1251&lt;=1,"1. Under 1 hour",IF(G1251&lt;=24,"2. 1-24 hours",IF(G1251&lt;=72,"3. 1-3 days","4. Over 3 days")))</f>
        <v/>
      </c>
      <c r="O1251">
        <f>TEXT(B1251,"YYYY-MM")</f>
        <v/>
      </c>
    </row>
    <row r="1252">
      <c r="A1252" t="inlineStr">
        <is>
          <t>LD-301250</t>
        </is>
      </c>
      <c r="B1252" t="inlineStr">
        <is>
          <t>2025-05-09 17:00:00</t>
        </is>
      </c>
      <c r="C1252" t="inlineStr">
        <is>
          <t>Organic Search</t>
        </is>
      </c>
      <c r="D1252" t="inlineStr">
        <is>
          <t>Language Learning</t>
        </is>
      </c>
      <c r="E1252" t="inlineStr">
        <is>
          <t>South Region</t>
        </is>
      </c>
      <c r="F1252" t="inlineStr">
        <is>
          <t>Rep_12</t>
        </is>
      </c>
      <c r="G1252" t="n">
        <v>2.25</v>
      </c>
      <c r="H1252" t="inlineStr">
        <is>
          <t>Demo Completed</t>
        </is>
      </c>
      <c r="I1252" t="inlineStr">
        <is>
          <t>Lost</t>
        </is>
      </c>
      <c r="J1252" t="inlineStr">
        <is>
          <t>Bad Timing</t>
        </is>
      </c>
      <c r="K1252" t="n">
        <v>343.64</v>
      </c>
      <c r="L1252" t="inlineStr">
        <is>
          <t>2025-06-12 07:39:32.117547</t>
        </is>
      </c>
      <c r="M1252">
        <f>VLOOKUP(H1252,'Stage Order'!$A$2:$B$8,2,FALSE)</f>
        <v/>
      </c>
      <c r="N1252">
        <f>IF(G1252&lt;=1,"1. Under 1 hour",IF(G1252&lt;=24,"2. 1-24 hours",IF(G1252&lt;=72,"3. 1-3 days","4. Over 3 days")))</f>
        <v/>
      </c>
      <c r="O1252">
        <f>TEXT(B1252,"YYYY-MM")</f>
        <v/>
      </c>
    </row>
    <row r="1253">
      <c r="A1253" t="inlineStr">
        <is>
          <t>LD-301251</t>
        </is>
      </c>
      <c r="B1253" t="inlineStr">
        <is>
          <t>2026-02-02 14:23:00</t>
        </is>
      </c>
      <c r="C1253" t="inlineStr">
        <is>
          <t>Organic Search</t>
        </is>
      </c>
      <c r="D1253" t="inlineStr">
        <is>
          <t>Study Abroad Prep</t>
        </is>
      </c>
      <c r="E1253" t="inlineStr">
        <is>
          <t>West Region</t>
        </is>
      </c>
      <c r="F1253" t="inlineStr">
        <is>
          <t>Rep_03</t>
        </is>
      </c>
      <c r="G1253" t="n">
        <v>3.26</v>
      </c>
      <c r="H1253" t="inlineStr">
        <is>
          <t>Contacted</t>
        </is>
      </c>
      <c r="I1253" t="inlineStr">
        <is>
          <t>Open</t>
        </is>
      </c>
      <c r="M1253">
        <f>VLOOKUP(H1253,'Stage Order'!$A$2:$B$8,2,FALSE)</f>
        <v/>
      </c>
      <c r="N1253">
        <f>IF(G1253&lt;=1,"1. Under 1 hour",IF(G1253&lt;=24,"2. 1-24 hours",IF(G1253&lt;=72,"3. 1-3 days","4. Over 3 days")))</f>
        <v/>
      </c>
      <c r="O1253">
        <f>TEXT(B1253,"YYYY-MM")</f>
        <v/>
      </c>
    </row>
    <row r="1254">
      <c r="A1254" t="inlineStr">
        <is>
          <t>LD-301252</t>
        </is>
      </c>
      <c r="B1254" t="inlineStr">
        <is>
          <t>2026-06-05 09:35:00</t>
        </is>
      </c>
      <c r="C1254" t="inlineStr">
        <is>
          <t>Organic Search</t>
        </is>
      </c>
      <c r="D1254" t="inlineStr">
        <is>
          <t>Language Learning</t>
        </is>
      </c>
      <c r="E1254" t="inlineStr">
        <is>
          <t>North Region</t>
        </is>
      </c>
      <c r="F1254" t="inlineStr">
        <is>
          <t>Rep_11</t>
        </is>
      </c>
      <c r="G1254" t="n">
        <v>3.21</v>
      </c>
      <c r="H1254" t="inlineStr">
        <is>
          <t>Contacted</t>
        </is>
      </c>
      <c r="I1254" t="inlineStr">
        <is>
          <t>Open</t>
        </is>
      </c>
      <c r="M1254">
        <f>VLOOKUP(H1254,'Stage Order'!$A$2:$B$8,2,FALSE)</f>
        <v/>
      </c>
      <c r="N1254">
        <f>IF(G1254&lt;=1,"1. Under 1 hour",IF(G1254&lt;=24,"2. 1-24 hours",IF(G1254&lt;=72,"3. 1-3 days","4. Over 3 days")))</f>
        <v/>
      </c>
      <c r="O1254">
        <f>TEXT(B1254,"YYYY-MM")</f>
        <v/>
      </c>
    </row>
    <row r="1255">
      <c r="A1255" t="inlineStr">
        <is>
          <t>LD-301253</t>
        </is>
      </c>
      <c r="B1255" t="inlineStr">
        <is>
          <t>2025-04-23 07:32:00</t>
        </is>
      </c>
      <c r="C1255" t="inlineStr">
        <is>
          <t>Referral</t>
        </is>
      </c>
      <c r="D1255" t="inlineStr">
        <is>
          <t>Language Learning</t>
        </is>
      </c>
      <c r="E1255" t="inlineStr">
        <is>
          <t>South Region</t>
        </is>
      </c>
      <c r="F1255" t="inlineStr">
        <is>
          <t>Rep_02</t>
        </is>
      </c>
      <c r="G1255" t="n">
        <v>7.51</v>
      </c>
      <c r="H1255" t="inlineStr">
        <is>
          <t>Closed</t>
        </is>
      </c>
      <c r="I1255" t="inlineStr">
        <is>
          <t>Won</t>
        </is>
      </c>
      <c r="K1255" t="n">
        <v>330.41</v>
      </c>
      <c r="L1255" t="inlineStr">
        <is>
          <t>2025-06-03 09:57:01.636118</t>
        </is>
      </c>
      <c r="M1255">
        <f>VLOOKUP(H1255,'Stage Order'!$A$2:$B$8,2,FALSE)</f>
        <v/>
      </c>
      <c r="N1255">
        <f>IF(G1255&lt;=1,"1. Under 1 hour",IF(G1255&lt;=24,"2. 1-24 hours",IF(G1255&lt;=72,"3. 1-3 days","4. Over 3 days")))</f>
        <v/>
      </c>
      <c r="O1255">
        <f>TEXT(B1255,"YYYY-MM")</f>
        <v/>
      </c>
    </row>
    <row r="1256">
      <c r="A1256" t="inlineStr">
        <is>
          <t>LD-301254</t>
        </is>
      </c>
      <c r="B1256" t="inlineStr">
        <is>
          <t>2025-08-06 20:19:00</t>
        </is>
      </c>
      <c r="C1256" t="inlineStr">
        <is>
          <t>Paid Search</t>
        </is>
      </c>
      <c r="D1256" t="inlineStr">
        <is>
          <t>Language Learning</t>
        </is>
      </c>
      <c r="E1256" t="inlineStr">
        <is>
          <t>West Region</t>
        </is>
      </c>
      <c r="F1256" t="inlineStr">
        <is>
          <t>Rep_03</t>
        </is>
      </c>
      <c r="G1256" t="n">
        <v>1.03</v>
      </c>
      <c r="H1256" t="inlineStr">
        <is>
          <t>Contacted</t>
        </is>
      </c>
      <c r="I1256" t="inlineStr">
        <is>
          <t>Open</t>
        </is>
      </c>
      <c r="M1256">
        <f>VLOOKUP(H1256,'Stage Order'!$A$2:$B$8,2,FALSE)</f>
        <v/>
      </c>
      <c r="N1256">
        <f>IF(G1256&lt;=1,"1. Under 1 hour",IF(G1256&lt;=24,"2. 1-24 hours",IF(G1256&lt;=72,"3. 1-3 days","4. Over 3 days")))</f>
        <v/>
      </c>
      <c r="O1256">
        <f>TEXT(B1256,"YYYY-MM")</f>
        <v/>
      </c>
    </row>
    <row r="1257">
      <c r="A1257" t="inlineStr">
        <is>
          <t>LD-301255</t>
        </is>
      </c>
      <c r="B1257" t="inlineStr">
        <is>
          <t>2026-03-29 14:05:00</t>
        </is>
      </c>
      <c r="C1257" t="inlineStr">
        <is>
          <t>Webinar</t>
        </is>
      </c>
      <c r="D1257" t="inlineStr">
        <is>
          <t>Language Learning</t>
        </is>
      </c>
      <c r="E1257" t="inlineStr">
        <is>
          <t>North Region</t>
        </is>
      </c>
      <c r="F1257" t="inlineStr">
        <is>
          <t>Rep_01</t>
        </is>
      </c>
      <c r="G1257" t="n">
        <v>3.29</v>
      </c>
      <c r="H1257" t="inlineStr">
        <is>
          <t>Contacted</t>
        </is>
      </c>
      <c r="I1257" t="inlineStr">
        <is>
          <t>Open</t>
        </is>
      </c>
      <c r="M1257">
        <f>VLOOKUP(H1257,'Stage Order'!$A$2:$B$8,2,FALSE)</f>
        <v/>
      </c>
      <c r="N1257">
        <f>IF(G1257&lt;=1,"1. Under 1 hour",IF(G1257&lt;=24,"2. 1-24 hours",IF(G1257&lt;=72,"3. 1-3 days","4. Over 3 days")))</f>
        <v/>
      </c>
      <c r="O1257">
        <f>TEXT(B1257,"YYYY-MM")</f>
        <v/>
      </c>
    </row>
    <row r="1258">
      <c r="A1258" t="inlineStr">
        <is>
          <t>LD-301256</t>
        </is>
      </c>
      <c r="B1258" t="inlineStr">
        <is>
          <t>2025-03-18 12:34:00</t>
        </is>
      </c>
      <c r="C1258" t="inlineStr">
        <is>
          <t>Webinar</t>
        </is>
      </c>
      <c r="D1258" t="inlineStr">
        <is>
          <t>K-12 Math</t>
        </is>
      </c>
      <c r="E1258" t="inlineStr">
        <is>
          <t>West Region</t>
        </is>
      </c>
      <c r="F1258" t="inlineStr">
        <is>
          <t>Rep_08</t>
        </is>
      </c>
      <c r="G1258" t="n">
        <v>15.31</v>
      </c>
      <c r="H1258" t="inlineStr">
        <is>
          <t>Closed</t>
        </is>
      </c>
      <c r="I1258" t="inlineStr">
        <is>
          <t>Won</t>
        </is>
      </c>
      <c r="K1258" t="n">
        <v>475.86</v>
      </c>
      <c r="L1258" t="inlineStr">
        <is>
          <t>2025-04-10 21:53:54.941760</t>
        </is>
      </c>
      <c r="M1258">
        <f>VLOOKUP(H1258,'Stage Order'!$A$2:$B$8,2,FALSE)</f>
        <v/>
      </c>
      <c r="N1258">
        <f>IF(G1258&lt;=1,"1. Under 1 hour",IF(G1258&lt;=24,"2. 1-24 hours",IF(G1258&lt;=72,"3. 1-3 days","4. Over 3 days")))</f>
        <v/>
      </c>
      <c r="O1258">
        <f>TEXT(B1258,"YYYY-MM")</f>
        <v/>
      </c>
    </row>
    <row r="1259">
      <c r="A1259" t="inlineStr">
        <is>
          <t>LD-301257</t>
        </is>
      </c>
      <c r="B1259" t="inlineStr">
        <is>
          <t>2026-01-02 19:50:00</t>
        </is>
      </c>
      <c r="C1259" t="inlineStr">
        <is>
          <t>Webinar</t>
        </is>
      </c>
      <c r="D1259" t="inlineStr">
        <is>
          <t>Competitive Exam Prep</t>
        </is>
      </c>
      <c r="E1259" t="inlineStr">
        <is>
          <t>South Region</t>
        </is>
      </c>
      <c r="F1259" t="inlineStr">
        <is>
          <t>Rep_07</t>
        </is>
      </c>
      <c r="G1259" t="n">
        <v>3.46</v>
      </c>
      <c r="H1259" t="inlineStr">
        <is>
          <t>Contacted</t>
        </is>
      </c>
      <c r="I1259" t="inlineStr">
        <is>
          <t>Open</t>
        </is>
      </c>
      <c r="M1259">
        <f>VLOOKUP(H1259,'Stage Order'!$A$2:$B$8,2,FALSE)</f>
        <v/>
      </c>
      <c r="N1259">
        <f>IF(G1259&lt;=1,"1. Under 1 hour",IF(G1259&lt;=24,"2. 1-24 hours",IF(G1259&lt;=72,"3. 1-3 days","4. Over 3 days")))</f>
        <v/>
      </c>
      <c r="O1259">
        <f>TEXT(B1259,"YYYY-MM")</f>
        <v/>
      </c>
    </row>
    <row r="1260">
      <c r="A1260" t="inlineStr">
        <is>
          <t>LD-301258</t>
        </is>
      </c>
      <c r="B1260" t="inlineStr">
        <is>
          <t>2026-01-28 16:47:00</t>
        </is>
      </c>
      <c r="C1260" t="inlineStr">
        <is>
          <t>Organic Search</t>
        </is>
      </c>
      <c r="D1260" t="inlineStr">
        <is>
          <t>Coding for Kids</t>
        </is>
      </c>
      <c r="E1260" t="inlineStr">
        <is>
          <t>South Region</t>
        </is>
      </c>
      <c r="F1260" t="inlineStr">
        <is>
          <t>Rep_12</t>
        </is>
      </c>
      <c r="G1260" t="n">
        <v>1.4</v>
      </c>
      <c r="H1260" t="inlineStr">
        <is>
          <t>Contacted</t>
        </is>
      </c>
      <c r="I1260" t="inlineStr">
        <is>
          <t>Open</t>
        </is>
      </c>
      <c r="M1260">
        <f>VLOOKUP(H1260,'Stage Order'!$A$2:$B$8,2,FALSE)</f>
        <v/>
      </c>
      <c r="N1260">
        <f>IF(G1260&lt;=1,"1. Under 1 hour",IF(G1260&lt;=24,"2. 1-24 hours",IF(G1260&lt;=72,"3. 1-3 days","4. Over 3 days")))</f>
        <v/>
      </c>
      <c r="O1260">
        <f>TEXT(B1260,"YYYY-MM")</f>
        <v/>
      </c>
    </row>
    <row r="1261">
      <c r="A1261" t="inlineStr">
        <is>
          <t>LD-301259</t>
        </is>
      </c>
      <c r="B1261" t="inlineStr">
        <is>
          <t>2025-08-15 14:57:00</t>
        </is>
      </c>
      <c r="C1261" t="inlineStr">
        <is>
          <t>Social Media</t>
        </is>
      </c>
      <c r="D1261" t="inlineStr">
        <is>
          <t>Competitive Exam Prep</t>
        </is>
      </c>
      <c r="E1261" t="inlineStr">
        <is>
          <t>East Region</t>
        </is>
      </c>
      <c r="F1261" t="inlineStr">
        <is>
          <t>Rep_14</t>
        </is>
      </c>
      <c r="G1261" t="n">
        <v>6.47</v>
      </c>
      <c r="H1261" t="inlineStr">
        <is>
          <t>Lead</t>
        </is>
      </c>
      <c r="I1261" t="inlineStr">
        <is>
          <t>Open</t>
        </is>
      </c>
      <c r="M1261">
        <f>VLOOKUP(H1261,'Stage Order'!$A$2:$B$8,2,FALSE)</f>
        <v/>
      </c>
      <c r="N1261">
        <f>IF(G1261&lt;=1,"1. Under 1 hour",IF(G1261&lt;=24,"2. 1-24 hours",IF(G1261&lt;=72,"3. 1-3 days","4. Over 3 days")))</f>
        <v/>
      </c>
      <c r="O1261">
        <f>TEXT(B1261,"YYYY-MM")</f>
        <v/>
      </c>
    </row>
    <row r="1262">
      <c r="A1262" t="inlineStr">
        <is>
          <t>LD-301260</t>
        </is>
      </c>
      <c r="B1262" t="inlineStr">
        <is>
          <t>2026-01-02 14:45:00</t>
        </is>
      </c>
      <c r="C1262" t="inlineStr">
        <is>
          <t>Paid Search</t>
        </is>
      </c>
      <c r="D1262" t="inlineStr">
        <is>
          <t>Study Abroad Prep</t>
        </is>
      </c>
      <c r="E1262" t="inlineStr">
        <is>
          <t>West Region</t>
        </is>
      </c>
      <c r="F1262" t="inlineStr">
        <is>
          <t>Rep_13</t>
        </is>
      </c>
      <c r="G1262" t="n">
        <v>1.48</v>
      </c>
      <c r="H1262" t="inlineStr">
        <is>
          <t>Contacted</t>
        </is>
      </c>
      <c r="I1262" t="inlineStr">
        <is>
          <t>Open</t>
        </is>
      </c>
      <c r="M1262">
        <f>VLOOKUP(H1262,'Stage Order'!$A$2:$B$8,2,FALSE)</f>
        <v/>
      </c>
      <c r="N1262">
        <f>IF(G1262&lt;=1,"1. Under 1 hour",IF(G1262&lt;=24,"2. 1-24 hours",IF(G1262&lt;=72,"3. 1-3 days","4. Over 3 days")))</f>
        <v/>
      </c>
      <c r="O1262">
        <f>TEXT(B1262,"YYYY-MM")</f>
        <v/>
      </c>
    </row>
    <row r="1263">
      <c r="A1263" t="inlineStr">
        <is>
          <t>LD-301261</t>
        </is>
      </c>
      <c r="B1263" t="inlineStr">
        <is>
          <t>2025-06-16 09:08:00</t>
        </is>
      </c>
      <c r="C1263" t="inlineStr">
        <is>
          <t>Cold Outreach</t>
        </is>
      </c>
      <c r="D1263" t="inlineStr">
        <is>
          <t>Coding for Kids</t>
        </is>
      </c>
      <c r="E1263" t="inlineStr">
        <is>
          <t>International</t>
        </is>
      </c>
      <c r="F1263" t="inlineStr">
        <is>
          <t>Rep_05</t>
        </is>
      </c>
      <c r="G1263" t="n">
        <v>11.31</v>
      </c>
      <c r="H1263" t="inlineStr">
        <is>
          <t>Contacted</t>
        </is>
      </c>
      <c r="I1263" t="inlineStr">
        <is>
          <t>Open</t>
        </is>
      </c>
      <c r="M1263">
        <f>VLOOKUP(H1263,'Stage Order'!$A$2:$B$8,2,FALSE)</f>
        <v/>
      </c>
      <c r="N1263">
        <f>IF(G1263&lt;=1,"1. Under 1 hour",IF(G1263&lt;=24,"2. 1-24 hours",IF(G1263&lt;=72,"3. 1-3 days","4. Over 3 days")))</f>
        <v/>
      </c>
      <c r="O1263">
        <f>TEXT(B1263,"YYYY-MM")</f>
        <v/>
      </c>
    </row>
    <row r="1264">
      <c r="A1264" t="inlineStr">
        <is>
          <t>LD-301262</t>
        </is>
      </c>
      <c r="B1264" t="inlineStr">
        <is>
          <t>2025-03-28 17:38:00</t>
        </is>
      </c>
      <c r="C1264" t="inlineStr">
        <is>
          <t>Paid Search</t>
        </is>
      </c>
      <c r="D1264" t="inlineStr">
        <is>
          <t>K-12 Math</t>
        </is>
      </c>
      <c r="E1264" t="inlineStr">
        <is>
          <t>International</t>
        </is>
      </c>
      <c r="F1264" t="inlineStr">
        <is>
          <t>Rep_15</t>
        </is>
      </c>
      <c r="G1264" t="n">
        <v>3.94</v>
      </c>
      <c r="H1264" t="inlineStr">
        <is>
          <t>Contacted</t>
        </is>
      </c>
      <c r="I1264" t="inlineStr">
        <is>
          <t>Open</t>
        </is>
      </c>
      <c r="M1264">
        <f>VLOOKUP(H1264,'Stage Order'!$A$2:$B$8,2,FALSE)</f>
        <v/>
      </c>
      <c r="N1264">
        <f>IF(G1264&lt;=1,"1. Under 1 hour",IF(G1264&lt;=24,"2. 1-24 hours",IF(G1264&lt;=72,"3. 1-3 days","4. Over 3 days")))</f>
        <v/>
      </c>
      <c r="O1264">
        <f>TEXT(B1264,"YYYY-MM")</f>
        <v/>
      </c>
    </row>
    <row r="1265">
      <c r="A1265" t="inlineStr">
        <is>
          <t>LD-301263</t>
        </is>
      </c>
      <c r="B1265" t="inlineStr">
        <is>
          <t>2026-02-16 14:11:00</t>
        </is>
      </c>
      <c r="C1265" t="inlineStr">
        <is>
          <t>Referral</t>
        </is>
      </c>
      <c r="D1265" t="inlineStr">
        <is>
          <t>Language Learning</t>
        </is>
      </c>
      <c r="E1265" t="inlineStr">
        <is>
          <t>South Region</t>
        </is>
      </c>
      <c r="F1265" t="inlineStr">
        <is>
          <t>Rep_12</t>
        </is>
      </c>
      <c r="G1265" t="n">
        <v>1.9</v>
      </c>
      <c r="H1265" t="inlineStr">
        <is>
          <t>Closed</t>
        </is>
      </c>
      <c r="I1265" t="inlineStr">
        <is>
          <t>Won</t>
        </is>
      </c>
      <c r="K1265" t="n">
        <v>313.13</v>
      </c>
      <c r="L1265" t="inlineStr">
        <is>
          <t>2026-04-01 11:39:56.816499</t>
        </is>
      </c>
      <c r="M1265">
        <f>VLOOKUP(H1265,'Stage Order'!$A$2:$B$8,2,FALSE)</f>
        <v/>
      </c>
      <c r="N1265">
        <f>IF(G1265&lt;=1,"1. Under 1 hour",IF(G1265&lt;=24,"2. 1-24 hours",IF(G1265&lt;=72,"3. 1-3 days","4. Over 3 days")))</f>
        <v/>
      </c>
      <c r="O1265">
        <f>TEXT(B1265,"YYYY-MM")</f>
        <v/>
      </c>
    </row>
    <row r="1266">
      <c r="A1266" t="inlineStr">
        <is>
          <t>LD-301264</t>
        </is>
      </c>
      <c r="B1266" t="inlineStr">
        <is>
          <t>2025-01-01 14:27:00</t>
        </is>
      </c>
      <c r="C1266" t="inlineStr">
        <is>
          <t>Referral</t>
        </is>
      </c>
      <c r="D1266" t="inlineStr">
        <is>
          <t>Competitive Exam Prep</t>
        </is>
      </c>
      <c r="E1266" t="inlineStr">
        <is>
          <t>North Region</t>
        </is>
      </c>
      <c r="F1266" t="inlineStr">
        <is>
          <t>Rep_06</t>
        </is>
      </c>
      <c r="G1266" t="n">
        <v>6.89</v>
      </c>
      <c r="H1266" t="inlineStr">
        <is>
          <t>Negotiation</t>
        </is>
      </c>
      <c r="I1266" t="inlineStr">
        <is>
          <t>Lost</t>
        </is>
      </c>
      <c r="J1266" t="inlineStr">
        <is>
          <t>Went With Competitor</t>
        </is>
      </c>
      <c r="K1266" t="n">
        <v>1016.51</v>
      </c>
      <c r="L1266" t="inlineStr">
        <is>
          <t>2025-02-18 17:06:52.841799</t>
        </is>
      </c>
      <c r="M1266">
        <f>VLOOKUP(H1266,'Stage Order'!$A$2:$B$8,2,FALSE)</f>
        <v/>
      </c>
      <c r="N1266">
        <f>IF(G1266&lt;=1,"1. Under 1 hour",IF(G1266&lt;=24,"2. 1-24 hours",IF(G1266&lt;=72,"3. 1-3 days","4. Over 3 days")))</f>
        <v/>
      </c>
      <c r="O1266">
        <f>TEXT(B1266,"YYYY-MM")</f>
        <v/>
      </c>
    </row>
    <row r="1267">
      <c r="A1267" t="inlineStr">
        <is>
          <t>LD-301265</t>
        </is>
      </c>
      <c r="B1267" t="inlineStr">
        <is>
          <t>2026-03-27 18:14:00</t>
        </is>
      </c>
      <c r="C1267" t="inlineStr">
        <is>
          <t>Social Media</t>
        </is>
      </c>
      <c r="D1267" t="inlineStr">
        <is>
          <t>K-12 Math</t>
        </is>
      </c>
      <c r="E1267" t="inlineStr">
        <is>
          <t>South Region</t>
        </is>
      </c>
      <c r="F1267" t="inlineStr">
        <is>
          <t>Rep_07</t>
        </is>
      </c>
      <c r="G1267" t="n">
        <v>4.14</v>
      </c>
      <c r="H1267" t="inlineStr">
        <is>
          <t>Lead</t>
        </is>
      </c>
      <c r="I1267" t="inlineStr">
        <is>
          <t>Open</t>
        </is>
      </c>
      <c r="M1267">
        <f>VLOOKUP(H1267,'Stage Order'!$A$2:$B$8,2,FALSE)</f>
        <v/>
      </c>
      <c r="N1267">
        <f>IF(G1267&lt;=1,"1. Under 1 hour",IF(G1267&lt;=24,"2. 1-24 hours",IF(G1267&lt;=72,"3. 1-3 days","4. Over 3 days")))</f>
        <v/>
      </c>
      <c r="O1267">
        <f>TEXT(B1267,"YYYY-MM")</f>
        <v/>
      </c>
    </row>
    <row r="1268">
      <c r="A1268" t="inlineStr">
        <is>
          <t>LD-301266</t>
        </is>
      </c>
      <c r="B1268" t="inlineStr">
        <is>
          <t>2025-07-22 14:24:00</t>
        </is>
      </c>
      <c r="C1268" t="inlineStr">
        <is>
          <t>Referral</t>
        </is>
      </c>
      <c r="D1268" t="inlineStr">
        <is>
          <t>Competitive Exam Prep</t>
        </is>
      </c>
      <c r="E1268" t="inlineStr">
        <is>
          <t>North Region</t>
        </is>
      </c>
      <c r="F1268" t="inlineStr">
        <is>
          <t>Rep_01</t>
        </is>
      </c>
      <c r="G1268" t="n">
        <v>1.34</v>
      </c>
      <c r="H1268" t="inlineStr">
        <is>
          <t>Contacted</t>
        </is>
      </c>
      <c r="I1268" t="inlineStr">
        <is>
          <t>Open</t>
        </is>
      </c>
      <c r="M1268">
        <f>VLOOKUP(H1268,'Stage Order'!$A$2:$B$8,2,FALSE)</f>
        <v/>
      </c>
      <c r="N1268">
        <f>IF(G1268&lt;=1,"1. Under 1 hour",IF(G1268&lt;=24,"2. 1-24 hours",IF(G1268&lt;=72,"3. 1-3 days","4. Over 3 days")))</f>
        <v/>
      </c>
      <c r="O1268">
        <f>TEXT(B1268,"YYYY-MM")</f>
        <v/>
      </c>
    </row>
    <row r="1269">
      <c r="A1269" t="inlineStr">
        <is>
          <t>LD-301267</t>
        </is>
      </c>
      <c r="B1269" t="inlineStr">
        <is>
          <t>2026-06-10 14:37:00</t>
        </is>
      </c>
      <c r="C1269" t="inlineStr">
        <is>
          <t>Organic Search</t>
        </is>
      </c>
      <c r="D1269" t="inlineStr">
        <is>
          <t>Coding for Kids</t>
        </is>
      </c>
      <c r="E1269" t="inlineStr">
        <is>
          <t>South Region</t>
        </is>
      </c>
      <c r="F1269" t="inlineStr">
        <is>
          <t>Rep_02</t>
        </is>
      </c>
      <c r="G1269" t="n">
        <v>6.51</v>
      </c>
      <c r="H1269" t="inlineStr">
        <is>
          <t>Contacted</t>
        </is>
      </c>
      <c r="I1269" t="inlineStr">
        <is>
          <t>Open</t>
        </is>
      </c>
      <c r="M1269">
        <f>VLOOKUP(H1269,'Stage Order'!$A$2:$B$8,2,FALSE)</f>
        <v/>
      </c>
      <c r="N1269">
        <f>IF(G1269&lt;=1,"1. Under 1 hour",IF(G1269&lt;=24,"2. 1-24 hours",IF(G1269&lt;=72,"3. 1-3 days","4. Over 3 days")))</f>
        <v/>
      </c>
      <c r="O1269">
        <f>TEXT(B1269,"YYYY-MM")</f>
        <v/>
      </c>
    </row>
    <row r="1270">
      <c r="A1270" t="inlineStr">
        <is>
          <t>LD-301268</t>
        </is>
      </c>
      <c r="B1270" t="inlineStr">
        <is>
          <t>2025-04-03 08:34:00</t>
        </is>
      </c>
      <c r="C1270" t="inlineStr">
        <is>
          <t>Referral</t>
        </is>
      </c>
      <c r="D1270" t="inlineStr">
        <is>
          <t>Competitive Exam Prep</t>
        </is>
      </c>
      <c r="E1270" t="inlineStr">
        <is>
          <t>East Region</t>
        </is>
      </c>
      <c r="F1270" t="inlineStr">
        <is>
          <t>Rep_04</t>
        </is>
      </c>
      <c r="G1270" t="n">
        <v>0.59</v>
      </c>
      <c r="H1270" t="inlineStr">
        <is>
          <t>Closed</t>
        </is>
      </c>
      <c r="I1270" t="inlineStr">
        <is>
          <t>Won</t>
        </is>
      </c>
      <c r="K1270" t="n">
        <v>890.85</v>
      </c>
      <c r="L1270" t="inlineStr">
        <is>
          <t>2025-05-05 13:39:15.772310</t>
        </is>
      </c>
      <c r="M1270">
        <f>VLOOKUP(H1270,'Stage Order'!$A$2:$B$8,2,FALSE)</f>
        <v/>
      </c>
      <c r="N1270">
        <f>IF(G1270&lt;=1,"1. Under 1 hour",IF(G1270&lt;=24,"2. 1-24 hours",IF(G1270&lt;=72,"3. 1-3 days","4. Over 3 days")))</f>
        <v/>
      </c>
      <c r="O1270">
        <f>TEXT(B1270,"YYYY-MM")</f>
        <v/>
      </c>
    </row>
    <row r="1271">
      <c r="A1271" t="inlineStr">
        <is>
          <t>LD-301269</t>
        </is>
      </c>
      <c r="B1271" t="inlineStr">
        <is>
          <t>2025-08-13 11:40:00</t>
        </is>
      </c>
      <c r="C1271" t="inlineStr">
        <is>
          <t>Referral</t>
        </is>
      </c>
      <c r="D1271" t="inlineStr">
        <is>
          <t>K-12 Math</t>
        </is>
      </c>
      <c r="E1271" t="inlineStr">
        <is>
          <t>South Region</t>
        </is>
      </c>
      <c r="F1271" t="inlineStr">
        <is>
          <t>Rep_07</t>
        </is>
      </c>
      <c r="G1271" t="n">
        <v>9.74</v>
      </c>
      <c r="H1271" t="inlineStr">
        <is>
          <t>Contacted</t>
        </is>
      </c>
      <c r="I1271" t="inlineStr">
        <is>
          <t>Open</t>
        </is>
      </c>
      <c r="M1271">
        <f>VLOOKUP(H1271,'Stage Order'!$A$2:$B$8,2,FALSE)</f>
        <v/>
      </c>
      <c r="N1271">
        <f>IF(G1271&lt;=1,"1. Under 1 hour",IF(G1271&lt;=24,"2. 1-24 hours",IF(G1271&lt;=72,"3. 1-3 days","4. Over 3 days")))</f>
        <v/>
      </c>
      <c r="O1271">
        <f>TEXT(B1271,"YYYY-MM")</f>
        <v/>
      </c>
    </row>
    <row r="1272">
      <c r="A1272" t="inlineStr">
        <is>
          <t>LD-301270</t>
        </is>
      </c>
      <c r="B1272" t="inlineStr">
        <is>
          <t>2025-08-07 07:35:00</t>
        </is>
      </c>
      <c r="C1272" t="inlineStr">
        <is>
          <t>Referral</t>
        </is>
      </c>
      <c r="D1272" t="inlineStr">
        <is>
          <t>Study Abroad Prep</t>
        </is>
      </c>
      <c r="E1272" t="inlineStr">
        <is>
          <t>East Region</t>
        </is>
      </c>
      <c r="F1272" t="inlineStr">
        <is>
          <t>Rep_09</t>
        </is>
      </c>
      <c r="G1272" t="n">
        <v>8.109999999999999</v>
      </c>
      <c r="H1272" t="inlineStr">
        <is>
          <t>Closed</t>
        </is>
      </c>
      <c r="I1272" t="inlineStr">
        <is>
          <t>Won</t>
        </is>
      </c>
      <c r="K1272" t="n">
        <v>1681.42</v>
      </c>
      <c r="L1272" t="inlineStr">
        <is>
          <t>2025-09-17 12:31:47.422825</t>
        </is>
      </c>
      <c r="M1272">
        <f>VLOOKUP(H1272,'Stage Order'!$A$2:$B$8,2,FALSE)</f>
        <v/>
      </c>
      <c r="N1272">
        <f>IF(G1272&lt;=1,"1. Under 1 hour",IF(G1272&lt;=24,"2. 1-24 hours",IF(G1272&lt;=72,"3. 1-3 days","4. Over 3 days")))</f>
        <v/>
      </c>
      <c r="O1272">
        <f>TEXT(B1272,"YYYY-MM")</f>
        <v/>
      </c>
    </row>
    <row r="1273">
      <c r="A1273" t="inlineStr">
        <is>
          <t>LD-301271</t>
        </is>
      </c>
      <c r="B1273" t="inlineStr">
        <is>
          <t>2025-01-12 07:17:00</t>
        </is>
      </c>
      <c r="C1273" t="inlineStr">
        <is>
          <t>Social Media</t>
        </is>
      </c>
      <c r="D1273" t="inlineStr">
        <is>
          <t>K-12 Math</t>
        </is>
      </c>
      <c r="E1273" t="inlineStr">
        <is>
          <t>East Region</t>
        </is>
      </c>
      <c r="F1273" t="inlineStr">
        <is>
          <t>Rep_14</t>
        </is>
      </c>
      <c r="G1273" t="n">
        <v>1.25</v>
      </c>
      <c r="H1273" t="inlineStr">
        <is>
          <t>Lead</t>
        </is>
      </c>
      <c r="I1273" t="inlineStr">
        <is>
          <t>Open</t>
        </is>
      </c>
      <c r="M1273">
        <f>VLOOKUP(H1273,'Stage Order'!$A$2:$B$8,2,FALSE)</f>
        <v/>
      </c>
      <c r="N1273">
        <f>IF(G1273&lt;=1,"1. Under 1 hour",IF(G1273&lt;=24,"2. 1-24 hours",IF(G1273&lt;=72,"3. 1-3 days","4. Over 3 days")))</f>
        <v/>
      </c>
      <c r="O1273">
        <f>TEXT(B1273,"YYYY-MM")</f>
        <v/>
      </c>
    </row>
    <row r="1274">
      <c r="A1274" t="inlineStr">
        <is>
          <t>LD-301272</t>
        </is>
      </c>
      <c r="B1274" t="inlineStr">
        <is>
          <t>2025-12-30 08:39:00</t>
        </is>
      </c>
      <c r="C1274" t="inlineStr">
        <is>
          <t>Cold Outreach</t>
        </is>
      </c>
      <c r="D1274" t="inlineStr">
        <is>
          <t>Study Abroad Prep</t>
        </is>
      </c>
      <c r="E1274" t="inlineStr">
        <is>
          <t>International</t>
        </is>
      </c>
      <c r="F1274" t="inlineStr">
        <is>
          <t>Rep_15</t>
        </is>
      </c>
      <c r="G1274" t="n">
        <v>8.289999999999999</v>
      </c>
      <c r="H1274" t="inlineStr">
        <is>
          <t>Lead</t>
        </is>
      </c>
      <c r="I1274" t="inlineStr">
        <is>
          <t>Open</t>
        </is>
      </c>
      <c r="M1274">
        <f>VLOOKUP(H1274,'Stage Order'!$A$2:$B$8,2,FALSE)</f>
        <v/>
      </c>
      <c r="N1274">
        <f>IF(G1274&lt;=1,"1. Under 1 hour",IF(G1274&lt;=24,"2. 1-24 hours",IF(G1274&lt;=72,"3. 1-3 days","4. Over 3 days")))</f>
        <v/>
      </c>
      <c r="O1274">
        <f>TEXT(B1274,"YYYY-MM")</f>
        <v/>
      </c>
    </row>
    <row r="1275">
      <c r="A1275" t="inlineStr">
        <is>
          <t>LD-301273</t>
        </is>
      </c>
      <c r="B1275" t="inlineStr">
        <is>
          <t>2025-07-09 10:05:00</t>
        </is>
      </c>
      <c r="C1275" t="inlineStr">
        <is>
          <t>Webinar</t>
        </is>
      </c>
      <c r="D1275" t="inlineStr">
        <is>
          <t>Study Abroad Prep</t>
        </is>
      </c>
      <c r="E1275" t="inlineStr">
        <is>
          <t>North Region</t>
        </is>
      </c>
      <c r="F1275" t="inlineStr">
        <is>
          <t>Rep_01</t>
        </is>
      </c>
      <c r="G1275" t="n">
        <v>0.84</v>
      </c>
      <c r="H1275" t="inlineStr">
        <is>
          <t>Negotiation</t>
        </is>
      </c>
      <c r="I1275" t="inlineStr">
        <is>
          <t>Lost</t>
        </is>
      </c>
      <c r="J1275" t="inlineStr">
        <is>
          <t>Bad Timing</t>
        </is>
      </c>
      <c r="K1275" t="n">
        <v>1566.35</v>
      </c>
      <c r="L1275" t="inlineStr">
        <is>
          <t>2025-09-06 06:43:13.552437</t>
        </is>
      </c>
      <c r="M1275">
        <f>VLOOKUP(H1275,'Stage Order'!$A$2:$B$8,2,FALSE)</f>
        <v/>
      </c>
      <c r="N1275">
        <f>IF(G1275&lt;=1,"1. Under 1 hour",IF(G1275&lt;=24,"2. 1-24 hours",IF(G1275&lt;=72,"3. 1-3 days","4. Over 3 days")))</f>
        <v/>
      </c>
      <c r="O1275">
        <f>TEXT(B1275,"YYYY-MM")</f>
        <v/>
      </c>
    </row>
    <row r="1276">
      <c r="A1276" t="inlineStr">
        <is>
          <t>LD-301274</t>
        </is>
      </c>
      <c r="B1276" t="inlineStr">
        <is>
          <t>2025-09-04 11:09:00</t>
        </is>
      </c>
      <c r="C1276" t="inlineStr">
        <is>
          <t>Paid Search</t>
        </is>
      </c>
      <c r="D1276" t="inlineStr">
        <is>
          <t>Competitive Exam Prep</t>
        </is>
      </c>
      <c r="E1276" t="inlineStr">
        <is>
          <t>North Region</t>
        </is>
      </c>
      <c r="F1276" t="inlineStr">
        <is>
          <t>Rep_11</t>
        </is>
      </c>
      <c r="G1276" t="n">
        <v>0.9</v>
      </c>
      <c r="H1276" t="inlineStr">
        <is>
          <t>Contacted</t>
        </is>
      </c>
      <c r="I1276" t="inlineStr">
        <is>
          <t>Open</t>
        </is>
      </c>
      <c r="M1276">
        <f>VLOOKUP(H1276,'Stage Order'!$A$2:$B$8,2,FALSE)</f>
        <v/>
      </c>
      <c r="N1276">
        <f>IF(G1276&lt;=1,"1. Under 1 hour",IF(G1276&lt;=24,"2. 1-24 hours",IF(G1276&lt;=72,"3. 1-3 days","4. Over 3 days")))</f>
        <v/>
      </c>
      <c r="O1276">
        <f>TEXT(B1276,"YYYY-MM")</f>
        <v/>
      </c>
    </row>
    <row r="1277">
      <c r="A1277" t="inlineStr">
        <is>
          <t>LD-301275</t>
        </is>
      </c>
      <c r="B1277" t="inlineStr">
        <is>
          <t>2025-04-23 12:41:00</t>
        </is>
      </c>
      <c r="C1277" t="inlineStr">
        <is>
          <t>Paid Search</t>
        </is>
      </c>
      <c r="D1277" t="inlineStr">
        <is>
          <t>Competitive Exam Prep</t>
        </is>
      </c>
      <c r="E1277" t="inlineStr">
        <is>
          <t>West Region</t>
        </is>
      </c>
      <c r="F1277" t="inlineStr">
        <is>
          <t>Rep_08</t>
        </is>
      </c>
      <c r="G1277" t="n">
        <v>10.02</v>
      </c>
      <c r="H1277" t="inlineStr">
        <is>
          <t>Contacted</t>
        </is>
      </c>
      <c r="I1277" t="inlineStr">
        <is>
          <t>Open</t>
        </is>
      </c>
      <c r="M1277">
        <f>VLOOKUP(H1277,'Stage Order'!$A$2:$B$8,2,FALSE)</f>
        <v/>
      </c>
      <c r="N1277">
        <f>IF(G1277&lt;=1,"1. Under 1 hour",IF(G1277&lt;=24,"2. 1-24 hours",IF(G1277&lt;=72,"3. 1-3 days","4. Over 3 days")))</f>
        <v/>
      </c>
      <c r="O1277">
        <f>TEXT(B1277,"YYYY-MM")</f>
        <v/>
      </c>
    </row>
    <row r="1278">
      <c r="A1278" t="inlineStr">
        <is>
          <t>LD-301276</t>
        </is>
      </c>
      <c r="B1278" t="inlineStr">
        <is>
          <t>2025-05-16 20:42:00</t>
        </is>
      </c>
      <c r="C1278" t="inlineStr">
        <is>
          <t>Paid Search</t>
        </is>
      </c>
      <c r="D1278" t="inlineStr">
        <is>
          <t>Language Learning</t>
        </is>
      </c>
      <c r="E1278" t="inlineStr">
        <is>
          <t>North Region</t>
        </is>
      </c>
      <c r="F1278" t="inlineStr">
        <is>
          <t>Rep_11</t>
        </is>
      </c>
      <c r="G1278" t="n">
        <v>0.97</v>
      </c>
      <c r="H1278" t="inlineStr">
        <is>
          <t>Closed</t>
        </is>
      </c>
      <c r="I1278" t="inlineStr">
        <is>
          <t>Won</t>
        </is>
      </c>
      <c r="K1278" t="n">
        <v>378.57</v>
      </c>
      <c r="L1278" t="inlineStr">
        <is>
          <t>2025-06-24 22:23:28.182182</t>
        </is>
      </c>
      <c r="M1278">
        <f>VLOOKUP(H1278,'Stage Order'!$A$2:$B$8,2,FALSE)</f>
        <v/>
      </c>
      <c r="N1278">
        <f>IF(G1278&lt;=1,"1. Under 1 hour",IF(G1278&lt;=24,"2. 1-24 hours",IF(G1278&lt;=72,"3. 1-3 days","4. Over 3 days")))</f>
        <v/>
      </c>
      <c r="O1278">
        <f>TEXT(B1278,"YYYY-MM")</f>
        <v/>
      </c>
    </row>
    <row r="1279">
      <c r="A1279" t="inlineStr">
        <is>
          <t>LD-301277</t>
        </is>
      </c>
      <c r="B1279" t="inlineStr">
        <is>
          <t>2025-09-10 08:25:00</t>
        </is>
      </c>
      <c r="C1279" t="inlineStr">
        <is>
          <t>Referral</t>
        </is>
      </c>
      <c r="D1279" t="inlineStr">
        <is>
          <t>Language Learning</t>
        </is>
      </c>
      <c r="E1279" t="inlineStr">
        <is>
          <t>South Region</t>
        </is>
      </c>
      <c r="F1279" t="inlineStr">
        <is>
          <t>Rep_12</t>
        </is>
      </c>
      <c r="G1279" t="n">
        <v>12.68</v>
      </c>
      <c r="H1279" t="inlineStr">
        <is>
          <t>Closed</t>
        </is>
      </c>
      <c r="I1279" t="inlineStr">
        <is>
          <t>Won</t>
        </is>
      </c>
      <c r="K1279" t="n">
        <v>343.86</v>
      </c>
      <c r="L1279" t="inlineStr">
        <is>
          <t>2025-10-16 15:38:39.593824</t>
        </is>
      </c>
      <c r="M1279">
        <f>VLOOKUP(H1279,'Stage Order'!$A$2:$B$8,2,FALSE)</f>
        <v/>
      </c>
      <c r="N1279">
        <f>IF(G1279&lt;=1,"1. Under 1 hour",IF(G1279&lt;=24,"2. 1-24 hours",IF(G1279&lt;=72,"3. 1-3 days","4. Over 3 days")))</f>
        <v/>
      </c>
      <c r="O1279">
        <f>TEXT(B1279,"YYYY-MM")</f>
        <v/>
      </c>
    </row>
    <row r="1280">
      <c r="A1280" t="inlineStr">
        <is>
          <t>LD-301278</t>
        </is>
      </c>
      <c r="B1280" t="inlineStr">
        <is>
          <t>2025-10-31 13:31:00</t>
        </is>
      </c>
      <c r="C1280" t="inlineStr">
        <is>
          <t>Paid Search</t>
        </is>
      </c>
      <c r="D1280" t="inlineStr">
        <is>
          <t>K-12 Math</t>
        </is>
      </c>
      <c r="E1280" t="inlineStr">
        <is>
          <t>East Region</t>
        </is>
      </c>
      <c r="F1280" t="inlineStr">
        <is>
          <t>Rep_04</t>
        </is>
      </c>
      <c r="G1280" t="n">
        <v>2.96</v>
      </c>
      <c r="H1280" t="inlineStr">
        <is>
          <t>Contacted</t>
        </is>
      </c>
      <c r="I1280" t="inlineStr">
        <is>
          <t>Open</t>
        </is>
      </c>
      <c r="M1280">
        <f>VLOOKUP(H1280,'Stage Order'!$A$2:$B$8,2,FALSE)</f>
        <v/>
      </c>
      <c r="N1280">
        <f>IF(G1280&lt;=1,"1. Under 1 hour",IF(G1280&lt;=24,"2. 1-24 hours",IF(G1280&lt;=72,"3. 1-3 days","4. Over 3 days")))</f>
        <v/>
      </c>
      <c r="O1280">
        <f>TEXT(B1280,"YYYY-MM")</f>
        <v/>
      </c>
    </row>
    <row r="1281">
      <c r="A1281" t="inlineStr">
        <is>
          <t>LD-301279</t>
        </is>
      </c>
      <c r="B1281" t="inlineStr">
        <is>
          <t>2026-01-09 09:25:00</t>
        </is>
      </c>
      <c r="C1281" t="inlineStr">
        <is>
          <t>Paid Search</t>
        </is>
      </c>
      <c r="D1281" t="inlineStr">
        <is>
          <t>Language Learning</t>
        </is>
      </c>
      <c r="E1281" t="inlineStr">
        <is>
          <t>West Region</t>
        </is>
      </c>
      <c r="F1281" t="inlineStr">
        <is>
          <t>Rep_13</t>
        </is>
      </c>
      <c r="G1281" t="n">
        <v>6.7</v>
      </c>
      <c r="H1281" t="inlineStr">
        <is>
          <t>Negotiation</t>
        </is>
      </c>
      <c r="I1281" t="inlineStr">
        <is>
          <t>Lost</t>
        </is>
      </c>
      <c r="J1281" t="inlineStr">
        <is>
          <t>No Response / Ghosted</t>
        </is>
      </c>
      <c r="K1281" t="n">
        <v>412.13</v>
      </c>
      <c r="L1281" t="inlineStr">
        <is>
          <t>2026-02-24 09:45:39.360980</t>
        </is>
      </c>
      <c r="M1281">
        <f>VLOOKUP(H1281,'Stage Order'!$A$2:$B$8,2,FALSE)</f>
        <v/>
      </c>
      <c r="N1281">
        <f>IF(G1281&lt;=1,"1. Under 1 hour",IF(G1281&lt;=24,"2. 1-24 hours",IF(G1281&lt;=72,"3. 1-3 days","4. Over 3 days")))</f>
        <v/>
      </c>
      <c r="O1281">
        <f>TEXT(B1281,"YYYY-MM")</f>
        <v/>
      </c>
    </row>
    <row r="1282">
      <c r="A1282" t="inlineStr">
        <is>
          <t>LD-301280</t>
        </is>
      </c>
      <c r="B1282" t="inlineStr">
        <is>
          <t>2026-03-13 18:11:00</t>
        </is>
      </c>
      <c r="C1282" t="inlineStr">
        <is>
          <t>Cold Outreach</t>
        </is>
      </c>
      <c r="D1282" t="inlineStr">
        <is>
          <t>K-12 Math</t>
        </is>
      </c>
      <c r="E1282" t="inlineStr">
        <is>
          <t>West Region</t>
        </is>
      </c>
      <c r="F1282" t="inlineStr">
        <is>
          <t>Rep_03</t>
        </is>
      </c>
      <c r="G1282" t="n">
        <v>0.95</v>
      </c>
      <c r="H1282" t="inlineStr">
        <is>
          <t>Negotiation</t>
        </is>
      </c>
      <c r="I1282" t="inlineStr">
        <is>
          <t>Lost</t>
        </is>
      </c>
      <c r="J1282" t="inlineStr">
        <is>
          <t>No Response / Ghosted</t>
        </is>
      </c>
      <c r="K1282" t="n">
        <v>505.41</v>
      </c>
      <c r="L1282" t="inlineStr">
        <is>
          <t>2026-04-24 22:26:55.797764</t>
        </is>
      </c>
      <c r="M1282">
        <f>VLOOKUP(H1282,'Stage Order'!$A$2:$B$8,2,FALSE)</f>
        <v/>
      </c>
      <c r="N1282">
        <f>IF(G1282&lt;=1,"1. Under 1 hour",IF(G1282&lt;=24,"2. 1-24 hours",IF(G1282&lt;=72,"3. 1-3 days","4. Over 3 days")))</f>
        <v/>
      </c>
      <c r="O1282">
        <f>TEXT(B1282,"YYYY-MM")</f>
        <v/>
      </c>
    </row>
    <row r="1283">
      <c r="A1283" t="inlineStr">
        <is>
          <t>LD-301281</t>
        </is>
      </c>
      <c r="B1283" t="inlineStr">
        <is>
          <t>2026-04-22 14:00:00</t>
        </is>
      </c>
      <c r="C1283" t="inlineStr">
        <is>
          <t>Paid Search</t>
        </is>
      </c>
      <c r="D1283" t="inlineStr">
        <is>
          <t>Language Learning</t>
        </is>
      </c>
      <c r="E1283" t="inlineStr">
        <is>
          <t>International</t>
        </is>
      </c>
      <c r="F1283" t="inlineStr">
        <is>
          <t>Rep_05</t>
        </is>
      </c>
      <c r="G1283" t="n">
        <v>0.51</v>
      </c>
      <c r="H1283" t="inlineStr">
        <is>
          <t>Contacted</t>
        </is>
      </c>
      <c r="I1283" t="inlineStr">
        <is>
          <t>Open</t>
        </is>
      </c>
      <c r="M1283">
        <f>VLOOKUP(H1283,'Stage Order'!$A$2:$B$8,2,FALSE)</f>
        <v/>
      </c>
      <c r="N1283">
        <f>IF(G1283&lt;=1,"1. Under 1 hour",IF(G1283&lt;=24,"2. 1-24 hours",IF(G1283&lt;=72,"3. 1-3 days","4. Over 3 days")))</f>
        <v/>
      </c>
      <c r="O1283">
        <f>TEXT(B1283,"YYYY-MM")</f>
        <v/>
      </c>
    </row>
    <row r="1284">
      <c r="A1284" t="inlineStr">
        <is>
          <t>LD-301282</t>
        </is>
      </c>
      <c r="B1284" t="inlineStr">
        <is>
          <t>2025-02-28 07:06:00</t>
        </is>
      </c>
      <c r="C1284" t="inlineStr">
        <is>
          <t>Referral</t>
        </is>
      </c>
      <c r="D1284" t="inlineStr">
        <is>
          <t>K-12 Math</t>
        </is>
      </c>
      <c r="E1284" t="inlineStr">
        <is>
          <t>West Region</t>
        </is>
      </c>
      <c r="F1284" t="inlineStr">
        <is>
          <t>Rep_03</t>
        </is>
      </c>
      <c r="G1284" t="n">
        <v>1.22</v>
      </c>
      <c r="H1284" t="inlineStr">
        <is>
          <t>Contacted</t>
        </is>
      </c>
      <c r="I1284" t="inlineStr">
        <is>
          <t>Open</t>
        </is>
      </c>
      <c r="M1284">
        <f>VLOOKUP(H1284,'Stage Order'!$A$2:$B$8,2,FALSE)</f>
        <v/>
      </c>
      <c r="N1284">
        <f>IF(G1284&lt;=1,"1. Under 1 hour",IF(G1284&lt;=24,"2. 1-24 hours",IF(G1284&lt;=72,"3. 1-3 days","4. Over 3 days")))</f>
        <v/>
      </c>
      <c r="O1284">
        <f>TEXT(B1284,"YYYY-MM")</f>
        <v/>
      </c>
    </row>
    <row r="1285">
      <c r="A1285" t="inlineStr">
        <is>
          <t>LD-301283</t>
        </is>
      </c>
      <c r="B1285" t="inlineStr">
        <is>
          <t>2026-05-01 14:33:00</t>
        </is>
      </c>
      <c r="C1285" t="inlineStr">
        <is>
          <t>Organic Search</t>
        </is>
      </c>
      <c r="D1285" t="inlineStr">
        <is>
          <t>Language Learning</t>
        </is>
      </c>
      <c r="E1285" t="inlineStr">
        <is>
          <t>North Region</t>
        </is>
      </c>
      <c r="F1285" t="inlineStr">
        <is>
          <t>Rep_11</t>
        </is>
      </c>
      <c r="G1285" t="n">
        <v>3.71</v>
      </c>
      <c r="H1285" t="inlineStr">
        <is>
          <t>Negotiation</t>
        </is>
      </c>
      <c r="I1285" t="inlineStr">
        <is>
          <t>Lost</t>
        </is>
      </c>
      <c r="J1285" t="inlineStr">
        <is>
          <t>Went With Competitor</t>
        </is>
      </c>
      <c r="K1285" t="n">
        <v>323.9</v>
      </c>
      <c r="L1285" t="inlineStr">
        <is>
          <t>2026-06-24 14:32:27.347840</t>
        </is>
      </c>
      <c r="M1285">
        <f>VLOOKUP(H1285,'Stage Order'!$A$2:$B$8,2,FALSE)</f>
        <v/>
      </c>
      <c r="N1285">
        <f>IF(G1285&lt;=1,"1. Under 1 hour",IF(G1285&lt;=24,"2. 1-24 hours",IF(G1285&lt;=72,"3. 1-3 days","4. Over 3 days")))</f>
        <v/>
      </c>
      <c r="O1285">
        <f>TEXT(B1285,"YYYY-MM")</f>
        <v/>
      </c>
    </row>
    <row r="1286">
      <c r="A1286" t="inlineStr">
        <is>
          <t>LD-301284</t>
        </is>
      </c>
      <c r="B1286" t="inlineStr">
        <is>
          <t>2025-02-23 16:53:00</t>
        </is>
      </c>
      <c r="C1286" t="inlineStr">
        <is>
          <t>Webinar</t>
        </is>
      </c>
      <c r="D1286" t="inlineStr">
        <is>
          <t>K-12 Math</t>
        </is>
      </c>
      <c r="E1286" t="inlineStr">
        <is>
          <t>West Region</t>
        </is>
      </c>
      <c r="F1286" t="inlineStr">
        <is>
          <t>Rep_08</t>
        </is>
      </c>
      <c r="G1286" t="n">
        <v>2.81</v>
      </c>
      <c r="H1286" t="inlineStr">
        <is>
          <t>Proposal Sent</t>
        </is>
      </c>
      <c r="I1286" t="inlineStr">
        <is>
          <t>Lost</t>
        </is>
      </c>
      <c r="J1286" t="inlineStr">
        <is>
          <t>Went With Competitor</t>
        </is>
      </c>
      <c r="K1286" t="n">
        <v>444.48</v>
      </c>
      <c r="L1286" t="inlineStr">
        <is>
          <t>2025-04-05 00:16:57.033282</t>
        </is>
      </c>
      <c r="M1286">
        <f>VLOOKUP(H1286,'Stage Order'!$A$2:$B$8,2,FALSE)</f>
        <v/>
      </c>
      <c r="N1286">
        <f>IF(G1286&lt;=1,"1. Under 1 hour",IF(G1286&lt;=24,"2. 1-24 hours",IF(G1286&lt;=72,"3. 1-3 days","4. Over 3 days")))</f>
        <v/>
      </c>
      <c r="O1286">
        <f>TEXT(B1286,"YYYY-MM")</f>
        <v/>
      </c>
    </row>
    <row r="1287">
      <c r="A1287" t="inlineStr">
        <is>
          <t>LD-301285</t>
        </is>
      </c>
      <c r="B1287" t="inlineStr">
        <is>
          <t>2025-11-03 10:45:00</t>
        </is>
      </c>
      <c r="C1287" t="inlineStr">
        <is>
          <t>Paid Search</t>
        </is>
      </c>
      <c r="D1287" t="inlineStr">
        <is>
          <t>K-12 Math</t>
        </is>
      </c>
      <c r="E1287" t="inlineStr">
        <is>
          <t>South Region</t>
        </is>
      </c>
      <c r="F1287" t="inlineStr">
        <is>
          <t>Rep_07</t>
        </is>
      </c>
      <c r="G1287" t="n">
        <v>1.9</v>
      </c>
      <c r="H1287" t="inlineStr">
        <is>
          <t>Contacted</t>
        </is>
      </c>
      <c r="I1287" t="inlineStr">
        <is>
          <t>Open</t>
        </is>
      </c>
      <c r="M1287">
        <f>VLOOKUP(H1287,'Stage Order'!$A$2:$B$8,2,FALSE)</f>
        <v/>
      </c>
      <c r="N1287">
        <f>IF(G1287&lt;=1,"1. Under 1 hour",IF(G1287&lt;=24,"2. 1-24 hours",IF(G1287&lt;=72,"3. 1-3 days","4. Over 3 days")))</f>
        <v/>
      </c>
      <c r="O1287">
        <f>TEXT(B1287,"YYYY-MM")</f>
        <v/>
      </c>
    </row>
    <row r="1288">
      <c r="A1288" t="inlineStr">
        <is>
          <t>LD-301286</t>
        </is>
      </c>
      <c r="B1288" t="inlineStr">
        <is>
          <t>2025-01-03 10:29:00</t>
        </is>
      </c>
      <c r="C1288" t="inlineStr">
        <is>
          <t>Partner Channel</t>
        </is>
      </c>
      <c r="D1288" t="inlineStr">
        <is>
          <t>K-12 Math</t>
        </is>
      </c>
      <c r="E1288" t="inlineStr">
        <is>
          <t>North Region</t>
        </is>
      </c>
      <c r="F1288" t="inlineStr">
        <is>
          <t>Rep_11</t>
        </is>
      </c>
      <c r="G1288" t="n">
        <v>7.26</v>
      </c>
      <c r="H1288" t="inlineStr">
        <is>
          <t>Proposal Sent</t>
        </is>
      </c>
      <c r="I1288" t="inlineStr">
        <is>
          <t>Lost</t>
        </is>
      </c>
      <c r="J1288" t="inlineStr">
        <is>
          <t>No Response / Ghosted</t>
        </is>
      </c>
      <c r="K1288" t="n">
        <v>476.56</v>
      </c>
      <c r="L1288" t="inlineStr">
        <is>
          <t>2025-02-06 05:56:07.142990</t>
        </is>
      </c>
      <c r="M1288">
        <f>VLOOKUP(H1288,'Stage Order'!$A$2:$B$8,2,FALSE)</f>
        <v/>
      </c>
      <c r="N1288">
        <f>IF(G1288&lt;=1,"1. Under 1 hour",IF(G1288&lt;=24,"2. 1-24 hours",IF(G1288&lt;=72,"3. 1-3 days","4. Over 3 days")))</f>
        <v/>
      </c>
      <c r="O1288">
        <f>TEXT(B1288,"YYYY-MM")</f>
        <v/>
      </c>
    </row>
    <row r="1289">
      <c r="A1289" t="inlineStr">
        <is>
          <t>LD-301287</t>
        </is>
      </c>
      <c r="B1289" t="inlineStr">
        <is>
          <t>2025-08-22 20:47:00</t>
        </is>
      </c>
      <c r="C1289" t="inlineStr">
        <is>
          <t>Referral</t>
        </is>
      </c>
      <c r="D1289" t="inlineStr">
        <is>
          <t>Coding for Kids</t>
        </is>
      </c>
      <c r="E1289" t="inlineStr">
        <is>
          <t>North Region</t>
        </is>
      </c>
      <c r="F1289" t="inlineStr">
        <is>
          <t>Rep_01</t>
        </is>
      </c>
      <c r="G1289" t="n">
        <v>5.52</v>
      </c>
      <c r="H1289" t="inlineStr">
        <is>
          <t>Contacted</t>
        </is>
      </c>
      <c r="I1289" t="inlineStr">
        <is>
          <t>Open</t>
        </is>
      </c>
      <c r="M1289">
        <f>VLOOKUP(H1289,'Stage Order'!$A$2:$B$8,2,FALSE)</f>
        <v/>
      </c>
      <c r="N1289">
        <f>IF(G1289&lt;=1,"1. Under 1 hour",IF(G1289&lt;=24,"2. 1-24 hours",IF(G1289&lt;=72,"3. 1-3 days","4. Over 3 days")))</f>
        <v/>
      </c>
      <c r="O1289">
        <f>TEXT(B1289,"YYYY-MM")</f>
        <v/>
      </c>
    </row>
    <row r="1290">
      <c r="A1290" t="inlineStr">
        <is>
          <t>LD-301288</t>
        </is>
      </c>
      <c r="B1290" t="inlineStr">
        <is>
          <t>2025-04-03 12:58:00</t>
        </is>
      </c>
      <c r="C1290" t="inlineStr">
        <is>
          <t>Social Media</t>
        </is>
      </c>
      <c r="D1290" t="inlineStr">
        <is>
          <t>K-12 Math</t>
        </is>
      </c>
      <c r="E1290" t="inlineStr">
        <is>
          <t>South Region</t>
        </is>
      </c>
      <c r="F1290" t="inlineStr">
        <is>
          <t>Rep_02</t>
        </is>
      </c>
      <c r="G1290" t="n">
        <v>0.89</v>
      </c>
      <c r="H1290" t="inlineStr">
        <is>
          <t>Contacted</t>
        </is>
      </c>
      <c r="I1290" t="inlineStr">
        <is>
          <t>Open</t>
        </is>
      </c>
      <c r="M1290">
        <f>VLOOKUP(H1290,'Stage Order'!$A$2:$B$8,2,FALSE)</f>
        <v/>
      </c>
      <c r="N1290">
        <f>IF(G1290&lt;=1,"1. Under 1 hour",IF(G1290&lt;=24,"2. 1-24 hours",IF(G1290&lt;=72,"3. 1-3 days","4. Over 3 days")))</f>
        <v/>
      </c>
      <c r="O1290">
        <f>TEXT(B1290,"YYYY-MM")</f>
        <v/>
      </c>
    </row>
    <row r="1291">
      <c r="A1291" t="inlineStr">
        <is>
          <t>LD-301289</t>
        </is>
      </c>
      <c r="B1291" t="inlineStr">
        <is>
          <t>2025-09-05 07:37:00</t>
        </is>
      </c>
      <c r="C1291" t="inlineStr">
        <is>
          <t>Social Media</t>
        </is>
      </c>
      <c r="D1291" t="inlineStr">
        <is>
          <t>Coding for Kids</t>
        </is>
      </c>
      <c r="E1291" t="inlineStr">
        <is>
          <t>North Region</t>
        </is>
      </c>
      <c r="F1291" t="inlineStr">
        <is>
          <t>Rep_01</t>
        </is>
      </c>
      <c r="G1291" t="n">
        <v>1.1</v>
      </c>
      <c r="H1291" t="inlineStr">
        <is>
          <t>Lead</t>
        </is>
      </c>
      <c r="I1291" t="inlineStr">
        <is>
          <t>Open</t>
        </is>
      </c>
      <c r="M1291">
        <f>VLOOKUP(H1291,'Stage Order'!$A$2:$B$8,2,FALSE)</f>
        <v/>
      </c>
      <c r="N1291">
        <f>IF(G1291&lt;=1,"1. Under 1 hour",IF(G1291&lt;=24,"2. 1-24 hours",IF(G1291&lt;=72,"3. 1-3 days","4. Over 3 days")))</f>
        <v/>
      </c>
      <c r="O1291">
        <f>TEXT(B1291,"YYYY-MM")</f>
        <v/>
      </c>
    </row>
    <row r="1292">
      <c r="A1292" t="inlineStr">
        <is>
          <t>LD-301290</t>
        </is>
      </c>
      <c r="B1292" t="inlineStr">
        <is>
          <t>2025-01-24 07:02:00</t>
        </is>
      </c>
      <c r="C1292" t="inlineStr">
        <is>
          <t>Organic Search</t>
        </is>
      </c>
      <c r="D1292" t="inlineStr">
        <is>
          <t>Language Learning</t>
        </is>
      </c>
      <c r="E1292" t="inlineStr">
        <is>
          <t>South Region</t>
        </is>
      </c>
      <c r="F1292" t="inlineStr">
        <is>
          <t>Rep_07</t>
        </is>
      </c>
      <c r="G1292" t="n">
        <v>7.51</v>
      </c>
      <c r="H1292" t="inlineStr">
        <is>
          <t>Contacted</t>
        </is>
      </c>
      <c r="I1292" t="inlineStr">
        <is>
          <t>Open</t>
        </is>
      </c>
      <c r="M1292">
        <f>VLOOKUP(H1292,'Stage Order'!$A$2:$B$8,2,FALSE)</f>
        <v/>
      </c>
      <c r="N1292">
        <f>IF(G1292&lt;=1,"1. Under 1 hour",IF(G1292&lt;=24,"2. 1-24 hours",IF(G1292&lt;=72,"3. 1-3 days","4. Over 3 days")))</f>
        <v/>
      </c>
      <c r="O1292">
        <f>TEXT(B1292,"YYYY-MM")</f>
        <v/>
      </c>
    </row>
    <row r="1293">
      <c r="A1293" t="inlineStr">
        <is>
          <t>LD-301291</t>
        </is>
      </c>
      <c r="B1293" t="inlineStr">
        <is>
          <t>2026-02-11 19:21:00</t>
        </is>
      </c>
      <c r="C1293" t="inlineStr">
        <is>
          <t>Cold Outreach</t>
        </is>
      </c>
      <c r="D1293" t="inlineStr">
        <is>
          <t>Coding for Kids</t>
        </is>
      </c>
      <c r="E1293" t="inlineStr">
        <is>
          <t>North Region</t>
        </is>
      </c>
      <c r="F1293" t="inlineStr">
        <is>
          <t>Rep_01</t>
        </is>
      </c>
      <c r="G1293" t="n">
        <v>2.24</v>
      </c>
      <c r="H1293" t="inlineStr">
        <is>
          <t>Lead</t>
        </is>
      </c>
      <c r="I1293" t="inlineStr">
        <is>
          <t>Open</t>
        </is>
      </c>
      <c r="M1293">
        <f>VLOOKUP(H1293,'Stage Order'!$A$2:$B$8,2,FALSE)</f>
        <v/>
      </c>
      <c r="N1293">
        <f>IF(G1293&lt;=1,"1. Under 1 hour",IF(G1293&lt;=24,"2. 1-24 hours",IF(G1293&lt;=72,"3. 1-3 days","4. Over 3 days")))</f>
        <v/>
      </c>
      <c r="O1293">
        <f>TEXT(B1293,"YYYY-MM")</f>
        <v/>
      </c>
    </row>
    <row r="1294">
      <c r="A1294" t="inlineStr">
        <is>
          <t>LD-301292</t>
        </is>
      </c>
      <c r="B1294" t="inlineStr">
        <is>
          <t>2025-11-14 18:46:00</t>
        </is>
      </c>
      <c r="C1294" t="inlineStr">
        <is>
          <t>Organic Search</t>
        </is>
      </c>
      <c r="D1294" t="inlineStr">
        <is>
          <t>Competitive Exam Prep</t>
        </is>
      </c>
      <c r="E1294" t="inlineStr">
        <is>
          <t>South Region</t>
        </is>
      </c>
      <c r="F1294" t="inlineStr">
        <is>
          <t>Rep_12</t>
        </is>
      </c>
      <c r="G1294" t="n">
        <v>13.9</v>
      </c>
      <c r="H1294" t="inlineStr">
        <is>
          <t>Negotiation</t>
        </is>
      </c>
      <c r="I1294" t="inlineStr">
        <is>
          <t>Lost</t>
        </is>
      </c>
      <c r="J1294" t="inlineStr">
        <is>
          <t>No Response / Ghosted</t>
        </is>
      </c>
      <c r="K1294" t="n">
        <v>863.77</v>
      </c>
      <c r="L1294" t="inlineStr">
        <is>
          <t>2025-12-27 07:21:15.399049</t>
        </is>
      </c>
      <c r="M1294">
        <f>VLOOKUP(H1294,'Stage Order'!$A$2:$B$8,2,FALSE)</f>
        <v/>
      </c>
      <c r="N1294">
        <f>IF(G1294&lt;=1,"1. Under 1 hour",IF(G1294&lt;=24,"2. 1-24 hours",IF(G1294&lt;=72,"3. 1-3 days","4. Over 3 days")))</f>
        <v/>
      </c>
      <c r="O1294">
        <f>TEXT(B1294,"YYYY-MM")</f>
        <v/>
      </c>
    </row>
    <row r="1295">
      <c r="A1295" t="inlineStr">
        <is>
          <t>LD-301293</t>
        </is>
      </c>
      <c r="B1295" t="inlineStr">
        <is>
          <t>2026-06-16 19:50:00</t>
        </is>
      </c>
      <c r="C1295" t="inlineStr">
        <is>
          <t>Referral</t>
        </is>
      </c>
      <c r="D1295" t="inlineStr">
        <is>
          <t>K-12 Math</t>
        </is>
      </c>
      <c r="E1295" t="inlineStr">
        <is>
          <t>West Region</t>
        </is>
      </c>
      <c r="F1295" t="inlineStr">
        <is>
          <t>Rep_03</t>
        </is>
      </c>
      <c r="G1295" t="n">
        <v>0.62</v>
      </c>
      <c r="H1295" t="inlineStr">
        <is>
          <t>Contacted</t>
        </is>
      </c>
      <c r="I1295" t="inlineStr">
        <is>
          <t>Open</t>
        </is>
      </c>
      <c r="M1295">
        <f>VLOOKUP(H1295,'Stage Order'!$A$2:$B$8,2,FALSE)</f>
        <v/>
      </c>
      <c r="N1295">
        <f>IF(G1295&lt;=1,"1. Under 1 hour",IF(G1295&lt;=24,"2. 1-24 hours",IF(G1295&lt;=72,"3. 1-3 days","4. Over 3 days")))</f>
        <v/>
      </c>
      <c r="O1295">
        <f>TEXT(B1295,"YYYY-MM")</f>
        <v/>
      </c>
    </row>
    <row r="1296">
      <c r="A1296" t="inlineStr">
        <is>
          <t>LD-301294</t>
        </is>
      </c>
      <c r="B1296" t="inlineStr">
        <is>
          <t>2026-04-24 16:54:00</t>
        </is>
      </c>
      <c r="C1296" t="inlineStr">
        <is>
          <t>Webinar</t>
        </is>
      </c>
      <c r="D1296" t="inlineStr">
        <is>
          <t>Competitive Exam Prep</t>
        </is>
      </c>
      <c r="E1296" t="inlineStr">
        <is>
          <t>West Region</t>
        </is>
      </c>
      <c r="F1296" t="inlineStr">
        <is>
          <t>Rep_08</t>
        </is>
      </c>
      <c r="G1296" t="n">
        <v>2.09</v>
      </c>
      <c r="H1296" t="inlineStr">
        <is>
          <t>Contacted</t>
        </is>
      </c>
      <c r="I1296" t="inlineStr">
        <is>
          <t>Open</t>
        </is>
      </c>
      <c r="M1296">
        <f>VLOOKUP(H1296,'Stage Order'!$A$2:$B$8,2,FALSE)</f>
        <v/>
      </c>
      <c r="N1296">
        <f>IF(G1296&lt;=1,"1. Under 1 hour",IF(G1296&lt;=24,"2. 1-24 hours",IF(G1296&lt;=72,"3. 1-3 days","4. Over 3 days")))</f>
        <v/>
      </c>
      <c r="O1296">
        <f>TEXT(B1296,"YYYY-MM")</f>
        <v/>
      </c>
    </row>
    <row r="1297">
      <c r="A1297" t="inlineStr">
        <is>
          <t>LD-301295</t>
        </is>
      </c>
      <c r="B1297" t="inlineStr">
        <is>
          <t>2026-06-12 15:23:00</t>
        </is>
      </c>
      <c r="C1297" t="inlineStr">
        <is>
          <t>Organic Search</t>
        </is>
      </c>
      <c r="D1297" t="inlineStr">
        <is>
          <t>Coding for Kids</t>
        </is>
      </c>
      <c r="E1297" t="inlineStr">
        <is>
          <t>South Region</t>
        </is>
      </c>
      <c r="F1297" t="inlineStr">
        <is>
          <t>Rep_02</t>
        </is>
      </c>
      <c r="G1297" t="n">
        <v>0.53</v>
      </c>
      <c r="H1297" t="inlineStr">
        <is>
          <t>Contacted</t>
        </is>
      </c>
      <c r="I1297" t="inlineStr">
        <is>
          <t>Open</t>
        </is>
      </c>
      <c r="M1297">
        <f>VLOOKUP(H1297,'Stage Order'!$A$2:$B$8,2,FALSE)</f>
        <v/>
      </c>
      <c r="N1297">
        <f>IF(G1297&lt;=1,"1. Under 1 hour",IF(G1297&lt;=24,"2. 1-24 hours",IF(G1297&lt;=72,"3. 1-3 days","4. Over 3 days")))</f>
        <v/>
      </c>
      <c r="O1297">
        <f>TEXT(B1297,"YYYY-MM")</f>
        <v/>
      </c>
    </row>
    <row r="1298">
      <c r="A1298" t="inlineStr">
        <is>
          <t>LD-301296</t>
        </is>
      </c>
      <c r="B1298" t="inlineStr">
        <is>
          <t>2025-03-28 11:42:00</t>
        </is>
      </c>
      <c r="C1298" t="inlineStr">
        <is>
          <t>Social Media</t>
        </is>
      </c>
      <c r="D1298" t="inlineStr">
        <is>
          <t>K-12 Math</t>
        </is>
      </c>
      <c r="E1298" t="inlineStr">
        <is>
          <t>South Region</t>
        </is>
      </c>
      <c r="F1298" t="inlineStr">
        <is>
          <t>Rep_12</t>
        </is>
      </c>
      <c r="G1298" t="n">
        <v>2</v>
      </c>
      <c r="H1298" t="inlineStr">
        <is>
          <t>Contacted</t>
        </is>
      </c>
      <c r="I1298" t="inlineStr">
        <is>
          <t>Open</t>
        </is>
      </c>
      <c r="M1298">
        <f>VLOOKUP(H1298,'Stage Order'!$A$2:$B$8,2,FALSE)</f>
        <v/>
      </c>
      <c r="N1298">
        <f>IF(G1298&lt;=1,"1. Under 1 hour",IF(G1298&lt;=24,"2. 1-24 hours",IF(G1298&lt;=72,"3. 1-3 days","4. Over 3 days")))</f>
        <v/>
      </c>
      <c r="O1298">
        <f>TEXT(B1298,"YYYY-MM")</f>
        <v/>
      </c>
    </row>
    <row r="1299">
      <c r="A1299" t="inlineStr">
        <is>
          <t>LD-301297</t>
        </is>
      </c>
      <c r="B1299" t="inlineStr">
        <is>
          <t>2025-02-14 20:26:00</t>
        </is>
      </c>
      <c r="C1299" t="inlineStr">
        <is>
          <t>Paid Search</t>
        </is>
      </c>
      <c r="D1299" t="inlineStr">
        <is>
          <t>Coding for Kids</t>
        </is>
      </c>
      <c r="E1299" t="inlineStr">
        <is>
          <t>West Region</t>
        </is>
      </c>
      <c r="F1299" t="inlineStr">
        <is>
          <t>Rep_08</t>
        </is>
      </c>
      <c r="G1299" t="n">
        <v>4.2</v>
      </c>
      <c r="H1299" t="inlineStr">
        <is>
          <t>Demo Completed</t>
        </is>
      </c>
      <c r="I1299" t="inlineStr">
        <is>
          <t>Lost</t>
        </is>
      </c>
      <c r="J1299" t="inlineStr">
        <is>
          <t>No Response / Ghosted</t>
        </is>
      </c>
      <c r="K1299" t="n">
        <v>566.17</v>
      </c>
      <c r="L1299" t="inlineStr">
        <is>
          <t>2025-03-27 04:48:53.086118</t>
        </is>
      </c>
      <c r="M1299">
        <f>VLOOKUP(H1299,'Stage Order'!$A$2:$B$8,2,FALSE)</f>
        <v/>
      </c>
      <c r="N1299">
        <f>IF(G1299&lt;=1,"1. Under 1 hour",IF(G1299&lt;=24,"2. 1-24 hours",IF(G1299&lt;=72,"3. 1-3 days","4. Over 3 days")))</f>
        <v/>
      </c>
      <c r="O1299">
        <f>TEXT(B1299,"YYYY-MM")</f>
        <v/>
      </c>
    </row>
    <row r="1300">
      <c r="A1300" t="inlineStr">
        <is>
          <t>LD-301298</t>
        </is>
      </c>
      <c r="B1300" t="inlineStr">
        <is>
          <t>2025-06-02 11:05:00</t>
        </is>
      </c>
      <c r="C1300" t="inlineStr">
        <is>
          <t>Paid Search</t>
        </is>
      </c>
      <c r="D1300" t="inlineStr">
        <is>
          <t>K-12 Math</t>
        </is>
      </c>
      <c r="E1300" t="inlineStr">
        <is>
          <t>North Region</t>
        </is>
      </c>
      <c r="F1300" t="inlineStr">
        <is>
          <t>Rep_01</t>
        </is>
      </c>
      <c r="G1300" t="n">
        <v>4.55</v>
      </c>
      <c r="H1300" t="inlineStr">
        <is>
          <t>Demo Completed</t>
        </is>
      </c>
      <c r="I1300" t="inlineStr">
        <is>
          <t>Lost</t>
        </is>
      </c>
      <c r="J1300" t="inlineStr">
        <is>
          <t>Budget Not Approved</t>
        </is>
      </c>
      <c r="K1300" t="n">
        <v>509.8</v>
      </c>
      <c r="L1300" t="inlineStr">
        <is>
          <t>2025-07-09 20:31:48.124064</t>
        </is>
      </c>
      <c r="M1300">
        <f>VLOOKUP(H1300,'Stage Order'!$A$2:$B$8,2,FALSE)</f>
        <v/>
      </c>
      <c r="N1300">
        <f>IF(G1300&lt;=1,"1. Under 1 hour",IF(G1300&lt;=24,"2. 1-24 hours",IF(G1300&lt;=72,"3. 1-3 days","4. Over 3 days")))</f>
        <v/>
      </c>
      <c r="O1300">
        <f>TEXT(B1300,"YYYY-MM")</f>
        <v/>
      </c>
    </row>
    <row r="1301">
      <c r="A1301" t="inlineStr">
        <is>
          <t>LD-301299</t>
        </is>
      </c>
      <c r="B1301" t="inlineStr">
        <is>
          <t>2026-05-22 12:39:00</t>
        </is>
      </c>
      <c r="C1301" t="inlineStr">
        <is>
          <t>Referral</t>
        </is>
      </c>
      <c r="D1301" t="inlineStr">
        <is>
          <t>Competitive Exam Prep</t>
        </is>
      </c>
      <c r="E1301" t="inlineStr">
        <is>
          <t>West Region</t>
        </is>
      </c>
      <c r="F1301" t="inlineStr">
        <is>
          <t>Rep_08</t>
        </is>
      </c>
      <c r="G1301" t="n">
        <v>1.47</v>
      </c>
      <c r="H1301" t="inlineStr">
        <is>
          <t>Closed</t>
        </is>
      </c>
      <c r="I1301" t="inlineStr">
        <is>
          <t>Won</t>
        </is>
      </c>
      <c r="K1301" t="n">
        <v>1174.15</v>
      </c>
      <c r="L1301" t="inlineStr">
        <is>
          <t>2026-07-09 18:31:50.097355</t>
        </is>
      </c>
      <c r="M1301">
        <f>VLOOKUP(H1301,'Stage Order'!$A$2:$B$8,2,FALSE)</f>
        <v/>
      </c>
      <c r="N1301">
        <f>IF(G1301&lt;=1,"1. Under 1 hour",IF(G1301&lt;=24,"2. 1-24 hours",IF(G1301&lt;=72,"3. 1-3 days","4. Over 3 days")))</f>
        <v/>
      </c>
      <c r="O1301">
        <f>TEXT(B1301,"YYYY-MM")</f>
        <v/>
      </c>
    </row>
    <row r="1302">
      <c r="A1302" t="inlineStr">
        <is>
          <t>LD-301300</t>
        </is>
      </c>
      <c r="B1302" t="inlineStr">
        <is>
          <t>2025-03-28 07:49:00</t>
        </is>
      </c>
      <c r="C1302" t="inlineStr">
        <is>
          <t>Social Media</t>
        </is>
      </c>
      <c r="D1302" t="inlineStr">
        <is>
          <t>Coding for Kids</t>
        </is>
      </c>
      <c r="E1302" t="inlineStr">
        <is>
          <t>West Region</t>
        </is>
      </c>
      <c r="F1302" t="inlineStr">
        <is>
          <t>Rep_13</t>
        </is>
      </c>
      <c r="G1302" t="n">
        <v>6.57</v>
      </c>
      <c r="H1302" t="inlineStr">
        <is>
          <t>Contacted</t>
        </is>
      </c>
      <c r="I1302" t="inlineStr">
        <is>
          <t>Open</t>
        </is>
      </c>
      <c r="M1302">
        <f>VLOOKUP(H1302,'Stage Order'!$A$2:$B$8,2,FALSE)</f>
        <v/>
      </c>
      <c r="N1302">
        <f>IF(G1302&lt;=1,"1. Under 1 hour",IF(G1302&lt;=24,"2. 1-24 hours",IF(G1302&lt;=72,"3. 1-3 days","4. Over 3 days")))</f>
        <v/>
      </c>
      <c r="O1302">
        <f>TEXT(B1302,"YYYY-MM")</f>
        <v/>
      </c>
    </row>
    <row r="1303">
      <c r="A1303" t="inlineStr">
        <is>
          <t>LD-301301</t>
        </is>
      </c>
      <c r="B1303" t="inlineStr">
        <is>
          <t>2025-09-19 20:39:00</t>
        </is>
      </c>
      <c r="C1303" t="inlineStr">
        <is>
          <t>Social Media</t>
        </is>
      </c>
      <c r="D1303" t="inlineStr">
        <is>
          <t>Study Abroad Prep</t>
        </is>
      </c>
      <c r="E1303" t="inlineStr">
        <is>
          <t>North Region</t>
        </is>
      </c>
      <c r="F1303" t="inlineStr">
        <is>
          <t>Rep_06</t>
        </is>
      </c>
      <c r="G1303" t="n">
        <v>11.22</v>
      </c>
      <c r="H1303" t="inlineStr">
        <is>
          <t>Lead</t>
        </is>
      </c>
      <c r="I1303" t="inlineStr">
        <is>
          <t>Open</t>
        </is>
      </c>
      <c r="M1303">
        <f>VLOOKUP(H1303,'Stage Order'!$A$2:$B$8,2,FALSE)</f>
        <v/>
      </c>
      <c r="N1303">
        <f>IF(G1303&lt;=1,"1. Under 1 hour",IF(G1303&lt;=24,"2. 1-24 hours",IF(G1303&lt;=72,"3. 1-3 days","4. Over 3 days")))</f>
        <v/>
      </c>
      <c r="O1303">
        <f>TEXT(B1303,"YYYY-MM")</f>
        <v/>
      </c>
    </row>
    <row r="1304">
      <c r="A1304" t="inlineStr">
        <is>
          <t>LD-301302</t>
        </is>
      </c>
      <c r="B1304" t="inlineStr">
        <is>
          <t>2026-04-25 19:20:00</t>
        </is>
      </c>
      <c r="C1304" t="inlineStr">
        <is>
          <t>Paid Search</t>
        </is>
      </c>
      <c r="D1304" t="inlineStr">
        <is>
          <t>Competitive Exam Prep</t>
        </is>
      </c>
      <c r="E1304" t="inlineStr">
        <is>
          <t>North Region</t>
        </is>
      </c>
      <c r="F1304" t="inlineStr">
        <is>
          <t>Rep_06</t>
        </is>
      </c>
      <c r="G1304" t="n">
        <v>2.9</v>
      </c>
      <c r="H1304" t="inlineStr">
        <is>
          <t>Contacted</t>
        </is>
      </c>
      <c r="I1304" t="inlineStr">
        <is>
          <t>Open</t>
        </is>
      </c>
      <c r="M1304">
        <f>VLOOKUP(H1304,'Stage Order'!$A$2:$B$8,2,FALSE)</f>
        <v/>
      </c>
      <c r="N1304">
        <f>IF(G1304&lt;=1,"1. Under 1 hour",IF(G1304&lt;=24,"2. 1-24 hours",IF(G1304&lt;=72,"3. 1-3 days","4. Over 3 days")))</f>
        <v/>
      </c>
      <c r="O1304">
        <f>TEXT(B1304,"YYYY-MM")</f>
        <v/>
      </c>
    </row>
    <row r="1305">
      <c r="A1305" t="inlineStr">
        <is>
          <t>LD-301303</t>
        </is>
      </c>
      <c r="B1305" t="inlineStr">
        <is>
          <t>2025-03-14 11:07:00</t>
        </is>
      </c>
      <c r="C1305" t="inlineStr">
        <is>
          <t>Referral</t>
        </is>
      </c>
      <c r="D1305" t="inlineStr">
        <is>
          <t>Coding for Kids</t>
        </is>
      </c>
      <c r="E1305" t="inlineStr">
        <is>
          <t>International</t>
        </is>
      </c>
      <c r="F1305" t="inlineStr">
        <is>
          <t>Rep_05</t>
        </is>
      </c>
      <c r="G1305" t="n">
        <v>2.52</v>
      </c>
      <c r="H1305" t="inlineStr">
        <is>
          <t>Negotiation</t>
        </is>
      </c>
      <c r="I1305" t="inlineStr">
        <is>
          <t>Lost</t>
        </is>
      </c>
      <c r="J1305" t="inlineStr">
        <is>
          <t>Went With Competitor</t>
        </is>
      </c>
      <c r="K1305" t="n">
        <v>669.98</v>
      </c>
      <c r="L1305" t="inlineStr">
        <is>
          <t>2025-04-15 13:42:55.311226</t>
        </is>
      </c>
      <c r="M1305">
        <f>VLOOKUP(H1305,'Stage Order'!$A$2:$B$8,2,FALSE)</f>
        <v/>
      </c>
      <c r="N1305">
        <f>IF(G1305&lt;=1,"1. Under 1 hour",IF(G1305&lt;=24,"2. 1-24 hours",IF(G1305&lt;=72,"3. 1-3 days","4. Over 3 days")))</f>
        <v/>
      </c>
      <c r="O1305">
        <f>TEXT(B1305,"YYYY-MM")</f>
        <v/>
      </c>
    </row>
    <row r="1306">
      <c r="A1306" t="inlineStr">
        <is>
          <t>LD-301304</t>
        </is>
      </c>
      <c r="B1306" t="inlineStr">
        <is>
          <t>2025-11-26 14:07:00</t>
        </is>
      </c>
      <c r="C1306" t="inlineStr">
        <is>
          <t>Paid Search</t>
        </is>
      </c>
      <c r="D1306" t="inlineStr">
        <is>
          <t>Competitive Exam Prep</t>
        </is>
      </c>
      <c r="E1306" t="inlineStr">
        <is>
          <t>East Region</t>
        </is>
      </c>
      <c r="F1306" t="inlineStr">
        <is>
          <t>Rep_14</t>
        </is>
      </c>
      <c r="G1306" t="n">
        <v>1.21</v>
      </c>
      <c r="H1306" t="inlineStr">
        <is>
          <t>Demo Completed</t>
        </is>
      </c>
      <c r="I1306" t="inlineStr">
        <is>
          <t>Lost</t>
        </is>
      </c>
      <c r="J1306" t="inlineStr">
        <is>
          <t>Price Objection</t>
        </is>
      </c>
      <c r="K1306" t="n">
        <v>1135.19</v>
      </c>
      <c r="L1306" t="inlineStr">
        <is>
          <t>2025-12-18 09:20:34.756254</t>
        </is>
      </c>
      <c r="M1306">
        <f>VLOOKUP(H1306,'Stage Order'!$A$2:$B$8,2,FALSE)</f>
        <v/>
      </c>
      <c r="N1306">
        <f>IF(G1306&lt;=1,"1. Under 1 hour",IF(G1306&lt;=24,"2. 1-24 hours",IF(G1306&lt;=72,"3. 1-3 days","4. Over 3 days")))</f>
        <v/>
      </c>
      <c r="O1306">
        <f>TEXT(B1306,"YYYY-MM")</f>
        <v/>
      </c>
    </row>
    <row r="1307">
      <c r="A1307" t="inlineStr">
        <is>
          <t>LD-301305</t>
        </is>
      </c>
      <c r="B1307" t="inlineStr">
        <is>
          <t>2025-07-04 12:14:00</t>
        </is>
      </c>
      <c r="C1307" t="inlineStr">
        <is>
          <t>Webinar</t>
        </is>
      </c>
      <c r="D1307" t="inlineStr">
        <is>
          <t>K-12 Math</t>
        </is>
      </c>
      <c r="E1307" t="inlineStr">
        <is>
          <t>South Region</t>
        </is>
      </c>
      <c r="F1307" t="inlineStr">
        <is>
          <t>Rep_02</t>
        </is>
      </c>
      <c r="G1307" t="n">
        <v>17.07</v>
      </c>
      <c r="H1307" t="inlineStr">
        <is>
          <t>Closed</t>
        </is>
      </c>
      <c r="I1307" t="inlineStr">
        <is>
          <t>Won</t>
        </is>
      </c>
      <c r="K1307" t="n">
        <v>425.37</v>
      </c>
      <c r="L1307" t="inlineStr">
        <is>
          <t>2025-08-16 21:48:37.328252</t>
        </is>
      </c>
      <c r="M1307">
        <f>VLOOKUP(H1307,'Stage Order'!$A$2:$B$8,2,FALSE)</f>
        <v/>
      </c>
      <c r="N1307">
        <f>IF(G1307&lt;=1,"1. Under 1 hour",IF(G1307&lt;=24,"2. 1-24 hours",IF(G1307&lt;=72,"3. 1-3 days","4. Over 3 days")))</f>
        <v/>
      </c>
      <c r="O1307">
        <f>TEXT(B1307,"YYYY-MM")</f>
        <v/>
      </c>
    </row>
    <row r="1308">
      <c r="A1308" t="inlineStr">
        <is>
          <t>LD-301306</t>
        </is>
      </c>
      <c r="B1308" t="inlineStr">
        <is>
          <t>2026-04-03 09:12:00</t>
        </is>
      </c>
      <c r="C1308" t="inlineStr">
        <is>
          <t>Cold Outreach</t>
        </is>
      </c>
      <c r="D1308" t="inlineStr">
        <is>
          <t>Coding for Kids</t>
        </is>
      </c>
      <c r="E1308" t="inlineStr">
        <is>
          <t>East Region</t>
        </is>
      </c>
      <c r="F1308" t="inlineStr">
        <is>
          <t>Rep_14</t>
        </is>
      </c>
      <c r="G1308" t="n">
        <v>22.52</v>
      </c>
      <c r="H1308" t="inlineStr">
        <is>
          <t>Contacted</t>
        </is>
      </c>
      <c r="I1308" t="inlineStr">
        <is>
          <t>Open</t>
        </is>
      </c>
      <c r="M1308">
        <f>VLOOKUP(H1308,'Stage Order'!$A$2:$B$8,2,FALSE)</f>
        <v/>
      </c>
      <c r="N1308">
        <f>IF(G1308&lt;=1,"1. Under 1 hour",IF(G1308&lt;=24,"2. 1-24 hours",IF(G1308&lt;=72,"3. 1-3 days","4. Over 3 days")))</f>
        <v/>
      </c>
      <c r="O1308">
        <f>TEXT(B1308,"YYYY-MM")</f>
        <v/>
      </c>
    </row>
    <row r="1309">
      <c r="A1309" t="inlineStr">
        <is>
          <t>LD-301307</t>
        </is>
      </c>
      <c r="B1309" t="inlineStr">
        <is>
          <t>2026-06-24 07:09:00</t>
        </is>
      </c>
      <c r="C1309" t="inlineStr">
        <is>
          <t>Partner Channel</t>
        </is>
      </c>
      <c r="D1309" t="inlineStr">
        <is>
          <t>K-12 Math</t>
        </is>
      </c>
      <c r="E1309" t="inlineStr">
        <is>
          <t>International</t>
        </is>
      </c>
      <c r="F1309" t="inlineStr">
        <is>
          <t>Rep_05</t>
        </is>
      </c>
      <c r="G1309" t="n">
        <v>5.59</v>
      </c>
      <c r="H1309" t="inlineStr">
        <is>
          <t>Proposal Sent</t>
        </is>
      </c>
      <c r="I1309" t="inlineStr">
        <is>
          <t>Lost</t>
        </is>
      </c>
      <c r="J1309" t="inlineStr">
        <is>
          <t>Bad Timing</t>
        </is>
      </c>
      <c r="K1309" t="n">
        <v>553.79</v>
      </c>
      <c r="L1309" t="inlineStr">
        <is>
          <t>2026-07-24 06:23:22.876888</t>
        </is>
      </c>
      <c r="M1309">
        <f>VLOOKUP(H1309,'Stage Order'!$A$2:$B$8,2,FALSE)</f>
        <v/>
      </c>
      <c r="N1309">
        <f>IF(G1309&lt;=1,"1. Under 1 hour",IF(G1309&lt;=24,"2. 1-24 hours",IF(G1309&lt;=72,"3. 1-3 days","4. Over 3 days")))</f>
        <v/>
      </c>
      <c r="O1309">
        <f>TEXT(B1309,"YYYY-MM")</f>
        <v/>
      </c>
    </row>
    <row r="1310">
      <c r="A1310" t="inlineStr">
        <is>
          <t>LD-301308</t>
        </is>
      </c>
      <c r="B1310" t="inlineStr">
        <is>
          <t>2026-04-17 15:43:00</t>
        </is>
      </c>
      <c r="C1310" t="inlineStr">
        <is>
          <t>Webinar</t>
        </is>
      </c>
      <c r="D1310" t="inlineStr">
        <is>
          <t>K-12 Math</t>
        </is>
      </c>
      <c r="E1310" t="inlineStr">
        <is>
          <t>West Region</t>
        </is>
      </c>
      <c r="F1310" t="inlineStr">
        <is>
          <t>Rep_08</t>
        </is>
      </c>
      <c r="G1310" t="n">
        <v>3.92</v>
      </c>
      <c r="H1310" t="inlineStr">
        <is>
          <t>Closed</t>
        </is>
      </c>
      <c r="I1310" t="inlineStr">
        <is>
          <t>Won</t>
        </is>
      </c>
      <c r="K1310" t="n">
        <v>473.37</v>
      </c>
      <c r="L1310" t="inlineStr">
        <is>
          <t>2026-06-02 05:06:03.263272</t>
        </is>
      </c>
      <c r="M1310">
        <f>VLOOKUP(H1310,'Stage Order'!$A$2:$B$8,2,FALSE)</f>
        <v/>
      </c>
      <c r="N1310">
        <f>IF(G1310&lt;=1,"1. Under 1 hour",IF(G1310&lt;=24,"2. 1-24 hours",IF(G1310&lt;=72,"3. 1-3 days","4. Over 3 days")))</f>
        <v/>
      </c>
      <c r="O1310">
        <f>TEXT(B1310,"YYYY-MM")</f>
        <v/>
      </c>
    </row>
    <row r="1311">
      <c r="A1311" t="inlineStr">
        <is>
          <t>LD-301309</t>
        </is>
      </c>
      <c r="B1311" t="inlineStr">
        <is>
          <t>2025-11-15 09:09:00</t>
        </is>
      </c>
      <c r="C1311" t="inlineStr">
        <is>
          <t>Cold Outreach</t>
        </is>
      </c>
      <c r="D1311" t="inlineStr">
        <is>
          <t>Language Learning</t>
        </is>
      </c>
      <c r="E1311" t="inlineStr">
        <is>
          <t>International</t>
        </is>
      </c>
      <c r="F1311" t="inlineStr">
        <is>
          <t>Rep_15</t>
        </is>
      </c>
      <c r="G1311" t="n">
        <v>1.91</v>
      </c>
      <c r="H1311" t="inlineStr">
        <is>
          <t>Lead</t>
        </is>
      </c>
      <c r="I1311" t="inlineStr">
        <is>
          <t>Open</t>
        </is>
      </c>
      <c r="M1311">
        <f>VLOOKUP(H1311,'Stage Order'!$A$2:$B$8,2,FALSE)</f>
        <v/>
      </c>
      <c r="N1311">
        <f>IF(G1311&lt;=1,"1. Under 1 hour",IF(G1311&lt;=24,"2. 1-24 hours",IF(G1311&lt;=72,"3. 1-3 days","4. Over 3 days")))</f>
        <v/>
      </c>
      <c r="O1311">
        <f>TEXT(B1311,"YYYY-MM")</f>
        <v/>
      </c>
    </row>
    <row r="1312">
      <c r="A1312" t="inlineStr">
        <is>
          <t>LD-301310</t>
        </is>
      </c>
      <c r="B1312" t="inlineStr">
        <is>
          <t>2025-11-17 12:56:00</t>
        </is>
      </c>
      <c r="C1312" t="inlineStr">
        <is>
          <t>Referral</t>
        </is>
      </c>
      <c r="D1312" t="inlineStr">
        <is>
          <t>K-12 Math</t>
        </is>
      </c>
      <c r="E1312" t="inlineStr">
        <is>
          <t>South Region</t>
        </is>
      </c>
      <c r="F1312" t="inlineStr">
        <is>
          <t>Rep_12</t>
        </is>
      </c>
      <c r="G1312" t="n">
        <v>3.37</v>
      </c>
      <c r="H1312" t="inlineStr">
        <is>
          <t>Closed</t>
        </is>
      </c>
      <c r="I1312" t="inlineStr">
        <is>
          <t>Won</t>
        </is>
      </c>
      <c r="K1312" t="n">
        <v>483.45</v>
      </c>
      <c r="L1312" t="inlineStr">
        <is>
          <t>2025-12-26 06:12:18.729480</t>
        </is>
      </c>
      <c r="M1312">
        <f>VLOOKUP(H1312,'Stage Order'!$A$2:$B$8,2,FALSE)</f>
        <v/>
      </c>
      <c r="N1312">
        <f>IF(G1312&lt;=1,"1. Under 1 hour",IF(G1312&lt;=24,"2. 1-24 hours",IF(G1312&lt;=72,"3. 1-3 days","4. Over 3 days")))</f>
        <v/>
      </c>
      <c r="O1312">
        <f>TEXT(B1312,"YYYY-MM")</f>
        <v/>
      </c>
    </row>
    <row r="1313">
      <c r="A1313" t="inlineStr">
        <is>
          <t>LD-301311</t>
        </is>
      </c>
      <c r="B1313" t="inlineStr">
        <is>
          <t>2026-06-19 18:46:00</t>
        </is>
      </c>
      <c r="C1313" t="inlineStr">
        <is>
          <t>Cold Outreach</t>
        </is>
      </c>
      <c r="D1313" t="inlineStr">
        <is>
          <t>K-12 Math</t>
        </is>
      </c>
      <c r="E1313" t="inlineStr">
        <is>
          <t>South Region</t>
        </is>
      </c>
      <c r="F1313" t="inlineStr">
        <is>
          <t>Rep_07</t>
        </is>
      </c>
      <c r="G1313" t="n">
        <v>0.34</v>
      </c>
      <c r="H1313" t="inlineStr">
        <is>
          <t>Contacted</t>
        </is>
      </c>
      <c r="I1313" t="inlineStr">
        <is>
          <t>Open</t>
        </is>
      </c>
      <c r="M1313">
        <f>VLOOKUP(H1313,'Stage Order'!$A$2:$B$8,2,FALSE)</f>
        <v/>
      </c>
      <c r="N1313">
        <f>IF(G1313&lt;=1,"1. Under 1 hour",IF(G1313&lt;=24,"2. 1-24 hours",IF(G1313&lt;=72,"3. 1-3 days","4. Over 3 days")))</f>
        <v/>
      </c>
      <c r="O1313">
        <f>TEXT(B1313,"YYYY-MM")</f>
        <v/>
      </c>
    </row>
    <row r="1314">
      <c r="A1314" t="inlineStr">
        <is>
          <t>LD-301312</t>
        </is>
      </c>
      <c r="B1314" t="inlineStr">
        <is>
          <t>2025-08-08 13:13:00</t>
        </is>
      </c>
      <c r="C1314" t="inlineStr">
        <is>
          <t>Paid Search</t>
        </is>
      </c>
      <c r="D1314" t="inlineStr">
        <is>
          <t>Study Abroad Prep</t>
        </is>
      </c>
      <c r="E1314" t="inlineStr">
        <is>
          <t>South Region</t>
        </is>
      </c>
      <c r="F1314" t="inlineStr">
        <is>
          <t>Rep_02</t>
        </is>
      </c>
      <c r="G1314" t="n">
        <v>2.55</v>
      </c>
      <c r="H1314" t="inlineStr">
        <is>
          <t>Contacted</t>
        </is>
      </c>
      <c r="I1314" t="inlineStr">
        <is>
          <t>Open</t>
        </is>
      </c>
      <c r="M1314">
        <f>VLOOKUP(H1314,'Stage Order'!$A$2:$B$8,2,FALSE)</f>
        <v/>
      </c>
      <c r="N1314">
        <f>IF(G1314&lt;=1,"1. Under 1 hour",IF(G1314&lt;=24,"2. 1-24 hours",IF(G1314&lt;=72,"3. 1-3 days","4. Over 3 days")))</f>
        <v/>
      </c>
      <c r="O1314">
        <f>TEXT(B1314,"YYYY-MM")</f>
        <v/>
      </c>
    </row>
    <row r="1315">
      <c r="A1315" t="inlineStr">
        <is>
          <t>LD-301313</t>
        </is>
      </c>
      <c r="B1315" t="inlineStr">
        <is>
          <t>2025-04-02 17:23:00</t>
        </is>
      </c>
      <c r="C1315" t="inlineStr">
        <is>
          <t>Organic Search</t>
        </is>
      </c>
      <c r="D1315" t="inlineStr">
        <is>
          <t>Language Learning</t>
        </is>
      </c>
      <c r="E1315" t="inlineStr">
        <is>
          <t>International</t>
        </is>
      </c>
      <c r="F1315" t="inlineStr">
        <is>
          <t>Rep_10</t>
        </is>
      </c>
      <c r="G1315" t="n">
        <v>6.02</v>
      </c>
      <c r="H1315" t="inlineStr">
        <is>
          <t>Lead</t>
        </is>
      </c>
      <c r="I1315" t="inlineStr">
        <is>
          <t>Open</t>
        </is>
      </c>
      <c r="M1315">
        <f>VLOOKUP(H1315,'Stage Order'!$A$2:$B$8,2,FALSE)</f>
        <v/>
      </c>
      <c r="N1315">
        <f>IF(G1315&lt;=1,"1. Under 1 hour",IF(G1315&lt;=24,"2. 1-24 hours",IF(G1315&lt;=72,"3. 1-3 days","4. Over 3 days")))</f>
        <v/>
      </c>
      <c r="O1315">
        <f>TEXT(B1315,"YYYY-MM")</f>
        <v/>
      </c>
    </row>
    <row r="1316">
      <c r="A1316" t="inlineStr">
        <is>
          <t>LD-301314</t>
        </is>
      </c>
      <c r="B1316" t="inlineStr">
        <is>
          <t>2026-02-06 13:43:00</t>
        </is>
      </c>
      <c r="C1316" t="inlineStr">
        <is>
          <t>Webinar</t>
        </is>
      </c>
      <c r="D1316" t="inlineStr">
        <is>
          <t>Study Abroad Prep</t>
        </is>
      </c>
      <c r="E1316" t="inlineStr">
        <is>
          <t>South Region</t>
        </is>
      </c>
      <c r="F1316" t="inlineStr">
        <is>
          <t>Rep_02</t>
        </is>
      </c>
      <c r="G1316" t="n">
        <v>2</v>
      </c>
      <c r="H1316" t="inlineStr">
        <is>
          <t>Contacted</t>
        </is>
      </c>
      <c r="I1316" t="inlineStr">
        <is>
          <t>Open</t>
        </is>
      </c>
      <c r="M1316">
        <f>VLOOKUP(H1316,'Stage Order'!$A$2:$B$8,2,FALSE)</f>
        <v/>
      </c>
      <c r="N1316">
        <f>IF(G1316&lt;=1,"1. Under 1 hour",IF(G1316&lt;=24,"2. 1-24 hours",IF(G1316&lt;=72,"3. 1-3 days","4. Over 3 days")))</f>
        <v/>
      </c>
      <c r="O1316">
        <f>TEXT(B1316,"YYYY-MM")</f>
        <v/>
      </c>
    </row>
    <row r="1317">
      <c r="A1317" t="inlineStr">
        <is>
          <t>LD-301315</t>
        </is>
      </c>
      <c r="B1317" t="inlineStr">
        <is>
          <t>2025-02-19 12:54:00</t>
        </is>
      </c>
      <c r="C1317" t="inlineStr">
        <is>
          <t>Social Media</t>
        </is>
      </c>
      <c r="D1317" t="inlineStr">
        <is>
          <t>K-12 Math</t>
        </is>
      </c>
      <c r="E1317" t="inlineStr">
        <is>
          <t>West Region</t>
        </is>
      </c>
      <c r="F1317" t="inlineStr">
        <is>
          <t>Rep_03</t>
        </is>
      </c>
      <c r="G1317" t="n">
        <v>1.36</v>
      </c>
      <c r="H1317" t="inlineStr">
        <is>
          <t>Contacted</t>
        </is>
      </c>
      <c r="I1317" t="inlineStr">
        <is>
          <t>Open</t>
        </is>
      </c>
      <c r="M1317">
        <f>VLOOKUP(H1317,'Stage Order'!$A$2:$B$8,2,FALSE)</f>
        <v/>
      </c>
      <c r="N1317">
        <f>IF(G1317&lt;=1,"1. Under 1 hour",IF(G1317&lt;=24,"2. 1-24 hours",IF(G1317&lt;=72,"3. 1-3 days","4. Over 3 days")))</f>
        <v/>
      </c>
      <c r="O1317">
        <f>TEXT(B1317,"YYYY-MM")</f>
        <v/>
      </c>
    </row>
    <row r="1318">
      <c r="A1318" t="inlineStr">
        <is>
          <t>LD-301316</t>
        </is>
      </c>
      <c r="B1318" t="inlineStr">
        <is>
          <t>2026-05-22 09:44:00</t>
        </is>
      </c>
      <c r="C1318" t="inlineStr">
        <is>
          <t>Cold Outreach</t>
        </is>
      </c>
      <c r="D1318" t="inlineStr">
        <is>
          <t>Language Learning</t>
        </is>
      </c>
      <c r="E1318" t="inlineStr">
        <is>
          <t>West Region</t>
        </is>
      </c>
      <c r="F1318" t="inlineStr">
        <is>
          <t>Rep_08</t>
        </is>
      </c>
      <c r="G1318" t="n">
        <v>7.16</v>
      </c>
      <c r="H1318" t="inlineStr">
        <is>
          <t>Contacted</t>
        </is>
      </c>
      <c r="I1318" t="inlineStr">
        <is>
          <t>Open</t>
        </is>
      </c>
      <c r="M1318">
        <f>VLOOKUP(H1318,'Stage Order'!$A$2:$B$8,2,FALSE)</f>
        <v/>
      </c>
      <c r="N1318">
        <f>IF(G1318&lt;=1,"1. Under 1 hour",IF(G1318&lt;=24,"2. 1-24 hours",IF(G1318&lt;=72,"3. 1-3 days","4. Over 3 days")))</f>
        <v/>
      </c>
      <c r="O1318">
        <f>TEXT(B1318,"YYYY-MM")</f>
        <v/>
      </c>
    </row>
    <row r="1319">
      <c r="A1319" t="inlineStr">
        <is>
          <t>LD-301317</t>
        </is>
      </c>
      <c r="B1319" t="inlineStr">
        <is>
          <t>2025-11-29 15:35:00</t>
        </is>
      </c>
      <c r="C1319" t="inlineStr">
        <is>
          <t>Social Media</t>
        </is>
      </c>
      <c r="D1319" t="inlineStr">
        <is>
          <t>Study Abroad Prep</t>
        </is>
      </c>
      <c r="E1319" t="inlineStr">
        <is>
          <t>South Region</t>
        </is>
      </c>
      <c r="F1319" t="inlineStr">
        <is>
          <t>Rep_02</t>
        </is>
      </c>
      <c r="G1319" t="n">
        <v>9.359999999999999</v>
      </c>
      <c r="H1319" t="inlineStr">
        <is>
          <t>Lead</t>
        </is>
      </c>
      <c r="I1319" t="inlineStr">
        <is>
          <t>Open</t>
        </is>
      </c>
      <c r="M1319">
        <f>VLOOKUP(H1319,'Stage Order'!$A$2:$B$8,2,FALSE)</f>
        <v/>
      </c>
      <c r="N1319">
        <f>IF(G1319&lt;=1,"1. Under 1 hour",IF(G1319&lt;=24,"2. 1-24 hours",IF(G1319&lt;=72,"3. 1-3 days","4. Over 3 days")))</f>
        <v/>
      </c>
      <c r="O1319">
        <f>TEXT(B1319,"YYYY-MM")</f>
        <v/>
      </c>
    </row>
    <row r="1320">
      <c r="A1320" t="inlineStr">
        <is>
          <t>LD-301318</t>
        </is>
      </c>
      <c r="B1320" t="inlineStr">
        <is>
          <t>2025-09-11 12:34:00</t>
        </is>
      </c>
      <c r="C1320" t="inlineStr">
        <is>
          <t>Social Media</t>
        </is>
      </c>
      <c r="D1320" t="inlineStr">
        <is>
          <t>K-12 Math</t>
        </is>
      </c>
      <c r="E1320" t="inlineStr">
        <is>
          <t>International</t>
        </is>
      </c>
      <c r="F1320" t="inlineStr">
        <is>
          <t>Rep_15</t>
        </is>
      </c>
      <c r="G1320" t="n">
        <v>3.4</v>
      </c>
      <c r="H1320" t="inlineStr">
        <is>
          <t>Contacted</t>
        </is>
      </c>
      <c r="I1320" t="inlineStr">
        <is>
          <t>Open</t>
        </is>
      </c>
      <c r="M1320">
        <f>VLOOKUP(H1320,'Stage Order'!$A$2:$B$8,2,FALSE)</f>
        <v/>
      </c>
      <c r="N1320">
        <f>IF(G1320&lt;=1,"1. Under 1 hour",IF(G1320&lt;=24,"2. 1-24 hours",IF(G1320&lt;=72,"3. 1-3 days","4. Over 3 days")))</f>
        <v/>
      </c>
      <c r="O1320">
        <f>TEXT(B1320,"YYYY-MM")</f>
        <v/>
      </c>
    </row>
    <row r="1321">
      <c r="A1321" t="inlineStr">
        <is>
          <t>LD-301319</t>
        </is>
      </c>
      <c r="B1321" t="inlineStr">
        <is>
          <t>2025-06-20 08:46:00</t>
        </is>
      </c>
      <c r="C1321" t="inlineStr">
        <is>
          <t>Social Media</t>
        </is>
      </c>
      <c r="D1321" t="inlineStr">
        <is>
          <t>Competitive Exam Prep</t>
        </is>
      </c>
      <c r="E1321" t="inlineStr">
        <is>
          <t>International</t>
        </is>
      </c>
      <c r="F1321" t="inlineStr">
        <is>
          <t>Rep_10</t>
        </is>
      </c>
      <c r="G1321" t="n">
        <v>2.05</v>
      </c>
      <c r="H1321" t="inlineStr">
        <is>
          <t>Contacted</t>
        </is>
      </c>
      <c r="I1321" t="inlineStr">
        <is>
          <t>Open</t>
        </is>
      </c>
      <c r="M1321">
        <f>VLOOKUP(H1321,'Stage Order'!$A$2:$B$8,2,FALSE)</f>
        <v/>
      </c>
      <c r="N1321">
        <f>IF(G1321&lt;=1,"1. Under 1 hour",IF(G1321&lt;=24,"2. 1-24 hours",IF(G1321&lt;=72,"3. 1-3 days","4. Over 3 days")))</f>
        <v/>
      </c>
      <c r="O1321">
        <f>TEXT(B1321,"YYYY-MM")</f>
        <v/>
      </c>
    </row>
    <row r="1322">
      <c r="A1322" t="inlineStr">
        <is>
          <t>LD-301320</t>
        </is>
      </c>
      <c r="B1322" t="inlineStr">
        <is>
          <t>2025-11-28 08:10:00</t>
        </is>
      </c>
      <c r="C1322" t="inlineStr">
        <is>
          <t>Paid Search</t>
        </is>
      </c>
      <c r="D1322" t="inlineStr">
        <is>
          <t>Competitive Exam Prep</t>
        </is>
      </c>
      <c r="E1322" t="inlineStr">
        <is>
          <t>North Region</t>
        </is>
      </c>
      <c r="F1322" t="inlineStr">
        <is>
          <t>Rep_06</t>
        </is>
      </c>
      <c r="G1322" t="n">
        <v>14.5</v>
      </c>
      <c r="H1322" t="inlineStr">
        <is>
          <t>Contacted</t>
        </is>
      </c>
      <c r="I1322" t="inlineStr">
        <is>
          <t>Open</t>
        </is>
      </c>
      <c r="M1322">
        <f>VLOOKUP(H1322,'Stage Order'!$A$2:$B$8,2,FALSE)</f>
        <v/>
      </c>
      <c r="N1322">
        <f>IF(G1322&lt;=1,"1. Under 1 hour",IF(G1322&lt;=24,"2. 1-24 hours",IF(G1322&lt;=72,"3. 1-3 days","4. Over 3 days")))</f>
        <v/>
      </c>
      <c r="O1322">
        <f>TEXT(B1322,"YYYY-MM")</f>
        <v/>
      </c>
    </row>
    <row r="1323">
      <c r="A1323" t="inlineStr">
        <is>
          <t>LD-301321</t>
        </is>
      </c>
      <c r="B1323" t="inlineStr">
        <is>
          <t>2026-01-11 09:40:00</t>
        </is>
      </c>
      <c r="C1323" t="inlineStr">
        <is>
          <t>Social Media</t>
        </is>
      </c>
      <c r="D1323" t="inlineStr">
        <is>
          <t>Coding for Kids</t>
        </is>
      </c>
      <c r="E1323" t="inlineStr">
        <is>
          <t>North Region</t>
        </is>
      </c>
      <c r="F1323" t="inlineStr">
        <is>
          <t>Rep_01</t>
        </is>
      </c>
      <c r="G1323" t="n">
        <v>2.4</v>
      </c>
      <c r="H1323" t="inlineStr">
        <is>
          <t>Contacted</t>
        </is>
      </c>
      <c r="I1323" t="inlineStr">
        <is>
          <t>Open</t>
        </is>
      </c>
      <c r="M1323">
        <f>VLOOKUP(H1323,'Stage Order'!$A$2:$B$8,2,FALSE)</f>
        <v/>
      </c>
      <c r="N1323">
        <f>IF(G1323&lt;=1,"1. Under 1 hour",IF(G1323&lt;=24,"2. 1-24 hours",IF(G1323&lt;=72,"3. 1-3 days","4. Over 3 days")))</f>
        <v/>
      </c>
      <c r="O1323">
        <f>TEXT(B1323,"YYYY-MM")</f>
        <v/>
      </c>
    </row>
    <row r="1324">
      <c r="A1324" t="inlineStr">
        <is>
          <t>LD-301322</t>
        </is>
      </c>
      <c r="B1324" t="inlineStr">
        <is>
          <t>2026-05-21 16:45:00</t>
        </is>
      </c>
      <c r="C1324" t="inlineStr">
        <is>
          <t>Social Media</t>
        </is>
      </c>
      <c r="D1324" t="inlineStr">
        <is>
          <t>K-12 Math</t>
        </is>
      </c>
      <c r="E1324" t="inlineStr">
        <is>
          <t>East Region</t>
        </is>
      </c>
      <c r="F1324" t="inlineStr">
        <is>
          <t>Rep_09</t>
        </is>
      </c>
      <c r="G1324" t="n">
        <v>5.66</v>
      </c>
      <c r="H1324" t="inlineStr">
        <is>
          <t>Contacted</t>
        </is>
      </c>
      <c r="I1324" t="inlineStr">
        <is>
          <t>Open</t>
        </is>
      </c>
      <c r="M1324">
        <f>VLOOKUP(H1324,'Stage Order'!$A$2:$B$8,2,FALSE)</f>
        <v/>
      </c>
      <c r="N1324">
        <f>IF(G1324&lt;=1,"1. Under 1 hour",IF(G1324&lt;=24,"2. 1-24 hours",IF(G1324&lt;=72,"3. 1-3 days","4. Over 3 days")))</f>
        <v/>
      </c>
      <c r="O1324">
        <f>TEXT(B1324,"YYYY-MM")</f>
        <v/>
      </c>
    </row>
    <row r="1325">
      <c r="A1325" t="inlineStr">
        <is>
          <t>LD-301323</t>
        </is>
      </c>
      <c r="B1325" t="inlineStr">
        <is>
          <t>2026-04-09 19:42:00</t>
        </is>
      </c>
      <c r="C1325" t="inlineStr">
        <is>
          <t>Webinar</t>
        </is>
      </c>
      <c r="D1325" t="inlineStr">
        <is>
          <t>K-12 Math</t>
        </is>
      </c>
      <c r="E1325" t="inlineStr">
        <is>
          <t>North Region</t>
        </is>
      </c>
      <c r="F1325" t="inlineStr">
        <is>
          <t>Rep_01</t>
        </is>
      </c>
      <c r="G1325" t="n">
        <v>7.61</v>
      </c>
      <c r="H1325" t="inlineStr">
        <is>
          <t>Contacted</t>
        </is>
      </c>
      <c r="I1325" t="inlineStr">
        <is>
          <t>Open</t>
        </is>
      </c>
      <c r="M1325">
        <f>VLOOKUP(H1325,'Stage Order'!$A$2:$B$8,2,FALSE)</f>
        <v/>
      </c>
      <c r="N1325">
        <f>IF(G1325&lt;=1,"1. Under 1 hour",IF(G1325&lt;=24,"2. 1-24 hours",IF(G1325&lt;=72,"3. 1-3 days","4. Over 3 days")))</f>
        <v/>
      </c>
      <c r="O1325">
        <f>TEXT(B1325,"YYYY-MM")</f>
        <v/>
      </c>
    </row>
    <row r="1326">
      <c r="A1326" t="inlineStr">
        <is>
          <t>LD-301324</t>
        </is>
      </c>
      <c r="B1326" t="inlineStr">
        <is>
          <t>2025-09-19 13:14:00</t>
        </is>
      </c>
      <c r="C1326" t="inlineStr">
        <is>
          <t>Organic Search</t>
        </is>
      </c>
      <c r="D1326" t="inlineStr">
        <is>
          <t>Language Learning</t>
        </is>
      </c>
      <c r="E1326" t="inlineStr">
        <is>
          <t>North Region</t>
        </is>
      </c>
      <c r="F1326" t="inlineStr">
        <is>
          <t>Rep_06</t>
        </is>
      </c>
      <c r="G1326" t="n">
        <v>8.6</v>
      </c>
      <c r="H1326" t="inlineStr">
        <is>
          <t>Contacted</t>
        </is>
      </c>
      <c r="I1326" t="inlineStr">
        <is>
          <t>Open</t>
        </is>
      </c>
      <c r="M1326">
        <f>VLOOKUP(H1326,'Stage Order'!$A$2:$B$8,2,FALSE)</f>
        <v/>
      </c>
      <c r="N1326">
        <f>IF(G1326&lt;=1,"1. Under 1 hour",IF(G1326&lt;=24,"2. 1-24 hours",IF(G1326&lt;=72,"3. 1-3 days","4. Over 3 days")))</f>
        <v/>
      </c>
      <c r="O1326">
        <f>TEXT(B1326,"YYYY-MM")</f>
        <v/>
      </c>
    </row>
    <row r="1327">
      <c r="A1327" t="inlineStr">
        <is>
          <t>LD-301325</t>
        </is>
      </c>
      <c r="B1327" t="inlineStr">
        <is>
          <t>2026-02-26 17:31:00</t>
        </is>
      </c>
      <c r="C1327" t="inlineStr">
        <is>
          <t>Social Media</t>
        </is>
      </c>
      <c r="D1327" t="inlineStr">
        <is>
          <t>Language Learning</t>
        </is>
      </c>
      <c r="E1327" t="inlineStr">
        <is>
          <t>West Region</t>
        </is>
      </c>
      <c r="F1327" t="inlineStr">
        <is>
          <t>Rep_03</t>
        </is>
      </c>
      <c r="G1327" t="n">
        <v>7.91</v>
      </c>
      <c r="H1327" t="inlineStr">
        <is>
          <t>Contacted</t>
        </is>
      </c>
      <c r="I1327" t="inlineStr">
        <is>
          <t>Open</t>
        </is>
      </c>
      <c r="M1327">
        <f>VLOOKUP(H1327,'Stage Order'!$A$2:$B$8,2,FALSE)</f>
        <v/>
      </c>
      <c r="N1327">
        <f>IF(G1327&lt;=1,"1. Under 1 hour",IF(G1327&lt;=24,"2. 1-24 hours",IF(G1327&lt;=72,"3. 1-3 days","4. Over 3 days")))</f>
        <v/>
      </c>
      <c r="O1327">
        <f>TEXT(B1327,"YYYY-MM")</f>
        <v/>
      </c>
    </row>
    <row r="1328">
      <c r="A1328" t="inlineStr">
        <is>
          <t>LD-301326</t>
        </is>
      </c>
      <c r="B1328" t="inlineStr">
        <is>
          <t>2026-05-03 12:00:00</t>
        </is>
      </c>
      <c r="C1328" t="inlineStr">
        <is>
          <t>Partner Channel</t>
        </is>
      </c>
      <c r="D1328" t="inlineStr">
        <is>
          <t>Competitive Exam Prep</t>
        </is>
      </c>
      <c r="E1328" t="inlineStr">
        <is>
          <t>North Region</t>
        </is>
      </c>
      <c r="F1328" t="inlineStr">
        <is>
          <t>Rep_11</t>
        </is>
      </c>
      <c r="G1328" t="n">
        <v>4.86</v>
      </c>
      <c r="H1328" t="inlineStr">
        <is>
          <t>Contacted</t>
        </is>
      </c>
      <c r="I1328" t="inlineStr">
        <is>
          <t>Open</t>
        </is>
      </c>
      <c r="M1328">
        <f>VLOOKUP(H1328,'Stage Order'!$A$2:$B$8,2,FALSE)</f>
        <v/>
      </c>
      <c r="N1328">
        <f>IF(G1328&lt;=1,"1. Under 1 hour",IF(G1328&lt;=24,"2. 1-24 hours",IF(G1328&lt;=72,"3. 1-3 days","4. Over 3 days")))</f>
        <v/>
      </c>
      <c r="O1328">
        <f>TEXT(B1328,"YYYY-MM")</f>
        <v/>
      </c>
    </row>
    <row r="1329">
      <c r="A1329" t="inlineStr">
        <is>
          <t>LD-301327</t>
        </is>
      </c>
      <c r="B1329" t="inlineStr">
        <is>
          <t>2025-11-24 15:34:00</t>
        </is>
      </c>
      <c r="C1329" t="inlineStr">
        <is>
          <t>Social Media</t>
        </is>
      </c>
      <c r="D1329" t="inlineStr">
        <is>
          <t>K-12 Math</t>
        </is>
      </c>
      <c r="E1329" t="inlineStr">
        <is>
          <t>International</t>
        </is>
      </c>
      <c r="F1329" t="inlineStr">
        <is>
          <t>Rep_15</t>
        </is>
      </c>
      <c r="G1329" t="n">
        <v>59.8</v>
      </c>
      <c r="H1329" t="inlineStr">
        <is>
          <t>Lead</t>
        </is>
      </c>
      <c r="I1329" t="inlineStr">
        <is>
          <t>Open</t>
        </is>
      </c>
      <c r="M1329">
        <f>VLOOKUP(H1329,'Stage Order'!$A$2:$B$8,2,FALSE)</f>
        <v/>
      </c>
      <c r="N1329">
        <f>IF(G1329&lt;=1,"1. Under 1 hour",IF(G1329&lt;=24,"2. 1-24 hours",IF(G1329&lt;=72,"3. 1-3 days","4. Over 3 days")))</f>
        <v/>
      </c>
      <c r="O1329">
        <f>TEXT(B1329,"YYYY-MM")</f>
        <v/>
      </c>
    </row>
    <row r="1330">
      <c r="A1330" t="inlineStr">
        <is>
          <t>LD-301328</t>
        </is>
      </c>
      <c r="B1330" t="inlineStr">
        <is>
          <t>2026-01-08 17:03:00</t>
        </is>
      </c>
      <c r="C1330" t="inlineStr">
        <is>
          <t>Social Media</t>
        </is>
      </c>
      <c r="D1330" t="inlineStr">
        <is>
          <t>K-12 Math</t>
        </is>
      </c>
      <c r="E1330" t="inlineStr">
        <is>
          <t>East Region</t>
        </is>
      </c>
      <c r="F1330" t="inlineStr">
        <is>
          <t>Rep_09</t>
        </is>
      </c>
      <c r="G1330" t="n">
        <v>0.82</v>
      </c>
      <c r="H1330" t="inlineStr">
        <is>
          <t>Contacted</t>
        </is>
      </c>
      <c r="I1330" t="inlineStr">
        <is>
          <t>Open</t>
        </is>
      </c>
      <c r="M1330">
        <f>VLOOKUP(H1330,'Stage Order'!$A$2:$B$8,2,FALSE)</f>
        <v/>
      </c>
      <c r="N1330">
        <f>IF(G1330&lt;=1,"1. Under 1 hour",IF(G1330&lt;=24,"2. 1-24 hours",IF(G1330&lt;=72,"3. 1-3 days","4. Over 3 days")))</f>
        <v/>
      </c>
      <c r="O1330">
        <f>TEXT(B1330,"YYYY-MM")</f>
        <v/>
      </c>
    </row>
    <row r="1331">
      <c r="A1331" t="inlineStr">
        <is>
          <t>LD-301329</t>
        </is>
      </c>
      <c r="B1331" t="inlineStr">
        <is>
          <t>2025-04-11 17:24:00</t>
        </is>
      </c>
      <c r="C1331" t="inlineStr">
        <is>
          <t>Paid Search</t>
        </is>
      </c>
      <c r="D1331" t="inlineStr">
        <is>
          <t>Competitive Exam Prep</t>
        </is>
      </c>
      <c r="E1331" t="inlineStr">
        <is>
          <t>South Region</t>
        </is>
      </c>
      <c r="F1331" t="inlineStr">
        <is>
          <t>Rep_02</t>
        </is>
      </c>
      <c r="G1331" t="n">
        <v>8.460000000000001</v>
      </c>
      <c r="H1331" t="inlineStr">
        <is>
          <t>Demo Completed</t>
        </is>
      </c>
      <c r="I1331" t="inlineStr">
        <is>
          <t>Lost</t>
        </is>
      </c>
      <c r="J1331" t="inlineStr">
        <is>
          <t>No Response / Ghosted</t>
        </is>
      </c>
      <c r="K1331" t="n">
        <v>1165.26</v>
      </c>
      <c r="L1331" t="inlineStr">
        <is>
          <t>2025-05-18 05:05:06.303674</t>
        </is>
      </c>
      <c r="M1331">
        <f>VLOOKUP(H1331,'Stage Order'!$A$2:$B$8,2,FALSE)</f>
        <v/>
      </c>
      <c r="N1331">
        <f>IF(G1331&lt;=1,"1. Under 1 hour",IF(G1331&lt;=24,"2. 1-24 hours",IF(G1331&lt;=72,"3. 1-3 days","4. Over 3 days")))</f>
        <v/>
      </c>
      <c r="O1331">
        <f>TEXT(B1331,"YYYY-MM")</f>
        <v/>
      </c>
    </row>
    <row r="1332">
      <c r="A1332" t="inlineStr">
        <is>
          <t>LD-301330</t>
        </is>
      </c>
      <c r="B1332" t="inlineStr">
        <is>
          <t>2025-12-19 20:35:00</t>
        </is>
      </c>
      <c r="C1332" t="inlineStr">
        <is>
          <t>Webinar</t>
        </is>
      </c>
      <c r="D1332" t="inlineStr">
        <is>
          <t>Study Abroad Prep</t>
        </is>
      </c>
      <c r="E1332" t="inlineStr">
        <is>
          <t>South Region</t>
        </is>
      </c>
      <c r="F1332" t="inlineStr">
        <is>
          <t>Rep_12</t>
        </is>
      </c>
      <c r="G1332" t="n">
        <v>0.8100000000000001</v>
      </c>
      <c r="H1332" t="inlineStr">
        <is>
          <t>Contacted</t>
        </is>
      </c>
      <c r="I1332" t="inlineStr">
        <is>
          <t>Open</t>
        </is>
      </c>
      <c r="M1332">
        <f>VLOOKUP(H1332,'Stage Order'!$A$2:$B$8,2,FALSE)</f>
        <v/>
      </c>
      <c r="N1332">
        <f>IF(G1332&lt;=1,"1. Under 1 hour",IF(G1332&lt;=24,"2. 1-24 hours",IF(G1332&lt;=72,"3. 1-3 days","4. Over 3 days")))</f>
        <v/>
      </c>
      <c r="O1332">
        <f>TEXT(B1332,"YYYY-MM")</f>
        <v/>
      </c>
    </row>
    <row r="1333">
      <c r="A1333" t="inlineStr">
        <is>
          <t>LD-301331</t>
        </is>
      </c>
      <c r="B1333" t="inlineStr">
        <is>
          <t>2026-06-12 08:46:00</t>
        </is>
      </c>
      <c r="C1333" t="inlineStr">
        <is>
          <t>Paid Search</t>
        </is>
      </c>
      <c r="D1333" t="inlineStr">
        <is>
          <t>Competitive Exam Prep</t>
        </is>
      </c>
      <c r="E1333" t="inlineStr">
        <is>
          <t>South Region</t>
        </is>
      </c>
      <c r="F1333" t="inlineStr">
        <is>
          <t>Rep_07</t>
        </is>
      </c>
      <c r="G1333" t="n">
        <v>0.93</v>
      </c>
      <c r="H1333" t="inlineStr">
        <is>
          <t>Contacted</t>
        </is>
      </c>
      <c r="I1333" t="inlineStr">
        <is>
          <t>Open</t>
        </is>
      </c>
      <c r="M1333">
        <f>VLOOKUP(H1333,'Stage Order'!$A$2:$B$8,2,FALSE)</f>
        <v/>
      </c>
      <c r="N1333">
        <f>IF(G1333&lt;=1,"1. Under 1 hour",IF(G1333&lt;=24,"2. 1-24 hours",IF(G1333&lt;=72,"3. 1-3 days","4. Over 3 days")))</f>
        <v/>
      </c>
      <c r="O1333">
        <f>TEXT(B1333,"YYYY-MM")</f>
        <v/>
      </c>
    </row>
    <row r="1334">
      <c r="A1334" t="inlineStr">
        <is>
          <t>LD-301332</t>
        </is>
      </c>
      <c r="B1334" t="inlineStr">
        <is>
          <t>2025-02-05 16:36:00</t>
        </is>
      </c>
      <c r="C1334" t="inlineStr">
        <is>
          <t>Paid Search</t>
        </is>
      </c>
      <c r="D1334" t="inlineStr">
        <is>
          <t>Language Learning</t>
        </is>
      </c>
      <c r="E1334" t="inlineStr">
        <is>
          <t>North Region</t>
        </is>
      </c>
      <c r="F1334" t="inlineStr">
        <is>
          <t>Rep_01</t>
        </is>
      </c>
      <c r="G1334" t="n">
        <v>1.2</v>
      </c>
      <c r="H1334" t="inlineStr">
        <is>
          <t>Contacted</t>
        </is>
      </c>
      <c r="I1334" t="inlineStr">
        <is>
          <t>Open</t>
        </is>
      </c>
      <c r="M1334">
        <f>VLOOKUP(H1334,'Stage Order'!$A$2:$B$8,2,FALSE)</f>
        <v/>
      </c>
      <c r="N1334">
        <f>IF(G1334&lt;=1,"1. Under 1 hour",IF(G1334&lt;=24,"2. 1-24 hours",IF(G1334&lt;=72,"3. 1-3 days","4. Over 3 days")))</f>
        <v/>
      </c>
      <c r="O1334">
        <f>TEXT(B1334,"YYYY-MM")</f>
        <v/>
      </c>
    </row>
    <row r="1335">
      <c r="A1335" t="inlineStr">
        <is>
          <t>LD-301333</t>
        </is>
      </c>
      <c r="B1335" t="inlineStr">
        <is>
          <t>2025-03-24 20:26:00</t>
        </is>
      </c>
      <c r="C1335" t="inlineStr">
        <is>
          <t>Paid Search</t>
        </is>
      </c>
      <c r="D1335" t="inlineStr">
        <is>
          <t>K-12 Math</t>
        </is>
      </c>
      <c r="E1335" t="inlineStr">
        <is>
          <t>North Region</t>
        </is>
      </c>
      <c r="F1335" t="inlineStr">
        <is>
          <t>Rep_01</t>
        </is>
      </c>
      <c r="G1335" t="n">
        <v>1.54</v>
      </c>
      <c r="H1335" t="inlineStr">
        <is>
          <t>Closed</t>
        </is>
      </c>
      <c r="I1335" t="inlineStr">
        <is>
          <t>Won</t>
        </is>
      </c>
      <c r="K1335" t="n">
        <v>582.89</v>
      </c>
      <c r="L1335" t="inlineStr">
        <is>
          <t>2025-05-02 19:18:28.244377</t>
        </is>
      </c>
      <c r="M1335">
        <f>VLOOKUP(H1335,'Stage Order'!$A$2:$B$8,2,FALSE)</f>
        <v/>
      </c>
      <c r="N1335">
        <f>IF(G1335&lt;=1,"1. Under 1 hour",IF(G1335&lt;=24,"2. 1-24 hours",IF(G1335&lt;=72,"3. 1-3 days","4. Over 3 days")))</f>
        <v/>
      </c>
      <c r="O1335">
        <f>TEXT(B1335,"YYYY-MM")</f>
        <v/>
      </c>
    </row>
    <row r="1336">
      <c r="A1336" t="inlineStr">
        <is>
          <t>LD-301334</t>
        </is>
      </c>
      <c r="B1336" t="inlineStr">
        <is>
          <t>2025-04-19 10:29:00</t>
        </is>
      </c>
      <c r="C1336" t="inlineStr">
        <is>
          <t>Webinar</t>
        </is>
      </c>
      <c r="D1336" t="inlineStr">
        <is>
          <t>K-12 Math</t>
        </is>
      </c>
      <c r="E1336" t="inlineStr">
        <is>
          <t>South Region</t>
        </is>
      </c>
      <c r="F1336" t="inlineStr">
        <is>
          <t>Rep_02</t>
        </is>
      </c>
      <c r="G1336" t="n">
        <v>1.73</v>
      </c>
      <c r="H1336" t="inlineStr">
        <is>
          <t>Proposal Sent</t>
        </is>
      </c>
      <c r="I1336" t="inlineStr">
        <is>
          <t>Lost</t>
        </is>
      </c>
      <c r="J1336" t="inlineStr">
        <is>
          <t>Bad Timing</t>
        </is>
      </c>
      <c r="K1336" t="n">
        <v>579.61</v>
      </c>
      <c r="L1336" t="inlineStr">
        <is>
          <t>2025-06-06 23:55:41.332416</t>
        </is>
      </c>
      <c r="M1336">
        <f>VLOOKUP(H1336,'Stage Order'!$A$2:$B$8,2,FALSE)</f>
        <v/>
      </c>
      <c r="N1336">
        <f>IF(G1336&lt;=1,"1. Under 1 hour",IF(G1336&lt;=24,"2. 1-24 hours",IF(G1336&lt;=72,"3. 1-3 days","4. Over 3 days")))</f>
        <v/>
      </c>
      <c r="O1336">
        <f>TEXT(B1336,"YYYY-MM")</f>
        <v/>
      </c>
    </row>
    <row r="1337">
      <c r="A1337" t="inlineStr">
        <is>
          <t>LD-301335</t>
        </is>
      </c>
      <c r="B1337" t="inlineStr">
        <is>
          <t>2025-10-10 17:42:00</t>
        </is>
      </c>
      <c r="C1337" t="inlineStr">
        <is>
          <t>Cold Outreach</t>
        </is>
      </c>
      <c r="D1337" t="inlineStr">
        <is>
          <t>Coding for Kids</t>
        </is>
      </c>
      <c r="E1337" t="inlineStr">
        <is>
          <t>South Region</t>
        </is>
      </c>
      <c r="F1337" t="inlineStr">
        <is>
          <t>Rep_07</t>
        </is>
      </c>
      <c r="G1337" t="n">
        <v>3.79</v>
      </c>
      <c r="H1337" t="inlineStr">
        <is>
          <t>Lead</t>
        </is>
      </c>
      <c r="I1337" t="inlineStr">
        <is>
          <t>Open</t>
        </is>
      </c>
      <c r="M1337">
        <f>VLOOKUP(H1337,'Stage Order'!$A$2:$B$8,2,FALSE)</f>
        <v/>
      </c>
      <c r="N1337">
        <f>IF(G1337&lt;=1,"1. Under 1 hour",IF(G1337&lt;=24,"2. 1-24 hours",IF(G1337&lt;=72,"3. 1-3 days","4. Over 3 days")))</f>
        <v/>
      </c>
      <c r="O1337">
        <f>TEXT(B1337,"YYYY-MM")</f>
        <v/>
      </c>
    </row>
    <row r="1338">
      <c r="A1338" t="inlineStr">
        <is>
          <t>LD-301336</t>
        </is>
      </c>
      <c r="B1338" t="inlineStr">
        <is>
          <t>2026-01-13 07:52:00</t>
        </is>
      </c>
      <c r="C1338" t="inlineStr">
        <is>
          <t>Webinar</t>
        </is>
      </c>
      <c r="D1338" t="inlineStr">
        <is>
          <t>K-12 Math</t>
        </is>
      </c>
      <c r="E1338" t="inlineStr">
        <is>
          <t>East Region</t>
        </is>
      </c>
      <c r="F1338" t="inlineStr">
        <is>
          <t>Rep_14</t>
        </is>
      </c>
      <c r="G1338" t="n">
        <v>1.46</v>
      </c>
      <c r="H1338" t="inlineStr">
        <is>
          <t>Lead</t>
        </is>
      </c>
      <c r="I1338" t="inlineStr">
        <is>
          <t>Open</t>
        </is>
      </c>
      <c r="M1338">
        <f>VLOOKUP(H1338,'Stage Order'!$A$2:$B$8,2,FALSE)</f>
        <v/>
      </c>
      <c r="N1338">
        <f>IF(G1338&lt;=1,"1. Under 1 hour",IF(G1338&lt;=24,"2. 1-24 hours",IF(G1338&lt;=72,"3. 1-3 days","4. Over 3 days")))</f>
        <v/>
      </c>
      <c r="O1338">
        <f>TEXT(B1338,"YYYY-MM")</f>
        <v/>
      </c>
    </row>
    <row r="1339">
      <c r="A1339" t="inlineStr">
        <is>
          <t>LD-301337</t>
        </is>
      </c>
      <c r="B1339" t="inlineStr">
        <is>
          <t>2025-02-03 20:27:00</t>
        </is>
      </c>
      <c r="C1339" t="inlineStr">
        <is>
          <t>Paid Search</t>
        </is>
      </c>
      <c r="D1339" t="inlineStr">
        <is>
          <t>Language Learning</t>
        </is>
      </c>
      <c r="E1339" t="inlineStr">
        <is>
          <t>West Region</t>
        </is>
      </c>
      <c r="F1339" t="inlineStr">
        <is>
          <t>Rep_03</t>
        </is>
      </c>
      <c r="G1339" t="n">
        <v>5</v>
      </c>
      <c r="H1339" t="inlineStr">
        <is>
          <t>Contacted</t>
        </is>
      </c>
      <c r="I1339" t="inlineStr">
        <is>
          <t>Open</t>
        </is>
      </c>
      <c r="M1339">
        <f>VLOOKUP(H1339,'Stage Order'!$A$2:$B$8,2,FALSE)</f>
        <v/>
      </c>
      <c r="N1339">
        <f>IF(G1339&lt;=1,"1. Under 1 hour",IF(G1339&lt;=24,"2. 1-24 hours",IF(G1339&lt;=72,"3. 1-3 days","4. Over 3 days")))</f>
        <v/>
      </c>
      <c r="O1339">
        <f>TEXT(B1339,"YYYY-MM")</f>
        <v/>
      </c>
    </row>
    <row r="1340">
      <c r="A1340" t="inlineStr">
        <is>
          <t>LD-301338</t>
        </is>
      </c>
      <c r="B1340" t="inlineStr">
        <is>
          <t>2025-09-12 08:31:00</t>
        </is>
      </c>
      <c r="C1340" t="inlineStr">
        <is>
          <t>Cold Outreach</t>
        </is>
      </c>
      <c r="D1340" t="inlineStr">
        <is>
          <t>Competitive Exam Prep</t>
        </is>
      </c>
      <c r="E1340" t="inlineStr">
        <is>
          <t>South Region</t>
        </is>
      </c>
      <c r="F1340" t="inlineStr">
        <is>
          <t>Rep_07</t>
        </is>
      </c>
      <c r="G1340" t="n">
        <v>4.91</v>
      </c>
      <c r="H1340" t="inlineStr">
        <is>
          <t>Lead</t>
        </is>
      </c>
      <c r="I1340" t="inlineStr">
        <is>
          <t>Open</t>
        </is>
      </c>
      <c r="M1340">
        <f>VLOOKUP(H1340,'Stage Order'!$A$2:$B$8,2,FALSE)</f>
        <v/>
      </c>
      <c r="N1340">
        <f>IF(G1340&lt;=1,"1. Under 1 hour",IF(G1340&lt;=24,"2. 1-24 hours",IF(G1340&lt;=72,"3. 1-3 days","4. Over 3 days")))</f>
        <v/>
      </c>
      <c r="O1340">
        <f>TEXT(B1340,"YYYY-MM")</f>
        <v/>
      </c>
    </row>
    <row r="1341">
      <c r="A1341" t="inlineStr">
        <is>
          <t>LD-301339</t>
        </is>
      </c>
      <c r="B1341" t="inlineStr">
        <is>
          <t>2026-04-01 20:23:00</t>
        </is>
      </c>
      <c r="C1341" t="inlineStr">
        <is>
          <t>Organic Search</t>
        </is>
      </c>
      <c r="D1341" t="inlineStr">
        <is>
          <t>Coding for Kids</t>
        </is>
      </c>
      <c r="E1341" t="inlineStr">
        <is>
          <t>North Region</t>
        </is>
      </c>
      <c r="F1341" t="inlineStr">
        <is>
          <t>Rep_11</t>
        </is>
      </c>
      <c r="G1341" t="n">
        <v>4.89</v>
      </c>
      <c r="H1341" t="inlineStr">
        <is>
          <t>Proposal Sent</t>
        </is>
      </c>
      <c r="I1341" t="inlineStr">
        <is>
          <t>Lost</t>
        </is>
      </c>
      <c r="J1341" t="inlineStr">
        <is>
          <t>Price Objection</t>
        </is>
      </c>
      <c r="K1341" t="n">
        <v>723.77</v>
      </c>
      <c r="L1341" t="inlineStr">
        <is>
          <t>2026-05-05 09:15:46.174247</t>
        </is>
      </c>
      <c r="M1341">
        <f>VLOOKUP(H1341,'Stage Order'!$A$2:$B$8,2,FALSE)</f>
        <v/>
      </c>
      <c r="N1341">
        <f>IF(G1341&lt;=1,"1. Under 1 hour",IF(G1341&lt;=24,"2. 1-24 hours",IF(G1341&lt;=72,"3. 1-3 days","4. Over 3 days")))</f>
        <v/>
      </c>
      <c r="O1341">
        <f>TEXT(B1341,"YYYY-MM")</f>
        <v/>
      </c>
    </row>
    <row r="1342">
      <c r="A1342" t="inlineStr">
        <is>
          <t>LD-301340</t>
        </is>
      </c>
      <c r="B1342" t="inlineStr">
        <is>
          <t>2026-04-15 11:57:00</t>
        </is>
      </c>
      <c r="C1342" t="inlineStr">
        <is>
          <t>Social Media</t>
        </is>
      </c>
      <c r="D1342" t="inlineStr">
        <is>
          <t>Coding for Kids</t>
        </is>
      </c>
      <c r="E1342" t="inlineStr">
        <is>
          <t>West Region</t>
        </is>
      </c>
      <c r="F1342" t="inlineStr">
        <is>
          <t>Rep_03</t>
        </is>
      </c>
      <c r="G1342" t="n">
        <v>4.63</v>
      </c>
      <c r="H1342" t="inlineStr">
        <is>
          <t>Contacted</t>
        </is>
      </c>
      <c r="I1342" t="inlineStr">
        <is>
          <t>Open</t>
        </is>
      </c>
      <c r="M1342">
        <f>VLOOKUP(H1342,'Stage Order'!$A$2:$B$8,2,FALSE)</f>
        <v/>
      </c>
      <c r="N1342">
        <f>IF(G1342&lt;=1,"1. Under 1 hour",IF(G1342&lt;=24,"2. 1-24 hours",IF(G1342&lt;=72,"3. 1-3 days","4. Over 3 days")))</f>
        <v/>
      </c>
      <c r="O1342">
        <f>TEXT(B1342,"YYYY-MM")</f>
        <v/>
      </c>
    </row>
    <row r="1343">
      <c r="A1343" t="inlineStr">
        <is>
          <t>LD-301341</t>
        </is>
      </c>
      <c r="B1343" t="inlineStr">
        <is>
          <t>2025-11-14 15:37:00</t>
        </is>
      </c>
      <c r="C1343" t="inlineStr">
        <is>
          <t>Paid Search</t>
        </is>
      </c>
      <c r="D1343" t="inlineStr">
        <is>
          <t>K-12 Math</t>
        </is>
      </c>
      <c r="E1343" t="inlineStr">
        <is>
          <t>West Region</t>
        </is>
      </c>
      <c r="F1343" t="inlineStr">
        <is>
          <t>Rep_13</t>
        </is>
      </c>
      <c r="G1343" t="n">
        <v>3.93</v>
      </c>
      <c r="H1343" t="inlineStr">
        <is>
          <t>Contacted</t>
        </is>
      </c>
      <c r="I1343" t="inlineStr">
        <is>
          <t>Open</t>
        </is>
      </c>
      <c r="M1343">
        <f>VLOOKUP(H1343,'Stage Order'!$A$2:$B$8,2,FALSE)</f>
        <v/>
      </c>
      <c r="N1343">
        <f>IF(G1343&lt;=1,"1. Under 1 hour",IF(G1343&lt;=24,"2. 1-24 hours",IF(G1343&lt;=72,"3. 1-3 days","4. Over 3 days")))</f>
        <v/>
      </c>
      <c r="O1343">
        <f>TEXT(B1343,"YYYY-MM")</f>
        <v/>
      </c>
    </row>
    <row r="1344">
      <c r="A1344" t="inlineStr">
        <is>
          <t>LD-301342</t>
        </is>
      </c>
      <c r="B1344" t="inlineStr">
        <is>
          <t>2025-05-19 14:22:00</t>
        </is>
      </c>
      <c r="C1344" t="inlineStr">
        <is>
          <t>Social Media</t>
        </is>
      </c>
      <c r="D1344" t="inlineStr">
        <is>
          <t>K-12 Math</t>
        </is>
      </c>
      <c r="E1344" t="inlineStr">
        <is>
          <t>South Region</t>
        </is>
      </c>
      <c r="F1344" t="inlineStr">
        <is>
          <t>Rep_02</t>
        </is>
      </c>
      <c r="G1344" t="n">
        <v>10.08</v>
      </c>
      <c r="H1344" t="inlineStr">
        <is>
          <t>Contacted</t>
        </is>
      </c>
      <c r="I1344" t="inlineStr">
        <is>
          <t>Open</t>
        </is>
      </c>
      <c r="M1344">
        <f>VLOOKUP(H1344,'Stage Order'!$A$2:$B$8,2,FALSE)</f>
        <v/>
      </c>
      <c r="N1344">
        <f>IF(G1344&lt;=1,"1. Under 1 hour",IF(G1344&lt;=24,"2. 1-24 hours",IF(G1344&lt;=72,"3. 1-3 days","4. Over 3 days")))</f>
        <v/>
      </c>
      <c r="O1344">
        <f>TEXT(B1344,"YYYY-MM")</f>
        <v/>
      </c>
    </row>
    <row r="1345">
      <c r="A1345" t="inlineStr">
        <is>
          <t>LD-301343</t>
        </is>
      </c>
      <c r="B1345" t="inlineStr">
        <is>
          <t>2025-03-12 10:48:00</t>
        </is>
      </c>
      <c r="C1345" t="inlineStr">
        <is>
          <t>Partner Channel</t>
        </is>
      </c>
      <c r="D1345" t="inlineStr">
        <is>
          <t>K-12 Math</t>
        </is>
      </c>
      <c r="E1345" t="inlineStr">
        <is>
          <t>South Region</t>
        </is>
      </c>
      <c r="F1345" t="inlineStr">
        <is>
          <t>Rep_07</t>
        </is>
      </c>
      <c r="G1345" t="n">
        <v>1.76</v>
      </c>
      <c r="H1345" t="inlineStr">
        <is>
          <t>Contacted</t>
        </is>
      </c>
      <c r="I1345" t="inlineStr">
        <is>
          <t>Open</t>
        </is>
      </c>
      <c r="M1345">
        <f>VLOOKUP(H1345,'Stage Order'!$A$2:$B$8,2,FALSE)</f>
        <v/>
      </c>
      <c r="N1345">
        <f>IF(G1345&lt;=1,"1. Under 1 hour",IF(G1345&lt;=24,"2. 1-24 hours",IF(G1345&lt;=72,"3. 1-3 days","4. Over 3 days")))</f>
        <v/>
      </c>
      <c r="O1345">
        <f>TEXT(B1345,"YYYY-MM")</f>
        <v/>
      </c>
    </row>
    <row r="1346">
      <c r="A1346" t="inlineStr">
        <is>
          <t>LD-301344</t>
        </is>
      </c>
      <c r="B1346" t="inlineStr">
        <is>
          <t>2026-03-30 09:17:00</t>
        </is>
      </c>
      <c r="C1346" t="inlineStr">
        <is>
          <t>Organic Search</t>
        </is>
      </c>
      <c r="D1346" t="inlineStr">
        <is>
          <t>Study Abroad Prep</t>
        </is>
      </c>
      <c r="E1346" t="inlineStr">
        <is>
          <t>North Region</t>
        </is>
      </c>
      <c r="F1346" t="inlineStr">
        <is>
          <t>Rep_01</t>
        </is>
      </c>
      <c r="G1346" t="n">
        <v>1.28</v>
      </c>
      <c r="H1346" t="inlineStr">
        <is>
          <t>Contacted</t>
        </is>
      </c>
      <c r="I1346" t="inlineStr">
        <is>
          <t>Open</t>
        </is>
      </c>
      <c r="M1346">
        <f>VLOOKUP(H1346,'Stage Order'!$A$2:$B$8,2,FALSE)</f>
        <v/>
      </c>
      <c r="N1346">
        <f>IF(G1346&lt;=1,"1. Under 1 hour",IF(G1346&lt;=24,"2. 1-24 hours",IF(G1346&lt;=72,"3. 1-3 days","4. Over 3 days")))</f>
        <v/>
      </c>
      <c r="O1346">
        <f>TEXT(B1346,"YYYY-MM")</f>
        <v/>
      </c>
    </row>
    <row r="1347">
      <c r="A1347" t="inlineStr">
        <is>
          <t>LD-301345</t>
        </is>
      </c>
      <c r="B1347" t="inlineStr">
        <is>
          <t>2026-01-10 18:37:00</t>
        </is>
      </c>
      <c r="C1347" t="inlineStr">
        <is>
          <t>Cold Outreach</t>
        </is>
      </c>
      <c r="D1347" t="inlineStr">
        <is>
          <t>Study Abroad Prep</t>
        </is>
      </c>
      <c r="E1347" t="inlineStr">
        <is>
          <t>North Region</t>
        </is>
      </c>
      <c r="F1347" t="inlineStr">
        <is>
          <t>Rep_11</t>
        </is>
      </c>
      <c r="G1347" t="n">
        <v>3.22</v>
      </c>
      <c r="H1347" t="inlineStr">
        <is>
          <t>Lead</t>
        </is>
      </c>
      <c r="I1347" t="inlineStr">
        <is>
          <t>Open</t>
        </is>
      </c>
      <c r="M1347">
        <f>VLOOKUP(H1347,'Stage Order'!$A$2:$B$8,2,FALSE)</f>
        <v/>
      </c>
      <c r="N1347">
        <f>IF(G1347&lt;=1,"1. Under 1 hour",IF(G1347&lt;=24,"2. 1-24 hours",IF(G1347&lt;=72,"3. 1-3 days","4. Over 3 days")))</f>
        <v/>
      </c>
      <c r="O1347">
        <f>TEXT(B1347,"YYYY-MM")</f>
        <v/>
      </c>
    </row>
    <row r="1348">
      <c r="A1348" t="inlineStr">
        <is>
          <t>LD-301346</t>
        </is>
      </c>
      <c r="B1348" t="inlineStr">
        <is>
          <t>2025-06-26 15:36:00</t>
        </is>
      </c>
      <c r="C1348" t="inlineStr">
        <is>
          <t>Referral</t>
        </is>
      </c>
      <c r="D1348" t="inlineStr">
        <is>
          <t>Coding for Kids</t>
        </is>
      </c>
      <c r="E1348" t="inlineStr">
        <is>
          <t>South Region</t>
        </is>
      </c>
      <c r="F1348" t="inlineStr">
        <is>
          <t>Rep_02</t>
        </is>
      </c>
      <c r="G1348" t="n">
        <v>4.44</v>
      </c>
      <c r="H1348" t="inlineStr">
        <is>
          <t>Lead</t>
        </is>
      </c>
      <c r="I1348" t="inlineStr">
        <is>
          <t>Open</t>
        </is>
      </c>
      <c r="M1348">
        <f>VLOOKUP(H1348,'Stage Order'!$A$2:$B$8,2,FALSE)</f>
        <v/>
      </c>
      <c r="N1348">
        <f>IF(G1348&lt;=1,"1. Under 1 hour",IF(G1348&lt;=24,"2. 1-24 hours",IF(G1348&lt;=72,"3. 1-3 days","4. Over 3 days")))</f>
        <v/>
      </c>
      <c r="O1348">
        <f>TEXT(B1348,"YYYY-MM")</f>
        <v/>
      </c>
    </row>
    <row r="1349">
      <c r="A1349" t="inlineStr">
        <is>
          <t>LD-301347</t>
        </is>
      </c>
      <c r="B1349" t="inlineStr">
        <is>
          <t>2025-04-24 14:40:00</t>
        </is>
      </c>
      <c r="C1349" t="inlineStr">
        <is>
          <t>Webinar</t>
        </is>
      </c>
      <c r="D1349" t="inlineStr">
        <is>
          <t>Language Learning</t>
        </is>
      </c>
      <c r="E1349" t="inlineStr">
        <is>
          <t>South Region</t>
        </is>
      </c>
      <c r="F1349" t="inlineStr">
        <is>
          <t>Rep_02</t>
        </is>
      </c>
      <c r="G1349" t="n">
        <v>6.49</v>
      </c>
      <c r="H1349" t="inlineStr">
        <is>
          <t>Contacted</t>
        </is>
      </c>
      <c r="I1349" t="inlineStr">
        <is>
          <t>Open</t>
        </is>
      </c>
      <c r="M1349">
        <f>VLOOKUP(H1349,'Stage Order'!$A$2:$B$8,2,FALSE)</f>
        <v/>
      </c>
      <c r="N1349">
        <f>IF(G1349&lt;=1,"1. Under 1 hour",IF(G1349&lt;=24,"2. 1-24 hours",IF(G1349&lt;=72,"3. 1-3 days","4. Over 3 days")))</f>
        <v/>
      </c>
      <c r="O1349">
        <f>TEXT(B1349,"YYYY-MM")</f>
        <v/>
      </c>
    </row>
    <row r="1350">
      <c r="A1350" t="inlineStr">
        <is>
          <t>LD-301348</t>
        </is>
      </c>
      <c r="B1350" t="inlineStr">
        <is>
          <t>2026-01-12 17:10:00</t>
        </is>
      </c>
      <c r="C1350" t="inlineStr">
        <is>
          <t>Paid Search</t>
        </is>
      </c>
      <c r="D1350" t="inlineStr">
        <is>
          <t>Coding for Kids</t>
        </is>
      </c>
      <c r="E1350" t="inlineStr">
        <is>
          <t>South Region</t>
        </is>
      </c>
      <c r="F1350" t="inlineStr">
        <is>
          <t>Rep_02</t>
        </is>
      </c>
      <c r="G1350" t="n">
        <v>11.77</v>
      </c>
      <c r="H1350" t="inlineStr">
        <is>
          <t>Contacted</t>
        </is>
      </c>
      <c r="I1350" t="inlineStr">
        <is>
          <t>Open</t>
        </is>
      </c>
      <c r="M1350">
        <f>VLOOKUP(H1350,'Stage Order'!$A$2:$B$8,2,FALSE)</f>
        <v/>
      </c>
      <c r="N1350">
        <f>IF(G1350&lt;=1,"1. Under 1 hour",IF(G1350&lt;=24,"2. 1-24 hours",IF(G1350&lt;=72,"3. 1-3 days","4. Over 3 days")))</f>
        <v/>
      </c>
      <c r="O1350">
        <f>TEXT(B1350,"YYYY-MM")</f>
        <v/>
      </c>
    </row>
    <row r="1351">
      <c r="A1351" t="inlineStr">
        <is>
          <t>LD-301349</t>
        </is>
      </c>
      <c r="B1351" t="inlineStr">
        <is>
          <t>2025-07-01 07:14:00</t>
        </is>
      </c>
      <c r="C1351" t="inlineStr">
        <is>
          <t>Organic Search</t>
        </is>
      </c>
      <c r="D1351" t="inlineStr">
        <is>
          <t>Competitive Exam Prep</t>
        </is>
      </c>
      <c r="E1351" t="inlineStr">
        <is>
          <t>North Region</t>
        </is>
      </c>
      <c r="F1351" t="inlineStr">
        <is>
          <t>Rep_06</t>
        </is>
      </c>
      <c r="G1351" t="n">
        <v>0.43</v>
      </c>
      <c r="H1351" t="inlineStr">
        <is>
          <t>Negotiation</t>
        </is>
      </c>
      <c r="I1351" t="inlineStr">
        <is>
          <t>Lost</t>
        </is>
      </c>
      <c r="J1351" t="inlineStr">
        <is>
          <t>Budget Not Approved</t>
        </is>
      </c>
      <c r="K1351" t="n">
        <v>984.97</v>
      </c>
      <c r="L1351" t="inlineStr">
        <is>
          <t>2025-08-04 02:57:18.051264</t>
        </is>
      </c>
      <c r="M1351">
        <f>VLOOKUP(H1351,'Stage Order'!$A$2:$B$8,2,FALSE)</f>
        <v/>
      </c>
      <c r="N1351">
        <f>IF(G1351&lt;=1,"1. Under 1 hour",IF(G1351&lt;=24,"2. 1-24 hours",IF(G1351&lt;=72,"3. 1-3 days","4. Over 3 days")))</f>
        <v/>
      </c>
      <c r="O1351">
        <f>TEXT(B1351,"YYYY-MM")</f>
        <v/>
      </c>
    </row>
    <row r="1352">
      <c r="A1352" t="inlineStr">
        <is>
          <t>LD-301350</t>
        </is>
      </c>
      <c r="B1352" t="inlineStr">
        <is>
          <t>2025-10-03 18:13:00</t>
        </is>
      </c>
      <c r="C1352" t="inlineStr">
        <is>
          <t>Paid Search</t>
        </is>
      </c>
      <c r="D1352" t="inlineStr">
        <is>
          <t>K-12 Math</t>
        </is>
      </c>
      <c r="E1352" t="inlineStr">
        <is>
          <t>West Region</t>
        </is>
      </c>
      <c r="F1352" t="inlineStr">
        <is>
          <t>Rep_08</t>
        </is>
      </c>
      <c r="G1352" t="n">
        <v>5.39</v>
      </c>
      <c r="H1352" t="inlineStr">
        <is>
          <t>Contacted</t>
        </is>
      </c>
      <c r="I1352" t="inlineStr">
        <is>
          <t>Open</t>
        </is>
      </c>
      <c r="M1352">
        <f>VLOOKUP(H1352,'Stage Order'!$A$2:$B$8,2,FALSE)</f>
        <v/>
      </c>
      <c r="N1352">
        <f>IF(G1352&lt;=1,"1. Under 1 hour",IF(G1352&lt;=24,"2. 1-24 hours",IF(G1352&lt;=72,"3. 1-3 days","4. Over 3 days")))</f>
        <v/>
      </c>
      <c r="O1352">
        <f>TEXT(B1352,"YYYY-MM")</f>
        <v/>
      </c>
    </row>
    <row r="1353">
      <c r="A1353" t="inlineStr">
        <is>
          <t>LD-301351</t>
        </is>
      </c>
      <c r="B1353" t="inlineStr">
        <is>
          <t>2025-02-14 17:06:00</t>
        </is>
      </c>
      <c r="C1353" t="inlineStr">
        <is>
          <t>Partner Channel</t>
        </is>
      </c>
      <c r="D1353" t="inlineStr">
        <is>
          <t>K-12 Math</t>
        </is>
      </c>
      <c r="E1353" t="inlineStr">
        <is>
          <t>East Region</t>
        </is>
      </c>
      <c r="F1353" t="inlineStr">
        <is>
          <t>Rep_09</t>
        </is>
      </c>
      <c r="G1353" t="n">
        <v>2.51</v>
      </c>
      <c r="H1353" t="inlineStr">
        <is>
          <t>Contacted</t>
        </is>
      </c>
      <c r="I1353" t="inlineStr">
        <is>
          <t>Open</t>
        </is>
      </c>
      <c r="M1353">
        <f>VLOOKUP(H1353,'Stage Order'!$A$2:$B$8,2,FALSE)</f>
        <v/>
      </c>
      <c r="N1353">
        <f>IF(G1353&lt;=1,"1. Under 1 hour",IF(G1353&lt;=24,"2. 1-24 hours",IF(G1353&lt;=72,"3. 1-3 days","4. Over 3 days")))</f>
        <v/>
      </c>
      <c r="O1353">
        <f>TEXT(B1353,"YYYY-MM")</f>
        <v/>
      </c>
    </row>
    <row r="1354">
      <c r="A1354" t="inlineStr">
        <is>
          <t>LD-301352</t>
        </is>
      </c>
      <c r="B1354" t="inlineStr">
        <is>
          <t>2026-05-07 17:37:00</t>
        </is>
      </c>
      <c r="C1354" t="inlineStr">
        <is>
          <t>Cold Outreach</t>
        </is>
      </c>
      <c r="D1354" t="inlineStr">
        <is>
          <t>Study Abroad Prep</t>
        </is>
      </c>
      <c r="E1354" t="inlineStr">
        <is>
          <t>North Region</t>
        </is>
      </c>
      <c r="F1354" t="inlineStr">
        <is>
          <t>Rep_01</t>
        </is>
      </c>
      <c r="G1354" t="n">
        <v>6.03</v>
      </c>
      <c r="H1354" t="inlineStr">
        <is>
          <t>Lead</t>
        </is>
      </c>
      <c r="I1354" t="inlineStr">
        <is>
          <t>Open</t>
        </is>
      </c>
      <c r="M1354">
        <f>VLOOKUP(H1354,'Stage Order'!$A$2:$B$8,2,FALSE)</f>
        <v/>
      </c>
      <c r="N1354">
        <f>IF(G1354&lt;=1,"1. Under 1 hour",IF(G1354&lt;=24,"2. 1-24 hours",IF(G1354&lt;=72,"3. 1-3 days","4. Over 3 days")))</f>
        <v/>
      </c>
      <c r="O1354">
        <f>TEXT(B1354,"YYYY-MM")</f>
        <v/>
      </c>
    </row>
    <row r="1355">
      <c r="A1355" t="inlineStr">
        <is>
          <t>LD-301353</t>
        </is>
      </c>
      <c r="B1355" t="inlineStr">
        <is>
          <t>2026-02-15 14:46:00</t>
        </is>
      </c>
      <c r="C1355" t="inlineStr">
        <is>
          <t>Partner Channel</t>
        </is>
      </c>
      <c r="D1355" t="inlineStr">
        <is>
          <t>K-12 Math</t>
        </is>
      </c>
      <c r="E1355" t="inlineStr">
        <is>
          <t>East Region</t>
        </is>
      </c>
      <c r="F1355" t="inlineStr">
        <is>
          <t>Rep_04</t>
        </is>
      </c>
      <c r="G1355" t="n">
        <v>1.59</v>
      </c>
      <c r="H1355" t="inlineStr">
        <is>
          <t>Contacted</t>
        </is>
      </c>
      <c r="I1355" t="inlineStr">
        <is>
          <t>Open</t>
        </is>
      </c>
      <c r="M1355">
        <f>VLOOKUP(H1355,'Stage Order'!$A$2:$B$8,2,FALSE)</f>
        <v/>
      </c>
      <c r="N1355">
        <f>IF(G1355&lt;=1,"1. Under 1 hour",IF(G1355&lt;=24,"2. 1-24 hours",IF(G1355&lt;=72,"3. 1-3 days","4. Over 3 days")))</f>
        <v/>
      </c>
      <c r="O1355">
        <f>TEXT(B1355,"YYYY-MM")</f>
        <v/>
      </c>
    </row>
    <row r="1356">
      <c r="A1356" t="inlineStr">
        <is>
          <t>LD-301354</t>
        </is>
      </c>
      <c r="B1356" t="inlineStr">
        <is>
          <t>2025-06-11 20:47:00</t>
        </is>
      </c>
      <c r="C1356" t="inlineStr">
        <is>
          <t>Webinar</t>
        </is>
      </c>
      <c r="D1356" t="inlineStr">
        <is>
          <t>Competitive Exam Prep</t>
        </is>
      </c>
      <c r="E1356" t="inlineStr">
        <is>
          <t>North Region</t>
        </is>
      </c>
      <c r="F1356" t="inlineStr">
        <is>
          <t>Rep_01</t>
        </is>
      </c>
      <c r="G1356" t="n">
        <v>2.12</v>
      </c>
      <c r="H1356" t="inlineStr">
        <is>
          <t>Negotiation</t>
        </is>
      </c>
      <c r="I1356" t="inlineStr">
        <is>
          <t>Lost</t>
        </is>
      </c>
      <c r="J1356" t="inlineStr">
        <is>
          <t>Bad Timing</t>
        </is>
      </c>
      <c r="K1356" t="n">
        <v>887.46</v>
      </c>
      <c r="L1356" t="inlineStr">
        <is>
          <t>2025-08-14 22:02:18.521859</t>
        </is>
      </c>
      <c r="M1356">
        <f>VLOOKUP(H1356,'Stage Order'!$A$2:$B$8,2,FALSE)</f>
        <v/>
      </c>
      <c r="N1356">
        <f>IF(G1356&lt;=1,"1. Under 1 hour",IF(G1356&lt;=24,"2. 1-24 hours",IF(G1356&lt;=72,"3. 1-3 days","4. Over 3 days")))</f>
        <v/>
      </c>
      <c r="O1356">
        <f>TEXT(B1356,"YYYY-MM")</f>
        <v/>
      </c>
    </row>
    <row r="1357">
      <c r="A1357" t="inlineStr">
        <is>
          <t>LD-301355</t>
        </is>
      </c>
      <c r="B1357" t="inlineStr">
        <is>
          <t>2026-04-05 09:18:00</t>
        </is>
      </c>
      <c r="C1357" t="inlineStr">
        <is>
          <t>Partner Channel</t>
        </is>
      </c>
      <c r="D1357" t="inlineStr">
        <is>
          <t>Competitive Exam Prep</t>
        </is>
      </c>
      <c r="E1357" t="inlineStr">
        <is>
          <t>North Region</t>
        </is>
      </c>
      <c r="F1357" t="inlineStr">
        <is>
          <t>Rep_11</t>
        </is>
      </c>
      <c r="G1357" t="n">
        <v>1.43</v>
      </c>
      <c r="H1357" t="inlineStr">
        <is>
          <t>Proposal Sent</t>
        </is>
      </c>
      <c r="I1357" t="inlineStr">
        <is>
          <t>Lost</t>
        </is>
      </c>
      <c r="J1357" t="inlineStr">
        <is>
          <t>No Response / Ghosted</t>
        </is>
      </c>
      <c r="K1357" t="n">
        <v>825.71</v>
      </c>
      <c r="L1357" t="inlineStr">
        <is>
          <t>2026-05-12 17:55:49.861046</t>
        </is>
      </c>
      <c r="M1357">
        <f>VLOOKUP(H1357,'Stage Order'!$A$2:$B$8,2,FALSE)</f>
        <v/>
      </c>
      <c r="N1357">
        <f>IF(G1357&lt;=1,"1. Under 1 hour",IF(G1357&lt;=24,"2. 1-24 hours",IF(G1357&lt;=72,"3. 1-3 days","4. Over 3 days")))</f>
        <v/>
      </c>
      <c r="O1357">
        <f>TEXT(B1357,"YYYY-MM")</f>
        <v/>
      </c>
    </row>
    <row r="1358">
      <c r="A1358" t="inlineStr">
        <is>
          <t>LD-301356</t>
        </is>
      </c>
      <c r="B1358" t="inlineStr">
        <is>
          <t>2026-05-01 14:27:00</t>
        </is>
      </c>
      <c r="C1358" t="inlineStr">
        <is>
          <t>Paid Search</t>
        </is>
      </c>
      <c r="D1358" t="inlineStr">
        <is>
          <t>K-12 Math</t>
        </is>
      </c>
      <c r="E1358" t="inlineStr">
        <is>
          <t>South Region</t>
        </is>
      </c>
      <c r="F1358" t="inlineStr">
        <is>
          <t>Rep_02</t>
        </is>
      </c>
      <c r="G1358" t="n">
        <v>0.57</v>
      </c>
      <c r="H1358" t="inlineStr">
        <is>
          <t>Contacted</t>
        </is>
      </c>
      <c r="I1358" t="inlineStr">
        <is>
          <t>Open</t>
        </is>
      </c>
      <c r="M1358">
        <f>VLOOKUP(H1358,'Stage Order'!$A$2:$B$8,2,FALSE)</f>
        <v/>
      </c>
      <c r="N1358">
        <f>IF(G1358&lt;=1,"1. Under 1 hour",IF(G1358&lt;=24,"2. 1-24 hours",IF(G1358&lt;=72,"3. 1-3 days","4. Over 3 days")))</f>
        <v/>
      </c>
      <c r="O1358">
        <f>TEXT(B1358,"YYYY-MM")</f>
        <v/>
      </c>
    </row>
    <row r="1359">
      <c r="A1359" t="inlineStr">
        <is>
          <t>LD-301357</t>
        </is>
      </c>
      <c r="B1359" t="inlineStr">
        <is>
          <t>2025-02-28 17:15:00</t>
        </is>
      </c>
      <c r="C1359" t="inlineStr">
        <is>
          <t>Organic Search</t>
        </is>
      </c>
      <c r="D1359" t="inlineStr">
        <is>
          <t>K-12 Math</t>
        </is>
      </c>
      <c r="E1359" t="inlineStr">
        <is>
          <t>West Region</t>
        </is>
      </c>
      <c r="F1359" t="inlineStr">
        <is>
          <t>Rep_13</t>
        </is>
      </c>
      <c r="G1359" t="n">
        <v>9.74</v>
      </c>
      <c r="H1359" t="inlineStr">
        <is>
          <t>Contacted</t>
        </is>
      </c>
      <c r="I1359" t="inlineStr">
        <is>
          <t>Open</t>
        </is>
      </c>
      <c r="M1359">
        <f>VLOOKUP(H1359,'Stage Order'!$A$2:$B$8,2,FALSE)</f>
        <v/>
      </c>
      <c r="N1359">
        <f>IF(G1359&lt;=1,"1. Under 1 hour",IF(G1359&lt;=24,"2. 1-24 hours",IF(G1359&lt;=72,"3. 1-3 days","4. Over 3 days")))</f>
        <v/>
      </c>
      <c r="O1359">
        <f>TEXT(B1359,"YYYY-MM")</f>
        <v/>
      </c>
    </row>
    <row r="1360">
      <c r="A1360" t="inlineStr">
        <is>
          <t>LD-301358</t>
        </is>
      </c>
      <c r="B1360" t="inlineStr">
        <is>
          <t>2025-07-09 12:24:00</t>
        </is>
      </c>
      <c r="C1360" t="inlineStr">
        <is>
          <t>Partner Channel</t>
        </is>
      </c>
      <c r="D1360" t="inlineStr">
        <is>
          <t>K-12 Math</t>
        </is>
      </c>
      <c r="E1360" t="inlineStr">
        <is>
          <t>West Region</t>
        </is>
      </c>
      <c r="F1360" t="inlineStr">
        <is>
          <t>Rep_03</t>
        </is>
      </c>
      <c r="G1360" t="n">
        <v>4.96</v>
      </c>
      <c r="H1360" t="inlineStr">
        <is>
          <t>Contacted</t>
        </is>
      </c>
      <c r="I1360" t="inlineStr">
        <is>
          <t>Open</t>
        </is>
      </c>
      <c r="M1360">
        <f>VLOOKUP(H1360,'Stage Order'!$A$2:$B$8,2,FALSE)</f>
        <v/>
      </c>
      <c r="N1360">
        <f>IF(G1360&lt;=1,"1. Under 1 hour",IF(G1360&lt;=24,"2. 1-24 hours",IF(G1360&lt;=72,"3. 1-3 days","4. Over 3 days")))</f>
        <v/>
      </c>
      <c r="O1360">
        <f>TEXT(B1360,"YYYY-MM")</f>
        <v/>
      </c>
    </row>
    <row r="1361">
      <c r="A1361" t="inlineStr">
        <is>
          <t>LD-301359</t>
        </is>
      </c>
      <c r="B1361" t="inlineStr">
        <is>
          <t>2026-04-20 14:14:00</t>
        </is>
      </c>
      <c r="C1361" t="inlineStr">
        <is>
          <t>Partner Channel</t>
        </is>
      </c>
      <c r="D1361" t="inlineStr">
        <is>
          <t>Competitive Exam Prep</t>
        </is>
      </c>
      <c r="E1361" t="inlineStr">
        <is>
          <t>North Region</t>
        </is>
      </c>
      <c r="F1361" t="inlineStr">
        <is>
          <t>Rep_01</t>
        </is>
      </c>
      <c r="G1361" t="n">
        <v>1.68</v>
      </c>
      <c r="H1361" t="inlineStr">
        <is>
          <t>Negotiation</t>
        </is>
      </c>
      <c r="I1361" t="inlineStr">
        <is>
          <t>Lost</t>
        </is>
      </c>
      <c r="J1361" t="inlineStr">
        <is>
          <t>No Response / Ghosted</t>
        </is>
      </c>
      <c r="K1361" t="n">
        <v>970.72</v>
      </c>
      <c r="L1361" t="inlineStr">
        <is>
          <t>2026-06-03 21:13:00.992764</t>
        </is>
      </c>
      <c r="M1361">
        <f>VLOOKUP(H1361,'Stage Order'!$A$2:$B$8,2,FALSE)</f>
        <v/>
      </c>
      <c r="N1361">
        <f>IF(G1361&lt;=1,"1. Under 1 hour",IF(G1361&lt;=24,"2. 1-24 hours",IF(G1361&lt;=72,"3. 1-3 days","4. Over 3 days")))</f>
        <v/>
      </c>
      <c r="O1361">
        <f>TEXT(B1361,"YYYY-MM")</f>
        <v/>
      </c>
    </row>
    <row r="1362">
      <c r="A1362" t="inlineStr">
        <is>
          <t>LD-301360</t>
        </is>
      </c>
      <c r="B1362" t="inlineStr">
        <is>
          <t>2025-06-27 11:34:00</t>
        </is>
      </c>
      <c r="C1362" t="inlineStr">
        <is>
          <t>Partner Channel</t>
        </is>
      </c>
      <c r="D1362" t="inlineStr">
        <is>
          <t>Coding for Kids</t>
        </is>
      </c>
      <c r="E1362" t="inlineStr">
        <is>
          <t>South Region</t>
        </is>
      </c>
      <c r="F1362" t="inlineStr">
        <is>
          <t>Rep_02</t>
        </is>
      </c>
      <c r="G1362" t="n">
        <v>4.23</v>
      </c>
      <c r="H1362" t="inlineStr">
        <is>
          <t>Proposal Sent</t>
        </is>
      </c>
      <c r="I1362" t="inlineStr">
        <is>
          <t>Lost</t>
        </is>
      </c>
      <c r="J1362" t="inlineStr">
        <is>
          <t>Price Objection</t>
        </is>
      </c>
      <c r="K1362" t="n">
        <v>733.46</v>
      </c>
      <c r="L1362" t="inlineStr">
        <is>
          <t>2025-08-07 13:48:51.105618</t>
        </is>
      </c>
      <c r="M1362">
        <f>VLOOKUP(H1362,'Stage Order'!$A$2:$B$8,2,FALSE)</f>
        <v/>
      </c>
      <c r="N1362">
        <f>IF(G1362&lt;=1,"1. Under 1 hour",IF(G1362&lt;=24,"2. 1-24 hours",IF(G1362&lt;=72,"3. 1-3 days","4. Over 3 days")))</f>
        <v/>
      </c>
      <c r="O1362">
        <f>TEXT(B1362,"YYYY-MM")</f>
        <v/>
      </c>
    </row>
    <row r="1363">
      <c r="A1363" t="inlineStr">
        <is>
          <t>LD-301361</t>
        </is>
      </c>
      <c r="B1363" t="inlineStr">
        <is>
          <t>2026-05-12 17:31:00</t>
        </is>
      </c>
      <c r="C1363" t="inlineStr">
        <is>
          <t>Organic Search</t>
        </is>
      </c>
      <c r="D1363" t="inlineStr">
        <is>
          <t>Coding for Kids</t>
        </is>
      </c>
      <c r="E1363" t="inlineStr">
        <is>
          <t>East Region</t>
        </is>
      </c>
      <c r="F1363" t="inlineStr">
        <is>
          <t>Rep_14</t>
        </is>
      </c>
      <c r="G1363" t="n">
        <v>4.04</v>
      </c>
      <c r="H1363" t="inlineStr">
        <is>
          <t>Contacted</t>
        </is>
      </c>
      <c r="I1363" t="inlineStr">
        <is>
          <t>Open</t>
        </is>
      </c>
      <c r="M1363">
        <f>VLOOKUP(H1363,'Stage Order'!$A$2:$B$8,2,FALSE)</f>
        <v/>
      </c>
      <c r="N1363">
        <f>IF(G1363&lt;=1,"1. Under 1 hour",IF(G1363&lt;=24,"2. 1-24 hours",IF(G1363&lt;=72,"3. 1-3 days","4. Over 3 days")))</f>
        <v/>
      </c>
      <c r="O1363">
        <f>TEXT(B1363,"YYYY-MM")</f>
        <v/>
      </c>
    </row>
    <row r="1364">
      <c r="A1364" t="inlineStr">
        <is>
          <t>LD-301362</t>
        </is>
      </c>
      <c r="B1364" t="inlineStr">
        <is>
          <t>2025-07-27 10:12:00</t>
        </is>
      </c>
      <c r="C1364" t="inlineStr">
        <is>
          <t>Social Media</t>
        </is>
      </c>
      <c r="D1364" t="inlineStr">
        <is>
          <t>Competitive Exam Prep</t>
        </is>
      </c>
      <c r="E1364" t="inlineStr">
        <is>
          <t>International</t>
        </is>
      </c>
      <c r="F1364" t="inlineStr">
        <is>
          <t>Rep_15</t>
        </is>
      </c>
      <c r="G1364" t="n">
        <v>2.76</v>
      </c>
      <c r="H1364" t="inlineStr">
        <is>
          <t>Closed</t>
        </is>
      </c>
      <c r="I1364" t="inlineStr">
        <is>
          <t>Won</t>
        </is>
      </c>
      <c r="K1364" t="n">
        <v>1126.91</v>
      </c>
      <c r="L1364" t="inlineStr">
        <is>
          <t>2025-08-28 09:02:26.830615</t>
        </is>
      </c>
      <c r="M1364">
        <f>VLOOKUP(H1364,'Stage Order'!$A$2:$B$8,2,FALSE)</f>
        <v/>
      </c>
      <c r="N1364">
        <f>IF(G1364&lt;=1,"1. Under 1 hour",IF(G1364&lt;=24,"2. 1-24 hours",IF(G1364&lt;=72,"3. 1-3 days","4. Over 3 days")))</f>
        <v/>
      </c>
      <c r="O1364">
        <f>TEXT(B1364,"YYYY-MM")</f>
        <v/>
      </c>
    </row>
    <row r="1365">
      <c r="A1365" t="inlineStr">
        <is>
          <t>LD-301363</t>
        </is>
      </c>
      <c r="B1365" t="inlineStr">
        <is>
          <t>2025-11-11 14:43:00</t>
        </is>
      </c>
      <c r="C1365" t="inlineStr">
        <is>
          <t>Cold Outreach</t>
        </is>
      </c>
      <c r="D1365" t="inlineStr">
        <is>
          <t>Competitive Exam Prep</t>
        </is>
      </c>
      <c r="E1365" t="inlineStr">
        <is>
          <t>North Region</t>
        </is>
      </c>
      <c r="F1365" t="inlineStr">
        <is>
          <t>Rep_01</t>
        </is>
      </c>
      <c r="G1365" t="n">
        <v>3.17</v>
      </c>
      <c r="H1365" t="inlineStr">
        <is>
          <t>Lead</t>
        </is>
      </c>
      <c r="I1365" t="inlineStr">
        <is>
          <t>Open</t>
        </is>
      </c>
      <c r="M1365">
        <f>VLOOKUP(H1365,'Stage Order'!$A$2:$B$8,2,FALSE)</f>
        <v/>
      </c>
      <c r="N1365">
        <f>IF(G1365&lt;=1,"1. Under 1 hour",IF(G1365&lt;=24,"2. 1-24 hours",IF(G1365&lt;=72,"3. 1-3 days","4. Over 3 days")))</f>
        <v/>
      </c>
      <c r="O1365">
        <f>TEXT(B1365,"YYYY-MM")</f>
        <v/>
      </c>
    </row>
    <row r="1366">
      <c r="A1366" t="inlineStr">
        <is>
          <t>LD-301364</t>
        </is>
      </c>
      <c r="B1366" t="inlineStr">
        <is>
          <t>2025-05-25 14:51:00</t>
        </is>
      </c>
      <c r="C1366" t="inlineStr">
        <is>
          <t>Partner Channel</t>
        </is>
      </c>
      <c r="D1366" t="inlineStr">
        <is>
          <t>Competitive Exam Prep</t>
        </is>
      </c>
      <c r="E1366" t="inlineStr">
        <is>
          <t>East Region</t>
        </is>
      </c>
      <c r="F1366" t="inlineStr">
        <is>
          <t>Rep_09</t>
        </is>
      </c>
      <c r="G1366" t="n">
        <v>2.01</v>
      </c>
      <c r="H1366" t="inlineStr">
        <is>
          <t>Contacted</t>
        </is>
      </c>
      <c r="I1366" t="inlineStr">
        <is>
          <t>Open</t>
        </is>
      </c>
      <c r="M1366">
        <f>VLOOKUP(H1366,'Stage Order'!$A$2:$B$8,2,FALSE)</f>
        <v/>
      </c>
      <c r="N1366">
        <f>IF(G1366&lt;=1,"1. Under 1 hour",IF(G1366&lt;=24,"2. 1-24 hours",IF(G1366&lt;=72,"3. 1-3 days","4. Over 3 days")))</f>
        <v/>
      </c>
      <c r="O1366">
        <f>TEXT(B1366,"YYYY-MM")</f>
        <v/>
      </c>
    </row>
    <row r="1367">
      <c r="A1367" t="inlineStr">
        <is>
          <t>LD-301365</t>
        </is>
      </c>
      <c r="B1367" t="inlineStr">
        <is>
          <t>2026-04-10 08:28:00</t>
        </is>
      </c>
      <c r="C1367" t="inlineStr">
        <is>
          <t>Organic Search</t>
        </is>
      </c>
      <c r="D1367" t="inlineStr">
        <is>
          <t>Competitive Exam Prep</t>
        </is>
      </c>
      <c r="E1367" t="inlineStr">
        <is>
          <t>South Region</t>
        </is>
      </c>
      <c r="F1367" t="inlineStr">
        <is>
          <t>Rep_02</t>
        </is>
      </c>
      <c r="G1367" t="n">
        <v>2.59</v>
      </c>
      <c r="H1367" t="inlineStr">
        <is>
          <t>Contacted</t>
        </is>
      </c>
      <c r="I1367" t="inlineStr">
        <is>
          <t>Open</t>
        </is>
      </c>
      <c r="M1367">
        <f>VLOOKUP(H1367,'Stage Order'!$A$2:$B$8,2,FALSE)</f>
        <v/>
      </c>
      <c r="N1367">
        <f>IF(G1367&lt;=1,"1. Under 1 hour",IF(G1367&lt;=24,"2. 1-24 hours",IF(G1367&lt;=72,"3. 1-3 days","4. Over 3 days")))</f>
        <v/>
      </c>
      <c r="O1367">
        <f>TEXT(B1367,"YYYY-MM")</f>
        <v/>
      </c>
    </row>
    <row r="1368">
      <c r="A1368" t="inlineStr">
        <is>
          <t>LD-301366</t>
        </is>
      </c>
      <c r="B1368" t="inlineStr">
        <is>
          <t>2026-05-08 17:00:00</t>
        </is>
      </c>
      <c r="C1368" t="inlineStr">
        <is>
          <t>Organic Search</t>
        </is>
      </c>
      <c r="D1368" t="inlineStr">
        <is>
          <t>K-12 Math</t>
        </is>
      </c>
      <c r="E1368" t="inlineStr">
        <is>
          <t>West Region</t>
        </is>
      </c>
      <c r="F1368" t="inlineStr">
        <is>
          <t>Rep_03</t>
        </is>
      </c>
      <c r="G1368" t="n">
        <v>5.57</v>
      </c>
      <c r="H1368" t="inlineStr">
        <is>
          <t>Negotiation</t>
        </is>
      </c>
      <c r="I1368" t="inlineStr">
        <is>
          <t>Lost</t>
        </is>
      </c>
      <c r="J1368" t="inlineStr">
        <is>
          <t>Price Objection</t>
        </is>
      </c>
      <c r="K1368" t="n">
        <v>485.08</v>
      </c>
      <c r="L1368" t="inlineStr">
        <is>
          <t>2026-06-30 11:08:00.787406</t>
        </is>
      </c>
      <c r="M1368">
        <f>VLOOKUP(H1368,'Stage Order'!$A$2:$B$8,2,FALSE)</f>
        <v/>
      </c>
      <c r="N1368">
        <f>IF(G1368&lt;=1,"1. Under 1 hour",IF(G1368&lt;=24,"2. 1-24 hours",IF(G1368&lt;=72,"3. 1-3 days","4. Over 3 days")))</f>
        <v/>
      </c>
      <c r="O1368">
        <f>TEXT(B1368,"YYYY-MM")</f>
        <v/>
      </c>
    </row>
    <row r="1369">
      <c r="A1369" t="inlineStr">
        <is>
          <t>LD-301367</t>
        </is>
      </c>
      <c r="B1369" t="inlineStr">
        <is>
          <t>2026-01-29 15:38:00</t>
        </is>
      </c>
      <c r="C1369" t="inlineStr">
        <is>
          <t>Referral</t>
        </is>
      </c>
      <c r="D1369" t="inlineStr">
        <is>
          <t>Competitive Exam Prep</t>
        </is>
      </c>
      <c r="E1369" t="inlineStr">
        <is>
          <t>West Region</t>
        </is>
      </c>
      <c r="F1369" t="inlineStr">
        <is>
          <t>Rep_08</t>
        </is>
      </c>
      <c r="G1369" t="n">
        <v>0.73</v>
      </c>
      <c r="H1369" t="inlineStr">
        <is>
          <t>Closed</t>
        </is>
      </c>
      <c r="I1369" t="inlineStr">
        <is>
          <t>Won</t>
        </is>
      </c>
      <c r="K1369" t="n">
        <v>867.0700000000001</v>
      </c>
      <c r="L1369" t="inlineStr">
        <is>
          <t>2026-03-24 02:01:57.060242</t>
        </is>
      </c>
      <c r="M1369">
        <f>VLOOKUP(H1369,'Stage Order'!$A$2:$B$8,2,FALSE)</f>
        <v/>
      </c>
      <c r="N1369">
        <f>IF(G1369&lt;=1,"1. Under 1 hour",IF(G1369&lt;=24,"2. 1-24 hours",IF(G1369&lt;=72,"3. 1-3 days","4. Over 3 days")))</f>
        <v/>
      </c>
      <c r="O1369">
        <f>TEXT(B1369,"YYYY-MM")</f>
        <v/>
      </c>
    </row>
    <row r="1370">
      <c r="A1370" t="inlineStr">
        <is>
          <t>LD-301368</t>
        </is>
      </c>
      <c r="B1370" t="inlineStr">
        <is>
          <t>2025-07-13 15:11:00</t>
        </is>
      </c>
      <c r="C1370" t="inlineStr">
        <is>
          <t>Organic Search</t>
        </is>
      </c>
      <c r="D1370" t="inlineStr">
        <is>
          <t>K-12 Math</t>
        </is>
      </c>
      <c r="E1370" t="inlineStr">
        <is>
          <t>West Region</t>
        </is>
      </c>
      <c r="F1370" t="inlineStr">
        <is>
          <t>Rep_03</t>
        </is>
      </c>
      <c r="G1370" t="n">
        <v>4.82</v>
      </c>
      <c r="H1370" t="inlineStr">
        <is>
          <t>Demo Completed</t>
        </is>
      </c>
      <c r="I1370" t="inlineStr">
        <is>
          <t>Lost</t>
        </is>
      </c>
      <c r="J1370" t="inlineStr">
        <is>
          <t>No Response / Ghosted</t>
        </is>
      </c>
      <c r="K1370" t="n">
        <v>487.5</v>
      </c>
      <c r="L1370" t="inlineStr">
        <is>
          <t>2025-08-14 21:29:38.424128</t>
        </is>
      </c>
      <c r="M1370">
        <f>VLOOKUP(H1370,'Stage Order'!$A$2:$B$8,2,FALSE)</f>
        <v/>
      </c>
      <c r="N1370">
        <f>IF(G1370&lt;=1,"1. Under 1 hour",IF(G1370&lt;=24,"2. 1-24 hours",IF(G1370&lt;=72,"3. 1-3 days","4. Over 3 days")))</f>
        <v/>
      </c>
      <c r="O1370">
        <f>TEXT(B1370,"YYYY-MM")</f>
        <v/>
      </c>
    </row>
    <row r="1371">
      <c r="A1371" t="inlineStr">
        <is>
          <t>LD-301369</t>
        </is>
      </c>
      <c r="B1371" t="inlineStr">
        <is>
          <t>2025-04-29 09:51:00</t>
        </is>
      </c>
      <c r="C1371" t="inlineStr">
        <is>
          <t>Cold Outreach</t>
        </is>
      </c>
      <c r="D1371" t="inlineStr">
        <is>
          <t>Competitive Exam Prep</t>
        </is>
      </c>
      <c r="E1371" t="inlineStr">
        <is>
          <t>South Region</t>
        </is>
      </c>
      <c r="F1371" t="inlineStr">
        <is>
          <t>Rep_02</t>
        </is>
      </c>
      <c r="G1371" t="n">
        <v>6.3</v>
      </c>
      <c r="H1371" t="inlineStr">
        <is>
          <t>Contacted</t>
        </is>
      </c>
      <c r="I1371" t="inlineStr">
        <is>
          <t>Open</t>
        </is>
      </c>
      <c r="M1371">
        <f>VLOOKUP(H1371,'Stage Order'!$A$2:$B$8,2,FALSE)</f>
        <v/>
      </c>
      <c r="N1371">
        <f>IF(G1371&lt;=1,"1. Under 1 hour",IF(G1371&lt;=24,"2. 1-24 hours",IF(G1371&lt;=72,"3. 1-3 days","4. Over 3 days")))</f>
        <v/>
      </c>
      <c r="O1371">
        <f>TEXT(B1371,"YYYY-MM")</f>
        <v/>
      </c>
    </row>
    <row r="1372">
      <c r="A1372" t="inlineStr">
        <is>
          <t>LD-301370</t>
        </is>
      </c>
      <c r="B1372" t="inlineStr">
        <is>
          <t>2025-12-12 18:05:00</t>
        </is>
      </c>
      <c r="C1372" t="inlineStr">
        <is>
          <t>Cold Outreach</t>
        </is>
      </c>
      <c r="D1372" t="inlineStr">
        <is>
          <t>K-12 Math</t>
        </is>
      </c>
      <c r="E1372" t="inlineStr">
        <is>
          <t>South Region</t>
        </is>
      </c>
      <c r="F1372" t="inlineStr">
        <is>
          <t>Rep_02</t>
        </is>
      </c>
      <c r="G1372" t="n">
        <v>0.57</v>
      </c>
      <c r="H1372" t="inlineStr">
        <is>
          <t>Contacted</t>
        </is>
      </c>
      <c r="I1372" t="inlineStr">
        <is>
          <t>Open</t>
        </is>
      </c>
      <c r="M1372">
        <f>VLOOKUP(H1372,'Stage Order'!$A$2:$B$8,2,FALSE)</f>
        <v/>
      </c>
      <c r="N1372">
        <f>IF(G1372&lt;=1,"1. Under 1 hour",IF(G1372&lt;=24,"2. 1-24 hours",IF(G1372&lt;=72,"3. 1-3 days","4. Over 3 days")))</f>
        <v/>
      </c>
      <c r="O1372">
        <f>TEXT(B1372,"YYYY-MM")</f>
        <v/>
      </c>
    </row>
    <row r="1373">
      <c r="A1373" t="inlineStr">
        <is>
          <t>LD-301371</t>
        </is>
      </c>
      <c r="B1373" t="inlineStr">
        <is>
          <t>2025-10-31 20:54:00</t>
        </is>
      </c>
      <c r="C1373" t="inlineStr">
        <is>
          <t>Referral</t>
        </is>
      </c>
      <c r="D1373" t="inlineStr">
        <is>
          <t>Language Learning</t>
        </is>
      </c>
      <c r="E1373" t="inlineStr">
        <is>
          <t>South Region</t>
        </is>
      </c>
      <c r="F1373" t="inlineStr">
        <is>
          <t>Rep_07</t>
        </is>
      </c>
      <c r="G1373" t="n">
        <v>3.52</v>
      </c>
      <c r="H1373" t="inlineStr">
        <is>
          <t>Closed</t>
        </is>
      </c>
      <c r="I1373" t="inlineStr">
        <is>
          <t>Won</t>
        </is>
      </c>
      <c r="K1373" t="n">
        <v>378.19</v>
      </c>
      <c r="L1373" t="inlineStr">
        <is>
          <t>2025-12-20 11:20:49.321828</t>
        </is>
      </c>
      <c r="M1373">
        <f>VLOOKUP(H1373,'Stage Order'!$A$2:$B$8,2,FALSE)</f>
        <v/>
      </c>
      <c r="N1373">
        <f>IF(G1373&lt;=1,"1. Under 1 hour",IF(G1373&lt;=24,"2. 1-24 hours",IF(G1373&lt;=72,"3. 1-3 days","4. Over 3 days")))</f>
        <v/>
      </c>
      <c r="O1373">
        <f>TEXT(B1373,"YYYY-MM")</f>
        <v/>
      </c>
    </row>
    <row r="1374">
      <c r="A1374" t="inlineStr">
        <is>
          <t>LD-301372</t>
        </is>
      </c>
      <c r="B1374" t="inlineStr">
        <is>
          <t>2026-01-09 11:02:00</t>
        </is>
      </c>
      <c r="C1374" t="inlineStr">
        <is>
          <t>Paid Search</t>
        </is>
      </c>
      <c r="D1374" t="inlineStr">
        <is>
          <t>Language Learning</t>
        </is>
      </c>
      <c r="E1374" t="inlineStr">
        <is>
          <t>International</t>
        </is>
      </c>
      <c r="F1374" t="inlineStr">
        <is>
          <t>Rep_15</t>
        </is>
      </c>
      <c r="G1374" t="n">
        <v>2.41</v>
      </c>
      <c r="H1374" t="inlineStr">
        <is>
          <t>Lead</t>
        </is>
      </c>
      <c r="I1374" t="inlineStr">
        <is>
          <t>Open</t>
        </is>
      </c>
      <c r="M1374">
        <f>VLOOKUP(H1374,'Stage Order'!$A$2:$B$8,2,FALSE)</f>
        <v/>
      </c>
      <c r="N1374">
        <f>IF(G1374&lt;=1,"1. Under 1 hour",IF(G1374&lt;=24,"2. 1-24 hours",IF(G1374&lt;=72,"3. 1-3 days","4. Over 3 days")))</f>
        <v/>
      </c>
      <c r="O1374">
        <f>TEXT(B1374,"YYYY-MM")</f>
        <v/>
      </c>
    </row>
    <row r="1375">
      <c r="A1375" t="inlineStr">
        <is>
          <t>LD-301373</t>
        </is>
      </c>
      <c r="B1375" t="inlineStr">
        <is>
          <t>2025-11-21 09:13:00</t>
        </is>
      </c>
      <c r="C1375" t="inlineStr">
        <is>
          <t>Social Media</t>
        </is>
      </c>
      <c r="D1375" t="inlineStr">
        <is>
          <t>Language Learning</t>
        </is>
      </c>
      <c r="E1375" t="inlineStr">
        <is>
          <t>International</t>
        </is>
      </c>
      <c r="F1375" t="inlineStr">
        <is>
          <t>Rep_15</t>
        </is>
      </c>
      <c r="G1375" t="n">
        <v>17.34</v>
      </c>
      <c r="H1375" t="inlineStr">
        <is>
          <t>Contacted</t>
        </is>
      </c>
      <c r="I1375" t="inlineStr">
        <is>
          <t>Open</t>
        </is>
      </c>
      <c r="M1375">
        <f>VLOOKUP(H1375,'Stage Order'!$A$2:$B$8,2,FALSE)</f>
        <v/>
      </c>
      <c r="N1375">
        <f>IF(G1375&lt;=1,"1. Under 1 hour",IF(G1375&lt;=24,"2. 1-24 hours",IF(G1375&lt;=72,"3. 1-3 days","4. Over 3 days")))</f>
        <v/>
      </c>
      <c r="O1375">
        <f>TEXT(B1375,"YYYY-MM")</f>
        <v/>
      </c>
    </row>
    <row r="1376">
      <c r="A1376" t="inlineStr">
        <is>
          <t>LD-301374</t>
        </is>
      </c>
      <c r="B1376" t="inlineStr">
        <is>
          <t>2025-06-18 09:35:00</t>
        </is>
      </c>
      <c r="C1376" t="inlineStr">
        <is>
          <t>Organic Search</t>
        </is>
      </c>
      <c r="D1376" t="inlineStr">
        <is>
          <t>K-12 Math</t>
        </is>
      </c>
      <c r="E1376" t="inlineStr">
        <is>
          <t>East Region</t>
        </is>
      </c>
      <c r="F1376" t="inlineStr">
        <is>
          <t>Rep_09</t>
        </is>
      </c>
      <c r="G1376" t="n">
        <v>4.03</v>
      </c>
      <c r="H1376" t="inlineStr">
        <is>
          <t>Contacted</t>
        </is>
      </c>
      <c r="I1376" t="inlineStr">
        <is>
          <t>Open</t>
        </is>
      </c>
      <c r="M1376">
        <f>VLOOKUP(H1376,'Stage Order'!$A$2:$B$8,2,FALSE)</f>
        <v/>
      </c>
      <c r="N1376">
        <f>IF(G1376&lt;=1,"1. Under 1 hour",IF(G1376&lt;=24,"2. 1-24 hours",IF(G1376&lt;=72,"3. 1-3 days","4. Over 3 days")))</f>
        <v/>
      </c>
      <c r="O1376">
        <f>TEXT(B1376,"YYYY-MM")</f>
        <v/>
      </c>
    </row>
    <row r="1377">
      <c r="A1377" t="inlineStr">
        <is>
          <t>LD-301375</t>
        </is>
      </c>
      <c r="B1377" t="inlineStr">
        <is>
          <t>2025-10-17 13:02:00</t>
        </is>
      </c>
      <c r="C1377" t="inlineStr">
        <is>
          <t>Paid Search</t>
        </is>
      </c>
      <c r="D1377" t="inlineStr">
        <is>
          <t>Competitive Exam Prep</t>
        </is>
      </c>
      <c r="E1377" t="inlineStr">
        <is>
          <t>International</t>
        </is>
      </c>
      <c r="F1377" t="inlineStr">
        <is>
          <t>Rep_15</t>
        </is>
      </c>
      <c r="G1377" t="n">
        <v>7.08</v>
      </c>
      <c r="H1377" t="inlineStr">
        <is>
          <t>Demo Scheduled</t>
        </is>
      </c>
      <c r="I1377" t="inlineStr">
        <is>
          <t>Open</t>
        </is>
      </c>
      <c r="M1377">
        <f>VLOOKUP(H1377,'Stage Order'!$A$2:$B$8,2,FALSE)</f>
        <v/>
      </c>
      <c r="N1377">
        <f>IF(G1377&lt;=1,"1. Under 1 hour",IF(G1377&lt;=24,"2. 1-24 hours",IF(G1377&lt;=72,"3. 1-3 days","4. Over 3 days")))</f>
        <v/>
      </c>
      <c r="O1377">
        <f>TEXT(B1377,"YYYY-MM")</f>
        <v/>
      </c>
    </row>
    <row r="1378">
      <c r="A1378" t="inlineStr">
        <is>
          <t>LD-301376</t>
        </is>
      </c>
      <c r="B1378" t="inlineStr">
        <is>
          <t>2026-04-07 18:48:00</t>
        </is>
      </c>
      <c r="C1378" t="inlineStr">
        <is>
          <t>Webinar</t>
        </is>
      </c>
      <c r="D1378" t="inlineStr">
        <is>
          <t>Coding for Kids</t>
        </is>
      </c>
      <c r="E1378" t="inlineStr">
        <is>
          <t>West Region</t>
        </is>
      </c>
      <c r="F1378" t="inlineStr">
        <is>
          <t>Rep_03</t>
        </is>
      </c>
      <c r="G1378" t="n">
        <v>1.54</v>
      </c>
      <c r="H1378" t="inlineStr">
        <is>
          <t>Contacted</t>
        </is>
      </c>
      <c r="I1378" t="inlineStr">
        <is>
          <t>Open</t>
        </is>
      </c>
      <c r="M1378">
        <f>VLOOKUP(H1378,'Stage Order'!$A$2:$B$8,2,FALSE)</f>
        <v/>
      </c>
      <c r="N1378">
        <f>IF(G1378&lt;=1,"1. Under 1 hour",IF(G1378&lt;=24,"2. 1-24 hours",IF(G1378&lt;=72,"3. 1-3 days","4. Over 3 days")))</f>
        <v/>
      </c>
      <c r="O1378">
        <f>TEXT(B1378,"YYYY-MM")</f>
        <v/>
      </c>
    </row>
    <row r="1379">
      <c r="A1379" t="inlineStr">
        <is>
          <t>LD-301377</t>
        </is>
      </c>
      <c r="B1379" t="inlineStr">
        <is>
          <t>2025-05-22 08:20:00</t>
        </is>
      </c>
      <c r="C1379" t="inlineStr">
        <is>
          <t>Paid Search</t>
        </is>
      </c>
      <c r="D1379" t="inlineStr">
        <is>
          <t>Competitive Exam Prep</t>
        </is>
      </c>
      <c r="E1379" t="inlineStr">
        <is>
          <t>South Region</t>
        </is>
      </c>
      <c r="F1379" t="inlineStr">
        <is>
          <t>Rep_07</t>
        </is>
      </c>
      <c r="G1379" t="n">
        <v>7.15</v>
      </c>
      <c r="H1379" t="inlineStr">
        <is>
          <t>Negotiation</t>
        </is>
      </c>
      <c r="I1379" t="inlineStr">
        <is>
          <t>Lost</t>
        </is>
      </c>
      <c r="J1379" t="inlineStr">
        <is>
          <t>Went With Competitor</t>
        </is>
      </c>
      <c r="K1379" t="n">
        <v>837.62</v>
      </c>
      <c r="L1379" t="inlineStr">
        <is>
          <t>2025-07-10 18:03:27.209227</t>
        </is>
      </c>
      <c r="M1379">
        <f>VLOOKUP(H1379,'Stage Order'!$A$2:$B$8,2,FALSE)</f>
        <v/>
      </c>
      <c r="N1379">
        <f>IF(G1379&lt;=1,"1. Under 1 hour",IF(G1379&lt;=24,"2. 1-24 hours",IF(G1379&lt;=72,"3. 1-3 days","4. Over 3 days")))</f>
        <v/>
      </c>
      <c r="O1379">
        <f>TEXT(B1379,"YYYY-MM")</f>
        <v/>
      </c>
    </row>
    <row r="1380">
      <c r="A1380" t="inlineStr">
        <is>
          <t>LD-301378</t>
        </is>
      </c>
      <c r="B1380" t="inlineStr">
        <is>
          <t>2025-02-13 08:57:00</t>
        </is>
      </c>
      <c r="C1380" t="inlineStr">
        <is>
          <t>Organic Search</t>
        </is>
      </c>
      <c r="D1380" t="inlineStr">
        <is>
          <t>K-12 Math</t>
        </is>
      </c>
      <c r="E1380" t="inlineStr">
        <is>
          <t>South Region</t>
        </is>
      </c>
      <c r="F1380" t="inlineStr">
        <is>
          <t>Rep_07</t>
        </is>
      </c>
      <c r="G1380" t="n">
        <v>18.39</v>
      </c>
      <c r="H1380" t="inlineStr">
        <is>
          <t>Negotiation</t>
        </is>
      </c>
      <c r="I1380" t="inlineStr">
        <is>
          <t>Lost</t>
        </is>
      </c>
      <c r="J1380" t="inlineStr">
        <is>
          <t>Bad Timing</t>
        </is>
      </c>
      <c r="K1380" t="n">
        <v>448.14</v>
      </c>
      <c r="L1380" t="inlineStr">
        <is>
          <t>2025-04-04 16:11:22.341288</t>
        </is>
      </c>
      <c r="M1380">
        <f>VLOOKUP(H1380,'Stage Order'!$A$2:$B$8,2,FALSE)</f>
        <v/>
      </c>
      <c r="N1380">
        <f>IF(G1380&lt;=1,"1. Under 1 hour",IF(G1380&lt;=24,"2. 1-24 hours",IF(G1380&lt;=72,"3. 1-3 days","4. Over 3 days")))</f>
        <v/>
      </c>
      <c r="O1380">
        <f>TEXT(B1380,"YYYY-MM")</f>
        <v/>
      </c>
    </row>
    <row r="1381">
      <c r="A1381" t="inlineStr">
        <is>
          <t>LD-301379</t>
        </is>
      </c>
      <c r="B1381" t="inlineStr">
        <is>
          <t>2025-07-09 14:45:00</t>
        </is>
      </c>
      <c r="C1381" t="inlineStr">
        <is>
          <t>Partner Channel</t>
        </is>
      </c>
      <c r="D1381" t="inlineStr">
        <is>
          <t>Coding for Kids</t>
        </is>
      </c>
      <c r="E1381" t="inlineStr">
        <is>
          <t>South Region</t>
        </is>
      </c>
      <c r="F1381" t="inlineStr">
        <is>
          <t>Rep_02</t>
        </is>
      </c>
      <c r="G1381" t="n">
        <v>0.92</v>
      </c>
      <c r="H1381" t="inlineStr">
        <is>
          <t>Contacted</t>
        </is>
      </c>
      <c r="I1381" t="inlineStr">
        <is>
          <t>Open</t>
        </is>
      </c>
      <c r="M1381">
        <f>VLOOKUP(H1381,'Stage Order'!$A$2:$B$8,2,FALSE)</f>
        <v/>
      </c>
      <c r="N1381">
        <f>IF(G1381&lt;=1,"1. Under 1 hour",IF(G1381&lt;=24,"2. 1-24 hours",IF(G1381&lt;=72,"3. 1-3 days","4. Over 3 days")))</f>
        <v/>
      </c>
      <c r="O1381">
        <f>TEXT(B1381,"YYYY-MM")</f>
        <v/>
      </c>
    </row>
    <row r="1382">
      <c r="A1382" t="inlineStr">
        <is>
          <t>LD-301380</t>
        </is>
      </c>
      <c r="B1382" t="inlineStr">
        <is>
          <t>2025-12-31 19:46:00</t>
        </is>
      </c>
      <c r="C1382" t="inlineStr">
        <is>
          <t>Social Media</t>
        </is>
      </c>
      <c r="D1382" t="inlineStr">
        <is>
          <t>Competitive Exam Prep</t>
        </is>
      </c>
      <c r="E1382" t="inlineStr">
        <is>
          <t>West Region</t>
        </is>
      </c>
      <c r="F1382" t="inlineStr">
        <is>
          <t>Rep_03</t>
        </is>
      </c>
      <c r="G1382" t="n">
        <v>3.77</v>
      </c>
      <c r="H1382" t="inlineStr">
        <is>
          <t>Contacted</t>
        </is>
      </c>
      <c r="I1382" t="inlineStr">
        <is>
          <t>Open</t>
        </is>
      </c>
      <c r="M1382">
        <f>VLOOKUP(H1382,'Stage Order'!$A$2:$B$8,2,FALSE)</f>
        <v/>
      </c>
      <c r="N1382">
        <f>IF(G1382&lt;=1,"1. Under 1 hour",IF(G1382&lt;=24,"2. 1-24 hours",IF(G1382&lt;=72,"3. 1-3 days","4. Over 3 days")))</f>
        <v/>
      </c>
      <c r="O1382">
        <f>TEXT(B1382,"YYYY-MM")</f>
        <v/>
      </c>
    </row>
    <row r="1383">
      <c r="A1383" t="inlineStr">
        <is>
          <t>LD-301381</t>
        </is>
      </c>
      <c r="B1383" t="inlineStr">
        <is>
          <t>2025-07-21 14:58:00</t>
        </is>
      </c>
      <c r="C1383" t="inlineStr">
        <is>
          <t>Paid Search</t>
        </is>
      </c>
      <c r="D1383" t="inlineStr">
        <is>
          <t>Competitive Exam Prep</t>
        </is>
      </c>
      <c r="E1383" t="inlineStr">
        <is>
          <t>West Region</t>
        </is>
      </c>
      <c r="F1383" t="inlineStr">
        <is>
          <t>Rep_03</t>
        </is>
      </c>
      <c r="G1383" t="n">
        <v>11.64</v>
      </c>
      <c r="H1383" t="inlineStr">
        <is>
          <t>Contacted</t>
        </is>
      </c>
      <c r="I1383" t="inlineStr">
        <is>
          <t>Open</t>
        </is>
      </c>
      <c r="M1383">
        <f>VLOOKUP(H1383,'Stage Order'!$A$2:$B$8,2,FALSE)</f>
        <v/>
      </c>
      <c r="N1383">
        <f>IF(G1383&lt;=1,"1. Under 1 hour",IF(G1383&lt;=24,"2. 1-24 hours",IF(G1383&lt;=72,"3. 1-3 days","4. Over 3 days")))</f>
        <v/>
      </c>
      <c r="O1383">
        <f>TEXT(B1383,"YYYY-MM")</f>
        <v/>
      </c>
    </row>
    <row r="1384">
      <c r="A1384" t="inlineStr">
        <is>
          <t>LD-301382</t>
        </is>
      </c>
      <c r="B1384" t="inlineStr">
        <is>
          <t>2025-07-29 12:50:00</t>
        </is>
      </c>
      <c r="C1384" t="inlineStr">
        <is>
          <t>Cold Outreach</t>
        </is>
      </c>
      <c r="D1384" t="inlineStr">
        <is>
          <t>Coding for Kids</t>
        </is>
      </c>
      <c r="E1384" t="inlineStr">
        <is>
          <t>South Region</t>
        </is>
      </c>
      <c r="F1384" t="inlineStr">
        <is>
          <t>Rep_07</t>
        </is>
      </c>
      <c r="G1384" t="n">
        <v>2.22</v>
      </c>
      <c r="H1384" t="inlineStr">
        <is>
          <t>Lead</t>
        </is>
      </c>
      <c r="I1384" t="inlineStr">
        <is>
          <t>Open</t>
        </is>
      </c>
      <c r="M1384">
        <f>VLOOKUP(H1384,'Stage Order'!$A$2:$B$8,2,FALSE)</f>
        <v/>
      </c>
      <c r="N1384">
        <f>IF(G1384&lt;=1,"1. Under 1 hour",IF(G1384&lt;=24,"2. 1-24 hours",IF(G1384&lt;=72,"3. 1-3 days","4. Over 3 days")))</f>
        <v/>
      </c>
      <c r="O1384">
        <f>TEXT(B1384,"YYYY-MM")</f>
        <v/>
      </c>
    </row>
    <row r="1385">
      <c r="A1385" t="inlineStr">
        <is>
          <t>LD-301383</t>
        </is>
      </c>
      <c r="B1385" t="inlineStr">
        <is>
          <t>2026-06-25 18:12:00</t>
        </is>
      </c>
      <c r="C1385" t="inlineStr">
        <is>
          <t>Paid Search</t>
        </is>
      </c>
      <c r="D1385" t="inlineStr">
        <is>
          <t>K-12 Math</t>
        </is>
      </c>
      <c r="E1385" t="inlineStr">
        <is>
          <t>North Region</t>
        </is>
      </c>
      <c r="F1385" t="inlineStr">
        <is>
          <t>Rep_01</t>
        </is>
      </c>
      <c r="G1385" t="n">
        <v>1.62</v>
      </c>
      <c r="H1385" t="inlineStr">
        <is>
          <t>Contacted</t>
        </is>
      </c>
      <c r="I1385" t="inlineStr">
        <is>
          <t>Open</t>
        </is>
      </c>
      <c r="M1385">
        <f>VLOOKUP(H1385,'Stage Order'!$A$2:$B$8,2,FALSE)</f>
        <v/>
      </c>
      <c r="N1385">
        <f>IF(G1385&lt;=1,"1. Under 1 hour",IF(G1385&lt;=24,"2. 1-24 hours",IF(G1385&lt;=72,"3. 1-3 days","4. Over 3 days")))</f>
        <v/>
      </c>
      <c r="O1385">
        <f>TEXT(B1385,"YYYY-MM")</f>
        <v/>
      </c>
    </row>
    <row r="1386">
      <c r="A1386" t="inlineStr">
        <is>
          <t>LD-301384</t>
        </is>
      </c>
      <c r="B1386" t="inlineStr">
        <is>
          <t>2025-12-05 07:16:00</t>
        </is>
      </c>
      <c r="C1386" t="inlineStr">
        <is>
          <t>Organic Search</t>
        </is>
      </c>
      <c r="D1386" t="inlineStr">
        <is>
          <t>K-12 Math</t>
        </is>
      </c>
      <c r="E1386" t="inlineStr">
        <is>
          <t>West Region</t>
        </is>
      </c>
      <c r="F1386" t="inlineStr">
        <is>
          <t>Rep_03</t>
        </is>
      </c>
      <c r="G1386" t="n">
        <v>4.03</v>
      </c>
      <c r="H1386" t="inlineStr">
        <is>
          <t>Proposal Sent</t>
        </is>
      </c>
      <c r="I1386" t="inlineStr">
        <is>
          <t>Lost</t>
        </is>
      </c>
      <c r="J1386" t="inlineStr">
        <is>
          <t>Price Objection</t>
        </is>
      </c>
      <c r="K1386" t="n">
        <v>514.6</v>
      </c>
      <c r="L1386" t="inlineStr">
        <is>
          <t>2026-01-23 23:15:30.664483</t>
        </is>
      </c>
      <c r="M1386">
        <f>VLOOKUP(H1386,'Stage Order'!$A$2:$B$8,2,FALSE)</f>
        <v/>
      </c>
      <c r="N1386">
        <f>IF(G1386&lt;=1,"1. Under 1 hour",IF(G1386&lt;=24,"2. 1-24 hours",IF(G1386&lt;=72,"3. 1-3 days","4. Over 3 days")))</f>
        <v/>
      </c>
      <c r="O1386">
        <f>TEXT(B1386,"YYYY-MM")</f>
        <v/>
      </c>
    </row>
    <row r="1387">
      <c r="A1387" t="inlineStr">
        <is>
          <t>LD-301385</t>
        </is>
      </c>
      <c r="B1387" t="inlineStr">
        <is>
          <t>2026-01-23 17:33:00</t>
        </is>
      </c>
      <c r="C1387" t="inlineStr">
        <is>
          <t>Social Media</t>
        </is>
      </c>
      <c r="D1387" t="inlineStr">
        <is>
          <t>Competitive Exam Prep</t>
        </is>
      </c>
      <c r="E1387" t="inlineStr">
        <is>
          <t>South Region</t>
        </is>
      </c>
      <c r="F1387" t="inlineStr">
        <is>
          <t>Rep_12</t>
        </is>
      </c>
      <c r="G1387" t="n">
        <v>10.9</v>
      </c>
      <c r="H1387" t="inlineStr">
        <is>
          <t>Contacted</t>
        </is>
      </c>
      <c r="I1387" t="inlineStr">
        <is>
          <t>Open</t>
        </is>
      </c>
      <c r="M1387">
        <f>VLOOKUP(H1387,'Stage Order'!$A$2:$B$8,2,FALSE)</f>
        <v/>
      </c>
      <c r="N1387">
        <f>IF(G1387&lt;=1,"1. Under 1 hour",IF(G1387&lt;=24,"2. 1-24 hours",IF(G1387&lt;=72,"3. 1-3 days","4. Over 3 days")))</f>
        <v/>
      </c>
      <c r="O1387">
        <f>TEXT(B1387,"YYYY-MM")</f>
        <v/>
      </c>
    </row>
    <row r="1388">
      <c r="A1388" t="inlineStr">
        <is>
          <t>LD-301386</t>
        </is>
      </c>
      <c r="B1388" t="inlineStr">
        <is>
          <t>2026-03-06 16:09:00</t>
        </is>
      </c>
      <c r="C1388" t="inlineStr">
        <is>
          <t>Referral</t>
        </is>
      </c>
      <c r="D1388" t="inlineStr">
        <is>
          <t>Competitive Exam Prep</t>
        </is>
      </c>
      <c r="E1388" t="inlineStr">
        <is>
          <t>West Region</t>
        </is>
      </c>
      <c r="F1388" t="inlineStr">
        <is>
          <t>Rep_08</t>
        </is>
      </c>
      <c r="G1388" t="n">
        <v>2.73</v>
      </c>
      <c r="H1388" t="inlineStr">
        <is>
          <t>Negotiation</t>
        </is>
      </c>
      <c r="I1388" t="inlineStr">
        <is>
          <t>Lost</t>
        </is>
      </c>
      <c r="J1388" t="inlineStr">
        <is>
          <t>Price Objection</t>
        </is>
      </c>
      <c r="K1388" t="n">
        <v>972.35</v>
      </c>
      <c r="L1388" t="inlineStr">
        <is>
          <t>2026-04-18 11:24:12.449563</t>
        </is>
      </c>
      <c r="M1388">
        <f>VLOOKUP(H1388,'Stage Order'!$A$2:$B$8,2,FALSE)</f>
        <v/>
      </c>
      <c r="N1388">
        <f>IF(G1388&lt;=1,"1. Under 1 hour",IF(G1388&lt;=24,"2. 1-24 hours",IF(G1388&lt;=72,"3. 1-3 days","4. Over 3 days")))</f>
        <v/>
      </c>
      <c r="O1388">
        <f>TEXT(B1388,"YYYY-MM")</f>
        <v/>
      </c>
    </row>
    <row r="1389">
      <c r="A1389" t="inlineStr">
        <is>
          <t>LD-301387</t>
        </is>
      </c>
      <c r="B1389" t="inlineStr">
        <is>
          <t>2025-11-03 20:22:00</t>
        </is>
      </c>
      <c r="C1389" t="inlineStr">
        <is>
          <t>Organic Search</t>
        </is>
      </c>
      <c r="D1389" t="inlineStr">
        <is>
          <t>Competitive Exam Prep</t>
        </is>
      </c>
      <c r="E1389" t="inlineStr">
        <is>
          <t>South Region</t>
        </is>
      </c>
      <c r="F1389" t="inlineStr">
        <is>
          <t>Rep_02</t>
        </is>
      </c>
      <c r="G1389" t="n">
        <v>3.21</v>
      </c>
      <c r="H1389" t="inlineStr">
        <is>
          <t>Closed</t>
        </is>
      </c>
      <c r="I1389" t="inlineStr">
        <is>
          <t>Won</t>
        </is>
      </c>
      <c r="K1389" t="n">
        <v>1030.8</v>
      </c>
      <c r="L1389" t="inlineStr">
        <is>
          <t>2025-11-25 10:47:44.190074</t>
        </is>
      </c>
      <c r="M1389">
        <f>VLOOKUP(H1389,'Stage Order'!$A$2:$B$8,2,FALSE)</f>
        <v/>
      </c>
      <c r="N1389">
        <f>IF(G1389&lt;=1,"1. Under 1 hour",IF(G1389&lt;=24,"2. 1-24 hours",IF(G1389&lt;=72,"3. 1-3 days","4. Over 3 days")))</f>
        <v/>
      </c>
      <c r="O1389">
        <f>TEXT(B1389,"YYYY-MM")</f>
        <v/>
      </c>
    </row>
    <row r="1390">
      <c r="A1390" t="inlineStr">
        <is>
          <t>LD-301388</t>
        </is>
      </c>
      <c r="B1390" t="inlineStr">
        <is>
          <t>2026-06-05 09:23:00</t>
        </is>
      </c>
      <c r="C1390" t="inlineStr">
        <is>
          <t>Webinar</t>
        </is>
      </c>
      <c r="D1390" t="inlineStr">
        <is>
          <t>K-12 Math</t>
        </is>
      </c>
      <c r="E1390" t="inlineStr">
        <is>
          <t>East Region</t>
        </is>
      </c>
      <c r="F1390" t="inlineStr">
        <is>
          <t>Rep_14</t>
        </is>
      </c>
      <c r="G1390" t="n">
        <v>4.53</v>
      </c>
      <c r="H1390" t="inlineStr">
        <is>
          <t>Contacted</t>
        </is>
      </c>
      <c r="I1390" t="inlineStr">
        <is>
          <t>Open</t>
        </is>
      </c>
      <c r="M1390">
        <f>VLOOKUP(H1390,'Stage Order'!$A$2:$B$8,2,FALSE)</f>
        <v/>
      </c>
      <c r="N1390">
        <f>IF(G1390&lt;=1,"1. Under 1 hour",IF(G1390&lt;=24,"2. 1-24 hours",IF(G1390&lt;=72,"3. 1-3 days","4. Over 3 days")))</f>
        <v/>
      </c>
      <c r="O1390">
        <f>TEXT(B1390,"YYYY-MM")</f>
        <v/>
      </c>
    </row>
    <row r="1391">
      <c r="A1391" t="inlineStr">
        <is>
          <t>LD-301389</t>
        </is>
      </c>
      <c r="B1391" t="inlineStr">
        <is>
          <t>2025-11-05 11:28:00</t>
        </is>
      </c>
      <c r="C1391" t="inlineStr">
        <is>
          <t>Referral</t>
        </is>
      </c>
      <c r="D1391" t="inlineStr">
        <is>
          <t>K-12 Math</t>
        </is>
      </c>
      <c r="E1391" t="inlineStr">
        <is>
          <t>South Region</t>
        </is>
      </c>
      <c r="F1391" t="inlineStr">
        <is>
          <t>Rep_07</t>
        </is>
      </c>
      <c r="G1391" t="n">
        <v>0.61</v>
      </c>
      <c r="H1391" t="inlineStr">
        <is>
          <t>Contacted</t>
        </is>
      </c>
      <c r="I1391" t="inlineStr">
        <is>
          <t>Open</t>
        </is>
      </c>
      <c r="M1391">
        <f>VLOOKUP(H1391,'Stage Order'!$A$2:$B$8,2,FALSE)</f>
        <v/>
      </c>
      <c r="N1391">
        <f>IF(G1391&lt;=1,"1. Under 1 hour",IF(G1391&lt;=24,"2. 1-24 hours",IF(G1391&lt;=72,"3. 1-3 days","4. Over 3 days")))</f>
        <v/>
      </c>
      <c r="O1391">
        <f>TEXT(B1391,"YYYY-MM")</f>
        <v/>
      </c>
    </row>
    <row r="1392">
      <c r="A1392" t="inlineStr">
        <is>
          <t>LD-301390</t>
        </is>
      </c>
      <c r="B1392" t="inlineStr">
        <is>
          <t>2025-01-11 19:50:00</t>
        </is>
      </c>
      <c r="C1392" t="inlineStr">
        <is>
          <t>Paid Search</t>
        </is>
      </c>
      <c r="D1392" t="inlineStr">
        <is>
          <t>Competitive Exam Prep</t>
        </is>
      </c>
      <c r="E1392" t="inlineStr">
        <is>
          <t>South Region</t>
        </is>
      </c>
      <c r="F1392" t="inlineStr">
        <is>
          <t>Rep_02</t>
        </is>
      </c>
      <c r="G1392" t="n">
        <v>0.76</v>
      </c>
      <c r="H1392" t="inlineStr">
        <is>
          <t>Contacted</t>
        </is>
      </c>
      <c r="I1392" t="inlineStr">
        <is>
          <t>Open</t>
        </is>
      </c>
      <c r="M1392">
        <f>VLOOKUP(H1392,'Stage Order'!$A$2:$B$8,2,FALSE)</f>
        <v/>
      </c>
      <c r="N1392">
        <f>IF(G1392&lt;=1,"1. Under 1 hour",IF(G1392&lt;=24,"2. 1-24 hours",IF(G1392&lt;=72,"3. 1-3 days","4. Over 3 days")))</f>
        <v/>
      </c>
      <c r="O1392">
        <f>TEXT(B1392,"YYYY-MM")</f>
        <v/>
      </c>
    </row>
    <row r="1393">
      <c r="A1393" t="inlineStr">
        <is>
          <t>LD-301391</t>
        </is>
      </c>
      <c r="B1393" t="inlineStr">
        <is>
          <t>2025-08-25 12:32:00</t>
        </is>
      </c>
      <c r="C1393" t="inlineStr">
        <is>
          <t>Paid Search</t>
        </is>
      </c>
      <c r="D1393" t="inlineStr">
        <is>
          <t>Competitive Exam Prep</t>
        </is>
      </c>
      <c r="E1393" t="inlineStr">
        <is>
          <t>East Region</t>
        </is>
      </c>
      <c r="F1393" t="inlineStr">
        <is>
          <t>Rep_04</t>
        </is>
      </c>
      <c r="G1393" t="n">
        <v>2.14</v>
      </c>
      <c r="H1393" t="inlineStr">
        <is>
          <t>Contacted</t>
        </is>
      </c>
      <c r="I1393" t="inlineStr">
        <is>
          <t>Open</t>
        </is>
      </c>
      <c r="M1393">
        <f>VLOOKUP(H1393,'Stage Order'!$A$2:$B$8,2,FALSE)</f>
        <v/>
      </c>
      <c r="N1393">
        <f>IF(G1393&lt;=1,"1. Under 1 hour",IF(G1393&lt;=24,"2. 1-24 hours",IF(G1393&lt;=72,"3. 1-3 days","4. Over 3 days")))</f>
        <v/>
      </c>
      <c r="O1393">
        <f>TEXT(B1393,"YYYY-MM")</f>
        <v/>
      </c>
    </row>
    <row r="1394">
      <c r="A1394" t="inlineStr">
        <is>
          <t>LD-301392</t>
        </is>
      </c>
      <c r="B1394" t="inlineStr">
        <is>
          <t>2026-06-21 09:51:00</t>
        </is>
      </c>
      <c r="C1394" t="inlineStr">
        <is>
          <t>Paid Search</t>
        </is>
      </c>
      <c r="D1394" t="inlineStr">
        <is>
          <t>Coding for Kids</t>
        </is>
      </c>
      <c r="E1394" t="inlineStr">
        <is>
          <t>South Region</t>
        </is>
      </c>
      <c r="F1394" t="inlineStr">
        <is>
          <t>Rep_07</t>
        </is>
      </c>
      <c r="G1394" t="n">
        <v>0.58</v>
      </c>
      <c r="H1394" t="inlineStr">
        <is>
          <t>Proposal Sent</t>
        </is>
      </c>
      <c r="I1394" t="inlineStr">
        <is>
          <t>Lost</t>
        </is>
      </c>
      <c r="J1394" t="inlineStr">
        <is>
          <t>No Response / Ghosted</t>
        </is>
      </c>
      <c r="K1394" t="n">
        <v>751.53</v>
      </c>
      <c r="L1394" t="inlineStr">
        <is>
          <t>2026-08-01 08:23:37.682949</t>
        </is>
      </c>
      <c r="M1394">
        <f>VLOOKUP(H1394,'Stage Order'!$A$2:$B$8,2,FALSE)</f>
        <v/>
      </c>
      <c r="N1394">
        <f>IF(G1394&lt;=1,"1. Under 1 hour",IF(G1394&lt;=24,"2. 1-24 hours",IF(G1394&lt;=72,"3. 1-3 days","4. Over 3 days")))</f>
        <v/>
      </c>
      <c r="O1394">
        <f>TEXT(B1394,"YYYY-MM")</f>
        <v/>
      </c>
    </row>
    <row r="1395">
      <c r="A1395" t="inlineStr">
        <is>
          <t>LD-301393</t>
        </is>
      </c>
      <c r="B1395" t="inlineStr">
        <is>
          <t>2025-04-14 09:49:00</t>
        </is>
      </c>
      <c r="C1395" t="inlineStr">
        <is>
          <t>Webinar</t>
        </is>
      </c>
      <c r="D1395" t="inlineStr">
        <is>
          <t>Study Abroad Prep</t>
        </is>
      </c>
      <c r="E1395" t="inlineStr">
        <is>
          <t>West Region</t>
        </is>
      </c>
      <c r="F1395" t="inlineStr">
        <is>
          <t>Rep_08</t>
        </is>
      </c>
      <c r="G1395" t="n">
        <v>2.24</v>
      </c>
      <c r="H1395" t="inlineStr">
        <is>
          <t>Contacted</t>
        </is>
      </c>
      <c r="I1395" t="inlineStr">
        <is>
          <t>Open</t>
        </is>
      </c>
      <c r="M1395">
        <f>VLOOKUP(H1395,'Stage Order'!$A$2:$B$8,2,FALSE)</f>
        <v/>
      </c>
      <c r="N1395">
        <f>IF(G1395&lt;=1,"1. Under 1 hour",IF(G1395&lt;=24,"2. 1-24 hours",IF(G1395&lt;=72,"3. 1-3 days","4. Over 3 days")))</f>
        <v/>
      </c>
      <c r="O1395">
        <f>TEXT(B1395,"YYYY-MM")</f>
        <v/>
      </c>
    </row>
    <row r="1396">
      <c r="A1396" t="inlineStr">
        <is>
          <t>LD-301394</t>
        </is>
      </c>
      <c r="B1396" t="inlineStr">
        <is>
          <t>2025-08-26 18:47:00</t>
        </is>
      </c>
      <c r="C1396" t="inlineStr">
        <is>
          <t>Organic Search</t>
        </is>
      </c>
      <c r="D1396" t="inlineStr">
        <is>
          <t>Study Abroad Prep</t>
        </is>
      </c>
      <c r="E1396" t="inlineStr">
        <is>
          <t>East Region</t>
        </is>
      </c>
      <c r="F1396" t="inlineStr">
        <is>
          <t>Rep_09</t>
        </is>
      </c>
      <c r="G1396" t="n">
        <v>7.22</v>
      </c>
      <c r="H1396" t="inlineStr">
        <is>
          <t>Negotiation</t>
        </is>
      </c>
      <c r="I1396" t="inlineStr">
        <is>
          <t>Lost</t>
        </is>
      </c>
      <c r="J1396" t="inlineStr">
        <is>
          <t>No Response / Ghosted</t>
        </is>
      </c>
      <c r="K1396" t="n">
        <v>1555.63</v>
      </c>
      <c r="L1396" t="inlineStr">
        <is>
          <t>2025-10-05 15:45:16.467979</t>
        </is>
      </c>
      <c r="M1396">
        <f>VLOOKUP(H1396,'Stage Order'!$A$2:$B$8,2,FALSE)</f>
        <v/>
      </c>
      <c r="N1396">
        <f>IF(G1396&lt;=1,"1. Under 1 hour",IF(G1396&lt;=24,"2. 1-24 hours",IF(G1396&lt;=72,"3. 1-3 days","4. Over 3 days")))</f>
        <v/>
      </c>
      <c r="O1396">
        <f>TEXT(B1396,"YYYY-MM")</f>
        <v/>
      </c>
    </row>
    <row r="1397">
      <c r="A1397" t="inlineStr">
        <is>
          <t>LD-301395</t>
        </is>
      </c>
      <c r="B1397" t="inlineStr">
        <is>
          <t>2025-02-13 16:31:00</t>
        </is>
      </c>
      <c r="C1397" t="inlineStr">
        <is>
          <t>Social Media</t>
        </is>
      </c>
      <c r="D1397" t="inlineStr">
        <is>
          <t>Coding for Kids</t>
        </is>
      </c>
      <c r="E1397" t="inlineStr">
        <is>
          <t>North Region</t>
        </is>
      </c>
      <c r="F1397" t="inlineStr">
        <is>
          <t>Rep_06</t>
        </is>
      </c>
      <c r="G1397" t="n">
        <v>12</v>
      </c>
      <c r="H1397" t="inlineStr">
        <is>
          <t>Lead</t>
        </is>
      </c>
      <c r="I1397" t="inlineStr">
        <is>
          <t>Open</t>
        </is>
      </c>
      <c r="M1397">
        <f>VLOOKUP(H1397,'Stage Order'!$A$2:$B$8,2,FALSE)</f>
        <v/>
      </c>
      <c r="N1397">
        <f>IF(G1397&lt;=1,"1. Under 1 hour",IF(G1397&lt;=24,"2. 1-24 hours",IF(G1397&lt;=72,"3. 1-3 days","4. Over 3 days")))</f>
        <v/>
      </c>
      <c r="O1397">
        <f>TEXT(B1397,"YYYY-MM")</f>
        <v/>
      </c>
    </row>
    <row r="1398">
      <c r="A1398" t="inlineStr">
        <is>
          <t>LD-301396</t>
        </is>
      </c>
      <c r="B1398" t="inlineStr">
        <is>
          <t>2026-06-29 13:36:00</t>
        </is>
      </c>
      <c r="C1398" t="inlineStr">
        <is>
          <t>Paid Search</t>
        </is>
      </c>
      <c r="D1398" t="inlineStr">
        <is>
          <t>Coding for Kids</t>
        </is>
      </c>
      <c r="E1398" t="inlineStr">
        <is>
          <t>North Region</t>
        </is>
      </c>
      <c r="F1398" t="inlineStr">
        <is>
          <t>Rep_01</t>
        </is>
      </c>
      <c r="G1398" t="n">
        <v>1.93</v>
      </c>
      <c r="H1398" t="inlineStr">
        <is>
          <t>Proposal Sent</t>
        </is>
      </c>
      <c r="I1398" t="inlineStr">
        <is>
          <t>Lost</t>
        </is>
      </c>
      <c r="J1398" t="inlineStr">
        <is>
          <t>Price Objection</t>
        </is>
      </c>
      <c r="K1398" t="n">
        <v>652.4</v>
      </c>
      <c r="L1398" t="inlineStr">
        <is>
          <t>2026-08-06 15:58:54.375934</t>
        </is>
      </c>
      <c r="M1398">
        <f>VLOOKUP(H1398,'Stage Order'!$A$2:$B$8,2,FALSE)</f>
        <v/>
      </c>
      <c r="N1398">
        <f>IF(G1398&lt;=1,"1. Under 1 hour",IF(G1398&lt;=24,"2. 1-24 hours",IF(G1398&lt;=72,"3. 1-3 days","4. Over 3 days")))</f>
        <v/>
      </c>
      <c r="O1398">
        <f>TEXT(B1398,"YYYY-MM")</f>
        <v/>
      </c>
    </row>
    <row r="1399">
      <c r="A1399" t="inlineStr">
        <is>
          <t>LD-301397</t>
        </is>
      </c>
      <c r="B1399" t="inlineStr">
        <is>
          <t>2026-05-18 16:14:00</t>
        </is>
      </c>
      <c r="C1399" t="inlineStr">
        <is>
          <t>Social Media</t>
        </is>
      </c>
      <c r="D1399" t="inlineStr">
        <is>
          <t>Coding for Kids</t>
        </is>
      </c>
      <c r="E1399" t="inlineStr">
        <is>
          <t>West Region</t>
        </is>
      </c>
      <c r="F1399" t="inlineStr">
        <is>
          <t>Rep_03</t>
        </is>
      </c>
      <c r="G1399" t="n">
        <v>1.61</v>
      </c>
      <c r="H1399" t="inlineStr">
        <is>
          <t>Contacted</t>
        </is>
      </c>
      <c r="I1399" t="inlineStr">
        <is>
          <t>Open</t>
        </is>
      </c>
      <c r="M1399">
        <f>VLOOKUP(H1399,'Stage Order'!$A$2:$B$8,2,FALSE)</f>
        <v/>
      </c>
      <c r="N1399">
        <f>IF(G1399&lt;=1,"1. Under 1 hour",IF(G1399&lt;=24,"2. 1-24 hours",IF(G1399&lt;=72,"3. 1-3 days","4. Over 3 days")))</f>
        <v/>
      </c>
      <c r="O1399">
        <f>TEXT(B1399,"YYYY-MM")</f>
        <v/>
      </c>
    </row>
    <row r="1400">
      <c r="A1400" t="inlineStr">
        <is>
          <t>LD-301398</t>
        </is>
      </c>
      <c r="B1400" t="inlineStr">
        <is>
          <t>2025-06-21 07:50:00</t>
        </is>
      </c>
      <c r="C1400" t="inlineStr">
        <is>
          <t>Referral</t>
        </is>
      </c>
      <c r="D1400" t="inlineStr">
        <is>
          <t>Competitive Exam Prep</t>
        </is>
      </c>
      <c r="E1400" t="inlineStr">
        <is>
          <t>East Region</t>
        </is>
      </c>
      <c r="F1400" t="inlineStr">
        <is>
          <t>Rep_09</t>
        </is>
      </c>
      <c r="G1400" t="n">
        <v>4.01</v>
      </c>
      <c r="H1400" t="inlineStr">
        <is>
          <t>Proposal Sent</t>
        </is>
      </c>
      <c r="I1400" t="inlineStr">
        <is>
          <t>Lost</t>
        </is>
      </c>
      <c r="J1400" t="inlineStr">
        <is>
          <t>Bad Timing</t>
        </is>
      </c>
      <c r="K1400" t="n">
        <v>884.74</v>
      </c>
      <c r="L1400" t="inlineStr">
        <is>
          <t>2025-07-19 00:08:19.548196</t>
        </is>
      </c>
      <c r="M1400">
        <f>VLOOKUP(H1400,'Stage Order'!$A$2:$B$8,2,FALSE)</f>
        <v/>
      </c>
      <c r="N1400">
        <f>IF(G1400&lt;=1,"1. Under 1 hour",IF(G1400&lt;=24,"2. 1-24 hours",IF(G1400&lt;=72,"3. 1-3 days","4. Over 3 days")))</f>
        <v/>
      </c>
      <c r="O1400">
        <f>TEXT(B1400,"YYYY-MM")</f>
        <v/>
      </c>
    </row>
    <row r="1401">
      <c r="A1401" t="inlineStr">
        <is>
          <t>LD-301399</t>
        </is>
      </c>
      <c r="B1401" t="inlineStr">
        <is>
          <t>2025-05-09 10:58:00</t>
        </is>
      </c>
      <c r="C1401" t="inlineStr">
        <is>
          <t>Referral</t>
        </is>
      </c>
      <c r="D1401" t="inlineStr">
        <is>
          <t>Language Learning</t>
        </is>
      </c>
      <c r="E1401" t="inlineStr">
        <is>
          <t>North Region</t>
        </is>
      </c>
      <c r="F1401" t="inlineStr">
        <is>
          <t>Rep_01</t>
        </is>
      </c>
      <c r="G1401" t="n">
        <v>1.34</v>
      </c>
      <c r="H1401" t="inlineStr">
        <is>
          <t>Proposal Sent</t>
        </is>
      </c>
      <c r="I1401" t="inlineStr">
        <is>
          <t>Lost</t>
        </is>
      </c>
      <c r="J1401" t="inlineStr">
        <is>
          <t>Budget Not Approved</t>
        </is>
      </c>
      <c r="K1401" t="n">
        <v>305.42</v>
      </c>
      <c r="L1401" t="inlineStr">
        <is>
          <t>2025-07-02 19:37:56.485405</t>
        </is>
      </c>
      <c r="M1401">
        <f>VLOOKUP(H1401,'Stage Order'!$A$2:$B$8,2,FALSE)</f>
        <v/>
      </c>
      <c r="N1401">
        <f>IF(G1401&lt;=1,"1. Under 1 hour",IF(G1401&lt;=24,"2. 1-24 hours",IF(G1401&lt;=72,"3. 1-3 days","4. Over 3 days")))</f>
        <v/>
      </c>
      <c r="O1401">
        <f>TEXT(B1401,"YYYY-MM")</f>
        <v/>
      </c>
    </row>
    <row r="1402">
      <c r="A1402" t="inlineStr">
        <is>
          <t>LD-301400</t>
        </is>
      </c>
      <c r="B1402" t="inlineStr">
        <is>
          <t>2025-09-11 13:58:00</t>
        </is>
      </c>
      <c r="C1402" t="inlineStr">
        <is>
          <t>Cold Outreach</t>
        </is>
      </c>
      <c r="D1402" t="inlineStr">
        <is>
          <t>Language Learning</t>
        </is>
      </c>
      <c r="E1402" t="inlineStr">
        <is>
          <t>South Region</t>
        </is>
      </c>
      <c r="F1402" t="inlineStr">
        <is>
          <t>Rep_07</t>
        </is>
      </c>
      <c r="G1402" t="n">
        <v>10.63</v>
      </c>
      <c r="H1402" t="inlineStr">
        <is>
          <t>Lead</t>
        </is>
      </c>
      <c r="I1402" t="inlineStr">
        <is>
          <t>Open</t>
        </is>
      </c>
      <c r="M1402">
        <f>VLOOKUP(H1402,'Stage Order'!$A$2:$B$8,2,FALSE)</f>
        <v/>
      </c>
      <c r="N1402">
        <f>IF(G1402&lt;=1,"1. Under 1 hour",IF(G1402&lt;=24,"2. 1-24 hours",IF(G1402&lt;=72,"3. 1-3 days","4. Over 3 days")))</f>
        <v/>
      </c>
      <c r="O1402">
        <f>TEXT(B1402,"YYYY-MM")</f>
        <v/>
      </c>
    </row>
    <row r="1403">
      <c r="A1403" t="inlineStr">
        <is>
          <t>LD-301401</t>
        </is>
      </c>
      <c r="B1403" t="inlineStr">
        <is>
          <t>2025-11-07 10:29:00</t>
        </is>
      </c>
      <c r="C1403" t="inlineStr">
        <is>
          <t>Cold Outreach</t>
        </is>
      </c>
      <c r="D1403" t="inlineStr">
        <is>
          <t>Competitive Exam Prep</t>
        </is>
      </c>
      <c r="E1403" t="inlineStr">
        <is>
          <t>East Region</t>
        </is>
      </c>
      <c r="F1403" t="inlineStr">
        <is>
          <t>Rep_09</t>
        </is>
      </c>
      <c r="G1403" t="n">
        <v>4.95</v>
      </c>
      <c r="H1403" t="inlineStr">
        <is>
          <t>Contacted</t>
        </is>
      </c>
      <c r="I1403" t="inlineStr">
        <is>
          <t>Open</t>
        </is>
      </c>
      <c r="M1403">
        <f>VLOOKUP(H1403,'Stage Order'!$A$2:$B$8,2,FALSE)</f>
        <v/>
      </c>
      <c r="N1403">
        <f>IF(G1403&lt;=1,"1. Under 1 hour",IF(G1403&lt;=24,"2. 1-24 hours",IF(G1403&lt;=72,"3. 1-3 days","4. Over 3 days")))</f>
        <v/>
      </c>
      <c r="O1403">
        <f>TEXT(B1403,"YYYY-MM")</f>
        <v/>
      </c>
    </row>
    <row r="1404">
      <c r="A1404" t="inlineStr">
        <is>
          <t>LD-301402</t>
        </is>
      </c>
      <c r="B1404" t="inlineStr">
        <is>
          <t>2026-03-17 10:53:00</t>
        </is>
      </c>
      <c r="C1404" t="inlineStr">
        <is>
          <t>Referral</t>
        </is>
      </c>
      <c r="D1404" t="inlineStr">
        <is>
          <t>K-12 Math</t>
        </is>
      </c>
      <c r="E1404" t="inlineStr">
        <is>
          <t>North Region</t>
        </is>
      </c>
      <c r="F1404" t="inlineStr">
        <is>
          <t>Rep_11</t>
        </is>
      </c>
      <c r="G1404" t="n">
        <v>0.58</v>
      </c>
      <c r="H1404" t="inlineStr">
        <is>
          <t>Closed</t>
        </is>
      </c>
      <c r="I1404" t="inlineStr">
        <is>
          <t>Won</t>
        </is>
      </c>
      <c r="K1404" t="n">
        <v>500.48</v>
      </c>
      <c r="L1404" t="inlineStr">
        <is>
          <t>2026-04-11 21:28:10.691966</t>
        </is>
      </c>
      <c r="M1404">
        <f>VLOOKUP(H1404,'Stage Order'!$A$2:$B$8,2,FALSE)</f>
        <v/>
      </c>
      <c r="N1404">
        <f>IF(G1404&lt;=1,"1. Under 1 hour",IF(G1404&lt;=24,"2. 1-24 hours",IF(G1404&lt;=72,"3. 1-3 days","4. Over 3 days")))</f>
        <v/>
      </c>
      <c r="O1404">
        <f>TEXT(B1404,"YYYY-MM")</f>
        <v/>
      </c>
    </row>
    <row r="1405">
      <c r="A1405" t="inlineStr">
        <is>
          <t>LD-301403</t>
        </is>
      </c>
      <c r="B1405" t="inlineStr">
        <is>
          <t>2025-07-12 20:30:00</t>
        </is>
      </c>
      <c r="C1405" t="inlineStr">
        <is>
          <t>Organic Search</t>
        </is>
      </c>
      <c r="D1405" t="inlineStr">
        <is>
          <t>Coding for Kids</t>
        </is>
      </c>
      <c r="E1405" t="inlineStr">
        <is>
          <t>East Region</t>
        </is>
      </c>
      <c r="F1405" t="inlineStr">
        <is>
          <t>Rep_09</t>
        </is>
      </c>
      <c r="G1405" t="n">
        <v>5.62</v>
      </c>
      <c r="H1405" t="inlineStr">
        <is>
          <t>Contacted</t>
        </is>
      </c>
      <c r="I1405" t="inlineStr">
        <is>
          <t>Open</t>
        </is>
      </c>
      <c r="M1405">
        <f>VLOOKUP(H1405,'Stage Order'!$A$2:$B$8,2,FALSE)</f>
        <v/>
      </c>
      <c r="N1405">
        <f>IF(G1405&lt;=1,"1. Under 1 hour",IF(G1405&lt;=24,"2. 1-24 hours",IF(G1405&lt;=72,"3. 1-3 days","4. Over 3 days")))</f>
        <v/>
      </c>
      <c r="O1405">
        <f>TEXT(B1405,"YYYY-MM")</f>
        <v/>
      </c>
    </row>
    <row r="1406">
      <c r="A1406" t="inlineStr">
        <is>
          <t>LD-301404</t>
        </is>
      </c>
      <c r="B1406" t="inlineStr">
        <is>
          <t>2025-04-18 13:31:00</t>
        </is>
      </c>
      <c r="C1406" t="inlineStr">
        <is>
          <t>Cold Outreach</t>
        </is>
      </c>
      <c r="D1406" t="inlineStr">
        <is>
          <t>Competitive Exam Prep</t>
        </is>
      </c>
      <c r="E1406" t="inlineStr">
        <is>
          <t>South Region</t>
        </is>
      </c>
      <c r="F1406" t="inlineStr">
        <is>
          <t>Rep_12</t>
        </is>
      </c>
      <c r="G1406" t="n">
        <v>1.76</v>
      </c>
      <c r="H1406" t="inlineStr">
        <is>
          <t>Lead</t>
        </is>
      </c>
      <c r="I1406" t="inlineStr">
        <is>
          <t>Open</t>
        </is>
      </c>
      <c r="M1406">
        <f>VLOOKUP(H1406,'Stage Order'!$A$2:$B$8,2,FALSE)</f>
        <v/>
      </c>
      <c r="N1406">
        <f>IF(G1406&lt;=1,"1. Under 1 hour",IF(G1406&lt;=24,"2. 1-24 hours",IF(G1406&lt;=72,"3. 1-3 days","4. Over 3 days")))</f>
        <v/>
      </c>
      <c r="O1406">
        <f>TEXT(B1406,"YYYY-MM")</f>
        <v/>
      </c>
    </row>
    <row r="1407">
      <c r="A1407" t="inlineStr">
        <is>
          <t>LD-301405</t>
        </is>
      </c>
      <c r="B1407" t="inlineStr">
        <is>
          <t>2026-05-04 07:36:00</t>
        </is>
      </c>
      <c r="C1407" t="inlineStr">
        <is>
          <t>Organic Search</t>
        </is>
      </c>
      <c r="D1407" t="inlineStr">
        <is>
          <t>K-12 Math</t>
        </is>
      </c>
      <c r="E1407" t="inlineStr">
        <is>
          <t>East Region</t>
        </is>
      </c>
      <c r="F1407" t="inlineStr">
        <is>
          <t>Rep_14</t>
        </is>
      </c>
      <c r="G1407" t="n">
        <v>10.3</v>
      </c>
      <c r="H1407" t="inlineStr">
        <is>
          <t>Demo Scheduled</t>
        </is>
      </c>
      <c r="I1407" t="inlineStr">
        <is>
          <t>Open</t>
        </is>
      </c>
      <c r="M1407">
        <f>VLOOKUP(H1407,'Stage Order'!$A$2:$B$8,2,FALSE)</f>
        <v/>
      </c>
      <c r="N1407">
        <f>IF(G1407&lt;=1,"1. Under 1 hour",IF(G1407&lt;=24,"2. 1-24 hours",IF(G1407&lt;=72,"3. 1-3 days","4. Over 3 days")))</f>
        <v/>
      </c>
      <c r="O1407">
        <f>TEXT(B1407,"YYYY-MM")</f>
        <v/>
      </c>
    </row>
    <row r="1408">
      <c r="A1408" t="inlineStr">
        <is>
          <t>LD-301406</t>
        </is>
      </c>
      <c r="B1408" t="inlineStr">
        <is>
          <t>2025-01-22 15:22:00</t>
        </is>
      </c>
      <c r="C1408" t="inlineStr">
        <is>
          <t>Organic Search</t>
        </is>
      </c>
      <c r="D1408" t="inlineStr">
        <is>
          <t>Coding for Kids</t>
        </is>
      </c>
      <c r="E1408" t="inlineStr">
        <is>
          <t>East Region</t>
        </is>
      </c>
      <c r="F1408" t="inlineStr">
        <is>
          <t>Rep_09</t>
        </is>
      </c>
      <c r="G1408" t="n">
        <v>1.97</v>
      </c>
      <c r="H1408" t="inlineStr">
        <is>
          <t>Closed</t>
        </is>
      </c>
      <c r="I1408" t="inlineStr">
        <is>
          <t>Won</t>
        </is>
      </c>
      <c r="K1408" t="n">
        <v>711.0700000000001</v>
      </c>
      <c r="L1408" t="inlineStr">
        <is>
          <t>2025-03-10 06:22:51.842312</t>
        </is>
      </c>
      <c r="M1408">
        <f>VLOOKUP(H1408,'Stage Order'!$A$2:$B$8,2,FALSE)</f>
        <v/>
      </c>
      <c r="N1408">
        <f>IF(G1408&lt;=1,"1. Under 1 hour",IF(G1408&lt;=24,"2. 1-24 hours",IF(G1408&lt;=72,"3. 1-3 days","4. Over 3 days")))</f>
        <v/>
      </c>
      <c r="O1408">
        <f>TEXT(B1408,"YYYY-MM")</f>
        <v/>
      </c>
    </row>
    <row r="1409">
      <c r="A1409" t="inlineStr">
        <is>
          <t>LD-301407</t>
        </is>
      </c>
      <c r="B1409" t="inlineStr">
        <is>
          <t>2025-09-27 16:27:00</t>
        </is>
      </c>
      <c r="C1409" t="inlineStr">
        <is>
          <t>Organic Search</t>
        </is>
      </c>
      <c r="D1409" t="inlineStr">
        <is>
          <t>Language Learning</t>
        </is>
      </c>
      <c r="E1409" t="inlineStr">
        <is>
          <t>North Region</t>
        </is>
      </c>
      <c r="F1409" t="inlineStr">
        <is>
          <t>Rep_06</t>
        </is>
      </c>
      <c r="G1409" t="n">
        <v>3.23</v>
      </c>
      <c r="H1409" t="inlineStr">
        <is>
          <t>Contacted</t>
        </is>
      </c>
      <c r="I1409" t="inlineStr">
        <is>
          <t>Open</t>
        </is>
      </c>
      <c r="M1409">
        <f>VLOOKUP(H1409,'Stage Order'!$A$2:$B$8,2,FALSE)</f>
        <v/>
      </c>
      <c r="N1409">
        <f>IF(G1409&lt;=1,"1. Under 1 hour",IF(G1409&lt;=24,"2. 1-24 hours",IF(G1409&lt;=72,"3. 1-3 days","4. Over 3 days")))</f>
        <v/>
      </c>
      <c r="O1409">
        <f>TEXT(B1409,"YYYY-MM")</f>
        <v/>
      </c>
    </row>
    <row r="1410">
      <c r="A1410" t="inlineStr">
        <is>
          <t>LD-301408</t>
        </is>
      </c>
      <c r="B1410" t="inlineStr">
        <is>
          <t>2025-01-23 17:13:00</t>
        </is>
      </c>
      <c r="C1410" t="inlineStr">
        <is>
          <t>Organic Search</t>
        </is>
      </c>
      <c r="D1410" t="inlineStr">
        <is>
          <t>K-12 Math</t>
        </is>
      </c>
      <c r="E1410" t="inlineStr">
        <is>
          <t>East Region</t>
        </is>
      </c>
      <c r="F1410" t="inlineStr">
        <is>
          <t>Rep_04</t>
        </is>
      </c>
      <c r="G1410" t="n">
        <v>6.51</v>
      </c>
      <c r="H1410" t="inlineStr">
        <is>
          <t>Lead</t>
        </is>
      </c>
      <c r="I1410" t="inlineStr">
        <is>
          <t>Open</t>
        </is>
      </c>
      <c r="M1410">
        <f>VLOOKUP(H1410,'Stage Order'!$A$2:$B$8,2,FALSE)</f>
        <v/>
      </c>
      <c r="N1410">
        <f>IF(G1410&lt;=1,"1. Under 1 hour",IF(G1410&lt;=24,"2. 1-24 hours",IF(G1410&lt;=72,"3. 1-3 days","4. Over 3 days")))</f>
        <v/>
      </c>
      <c r="O1410">
        <f>TEXT(B1410,"YYYY-MM")</f>
        <v/>
      </c>
    </row>
    <row r="1411">
      <c r="A1411" t="inlineStr">
        <is>
          <t>LD-301409</t>
        </is>
      </c>
      <c r="B1411" t="inlineStr">
        <is>
          <t>2026-02-13 15:44:00</t>
        </is>
      </c>
      <c r="C1411" t="inlineStr">
        <is>
          <t>Organic Search</t>
        </is>
      </c>
      <c r="D1411" t="inlineStr">
        <is>
          <t>Language Learning</t>
        </is>
      </c>
      <c r="E1411" t="inlineStr">
        <is>
          <t>South Region</t>
        </is>
      </c>
      <c r="F1411" t="inlineStr">
        <is>
          <t>Rep_12</t>
        </is>
      </c>
      <c r="G1411" t="n">
        <v>3.33</v>
      </c>
      <c r="H1411" t="inlineStr">
        <is>
          <t>Contacted</t>
        </is>
      </c>
      <c r="I1411" t="inlineStr">
        <is>
          <t>Open</t>
        </is>
      </c>
      <c r="M1411">
        <f>VLOOKUP(H1411,'Stage Order'!$A$2:$B$8,2,FALSE)</f>
        <v/>
      </c>
      <c r="N1411">
        <f>IF(G1411&lt;=1,"1. Under 1 hour",IF(G1411&lt;=24,"2. 1-24 hours",IF(G1411&lt;=72,"3. 1-3 days","4. Over 3 days")))</f>
        <v/>
      </c>
      <c r="O1411">
        <f>TEXT(B1411,"YYYY-MM")</f>
        <v/>
      </c>
    </row>
    <row r="1412">
      <c r="A1412" t="inlineStr">
        <is>
          <t>LD-301410</t>
        </is>
      </c>
      <c r="B1412" t="inlineStr">
        <is>
          <t>2025-07-11 08:26:00</t>
        </is>
      </c>
      <c r="C1412" t="inlineStr">
        <is>
          <t>Organic Search</t>
        </is>
      </c>
      <c r="D1412" t="inlineStr">
        <is>
          <t>Language Learning</t>
        </is>
      </c>
      <c r="E1412" t="inlineStr">
        <is>
          <t>East Region</t>
        </is>
      </c>
      <c r="F1412" t="inlineStr">
        <is>
          <t>Rep_04</t>
        </is>
      </c>
      <c r="G1412" t="n">
        <v>4.85</v>
      </c>
      <c r="H1412" t="inlineStr">
        <is>
          <t>Contacted</t>
        </is>
      </c>
      <c r="I1412" t="inlineStr">
        <is>
          <t>Open</t>
        </is>
      </c>
      <c r="M1412">
        <f>VLOOKUP(H1412,'Stage Order'!$A$2:$B$8,2,FALSE)</f>
        <v/>
      </c>
      <c r="N1412">
        <f>IF(G1412&lt;=1,"1. Under 1 hour",IF(G1412&lt;=24,"2. 1-24 hours",IF(G1412&lt;=72,"3. 1-3 days","4. Over 3 days")))</f>
        <v/>
      </c>
      <c r="O1412">
        <f>TEXT(B1412,"YYYY-MM")</f>
        <v/>
      </c>
    </row>
    <row r="1413">
      <c r="A1413" t="inlineStr">
        <is>
          <t>LD-301411</t>
        </is>
      </c>
      <c r="B1413" t="inlineStr">
        <is>
          <t>2026-04-29 15:16:00</t>
        </is>
      </c>
      <c r="C1413" t="inlineStr">
        <is>
          <t>Partner Channel</t>
        </is>
      </c>
      <c r="D1413" t="inlineStr">
        <is>
          <t>Coding for Kids</t>
        </is>
      </c>
      <c r="E1413" t="inlineStr">
        <is>
          <t>North Region</t>
        </is>
      </c>
      <c r="F1413" t="inlineStr">
        <is>
          <t>Rep_06</t>
        </is>
      </c>
      <c r="G1413" t="n">
        <v>3.32</v>
      </c>
      <c r="H1413" t="inlineStr">
        <is>
          <t>Proposal Sent</t>
        </is>
      </c>
      <c r="I1413" t="inlineStr">
        <is>
          <t>Lost</t>
        </is>
      </c>
      <c r="J1413" t="inlineStr">
        <is>
          <t>Price Objection</t>
        </is>
      </c>
      <c r="K1413" t="n">
        <v>557.03</v>
      </c>
      <c r="L1413" t="inlineStr">
        <is>
          <t>2026-06-08 08:50:11.926021</t>
        </is>
      </c>
      <c r="M1413">
        <f>VLOOKUP(H1413,'Stage Order'!$A$2:$B$8,2,FALSE)</f>
        <v/>
      </c>
      <c r="N1413">
        <f>IF(G1413&lt;=1,"1. Under 1 hour",IF(G1413&lt;=24,"2. 1-24 hours",IF(G1413&lt;=72,"3. 1-3 days","4. Over 3 days")))</f>
        <v/>
      </c>
      <c r="O1413">
        <f>TEXT(B1413,"YYYY-MM")</f>
        <v/>
      </c>
    </row>
    <row r="1414">
      <c r="A1414" t="inlineStr">
        <is>
          <t>LD-301412</t>
        </is>
      </c>
      <c r="B1414" t="inlineStr">
        <is>
          <t>2026-04-17 13:57:00</t>
        </is>
      </c>
      <c r="C1414" t="inlineStr">
        <is>
          <t>Partner Channel</t>
        </is>
      </c>
      <c r="D1414" t="inlineStr">
        <is>
          <t>Language Learning</t>
        </is>
      </c>
      <c r="E1414" t="inlineStr">
        <is>
          <t>International</t>
        </is>
      </c>
      <c r="F1414" t="inlineStr">
        <is>
          <t>Rep_10</t>
        </is>
      </c>
      <c r="G1414" t="n">
        <v>4.22</v>
      </c>
      <c r="H1414" t="inlineStr">
        <is>
          <t>Contacted</t>
        </is>
      </c>
      <c r="I1414" t="inlineStr">
        <is>
          <t>Open</t>
        </is>
      </c>
      <c r="M1414">
        <f>VLOOKUP(H1414,'Stage Order'!$A$2:$B$8,2,FALSE)</f>
        <v/>
      </c>
      <c r="N1414">
        <f>IF(G1414&lt;=1,"1. Under 1 hour",IF(G1414&lt;=24,"2. 1-24 hours",IF(G1414&lt;=72,"3. 1-3 days","4. Over 3 days")))</f>
        <v/>
      </c>
      <c r="O1414">
        <f>TEXT(B1414,"YYYY-MM")</f>
        <v/>
      </c>
    </row>
    <row r="1415">
      <c r="A1415" t="inlineStr">
        <is>
          <t>LD-301413</t>
        </is>
      </c>
      <c r="B1415" t="inlineStr">
        <is>
          <t>2025-11-26 15:43:00</t>
        </is>
      </c>
      <c r="C1415" t="inlineStr">
        <is>
          <t>Paid Search</t>
        </is>
      </c>
      <c r="D1415" t="inlineStr">
        <is>
          <t>Coding for Kids</t>
        </is>
      </c>
      <c r="E1415" t="inlineStr">
        <is>
          <t>East Region</t>
        </is>
      </c>
      <c r="F1415" t="inlineStr">
        <is>
          <t>Rep_09</t>
        </is>
      </c>
      <c r="G1415" t="n">
        <v>1.77</v>
      </c>
      <c r="H1415" t="inlineStr">
        <is>
          <t>Lead</t>
        </is>
      </c>
      <c r="I1415" t="inlineStr">
        <is>
          <t>Open</t>
        </is>
      </c>
      <c r="M1415">
        <f>VLOOKUP(H1415,'Stage Order'!$A$2:$B$8,2,FALSE)</f>
        <v/>
      </c>
      <c r="N1415">
        <f>IF(G1415&lt;=1,"1. Under 1 hour",IF(G1415&lt;=24,"2. 1-24 hours",IF(G1415&lt;=72,"3. 1-3 days","4. Over 3 days")))</f>
        <v/>
      </c>
      <c r="O1415">
        <f>TEXT(B1415,"YYYY-MM")</f>
        <v/>
      </c>
    </row>
    <row r="1416">
      <c r="A1416" t="inlineStr">
        <is>
          <t>LD-301414</t>
        </is>
      </c>
      <c r="B1416" t="inlineStr">
        <is>
          <t>2026-03-17 15:30:00</t>
        </is>
      </c>
      <c r="C1416" t="inlineStr">
        <is>
          <t>Organic Search</t>
        </is>
      </c>
      <c r="D1416" t="inlineStr">
        <is>
          <t>Competitive Exam Prep</t>
        </is>
      </c>
      <c r="E1416" t="inlineStr">
        <is>
          <t>East Region</t>
        </is>
      </c>
      <c r="F1416" t="inlineStr">
        <is>
          <t>Rep_04</t>
        </is>
      </c>
      <c r="G1416" t="n">
        <v>14.31</v>
      </c>
      <c r="H1416" t="inlineStr">
        <is>
          <t>Lead</t>
        </is>
      </c>
      <c r="I1416" t="inlineStr">
        <is>
          <t>Open</t>
        </is>
      </c>
      <c r="M1416">
        <f>VLOOKUP(H1416,'Stage Order'!$A$2:$B$8,2,FALSE)</f>
        <v/>
      </c>
      <c r="N1416">
        <f>IF(G1416&lt;=1,"1. Under 1 hour",IF(G1416&lt;=24,"2. 1-24 hours",IF(G1416&lt;=72,"3. 1-3 days","4. Over 3 days")))</f>
        <v/>
      </c>
      <c r="O1416">
        <f>TEXT(B1416,"YYYY-MM")</f>
        <v/>
      </c>
    </row>
    <row r="1417">
      <c r="A1417" t="inlineStr">
        <is>
          <t>LD-301415</t>
        </is>
      </c>
      <c r="B1417" t="inlineStr">
        <is>
          <t>2025-07-13 13:09:00</t>
        </is>
      </c>
      <c r="C1417" t="inlineStr">
        <is>
          <t>Organic Search</t>
        </is>
      </c>
      <c r="D1417" t="inlineStr">
        <is>
          <t>Competitive Exam Prep</t>
        </is>
      </c>
      <c r="E1417" t="inlineStr">
        <is>
          <t>West Region</t>
        </is>
      </c>
      <c r="F1417" t="inlineStr">
        <is>
          <t>Rep_13</t>
        </is>
      </c>
      <c r="G1417" t="n">
        <v>11.82</v>
      </c>
      <c r="H1417" t="inlineStr">
        <is>
          <t>Closed</t>
        </is>
      </c>
      <c r="I1417" t="inlineStr">
        <is>
          <t>Won</t>
        </is>
      </c>
      <c r="K1417" t="n">
        <v>830.5700000000001</v>
      </c>
      <c r="L1417" t="inlineStr">
        <is>
          <t>2025-08-11 17:31:22.112518</t>
        </is>
      </c>
      <c r="M1417">
        <f>VLOOKUP(H1417,'Stage Order'!$A$2:$B$8,2,FALSE)</f>
        <v/>
      </c>
      <c r="N1417">
        <f>IF(G1417&lt;=1,"1. Under 1 hour",IF(G1417&lt;=24,"2. 1-24 hours",IF(G1417&lt;=72,"3. 1-3 days","4. Over 3 days")))</f>
        <v/>
      </c>
      <c r="O1417">
        <f>TEXT(B1417,"YYYY-MM")</f>
        <v/>
      </c>
    </row>
    <row r="1418">
      <c r="A1418" t="inlineStr">
        <is>
          <t>LD-301416</t>
        </is>
      </c>
      <c r="B1418" t="inlineStr">
        <is>
          <t>2025-09-19 16:52:00</t>
        </is>
      </c>
      <c r="C1418" t="inlineStr">
        <is>
          <t>Organic Search</t>
        </is>
      </c>
      <c r="D1418" t="inlineStr">
        <is>
          <t>K-12 Math</t>
        </is>
      </c>
      <c r="E1418" t="inlineStr">
        <is>
          <t>East Region</t>
        </is>
      </c>
      <c r="F1418" t="inlineStr">
        <is>
          <t>Rep_14</t>
        </is>
      </c>
      <c r="G1418" t="n">
        <v>18.92</v>
      </c>
      <c r="H1418" t="inlineStr">
        <is>
          <t>Contacted</t>
        </is>
      </c>
      <c r="I1418" t="inlineStr">
        <is>
          <t>Open</t>
        </is>
      </c>
      <c r="M1418">
        <f>VLOOKUP(H1418,'Stage Order'!$A$2:$B$8,2,FALSE)</f>
        <v/>
      </c>
      <c r="N1418">
        <f>IF(G1418&lt;=1,"1. Under 1 hour",IF(G1418&lt;=24,"2. 1-24 hours",IF(G1418&lt;=72,"3. 1-3 days","4. Over 3 days")))</f>
        <v/>
      </c>
      <c r="O1418">
        <f>TEXT(B1418,"YYYY-MM")</f>
        <v/>
      </c>
    </row>
    <row r="1419">
      <c r="A1419" t="inlineStr">
        <is>
          <t>LD-301417</t>
        </is>
      </c>
      <c r="B1419" t="inlineStr">
        <is>
          <t>2026-01-05 19:16:00</t>
        </is>
      </c>
      <c r="C1419" t="inlineStr">
        <is>
          <t>Referral</t>
        </is>
      </c>
      <c r="D1419" t="inlineStr">
        <is>
          <t>Language Learning</t>
        </is>
      </c>
      <c r="E1419" t="inlineStr">
        <is>
          <t>South Region</t>
        </is>
      </c>
      <c r="F1419" t="inlineStr">
        <is>
          <t>Rep_02</t>
        </is>
      </c>
      <c r="G1419" t="n">
        <v>1.31</v>
      </c>
      <c r="H1419" t="inlineStr">
        <is>
          <t>Closed</t>
        </is>
      </c>
      <c r="I1419" t="inlineStr">
        <is>
          <t>Won</t>
        </is>
      </c>
      <c r="K1419" t="n">
        <v>361.42</v>
      </c>
      <c r="L1419" t="inlineStr">
        <is>
          <t>2026-02-14 04:08:50.697860</t>
        </is>
      </c>
      <c r="M1419">
        <f>VLOOKUP(H1419,'Stage Order'!$A$2:$B$8,2,FALSE)</f>
        <v/>
      </c>
      <c r="N1419">
        <f>IF(G1419&lt;=1,"1. Under 1 hour",IF(G1419&lt;=24,"2. 1-24 hours",IF(G1419&lt;=72,"3. 1-3 days","4. Over 3 days")))</f>
        <v/>
      </c>
      <c r="O1419">
        <f>TEXT(B1419,"YYYY-MM")</f>
        <v/>
      </c>
    </row>
    <row r="1420">
      <c r="A1420" t="inlineStr">
        <is>
          <t>LD-301418</t>
        </is>
      </c>
      <c r="B1420" t="inlineStr">
        <is>
          <t>2025-11-07 14:10:00</t>
        </is>
      </c>
      <c r="C1420" t="inlineStr">
        <is>
          <t>Social Media</t>
        </is>
      </c>
      <c r="D1420" t="inlineStr">
        <is>
          <t>K-12 Math</t>
        </is>
      </c>
      <c r="E1420" t="inlineStr">
        <is>
          <t>South Region</t>
        </is>
      </c>
      <c r="F1420" t="inlineStr">
        <is>
          <t>Rep_02</t>
        </is>
      </c>
      <c r="G1420" t="n">
        <v>3.95</v>
      </c>
      <c r="H1420" t="inlineStr">
        <is>
          <t>Lead</t>
        </is>
      </c>
      <c r="I1420" t="inlineStr">
        <is>
          <t>Open</t>
        </is>
      </c>
      <c r="M1420">
        <f>VLOOKUP(H1420,'Stage Order'!$A$2:$B$8,2,FALSE)</f>
        <v/>
      </c>
      <c r="N1420">
        <f>IF(G1420&lt;=1,"1. Under 1 hour",IF(G1420&lt;=24,"2. 1-24 hours",IF(G1420&lt;=72,"3. 1-3 days","4. Over 3 days")))</f>
        <v/>
      </c>
      <c r="O1420">
        <f>TEXT(B1420,"YYYY-MM")</f>
        <v/>
      </c>
    </row>
    <row r="1421">
      <c r="A1421" t="inlineStr">
        <is>
          <t>LD-301419</t>
        </is>
      </c>
      <c r="B1421" t="inlineStr">
        <is>
          <t>2026-02-27 11:01:00</t>
        </is>
      </c>
      <c r="C1421" t="inlineStr">
        <is>
          <t>Referral</t>
        </is>
      </c>
      <c r="D1421" t="inlineStr">
        <is>
          <t>K-12 Math</t>
        </is>
      </c>
      <c r="E1421" t="inlineStr">
        <is>
          <t>North Region</t>
        </is>
      </c>
      <c r="F1421" t="inlineStr">
        <is>
          <t>Rep_06</t>
        </is>
      </c>
      <c r="G1421" t="n">
        <v>1.36</v>
      </c>
      <c r="H1421" t="inlineStr">
        <is>
          <t>Proposal Sent</t>
        </is>
      </c>
      <c r="I1421" t="inlineStr">
        <is>
          <t>Lost</t>
        </is>
      </c>
      <c r="J1421" t="inlineStr">
        <is>
          <t>Went With Competitor</t>
        </is>
      </c>
      <c r="K1421" t="n">
        <v>429.5</v>
      </c>
      <c r="L1421" t="inlineStr">
        <is>
          <t>2026-04-09 15:43:02.055088</t>
        </is>
      </c>
      <c r="M1421">
        <f>VLOOKUP(H1421,'Stage Order'!$A$2:$B$8,2,FALSE)</f>
        <v/>
      </c>
      <c r="N1421">
        <f>IF(G1421&lt;=1,"1. Under 1 hour",IF(G1421&lt;=24,"2. 1-24 hours",IF(G1421&lt;=72,"3. 1-3 days","4. Over 3 days")))</f>
        <v/>
      </c>
      <c r="O1421">
        <f>TEXT(B1421,"YYYY-MM")</f>
        <v/>
      </c>
    </row>
    <row r="1422">
      <c r="A1422" t="inlineStr">
        <is>
          <t>LD-301420</t>
        </is>
      </c>
      <c r="B1422" t="inlineStr">
        <is>
          <t>2025-04-29 11:37:00</t>
        </is>
      </c>
      <c r="C1422" t="inlineStr">
        <is>
          <t>Referral</t>
        </is>
      </c>
      <c r="D1422" t="inlineStr">
        <is>
          <t>K-12 Math</t>
        </is>
      </c>
      <c r="E1422" t="inlineStr">
        <is>
          <t>East Region</t>
        </is>
      </c>
      <c r="F1422" t="inlineStr">
        <is>
          <t>Rep_09</t>
        </is>
      </c>
      <c r="G1422" t="n">
        <v>1.37</v>
      </c>
      <c r="H1422" t="inlineStr">
        <is>
          <t>Contacted</t>
        </is>
      </c>
      <c r="I1422" t="inlineStr">
        <is>
          <t>Open</t>
        </is>
      </c>
      <c r="M1422">
        <f>VLOOKUP(H1422,'Stage Order'!$A$2:$B$8,2,FALSE)</f>
        <v/>
      </c>
      <c r="N1422">
        <f>IF(G1422&lt;=1,"1. Under 1 hour",IF(G1422&lt;=24,"2. 1-24 hours",IF(G1422&lt;=72,"3. 1-3 days","4. Over 3 days")))</f>
        <v/>
      </c>
      <c r="O1422">
        <f>TEXT(B1422,"YYYY-MM")</f>
        <v/>
      </c>
    </row>
    <row r="1423">
      <c r="A1423" t="inlineStr">
        <is>
          <t>LD-301421</t>
        </is>
      </c>
      <c r="B1423" t="inlineStr">
        <is>
          <t>2026-02-24 12:51:00</t>
        </is>
      </c>
      <c r="C1423" t="inlineStr">
        <is>
          <t>Cold Outreach</t>
        </is>
      </c>
      <c r="D1423" t="inlineStr">
        <is>
          <t>Coding for Kids</t>
        </is>
      </c>
      <c r="E1423" t="inlineStr">
        <is>
          <t>North Region</t>
        </is>
      </c>
      <c r="F1423" t="inlineStr">
        <is>
          <t>Rep_06</t>
        </is>
      </c>
      <c r="G1423" t="n">
        <v>1.79</v>
      </c>
      <c r="H1423" t="inlineStr">
        <is>
          <t>Lead</t>
        </is>
      </c>
      <c r="I1423" t="inlineStr">
        <is>
          <t>Open</t>
        </is>
      </c>
      <c r="M1423">
        <f>VLOOKUP(H1423,'Stage Order'!$A$2:$B$8,2,FALSE)</f>
        <v/>
      </c>
      <c r="N1423">
        <f>IF(G1423&lt;=1,"1. Under 1 hour",IF(G1423&lt;=24,"2. 1-24 hours",IF(G1423&lt;=72,"3. 1-3 days","4. Over 3 days")))</f>
        <v/>
      </c>
      <c r="O1423">
        <f>TEXT(B1423,"YYYY-MM")</f>
        <v/>
      </c>
    </row>
    <row r="1424">
      <c r="A1424" t="inlineStr">
        <is>
          <t>LD-301422</t>
        </is>
      </c>
      <c r="B1424" t="inlineStr">
        <is>
          <t>2025-01-31 20:29:00</t>
        </is>
      </c>
      <c r="C1424" t="inlineStr">
        <is>
          <t>Webinar</t>
        </is>
      </c>
      <c r="D1424" t="inlineStr">
        <is>
          <t>K-12 Math</t>
        </is>
      </c>
      <c r="E1424" t="inlineStr">
        <is>
          <t>North Region</t>
        </is>
      </c>
      <c r="F1424" t="inlineStr">
        <is>
          <t>Rep_01</t>
        </is>
      </c>
      <c r="G1424" t="n">
        <v>5.09</v>
      </c>
      <c r="H1424" t="inlineStr">
        <is>
          <t>Contacted</t>
        </is>
      </c>
      <c r="I1424" t="inlineStr">
        <is>
          <t>Open</t>
        </is>
      </c>
      <c r="M1424">
        <f>VLOOKUP(H1424,'Stage Order'!$A$2:$B$8,2,FALSE)</f>
        <v/>
      </c>
      <c r="N1424">
        <f>IF(G1424&lt;=1,"1. Under 1 hour",IF(G1424&lt;=24,"2. 1-24 hours",IF(G1424&lt;=72,"3. 1-3 days","4. Over 3 days")))</f>
        <v/>
      </c>
      <c r="O1424">
        <f>TEXT(B1424,"YYYY-MM")</f>
        <v/>
      </c>
    </row>
    <row r="1425">
      <c r="A1425" t="inlineStr">
        <is>
          <t>LD-301423</t>
        </is>
      </c>
      <c r="B1425" t="inlineStr">
        <is>
          <t>2025-08-27 11:57:00</t>
        </is>
      </c>
      <c r="C1425" t="inlineStr">
        <is>
          <t>Organic Search</t>
        </is>
      </c>
      <c r="D1425" t="inlineStr">
        <is>
          <t>Competitive Exam Prep</t>
        </is>
      </c>
      <c r="E1425" t="inlineStr">
        <is>
          <t>North Region</t>
        </is>
      </c>
      <c r="F1425" t="inlineStr">
        <is>
          <t>Rep_11</t>
        </is>
      </c>
      <c r="G1425" t="n">
        <v>0.77</v>
      </c>
      <c r="H1425" t="inlineStr">
        <is>
          <t>Negotiation</t>
        </is>
      </c>
      <c r="I1425" t="inlineStr">
        <is>
          <t>Lost</t>
        </is>
      </c>
      <c r="J1425" t="inlineStr">
        <is>
          <t>Went With Competitor</t>
        </is>
      </c>
      <c r="K1425" t="n">
        <v>1000.29</v>
      </c>
      <c r="L1425" t="inlineStr">
        <is>
          <t>2025-10-16 00:55:46.957453</t>
        </is>
      </c>
      <c r="M1425">
        <f>VLOOKUP(H1425,'Stage Order'!$A$2:$B$8,2,FALSE)</f>
        <v/>
      </c>
      <c r="N1425">
        <f>IF(G1425&lt;=1,"1. Under 1 hour",IF(G1425&lt;=24,"2. 1-24 hours",IF(G1425&lt;=72,"3. 1-3 days","4. Over 3 days")))</f>
        <v/>
      </c>
      <c r="O1425">
        <f>TEXT(B1425,"YYYY-MM")</f>
        <v/>
      </c>
    </row>
    <row r="1426">
      <c r="A1426" t="inlineStr">
        <is>
          <t>LD-301424</t>
        </is>
      </c>
      <c r="B1426" t="inlineStr">
        <is>
          <t>2026-02-25 20:09:00</t>
        </is>
      </c>
      <c r="C1426" t="inlineStr">
        <is>
          <t>Cold Outreach</t>
        </is>
      </c>
      <c r="D1426" t="inlineStr">
        <is>
          <t>Coding for Kids</t>
        </is>
      </c>
      <c r="E1426" t="inlineStr">
        <is>
          <t>West Region</t>
        </is>
      </c>
      <c r="F1426" t="inlineStr">
        <is>
          <t>Rep_08</t>
        </is>
      </c>
      <c r="G1426" t="n">
        <v>2.63</v>
      </c>
      <c r="H1426" t="inlineStr">
        <is>
          <t>Lead</t>
        </is>
      </c>
      <c r="I1426" t="inlineStr">
        <is>
          <t>Open</t>
        </is>
      </c>
      <c r="M1426">
        <f>VLOOKUP(H1426,'Stage Order'!$A$2:$B$8,2,FALSE)</f>
        <v/>
      </c>
      <c r="N1426">
        <f>IF(G1426&lt;=1,"1. Under 1 hour",IF(G1426&lt;=24,"2. 1-24 hours",IF(G1426&lt;=72,"3. 1-3 days","4. Over 3 days")))</f>
        <v/>
      </c>
      <c r="O1426">
        <f>TEXT(B1426,"YYYY-MM")</f>
        <v/>
      </c>
    </row>
    <row r="1427">
      <c r="A1427" t="inlineStr">
        <is>
          <t>LD-301425</t>
        </is>
      </c>
      <c r="B1427" t="inlineStr">
        <is>
          <t>2025-07-24 08:43:00</t>
        </is>
      </c>
      <c r="C1427" t="inlineStr">
        <is>
          <t>Referral</t>
        </is>
      </c>
      <c r="D1427" t="inlineStr">
        <is>
          <t>Study Abroad Prep</t>
        </is>
      </c>
      <c r="E1427" t="inlineStr">
        <is>
          <t>South Region</t>
        </is>
      </c>
      <c r="F1427" t="inlineStr">
        <is>
          <t>Rep_12</t>
        </is>
      </c>
      <c r="G1427" t="n">
        <v>3.8</v>
      </c>
      <c r="H1427" t="inlineStr">
        <is>
          <t>Closed</t>
        </is>
      </c>
      <c r="I1427" t="inlineStr">
        <is>
          <t>Won</t>
        </is>
      </c>
      <c r="K1427" t="n">
        <v>1556.88</v>
      </c>
      <c r="L1427" t="inlineStr">
        <is>
          <t>2025-09-19 04:44:00.735698</t>
        </is>
      </c>
      <c r="M1427">
        <f>VLOOKUP(H1427,'Stage Order'!$A$2:$B$8,2,FALSE)</f>
        <v/>
      </c>
      <c r="N1427">
        <f>IF(G1427&lt;=1,"1. Under 1 hour",IF(G1427&lt;=24,"2. 1-24 hours",IF(G1427&lt;=72,"3. 1-3 days","4. Over 3 days")))</f>
        <v/>
      </c>
      <c r="O1427">
        <f>TEXT(B1427,"YYYY-MM")</f>
        <v/>
      </c>
    </row>
    <row r="1428">
      <c r="A1428" t="inlineStr">
        <is>
          <t>LD-301426</t>
        </is>
      </c>
      <c r="B1428" t="inlineStr">
        <is>
          <t>2026-03-04 08:57:00</t>
        </is>
      </c>
      <c r="C1428" t="inlineStr">
        <is>
          <t>Webinar</t>
        </is>
      </c>
      <c r="D1428" t="inlineStr">
        <is>
          <t>Competitive Exam Prep</t>
        </is>
      </c>
      <c r="E1428" t="inlineStr">
        <is>
          <t>West Region</t>
        </is>
      </c>
      <c r="F1428" t="inlineStr">
        <is>
          <t>Rep_03</t>
        </is>
      </c>
      <c r="G1428" t="n">
        <v>7.71</v>
      </c>
      <c r="H1428" t="inlineStr">
        <is>
          <t>Proposal Sent</t>
        </is>
      </c>
      <c r="I1428" t="inlineStr">
        <is>
          <t>Lost</t>
        </is>
      </c>
      <c r="J1428" t="inlineStr">
        <is>
          <t>Price Objection</t>
        </is>
      </c>
      <c r="K1428" t="n">
        <v>1131.72</v>
      </c>
      <c r="L1428" t="inlineStr">
        <is>
          <t>2026-04-13 11:00:23.145440</t>
        </is>
      </c>
      <c r="M1428">
        <f>VLOOKUP(H1428,'Stage Order'!$A$2:$B$8,2,FALSE)</f>
        <v/>
      </c>
      <c r="N1428">
        <f>IF(G1428&lt;=1,"1. Under 1 hour",IF(G1428&lt;=24,"2. 1-24 hours",IF(G1428&lt;=72,"3. 1-3 days","4. Over 3 days")))</f>
        <v/>
      </c>
      <c r="O1428">
        <f>TEXT(B1428,"YYYY-MM")</f>
        <v/>
      </c>
    </row>
    <row r="1429">
      <c r="A1429" t="inlineStr">
        <is>
          <t>LD-301427</t>
        </is>
      </c>
      <c r="B1429" t="inlineStr">
        <is>
          <t>2025-11-14 15:41:00</t>
        </is>
      </c>
      <c r="C1429" t="inlineStr">
        <is>
          <t>Webinar</t>
        </is>
      </c>
      <c r="D1429" t="inlineStr">
        <is>
          <t>Language Learning</t>
        </is>
      </c>
      <c r="E1429" t="inlineStr">
        <is>
          <t>East Region</t>
        </is>
      </c>
      <c r="F1429" t="inlineStr">
        <is>
          <t>Rep_04</t>
        </is>
      </c>
      <c r="G1429" t="n">
        <v>1.08</v>
      </c>
      <c r="H1429" t="inlineStr">
        <is>
          <t>Contacted</t>
        </is>
      </c>
      <c r="I1429" t="inlineStr">
        <is>
          <t>Open</t>
        </is>
      </c>
      <c r="M1429">
        <f>VLOOKUP(H1429,'Stage Order'!$A$2:$B$8,2,FALSE)</f>
        <v/>
      </c>
      <c r="N1429">
        <f>IF(G1429&lt;=1,"1. Under 1 hour",IF(G1429&lt;=24,"2. 1-24 hours",IF(G1429&lt;=72,"3. 1-3 days","4. Over 3 days")))</f>
        <v/>
      </c>
      <c r="O1429">
        <f>TEXT(B1429,"YYYY-MM")</f>
        <v/>
      </c>
    </row>
    <row r="1430">
      <c r="A1430" t="inlineStr">
        <is>
          <t>LD-301428</t>
        </is>
      </c>
      <c r="B1430" t="inlineStr">
        <is>
          <t>2025-10-29 15:30:00</t>
        </is>
      </c>
      <c r="C1430" t="inlineStr">
        <is>
          <t>Organic Search</t>
        </is>
      </c>
      <c r="D1430" t="inlineStr">
        <is>
          <t>Study Abroad Prep</t>
        </is>
      </c>
      <c r="E1430" t="inlineStr">
        <is>
          <t>South Region</t>
        </is>
      </c>
      <c r="F1430" t="inlineStr">
        <is>
          <t>Rep_12</t>
        </is>
      </c>
      <c r="G1430" t="n">
        <v>2.96</v>
      </c>
      <c r="H1430" t="inlineStr">
        <is>
          <t>Negotiation</t>
        </is>
      </c>
      <c r="I1430" t="inlineStr">
        <is>
          <t>Lost</t>
        </is>
      </c>
      <c r="J1430" t="inlineStr">
        <is>
          <t>Went With Competitor</t>
        </is>
      </c>
      <c r="K1430" t="n">
        <v>1294.86</v>
      </c>
      <c r="L1430" t="inlineStr">
        <is>
          <t>2025-12-22 01:46:28.594002</t>
        </is>
      </c>
      <c r="M1430">
        <f>VLOOKUP(H1430,'Stage Order'!$A$2:$B$8,2,FALSE)</f>
        <v/>
      </c>
      <c r="N1430">
        <f>IF(G1430&lt;=1,"1. Under 1 hour",IF(G1430&lt;=24,"2. 1-24 hours",IF(G1430&lt;=72,"3. 1-3 days","4. Over 3 days")))</f>
        <v/>
      </c>
      <c r="O1430">
        <f>TEXT(B1430,"YYYY-MM")</f>
        <v/>
      </c>
    </row>
    <row r="1431">
      <c r="A1431" t="inlineStr">
        <is>
          <t>LD-301429</t>
        </is>
      </c>
      <c r="B1431" t="inlineStr">
        <is>
          <t>2025-01-24 09:59:00</t>
        </is>
      </c>
      <c r="C1431" t="inlineStr">
        <is>
          <t>Paid Search</t>
        </is>
      </c>
      <c r="D1431" t="inlineStr">
        <is>
          <t>Coding for Kids</t>
        </is>
      </c>
      <c r="E1431" t="inlineStr">
        <is>
          <t>South Region</t>
        </is>
      </c>
      <c r="F1431" t="inlineStr">
        <is>
          <t>Rep_12</t>
        </is>
      </c>
      <c r="G1431" t="n">
        <v>2.65</v>
      </c>
      <c r="H1431" t="inlineStr">
        <is>
          <t>Lead</t>
        </is>
      </c>
      <c r="I1431" t="inlineStr">
        <is>
          <t>Open</t>
        </is>
      </c>
      <c r="M1431">
        <f>VLOOKUP(H1431,'Stage Order'!$A$2:$B$8,2,FALSE)</f>
        <v/>
      </c>
      <c r="N1431">
        <f>IF(G1431&lt;=1,"1. Under 1 hour",IF(G1431&lt;=24,"2. 1-24 hours",IF(G1431&lt;=72,"3. 1-3 days","4. Over 3 days")))</f>
        <v/>
      </c>
      <c r="O1431">
        <f>TEXT(B1431,"YYYY-MM")</f>
        <v/>
      </c>
    </row>
    <row r="1432">
      <c r="A1432" t="inlineStr">
        <is>
          <t>LD-301430</t>
        </is>
      </c>
      <c r="B1432" t="inlineStr">
        <is>
          <t>2025-02-12 20:24:00</t>
        </is>
      </c>
      <c r="C1432" t="inlineStr">
        <is>
          <t>Webinar</t>
        </is>
      </c>
      <c r="D1432" t="inlineStr">
        <is>
          <t>Competitive Exam Prep</t>
        </is>
      </c>
      <c r="E1432" t="inlineStr">
        <is>
          <t>South Region</t>
        </is>
      </c>
      <c r="F1432" t="inlineStr">
        <is>
          <t>Rep_12</t>
        </is>
      </c>
      <c r="G1432" t="n">
        <v>1.25</v>
      </c>
      <c r="H1432" t="inlineStr">
        <is>
          <t>Closed</t>
        </is>
      </c>
      <c r="I1432" t="inlineStr">
        <is>
          <t>Won</t>
        </is>
      </c>
      <c r="K1432" t="n">
        <v>1055.35</v>
      </c>
      <c r="L1432" t="inlineStr">
        <is>
          <t>2025-03-22 01:44:28.334438</t>
        </is>
      </c>
      <c r="M1432">
        <f>VLOOKUP(H1432,'Stage Order'!$A$2:$B$8,2,FALSE)</f>
        <v/>
      </c>
      <c r="N1432">
        <f>IF(G1432&lt;=1,"1. Under 1 hour",IF(G1432&lt;=24,"2. 1-24 hours",IF(G1432&lt;=72,"3. 1-3 days","4. Over 3 days")))</f>
        <v/>
      </c>
      <c r="O1432">
        <f>TEXT(B1432,"YYYY-MM")</f>
        <v/>
      </c>
    </row>
    <row r="1433">
      <c r="A1433" t="inlineStr">
        <is>
          <t>LD-301431</t>
        </is>
      </c>
      <c r="B1433" t="inlineStr">
        <is>
          <t>2025-02-17 13:15:00</t>
        </is>
      </c>
      <c r="C1433" t="inlineStr">
        <is>
          <t>Webinar</t>
        </is>
      </c>
      <c r="D1433" t="inlineStr">
        <is>
          <t>Coding for Kids</t>
        </is>
      </c>
      <c r="E1433" t="inlineStr">
        <is>
          <t>South Region</t>
        </is>
      </c>
      <c r="F1433" t="inlineStr">
        <is>
          <t>Rep_02</t>
        </is>
      </c>
      <c r="G1433" t="n">
        <v>1.42</v>
      </c>
      <c r="H1433" t="inlineStr">
        <is>
          <t>Contacted</t>
        </is>
      </c>
      <c r="I1433" t="inlineStr">
        <is>
          <t>Open</t>
        </is>
      </c>
      <c r="M1433">
        <f>VLOOKUP(H1433,'Stage Order'!$A$2:$B$8,2,FALSE)</f>
        <v/>
      </c>
      <c r="N1433">
        <f>IF(G1433&lt;=1,"1. Under 1 hour",IF(G1433&lt;=24,"2. 1-24 hours",IF(G1433&lt;=72,"3. 1-3 days","4. Over 3 days")))</f>
        <v/>
      </c>
      <c r="O1433">
        <f>TEXT(B1433,"YYYY-MM")</f>
        <v/>
      </c>
    </row>
    <row r="1434">
      <c r="A1434" t="inlineStr">
        <is>
          <t>LD-301432</t>
        </is>
      </c>
      <c r="B1434" t="inlineStr">
        <is>
          <t>2025-12-24 15:48:00</t>
        </is>
      </c>
      <c r="C1434" t="inlineStr">
        <is>
          <t>Paid Search</t>
        </is>
      </c>
      <c r="D1434" t="inlineStr">
        <is>
          <t>K-12 Math</t>
        </is>
      </c>
      <c r="E1434" t="inlineStr">
        <is>
          <t>South Region</t>
        </is>
      </c>
      <c r="F1434" t="inlineStr">
        <is>
          <t>Rep_07</t>
        </is>
      </c>
      <c r="G1434" t="n">
        <v>5.12</v>
      </c>
      <c r="H1434" t="inlineStr">
        <is>
          <t>Contacted</t>
        </is>
      </c>
      <c r="I1434" t="inlineStr">
        <is>
          <t>Open</t>
        </is>
      </c>
      <c r="M1434">
        <f>VLOOKUP(H1434,'Stage Order'!$A$2:$B$8,2,FALSE)</f>
        <v/>
      </c>
      <c r="N1434">
        <f>IF(G1434&lt;=1,"1. Under 1 hour",IF(G1434&lt;=24,"2. 1-24 hours",IF(G1434&lt;=72,"3. 1-3 days","4. Over 3 days")))</f>
        <v/>
      </c>
      <c r="O1434">
        <f>TEXT(B1434,"YYYY-MM")</f>
        <v/>
      </c>
    </row>
    <row r="1435">
      <c r="A1435" t="inlineStr">
        <is>
          <t>LD-301433</t>
        </is>
      </c>
      <c r="B1435" t="inlineStr">
        <is>
          <t>2025-08-04 18:47:00</t>
        </is>
      </c>
      <c r="C1435" t="inlineStr">
        <is>
          <t>Paid Search</t>
        </is>
      </c>
      <c r="D1435" t="inlineStr">
        <is>
          <t>Study Abroad Prep</t>
        </is>
      </c>
      <c r="E1435" t="inlineStr">
        <is>
          <t>North Region</t>
        </is>
      </c>
      <c r="F1435" t="inlineStr">
        <is>
          <t>Rep_01</t>
        </is>
      </c>
      <c r="G1435" t="n">
        <v>9.57</v>
      </c>
      <c r="H1435" t="inlineStr">
        <is>
          <t>Closed</t>
        </is>
      </c>
      <c r="I1435" t="inlineStr">
        <is>
          <t>Won</t>
        </is>
      </c>
      <c r="K1435" t="n">
        <v>1490.29</v>
      </c>
      <c r="L1435" t="inlineStr">
        <is>
          <t>2025-09-09 21:05:50.069427</t>
        </is>
      </c>
      <c r="M1435">
        <f>VLOOKUP(H1435,'Stage Order'!$A$2:$B$8,2,FALSE)</f>
        <v/>
      </c>
      <c r="N1435">
        <f>IF(G1435&lt;=1,"1. Under 1 hour",IF(G1435&lt;=24,"2. 1-24 hours",IF(G1435&lt;=72,"3. 1-3 days","4. Over 3 days")))</f>
        <v/>
      </c>
      <c r="O1435">
        <f>TEXT(B1435,"YYYY-MM")</f>
        <v/>
      </c>
    </row>
    <row r="1436">
      <c r="A1436" t="inlineStr">
        <is>
          <t>LD-301434</t>
        </is>
      </c>
      <c r="B1436" t="inlineStr">
        <is>
          <t>2025-12-05 09:49:00</t>
        </is>
      </c>
      <c r="C1436" t="inlineStr">
        <is>
          <t>Cold Outreach</t>
        </is>
      </c>
      <c r="D1436" t="inlineStr">
        <is>
          <t>K-12 Math</t>
        </is>
      </c>
      <c r="E1436" t="inlineStr">
        <is>
          <t>International</t>
        </is>
      </c>
      <c r="F1436" t="inlineStr">
        <is>
          <t>Rep_05</t>
        </is>
      </c>
      <c r="G1436" t="n">
        <v>2.36</v>
      </c>
      <c r="H1436" t="inlineStr">
        <is>
          <t>Lead</t>
        </is>
      </c>
      <c r="I1436" t="inlineStr">
        <is>
          <t>Open</t>
        </is>
      </c>
      <c r="M1436">
        <f>VLOOKUP(H1436,'Stage Order'!$A$2:$B$8,2,FALSE)</f>
        <v/>
      </c>
      <c r="N1436">
        <f>IF(G1436&lt;=1,"1. Under 1 hour",IF(G1436&lt;=24,"2. 1-24 hours",IF(G1436&lt;=72,"3. 1-3 days","4. Over 3 days")))</f>
        <v/>
      </c>
      <c r="O1436">
        <f>TEXT(B1436,"YYYY-MM")</f>
        <v/>
      </c>
    </row>
    <row r="1437">
      <c r="A1437" t="inlineStr">
        <is>
          <t>LD-301435</t>
        </is>
      </c>
      <c r="B1437" t="inlineStr">
        <is>
          <t>2026-06-17 19:46:00</t>
        </is>
      </c>
      <c r="C1437" t="inlineStr">
        <is>
          <t>Webinar</t>
        </is>
      </c>
      <c r="D1437" t="inlineStr">
        <is>
          <t>Coding for Kids</t>
        </is>
      </c>
      <c r="E1437" t="inlineStr">
        <is>
          <t>West Region</t>
        </is>
      </c>
      <c r="F1437" t="inlineStr">
        <is>
          <t>Rep_03</t>
        </is>
      </c>
      <c r="G1437" t="n">
        <v>7.57</v>
      </c>
      <c r="H1437" t="inlineStr">
        <is>
          <t>Contacted</t>
        </is>
      </c>
      <c r="I1437" t="inlineStr">
        <is>
          <t>Open</t>
        </is>
      </c>
      <c r="M1437">
        <f>VLOOKUP(H1437,'Stage Order'!$A$2:$B$8,2,FALSE)</f>
        <v/>
      </c>
      <c r="N1437">
        <f>IF(G1437&lt;=1,"1. Under 1 hour",IF(G1437&lt;=24,"2. 1-24 hours",IF(G1437&lt;=72,"3. 1-3 days","4. Over 3 days")))</f>
        <v/>
      </c>
      <c r="O1437">
        <f>TEXT(B1437,"YYYY-MM")</f>
        <v/>
      </c>
    </row>
    <row r="1438">
      <c r="A1438" t="inlineStr">
        <is>
          <t>LD-301436</t>
        </is>
      </c>
      <c r="B1438" t="inlineStr">
        <is>
          <t>2026-01-21 09:33:00</t>
        </is>
      </c>
      <c r="C1438" t="inlineStr">
        <is>
          <t>Webinar</t>
        </is>
      </c>
      <c r="D1438" t="inlineStr">
        <is>
          <t>Language Learning</t>
        </is>
      </c>
      <c r="E1438" t="inlineStr">
        <is>
          <t>East Region</t>
        </is>
      </c>
      <c r="F1438" t="inlineStr">
        <is>
          <t>Rep_09</t>
        </is>
      </c>
      <c r="G1438" t="n">
        <v>9.789999999999999</v>
      </c>
      <c r="H1438" t="inlineStr">
        <is>
          <t>Contacted</t>
        </is>
      </c>
      <c r="I1438" t="inlineStr">
        <is>
          <t>Open</t>
        </is>
      </c>
      <c r="M1438">
        <f>VLOOKUP(H1438,'Stage Order'!$A$2:$B$8,2,FALSE)</f>
        <v/>
      </c>
      <c r="N1438">
        <f>IF(G1438&lt;=1,"1. Under 1 hour",IF(G1438&lt;=24,"2. 1-24 hours",IF(G1438&lt;=72,"3. 1-3 days","4. Over 3 days")))</f>
        <v/>
      </c>
      <c r="O1438">
        <f>TEXT(B1438,"YYYY-MM")</f>
        <v/>
      </c>
    </row>
    <row r="1439">
      <c r="A1439" t="inlineStr">
        <is>
          <t>LD-301437</t>
        </is>
      </c>
      <c r="B1439" t="inlineStr">
        <is>
          <t>2025-12-31 09:46:00</t>
        </is>
      </c>
      <c r="C1439" t="inlineStr">
        <is>
          <t>Social Media</t>
        </is>
      </c>
      <c r="D1439" t="inlineStr">
        <is>
          <t>Competitive Exam Prep</t>
        </is>
      </c>
      <c r="E1439" t="inlineStr">
        <is>
          <t>North Region</t>
        </is>
      </c>
      <c r="F1439" t="inlineStr">
        <is>
          <t>Rep_06</t>
        </is>
      </c>
      <c r="G1439" t="n">
        <v>7.68</v>
      </c>
      <c r="H1439" t="inlineStr">
        <is>
          <t>Contacted</t>
        </is>
      </c>
      <c r="I1439" t="inlineStr">
        <is>
          <t>Open</t>
        </is>
      </c>
      <c r="M1439">
        <f>VLOOKUP(H1439,'Stage Order'!$A$2:$B$8,2,FALSE)</f>
        <v/>
      </c>
      <c r="N1439">
        <f>IF(G1439&lt;=1,"1. Under 1 hour",IF(G1439&lt;=24,"2. 1-24 hours",IF(G1439&lt;=72,"3. 1-3 days","4. Over 3 days")))</f>
        <v/>
      </c>
      <c r="O1439">
        <f>TEXT(B1439,"YYYY-MM")</f>
        <v/>
      </c>
    </row>
    <row r="1440">
      <c r="A1440" t="inlineStr">
        <is>
          <t>LD-301438</t>
        </is>
      </c>
      <c r="B1440" t="inlineStr">
        <is>
          <t>2026-05-19 09:14:00</t>
        </is>
      </c>
      <c r="C1440" t="inlineStr">
        <is>
          <t>Paid Search</t>
        </is>
      </c>
      <c r="D1440" t="inlineStr">
        <is>
          <t>Competitive Exam Prep</t>
        </is>
      </c>
      <c r="E1440" t="inlineStr">
        <is>
          <t>West Region</t>
        </is>
      </c>
      <c r="F1440" t="inlineStr">
        <is>
          <t>Rep_03</t>
        </is>
      </c>
      <c r="G1440" t="n">
        <v>0.26</v>
      </c>
      <c r="H1440" t="inlineStr">
        <is>
          <t>Lead</t>
        </is>
      </c>
      <c r="I1440" t="inlineStr">
        <is>
          <t>Open</t>
        </is>
      </c>
      <c r="M1440">
        <f>VLOOKUP(H1440,'Stage Order'!$A$2:$B$8,2,FALSE)</f>
        <v/>
      </c>
      <c r="N1440">
        <f>IF(G1440&lt;=1,"1. Under 1 hour",IF(G1440&lt;=24,"2. 1-24 hours",IF(G1440&lt;=72,"3. 1-3 days","4. Over 3 days")))</f>
        <v/>
      </c>
      <c r="O1440">
        <f>TEXT(B1440,"YYYY-MM")</f>
        <v/>
      </c>
    </row>
    <row r="1441">
      <c r="A1441" t="inlineStr">
        <is>
          <t>LD-301439</t>
        </is>
      </c>
      <c r="B1441" t="inlineStr">
        <is>
          <t>2025-06-06 10:12:00</t>
        </is>
      </c>
      <c r="C1441" t="inlineStr">
        <is>
          <t>Partner Channel</t>
        </is>
      </c>
      <c r="D1441" t="inlineStr">
        <is>
          <t>Competitive Exam Prep</t>
        </is>
      </c>
      <c r="E1441" t="inlineStr">
        <is>
          <t>South Region</t>
        </is>
      </c>
      <c r="F1441" t="inlineStr">
        <is>
          <t>Rep_02</t>
        </is>
      </c>
      <c r="G1441" t="n">
        <v>1.77</v>
      </c>
      <c r="H1441" t="inlineStr">
        <is>
          <t>Contacted</t>
        </is>
      </c>
      <c r="I1441" t="inlineStr">
        <is>
          <t>Open</t>
        </is>
      </c>
      <c r="M1441">
        <f>VLOOKUP(H1441,'Stage Order'!$A$2:$B$8,2,FALSE)</f>
        <v/>
      </c>
      <c r="N1441">
        <f>IF(G1441&lt;=1,"1. Under 1 hour",IF(G1441&lt;=24,"2. 1-24 hours",IF(G1441&lt;=72,"3. 1-3 days","4. Over 3 days")))</f>
        <v/>
      </c>
      <c r="O1441">
        <f>TEXT(B1441,"YYYY-MM")</f>
        <v/>
      </c>
    </row>
    <row r="1442">
      <c r="A1442" t="inlineStr">
        <is>
          <t>LD-301440</t>
        </is>
      </c>
      <c r="B1442" t="inlineStr">
        <is>
          <t>2025-10-21 20:03:00</t>
        </is>
      </c>
      <c r="C1442" t="inlineStr">
        <is>
          <t>Organic Search</t>
        </is>
      </c>
      <c r="D1442" t="inlineStr">
        <is>
          <t>K-12 Math</t>
        </is>
      </c>
      <c r="E1442" t="inlineStr">
        <is>
          <t>North Region</t>
        </is>
      </c>
      <c r="F1442" t="inlineStr">
        <is>
          <t>Rep_01</t>
        </is>
      </c>
      <c r="G1442" t="n">
        <v>8.77</v>
      </c>
      <c r="H1442" t="inlineStr">
        <is>
          <t>Demo Completed</t>
        </is>
      </c>
      <c r="I1442" t="inlineStr">
        <is>
          <t>Lost</t>
        </is>
      </c>
      <c r="J1442" t="inlineStr">
        <is>
          <t>Bad Timing</t>
        </is>
      </c>
      <c r="K1442" t="n">
        <v>506.42</v>
      </c>
      <c r="L1442" t="inlineStr">
        <is>
          <t>2025-11-27 17:35:14.267586</t>
        </is>
      </c>
      <c r="M1442">
        <f>VLOOKUP(H1442,'Stage Order'!$A$2:$B$8,2,FALSE)</f>
        <v/>
      </c>
      <c r="N1442">
        <f>IF(G1442&lt;=1,"1. Under 1 hour",IF(G1442&lt;=24,"2. 1-24 hours",IF(G1442&lt;=72,"3. 1-3 days","4. Over 3 days")))</f>
        <v/>
      </c>
      <c r="O1442">
        <f>TEXT(B1442,"YYYY-MM")</f>
        <v/>
      </c>
    </row>
    <row r="1443">
      <c r="A1443" t="inlineStr">
        <is>
          <t>LD-301441</t>
        </is>
      </c>
      <c r="B1443" t="inlineStr">
        <is>
          <t>2025-12-25 19:40:00</t>
        </is>
      </c>
      <c r="C1443" t="inlineStr">
        <is>
          <t>Partner Channel</t>
        </is>
      </c>
      <c r="D1443" t="inlineStr">
        <is>
          <t>Language Learning</t>
        </is>
      </c>
      <c r="E1443" t="inlineStr">
        <is>
          <t>West Region</t>
        </is>
      </c>
      <c r="F1443" t="inlineStr">
        <is>
          <t>Rep_13</t>
        </is>
      </c>
      <c r="G1443" t="n">
        <v>4.89</v>
      </c>
      <c r="H1443" t="inlineStr">
        <is>
          <t>Closed</t>
        </is>
      </c>
      <c r="I1443" t="inlineStr">
        <is>
          <t>Won</t>
        </is>
      </c>
      <c r="K1443" t="n">
        <v>366.62</v>
      </c>
      <c r="L1443" t="inlineStr">
        <is>
          <t>2026-02-11 10:12:37.089758</t>
        </is>
      </c>
      <c r="M1443">
        <f>VLOOKUP(H1443,'Stage Order'!$A$2:$B$8,2,FALSE)</f>
        <v/>
      </c>
      <c r="N1443">
        <f>IF(G1443&lt;=1,"1. Under 1 hour",IF(G1443&lt;=24,"2. 1-24 hours",IF(G1443&lt;=72,"3. 1-3 days","4. Over 3 days")))</f>
        <v/>
      </c>
      <c r="O1443">
        <f>TEXT(B1443,"YYYY-MM")</f>
        <v/>
      </c>
    </row>
    <row r="1444">
      <c r="A1444" t="inlineStr">
        <is>
          <t>LD-301442</t>
        </is>
      </c>
      <c r="B1444" t="inlineStr">
        <is>
          <t>2025-01-03 11:51:00</t>
        </is>
      </c>
      <c r="C1444" t="inlineStr">
        <is>
          <t>Paid Search</t>
        </is>
      </c>
      <c r="D1444" t="inlineStr">
        <is>
          <t>Coding for Kids</t>
        </is>
      </c>
      <c r="E1444" t="inlineStr">
        <is>
          <t>West Region</t>
        </is>
      </c>
      <c r="F1444" t="inlineStr">
        <is>
          <t>Rep_08</t>
        </is>
      </c>
      <c r="G1444" t="n">
        <v>1.54</v>
      </c>
      <c r="H1444" t="inlineStr">
        <is>
          <t>Contacted</t>
        </is>
      </c>
      <c r="I1444" t="inlineStr">
        <is>
          <t>Open</t>
        </is>
      </c>
      <c r="M1444">
        <f>VLOOKUP(H1444,'Stage Order'!$A$2:$B$8,2,FALSE)</f>
        <v/>
      </c>
      <c r="N1444">
        <f>IF(G1444&lt;=1,"1. Under 1 hour",IF(G1444&lt;=24,"2. 1-24 hours",IF(G1444&lt;=72,"3. 1-3 days","4. Over 3 days")))</f>
        <v/>
      </c>
      <c r="O1444">
        <f>TEXT(B1444,"YYYY-MM")</f>
        <v/>
      </c>
    </row>
    <row r="1445">
      <c r="A1445" t="inlineStr">
        <is>
          <t>LD-301443</t>
        </is>
      </c>
      <c r="B1445" t="inlineStr">
        <is>
          <t>2026-05-21 08:01:00</t>
        </is>
      </c>
      <c r="C1445" t="inlineStr">
        <is>
          <t>Organic Search</t>
        </is>
      </c>
      <c r="D1445" t="inlineStr">
        <is>
          <t>Competitive Exam Prep</t>
        </is>
      </c>
      <c r="E1445" t="inlineStr">
        <is>
          <t>North Region</t>
        </is>
      </c>
      <c r="F1445" t="inlineStr">
        <is>
          <t>Rep_06</t>
        </is>
      </c>
      <c r="G1445" t="n">
        <v>2.57</v>
      </c>
      <c r="H1445" t="inlineStr">
        <is>
          <t>Lead</t>
        </is>
      </c>
      <c r="I1445" t="inlineStr">
        <is>
          <t>Open</t>
        </is>
      </c>
      <c r="M1445">
        <f>VLOOKUP(H1445,'Stage Order'!$A$2:$B$8,2,FALSE)</f>
        <v/>
      </c>
      <c r="N1445">
        <f>IF(G1445&lt;=1,"1. Under 1 hour",IF(G1445&lt;=24,"2. 1-24 hours",IF(G1445&lt;=72,"3. 1-3 days","4. Over 3 days")))</f>
        <v/>
      </c>
      <c r="O1445">
        <f>TEXT(B1445,"YYYY-MM")</f>
        <v/>
      </c>
    </row>
    <row r="1446">
      <c r="A1446" t="inlineStr">
        <is>
          <t>LD-301444</t>
        </is>
      </c>
      <c r="B1446" t="inlineStr">
        <is>
          <t>2026-05-18 14:15:00</t>
        </is>
      </c>
      <c r="C1446" t="inlineStr">
        <is>
          <t>Organic Search</t>
        </is>
      </c>
      <c r="D1446" t="inlineStr">
        <is>
          <t>Coding for Kids</t>
        </is>
      </c>
      <c r="E1446" t="inlineStr">
        <is>
          <t>South Region</t>
        </is>
      </c>
      <c r="F1446" t="inlineStr">
        <is>
          <t>Rep_02</t>
        </is>
      </c>
      <c r="G1446" t="n">
        <v>2.31</v>
      </c>
      <c r="H1446" t="inlineStr">
        <is>
          <t>Contacted</t>
        </is>
      </c>
      <c r="I1446" t="inlineStr">
        <is>
          <t>Open</t>
        </is>
      </c>
      <c r="M1446">
        <f>VLOOKUP(H1446,'Stage Order'!$A$2:$B$8,2,FALSE)</f>
        <v/>
      </c>
      <c r="N1446">
        <f>IF(G1446&lt;=1,"1. Under 1 hour",IF(G1446&lt;=24,"2. 1-24 hours",IF(G1446&lt;=72,"3. 1-3 days","4. Over 3 days")))</f>
        <v/>
      </c>
      <c r="O1446">
        <f>TEXT(B1446,"YYYY-MM")</f>
        <v/>
      </c>
    </row>
    <row r="1447">
      <c r="A1447" t="inlineStr">
        <is>
          <t>LD-301445</t>
        </is>
      </c>
      <c r="B1447" t="inlineStr">
        <is>
          <t>2026-04-02 20:29:00</t>
        </is>
      </c>
      <c r="C1447" t="inlineStr">
        <is>
          <t>Social Media</t>
        </is>
      </c>
      <c r="D1447" t="inlineStr">
        <is>
          <t>Competitive Exam Prep</t>
        </is>
      </c>
      <c r="E1447" t="inlineStr">
        <is>
          <t>West Region</t>
        </is>
      </c>
      <c r="F1447" t="inlineStr">
        <is>
          <t>Rep_03</t>
        </is>
      </c>
      <c r="G1447" t="n">
        <v>1.07</v>
      </c>
      <c r="H1447" t="inlineStr">
        <is>
          <t>Contacted</t>
        </is>
      </c>
      <c r="I1447" t="inlineStr">
        <is>
          <t>Open</t>
        </is>
      </c>
      <c r="M1447">
        <f>VLOOKUP(H1447,'Stage Order'!$A$2:$B$8,2,FALSE)</f>
        <v/>
      </c>
      <c r="N1447">
        <f>IF(G1447&lt;=1,"1. Under 1 hour",IF(G1447&lt;=24,"2. 1-24 hours",IF(G1447&lt;=72,"3. 1-3 days","4. Over 3 days")))</f>
        <v/>
      </c>
      <c r="O1447">
        <f>TEXT(B1447,"YYYY-MM")</f>
        <v/>
      </c>
    </row>
    <row r="1448">
      <c r="A1448" t="inlineStr">
        <is>
          <t>LD-301446</t>
        </is>
      </c>
      <c r="B1448" t="inlineStr">
        <is>
          <t>2025-12-05 09:39:00</t>
        </is>
      </c>
      <c r="C1448" t="inlineStr">
        <is>
          <t>Referral</t>
        </is>
      </c>
      <c r="D1448" t="inlineStr">
        <is>
          <t>K-12 Math</t>
        </is>
      </c>
      <c r="E1448" t="inlineStr">
        <is>
          <t>South Region</t>
        </is>
      </c>
      <c r="F1448" t="inlineStr">
        <is>
          <t>Rep_12</t>
        </is>
      </c>
      <c r="G1448" t="n">
        <v>2.63</v>
      </c>
      <c r="H1448" t="inlineStr">
        <is>
          <t>Closed</t>
        </is>
      </c>
      <c r="I1448" t="inlineStr">
        <is>
          <t>Won</t>
        </is>
      </c>
      <c r="K1448" t="n">
        <v>485.28</v>
      </c>
      <c r="L1448" t="inlineStr">
        <is>
          <t>2026-01-16 18:29:12.386773</t>
        </is>
      </c>
      <c r="M1448">
        <f>VLOOKUP(H1448,'Stage Order'!$A$2:$B$8,2,FALSE)</f>
        <v/>
      </c>
      <c r="N1448">
        <f>IF(G1448&lt;=1,"1. Under 1 hour",IF(G1448&lt;=24,"2. 1-24 hours",IF(G1448&lt;=72,"3. 1-3 days","4. Over 3 days")))</f>
        <v/>
      </c>
      <c r="O1448">
        <f>TEXT(B1448,"YYYY-MM")</f>
        <v/>
      </c>
    </row>
    <row r="1449">
      <c r="A1449" t="inlineStr">
        <is>
          <t>LD-301447</t>
        </is>
      </c>
      <c r="B1449" t="inlineStr">
        <is>
          <t>2026-01-03 20:21:00</t>
        </is>
      </c>
      <c r="C1449" t="inlineStr">
        <is>
          <t>Social Media</t>
        </is>
      </c>
      <c r="D1449" t="inlineStr">
        <is>
          <t>K-12 Math</t>
        </is>
      </c>
      <c r="E1449" t="inlineStr">
        <is>
          <t>South Region</t>
        </is>
      </c>
      <c r="F1449" t="inlineStr">
        <is>
          <t>Rep_07</t>
        </is>
      </c>
      <c r="G1449" t="n">
        <v>1.59</v>
      </c>
      <c r="H1449" t="inlineStr">
        <is>
          <t>Lead</t>
        </is>
      </c>
      <c r="I1449" t="inlineStr">
        <is>
          <t>Open</t>
        </is>
      </c>
      <c r="M1449">
        <f>VLOOKUP(H1449,'Stage Order'!$A$2:$B$8,2,FALSE)</f>
        <v/>
      </c>
      <c r="N1449">
        <f>IF(G1449&lt;=1,"1. Under 1 hour",IF(G1449&lt;=24,"2. 1-24 hours",IF(G1449&lt;=72,"3. 1-3 days","4. Over 3 days")))</f>
        <v/>
      </c>
      <c r="O1449">
        <f>TEXT(B1449,"YYYY-MM")</f>
        <v/>
      </c>
    </row>
    <row r="1450">
      <c r="A1450" t="inlineStr">
        <is>
          <t>LD-301448</t>
        </is>
      </c>
      <c r="B1450" t="inlineStr">
        <is>
          <t>2026-03-15 07:30:00</t>
        </is>
      </c>
      <c r="C1450" t="inlineStr">
        <is>
          <t>Organic Search</t>
        </is>
      </c>
      <c r="D1450" t="inlineStr">
        <is>
          <t>Competitive Exam Prep</t>
        </is>
      </c>
      <c r="E1450" t="inlineStr">
        <is>
          <t>South Region</t>
        </is>
      </c>
      <c r="F1450" t="inlineStr">
        <is>
          <t>Rep_07</t>
        </is>
      </c>
      <c r="G1450" t="n">
        <v>0.71</v>
      </c>
      <c r="H1450" t="inlineStr">
        <is>
          <t>Contacted</t>
        </is>
      </c>
      <c r="I1450" t="inlineStr">
        <is>
          <t>Open</t>
        </is>
      </c>
      <c r="M1450">
        <f>VLOOKUP(H1450,'Stage Order'!$A$2:$B$8,2,FALSE)</f>
        <v/>
      </c>
      <c r="N1450">
        <f>IF(G1450&lt;=1,"1. Under 1 hour",IF(G1450&lt;=24,"2. 1-24 hours",IF(G1450&lt;=72,"3. 1-3 days","4. Over 3 days")))</f>
        <v/>
      </c>
      <c r="O1450">
        <f>TEXT(B1450,"YYYY-MM")</f>
        <v/>
      </c>
    </row>
    <row r="1451">
      <c r="A1451" t="inlineStr">
        <is>
          <t>LD-301449</t>
        </is>
      </c>
      <c r="B1451" t="inlineStr">
        <is>
          <t>2025-02-13 14:55:00</t>
        </is>
      </c>
      <c r="C1451" t="inlineStr">
        <is>
          <t>Paid Search</t>
        </is>
      </c>
      <c r="D1451" t="inlineStr">
        <is>
          <t>K-12 Math</t>
        </is>
      </c>
      <c r="E1451" t="inlineStr">
        <is>
          <t>West Region</t>
        </is>
      </c>
      <c r="F1451" t="inlineStr">
        <is>
          <t>Rep_13</t>
        </is>
      </c>
      <c r="G1451" t="n">
        <v>1.46</v>
      </c>
      <c r="H1451" t="inlineStr">
        <is>
          <t>Lead</t>
        </is>
      </c>
      <c r="I1451" t="inlineStr">
        <is>
          <t>Open</t>
        </is>
      </c>
      <c r="M1451">
        <f>VLOOKUP(H1451,'Stage Order'!$A$2:$B$8,2,FALSE)</f>
        <v/>
      </c>
      <c r="N1451">
        <f>IF(G1451&lt;=1,"1. Under 1 hour",IF(G1451&lt;=24,"2. 1-24 hours",IF(G1451&lt;=72,"3. 1-3 days","4. Over 3 days")))</f>
        <v/>
      </c>
      <c r="O1451">
        <f>TEXT(B1451,"YYYY-MM")</f>
        <v/>
      </c>
    </row>
    <row r="1452">
      <c r="A1452" t="inlineStr">
        <is>
          <t>LD-301450</t>
        </is>
      </c>
      <c r="B1452" t="inlineStr">
        <is>
          <t>2025-06-12 09:32:00</t>
        </is>
      </c>
      <c r="C1452" t="inlineStr">
        <is>
          <t>Referral</t>
        </is>
      </c>
      <c r="D1452" t="inlineStr">
        <is>
          <t>Competitive Exam Prep</t>
        </is>
      </c>
      <c r="E1452" t="inlineStr">
        <is>
          <t>North Region</t>
        </is>
      </c>
      <c r="F1452" t="inlineStr">
        <is>
          <t>Rep_01</t>
        </is>
      </c>
      <c r="G1452" t="n">
        <v>3.73</v>
      </c>
      <c r="H1452" t="inlineStr">
        <is>
          <t>Contacted</t>
        </is>
      </c>
      <c r="I1452" t="inlineStr">
        <is>
          <t>Open</t>
        </is>
      </c>
      <c r="M1452">
        <f>VLOOKUP(H1452,'Stage Order'!$A$2:$B$8,2,FALSE)</f>
        <v/>
      </c>
      <c r="N1452">
        <f>IF(G1452&lt;=1,"1. Under 1 hour",IF(G1452&lt;=24,"2. 1-24 hours",IF(G1452&lt;=72,"3. 1-3 days","4. Over 3 days")))</f>
        <v/>
      </c>
      <c r="O1452">
        <f>TEXT(B1452,"YYYY-MM")</f>
        <v/>
      </c>
    </row>
    <row r="1453">
      <c r="A1453" t="inlineStr">
        <is>
          <t>LD-301451</t>
        </is>
      </c>
      <c r="B1453" t="inlineStr">
        <is>
          <t>2025-11-20 19:07:00</t>
        </is>
      </c>
      <c r="C1453" t="inlineStr">
        <is>
          <t>Organic Search</t>
        </is>
      </c>
      <c r="D1453" t="inlineStr">
        <is>
          <t>Coding for Kids</t>
        </is>
      </c>
      <c r="E1453" t="inlineStr">
        <is>
          <t>North Region</t>
        </is>
      </c>
      <c r="F1453" t="inlineStr">
        <is>
          <t>Rep_01</t>
        </is>
      </c>
      <c r="G1453" t="n">
        <v>0.88</v>
      </c>
      <c r="H1453" t="inlineStr">
        <is>
          <t>Contacted</t>
        </is>
      </c>
      <c r="I1453" t="inlineStr">
        <is>
          <t>Open</t>
        </is>
      </c>
      <c r="M1453">
        <f>VLOOKUP(H1453,'Stage Order'!$A$2:$B$8,2,FALSE)</f>
        <v/>
      </c>
      <c r="N1453">
        <f>IF(G1453&lt;=1,"1. Under 1 hour",IF(G1453&lt;=24,"2. 1-24 hours",IF(G1453&lt;=72,"3. 1-3 days","4. Over 3 days")))</f>
        <v/>
      </c>
      <c r="O1453">
        <f>TEXT(B1453,"YYYY-MM")</f>
        <v/>
      </c>
    </row>
    <row r="1454">
      <c r="A1454" t="inlineStr">
        <is>
          <t>LD-301452</t>
        </is>
      </c>
      <c r="B1454" t="inlineStr">
        <is>
          <t>2025-10-02 16:21:00</t>
        </is>
      </c>
      <c r="C1454" t="inlineStr">
        <is>
          <t>Webinar</t>
        </is>
      </c>
      <c r="D1454" t="inlineStr">
        <is>
          <t>Language Learning</t>
        </is>
      </c>
      <c r="E1454" t="inlineStr">
        <is>
          <t>North Region</t>
        </is>
      </c>
      <c r="F1454" t="inlineStr">
        <is>
          <t>Rep_01</t>
        </is>
      </c>
      <c r="G1454" t="n">
        <v>0.66</v>
      </c>
      <c r="H1454" t="inlineStr">
        <is>
          <t>Demo Scheduled</t>
        </is>
      </c>
      <c r="I1454" t="inlineStr">
        <is>
          <t>Open</t>
        </is>
      </c>
      <c r="M1454">
        <f>VLOOKUP(H1454,'Stage Order'!$A$2:$B$8,2,FALSE)</f>
        <v/>
      </c>
      <c r="N1454">
        <f>IF(G1454&lt;=1,"1. Under 1 hour",IF(G1454&lt;=24,"2. 1-24 hours",IF(G1454&lt;=72,"3. 1-3 days","4. Over 3 days")))</f>
        <v/>
      </c>
      <c r="O1454">
        <f>TEXT(B1454,"YYYY-MM")</f>
        <v/>
      </c>
    </row>
    <row r="1455">
      <c r="A1455" t="inlineStr">
        <is>
          <t>LD-301453</t>
        </is>
      </c>
      <c r="B1455" t="inlineStr">
        <is>
          <t>2025-11-24 09:22:00</t>
        </is>
      </c>
      <c r="C1455" t="inlineStr">
        <is>
          <t>Cold Outreach</t>
        </is>
      </c>
      <c r="D1455" t="inlineStr">
        <is>
          <t>K-12 Math</t>
        </is>
      </c>
      <c r="E1455" t="inlineStr">
        <is>
          <t>North Region</t>
        </is>
      </c>
      <c r="F1455" t="inlineStr">
        <is>
          <t>Rep_11</t>
        </is>
      </c>
      <c r="G1455" t="n">
        <v>3.05</v>
      </c>
      <c r="H1455" t="inlineStr">
        <is>
          <t>Contacted</t>
        </is>
      </c>
      <c r="I1455" t="inlineStr">
        <is>
          <t>Open</t>
        </is>
      </c>
      <c r="M1455">
        <f>VLOOKUP(H1455,'Stage Order'!$A$2:$B$8,2,FALSE)</f>
        <v/>
      </c>
      <c r="N1455">
        <f>IF(G1455&lt;=1,"1. Under 1 hour",IF(G1455&lt;=24,"2. 1-24 hours",IF(G1455&lt;=72,"3. 1-3 days","4. Over 3 days")))</f>
        <v/>
      </c>
      <c r="O1455">
        <f>TEXT(B1455,"YYYY-MM")</f>
        <v/>
      </c>
    </row>
    <row r="1456">
      <c r="A1456" t="inlineStr">
        <is>
          <t>LD-301454</t>
        </is>
      </c>
      <c r="B1456" t="inlineStr">
        <is>
          <t>2025-03-19 07:16:00</t>
        </is>
      </c>
      <c r="C1456" t="inlineStr">
        <is>
          <t>Organic Search</t>
        </is>
      </c>
      <c r="D1456" t="inlineStr">
        <is>
          <t>K-12 Math</t>
        </is>
      </c>
      <c r="E1456" t="inlineStr">
        <is>
          <t>West Region</t>
        </is>
      </c>
      <c r="F1456" t="inlineStr">
        <is>
          <t>Rep_03</t>
        </is>
      </c>
      <c r="G1456" t="n">
        <v>2.17</v>
      </c>
      <c r="H1456" t="inlineStr">
        <is>
          <t>Contacted</t>
        </is>
      </c>
      <c r="I1456" t="inlineStr">
        <is>
          <t>Open</t>
        </is>
      </c>
      <c r="M1456">
        <f>VLOOKUP(H1456,'Stage Order'!$A$2:$B$8,2,FALSE)</f>
        <v/>
      </c>
      <c r="N1456">
        <f>IF(G1456&lt;=1,"1. Under 1 hour",IF(G1456&lt;=24,"2. 1-24 hours",IF(G1456&lt;=72,"3. 1-3 days","4. Over 3 days")))</f>
        <v/>
      </c>
      <c r="O1456">
        <f>TEXT(B1456,"YYYY-MM")</f>
        <v/>
      </c>
    </row>
    <row r="1457">
      <c r="A1457" t="inlineStr">
        <is>
          <t>LD-301455</t>
        </is>
      </c>
      <c r="B1457" t="inlineStr">
        <is>
          <t>2025-12-26 19:02:00</t>
        </is>
      </c>
      <c r="C1457" t="inlineStr">
        <is>
          <t>Paid Search</t>
        </is>
      </c>
      <c r="D1457" t="inlineStr">
        <is>
          <t>Language Learning</t>
        </is>
      </c>
      <c r="E1457" t="inlineStr">
        <is>
          <t>International</t>
        </is>
      </c>
      <c r="F1457" t="inlineStr">
        <is>
          <t>Rep_05</t>
        </is>
      </c>
      <c r="G1457" t="n">
        <v>3.96</v>
      </c>
      <c r="H1457" t="inlineStr">
        <is>
          <t>Contacted</t>
        </is>
      </c>
      <c r="I1457" t="inlineStr">
        <is>
          <t>Open</t>
        </is>
      </c>
      <c r="M1457">
        <f>VLOOKUP(H1457,'Stage Order'!$A$2:$B$8,2,FALSE)</f>
        <v/>
      </c>
      <c r="N1457">
        <f>IF(G1457&lt;=1,"1. Under 1 hour",IF(G1457&lt;=24,"2. 1-24 hours",IF(G1457&lt;=72,"3. 1-3 days","4. Over 3 days")))</f>
        <v/>
      </c>
      <c r="O1457">
        <f>TEXT(B1457,"YYYY-MM")</f>
        <v/>
      </c>
    </row>
    <row r="1458">
      <c r="A1458" t="inlineStr">
        <is>
          <t>LD-301456</t>
        </is>
      </c>
      <c r="B1458" t="inlineStr">
        <is>
          <t>2025-08-01 10:42:00</t>
        </is>
      </c>
      <c r="C1458" t="inlineStr">
        <is>
          <t>Paid Search</t>
        </is>
      </c>
      <c r="D1458" t="inlineStr">
        <is>
          <t>Coding for Kids</t>
        </is>
      </c>
      <c r="E1458" t="inlineStr">
        <is>
          <t>East Region</t>
        </is>
      </c>
      <c r="F1458" t="inlineStr">
        <is>
          <t>Rep_14</t>
        </is>
      </c>
      <c r="G1458" t="n">
        <v>4.12</v>
      </c>
      <c r="H1458" t="inlineStr">
        <is>
          <t>Contacted</t>
        </is>
      </c>
      <c r="I1458" t="inlineStr">
        <is>
          <t>Open</t>
        </is>
      </c>
      <c r="M1458">
        <f>VLOOKUP(H1458,'Stage Order'!$A$2:$B$8,2,FALSE)</f>
        <v/>
      </c>
      <c r="N1458">
        <f>IF(G1458&lt;=1,"1. Under 1 hour",IF(G1458&lt;=24,"2. 1-24 hours",IF(G1458&lt;=72,"3. 1-3 days","4. Over 3 days")))</f>
        <v/>
      </c>
      <c r="O1458">
        <f>TEXT(B1458,"YYYY-MM")</f>
        <v/>
      </c>
    </row>
    <row r="1459">
      <c r="A1459" t="inlineStr">
        <is>
          <t>LD-301457</t>
        </is>
      </c>
      <c r="B1459" t="inlineStr">
        <is>
          <t>2025-03-06 07:26:00</t>
        </is>
      </c>
      <c r="C1459" t="inlineStr">
        <is>
          <t>Webinar</t>
        </is>
      </c>
      <c r="D1459" t="inlineStr">
        <is>
          <t>Language Learning</t>
        </is>
      </c>
      <c r="E1459" t="inlineStr">
        <is>
          <t>North Region</t>
        </is>
      </c>
      <c r="F1459" t="inlineStr">
        <is>
          <t>Rep_01</t>
        </is>
      </c>
      <c r="G1459" t="n">
        <v>3.41</v>
      </c>
      <c r="H1459" t="inlineStr">
        <is>
          <t>Contacted</t>
        </is>
      </c>
      <c r="I1459" t="inlineStr">
        <is>
          <t>Open</t>
        </is>
      </c>
      <c r="M1459">
        <f>VLOOKUP(H1459,'Stage Order'!$A$2:$B$8,2,FALSE)</f>
        <v/>
      </c>
      <c r="N1459">
        <f>IF(G1459&lt;=1,"1. Under 1 hour",IF(G1459&lt;=24,"2. 1-24 hours",IF(G1459&lt;=72,"3. 1-3 days","4. Over 3 days")))</f>
        <v/>
      </c>
      <c r="O1459">
        <f>TEXT(B1459,"YYYY-MM")</f>
        <v/>
      </c>
    </row>
    <row r="1460">
      <c r="A1460" t="inlineStr">
        <is>
          <t>LD-301458</t>
        </is>
      </c>
      <c r="B1460" t="inlineStr">
        <is>
          <t>2025-04-11 09:55:00</t>
        </is>
      </c>
      <c r="C1460" t="inlineStr">
        <is>
          <t>Paid Search</t>
        </is>
      </c>
      <c r="D1460" t="inlineStr">
        <is>
          <t>Language Learning</t>
        </is>
      </c>
      <c r="E1460" t="inlineStr">
        <is>
          <t>South Region</t>
        </is>
      </c>
      <c r="F1460" t="inlineStr">
        <is>
          <t>Rep_07</t>
        </is>
      </c>
      <c r="G1460" t="n">
        <v>9.31</v>
      </c>
      <c r="H1460" t="inlineStr">
        <is>
          <t>Contacted</t>
        </is>
      </c>
      <c r="I1460" t="inlineStr">
        <is>
          <t>Open</t>
        </is>
      </c>
      <c r="M1460">
        <f>VLOOKUP(H1460,'Stage Order'!$A$2:$B$8,2,FALSE)</f>
        <v/>
      </c>
      <c r="N1460">
        <f>IF(G1460&lt;=1,"1. Under 1 hour",IF(G1460&lt;=24,"2. 1-24 hours",IF(G1460&lt;=72,"3. 1-3 days","4. Over 3 days")))</f>
        <v/>
      </c>
      <c r="O1460">
        <f>TEXT(B1460,"YYYY-MM")</f>
        <v/>
      </c>
    </row>
    <row r="1461">
      <c r="A1461" t="inlineStr">
        <is>
          <t>LD-301459</t>
        </is>
      </c>
      <c r="B1461" t="inlineStr">
        <is>
          <t>2025-09-18 09:18:00</t>
        </is>
      </c>
      <c r="C1461" t="inlineStr">
        <is>
          <t>Cold Outreach</t>
        </is>
      </c>
      <c r="D1461" t="inlineStr">
        <is>
          <t>Study Abroad Prep</t>
        </is>
      </c>
      <c r="E1461" t="inlineStr">
        <is>
          <t>South Region</t>
        </is>
      </c>
      <c r="F1461" t="inlineStr">
        <is>
          <t>Rep_02</t>
        </is>
      </c>
      <c r="G1461" t="n">
        <v>19.18</v>
      </c>
      <c r="H1461" t="inlineStr">
        <is>
          <t>Lead</t>
        </is>
      </c>
      <c r="I1461" t="inlineStr">
        <is>
          <t>Open</t>
        </is>
      </c>
      <c r="M1461">
        <f>VLOOKUP(H1461,'Stage Order'!$A$2:$B$8,2,FALSE)</f>
        <v/>
      </c>
      <c r="N1461">
        <f>IF(G1461&lt;=1,"1. Under 1 hour",IF(G1461&lt;=24,"2. 1-24 hours",IF(G1461&lt;=72,"3. 1-3 days","4. Over 3 days")))</f>
        <v/>
      </c>
      <c r="O1461">
        <f>TEXT(B1461,"YYYY-MM")</f>
        <v/>
      </c>
    </row>
    <row r="1462">
      <c r="A1462" t="inlineStr">
        <is>
          <t>LD-301460</t>
        </is>
      </c>
      <c r="B1462" t="inlineStr">
        <is>
          <t>2026-02-20 15:46:00</t>
        </is>
      </c>
      <c r="C1462" t="inlineStr">
        <is>
          <t>Paid Search</t>
        </is>
      </c>
      <c r="D1462" t="inlineStr">
        <is>
          <t>Language Learning</t>
        </is>
      </c>
      <c r="E1462" t="inlineStr">
        <is>
          <t>South Region</t>
        </is>
      </c>
      <c r="F1462" t="inlineStr">
        <is>
          <t>Rep_07</t>
        </is>
      </c>
      <c r="G1462" t="n">
        <v>10.77</v>
      </c>
      <c r="H1462" t="inlineStr">
        <is>
          <t>Lead</t>
        </is>
      </c>
      <c r="I1462" t="inlineStr">
        <is>
          <t>Open</t>
        </is>
      </c>
      <c r="M1462">
        <f>VLOOKUP(H1462,'Stage Order'!$A$2:$B$8,2,FALSE)</f>
        <v/>
      </c>
      <c r="N1462">
        <f>IF(G1462&lt;=1,"1. Under 1 hour",IF(G1462&lt;=24,"2. 1-24 hours",IF(G1462&lt;=72,"3. 1-3 days","4. Over 3 days")))</f>
        <v/>
      </c>
      <c r="O1462">
        <f>TEXT(B1462,"YYYY-MM")</f>
        <v/>
      </c>
    </row>
    <row r="1463">
      <c r="A1463" t="inlineStr">
        <is>
          <t>LD-301461</t>
        </is>
      </c>
      <c r="B1463" t="inlineStr">
        <is>
          <t>2026-06-05 10:42:00</t>
        </is>
      </c>
      <c r="C1463" t="inlineStr">
        <is>
          <t>Referral</t>
        </is>
      </c>
      <c r="D1463" t="inlineStr">
        <is>
          <t>K-12 Math</t>
        </is>
      </c>
      <c r="E1463" t="inlineStr">
        <is>
          <t>International</t>
        </is>
      </c>
      <c r="F1463" t="inlineStr">
        <is>
          <t>Rep_10</t>
        </is>
      </c>
      <c r="G1463" t="n">
        <v>1.88</v>
      </c>
      <c r="H1463" t="inlineStr">
        <is>
          <t>Proposal Sent</t>
        </is>
      </c>
      <c r="I1463" t="inlineStr">
        <is>
          <t>Lost</t>
        </is>
      </c>
      <c r="J1463" t="inlineStr">
        <is>
          <t>Bad Timing</t>
        </is>
      </c>
      <c r="K1463" t="n">
        <v>592.2</v>
      </c>
      <c r="L1463" t="inlineStr">
        <is>
          <t>2026-07-07 10:11:23.381304</t>
        </is>
      </c>
      <c r="M1463">
        <f>VLOOKUP(H1463,'Stage Order'!$A$2:$B$8,2,FALSE)</f>
        <v/>
      </c>
      <c r="N1463">
        <f>IF(G1463&lt;=1,"1. Under 1 hour",IF(G1463&lt;=24,"2. 1-24 hours",IF(G1463&lt;=72,"3. 1-3 days","4. Over 3 days")))</f>
        <v/>
      </c>
      <c r="O1463">
        <f>TEXT(B1463,"YYYY-MM")</f>
        <v/>
      </c>
    </row>
    <row r="1464">
      <c r="A1464" t="inlineStr">
        <is>
          <t>LD-301462</t>
        </is>
      </c>
      <c r="B1464" t="inlineStr">
        <is>
          <t>2025-09-24 17:37:00</t>
        </is>
      </c>
      <c r="C1464" t="inlineStr">
        <is>
          <t>Social Media</t>
        </is>
      </c>
      <c r="D1464" t="inlineStr">
        <is>
          <t>Coding for Kids</t>
        </is>
      </c>
      <c r="E1464" t="inlineStr">
        <is>
          <t>West Region</t>
        </is>
      </c>
      <c r="F1464" t="inlineStr">
        <is>
          <t>Rep_08</t>
        </is>
      </c>
      <c r="G1464" t="n">
        <v>5.15</v>
      </c>
      <c r="H1464" t="inlineStr">
        <is>
          <t>Demo Completed</t>
        </is>
      </c>
      <c r="I1464" t="inlineStr">
        <is>
          <t>Lost</t>
        </is>
      </c>
      <c r="J1464" t="inlineStr">
        <is>
          <t>Bad Timing</t>
        </is>
      </c>
      <c r="K1464" t="n">
        <v>633.21</v>
      </c>
      <c r="L1464" t="inlineStr">
        <is>
          <t>2025-10-23 21:54:04.748789</t>
        </is>
      </c>
      <c r="M1464">
        <f>VLOOKUP(H1464,'Stage Order'!$A$2:$B$8,2,FALSE)</f>
        <v/>
      </c>
      <c r="N1464">
        <f>IF(G1464&lt;=1,"1. Under 1 hour",IF(G1464&lt;=24,"2. 1-24 hours",IF(G1464&lt;=72,"3. 1-3 days","4. Over 3 days")))</f>
        <v/>
      </c>
      <c r="O1464">
        <f>TEXT(B1464,"YYYY-MM")</f>
        <v/>
      </c>
    </row>
    <row r="1465">
      <c r="A1465" t="inlineStr">
        <is>
          <t>LD-301463</t>
        </is>
      </c>
      <c r="B1465" t="inlineStr">
        <is>
          <t>2025-02-09 14:46:00</t>
        </is>
      </c>
      <c r="C1465" t="inlineStr">
        <is>
          <t>Paid Search</t>
        </is>
      </c>
      <c r="D1465" t="inlineStr">
        <is>
          <t>Language Learning</t>
        </is>
      </c>
      <c r="E1465" t="inlineStr">
        <is>
          <t>South Region</t>
        </is>
      </c>
      <c r="F1465" t="inlineStr">
        <is>
          <t>Rep_12</t>
        </is>
      </c>
      <c r="G1465" t="n">
        <v>1.87</v>
      </c>
      <c r="H1465" t="inlineStr">
        <is>
          <t>Demo Completed</t>
        </is>
      </c>
      <c r="I1465" t="inlineStr">
        <is>
          <t>Lost</t>
        </is>
      </c>
      <c r="J1465" t="inlineStr">
        <is>
          <t>No Response / Ghosted</t>
        </is>
      </c>
      <c r="K1465" t="n">
        <v>362.86</v>
      </c>
      <c r="L1465" t="inlineStr">
        <is>
          <t>2025-03-13 14:15:45.334782</t>
        </is>
      </c>
      <c r="M1465">
        <f>VLOOKUP(H1465,'Stage Order'!$A$2:$B$8,2,FALSE)</f>
        <v/>
      </c>
      <c r="N1465">
        <f>IF(G1465&lt;=1,"1. Under 1 hour",IF(G1465&lt;=24,"2. 1-24 hours",IF(G1465&lt;=72,"3. 1-3 days","4. Over 3 days")))</f>
        <v/>
      </c>
      <c r="O1465">
        <f>TEXT(B1465,"YYYY-MM")</f>
        <v/>
      </c>
    </row>
    <row r="1466">
      <c r="A1466" t="inlineStr">
        <is>
          <t>LD-301464</t>
        </is>
      </c>
      <c r="B1466" t="inlineStr">
        <is>
          <t>2025-12-01 15:09:00</t>
        </is>
      </c>
      <c r="C1466" t="inlineStr">
        <is>
          <t>Organic Search</t>
        </is>
      </c>
      <c r="D1466" t="inlineStr">
        <is>
          <t>Coding for Kids</t>
        </is>
      </c>
      <c r="E1466" t="inlineStr">
        <is>
          <t>West Region</t>
        </is>
      </c>
      <c r="F1466" t="inlineStr">
        <is>
          <t>Rep_03</t>
        </is>
      </c>
      <c r="G1466" t="n">
        <v>4.06</v>
      </c>
      <c r="H1466" t="inlineStr">
        <is>
          <t>Demo Scheduled</t>
        </is>
      </c>
      <c r="I1466" t="inlineStr">
        <is>
          <t>Open</t>
        </is>
      </c>
      <c r="M1466">
        <f>VLOOKUP(H1466,'Stage Order'!$A$2:$B$8,2,FALSE)</f>
        <v/>
      </c>
      <c r="N1466">
        <f>IF(G1466&lt;=1,"1. Under 1 hour",IF(G1466&lt;=24,"2. 1-24 hours",IF(G1466&lt;=72,"3. 1-3 days","4. Over 3 days")))</f>
        <v/>
      </c>
      <c r="O1466">
        <f>TEXT(B1466,"YYYY-MM")</f>
        <v/>
      </c>
    </row>
    <row r="1467">
      <c r="A1467" t="inlineStr">
        <is>
          <t>LD-301465</t>
        </is>
      </c>
      <c r="B1467" t="inlineStr">
        <is>
          <t>2026-02-25 14:57:00</t>
        </is>
      </c>
      <c r="C1467" t="inlineStr">
        <is>
          <t>Referral</t>
        </is>
      </c>
      <c r="D1467" t="inlineStr">
        <is>
          <t>K-12 Math</t>
        </is>
      </c>
      <c r="E1467" t="inlineStr">
        <is>
          <t>East Region</t>
        </is>
      </c>
      <c r="F1467" t="inlineStr">
        <is>
          <t>Rep_09</t>
        </is>
      </c>
      <c r="G1467" t="n">
        <v>1.09</v>
      </c>
      <c r="H1467" t="inlineStr">
        <is>
          <t>Contacted</t>
        </is>
      </c>
      <c r="I1467" t="inlineStr">
        <is>
          <t>Open</t>
        </is>
      </c>
      <c r="M1467">
        <f>VLOOKUP(H1467,'Stage Order'!$A$2:$B$8,2,FALSE)</f>
        <v/>
      </c>
      <c r="N1467">
        <f>IF(G1467&lt;=1,"1. Under 1 hour",IF(G1467&lt;=24,"2. 1-24 hours",IF(G1467&lt;=72,"3. 1-3 days","4. Over 3 days")))</f>
        <v/>
      </c>
      <c r="O1467">
        <f>TEXT(B1467,"YYYY-MM")</f>
        <v/>
      </c>
    </row>
    <row r="1468">
      <c r="A1468" t="inlineStr">
        <is>
          <t>LD-301466</t>
        </is>
      </c>
      <c r="B1468" t="inlineStr">
        <is>
          <t>2025-06-17 14:32:00</t>
        </is>
      </c>
      <c r="C1468" t="inlineStr">
        <is>
          <t>Partner Channel</t>
        </is>
      </c>
      <c r="D1468" t="inlineStr">
        <is>
          <t>Language Learning</t>
        </is>
      </c>
      <c r="E1468" t="inlineStr">
        <is>
          <t>South Region</t>
        </is>
      </c>
      <c r="F1468" t="inlineStr">
        <is>
          <t>Rep_02</t>
        </is>
      </c>
      <c r="G1468" t="n">
        <v>2.78</v>
      </c>
      <c r="H1468" t="inlineStr">
        <is>
          <t>Contacted</t>
        </is>
      </c>
      <c r="I1468" t="inlineStr">
        <is>
          <t>Open</t>
        </is>
      </c>
      <c r="M1468">
        <f>VLOOKUP(H1468,'Stage Order'!$A$2:$B$8,2,FALSE)</f>
        <v/>
      </c>
      <c r="N1468">
        <f>IF(G1468&lt;=1,"1. Under 1 hour",IF(G1468&lt;=24,"2. 1-24 hours",IF(G1468&lt;=72,"3. 1-3 days","4. Over 3 days")))</f>
        <v/>
      </c>
      <c r="O1468">
        <f>TEXT(B1468,"YYYY-MM")</f>
        <v/>
      </c>
    </row>
    <row r="1469">
      <c r="A1469" t="inlineStr">
        <is>
          <t>LD-301467</t>
        </is>
      </c>
      <c r="B1469" t="inlineStr">
        <is>
          <t>2025-05-28 12:18:00</t>
        </is>
      </c>
      <c r="C1469" t="inlineStr">
        <is>
          <t>Paid Search</t>
        </is>
      </c>
      <c r="D1469" t="inlineStr">
        <is>
          <t>Competitive Exam Prep</t>
        </is>
      </c>
      <c r="E1469" t="inlineStr">
        <is>
          <t>North Region</t>
        </is>
      </c>
      <c r="F1469" t="inlineStr">
        <is>
          <t>Rep_11</t>
        </is>
      </c>
      <c r="G1469" t="n">
        <v>10.07</v>
      </c>
      <c r="H1469" t="inlineStr">
        <is>
          <t>Contacted</t>
        </is>
      </c>
      <c r="I1469" t="inlineStr">
        <is>
          <t>Open</t>
        </is>
      </c>
      <c r="M1469">
        <f>VLOOKUP(H1469,'Stage Order'!$A$2:$B$8,2,FALSE)</f>
        <v/>
      </c>
      <c r="N1469">
        <f>IF(G1469&lt;=1,"1. Under 1 hour",IF(G1469&lt;=24,"2. 1-24 hours",IF(G1469&lt;=72,"3. 1-3 days","4. Over 3 days")))</f>
        <v/>
      </c>
      <c r="O1469">
        <f>TEXT(B1469,"YYYY-MM")</f>
        <v/>
      </c>
    </row>
    <row r="1470">
      <c r="A1470" t="inlineStr">
        <is>
          <t>LD-301468</t>
        </is>
      </c>
      <c r="B1470" t="inlineStr">
        <is>
          <t>2026-06-11 14:39:00</t>
        </is>
      </c>
      <c r="C1470" t="inlineStr">
        <is>
          <t>Social Media</t>
        </is>
      </c>
      <c r="D1470" t="inlineStr">
        <is>
          <t>K-12 Math</t>
        </is>
      </c>
      <c r="E1470" t="inlineStr">
        <is>
          <t>South Region</t>
        </is>
      </c>
      <c r="F1470" t="inlineStr">
        <is>
          <t>Rep_07</t>
        </is>
      </c>
      <c r="G1470" t="n">
        <v>1.5</v>
      </c>
      <c r="H1470" t="inlineStr">
        <is>
          <t>Contacted</t>
        </is>
      </c>
      <c r="I1470" t="inlineStr">
        <is>
          <t>Open</t>
        </is>
      </c>
      <c r="M1470">
        <f>VLOOKUP(H1470,'Stage Order'!$A$2:$B$8,2,FALSE)</f>
        <v/>
      </c>
      <c r="N1470">
        <f>IF(G1470&lt;=1,"1. Under 1 hour",IF(G1470&lt;=24,"2. 1-24 hours",IF(G1470&lt;=72,"3. 1-3 days","4. Over 3 days")))</f>
        <v/>
      </c>
      <c r="O1470">
        <f>TEXT(B1470,"YYYY-MM")</f>
        <v/>
      </c>
    </row>
    <row r="1471">
      <c r="A1471" t="inlineStr">
        <is>
          <t>LD-301469</t>
        </is>
      </c>
      <c r="B1471" t="inlineStr">
        <is>
          <t>2026-02-13 15:08:00</t>
        </is>
      </c>
      <c r="C1471" t="inlineStr">
        <is>
          <t>Paid Search</t>
        </is>
      </c>
      <c r="D1471" t="inlineStr">
        <is>
          <t>Competitive Exam Prep</t>
        </is>
      </c>
      <c r="E1471" t="inlineStr">
        <is>
          <t>North Region</t>
        </is>
      </c>
      <c r="F1471" t="inlineStr">
        <is>
          <t>Rep_11</t>
        </is>
      </c>
      <c r="G1471" t="n">
        <v>9.34</v>
      </c>
      <c r="H1471" t="inlineStr">
        <is>
          <t>Closed</t>
        </is>
      </c>
      <c r="I1471" t="inlineStr">
        <is>
          <t>Won</t>
        </is>
      </c>
      <c r="K1471" t="n">
        <v>1137.79</v>
      </c>
      <c r="L1471" t="inlineStr">
        <is>
          <t>2026-04-11 15:22:14.393797</t>
        </is>
      </c>
      <c r="M1471">
        <f>VLOOKUP(H1471,'Stage Order'!$A$2:$B$8,2,FALSE)</f>
        <v/>
      </c>
      <c r="N1471">
        <f>IF(G1471&lt;=1,"1. Under 1 hour",IF(G1471&lt;=24,"2. 1-24 hours",IF(G1471&lt;=72,"3. 1-3 days","4. Over 3 days")))</f>
        <v/>
      </c>
      <c r="O1471">
        <f>TEXT(B1471,"YYYY-MM")</f>
        <v/>
      </c>
    </row>
    <row r="1472">
      <c r="A1472" t="inlineStr">
        <is>
          <t>LD-301470</t>
        </is>
      </c>
      <c r="B1472" t="inlineStr">
        <is>
          <t>2025-02-24 15:48:00</t>
        </is>
      </c>
      <c r="C1472" t="inlineStr">
        <is>
          <t>Cold Outreach</t>
        </is>
      </c>
      <c r="D1472" t="inlineStr">
        <is>
          <t>K-12 Math</t>
        </is>
      </c>
      <c r="E1472" t="inlineStr">
        <is>
          <t>East Region</t>
        </is>
      </c>
      <c r="F1472" t="inlineStr">
        <is>
          <t>Rep_09</t>
        </is>
      </c>
      <c r="G1472" t="n">
        <v>6.39</v>
      </c>
      <c r="H1472" t="inlineStr">
        <is>
          <t>Lead</t>
        </is>
      </c>
      <c r="I1472" t="inlineStr">
        <is>
          <t>Open</t>
        </is>
      </c>
      <c r="M1472">
        <f>VLOOKUP(H1472,'Stage Order'!$A$2:$B$8,2,FALSE)</f>
        <v/>
      </c>
      <c r="N1472">
        <f>IF(G1472&lt;=1,"1. Under 1 hour",IF(G1472&lt;=24,"2. 1-24 hours",IF(G1472&lt;=72,"3. 1-3 days","4. Over 3 days")))</f>
        <v/>
      </c>
      <c r="O1472">
        <f>TEXT(B1472,"YYYY-MM")</f>
        <v/>
      </c>
    </row>
    <row r="1473">
      <c r="A1473" t="inlineStr">
        <is>
          <t>LD-301471</t>
        </is>
      </c>
      <c r="B1473" t="inlineStr">
        <is>
          <t>2025-07-09 10:33:00</t>
        </is>
      </c>
      <c r="C1473" t="inlineStr">
        <is>
          <t>Social Media</t>
        </is>
      </c>
      <c r="D1473" t="inlineStr">
        <is>
          <t>K-12 Math</t>
        </is>
      </c>
      <c r="E1473" t="inlineStr">
        <is>
          <t>East Region</t>
        </is>
      </c>
      <c r="F1473" t="inlineStr">
        <is>
          <t>Rep_14</t>
        </is>
      </c>
      <c r="G1473" t="n">
        <v>4.47</v>
      </c>
      <c r="H1473" t="inlineStr">
        <is>
          <t>Demo Completed</t>
        </is>
      </c>
      <c r="I1473" t="inlineStr">
        <is>
          <t>Lost</t>
        </is>
      </c>
      <c r="J1473" t="inlineStr">
        <is>
          <t>Price Objection</t>
        </is>
      </c>
      <c r="K1473" t="n">
        <v>461.09</v>
      </c>
      <c r="L1473" t="inlineStr">
        <is>
          <t>2025-08-17 09:47:20.864987</t>
        </is>
      </c>
      <c r="M1473">
        <f>VLOOKUP(H1473,'Stage Order'!$A$2:$B$8,2,FALSE)</f>
        <v/>
      </c>
      <c r="N1473">
        <f>IF(G1473&lt;=1,"1. Under 1 hour",IF(G1473&lt;=24,"2. 1-24 hours",IF(G1473&lt;=72,"3. 1-3 days","4. Over 3 days")))</f>
        <v/>
      </c>
      <c r="O1473">
        <f>TEXT(B1473,"YYYY-MM")</f>
        <v/>
      </c>
    </row>
    <row r="1474">
      <c r="A1474" t="inlineStr">
        <is>
          <t>LD-301472</t>
        </is>
      </c>
      <c r="B1474" t="inlineStr">
        <is>
          <t>2025-07-17 12:11:00</t>
        </is>
      </c>
      <c r="C1474" t="inlineStr">
        <is>
          <t>Cold Outreach</t>
        </is>
      </c>
      <c r="D1474" t="inlineStr">
        <is>
          <t>K-12 Math</t>
        </is>
      </c>
      <c r="E1474" t="inlineStr">
        <is>
          <t>West Region</t>
        </is>
      </c>
      <c r="F1474" t="inlineStr">
        <is>
          <t>Rep_13</t>
        </is>
      </c>
      <c r="G1474" t="n">
        <v>0.77</v>
      </c>
      <c r="H1474" t="inlineStr">
        <is>
          <t>Contacted</t>
        </is>
      </c>
      <c r="I1474" t="inlineStr">
        <is>
          <t>Open</t>
        </is>
      </c>
      <c r="M1474">
        <f>VLOOKUP(H1474,'Stage Order'!$A$2:$B$8,2,FALSE)</f>
        <v/>
      </c>
      <c r="N1474">
        <f>IF(G1474&lt;=1,"1. Under 1 hour",IF(G1474&lt;=24,"2. 1-24 hours",IF(G1474&lt;=72,"3. 1-3 days","4. Over 3 days")))</f>
        <v/>
      </c>
      <c r="O1474">
        <f>TEXT(B1474,"YYYY-MM")</f>
        <v/>
      </c>
    </row>
    <row r="1475">
      <c r="A1475" t="inlineStr">
        <is>
          <t>LD-301473</t>
        </is>
      </c>
      <c r="B1475" t="inlineStr">
        <is>
          <t>2025-05-30 16:34:00</t>
        </is>
      </c>
      <c r="C1475" t="inlineStr">
        <is>
          <t>Paid Search</t>
        </is>
      </c>
      <c r="D1475" t="inlineStr">
        <is>
          <t>Competitive Exam Prep</t>
        </is>
      </c>
      <c r="E1475" t="inlineStr">
        <is>
          <t>South Region</t>
        </is>
      </c>
      <c r="F1475" t="inlineStr">
        <is>
          <t>Rep_12</t>
        </is>
      </c>
      <c r="G1475" t="n">
        <v>3.2</v>
      </c>
      <c r="H1475" t="inlineStr">
        <is>
          <t>Negotiation</t>
        </is>
      </c>
      <c r="I1475" t="inlineStr">
        <is>
          <t>Lost</t>
        </is>
      </c>
      <c r="J1475" t="inlineStr">
        <is>
          <t>No Response / Ghosted</t>
        </is>
      </c>
      <c r="K1475" t="n">
        <v>1028</v>
      </c>
      <c r="L1475" t="inlineStr">
        <is>
          <t>2025-07-07 05:05:58.233747</t>
        </is>
      </c>
      <c r="M1475">
        <f>VLOOKUP(H1475,'Stage Order'!$A$2:$B$8,2,FALSE)</f>
        <v/>
      </c>
      <c r="N1475">
        <f>IF(G1475&lt;=1,"1. Under 1 hour",IF(G1475&lt;=24,"2. 1-24 hours",IF(G1475&lt;=72,"3. 1-3 days","4. Over 3 days")))</f>
        <v/>
      </c>
      <c r="O1475">
        <f>TEXT(B1475,"YYYY-MM")</f>
        <v/>
      </c>
    </row>
    <row r="1476">
      <c r="A1476" t="inlineStr">
        <is>
          <t>LD-301474</t>
        </is>
      </c>
      <c r="B1476" t="inlineStr">
        <is>
          <t>2025-11-27 09:40:00</t>
        </is>
      </c>
      <c r="C1476" t="inlineStr">
        <is>
          <t>Social Media</t>
        </is>
      </c>
      <c r="D1476" t="inlineStr">
        <is>
          <t>K-12 Math</t>
        </is>
      </c>
      <c r="E1476" t="inlineStr">
        <is>
          <t>East Region</t>
        </is>
      </c>
      <c r="F1476" t="inlineStr">
        <is>
          <t>Rep_14</t>
        </is>
      </c>
      <c r="G1476" t="n">
        <v>2.43</v>
      </c>
      <c r="H1476" t="inlineStr">
        <is>
          <t>Demo Scheduled</t>
        </is>
      </c>
      <c r="I1476" t="inlineStr">
        <is>
          <t>Open</t>
        </is>
      </c>
      <c r="M1476">
        <f>VLOOKUP(H1476,'Stage Order'!$A$2:$B$8,2,FALSE)</f>
        <v/>
      </c>
      <c r="N1476">
        <f>IF(G1476&lt;=1,"1. Under 1 hour",IF(G1476&lt;=24,"2. 1-24 hours",IF(G1476&lt;=72,"3. 1-3 days","4. Over 3 days")))</f>
        <v/>
      </c>
      <c r="O1476">
        <f>TEXT(B1476,"YYYY-MM")</f>
        <v/>
      </c>
    </row>
    <row r="1477">
      <c r="A1477" t="inlineStr">
        <is>
          <t>LD-301475</t>
        </is>
      </c>
      <c r="B1477" t="inlineStr">
        <is>
          <t>2025-05-23 13:35:00</t>
        </is>
      </c>
      <c r="C1477" t="inlineStr">
        <is>
          <t>Paid Search</t>
        </is>
      </c>
      <c r="D1477" t="inlineStr">
        <is>
          <t>Competitive Exam Prep</t>
        </is>
      </c>
      <c r="E1477" t="inlineStr">
        <is>
          <t>East Region</t>
        </is>
      </c>
      <c r="F1477" t="inlineStr">
        <is>
          <t>Rep_09</t>
        </is>
      </c>
      <c r="G1477" t="n">
        <v>3.59</v>
      </c>
      <c r="H1477" t="inlineStr">
        <is>
          <t>Negotiation</t>
        </is>
      </c>
      <c r="I1477" t="inlineStr">
        <is>
          <t>Lost</t>
        </is>
      </c>
      <c r="J1477" t="inlineStr">
        <is>
          <t>Price Objection</t>
        </is>
      </c>
      <c r="K1477" t="n">
        <v>951.0700000000001</v>
      </c>
      <c r="L1477" t="inlineStr">
        <is>
          <t>2025-07-05 16:07:07.475091</t>
        </is>
      </c>
      <c r="M1477">
        <f>VLOOKUP(H1477,'Stage Order'!$A$2:$B$8,2,FALSE)</f>
        <v/>
      </c>
      <c r="N1477">
        <f>IF(G1477&lt;=1,"1. Under 1 hour",IF(G1477&lt;=24,"2. 1-24 hours",IF(G1477&lt;=72,"3. 1-3 days","4. Over 3 days")))</f>
        <v/>
      </c>
      <c r="O1477">
        <f>TEXT(B1477,"YYYY-MM")</f>
        <v/>
      </c>
    </row>
    <row r="1478">
      <c r="A1478" t="inlineStr">
        <is>
          <t>LD-301476</t>
        </is>
      </c>
      <c r="B1478" t="inlineStr">
        <is>
          <t>2026-01-15 17:35:00</t>
        </is>
      </c>
      <c r="C1478" t="inlineStr">
        <is>
          <t>Organic Search</t>
        </is>
      </c>
      <c r="D1478" t="inlineStr">
        <is>
          <t>Competitive Exam Prep</t>
        </is>
      </c>
      <c r="E1478" t="inlineStr">
        <is>
          <t>South Region</t>
        </is>
      </c>
      <c r="F1478" t="inlineStr">
        <is>
          <t>Rep_07</t>
        </is>
      </c>
      <c r="G1478" t="n">
        <v>0.78</v>
      </c>
      <c r="H1478" t="inlineStr">
        <is>
          <t>Closed</t>
        </is>
      </c>
      <c r="I1478" t="inlineStr">
        <is>
          <t>Won</t>
        </is>
      </c>
      <c r="K1478" t="n">
        <v>887.77</v>
      </c>
      <c r="L1478" t="inlineStr">
        <is>
          <t>2026-02-28 19:17:18.237521</t>
        </is>
      </c>
      <c r="M1478">
        <f>VLOOKUP(H1478,'Stage Order'!$A$2:$B$8,2,FALSE)</f>
        <v/>
      </c>
      <c r="N1478">
        <f>IF(G1478&lt;=1,"1. Under 1 hour",IF(G1478&lt;=24,"2. 1-24 hours",IF(G1478&lt;=72,"3. 1-3 days","4. Over 3 days")))</f>
        <v/>
      </c>
      <c r="O1478">
        <f>TEXT(B1478,"YYYY-MM")</f>
        <v/>
      </c>
    </row>
    <row r="1479">
      <c r="A1479" t="inlineStr">
        <is>
          <t>LD-301477</t>
        </is>
      </c>
      <c r="B1479" t="inlineStr">
        <is>
          <t>2025-07-11 15:28:00</t>
        </is>
      </c>
      <c r="C1479" t="inlineStr">
        <is>
          <t>Organic Search</t>
        </is>
      </c>
      <c r="D1479" t="inlineStr">
        <is>
          <t>Competitive Exam Prep</t>
        </is>
      </c>
      <c r="E1479" t="inlineStr">
        <is>
          <t>North Region</t>
        </is>
      </c>
      <c r="F1479" t="inlineStr">
        <is>
          <t>Rep_01</t>
        </is>
      </c>
      <c r="G1479" t="n">
        <v>1.4</v>
      </c>
      <c r="H1479" t="inlineStr">
        <is>
          <t>Negotiation</t>
        </is>
      </c>
      <c r="I1479" t="inlineStr">
        <is>
          <t>Lost</t>
        </is>
      </c>
      <c r="J1479" t="inlineStr">
        <is>
          <t>Price Objection</t>
        </is>
      </c>
      <c r="K1479" t="n">
        <v>809.34</v>
      </c>
      <c r="L1479" t="inlineStr">
        <is>
          <t>2025-08-14 23:17:28.315195</t>
        </is>
      </c>
      <c r="M1479">
        <f>VLOOKUP(H1479,'Stage Order'!$A$2:$B$8,2,FALSE)</f>
        <v/>
      </c>
      <c r="N1479">
        <f>IF(G1479&lt;=1,"1. Under 1 hour",IF(G1479&lt;=24,"2. 1-24 hours",IF(G1479&lt;=72,"3. 1-3 days","4. Over 3 days")))</f>
        <v/>
      </c>
      <c r="O1479">
        <f>TEXT(B1479,"YYYY-MM")</f>
        <v/>
      </c>
    </row>
    <row r="1480">
      <c r="A1480" t="inlineStr">
        <is>
          <t>LD-301478</t>
        </is>
      </c>
      <c r="B1480" t="inlineStr">
        <is>
          <t>2025-03-28 13:04:00</t>
        </is>
      </c>
      <c r="C1480" t="inlineStr">
        <is>
          <t>Cold Outreach</t>
        </is>
      </c>
      <c r="D1480" t="inlineStr">
        <is>
          <t>Coding for Kids</t>
        </is>
      </c>
      <c r="E1480" t="inlineStr">
        <is>
          <t>North Region</t>
        </is>
      </c>
      <c r="F1480" t="inlineStr">
        <is>
          <t>Rep_11</t>
        </is>
      </c>
      <c r="G1480" t="n">
        <v>10.52</v>
      </c>
      <c r="H1480" t="inlineStr">
        <is>
          <t>Lead</t>
        </is>
      </c>
      <c r="I1480" t="inlineStr">
        <is>
          <t>Open</t>
        </is>
      </c>
      <c r="M1480">
        <f>VLOOKUP(H1480,'Stage Order'!$A$2:$B$8,2,FALSE)</f>
        <v/>
      </c>
      <c r="N1480">
        <f>IF(G1480&lt;=1,"1. Under 1 hour",IF(G1480&lt;=24,"2. 1-24 hours",IF(G1480&lt;=72,"3. 1-3 days","4. Over 3 days")))</f>
        <v/>
      </c>
      <c r="O1480">
        <f>TEXT(B1480,"YYYY-MM")</f>
        <v/>
      </c>
    </row>
    <row r="1481">
      <c r="A1481" t="inlineStr">
        <is>
          <t>LD-301479</t>
        </is>
      </c>
      <c r="B1481" t="inlineStr">
        <is>
          <t>2026-06-02 20:14:00</t>
        </is>
      </c>
      <c r="C1481" t="inlineStr">
        <is>
          <t>Partner Channel</t>
        </is>
      </c>
      <c r="D1481" t="inlineStr">
        <is>
          <t>Coding for Kids</t>
        </is>
      </c>
      <c r="E1481" t="inlineStr">
        <is>
          <t>North Region</t>
        </is>
      </c>
      <c r="F1481" t="inlineStr">
        <is>
          <t>Rep_01</t>
        </is>
      </c>
      <c r="G1481" t="n">
        <v>1.56</v>
      </c>
      <c r="H1481" t="inlineStr">
        <is>
          <t>Contacted</t>
        </is>
      </c>
      <c r="I1481" t="inlineStr">
        <is>
          <t>Open</t>
        </is>
      </c>
      <c r="M1481">
        <f>VLOOKUP(H1481,'Stage Order'!$A$2:$B$8,2,FALSE)</f>
        <v/>
      </c>
      <c r="N1481">
        <f>IF(G1481&lt;=1,"1. Under 1 hour",IF(G1481&lt;=24,"2. 1-24 hours",IF(G1481&lt;=72,"3. 1-3 days","4. Over 3 days")))</f>
        <v/>
      </c>
      <c r="O1481">
        <f>TEXT(B1481,"YYYY-MM")</f>
        <v/>
      </c>
    </row>
    <row r="1482">
      <c r="A1482" t="inlineStr">
        <is>
          <t>LD-301480</t>
        </is>
      </c>
      <c r="B1482" t="inlineStr">
        <is>
          <t>2026-01-24 20:14:00</t>
        </is>
      </c>
      <c r="C1482" t="inlineStr">
        <is>
          <t>Paid Search</t>
        </is>
      </c>
      <c r="D1482" t="inlineStr">
        <is>
          <t>Competitive Exam Prep</t>
        </is>
      </c>
      <c r="E1482" t="inlineStr">
        <is>
          <t>South Region</t>
        </is>
      </c>
      <c r="F1482" t="inlineStr">
        <is>
          <t>Rep_12</t>
        </is>
      </c>
      <c r="G1482" t="n">
        <v>8.44</v>
      </c>
      <c r="H1482" t="inlineStr">
        <is>
          <t>Contacted</t>
        </is>
      </c>
      <c r="I1482" t="inlineStr">
        <is>
          <t>Open</t>
        </is>
      </c>
      <c r="M1482">
        <f>VLOOKUP(H1482,'Stage Order'!$A$2:$B$8,2,FALSE)</f>
        <v/>
      </c>
      <c r="N1482">
        <f>IF(G1482&lt;=1,"1. Under 1 hour",IF(G1482&lt;=24,"2. 1-24 hours",IF(G1482&lt;=72,"3. 1-3 days","4. Over 3 days")))</f>
        <v/>
      </c>
      <c r="O1482">
        <f>TEXT(B1482,"YYYY-MM")</f>
        <v/>
      </c>
    </row>
    <row r="1483">
      <c r="A1483" t="inlineStr">
        <is>
          <t>LD-301481</t>
        </is>
      </c>
      <c r="B1483" t="inlineStr">
        <is>
          <t>2025-11-24 15:58:00</t>
        </is>
      </c>
      <c r="C1483" t="inlineStr">
        <is>
          <t>Organic Search</t>
        </is>
      </c>
      <c r="D1483" t="inlineStr">
        <is>
          <t>Coding for Kids</t>
        </is>
      </c>
      <c r="E1483" t="inlineStr">
        <is>
          <t>South Region</t>
        </is>
      </c>
      <c r="F1483" t="inlineStr">
        <is>
          <t>Rep_12</t>
        </is>
      </c>
      <c r="G1483" t="n">
        <v>2.02</v>
      </c>
      <c r="H1483" t="inlineStr">
        <is>
          <t>Contacted</t>
        </is>
      </c>
      <c r="I1483" t="inlineStr">
        <is>
          <t>Open</t>
        </is>
      </c>
      <c r="M1483">
        <f>VLOOKUP(H1483,'Stage Order'!$A$2:$B$8,2,FALSE)</f>
        <v/>
      </c>
      <c r="N1483">
        <f>IF(G1483&lt;=1,"1. Under 1 hour",IF(G1483&lt;=24,"2. 1-24 hours",IF(G1483&lt;=72,"3. 1-3 days","4. Over 3 days")))</f>
        <v/>
      </c>
      <c r="O1483">
        <f>TEXT(B1483,"YYYY-MM")</f>
        <v/>
      </c>
    </row>
    <row r="1484">
      <c r="A1484" t="inlineStr">
        <is>
          <t>LD-301482</t>
        </is>
      </c>
      <c r="B1484" t="inlineStr">
        <is>
          <t>2026-06-09 07:57:00</t>
        </is>
      </c>
      <c r="C1484" t="inlineStr">
        <is>
          <t>Paid Search</t>
        </is>
      </c>
      <c r="D1484" t="inlineStr">
        <is>
          <t>Competitive Exam Prep</t>
        </is>
      </c>
      <c r="E1484" t="inlineStr">
        <is>
          <t>North Region</t>
        </is>
      </c>
      <c r="F1484" t="inlineStr">
        <is>
          <t>Rep_06</t>
        </is>
      </c>
      <c r="G1484" t="n">
        <v>1.63</v>
      </c>
      <c r="H1484" t="inlineStr">
        <is>
          <t>Demo Scheduled</t>
        </is>
      </c>
      <c r="I1484" t="inlineStr">
        <is>
          <t>Open</t>
        </is>
      </c>
      <c r="M1484">
        <f>VLOOKUP(H1484,'Stage Order'!$A$2:$B$8,2,FALSE)</f>
        <v/>
      </c>
      <c r="N1484">
        <f>IF(G1484&lt;=1,"1. Under 1 hour",IF(G1484&lt;=24,"2. 1-24 hours",IF(G1484&lt;=72,"3. 1-3 days","4. Over 3 days")))</f>
        <v/>
      </c>
      <c r="O1484">
        <f>TEXT(B1484,"YYYY-MM")</f>
        <v/>
      </c>
    </row>
    <row r="1485">
      <c r="A1485" t="inlineStr">
        <is>
          <t>LD-301483</t>
        </is>
      </c>
      <c r="B1485" t="inlineStr">
        <is>
          <t>2026-04-23 13:51:00</t>
        </is>
      </c>
      <c r="C1485" t="inlineStr">
        <is>
          <t>Paid Search</t>
        </is>
      </c>
      <c r="D1485" t="inlineStr">
        <is>
          <t>K-12 Math</t>
        </is>
      </c>
      <c r="E1485" t="inlineStr">
        <is>
          <t>West Region</t>
        </is>
      </c>
      <c r="F1485" t="inlineStr">
        <is>
          <t>Rep_13</t>
        </is>
      </c>
      <c r="G1485" t="n">
        <v>6.8</v>
      </c>
      <c r="H1485" t="inlineStr">
        <is>
          <t>Lead</t>
        </is>
      </c>
      <c r="I1485" t="inlineStr">
        <is>
          <t>Open</t>
        </is>
      </c>
      <c r="M1485">
        <f>VLOOKUP(H1485,'Stage Order'!$A$2:$B$8,2,FALSE)</f>
        <v/>
      </c>
      <c r="N1485">
        <f>IF(G1485&lt;=1,"1. Under 1 hour",IF(G1485&lt;=24,"2. 1-24 hours",IF(G1485&lt;=72,"3. 1-3 days","4. Over 3 days")))</f>
        <v/>
      </c>
      <c r="O1485">
        <f>TEXT(B1485,"YYYY-MM")</f>
        <v/>
      </c>
    </row>
    <row r="1486">
      <c r="A1486" t="inlineStr">
        <is>
          <t>LD-301484</t>
        </is>
      </c>
      <c r="B1486" t="inlineStr">
        <is>
          <t>2025-04-25 14:30:00</t>
        </is>
      </c>
      <c r="C1486" t="inlineStr">
        <is>
          <t>Paid Search</t>
        </is>
      </c>
      <c r="D1486" t="inlineStr">
        <is>
          <t>Language Learning</t>
        </is>
      </c>
      <c r="E1486" t="inlineStr">
        <is>
          <t>International</t>
        </is>
      </c>
      <c r="F1486" t="inlineStr">
        <is>
          <t>Rep_15</t>
        </is>
      </c>
      <c r="G1486" t="n">
        <v>7.29</v>
      </c>
      <c r="H1486" t="inlineStr">
        <is>
          <t>Closed</t>
        </is>
      </c>
      <c r="I1486" t="inlineStr">
        <is>
          <t>Won</t>
        </is>
      </c>
      <c r="K1486" t="n">
        <v>308.88</v>
      </c>
      <c r="L1486" t="inlineStr">
        <is>
          <t>2025-05-28 09:34:25.539593</t>
        </is>
      </c>
      <c r="M1486">
        <f>VLOOKUP(H1486,'Stage Order'!$A$2:$B$8,2,FALSE)</f>
        <v/>
      </c>
      <c r="N1486">
        <f>IF(G1486&lt;=1,"1. Under 1 hour",IF(G1486&lt;=24,"2. 1-24 hours",IF(G1486&lt;=72,"3. 1-3 days","4. Over 3 days")))</f>
        <v/>
      </c>
      <c r="O1486">
        <f>TEXT(B1486,"YYYY-MM")</f>
        <v/>
      </c>
    </row>
    <row r="1487">
      <c r="A1487" t="inlineStr">
        <is>
          <t>LD-301485</t>
        </is>
      </c>
      <c r="B1487" t="inlineStr">
        <is>
          <t>2026-04-07 16:54:00</t>
        </is>
      </c>
      <c r="C1487" t="inlineStr">
        <is>
          <t>Social Media</t>
        </is>
      </c>
      <c r="D1487" t="inlineStr">
        <is>
          <t>Competitive Exam Prep</t>
        </is>
      </c>
      <c r="E1487" t="inlineStr">
        <is>
          <t>International</t>
        </is>
      </c>
      <c r="F1487" t="inlineStr">
        <is>
          <t>Rep_05</t>
        </is>
      </c>
      <c r="G1487" t="n">
        <v>7.17</v>
      </c>
      <c r="H1487" t="inlineStr">
        <is>
          <t>Contacted</t>
        </is>
      </c>
      <c r="I1487" t="inlineStr">
        <is>
          <t>Open</t>
        </is>
      </c>
      <c r="M1487">
        <f>VLOOKUP(H1487,'Stage Order'!$A$2:$B$8,2,FALSE)</f>
        <v/>
      </c>
      <c r="N1487">
        <f>IF(G1487&lt;=1,"1. Under 1 hour",IF(G1487&lt;=24,"2. 1-24 hours",IF(G1487&lt;=72,"3. 1-3 days","4. Over 3 days")))</f>
        <v/>
      </c>
      <c r="O1487">
        <f>TEXT(B1487,"YYYY-MM")</f>
        <v/>
      </c>
    </row>
    <row r="1488">
      <c r="A1488" t="inlineStr">
        <is>
          <t>LD-301486</t>
        </is>
      </c>
      <c r="B1488" t="inlineStr">
        <is>
          <t>2025-02-03 13:58:00</t>
        </is>
      </c>
      <c r="C1488" t="inlineStr">
        <is>
          <t>Organic Search</t>
        </is>
      </c>
      <c r="D1488" t="inlineStr">
        <is>
          <t>Language Learning</t>
        </is>
      </c>
      <c r="E1488" t="inlineStr">
        <is>
          <t>West Region</t>
        </is>
      </c>
      <c r="F1488" t="inlineStr">
        <is>
          <t>Rep_13</t>
        </is>
      </c>
      <c r="G1488" t="n">
        <v>0.98</v>
      </c>
      <c r="H1488" t="inlineStr">
        <is>
          <t>Contacted</t>
        </is>
      </c>
      <c r="I1488" t="inlineStr">
        <is>
          <t>Open</t>
        </is>
      </c>
      <c r="M1488">
        <f>VLOOKUP(H1488,'Stage Order'!$A$2:$B$8,2,FALSE)</f>
        <v/>
      </c>
      <c r="N1488">
        <f>IF(G1488&lt;=1,"1. Under 1 hour",IF(G1488&lt;=24,"2. 1-24 hours",IF(G1488&lt;=72,"3. 1-3 days","4. Over 3 days")))</f>
        <v/>
      </c>
      <c r="O1488">
        <f>TEXT(B1488,"YYYY-MM")</f>
        <v/>
      </c>
    </row>
    <row r="1489">
      <c r="A1489" t="inlineStr">
        <is>
          <t>LD-301487</t>
        </is>
      </c>
      <c r="B1489" t="inlineStr">
        <is>
          <t>2025-07-13 20:03:00</t>
        </is>
      </c>
      <c r="C1489" t="inlineStr">
        <is>
          <t>Cold Outreach</t>
        </is>
      </c>
      <c r="D1489" t="inlineStr">
        <is>
          <t>Coding for Kids</t>
        </is>
      </c>
      <c r="E1489" t="inlineStr">
        <is>
          <t>South Region</t>
        </is>
      </c>
      <c r="F1489" t="inlineStr">
        <is>
          <t>Rep_07</t>
        </is>
      </c>
      <c r="G1489" t="n">
        <v>2.11</v>
      </c>
      <c r="H1489" t="inlineStr">
        <is>
          <t>Lead</t>
        </is>
      </c>
      <c r="I1489" t="inlineStr">
        <is>
          <t>Open</t>
        </is>
      </c>
      <c r="M1489">
        <f>VLOOKUP(H1489,'Stage Order'!$A$2:$B$8,2,FALSE)</f>
        <v/>
      </c>
      <c r="N1489">
        <f>IF(G1489&lt;=1,"1. Under 1 hour",IF(G1489&lt;=24,"2. 1-24 hours",IF(G1489&lt;=72,"3. 1-3 days","4. Over 3 days")))</f>
        <v/>
      </c>
      <c r="O1489">
        <f>TEXT(B1489,"YYYY-MM")</f>
        <v/>
      </c>
    </row>
    <row r="1490">
      <c r="A1490" t="inlineStr">
        <is>
          <t>LD-301488</t>
        </is>
      </c>
      <c r="B1490" t="inlineStr">
        <is>
          <t>2026-04-24 17:01:00</t>
        </is>
      </c>
      <c r="C1490" t="inlineStr">
        <is>
          <t>Webinar</t>
        </is>
      </c>
      <c r="D1490" t="inlineStr">
        <is>
          <t>Competitive Exam Prep</t>
        </is>
      </c>
      <c r="E1490" t="inlineStr">
        <is>
          <t>North Region</t>
        </is>
      </c>
      <c r="F1490" t="inlineStr">
        <is>
          <t>Rep_06</t>
        </is>
      </c>
      <c r="G1490" t="n">
        <v>5.37</v>
      </c>
      <c r="H1490" t="inlineStr">
        <is>
          <t>Negotiation</t>
        </is>
      </c>
      <c r="I1490" t="inlineStr">
        <is>
          <t>Lost</t>
        </is>
      </c>
      <c r="J1490" t="inlineStr">
        <is>
          <t>Bad Timing</t>
        </is>
      </c>
      <c r="K1490" t="n">
        <v>827.1799999999999</v>
      </c>
      <c r="L1490" t="inlineStr">
        <is>
          <t>2026-06-05 13:48:57.033240</t>
        </is>
      </c>
      <c r="M1490">
        <f>VLOOKUP(H1490,'Stage Order'!$A$2:$B$8,2,FALSE)</f>
        <v/>
      </c>
      <c r="N1490">
        <f>IF(G1490&lt;=1,"1. Under 1 hour",IF(G1490&lt;=24,"2. 1-24 hours",IF(G1490&lt;=72,"3. 1-3 days","4. Over 3 days")))</f>
        <v/>
      </c>
      <c r="O1490">
        <f>TEXT(B1490,"YYYY-MM")</f>
        <v/>
      </c>
    </row>
    <row r="1491">
      <c r="A1491" t="inlineStr">
        <is>
          <t>LD-301489</t>
        </is>
      </c>
      <c r="B1491" t="inlineStr">
        <is>
          <t>2025-02-27 16:36:00</t>
        </is>
      </c>
      <c r="C1491" t="inlineStr">
        <is>
          <t>Partner Channel</t>
        </is>
      </c>
      <c r="D1491" t="inlineStr">
        <is>
          <t>Competitive Exam Prep</t>
        </is>
      </c>
      <c r="E1491" t="inlineStr">
        <is>
          <t>West Region</t>
        </is>
      </c>
      <c r="F1491" t="inlineStr">
        <is>
          <t>Rep_08</t>
        </is>
      </c>
      <c r="G1491" t="n">
        <v>4.99</v>
      </c>
      <c r="H1491" t="inlineStr">
        <is>
          <t>Negotiation</t>
        </is>
      </c>
      <c r="I1491" t="inlineStr">
        <is>
          <t>Lost</t>
        </is>
      </c>
      <c r="J1491" t="inlineStr">
        <is>
          <t>Went With Competitor</t>
        </is>
      </c>
      <c r="K1491" t="n">
        <v>915.47</v>
      </c>
      <c r="L1491" t="inlineStr">
        <is>
          <t>2025-04-08 23:49:26.944664</t>
        </is>
      </c>
      <c r="M1491">
        <f>VLOOKUP(H1491,'Stage Order'!$A$2:$B$8,2,FALSE)</f>
        <v/>
      </c>
      <c r="N1491">
        <f>IF(G1491&lt;=1,"1. Under 1 hour",IF(G1491&lt;=24,"2. 1-24 hours",IF(G1491&lt;=72,"3. 1-3 days","4. Over 3 days")))</f>
        <v/>
      </c>
      <c r="O1491">
        <f>TEXT(B1491,"YYYY-MM")</f>
        <v/>
      </c>
    </row>
    <row r="1492">
      <c r="A1492" t="inlineStr">
        <is>
          <t>LD-301490</t>
        </is>
      </c>
      <c r="B1492" t="inlineStr">
        <is>
          <t>2026-05-07 10:13:00</t>
        </is>
      </c>
      <c r="C1492" t="inlineStr">
        <is>
          <t>Cold Outreach</t>
        </is>
      </c>
      <c r="D1492" t="inlineStr">
        <is>
          <t>Coding for Kids</t>
        </is>
      </c>
      <c r="E1492" t="inlineStr">
        <is>
          <t>East Region</t>
        </is>
      </c>
      <c r="F1492" t="inlineStr">
        <is>
          <t>Rep_14</t>
        </is>
      </c>
      <c r="G1492" t="n">
        <v>3.03</v>
      </c>
      <c r="H1492" t="inlineStr">
        <is>
          <t>Lead</t>
        </is>
      </c>
      <c r="I1492" t="inlineStr">
        <is>
          <t>Open</t>
        </is>
      </c>
      <c r="M1492">
        <f>VLOOKUP(H1492,'Stage Order'!$A$2:$B$8,2,FALSE)</f>
        <v/>
      </c>
      <c r="N1492">
        <f>IF(G1492&lt;=1,"1. Under 1 hour",IF(G1492&lt;=24,"2. 1-24 hours",IF(G1492&lt;=72,"3. 1-3 days","4. Over 3 days")))</f>
        <v/>
      </c>
      <c r="O1492">
        <f>TEXT(B1492,"YYYY-MM")</f>
        <v/>
      </c>
    </row>
    <row r="1493">
      <c r="A1493" t="inlineStr">
        <is>
          <t>LD-301491</t>
        </is>
      </c>
      <c r="B1493" t="inlineStr">
        <is>
          <t>2025-07-03 08:12:00</t>
        </is>
      </c>
      <c r="C1493" t="inlineStr">
        <is>
          <t>Organic Search</t>
        </is>
      </c>
      <c r="D1493" t="inlineStr">
        <is>
          <t>K-12 Math</t>
        </is>
      </c>
      <c r="E1493" t="inlineStr">
        <is>
          <t>West Region</t>
        </is>
      </c>
      <c r="F1493" t="inlineStr">
        <is>
          <t>Rep_03</t>
        </is>
      </c>
      <c r="G1493" t="n">
        <v>1.57</v>
      </c>
      <c r="H1493" t="inlineStr">
        <is>
          <t>Lead</t>
        </is>
      </c>
      <c r="I1493" t="inlineStr">
        <is>
          <t>Open</t>
        </is>
      </c>
      <c r="M1493">
        <f>VLOOKUP(H1493,'Stage Order'!$A$2:$B$8,2,FALSE)</f>
        <v/>
      </c>
      <c r="N1493">
        <f>IF(G1493&lt;=1,"1. Under 1 hour",IF(G1493&lt;=24,"2. 1-24 hours",IF(G1493&lt;=72,"3. 1-3 days","4. Over 3 days")))</f>
        <v/>
      </c>
      <c r="O1493">
        <f>TEXT(B1493,"YYYY-MM")</f>
        <v/>
      </c>
    </row>
    <row r="1494">
      <c r="A1494" t="inlineStr">
        <is>
          <t>LD-301492</t>
        </is>
      </c>
      <c r="B1494" t="inlineStr">
        <is>
          <t>2025-06-01 13:27:00</t>
        </is>
      </c>
      <c r="C1494" t="inlineStr">
        <is>
          <t>Paid Search</t>
        </is>
      </c>
      <c r="D1494" t="inlineStr">
        <is>
          <t>K-12 Math</t>
        </is>
      </c>
      <c r="E1494" t="inlineStr">
        <is>
          <t>East Region</t>
        </is>
      </c>
      <c r="F1494" t="inlineStr">
        <is>
          <t>Rep_14</t>
        </is>
      </c>
      <c r="G1494" t="n">
        <v>10.79</v>
      </c>
      <c r="H1494" t="inlineStr">
        <is>
          <t>Demo Scheduled</t>
        </is>
      </c>
      <c r="I1494" t="inlineStr">
        <is>
          <t>Open</t>
        </is>
      </c>
      <c r="M1494">
        <f>VLOOKUP(H1494,'Stage Order'!$A$2:$B$8,2,FALSE)</f>
        <v/>
      </c>
      <c r="N1494">
        <f>IF(G1494&lt;=1,"1. Under 1 hour",IF(G1494&lt;=24,"2. 1-24 hours",IF(G1494&lt;=72,"3. 1-3 days","4. Over 3 days")))</f>
        <v/>
      </c>
      <c r="O1494">
        <f>TEXT(B1494,"YYYY-MM")</f>
        <v/>
      </c>
    </row>
    <row r="1495">
      <c r="A1495" t="inlineStr">
        <is>
          <t>LD-301493</t>
        </is>
      </c>
      <c r="B1495" t="inlineStr">
        <is>
          <t>2025-06-29 12:37:00</t>
        </is>
      </c>
      <c r="C1495" t="inlineStr">
        <is>
          <t>Cold Outreach</t>
        </is>
      </c>
      <c r="D1495" t="inlineStr">
        <is>
          <t>K-12 Math</t>
        </is>
      </c>
      <c r="E1495" t="inlineStr">
        <is>
          <t>South Region</t>
        </is>
      </c>
      <c r="F1495" t="inlineStr">
        <is>
          <t>Rep_02</t>
        </is>
      </c>
      <c r="G1495" t="n">
        <v>3.02</v>
      </c>
      <c r="H1495" t="inlineStr">
        <is>
          <t>Lead</t>
        </is>
      </c>
      <c r="I1495" t="inlineStr">
        <is>
          <t>Open</t>
        </is>
      </c>
      <c r="M1495">
        <f>VLOOKUP(H1495,'Stage Order'!$A$2:$B$8,2,FALSE)</f>
        <v/>
      </c>
      <c r="N1495">
        <f>IF(G1495&lt;=1,"1. Under 1 hour",IF(G1495&lt;=24,"2. 1-24 hours",IF(G1495&lt;=72,"3. 1-3 days","4. Over 3 days")))</f>
        <v/>
      </c>
      <c r="O1495">
        <f>TEXT(B1495,"YYYY-MM")</f>
        <v/>
      </c>
    </row>
    <row r="1496">
      <c r="A1496" t="inlineStr">
        <is>
          <t>LD-301494</t>
        </is>
      </c>
      <c r="B1496" t="inlineStr">
        <is>
          <t>2025-09-23 07:46:00</t>
        </is>
      </c>
      <c r="C1496" t="inlineStr">
        <is>
          <t>Referral</t>
        </is>
      </c>
      <c r="D1496" t="inlineStr">
        <is>
          <t>Competitive Exam Prep</t>
        </is>
      </c>
      <c r="E1496" t="inlineStr">
        <is>
          <t>South Region</t>
        </is>
      </c>
      <c r="F1496" t="inlineStr">
        <is>
          <t>Rep_12</t>
        </is>
      </c>
      <c r="G1496" t="n">
        <v>3.68</v>
      </c>
      <c r="H1496" t="inlineStr">
        <is>
          <t>Contacted</t>
        </is>
      </c>
      <c r="I1496" t="inlineStr">
        <is>
          <t>Open</t>
        </is>
      </c>
      <c r="M1496">
        <f>VLOOKUP(H1496,'Stage Order'!$A$2:$B$8,2,FALSE)</f>
        <v/>
      </c>
      <c r="N1496">
        <f>IF(G1496&lt;=1,"1. Under 1 hour",IF(G1496&lt;=24,"2. 1-24 hours",IF(G1496&lt;=72,"3. 1-3 days","4. Over 3 days")))</f>
        <v/>
      </c>
      <c r="O1496">
        <f>TEXT(B1496,"YYYY-MM")</f>
        <v/>
      </c>
    </row>
    <row r="1497">
      <c r="A1497" t="inlineStr">
        <is>
          <t>LD-301495</t>
        </is>
      </c>
      <c r="B1497" t="inlineStr">
        <is>
          <t>2025-03-04 11:33:00</t>
        </is>
      </c>
      <c r="C1497" t="inlineStr">
        <is>
          <t>Paid Search</t>
        </is>
      </c>
      <c r="D1497" t="inlineStr">
        <is>
          <t>Coding for Kids</t>
        </is>
      </c>
      <c r="E1497" t="inlineStr">
        <is>
          <t>North Region</t>
        </is>
      </c>
      <c r="F1497" t="inlineStr">
        <is>
          <t>Rep_11</t>
        </is>
      </c>
      <c r="G1497" t="n">
        <v>3.55</v>
      </c>
      <c r="H1497" t="inlineStr">
        <is>
          <t>Contacted</t>
        </is>
      </c>
      <c r="I1497" t="inlineStr">
        <is>
          <t>Open</t>
        </is>
      </c>
      <c r="M1497">
        <f>VLOOKUP(H1497,'Stage Order'!$A$2:$B$8,2,FALSE)</f>
        <v/>
      </c>
      <c r="N1497">
        <f>IF(G1497&lt;=1,"1. Under 1 hour",IF(G1497&lt;=24,"2. 1-24 hours",IF(G1497&lt;=72,"3. 1-3 days","4. Over 3 days")))</f>
        <v/>
      </c>
      <c r="O1497">
        <f>TEXT(B1497,"YYYY-MM")</f>
        <v/>
      </c>
    </row>
    <row r="1498">
      <c r="A1498" t="inlineStr">
        <is>
          <t>LD-301496</t>
        </is>
      </c>
      <c r="B1498" t="inlineStr">
        <is>
          <t>2026-04-06 16:06:00</t>
        </is>
      </c>
      <c r="C1498" t="inlineStr">
        <is>
          <t>Cold Outreach</t>
        </is>
      </c>
      <c r="D1498" t="inlineStr">
        <is>
          <t>Language Learning</t>
        </is>
      </c>
      <c r="E1498" t="inlineStr">
        <is>
          <t>South Region</t>
        </is>
      </c>
      <c r="F1498" t="inlineStr">
        <is>
          <t>Rep_02</t>
        </is>
      </c>
      <c r="G1498" t="n">
        <v>1.78</v>
      </c>
      <c r="H1498" t="inlineStr">
        <is>
          <t>Contacted</t>
        </is>
      </c>
      <c r="I1498" t="inlineStr">
        <is>
          <t>Open</t>
        </is>
      </c>
      <c r="M1498">
        <f>VLOOKUP(H1498,'Stage Order'!$A$2:$B$8,2,FALSE)</f>
        <v/>
      </c>
      <c r="N1498">
        <f>IF(G1498&lt;=1,"1. Under 1 hour",IF(G1498&lt;=24,"2. 1-24 hours",IF(G1498&lt;=72,"3. 1-3 days","4. Over 3 days")))</f>
        <v/>
      </c>
      <c r="O1498">
        <f>TEXT(B1498,"YYYY-MM")</f>
        <v/>
      </c>
    </row>
    <row r="1499">
      <c r="A1499" t="inlineStr">
        <is>
          <t>LD-301497</t>
        </is>
      </c>
      <c r="B1499" t="inlineStr">
        <is>
          <t>2025-05-07 13:41:00</t>
        </is>
      </c>
      <c r="C1499" t="inlineStr">
        <is>
          <t>Cold Outreach</t>
        </is>
      </c>
      <c r="D1499" t="inlineStr">
        <is>
          <t>Coding for Kids</t>
        </is>
      </c>
      <c r="E1499" t="inlineStr">
        <is>
          <t>North Region</t>
        </is>
      </c>
      <c r="F1499" t="inlineStr">
        <is>
          <t>Rep_01</t>
        </is>
      </c>
      <c r="G1499" t="n">
        <v>2.33</v>
      </c>
      <c r="H1499" t="inlineStr">
        <is>
          <t>Lead</t>
        </is>
      </c>
      <c r="I1499" t="inlineStr">
        <is>
          <t>Open</t>
        </is>
      </c>
      <c r="M1499">
        <f>VLOOKUP(H1499,'Stage Order'!$A$2:$B$8,2,FALSE)</f>
        <v/>
      </c>
      <c r="N1499">
        <f>IF(G1499&lt;=1,"1. Under 1 hour",IF(G1499&lt;=24,"2. 1-24 hours",IF(G1499&lt;=72,"3. 1-3 days","4. Over 3 days")))</f>
        <v/>
      </c>
      <c r="O1499">
        <f>TEXT(B1499,"YYYY-MM")</f>
        <v/>
      </c>
    </row>
    <row r="1500">
      <c r="A1500" t="inlineStr">
        <is>
          <t>LD-301498</t>
        </is>
      </c>
      <c r="B1500" t="inlineStr">
        <is>
          <t>2025-05-07 13:19:00</t>
        </is>
      </c>
      <c r="C1500" t="inlineStr">
        <is>
          <t>Organic Search</t>
        </is>
      </c>
      <c r="D1500" t="inlineStr">
        <is>
          <t>K-12 Math</t>
        </is>
      </c>
      <c r="E1500" t="inlineStr">
        <is>
          <t>International</t>
        </is>
      </c>
      <c r="F1500" t="inlineStr">
        <is>
          <t>Rep_15</t>
        </is>
      </c>
      <c r="G1500" t="n">
        <v>31.4</v>
      </c>
      <c r="H1500" t="inlineStr">
        <is>
          <t>Proposal Sent</t>
        </is>
      </c>
      <c r="I1500" t="inlineStr">
        <is>
          <t>Lost</t>
        </is>
      </c>
      <c r="J1500" t="inlineStr">
        <is>
          <t>No Response / Ghosted</t>
        </is>
      </c>
      <c r="K1500" t="n">
        <v>499.5</v>
      </c>
      <c r="L1500" t="inlineStr">
        <is>
          <t>2025-07-02 08:35:02.175885</t>
        </is>
      </c>
      <c r="M1500">
        <f>VLOOKUP(H1500,'Stage Order'!$A$2:$B$8,2,FALSE)</f>
        <v/>
      </c>
      <c r="N1500">
        <f>IF(G1500&lt;=1,"1. Under 1 hour",IF(G1500&lt;=24,"2. 1-24 hours",IF(G1500&lt;=72,"3. 1-3 days","4. Over 3 days")))</f>
        <v/>
      </c>
      <c r="O1500">
        <f>TEXT(B1500,"YYYY-MM")</f>
        <v/>
      </c>
    </row>
    <row r="1501">
      <c r="A1501" t="inlineStr">
        <is>
          <t>LD-301499</t>
        </is>
      </c>
      <c r="B1501" t="inlineStr">
        <is>
          <t>2026-04-13 17:36:00</t>
        </is>
      </c>
      <c r="C1501" t="inlineStr">
        <is>
          <t>Organic Search</t>
        </is>
      </c>
      <c r="D1501" t="inlineStr">
        <is>
          <t>Coding for Kids</t>
        </is>
      </c>
      <c r="E1501" t="inlineStr">
        <is>
          <t>East Region</t>
        </is>
      </c>
      <c r="F1501" t="inlineStr">
        <is>
          <t>Rep_14</t>
        </is>
      </c>
      <c r="G1501" t="n">
        <v>4.82</v>
      </c>
      <c r="H1501" t="inlineStr">
        <is>
          <t>Demo Completed</t>
        </is>
      </c>
      <c r="I1501" t="inlineStr">
        <is>
          <t>Lost</t>
        </is>
      </c>
      <c r="J1501" t="inlineStr">
        <is>
          <t>Price Objection</t>
        </is>
      </c>
      <c r="K1501" t="n">
        <v>700.76</v>
      </c>
      <c r="L1501" t="inlineStr">
        <is>
          <t>2026-05-20 17:29:42.040891</t>
        </is>
      </c>
      <c r="M1501">
        <f>VLOOKUP(H1501,'Stage Order'!$A$2:$B$8,2,FALSE)</f>
        <v/>
      </c>
      <c r="N1501">
        <f>IF(G1501&lt;=1,"1. Under 1 hour",IF(G1501&lt;=24,"2. 1-24 hours",IF(G1501&lt;=72,"3. 1-3 days","4. Over 3 days")))</f>
        <v/>
      </c>
      <c r="O1501">
        <f>TEXT(B1501,"YYYY-MM")</f>
        <v/>
      </c>
    </row>
    <row r="1502">
      <c r="A1502" t="inlineStr">
        <is>
          <t>LD-301500</t>
        </is>
      </c>
      <c r="B1502" t="inlineStr">
        <is>
          <t>2026-06-26 11:44:00</t>
        </is>
      </c>
      <c r="C1502" t="inlineStr">
        <is>
          <t>Organic Search</t>
        </is>
      </c>
      <c r="D1502" t="inlineStr">
        <is>
          <t>K-12 Math</t>
        </is>
      </c>
      <c r="E1502" t="inlineStr">
        <is>
          <t>South Region</t>
        </is>
      </c>
      <c r="F1502" t="inlineStr">
        <is>
          <t>Rep_07</t>
        </is>
      </c>
      <c r="G1502" t="n">
        <v>2.41</v>
      </c>
      <c r="H1502" t="inlineStr">
        <is>
          <t>Contacted</t>
        </is>
      </c>
      <c r="I1502" t="inlineStr">
        <is>
          <t>Open</t>
        </is>
      </c>
      <c r="M1502">
        <f>VLOOKUP(H1502,'Stage Order'!$A$2:$B$8,2,FALSE)</f>
        <v/>
      </c>
      <c r="N1502">
        <f>IF(G1502&lt;=1,"1. Under 1 hour",IF(G1502&lt;=24,"2. 1-24 hours",IF(G1502&lt;=72,"3. 1-3 days","4. Over 3 days")))</f>
        <v/>
      </c>
      <c r="O1502">
        <f>TEXT(B1502,"YYYY-MM")</f>
        <v/>
      </c>
    </row>
    <row r="1503">
      <c r="A1503" t="inlineStr">
        <is>
          <t>LD-301501</t>
        </is>
      </c>
      <c r="B1503" t="inlineStr">
        <is>
          <t>2025-05-23 12:40:00</t>
        </is>
      </c>
      <c r="C1503" t="inlineStr">
        <is>
          <t>Partner Channel</t>
        </is>
      </c>
      <c r="D1503" t="inlineStr">
        <is>
          <t>Competitive Exam Prep</t>
        </is>
      </c>
      <c r="E1503" t="inlineStr">
        <is>
          <t>East Region</t>
        </is>
      </c>
      <c r="F1503" t="inlineStr">
        <is>
          <t>Rep_04</t>
        </is>
      </c>
      <c r="G1503" t="n">
        <v>1.17</v>
      </c>
      <c r="H1503" t="inlineStr">
        <is>
          <t>Contacted</t>
        </is>
      </c>
      <c r="I1503" t="inlineStr">
        <is>
          <t>Open</t>
        </is>
      </c>
      <c r="M1503">
        <f>VLOOKUP(H1503,'Stage Order'!$A$2:$B$8,2,FALSE)</f>
        <v/>
      </c>
      <c r="N1503">
        <f>IF(G1503&lt;=1,"1. Under 1 hour",IF(G1503&lt;=24,"2. 1-24 hours",IF(G1503&lt;=72,"3. 1-3 days","4. Over 3 days")))</f>
        <v/>
      </c>
      <c r="O1503">
        <f>TEXT(B1503,"YYYY-MM")</f>
        <v/>
      </c>
    </row>
    <row r="1504">
      <c r="A1504" t="inlineStr">
        <is>
          <t>LD-301502</t>
        </is>
      </c>
      <c r="B1504" t="inlineStr">
        <is>
          <t>2025-10-31 18:06:00</t>
        </is>
      </c>
      <c r="C1504" t="inlineStr">
        <is>
          <t>Referral</t>
        </is>
      </c>
      <c r="D1504" t="inlineStr">
        <is>
          <t>Study Abroad Prep</t>
        </is>
      </c>
      <c r="E1504" t="inlineStr">
        <is>
          <t>North Region</t>
        </is>
      </c>
      <c r="F1504" t="inlineStr">
        <is>
          <t>Rep_11</t>
        </is>
      </c>
      <c r="G1504" t="n">
        <v>0.62</v>
      </c>
      <c r="H1504" t="inlineStr">
        <is>
          <t>Closed</t>
        </is>
      </c>
      <c r="I1504" t="inlineStr">
        <is>
          <t>Won</t>
        </is>
      </c>
      <c r="K1504" t="n">
        <v>1502.9</v>
      </c>
      <c r="L1504" t="inlineStr">
        <is>
          <t>2025-12-13 09:21:56.434781</t>
        </is>
      </c>
      <c r="M1504">
        <f>VLOOKUP(H1504,'Stage Order'!$A$2:$B$8,2,FALSE)</f>
        <v/>
      </c>
      <c r="N1504">
        <f>IF(G1504&lt;=1,"1. Under 1 hour",IF(G1504&lt;=24,"2. 1-24 hours",IF(G1504&lt;=72,"3. 1-3 days","4. Over 3 days")))</f>
        <v/>
      </c>
      <c r="O1504">
        <f>TEXT(B1504,"YYYY-MM")</f>
        <v/>
      </c>
    </row>
    <row r="1505">
      <c r="A1505" t="inlineStr">
        <is>
          <t>LD-301503</t>
        </is>
      </c>
      <c r="B1505" t="inlineStr">
        <is>
          <t>2025-05-27 13:06:00</t>
        </is>
      </c>
      <c r="C1505" t="inlineStr">
        <is>
          <t>Webinar</t>
        </is>
      </c>
      <c r="D1505" t="inlineStr">
        <is>
          <t>K-12 Math</t>
        </is>
      </c>
      <c r="E1505" t="inlineStr">
        <is>
          <t>North Region</t>
        </is>
      </c>
      <c r="F1505" t="inlineStr">
        <is>
          <t>Rep_11</t>
        </is>
      </c>
      <c r="G1505" t="n">
        <v>0.48</v>
      </c>
      <c r="H1505" t="inlineStr">
        <is>
          <t>Closed</t>
        </is>
      </c>
      <c r="I1505" t="inlineStr">
        <is>
          <t>Won</t>
        </is>
      </c>
      <c r="K1505" t="n">
        <v>450.09</v>
      </c>
      <c r="L1505" t="inlineStr">
        <is>
          <t>2025-07-06 21:01:44.567141</t>
        </is>
      </c>
      <c r="M1505">
        <f>VLOOKUP(H1505,'Stage Order'!$A$2:$B$8,2,FALSE)</f>
        <v/>
      </c>
      <c r="N1505">
        <f>IF(G1505&lt;=1,"1. Under 1 hour",IF(G1505&lt;=24,"2. 1-24 hours",IF(G1505&lt;=72,"3. 1-3 days","4. Over 3 days")))</f>
        <v/>
      </c>
      <c r="O1505">
        <f>TEXT(B1505,"YYYY-MM")</f>
        <v/>
      </c>
    </row>
    <row r="1506">
      <c r="A1506" t="inlineStr">
        <is>
          <t>LD-301504</t>
        </is>
      </c>
      <c r="B1506" t="inlineStr">
        <is>
          <t>2025-04-25 11:27:00</t>
        </is>
      </c>
      <c r="C1506" t="inlineStr">
        <is>
          <t>Referral</t>
        </is>
      </c>
      <c r="D1506" t="inlineStr">
        <is>
          <t>Coding for Kids</t>
        </is>
      </c>
      <c r="E1506" t="inlineStr">
        <is>
          <t>South Region</t>
        </is>
      </c>
      <c r="F1506" t="inlineStr">
        <is>
          <t>Rep_07</t>
        </is>
      </c>
      <c r="G1506" t="n">
        <v>3.38</v>
      </c>
      <c r="H1506" t="inlineStr">
        <is>
          <t>Contacted</t>
        </is>
      </c>
      <c r="I1506" t="inlineStr">
        <is>
          <t>Open</t>
        </is>
      </c>
      <c r="M1506">
        <f>VLOOKUP(H1506,'Stage Order'!$A$2:$B$8,2,FALSE)</f>
        <v/>
      </c>
      <c r="N1506">
        <f>IF(G1506&lt;=1,"1. Under 1 hour",IF(G1506&lt;=24,"2. 1-24 hours",IF(G1506&lt;=72,"3. 1-3 days","4. Over 3 days")))</f>
        <v/>
      </c>
      <c r="O1506">
        <f>TEXT(B1506,"YYYY-MM")</f>
        <v/>
      </c>
    </row>
    <row r="1507">
      <c r="A1507" t="inlineStr">
        <is>
          <t>LD-301505</t>
        </is>
      </c>
      <c r="B1507" t="inlineStr">
        <is>
          <t>2025-02-10 19:59:00</t>
        </is>
      </c>
      <c r="C1507" t="inlineStr">
        <is>
          <t>Social Media</t>
        </is>
      </c>
      <c r="D1507" t="inlineStr">
        <is>
          <t>Competitive Exam Prep</t>
        </is>
      </c>
      <c r="E1507" t="inlineStr">
        <is>
          <t>North Region</t>
        </is>
      </c>
      <c r="F1507" t="inlineStr">
        <is>
          <t>Rep_11</t>
        </is>
      </c>
      <c r="G1507" t="n">
        <v>19.26</v>
      </c>
      <c r="H1507" t="inlineStr">
        <is>
          <t>Demo Completed</t>
        </is>
      </c>
      <c r="I1507" t="inlineStr">
        <is>
          <t>Lost</t>
        </is>
      </c>
      <c r="J1507" t="inlineStr">
        <is>
          <t>Price Objection</t>
        </is>
      </c>
      <c r="K1507" t="n">
        <v>1141.71</v>
      </c>
      <c r="L1507" t="inlineStr">
        <is>
          <t>2025-03-12 21:25:49.082119</t>
        </is>
      </c>
      <c r="M1507">
        <f>VLOOKUP(H1507,'Stage Order'!$A$2:$B$8,2,FALSE)</f>
        <v/>
      </c>
      <c r="N1507">
        <f>IF(G1507&lt;=1,"1. Under 1 hour",IF(G1507&lt;=24,"2. 1-24 hours",IF(G1507&lt;=72,"3. 1-3 days","4. Over 3 days")))</f>
        <v/>
      </c>
      <c r="O1507">
        <f>TEXT(B1507,"YYYY-MM")</f>
        <v/>
      </c>
    </row>
    <row r="1508">
      <c r="A1508" t="inlineStr">
        <is>
          <t>LD-301506</t>
        </is>
      </c>
      <c r="B1508" t="inlineStr">
        <is>
          <t>2025-01-13 07:46:00</t>
        </is>
      </c>
      <c r="C1508" t="inlineStr">
        <is>
          <t>Organic Search</t>
        </is>
      </c>
      <c r="D1508" t="inlineStr">
        <is>
          <t>Language Learning</t>
        </is>
      </c>
      <c r="E1508" t="inlineStr">
        <is>
          <t>West Region</t>
        </is>
      </c>
      <c r="F1508" t="inlineStr">
        <is>
          <t>Rep_13</t>
        </is>
      </c>
      <c r="G1508" t="n">
        <v>4.97</v>
      </c>
      <c r="H1508" t="inlineStr">
        <is>
          <t>Contacted</t>
        </is>
      </c>
      <c r="I1508" t="inlineStr">
        <is>
          <t>Open</t>
        </is>
      </c>
      <c r="M1508">
        <f>VLOOKUP(H1508,'Stage Order'!$A$2:$B$8,2,FALSE)</f>
        <v/>
      </c>
      <c r="N1508">
        <f>IF(G1508&lt;=1,"1. Under 1 hour",IF(G1508&lt;=24,"2. 1-24 hours",IF(G1508&lt;=72,"3. 1-3 days","4. Over 3 days")))</f>
        <v/>
      </c>
      <c r="O1508">
        <f>TEXT(B1508,"YYYY-MM")</f>
        <v/>
      </c>
    </row>
    <row r="1509">
      <c r="A1509" t="inlineStr">
        <is>
          <t>LD-301507</t>
        </is>
      </c>
      <c r="B1509" t="inlineStr">
        <is>
          <t>2026-05-03 07:37:00</t>
        </is>
      </c>
      <c r="C1509" t="inlineStr">
        <is>
          <t>Cold Outreach</t>
        </is>
      </c>
      <c r="D1509" t="inlineStr">
        <is>
          <t>K-12 Math</t>
        </is>
      </c>
      <c r="E1509" t="inlineStr">
        <is>
          <t>West Region</t>
        </is>
      </c>
      <c r="F1509" t="inlineStr">
        <is>
          <t>Rep_13</t>
        </is>
      </c>
      <c r="G1509" t="n">
        <v>7.15</v>
      </c>
      <c r="H1509" t="inlineStr">
        <is>
          <t>Contacted</t>
        </is>
      </c>
      <c r="I1509" t="inlineStr">
        <is>
          <t>Open</t>
        </is>
      </c>
      <c r="M1509">
        <f>VLOOKUP(H1509,'Stage Order'!$A$2:$B$8,2,FALSE)</f>
        <v/>
      </c>
      <c r="N1509">
        <f>IF(G1509&lt;=1,"1. Under 1 hour",IF(G1509&lt;=24,"2. 1-24 hours",IF(G1509&lt;=72,"3. 1-3 days","4. Over 3 days")))</f>
        <v/>
      </c>
      <c r="O1509">
        <f>TEXT(B1509,"YYYY-MM")</f>
        <v/>
      </c>
    </row>
    <row r="1510">
      <c r="A1510" t="inlineStr">
        <is>
          <t>LD-301508</t>
        </is>
      </c>
      <c r="B1510" t="inlineStr">
        <is>
          <t>2026-06-25 07:58:00</t>
        </is>
      </c>
      <c r="C1510" t="inlineStr">
        <is>
          <t>Cold Outreach</t>
        </is>
      </c>
      <c r="D1510" t="inlineStr">
        <is>
          <t>Language Learning</t>
        </is>
      </c>
      <c r="E1510" t="inlineStr">
        <is>
          <t>International</t>
        </is>
      </c>
      <c r="F1510" t="inlineStr">
        <is>
          <t>Rep_10</t>
        </is>
      </c>
      <c r="G1510" t="n">
        <v>23.27</v>
      </c>
      <c r="H1510" t="inlineStr">
        <is>
          <t>Contacted</t>
        </is>
      </c>
      <c r="I1510" t="inlineStr">
        <is>
          <t>Open</t>
        </is>
      </c>
      <c r="M1510">
        <f>VLOOKUP(H1510,'Stage Order'!$A$2:$B$8,2,FALSE)</f>
        <v/>
      </c>
      <c r="N1510">
        <f>IF(G1510&lt;=1,"1. Under 1 hour",IF(G1510&lt;=24,"2. 1-24 hours",IF(G1510&lt;=72,"3. 1-3 days","4. Over 3 days")))</f>
        <v/>
      </c>
      <c r="O1510">
        <f>TEXT(B1510,"YYYY-MM")</f>
        <v/>
      </c>
    </row>
    <row r="1511">
      <c r="A1511" t="inlineStr">
        <is>
          <t>LD-301509</t>
        </is>
      </c>
      <c r="B1511" t="inlineStr">
        <is>
          <t>2025-06-27 14:22:00</t>
        </is>
      </c>
      <c r="C1511" t="inlineStr">
        <is>
          <t>Referral</t>
        </is>
      </c>
      <c r="D1511" t="inlineStr">
        <is>
          <t>Coding for Kids</t>
        </is>
      </c>
      <c r="E1511" t="inlineStr">
        <is>
          <t>North Region</t>
        </is>
      </c>
      <c r="F1511" t="inlineStr">
        <is>
          <t>Rep_06</t>
        </is>
      </c>
      <c r="G1511" t="n">
        <v>1.24</v>
      </c>
      <c r="H1511" t="inlineStr">
        <is>
          <t>Proposal Sent</t>
        </is>
      </c>
      <c r="I1511" t="inlineStr">
        <is>
          <t>Lost</t>
        </is>
      </c>
      <c r="J1511" t="inlineStr">
        <is>
          <t>Price Objection</t>
        </is>
      </c>
      <c r="K1511" t="n">
        <v>625.47</v>
      </c>
      <c r="L1511" t="inlineStr">
        <is>
          <t>2025-07-31 05:59:41.167681</t>
        </is>
      </c>
      <c r="M1511">
        <f>VLOOKUP(H1511,'Stage Order'!$A$2:$B$8,2,FALSE)</f>
        <v/>
      </c>
      <c r="N1511">
        <f>IF(G1511&lt;=1,"1. Under 1 hour",IF(G1511&lt;=24,"2. 1-24 hours",IF(G1511&lt;=72,"3. 1-3 days","4. Over 3 days")))</f>
        <v/>
      </c>
      <c r="O1511">
        <f>TEXT(B1511,"YYYY-MM")</f>
        <v/>
      </c>
    </row>
    <row r="1512">
      <c r="A1512" t="inlineStr">
        <is>
          <t>LD-301510</t>
        </is>
      </c>
      <c r="B1512" t="inlineStr">
        <is>
          <t>2026-02-06 11:35:00</t>
        </is>
      </c>
      <c r="C1512" t="inlineStr">
        <is>
          <t>Webinar</t>
        </is>
      </c>
      <c r="D1512" t="inlineStr">
        <is>
          <t>Competitive Exam Prep</t>
        </is>
      </c>
      <c r="E1512" t="inlineStr">
        <is>
          <t>North Region</t>
        </is>
      </c>
      <c r="F1512" t="inlineStr">
        <is>
          <t>Rep_01</t>
        </is>
      </c>
      <c r="G1512" t="n">
        <v>5.26</v>
      </c>
      <c r="H1512" t="inlineStr">
        <is>
          <t>Proposal Sent</t>
        </is>
      </c>
      <c r="I1512" t="inlineStr">
        <is>
          <t>Lost</t>
        </is>
      </c>
      <c r="J1512" t="inlineStr">
        <is>
          <t>Bad Timing</t>
        </is>
      </c>
      <c r="K1512" t="n">
        <v>931.02</v>
      </c>
      <c r="L1512" t="inlineStr">
        <is>
          <t>2026-03-17 20:16:19.969513</t>
        </is>
      </c>
      <c r="M1512">
        <f>VLOOKUP(H1512,'Stage Order'!$A$2:$B$8,2,FALSE)</f>
        <v/>
      </c>
      <c r="N1512">
        <f>IF(G1512&lt;=1,"1. Under 1 hour",IF(G1512&lt;=24,"2. 1-24 hours",IF(G1512&lt;=72,"3. 1-3 days","4. Over 3 days")))</f>
        <v/>
      </c>
      <c r="O1512">
        <f>TEXT(B1512,"YYYY-MM")</f>
        <v/>
      </c>
    </row>
    <row r="1513">
      <c r="A1513" t="inlineStr">
        <is>
          <t>LD-301511</t>
        </is>
      </c>
      <c r="B1513" t="inlineStr">
        <is>
          <t>2025-04-04 09:32:00</t>
        </is>
      </c>
      <c r="C1513" t="inlineStr">
        <is>
          <t>Social Media</t>
        </is>
      </c>
      <c r="D1513" t="inlineStr">
        <is>
          <t>Coding for Kids</t>
        </is>
      </c>
      <c r="E1513" t="inlineStr">
        <is>
          <t>South Region</t>
        </is>
      </c>
      <c r="F1513" t="inlineStr">
        <is>
          <t>Rep_07</t>
        </is>
      </c>
      <c r="G1513" t="n">
        <v>5.36</v>
      </c>
      <c r="H1513" t="inlineStr">
        <is>
          <t>Contacted</t>
        </is>
      </c>
      <c r="I1513" t="inlineStr">
        <is>
          <t>Open</t>
        </is>
      </c>
      <c r="M1513">
        <f>VLOOKUP(H1513,'Stage Order'!$A$2:$B$8,2,FALSE)</f>
        <v/>
      </c>
      <c r="N1513">
        <f>IF(G1513&lt;=1,"1. Under 1 hour",IF(G1513&lt;=24,"2. 1-24 hours",IF(G1513&lt;=72,"3. 1-3 days","4. Over 3 days")))</f>
        <v/>
      </c>
      <c r="O1513">
        <f>TEXT(B1513,"YYYY-MM")</f>
        <v/>
      </c>
    </row>
    <row r="1514">
      <c r="A1514" t="inlineStr">
        <is>
          <t>LD-301512</t>
        </is>
      </c>
      <c r="B1514" t="inlineStr">
        <is>
          <t>2025-03-20 20:41:00</t>
        </is>
      </c>
      <c r="C1514" t="inlineStr">
        <is>
          <t>Organic Search</t>
        </is>
      </c>
      <c r="D1514" t="inlineStr">
        <is>
          <t>Competitive Exam Prep</t>
        </is>
      </c>
      <c r="E1514" t="inlineStr">
        <is>
          <t>South Region</t>
        </is>
      </c>
      <c r="F1514" t="inlineStr">
        <is>
          <t>Rep_12</t>
        </is>
      </c>
      <c r="G1514" t="n">
        <v>6.03</v>
      </c>
      <c r="H1514" t="inlineStr">
        <is>
          <t>Contacted</t>
        </is>
      </c>
      <c r="I1514" t="inlineStr">
        <is>
          <t>Open</t>
        </is>
      </c>
      <c r="M1514">
        <f>VLOOKUP(H1514,'Stage Order'!$A$2:$B$8,2,FALSE)</f>
        <v/>
      </c>
      <c r="N1514">
        <f>IF(G1514&lt;=1,"1. Under 1 hour",IF(G1514&lt;=24,"2. 1-24 hours",IF(G1514&lt;=72,"3. 1-3 days","4. Over 3 days")))</f>
        <v/>
      </c>
      <c r="O1514">
        <f>TEXT(B1514,"YYYY-MM")</f>
        <v/>
      </c>
    </row>
    <row r="1515">
      <c r="A1515" t="inlineStr">
        <is>
          <t>LD-301513</t>
        </is>
      </c>
      <c r="B1515" t="inlineStr">
        <is>
          <t>2025-10-02 12:07:00</t>
        </is>
      </c>
      <c r="C1515" t="inlineStr">
        <is>
          <t>Referral</t>
        </is>
      </c>
      <c r="D1515" t="inlineStr">
        <is>
          <t>Competitive Exam Prep</t>
        </is>
      </c>
      <c r="E1515" t="inlineStr">
        <is>
          <t>West Region</t>
        </is>
      </c>
      <c r="F1515" t="inlineStr">
        <is>
          <t>Rep_13</t>
        </is>
      </c>
      <c r="G1515" t="n">
        <v>1.06</v>
      </c>
      <c r="H1515" t="inlineStr">
        <is>
          <t>Closed</t>
        </is>
      </c>
      <c r="I1515" t="inlineStr">
        <is>
          <t>Won</t>
        </is>
      </c>
      <c r="K1515" t="n">
        <v>1053.91</v>
      </c>
      <c r="L1515" t="inlineStr">
        <is>
          <t>2025-11-05 16:37:19.482085</t>
        </is>
      </c>
      <c r="M1515">
        <f>VLOOKUP(H1515,'Stage Order'!$A$2:$B$8,2,FALSE)</f>
        <v/>
      </c>
      <c r="N1515">
        <f>IF(G1515&lt;=1,"1. Under 1 hour",IF(G1515&lt;=24,"2. 1-24 hours",IF(G1515&lt;=72,"3. 1-3 days","4. Over 3 days")))</f>
        <v/>
      </c>
      <c r="O1515">
        <f>TEXT(B1515,"YYYY-MM")</f>
        <v/>
      </c>
    </row>
    <row r="1516">
      <c r="A1516" t="inlineStr">
        <is>
          <t>LD-301514</t>
        </is>
      </c>
      <c r="B1516" t="inlineStr">
        <is>
          <t>2026-02-27 15:50:00</t>
        </is>
      </c>
      <c r="C1516" t="inlineStr">
        <is>
          <t>Social Media</t>
        </is>
      </c>
      <c r="D1516" t="inlineStr">
        <is>
          <t>Language Learning</t>
        </is>
      </c>
      <c r="E1516" t="inlineStr">
        <is>
          <t>South Region</t>
        </is>
      </c>
      <c r="F1516" t="inlineStr">
        <is>
          <t>Rep_12</t>
        </is>
      </c>
      <c r="G1516" t="n">
        <v>1.6</v>
      </c>
      <c r="H1516" t="inlineStr">
        <is>
          <t>Contacted</t>
        </is>
      </c>
      <c r="I1516" t="inlineStr">
        <is>
          <t>Open</t>
        </is>
      </c>
      <c r="M1516">
        <f>VLOOKUP(H1516,'Stage Order'!$A$2:$B$8,2,FALSE)</f>
        <v/>
      </c>
      <c r="N1516">
        <f>IF(G1516&lt;=1,"1. Under 1 hour",IF(G1516&lt;=24,"2. 1-24 hours",IF(G1516&lt;=72,"3. 1-3 days","4. Over 3 days")))</f>
        <v/>
      </c>
      <c r="O1516">
        <f>TEXT(B1516,"YYYY-MM")</f>
        <v/>
      </c>
    </row>
    <row r="1517">
      <c r="A1517" t="inlineStr">
        <is>
          <t>LD-301515</t>
        </is>
      </c>
      <c r="B1517" t="inlineStr">
        <is>
          <t>2026-02-15 18:23:00</t>
        </is>
      </c>
      <c r="C1517" t="inlineStr">
        <is>
          <t>Referral</t>
        </is>
      </c>
      <c r="D1517" t="inlineStr">
        <is>
          <t>Study Abroad Prep</t>
        </is>
      </c>
      <c r="E1517" t="inlineStr">
        <is>
          <t>West Region</t>
        </is>
      </c>
      <c r="F1517" t="inlineStr">
        <is>
          <t>Rep_13</t>
        </is>
      </c>
      <c r="G1517" t="n">
        <v>1.67</v>
      </c>
      <c r="H1517" t="inlineStr">
        <is>
          <t>Closed</t>
        </is>
      </c>
      <c r="I1517" t="inlineStr">
        <is>
          <t>Won</t>
        </is>
      </c>
      <c r="K1517" t="n">
        <v>1190.68</v>
      </c>
      <c r="L1517" t="inlineStr">
        <is>
          <t>2026-04-12 05:10:51.020505</t>
        </is>
      </c>
      <c r="M1517">
        <f>VLOOKUP(H1517,'Stage Order'!$A$2:$B$8,2,FALSE)</f>
        <v/>
      </c>
      <c r="N1517">
        <f>IF(G1517&lt;=1,"1. Under 1 hour",IF(G1517&lt;=24,"2. 1-24 hours",IF(G1517&lt;=72,"3. 1-3 days","4. Over 3 days")))</f>
        <v/>
      </c>
      <c r="O1517">
        <f>TEXT(B1517,"YYYY-MM")</f>
        <v/>
      </c>
    </row>
    <row r="1518">
      <c r="A1518" t="inlineStr">
        <is>
          <t>LD-301516</t>
        </is>
      </c>
      <c r="B1518" t="inlineStr">
        <is>
          <t>2025-12-09 19:08:00</t>
        </is>
      </c>
      <c r="C1518" t="inlineStr">
        <is>
          <t>Organic Search</t>
        </is>
      </c>
      <c r="D1518" t="inlineStr">
        <is>
          <t>Language Learning</t>
        </is>
      </c>
      <c r="E1518" t="inlineStr">
        <is>
          <t>North Region</t>
        </is>
      </c>
      <c r="F1518" t="inlineStr">
        <is>
          <t>Rep_01</t>
        </is>
      </c>
      <c r="G1518" t="n">
        <v>4.67</v>
      </c>
      <c r="H1518" t="inlineStr">
        <is>
          <t>Contacted</t>
        </is>
      </c>
      <c r="I1518" t="inlineStr">
        <is>
          <t>Open</t>
        </is>
      </c>
      <c r="M1518">
        <f>VLOOKUP(H1518,'Stage Order'!$A$2:$B$8,2,FALSE)</f>
        <v/>
      </c>
      <c r="N1518">
        <f>IF(G1518&lt;=1,"1. Under 1 hour",IF(G1518&lt;=24,"2. 1-24 hours",IF(G1518&lt;=72,"3. 1-3 days","4. Over 3 days")))</f>
        <v/>
      </c>
      <c r="O1518">
        <f>TEXT(B1518,"YYYY-MM")</f>
        <v/>
      </c>
    </row>
    <row r="1519">
      <c r="A1519" t="inlineStr">
        <is>
          <t>LD-301517</t>
        </is>
      </c>
      <c r="B1519" t="inlineStr">
        <is>
          <t>2025-06-07 10:16:00</t>
        </is>
      </c>
      <c r="C1519" t="inlineStr">
        <is>
          <t>Cold Outreach</t>
        </is>
      </c>
      <c r="D1519" t="inlineStr">
        <is>
          <t>K-12 Math</t>
        </is>
      </c>
      <c r="E1519" t="inlineStr">
        <is>
          <t>International</t>
        </is>
      </c>
      <c r="F1519" t="inlineStr">
        <is>
          <t>Rep_10</t>
        </is>
      </c>
      <c r="G1519" t="n">
        <v>12.13</v>
      </c>
      <c r="H1519" t="inlineStr">
        <is>
          <t>Contacted</t>
        </is>
      </c>
      <c r="I1519" t="inlineStr">
        <is>
          <t>Open</t>
        </is>
      </c>
      <c r="M1519">
        <f>VLOOKUP(H1519,'Stage Order'!$A$2:$B$8,2,FALSE)</f>
        <v/>
      </c>
      <c r="N1519">
        <f>IF(G1519&lt;=1,"1. Under 1 hour",IF(G1519&lt;=24,"2. 1-24 hours",IF(G1519&lt;=72,"3. 1-3 days","4. Over 3 days")))</f>
        <v/>
      </c>
      <c r="O1519">
        <f>TEXT(B1519,"YYYY-MM")</f>
        <v/>
      </c>
    </row>
    <row r="1520">
      <c r="A1520" t="inlineStr">
        <is>
          <t>LD-301518</t>
        </is>
      </c>
      <c r="B1520" t="inlineStr">
        <is>
          <t>2025-05-24 15:32:00</t>
        </is>
      </c>
      <c r="C1520" t="inlineStr">
        <is>
          <t>Referral</t>
        </is>
      </c>
      <c r="D1520" t="inlineStr">
        <is>
          <t>Coding for Kids</t>
        </is>
      </c>
      <c r="E1520" t="inlineStr">
        <is>
          <t>International</t>
        </is>
      </c>
      <c r="F1520" t="inlineStr">
        <is>
          <t>Rep_05</t>
        </is>
      </c>
      <c r="G1520" t="n">
        <v>0.41</v>
      </c>
      <c r="H1520" t="inlineStr">
        <is>
          <t>Closed</t>
        </is>
      </c>
      <c r="I1520" t="inlineStr">
        <is>
          <t>Won</t>
        </is>
      </c>
      <c r="K1520" t="n">
        <v>744.9400000000001</v>
      </c>
      <c r="L1520" t="inlineStr">
        <is>
          <t>2025-07-01 12:08:13.458049</t>
        </is>
      </c>
      <c r="M1520">
        <f>VLOOKUP(H1520,'Stage Order'!$A$2:$B$8,2,FALSE)</f>
        <v/>
      </c>
      <c r="N1520">
        <f>IF(G1520&lt;=1,"1. Under 1 hour",IF(G1520&lt;=24,"2. 1-24 hours",IF(G1520&lt;=72,"3. 1-3 days","4. Over 3 days")))</f>
        <v/>
      </c>
      <c r="O1520">
        <f>TEXT(B1520,"YYYY-MM")</f>
        <v/>
      </c>
    </row>
    <row r="1521">
      <c r="A1521" t="inlineStr">
        <is>
          <t>LD-301519</t>
        </is>
      </c>
      <c r="B1521" t="inlineStr">
        <is>
          <t>2026-06-26 16:53:00</t>
        </is>
      </c>
      <c r="C1521" t="inlineStr">
        <is>
          <t>Social Media</t>
        </is>
      </c>
      <c r="D1521" t="inlineStr">
        <is>
          <t>Competitive Exam Prep</t>
        </is>
      </c>
      <c r="E1521" t="inlineStr">
        <is>
          <t>South Region</t>
        </is>
      </c>
      <c r="F1521" t="inlineStr">
        <is>
          <t>Rep_07</t>
        </is>
      </c>
      <c r="G1521" t="n">
        <v>1.03</v>
      </c>
      <c r="H1521" t="inlineStr">
        <is>
          <t>Lead</t>
        </is>
      </c>
      <c r="I1521" t="inlineStr">
        <is>
          <t>Open</t>
        </is>
      </c>
      <c r="M1521">
        <f>VLOOKUP(H1521,'Stage Order'!$A$2:$B$8,2,FALSE)</f>
        <v/>
      </c>
      <c r="N1521">
        <f>IF(G1521&lt;=1,"1. Under 1 hour",IF(G1521&lt;=24,"2. 1-24 hours",IF(G1521&lt;=72,"3. 1-3 days","4. Over 3 days")))</f>
        <v/>
      </c>
      <c r="O1521">
        <f>TEXT(B1521,"YYYY-MM")</f>
        <v/>
      </c>
    </row>
    <row r="1522">
      <c r="A1522" t="inlineStr">
        <is>
          <t>LD-301520</t>
        </is>
      </c>
      <c r="B1522" t="inlineStr">
        <is>
          <t>2026-02-20 14:25:00</t>
        </is>
      </c>
      <c r="C1522" t="inlineStr">
        <is>
          <t>Referral</t>
        </is>
      </c>
      <c r="D1522" t="inlineStr">
        <is>
          <t>Competitive Exam Prep</t>
        </is>
      </c>
      <c r="E1522" t="inlineStr">
        <is>
          <t>East Region</t>
        </is>
      </c>
      <c r="F1522" t="inlineStr">
        <is>
          <t>Rep_04</t>
        </is>
      </c>
      <c r="G1522" t="n">
        <v>3.46</v>
      </c>
      <c r="H1522" t="inlineStr">
        <is>
          <t>Contacted</t>
        </is>
      </c>
      <c r="I1522" t="inlineStr">
        <is>
          <t>Open</t>
        </is>
      </c>
      <c r="M1522">
        <f>VLOOKUP(H1522,'Stage Order'!$A$2:$B$8,2,FALSE)</f>
        <v/>
      </c>
      <c r="N1522">
        <f>IF(G1522&lt;=1,"1. Under 1 hour",IF(G1522&lt;=24,"2. 1-24 hours",IF(G1522&lt;=72,"3. 1-3 days","4. Over 3 days")))</f>
        <v/>
      </c>
      <c r="O1522">
        <f>TEXT(B1522,"YYYY-MM")</f>
        <v/>
      </c>
    </row>
    <row r="1523">
      <c r="A1523" t="inlineStr">
        <is>
          <t>LD-301521</t>
        </is>
      </c>
      <c r="B1523" t="inlineStr">
        <is>
          <t>2025-05-16 16:48:00</t>
        </is>
      </c>
      <c r="C1523" t="inlineStr">
        <is>
          <t>Cold Outreach</t>
        </is>
      </c>
      <c r="D1523" t="inlineStr">
        <is>
          <t>K-12 Math</t>
        </is>
      </c>
      <c r="E1523" t="inlineStr">
        <is>
          <t>West Region</t>
        </is>
      </c>
      <c r="F1523" t="inlineStr">
        <is>
          <t>Rep_03</t>
        </is>
      </c>
      <c r="G1523" t="n">
        <v>7.81</v>
      </c>
      <c r="H1523" t="inlineStr">
        <is>
          <t>Lead</t>
        </is>
      </c>
      <c r="I1523" t="inlineStr">
        <is>
          <t>Open</t>
        </is>
      </c>
      <c r="M1523">
        <f>VLOOKUP(H1523,'Stage Order'!$A$2:$B$8,2,FALSE)</f>
        <v/>
      </c>
      <c r="N1523">
        <f>IF(G1523&lt;=1,"1. Under 1 hour",IF(G1523&lt;=24,"2. 1-24 hours",IF(G1523&lt;=72,"3. 1-3 days","4. Over 3 days")))</f>
        <v/>
      </c>
      <c r="O1523">
        <f>TEXT(B1523,"YYYY-MM")</f>
        <v/>
      </c>
    </row>
    <row r="1524">
      <c r="A1524" t="inlineStr">
        <is>
          <t>LD-301522</t>
        </is>
      </c>
      <c r="B1524" t="inlineStr">
        <is>
          <t>2025-01-01 09:54:00</t>
        </is>
      </c>
      <c r="C1524" t="inlineStr">
        <is>
          <t>Paid Search</t>
        </is>
      </c>
      <c r="D1524" t="inlineStr">
        <is>
          <t>K-12 Math</t>
        </is>
      </c>
      <c r="E1524" t="inlineStr">
        <is>
          <t>West Region</t>
        </is>
      </c>
      <c r="F1524" t="inlineStr">
        <is>
          <t>Rep_03</t>
        </is>
      </c>
      <c r="G1524" t="n">
        <v>2.1</v>
      </c>
      <c r="H1524" t="inlineStr">
        <is>
          <t>Proposal Sent</t>
        </is>
      </c>
      <c r="I1524" t="inlineStr">
        <is>
          <t>Lost</t>
        </is>
      </c>
      <c r="J1524" t="inlineStr">
        <is>
          <t>Bad Timing</t>
        </is>
      </c>
      <c r="K1524" t="n">
        <v>563.8</v>
      </c>
      <c r="L1524" t="inlineStr">
        <is>
          <t>2025-02-12 10:49:58.553548</t>
        </is>
      </c>
      <c r="M1524">
        <f>VLOOKUP(H1524,'Stage Order'!$A$2:$B$8,2,FALSE)</f>
        <v/>
      </c>
      <c r="N1524">
        <f>IF(G1524&lt;=1,"1. Under 1 hour",IF(G1524&lt;=24,"2. 1-24 hours",IF(G1524&lt;=72,"3. 1-3 days","4. Over 3 days")))</f>
        <v/>
      </c>
      <c r="O1524">
        <f>TEXT(B1524,"YYYY-MM")</f>
        <v/>
      </c>
    </row>
    <row r="1525">
      <c r="A1525" t="inlineStr">
        <is>
          <t>LD-301523</t>
        </is>
      </c>
      <c r="B1525" t="inlineStr">
        <is>
          <t>2025-10-10 19:31:00</t>
        </is>
      </c>
      <c r="C1525" t="inlineStr">
        <is>
          <t>Partner Channel</t>
        </is>
      </c>
      <c r="D1525" t="inlineStr">
        <is>
          <t>K-12 Math</t>
        </is>
      </c>
      <c r="E1525" t="inlineStr">
        <is>
          <t>North Region</t>
        </is>
      </c>
      <c r="F1525" t="inlineStr">
        <is>
          <t>Rep_11</t>
        </is>
      </c>
      <c r="G1525" t="n">
        <v>3.42</v>
      </c>
      <c r="H1525" t="inlineStr">
        <is>
          <t>Contacted</t>
        </is>
      </c>
      <c r="I1525" t="inlineStr">
        <is>
          <t>Open</t>
        </is>
      </c>
      <c r="M1525">
        <f>VLOOKUP(H1525,'Stage Order'!$A$2:$B$8,2,FALSE)</f>
        <v/>
      </c>
      <c r="N1525">
        <f>IF(G1525&lt;=1,"1. Under 1 hour",IF(G1525&lt;=24,"2. 1-24 hours",IF(G1525&lt;=72,"3. 1-3 days","4. Over 3 days")))</f>
        <v/>
      </c>
      <c r="O1525">
        <f>TEXT(B1525,"YYYY-MM")</f>
        <v/>
      </c>
    </row>
    <row r="1526">
      <c r="A1526" t="inlineStr">
        <is>
          <t>LD-301524</t>
        </is>
      </c>
      <c r="B1526" t="inlineStr">
        <is>
          <t>2025-08-17 18:03:00</t>
        </is>
      </c>
      <c r="C1526" t="inlineStr">
        <is>
          <t>Partner Channel</t>
        </is>
      </c>
      <c r="D1526" t="inlineStr">
        <is>
          <t>Coding for Kids</t>
        </is>
      </c>
      <c r="E1526" t="inlineStr">
        <is>
          <t>North Region</t>
        </is>
      </c>
      <c r="F1526" t="inlineStr">
        <is>
          <t>Rep_01</t>
        </is>
      </c>
      <c r="G1526" t="n">
        <v>4.17</v>
      </c>
      <c r="H1526" t="inlineStr">
        <is>
          <t>Demo Completed</t>
        </is>
      </c>
      <c r="I1526" t="inlineStr">
        <is>
          <t>Lost</t>
        </is>
      </c>
      <c r="J1526" t="inlineStr">
        <is>
          <t>Budget Not Approved</t>
        </is>
      </c>
      <c r="K1526" t="n">
        <v>555.8200000000001</v>
      </c>
      <c r="L1526" t="inlineStr">
        <is>
          <t>2025-09-10 16:41:32.023697</t>
        </is>
      </c>
      <c r="M1526">
        <f>VLOOKUP(H1526,'Stage Order'!$A$2:$B$8,2,FALSE)</f>
        <v/>
      </c>
      <c r="N1526">
        <f>IF(G1526&lt;=1,"1. Under 1 hour",IF(G1526&lt;=24,"2. 1-24 hours",IF(G1526&lt;=72,"3. 1-3 days","4. Over 3 days")))</f>
        <v/>
      </c>
      <c r="O1526">
        <f>TEXT(B1526,"YYYY-MM")</f>
        <v/>
      </c>
    </row>
    <row r="1527">
      <c r="A1527" t="inlineStr">
        <is>
          <t>LD-301525</t>
        </is>
      </c>
      <c r="B1527" t="inlineStr">
        <is>
          <t>2026-02-10 11:19:00</t>
        </is>
      </c>
      <c r="C1527" t="inlineStr">
        <is>
          <t>Partner Channel</t>
        </is>
      </c>
      <c r="D1527" t="inlineStr">
        <is>
          <t>Language Learning</t>
        </is>
      </c>
      <c r="E1527" t="inlineStr">
        <is>
          <t>North Region</t>
        </is>
      </c>
      <c r="F1527" t="inlineStr">
        <is>
          <t>Rep_11</t>
        </is>
      </c>
      <c r="G1527" t="n">
        <v>7.9</v>
      </c>
      <c r="H1527" t="inlineStr">
        <is>
          <t>Closed</t>
        </is>
      </c>
      <c r="I1527" t="inlineStr">
        <is>
          <t>Won</t>
        </is>
      </c>
      <c r="K1527" t="n">
        <v>312.41</v>
      </c>
      <c r="L1527" t="inlineStr">
        <is>
          <t>2026-03-16 12:08:31.687056</t>
        </is>
      </c>
      <c r="M1527">
        <f>VLOOKUP(H1527,'Stage Order'!$A$2:$B$8,2,FALSE)</f>
        <v/>
      </c>
      <c r="N1527">
        <f>IF(G1527&lt;=1,"1. Under 1 hour",IF(G1527&lt;=24,"2. 1-24 hours",IF(G1527&lt;=72,"3. 1-3 days","4. Over 3 days")))</f>
        <v/>
      </c>
      <c r="O1527">
        <f>TEXT(B1527,"YYYY-MM")</f>
        <v/>
      </c>
    </row>
    <row r="1528">
      <c r="A1528" t="inlineStr">
        <is>
          <t>LD-301526</t>
        </is>
      </c>
      <c r="B1528" t="inlineStr">
        <is>
          <t>2025-05-02 20:38:00</t>
        </is>
      </c>
      <c r="C1528" t="inlineStr">
        <is>
          <t>Organic Search</t>
        </is>
      </c>
      <c r="D1528" t="inlineStr">
        <is>
          <t>Language Learning</t>
        </is>
      </c>
      <c r="E1528" t="inlineStr">
        <is>
          <t>North Region</t>
        </is>
      </c>
      <c r="F1528" t="inlineStr">
        <is>
          <t>Rep_11</t>
        </is>
      </c>
      <c r="G1528" t="n">
        <v>8.73</v>
      </c>
      <c r="H1528" t="inlineStr">
        <is>
          <t>Negotiation</t>
        </is>
      </c>
      <c r="I1528" t="inlineStr">
        <is>
          <t>Lost</t>
        </is>
      </c>
      <c r="J1528" t="inlineStr">
        <is>
          <t>Bad Timing</t>
        </is>
      </c>
      <c r="K1528" t="n">
        <v>365.61</v>
      </c>
      <c r="L1528" t="inlineStr">
        <is>
          <t>2025-06-11 08:09:42.834732</t>
        </is>
      </c>
      <c r="M1528">
        <f>VLOOKUP(H1528,'Stage Order'!$A$2:$B$8,2,FALSE)</f>
        <v/>
      </c>
      <c r="N1528">
        <f>IF(G1528&lt;=1,"1. Under 1 hour",IF(G1528&lt;=24,"2. 1-24 hours",IF(G1528&lt;=72,"3. 1-3 days","4. Over 3 days")))</f>
        <v/>
      </c>
      <c r="O1528">
        <f>TEXT(B1528,"YYYY-MM")</f>
        <v/>
      </c>
    </row>
    <row r="1529">
      <c r="A1529" t="inlineStr">
        <is>
          <t>LD-301527</t>
        </is>
      </c>
      <c r="B1529" t="inlineStr">
        <is>
          <t>2025-11-11 15:26:00</t>
        </is>
      </c>
      <c r="C1529" t="inlineStr">
        <is>
          <t>Social Media</t>
        </is>
      </c>
      <c r="D1529" t="inlineStr">
        <is>
          <t>Language Learning</t>
        </is>
      </c>
      <c r="E1529" t="inlineStr">
        <is>
          <t>North Region</t>
        </is>
      </c>
      <c r="F1529" t="inlineStr">
        <is>
          <t>Rep_11</t>
        </is>
      </c>
      <c r="G1529" t="n">
        <v>10.15</v>
      </c>
      <c r="H1529" t="inlineStr">
        <is>
          <t>Contacted</t>
        </is>
      </c>
      <c r="I1529" t="inlineStr">
        <is>
          <t>Open</t>
        </is>
      </c>
      <c r="M1529">
        <f>VLOOKUP(H1529,'Stage Order'!$A$2:$B$8,2,FALSE)</f>
        <v/>
      </c>
      <c r="N1529">
        <f>IF(G1529&lt;=1,"1. Under 1 hour",IF(G1529&lt;=24,"2. 1-24 hours",IF(G1529&lt;=72,"3. 1-3 days","4. Over 3 days")))</f>
        <v/>
      </c>
      <c r="O1529">
        <f>TEXT(B1529,"YYYY-MM")</f>
        <v/>
      </c>
    </row>
    <row r="1530">
      <c r="A1530" t="inlineStr">
        <is>
          <t>LD-301528</t>
        </is>
      </c>
      <c r="B1530" t="inlineStr">
        <is>
          <t>2025-11-26 08:50:00</t>
        </is>
      </c>
      <c r="C1530" t="inlineStr">
        <is>
          <t>Social Media</t>
        </is>
      </c>
      <c r="D1530" t="inlineStr">
        <is>
          <t>K-12 Math</t>
        </is>
      </c>
      <c r="E1530" t="inlineStr">
        <is>
          <t>West Region</t>
        </is>
      </c>
      <c r="F1530" t="inlineStr">
        <is>
          <t>Rep_13</t>
        </is>
      </c>
      <c r="G1530" t="n">
        <v>3.93</v>
      </c>
      <c r="H1530" t="inlineStr">
        <is>
          <t>Contacted</t>
        </is>
      </c>
      <c r="I1530" t="inlineStr">
        <is>
          <t>Open</t>
        </is>
      </c>
      <c r="M1530">
        <f>VLOOKUP(H1530,'Stage Order'!$A$2:$B$8,2,FALSE)</f>
        <v/>
      </c>
      <c r="N1530">
        <f>IF(G1530&lt;=1,"1. Under 1 hour",IF(G1530&lt;=24,"2. 1-24 hours",IF(G1530&lt;=72,"3. 1-3 days","4. Over 3 days")))</f>
        <v/>
      </c>
      <c r="O1530">
        <f>TEXT(B1530,"YYYY-MM")</f>
        <v/>
      </c>
    </row>
    <row r="1531">
      <c r="A1531" t="inlineStr">
        <is>
          <t>LD-301529</t>
        </is>
      </c>
      <c r="B1531" t="inlineStr">
        <is>
          <t>2025-01-22 17:47:00</t>
        </is>
      </c>
      <c r="C1531" t="inlineStr">
        <is>
          <t>Referral</t>
        </is>
      </c>
      <c r="D1531" t="inlineStr">
        <is>
          <t>Competitive Exam Prep</t>
        </is>
      </c>
      <c r="E1531" t="inlineStr">
        <is>
          <t>North Region</t>
        </is>
      </c>
      <c r="F1531" t="inlineStr">
        <is>
          <t>Rep_11</t>
        </is>
      </c>
      <c r="G1531" t="n">
        <v>6.51</v>
      </c>
      <c r="H1531" t="inlineStr">
        <is>
          <t>Closed</t>
        </is>
      </c>
      <c r="I1531" t="inlineStr">
        <is>
          <t>Won</t>
        </is>
      </c>
      <c r="K1531" t="n">
        <v>1048.1</v>
      </c>
      <c r="L1531" t="inlineStr">
        <is>
          <t>2025-02-27 08:04:22.349002</t>
        </is>
      </c>
      <c r="M1531">
        <f>VLOOKUP(H1531,'Stage Order'!$A$2:$B$8,2,FALSE)</f>
        <v/>
      </c>
      <c r="N1531">
        <f>IF(G1531&lt;=1,"1. Under 1 hour",IF(G1531&lt;=24,"2. 1-24 hours",IF(G1531&lt;=72,"3. 1-3 days","4. Over 3 days")))</f>
        <v/>
      </c>
      <c r="O1531">
        <f>TEXT(B1531,"YYYY-MM")</f>
        <v/>
      </c>
    </row>
    <row r="1532">
      <c r="A1532" t="inlineStr">
        <is>
          <t>LD-301530</t>
        </is>
      </c>
      <c r="B1532" t="inlineStr">
        <is>
          <t>2025-07-04 10:55:00</t>
        </is>
      </c>
      <c r="C1532" t="inlineStr">
        <is>
          <t>Webinar</t>
        </is>
      </c>
      <c r="D1532" t="inlineStr">
        <is>
          <t>Language Learning</t>
        </is>
      </c>
      <c r="E1532" t="inlineStr">
        <is>
          <t>North Region</t>
        </is>
      </c>
      <c r="F1532" t="inlineStr">
        <is>
          <t>Rep_06</t>
        </is>
      </c>
      <c r="G1532" t="n">
        <v>2.69</v>
      </c>
      <c r="H1532" t="inlineStr">
        <is>
          <t>Contacted</t>
        </is>
      </c>
      <c r="I1532" t="inlineStr">
        <is>
          <t>Open</t>
        </is>
      </c>
      <c r="M1532">
        <f>VLOOKUP(H1532,'Stage Order'!$A$2:$B$8,2,FALSE)</f>
        <v/>
      </c>
      <c r="N1532">
        <f>IF(G1532&lt;=1,"1. Under 1 hour",IF(G1532&lt;=24,"2. 1-24 hours",IF(G1532&lt;=72,"3. 1-3 days","4. Over 3 days")))</f>
        <v/>
      </c>
      <c r="O1532">
        <f>TEXT(B1532,"YYYY-MM")</f>
        <v/>
      </c>
    </row>
    <row r="1533">
      <c r="A1533" t="inlineStr">
        <is>
          <t>LD-301531</t>
        </is>
      </c>
      <c r="B1533" t="inlineStr">
        <is>
          <t>2025-03-31 17:13:00</t>
        </is>
      </c>
      <c r="C1533" t="inlineStr">
        <is>
          <t>Cold Outreach</t>
        </is>
      </c>
      <c r="D1533" t="inlineStr">
        <is>
          <t>Language Learning</t>
        </is>
      </c>
      <c r="E1533" t="inlineStr">
        <is>
          <t>East Region</t>
        </is>
      </c>
      <c r="F1533" t="inlineStr">
        <is>
          <t>Rep_09</t>
        </is>
      </c>
      <c r="G1533" t="n">
        <v>1.94</v>
      </c>
      <c r="H1533" t="inlineStr">
        <is>
          <t>Contacted</t>
        </is>
      </c>
      <c r="I1533" t="inlineStr">
        <is>
          <t>Open</t>
        </is>
      </c>
      <c r="M1533">
        <f>VLOOKUP(H1533,'Stage Order'!$A$2:$B$8,2,FALSE)</f>
        <v/>
      </c>
      <c r="N1533">
        <f>IF(G1533&lt;=1,"1. Under 1 hour",IF(G1533&lt;=24,"2. 1-24 hours",IF(G1533&lt;=72,"3. 1-3 days","4. Over 3 days")))</f>
        <v/>
      </c>
      <c r="O1533">
        <f>TEXT(B1533,"YYYY-MM")</f>
        <v/>
      </c>
    </row>
    <row r="1534">
      <c r="A1534" t="inlineStr">
        <is>
          <t>LD-301532</t>
        </is>
      </c>
      <c r="B1534" t="inlineStr">
        <is>
          <t>2025-02-28 09:58:00</t>
        </is>
      </c>
      <c r="C1534" t="inlineStr">
        <is>
          <t>Partner Channel</t>
        </is>
      </c>
      <c r="D1534" t="inlineStr">
        <is>
          <t>Coding for Kids</t>
        </is>
      </c>
      <c r="E1534" t="inlineStr">
        <is>
          <t>International</t>
        </is>
      </c>
      <c r="F1534" t="inlineStr">
        <is>
          <t>Rep_15</t>
        </is>
      </c>
      <c r="G1534" t="n">
        <v>6.35</v>
      </c>
      <c r="H1534" t="inlineStr">
        <is>
          <t>Negotiation</t>
        </is>
      </c>
      <c r="I1534" t="inlineStr">
        <is>
          <t>Lost</t>
        </is>
      </c>
      <c r="J1534" t="inlineStr">
        <is>
          <t>Went With Competitor</t>
        </is>
      </c>
      <c r="K1534" t="n">
        <v>666.4299999999999</v>
      </c>
      <c r="L1534" t="inlineStr">
        <is>
          <t>2025-04-23 15:50:10.979581</t>
        </is>
      </c>
      <c r="M1534">
        <f>VLOOKUP(H1534,'Stage Order'!$A$2:$B$8,2,FALSE)</f>
        <v/>
      </c>
      <c r="N1534">
        <f>IF(G1534&lt;=1,"1. Under 1 hour",IF(G1534&lt;=24,"2. 1-24 hours",IF(G1534&lt;=72,"3. 1-3 days","4. Over 3 days")))</f>
        <v/>
      </c>
      <c r="O1534">
        <f>TEXT(B1534,"YYYY-MM")</f>
        <v/>
      </c>
    </row>
    <row r="1535">
      <c r="A1535" t="inlineStr">
        <is>
          <t>LD-301533</t>
        </is>
      </c>
      <c r="B1535" t="inlineStr">
        <is>
          <t>2025-04-24 13:27:00</t>
        </is>
      </c>
      <c r="C1535" t="inlineStr">
        <is>
          <t>Paid Search</t>
        </is>
      </c>
      <c r="D1535" t="inlineStr">
        <is>
          <t>Competitive Exam Prep</t>
        </is>
      </c>
      <c r="E1535" t="inlineStr">
        <is>
          <t>West Region</t>
        </is>
      </c>
      <c r="F1535" t="inlineStr">
        <is>
          <t>Rep_08</t>
        </is>
      </c>
      <c r="G1535" t="n">
        <v>10.52</v>
      </c>
      <c r="H1535" t="inlineStr">
        <is>
          <t>Negotiation</t>
        </is>
      </c>
      <c r="I1535" t="inlineStr">
        <is>
          <t>Lost</t>
        </is>
      </c>
      <c r="J1535" t="inlineStr">
        <is>
          <t>Price Objection</t>
        </is>
      </c>
      <c r="K1535" t="n">
        <v>1017.87</v>
      </c>
      <c r="L1535" t="inlineStr">
        <is>
          <t>2025-06-21 02:16:47.490374</t>
        </is>
      </c>
      <c r="M1535">
        <f>VLOOKUP(H1535,'Stage Order'!$A$2:$B$8,2,FALSE)</f>
        <v/>
      </c>
      <c r="N1535">
        <f>IF(G1535&lt;=1,"1. Under 1 hour",IF(G1535&lt;=24,"2. 1-24 hours",IF(G1535&lt;=72,"3. 1-3 days","4. Over 3 days")))</f>
        <v/>
      </c>
      <c r="O1535">
        <f>TEXT(B1535,"YYYY-MM")</f>
        <v/>
      </c>
    </row>
    <row r="1536">
      <c r="A1536" t="inlineStr">
        <is>
          <t>LD-301534</t>
        </is>
      </c>
      <c r="B1536" t="inlineStr">
        <is>
          <t>2025-10-01 18:27:00</t>
        </is>
      </c>
      <c r="C1536" t="inlineStr">
        <is>
          <t>Social Media</t>
        </is>
      </c>
      <c r="D1536" t="inlineStr">
        <is>
          <t>Coding for Kids</t>
        </is>
      </c>
      <c r="E1536" t="inlineStr">
        <is>
          <t>North Region</t>
        </is>
      </c>
      <c r="F1536" t="inlineStr">
        <is>
          <t>Rep_11</t>
        </is>
      </c>
      <c r="G1536" t="n">
        <v>8.82</v>
      </c>
      <c r="H1536" t="inlineStr">
        <is>
          <t>Contacted</t>
        </is>
      </c>
      <c r="I1536" t="inlineStr">
        <is>
          <t>Open</t>
        </is>
      </c>
      <c r="M1536">
        <f>VLOOKUP(H1536,'Stage Order'!$A$2:$B$8,2,FALSE)</f>
        <v/>
      </c>
      <c r="N1536">
        <f>IF(G1536&lt;=1,"1. Under 1 hour",IF(G1536&lt;=24,"2. 1-24 hours",IF(G1536&lt;=72,"3. 1-3 days","4. Over 3 days")))</f>
        <v/>
      </c>
      <c r="O1536">
        <f>TEXT(B1536,"YYYY-MM")</f>
        <v/>
      </c>
    </row>
    <row r="1537">
      <c r="A1537" t="inlineStr">
        <is>
          <t>LD-301535</t>
        </is>
      </c>
      <c r="B1537" t="inlineStr">
        <is>
          <t>2026-05-18 07:57:00</t>
        </is>
      </c>
      <c r="C1537" t="inlineStr">
        <is>
          <t>Organic Search</t>
        </is>
      </c>
      <c r="D1537" t="inlineStr">
        <is>
          <t>Language Learning</t>
        </is>
      </c>
      <c r="E1537" t="inlineStr">
        <is>
          <t>East Region</t>
        </is>
      </c>
      <c r="F1537" t="inlineStr">
        <is>
          <t>Rep_04</t>
        </is>
      </c>
      <c r="G1537" t="n">
        <v>9.48</v>
      </c>
      <c r="H1537" t="inlineStr">
        <is>
          <t>Demo Scheduled</t>
        </is>
      </c>
      <c r="I1537" t="inlineStr">
        <is>
          <t>Open</t>
        </is>
      </c>
      <c r="M1537">
        <f>VLOOKUP(H1537,'Stage Order'!$A$2:$B$8,2,FALSE)</f>
        <v/>
      </c>
      <c r="N1537">
        <f>IF(G1537&lt;=1,"1. Under 1 hour",IF(G1537&lt;=24,"2. 1-24 hours",IF(G1537&lt;=72,"3. 1-3 days","4. Over 3 days")))</f>
        <v/>
      </c>
      <c r="O1537">
        <f>TEXT(B1537,"YYYY-MM")</f>
        <v/>
      </c>
    </row>
    <row r="1538">
      <c r="A1538" t="inlineStr">
        <is>
          <t>LD-301536</t>
        </is>
      </c>
      <c r="B1538" t="inlineStr">
        <is>
          <t>2026-02-27 11:35:00</t>
        </is>
      </c>
      <c r="C1538" t="inlineStr">
        <is>
          <t>Organic Search</t>
        </is>
      </c>
      <c r="D1538" t="inlineStr">
        <is>
          <t>Study Abroad Prep</t>
        </is>
      </c>
      <c r="E1538" t="inlineStr">
        <is>
          <t>North Region</t>
        </is>
      </c>
      <c r="F1538" t="inlineStr">
        <is>
          <t>Rep_01</t>
        </is>
      </c>
      <c r="G1538" t="n">
        <v>1.72</v>
      </c>
      <c r="H1538" t="inlineStr">
        <is>
          <t>Proposal Sent</t>
        </is>
      </c>
      <c r="I1538" t="inlineStr">
        <is>
          <t>Lost</t>
        </is>
      </c>
      <c r="J1538" t="inlineStr">
        <is>
          <t>Bad Timing</t>
        </is>
      </c>
      <c r="K1538" t="n">
        <v>1604.51</v>
      </c>
      <c r="L1538" t="inlineStr">
        <is>
          <t>2026-04-08 16:19:05.607006</t>
        </is>
      </c>
      <c r="M1538">
        <f>VLOOKUP(H1538,'Stage Order'!$A$2:$B$8,2,FALSE)</f>
        <v/>
      </c>
      <c r="N1538">
        <f>IF(G1538&lt;=1,"1. Under 1 hour",IF(G1538&lt;=24,"2. 1-24 hours",IF(G1538&lt;=72,"3. 1-3 days","4. Over 3 days")))</f>
        <v/>
      </c>
      <c r="O1538">
        <f>TEXT(B1538,"YYYY-MM")</f>
        <v/>
      </c>
    </row>
    <row r="1539">
      <c r="A1539" t="inlineStr">
        <is>
          <t>LD-301537</t>
        </is>
      </c>
      <c r="B1539" t="inlineStr">
        <is>
          <t>2025-12-04 09:33:00</t>
        </is>
      </c>
      <c r="C1539" t="inlineStr">
        <is>
          <t>Organic Search</t>
        </is>
      </c>
      <c r="D1539" t="inlineStr">
        <is>
          <t>K-12 Math</t>
        </is>
      </c>
      <c r="E1539" t="inlineStr">
        <is>
          <t>South Region</t>
        </is>
      </c>
      <c r="F1539" t="inlineStr">
        <is>
          <t>Rep_02</t>
        </is>
      </c>
      <c r="G1539" t="n">
        <v>1.97</v>
      </c>
      <c r="H1539" t="inlineStr">
        <is>
          <t>Contacted</t>
        </is>
      </c>
      <c r="I1539" t="inlineStr">
        <is>
          <t>Open</t>
        </is>
      </c>
      <c r="M1539">
        <f>VLOOKUP(H1539,'Stage Order'!$A$2:$B$8,2,FALSE)</f>
        <v/>
      </c>
      <c r="N1539">
        <f>IF(G1539&lt;=1,"1. Under 1 hour",IF(G1539&lt;=24,"2. 1-24 hours",IF(G1539&lt;=72,"3. 1-3 days","4. Over 3 days")))</f>
        <v/>
      </c>
      <c r="O1539">
        <f>TEXT(B1539,"YYYY-MM")</f>
        <v/>
      </c>
    </row>
    <row r="1540">
      <c r="A1540" t="inlineStr">
        <is>
          <t>LD-301538</t>
        </is>
      </c>
      <c r="B1540" t="inlineStr">
        <is>
          <t>2025-11-13 18:52:00</t>
        </is>
      </c>
      <c r="C1540" t="inlineStr">
        <is>
          <t>Social Media</t>
        </is>
      </c>
      <c r="D1540" t="inlineStr">
        <is>
          <t>Language Learning</t>
        </is>
      </c>
      <c r="E1540" t="inlineStr">
        <is>
          <t>South Region</t>
        </is>
      </c>
      <c r="F1540" t="inlineStr">
        <is>
          <t>Rep_07</t>
        </is>
      </c>
      <c r="G1540" t="n">
        <v>2.09</v>
      </c>
      <c r="H1540" t="inlineStr">
        <is>
          <t>Contacted</t>
        </is>
      </c>
      <c r="I1540" t="inlineStr">
        <is>
          <t>Open</t>
        </is>
      </c>
      <c r="M1540">
        <f>VLOOKUP(H1540,'Stage Order'!$A$2:$B$8,2,FALSE)</f>
        <v/>
      </c>
      <c r="N1540">
        <f>IF(G1540&lt;=1,"1. Under 1 hour",IF(G1540&lt;=24,"2. 1-24 hours",IF(G1540&lt;=72,"3. 1-3 days","4. Over 3 days")))</f>
        <v/>
      </c>
      <c r="O1540">
        <f>TEXT(B1540,"YYYY-MM")</f>
        <v/>
      </c>
    </row>
    <row r="1541">
      <c r="A1541" t="inlineStr">
        <is>
          <t>LD-301539</t>
        </is>
      </c>
      <c r="B1541" t="inlineStr">
        <is>
          <t>2025-04-15 20:32:00</t>
        </is>
      </c>
      <c r="C1541" t="inlineStr">
        <is>
          <t>Referral</t>
        </is>
      </c>
      <c r="D1541" t="inlineStr">
        <is>
          <t>K-12 Math</t>
        </is>
      </c>
      <c r="E1541" t="inlineStr">
        <is>
          <t>International</t>
        </is>
      </c>
      <c r="F1541" t="inlineStr">
        <is>
          <t>Rep_10</t>
        </is>
      </c>
      <c r="G1541" t="n">
        <v>9.49</v>
      </c>
      <c r="H1541" t="inlineStr">
        <is>
          <t>Contacted</t>
        </is>
      </c>
      <c r="I1541" t="inlineStr">
        <is>
          <t>Open</t>
        </is>
      </c>
      <c r="M1541">
        <f>VLOOKUP(H1541,'Stage Order'!$A$2:$B$8,2,FALSE)</f>
        <v/>
      </c>
      <c r="N1541">
        <f>IF(G1541&lt;=1,"1. Under 1 hour",IF(G1541&lt;=24,"2. 1-24 hours",IF(G1541&lt;=72,"3. 1-3 days","4. Over 3 days")))</f>
        <v/>
      </c>
      <c r="O1541">
        <f>TEXT(B1541,"YYYY-MM")</f>
        <v/>
      </c>
    </row>
    <row r="1542">
      <c r="A1542" t="inlineStr">
        <is>
          <t>LD-301540</t>
        </is>
      </c>
      <c r="B1542" t="inlineStr">
        <is>
          <t>2025-11-21 10:31:00</t>
        </is>
      </c>
      <c r="C1542" t="inlineStr">
        <is>
          <t>Webinar</t>
        </is>
      </c>
      <c r="D1542" t="inlineStr">
        <is>
          <t>Language Learning</t>
        </is>
      </c>
      <c r="E1542" t="inlineStr">
        <is>
          <t>North Region</t>
        </is>
      </c>
      <c r="F1542" t="inlineStr">
        <is>
          <t>Rep_01</t>
        </is>
      </c>
      <c r="G1542" t="n">
        <v>3.57</v>
      </c>
      <c r="H1542" t="inlineStr">
        <is>
          <t>Closed</t>
        </is>
      </c>
      <c r="I1542" t="inlineStr">
        <is>
          <t>Won</t>
        </is>
      </c>
      <c r="K1542" t="n">
        <v>388.88</v>
      </c>
      <c r="L1542" t="inlineStr">
        <is>
          <t>2025-12-19 20:37:44.064513</t>
        </is>
      </c>
      <c r="M1542">
        <f>VLOOKUP(H1542,'Stage Order'!$A$2:$B$8,2,FALSE)</f>
        <v/>
      </c>
      <c r="N1542">
        <f>IF(G1542&lt;=1,"1. Under 1 hour",IF(G1542&lt;=24,"2. 1-24 hours",IF(G1542&lt;=72,"3. 1-3 days","4. Over 3 days")))</f>
        <v/>
      </c>
      <c r="O1542">
        <f>TEXT(B1542,"YYYY-MM")</f>
        <v/>
      </c>
    </row>
    <row r="1543">
      <c r="A1543" t="inlineStr">
        <is>
          <t>LD-301541</t>
        </is>
      </c>
      <c r="B1543" t="inlineStr">
        <is>
          <t>2025-04-21 09:33:00</t>
        </is>
      </c>
      <c r="C1543" t="inlineStr">
        <is>
          <t>Paid Search</t>
        </is>
      </c>
      <c r="D1543" t="inlineStr">
        <is>
          <t>K-12 Math</t>
        </is>
      </c>
      <c r="E1543" t="inlineStr">
        <is>
          <t>East Region</t>
        </is>
      </c>
      <c r="F1543" t="inlineStr">
        <is>
          <t>Rep_09</t>
        </is>
      </c>
      <c r="G1543" t="n">
        <v>6.19</v>
      </c>
      <c r="H1543" t="inlineStr">
        <is>
          <t>Contacted</t>
        </is>
      </c>
      <c r="I1543" t="inlineStr">
        <is>
          <t>Open</t>
        </is>
      </c>
      <c r="M1543">
        <f>VLOOKUP(H1543,'Stage Order'!$A$2:$B$8,2,FALSE)</f>
        <v/>
      </c>
      <c r="N1543">
        <f>IF(G1543&lt;=1,"1. Under 1 hour",IF(G1543&lt;=24,"2. 1-24 hours",IF(G1543&lt;=72,"3. 1-3 days","4. Over 3 days")))</f>
        <v/>
      </c>
      <c r="O1543">
        <f>TEXT(B1543,"YYYY-MM")</f>
        <v/>
      </c>
    </row>
    <row r="1544">
      <c r="A1544" t="inlineStr">
        <is>
          <t>LD-301542</t>
        </is>
      </c>
      <c r="B1544" t="inlineStr">
        <is>
          <t>2026-03-02 18:23:00</t>
        </is>
      </c>
      <c r="C1544" t="inlineStr">
        <is>
          <t>Paid Search</t>
        </is>
      </c>
      <c r="D1544" t="inlineStr">
        <is>
          <t>Language Learning</t>
        </is>
      </c>
      <c r="E1544" t="inlineStr">
        <is>
          <t>International</t>
        </is>
      </c>
      <c r="F1544" t="inlineStr">
        <is>
          <t>Rep_05</t>
        </is>
      </c>
      <c r="G1544" t="n">
        <v>10.98</v>
      </c>
      <c r="H1544" t="inlineStr">
        <is>
          <t>Lead</t>
        </is>
      </c>
      <c r="I1544" t="inlineStr">
        <is>
          <t>Open</t>
        </is>
      </c>
      <c r="M1544">
        <f>VLOOKUP(H1544,'Stage Order'!$A$2:$B$8,2,FALSE)</f>
        <v/>
      </c>
      <c r="N1544">
        <f>IF(G1544&lt;=1,"1. Under 1 hour",IF(G1544&lt;=24,"2. 1-24 hours",IF(G1544&lt;=72,"3. 1-3 days","4. Over 3 days")))</f>
        <v/>
      </c>
      <c r="O1544">
        <f>TEXT(B1544,"YYYY-MM")</f>
        <v/>
      </c>
    </row>
    <row r="1545">
      <c r="A1545" t="inlineStr">
        <is>
          <t>LD-301543</t>
        </is>
      </c>
      <c r="B1545" t="inlineStr">
        <is>
          <t>2026-04-23 09:34:00</t>
        </is>
      </c>
      <c r="C1545" t="inlineStr">
        <is>
          <t>Partner Channel</t>
        </is>
      </c>
      <c r="D1545" t="inlineStr">
        <is>
          <t>K-12 Math</t>
        </is>
      </c>
      <c r="E1545" t="inlineStr">
        <is>
          <t>South Region</t>
        </is>
      </c>
      <c r="F1545" t="inlineStr">
        <is>
          <t>Rep_02</t>
        </is>
      </c>
      <c r="G1545" t="n">
        <v>3.34</v>
      </c>
      <c r="H1545" t="inlineStr">
        <is>
          <t>Negotiation</t>
        </is>
      </c>
      <c r="I1545" t="inlineStr">
        <is>
          <t>Lost</t>
        </is>
      </c>
      <c r="J1545" t="inlineStr">
        <is>
          <t>No Response / Ghosted</t>
        </is>
      </c>
      <c r="K1545" t="n">
        <v>468.43</v>
      </c>
      <c r="L1545" t="inlineStr">
        <is>
          <t>2026-06-04 06:55:11.114889</t>
        </is>
      </c>
      <c r="M1545">
        <f>VLOOKUP(H1545,'Stage Order'!$A$2:$B$8,2,FALSE)</f>
        <v/>
      </c>
      <c r="N1545">
        <f>IF(G1545&lt;=1,"1. Under 1 hour",IF(G1545&lt;=24,"2. 1-24 hours",IF(G1545&lt;=72,"3. 1-3 days","4. Over 3 days")))</f>
        <v/>
      </c>
      <c r="O1545">
        <f>TEXT(B1545,"YYYY-MM")</f>
        <v/>
      </c>
    </row>
    <row r="1546">
      <c r="A1546" t="inlineStr">
        <is>
          <t>LD-301544</t>
        </is>
      </c>
      <c r="B1546" t="inlineStr">
        <is>
          <t>2025-01-15 18:27:00</t>
        </is>
      </c>
      <c r="C1546" t="inlineStr">
        <is>
          <t>Organic Search</t>
        </is>
      </c>
      <c r="D1546" t="inlineStr">
        <is>
          <t>K-12 Math</t>
        </is>
      </c>
      <c r="E1546" t="inlineStr">
        <is>
          <t>East Region</t>
        </is>
      </c>
      <c r="F1546" t="inlineStr">
        <is>
          <t>Rep_14</t>
        </is>
      </c>
      <c r="G1546" t="n">
        <v>11.16</v>
      </c>
      <c r="H1546" t="inlineStr">
        <is>
          <t>Contacted</t>
        </is>
      </c>
      <c r="I1546" t="inlineStr">
        <is>
          <t>Open</t>
        </is>
      </c>
      <c r="M1546">
        <f>VLOOKUP(H1546,'Stage Order'!$A$2:$B$8,2,FALSE)</f>
        <v/>
      </c>
      <c r="N1546">
        <f>IF(G1546&lt;=1,"1. Under 1 hour",IF(G1546&lt;=24,"2. 1-24 hours",IF(G1546&lt;=72,"3. 1-3 days","4. Over 3 days")))</f>
        <v/>
      </c>
      <c r="O1546">
        <f>TEXT(B1546,"YYYY-MM")</f>
        <v/>
      </c>
    </row>
    <row r="1547">
      <c r="A1547" t="inlineStr">
        <is>
          <t>LD-301545</t>
        </is>
      </c>
      <c r="B1547" t="inlineStr">
        <is>
          <t>2026-05-20 13:04:00</t>
        </is>
      </c>
      <c r="C1547" t="inlineStr">
        <is>
          <t>Organic Search</t>
        </is>
      </c>
      <c r="D1547" t="inlineStr">
        <is>
          <t>Competitive Exam Prep</t>
        </is>
      </c>
      <c r="E1547" t="inlineStr">
        <is>
          <t>North Region</t>
        </is>
      </c>
      <c r="F1547" t="inlineStr">
        <is>
          <t>Rep_06</t>
        </is>
      </c>
      <c r="G1547" t="n">
        <v>2.58</v>
      </c>
      <c r="H1547" t="inlineStr">
        <is>
          <t>Contacted</t>
        </is>
      </c>
      <c r="I1547" t="inlineStr">
        <is>
          <t>Open</t>
        </is>
      </c>
      <c r="M1547">
        <f>VLOOKUP(H1547,'Stage Order'!$A$2:$B$8,2,FALSE)</f>
        <v/>
      </c>
      <c r="N1547">
        <f>IF(G1547&lt;=1,"1. Under 1 hour",IF(G1547&lt;=24,"2. 1-24 hours",IF(G1547&lt;=72,"3. 1-3 days","4. Over 3 days")))</f>
        <v/>
      </c>
      <c r="O1547">
        <f>TEXT(B1547,"YYYY-MM")</f>
        <v/>
      </c>
    </row>
    <row r="1548">
      <c r="A1548" t="inlineStr">
        <is>
          <t>LD-301546</t>
        </is>
      </c>
      <c r="B1548" t="inlineStr">
        <is>
          <t>2025-02-11 08:44:00</t>
        </is>
      </c>
      <c r="C1548" t="inlineStr">
        <is>
          <t>Cold Outreach</t>
        </is>
      </c>
      <c r="D1548" t="inlineStr">
        <is>
          <t>K-12 Math</t>
        </is>
      </c>
      <c r="E1548" t="inlineStr">
        <is>
          <t>West Region</t>
        </is>
      </c>
      <c r="F1548" t="inlineStr">
        <is>
          <t>Rep_03</t>
        </is>
      </c>
      <c r="G1548" t="n">
        <v>2.45</v>
      </c>
      <c r="H1548" t="inlineStr">
        <is>
          <t>Lead</t>
        </is>
      </c>
      <c r="I1548" t="inlineStr">
        <is>
          <t>Open</t>
        </is>
      </c>
      <c r="M1548">
        <f>VLOOKUP(H1548,'Stage Order'!$A$2:$B$8,2,FALSE)</f>
        <v/>
      </c>
      <c r="N1548">
        <f>IF(G1548&lt;=1,"1. Under 1 hour",IF(G1548&lt;=24,"2. 1-24 hours",IF(G1548&lt;=72,"3. 1-3 days","4. Over 3 days")))</f>
        <v/>
      </c>
      <c r="O1548">
        <f>TEXT(B1548,"YYYY-MM")</f>
        <v/>
      </c>
    </row>
    <row r="1549">
      <c r="A1549" t="inlineStr">
        <is>
          <t>LD-301547</t>
        </is>
      </c>
      <c r="B1549" t="inlineStr">
        <is>
          <t>2026-03-20 19:17:00</t>
        </is>
      </c>
      <c r="C1549" t="inlineStr">
        <is>
          <t>Social Media</t>
        </is>
      </c>
      <c r="D1549" t="inlineStr">
        <is>
          <t>K-12 Math</t>
        </is>
      </c>
      <c r="E1549" t="inlineStr">
        <is>
          <t>South Region</t>
        </is>
      </c>
      <c r="F1549" t="inlineStr">
        <is>
          <t>Rep_07</t>
        </is>
      </c>
      <c r="G1549" t="n">
        <v>2.38</v>
      </c>
      <c r="H1549" t="inlineStr">
        <is>
          <t>Negotiation</t>
        </is>
      </c>
      <c r="I1549" t="inlineStr">
        <is>
          <t>Lost</t>
        </is>
      </c>
      <c r="J1549" t="inlineStr">
        <is>
          <t>Price Objection</t>
        </is>
      </c>
      <c r="K1549" t="n">
        <v>582.8200000000001</v>
      </c>
      <c r="L1549" t="inlineStr">
        <is>
          <t>2026-05-04 11:06:59.310297</t>
        </is>
      </c>
      <c r="M1549">
        <f>VLOOKUP(H1549,'Stage Order'!$A$2:$B$8,2,FALSE)</f>
        <v/>
      </c>
      <c r="N1549">
        <f>IF(G1549&lt;=1,"1. Under 1 hour",IF(G1549&lt;=24,"2. 1-24 hours",IF(G1549&lt;=72,"3. 1-3 days","4. Over 3 days")))</f>
        <v/>
      </c>
      <c r="O1549">
        <f>TEXT(B1549,"YYYY-MM")</f>
        <v/>
      </c>
    </row>
    <row r="1550">
      <c r="A1550" t="inlineStr">
        <is>
          <t>LD-301548</t>
        </is>
      </c>
      <c r="B1550" t="inlineStr">
        <is>
          <t>2026-04-29 11:50:00</t>
        </is>
      </c>
      <c r="C1550" t="inlineStr">
        <is>
          <t>Cold Outreach</t>
        </is>
      </c>
      <c r="D1550" t="inlineStr">
        <is>
          <t>Language Learning</t>
        </is>
      </c>
      <c r="E1550" t="inlineStr">
        <is>
          <t>International</t>
        </is>
      </c>
      <c r="F1550" t="inlineStr">
        <is>
          <t>Rep_05</t>
        </is>
      </c>
      <c r="G1550" t="n">
        <v>2.3</v>
      </c>
      <c r="H1550" t="inlineStr">
        <is>
          <t>Lead</t>
        </is>
      </c>
      <c r="I1550" t="inlineStr">
        <is>
          <t>Open</t>
        </is>
      </c>
      <c r="M1550">
        <f>VLOOKUP(H1550,'Stage Order'!$A$2:$B$8,2,FALSE)</f>
        <v/>
      </c>
      <c r="N1550">
        <f>IF(G1550&lt;=1,"1. Under 1 hour",IF(G1550&lt;=24,"2. 1-24 hours",IF(G1550&lt;=72,"3. 1-3 days","4. Over 3 days")))</f>
        <v/>
      </c>
      <c r="O1550">
        <f>TEXT(B1550,"YYYY-MM")</f>
        <v/>
      </c>
    </row>
    <row r="1551">
      <c r="A1551" t="inlineStr">
        <is>
          <t>LD-301549</t>
        </is>
      </c>
      <c r="B1551" t="inlineStr">
        <is>
          <t>2025-05-09 09:24:00</t>
        </is>
      </c>
      <c r="C1551" t="inlineStr">
        <is>
          <t>Social Media</t>
        </is>
      </c>
      <c r="D1551" t="inlineStr">
        <is>
          <t>Coding for Kids</t>
        </is>
      </c>
      <c r="E1551" t="inlineStr">
        <is>
          <t>North Region</t>
        </is>
      </c>
      <c r="F1551" t="inlineStr">
        <is>
          <t>Rep_11</t>
        </is>
      </c>
      <c r="G1551" t="n">
        <v>1.95</v>
      </c>
      <c r="H1551" t="inlineStr">
        <is>
          <t>Contacted</t>
        </is>
      </c>
      <c r="I1551" t="inlineStr">
        <is>
          <t>Open</t>
        </is>
      </c>
      <c r="M1551">
        <f>VLOOKUP(H1551,'Stage Order'!$A$2:$B$8,2,FALSE)</f>
        <v/>
      </c>
      <c r="N1551">
        <f>IF(G1551&lt;=1,"1. Under 1 hour",IF(G1551&lt;=24,"2. 1-24 hours",IF(G1551&lt;=72,"3. 1-3 days","4. Over 3 days")))</f>
        <v/>
      </c>
      <c r="O1551">
        <f>TEXT(B1551,"YYYY-MM")</f>
        <v/>
      </c>
    </row>
    <row r="1552">
      <c r="A1552" t="inlineStr">
        <is>
          <t>LD-301550</t>
        </is>
      </c>
      <c r="B1552" t="inlineStr">
        <is>
          <t>2026-04-27 16:06:00</t>
        </is>
      </c>
      <c r="C1552" t="inlineStr">
        <is>
          <t>Referral</t>
        </is>
      </c>
      <c r="D1552" t="inlineStr">
        <is>
          <t>Competitive Exam Prep</t>
        </is>
      </c>
      <c r="E1552" t="inlineStr">
        <is>
          <t>International</t>
        </is>
      </c>
      <c r="F1552" t="inlineStr">
        <is>
          <t>Rep_05</t>
        </is>
      </c>
      <c r="G1552" t="n">
        <v>7.1</v>
      </c>
      <c r="H1552" t="inlineStr">
        <is>
          <t>Contacted</t>
        </is>
      </c>
      <c r="I1552" t="inlineStr">
        <is>
          <t>Open</t>
        </is>
      </c>
      <c r="M1552">
        <f>VLOOKUP(H1552,'Stage Order'!$A$2:$B$8,2,FALSE)</f>
        <v/>
      </c>
      <c r="N1552">
        <f>IF(G1552&lt;=1,"1. Under 1 hour",IF(G1552&lt;=24,"2. 1-24 hours",IF(G1552&lt;=72,"3. 1-3 days","4. Over 3 days")))</f>
        <v/>
      </c>
      <c r="O1552">
        <f>TEXT(B1552,"YYYY-MM")</f>
        <v/>
      </c>
    </row>
    <row r="1553">
      <c r="A1553" t="inlineStr">
        <is>
          <t>LD-301551</t>
        </is>
      </c>
      <c r="B1553" t="inlineStr">
        <is>
          <t>2025-04-05 14:53:00</t>
        </is>
      </c>
      <c r="C1553" t="inlineStr">
        <is>
          <t>Partner Channel</t>
        </is>
      </c>
      <c r="D1553" t="inlineStr">
        <is>
          <t>Coding for Kids</t>
        </is>
      </c>
      <c r="E1553" t="inlineStr">
        <is>
          <t>International</t>
        </is>
      </c>
      <c r="F1553" t="inlineStr">
        <is>
          <t>Rep_10</t>
        </is>
      </c>
      <c r="G1553" t="n">
        <v>1.46</v>
      </c>
      <c r="H1553" t="inlineStr">
        <is>
          <t>Contacted</t>
        </is>
      </c>
      <c r="I1553" t="inlineStr">
        <is>
          <t>Open</t>
        </is>
      </c>
      <c r="M1553">
        <f>VLOOKUP(H1553,'Stage Order'!$A$2:$B$8,2,FALSE)</f>
        <v/>
      </c>
      <c r="N1553">
        <f>IF(G1553&lt;=1,"1. Under 1 hour",IF(G1553&lt;=24,"2. 1-24 hours",IF(G1553&lt;=72,"3. 1-3 days","4. Over 3 days")))</f>
        <v/>
      </c>
      <c r="O1553">
        <f>TEXT(B1553,"YYYY-MM")</f>
        <v/>
      </c>
    </row>
    <row r="1554">
      <c r="A1554" t="inlineStr">
        <is>
          <t>LD-301552</t>
        </is>
      </c>
      <c r="B1554" t="inlineStr">
        <is>
          <t>2025-12-05 16:31:00</t>
        </is>
      </c>
      <c r="C1554" t="inlineStr">
        <is>
          <t>Organic Search</t>
        </is>
      </c>
      <c r="D1554" t="inlineStr">
        <is>
          <t>Coding for Kids</t>
        </is>
      </c>
      <c r="E1554" t="inlineStr">
        <is>
          <t>South Region</t>
        </is>
      </c>
      <c r="F1554" t="inlineStr">
        <is>
          <t>Rep_12</t>
        </is>
      </c>
      <c r="G1554" t="n">
        <v>1.78</v>
      </c>
      <c r="H1554" t="inlineStr">
        <is>
          <t>Contacted</t>
        </is>
      </c>
      <c r="I1554" t="inlineStr">
        <is>
          <t>Open</t>
        </is>
      </c>
      <c r="M1554">
        <f>VLOOKUP(H1554,'Stage Order'!$A$2:$B$8,2,FALSE)</f>
        <v/>
      </c>
      <c r="N1554">
        <f>IF(G1554&lt;=1,"1. Under 1 hour",IF(G1554&lt;=24,"2. 1-24 hours",IF(G1554&lt;=72,"3. 1-3 days","4. Over 3 days")))</f>
        <v/>
      </c>
      <c r="O1554">
        <f>TEXT(B1554,"YYYY-MM")</f>
        <v/>
      </c>
    </row>
    <row r="1555">
      <c r="A1555" t="inlineStr">
        <is>
          <t>LD-301553</t>
        </is>
      </c>
      <c r="B1555" t="inlineStr">
        <is>
          <t>2025-03-27 08:40:00</t>
        </is>
      </c>
      <c r="C1555" t="inlineStr">
        <is>
          <t>Social Media</t>
        </is>
      </c>
      <c r="D1555" t="inlineStr">
        <is>
          <t>K-12 Math</t>
        </is>
      </c>
      <c r="E1555" t="inlineStr">
        <is>
          <t>North Region</t>
        </is>
      </c>
      <c r="F1555" t="inlineStr">
        <is>
          <t>Rep_01</t>
        </is>
      </c>
      <c r="G1555" t="n">
        <v>4.47</v>
      </c>
      <c r="H1555" t="inlineStr">
        <is>
          <t>Contacted</t>
        </is>
      </c>
      <c r="I1555" t="inlineStr">
        <is>
          <t>Open</t>
        </is>
      </c>
      <c r="M1555">
        <f>VLOOKUP(H1555,'Stage Order'!$A$2:$B$8,2,FALSE)</f>
        <v/>
      </c>
      <c r="N1555">
        <f>IF(G1555&lt;=1,"1. Under 1 hour",IF(G1555&lt;=24,"2. 1-24 hours",IF(G1555&lt;=72,"3. 1-3 days","4. Over 3 days")))</f>
        <v/>
      </c>
      <c r="O1555">
        <f>TEXT(B1555,"YYYY-MM")</f>
        <v/>
      </c>
    </row>
    <row r="1556">
      <c r="A1556" t="inlineStr">
        <is>
          <t>LD-301554</t>
        </is>
      </c>
      <c r="B1556" t="inlineStr">
        <is>
          <t>2026-03-01 09:39:00</t>
        </is>
      </c>
      <c r="C1556" t="inlineStr">
        <is>
          <t>Paid Search</t>
        </is>
      </c>
      <c r="D1556" t="inlineStr">
        <is>
          <t>Language Learning</t>
        </is>
      </c>
      <c r="E1556" t="inlineStr">
        <is>
          <t>South Region</t>
        </is>
      </c>
      <c r="F1556" t="inlineStr">
        <is>
          <t>Rep_07</t>
        </is>
      </c>
      <c r="G1556" t="n">
        <v>4.94</v>
      </c>
      <c r="H1556" t="inlineStr">
        <is>
          <t>Demo Completed</t>
        </is>
      </c>
      <c r="I1556" t="inlineStr">
        <is>
          <t>Lost</t>
        </is>
      </c>
      <c r="J1556" t="inlineStr">
        <is>
          <t>Bad Timing</t>
        </is>
      </c>
      <c r="K1556" t="n">
        <v>382.68</v>
      </c>
      <c r="L1556" t="inlineStr">
        <is>
          <t>2026-03-21 10:59:16.404411</t>
        </is>
      </c>
      <c r="M1556">
        <f>VLOOKUP(H1556,'Stage Order'!$A$2:$B$8,2,FALSE)</f>
        <v/>
      </c>
      <c r="N1556">
        <f>IF(G1556&lt;=1,"1. Under 1 hour",IF(G1556&lt;=24,"2. 1-24 hours",IF(G1556&lt;=72,"3. 1-3 days","4. Over 3 days")))</f>
        <v/>
      </c>
      <c r="O1556">
        <f>TEXT(B1556,"YYYY-MM")</f>
        <v/>
      </c>
    </row>
    <row r="1557">
      <c r="A1557" t="inlineStr">
        <is>
          <t>LD-301555</t>
        </is>
      </c>
      <c r="B1557" t="inlineStr">
        <is>
          <t>2025-01-29 14:07:00</t>
        </is>
      </c>
      <c r="C1557" t="inlineStr">
        <is>
          <t>Social Media</t>
        </is>
      </c>
      <c r="D1557" t="inlineStr">
        <is>
          <t>K-12 Math</t>
        </is>
      </c>
      <c r="E1557" t="inlineStr">
        <is>
          <t>South Region</t>
        </is>
      </c>
      <c r="F1557" t="inlineStr">
        <is>
          <t>Rep_12</t>
        </is>
      </c>
      <c r="G1557" t="n">
        <v>9.77</v>
      </c>
      <c r="H1557" t="inlineStr">
        <is>
          <t>Lead</t>
        </is>
      </c>
      <c r="I1557" t="inlineStr">
        <is>
          <t>Open</t>
        </is>
      </c>
      <c r="M1557">
        <f>VLOOKUP(H1557,'Stage Order'!$A$2:$B$8,2,FALSE)</f>
        <v/>
      </c>
      <c r="N1557">
        <f>IF(G1557&lt;=1,"1. Under 1 hour",IF(G1557&lt;=24,"2. 1-24 hours",IF(G1557&lt;=72,"3. 1-3 days","4. Over 3 days")))</f>
        <v/>
      </c>
      <c r="O1557">
        <f>TEXT(B1557,"YYYY-MM")</f>
        <v/>
      </c>
    </row>
    <row r="1558">
      <c r="A1558" t="inlineStr">
        <is>
          <t>LD-301556</t>
        </is>
      </c>
      <c r="B1558" t="inlineStr">
        <is>
          <t>2025-08-18 07:15:00</t>
        </is>
      </c>
      <c r="C1558" t="inlineStr">
        <is>
          <t>Organic Search</t>
        </is>
      </c>
      <c r="D1558" t="inlineStr">
        <is>
          <t>Coding for Kids</t>
        </is>
      </c>
      <c r="E1558" t="inlineStr">
        <is>
          <t>North Region</t>
        </is>
      </c>
      <c r="F1558" t="inlineStr">
        <is>
          <t>Rep_06</t>
        </is>
      </c>
      <c r="G1558" t="n">
        <v>39.17</v>
      </c>
      <c r="H1558" t="inlineStr">
        <is>
          <t>Lead</t>
        </is>
      </c>
      <c r="I1558" t="inlineStr">
        <is>
          <t>Open</t>
        </is>
      </c>
      <c r="M1558">
        <f>VLOOKUP(H1558,'Stage Order'!$A$2:$B$8,2,FALSE)</f>
        <v/>
      </c>
      <c r="N1558">
        <f>IF(G1558&lt;=1,"1. Under 1 hour",IF(G1558&lt;=24,"2. 1-24 hours",IF(G1558&lt;=72,"3. 1-3 days","4. Over 3 days")))</f>
        <v/>
      </c>
      <c r="O1558">
        <f>TEXT(B1558,"YYYY-MM")</f>
        <v/>
      </c>
    </row>
    <row r="1559">
      <c r="A1559" t="inlineStr">
        <is>
          <t>LD-301557</t>
        </is>
      </c>
      <c r="B1559" t="inlineStr">
        <is>
          <t>2025-03-19 18:43:00</t>
        </is>
      </c>
      <c r="C1559" t="inlineStr">
        <is>
          <t>Paid Search</t>
        </is>
      </c>
      <c r="D1559" t="inlineStr">
        <is>
          <t>Competitive Exam Prep</t>
        </is>
      </c>
      <c r="E1559" t="inlineStr">
        <is>
          <t>North Region</t>
        </is>
      </c>
      <c r="F1559" t="inlineStr">
        <is>
          <t>Rep_06</t>
        </is>
      </c>
      <c r="G1559" t="n">
        <v>1.82</v>
      </c>
      <c r="H1559" t="inlineStr">
        <is>
          <t>Contacted</t>
        </is>
      </c>
      <c r="I1559" t="inlineStr">
        <is>
          <t>Open</t>
        </is>
      </c>
      <c r="M1559">
        <f>VLOOKUP(H1559,'Stage Order'!$A$2:$B$8,2,FALSE)</f>
        <v/>
      </c>
      <c r="N1559">
        <f>IF(G1559&lt;=1,"1. Under 1 hour",IF(G1559&lt;=24,"2. 1-24 hours",IF(G1559&lt;=72,"3. 1-3 days","4. Over 3 days")))</f>
        <v/>
      </c>
      <c r="O1559">
        <f>TEXT(B1559,"YYYY-MM")</f>
        <v/>
      </c>
    </row>
    <row r="1560">
      <c r="A1560" t="inlineStr">
        <is>
          <t>LD-301558</t>
        </is>
      </c>
      <c r="B1560" t="inlineStr">
        <is>
          <t>2025-01-11 07:42:00</t>
        </is>
      </c>
      <c r="C1560" t="inlineStr">
        <is>
          <t>Paid Search</t>
        </is>
      </c>
      <c r="D1560" t="inlineStr">
        <is>
          <t>Competitive Exam Prep</t>
        </is>
      </c>
      <c r="E1560" t="inlineStr">
        <is>
          <t>South Region</t>
        </is>
      </c>
      <c r="F1560" t="inlineStr">
        <is>
          <t>Rep_07</t>
        </is>
      </c>
      <c r="G1560" t="n">
        <v>10.92</v>
      </c>
      <c r="H1560" t="inlineStr">
        <is>
          <t>Contacted</t>
        </is>
      </c>
      <c r="I1560" t="inlineStr">
        <is>
          <t>Open</t>
        </is>
      </c>
      <c r="M1560">
        <f>VLOOKUP(H1560,'Stage Order'!$A$2:$B$8,2,FALSE)</f>
        <v/>
      </c>
      <c r="N1560">
        <f>IF(G1560&lt;=1,"1. Under 1 hour",IF(G1560&lt;=24,"2. 1-24 hours",IF(G1560&lt;=72,"3. 1-3 days","4. Over 3 days")))</f>
        <v/>
      </c>
      <c r="O1560">
        <f>TEXT(B1560,"YYYY-MM")</f>
        <v/>
      </c>
    </row>
    <row r="1561">
      <c r="A1561" t="inlineStr">
        <is>
          <t>LD-301559</t>
        </is>
      </c>
      <c r="B1561" t="inlineStr">
        <is>
          <t>2025-11-28 15:16:00</t>
        </is>
      </c>
      <c r="C1561" t="inlineStr">
        <is>
          <t>Referral</t>
        </is>
      </c>
      <c r="D1561" t="inlineStr">
        <is>
          <t>Competitive Exam Prep</t>
        </is>
      </c>
      <c r="E1561" t="inlineStr">
        <is>
          <t>West Region</t>
        </is>
      </c>
      <c r="F1561" t="inlineStr">
        <is>
          <t>Rep_03</t>
        </is>
      </c>
      <c r="G1561" t="n">
        <v>2.41</v>
      </c>
      <c r="H1561" t="inlineStr">
        <is>
          <t>Closed</t>
        </is>
      </c>
      <c r="I1561" t="inlineStr">
        <is>
          <t>Won</t>
        </is>
      </c>
      <c r="K1561" t="n">
        <v>1126.98</v>
      </c>
      <c r="L1561" t="inlineStr">
        <is>
          <t>2026-01-10 20:09:08.695134</t>
        </is>
      </c>
      <c r="M1561">
        <f>VLOOKUP(H1561,'Stage Order'!$A$2:$B$8,2,FALSE)</f>
        <v/>
      </c>
      <c r="N1561">
        <f>IF(G1561&lt;=1,"1. Under 1 hour",IF(G1561&lt;=24,"2. 1-24 hours",IF(G1561&lt;=72,"3. 1-3 days","4. Over 3 days")))</f>
        <v/>
      </c>
      <c r="O1561">
        <f>TEXT(B1561,"YYYY-MM")</f>
        <v/>
      </c>
    </row>
    <row r="1562">
      <c r="A1562" t="inlineStr">
        <is>
          <t>LD-301560</t>
        </is>
      </c>
      <c r="B1562" t="inlineStr">
        <is>
          <t>2025-04-04 15:28:00</t>
        </is>
      </c>
      <c r="C1562" t="inlineStr">
        <is>
          <t>Organic Search</t>
        </is>
      </c>
      <c r="D1562" t="inlineStr">
        <is>
          <t>Study Abroad Prep</t>
        </is>
      </c>
      <c r="E1562" t="inlineStr">
        <is>
          <t>South Region</t>
        </is>
      </c>
      <c r="F1562" t="inlineStr">
        <is>
          <t>Rep_12</t>
        </is>
      </c>
      <c r="G1562" t="n">
        <v>6.58</v>
      </c>
      <c r="H1562" t="inlineStr">
        <is>
          <t>Proposal Sent</t>
        </is>
      </c>
      <c r="I1562" t="inlineStr">
        <is>
          <t>Lost</t>
        </is>
      </c>
      <c r="J1562" t="inlineStr">
        <is>
          <t>Budget Not Approved</t>
        </is>
      </c>
      <c r="K1562" t="n">
        <v>1627.2</v>
      </c>
      <c r="L1562" t="inlineStr">
        <is>
          <t>2025-05-28 13:27:45.984886</t>
        </is>
      </c>
      <c r="M1562">
        <f>VLOOKUP(H1562,'Stage Order'!$A$2:$B$8,2,FALSE)</f>
        <v/>
      </c>
      <c r="N1562">
        <f>IF(G1562&lt;=1,"1. Under 1 hour",IF(G1562&lt;=24,"2. 1-24 hours",IF(G1562&lt;=72,"3. 1-3 days","4. Over 3 days")))</f>
        <v/>
      </c>
      <c r="O1562">
        <f>TEXT(B1562,"YYYY-MM")</f>
        <v/>
      </c>
    </row>
    <row r="1563">
      <c r="A1563" t="inlineStr">
        <is>
          <t>LD-301561</t>
        </is>
      </c>
      <c r="B1563" t="inlineStr">
        <is>
          <t>2025-12-29 18:27:00</t>
        </is>
      </c>
      <c r="C1563" t="inlineStr">
        <is>
          <t>Paid Search</t>
        </is>
      </c>
      <c r="D1563" t="inlineStr">
        <is>
          <t>Coding for Kids</t>
        </is>
      </c>
      <c r="E1563" t="inlineStr">
        <is>
          <t>South Region</t>
        </is>
      </c>
      <c r="F1563" t="inlineStr">
        <is>
          <t>Rep_02</t>
        </is>
      </c>
      <c r="G1563" t="n">
        <v>1.51</v>
      </c>
      <c r="H1563" t="inlineStr">
        <is>
          <t>Lead</t>
        </is>
      </c>
      <c r="I1563" t="inlineStr">
        <is>
          <t>Open</t>
        </is>
      </c>
      <c r="M1563">
        <f>VLOOKUP(H1563,'Stage Order'!$A$2:$B$8,2,FALSE)</f>
        <v/>
      </c>
      <c r="N1563">
        <f>IF(G1563&lt;=1,"1. Under 1 hour",IF(G1563&lt;=24,"2. 1-24 hours",IF(G1563&lt;=72,"3. 1-3 days","4. Over 3 days")))</f>
        <v/>
      </c>
      <c r="O1563">
        <f>TEXT(B1563,"YYYY-MM")</f>
        <v/>
      </c>
    </row>
    <row r="1564">
      <c r="A1564" t="inlineStr">
        <is>
          <t>LD-301562</t>
        </is>
      </c>
      <c r="B1564" t="inlineStr">
        <is>
          <t>2025-01-17 13:34:00</t>
        </is>
      </c>
      <c r="C1564" t="inlineStr">
        <is>
          <t>Paid Search</t>
        </is>
      </c>
      <c r="D1564" t="inlineStr">
        <is>
          <t>Language Learning</t>
        </is>
      </c>
      <c r="E1564" t="inlineStr">
        <is>
          <t>North Region</t>
        </is>
      </c>
      <c r="F1564" t="inlineStr">
        <is>
          <t>Rep_11</t>
        </is>
      </c>
      <c r="G1564" t="n">
        <v>0.57</v>
      </c>
      <c r="H1564" t="inlineStr">
        <is>
          <t>Closed</t>
        </is>
      </c>
      <c r="I1564" t="inlineStr">
        <is>
          <t>Won</t>
        </is>
      </c>
      <c r="K1564" t="n">
        <v>351.61</v>
      </c>
      <c r="L1564" t="inlineStr">
        <is>
          <t>2025-03-01 05:17:54.167014</t>
        </is>
      </c>
      <c r="M1564">
        <f>VLOOKUP(H1564,'Stage Order'!$A$2:$B$8,2,FALSE)</f>
        <v/>
      </c>
      <c r="N1564">
        <f>IF(G1564&lt;=1,"1. Under 1 hour",IF(G1564&lt;=24,"2. 1-24 hours",IF(G1564&lt;=72,"3. 1-3 days","4. Over 3 days")))</f>
        <v/>
      </c>
      <c r="O1564">
        <f>TEXT(B1564,"YYYY-MM")</f>
        <v/>
      </c>
    </row>
    <row r="1565">
      <c r="A1565" t="inlineStr">
        <is>
          <t>LD-301563</t>
        </is>
      </c>
      <c r="B1565" t="inlineStr">
        <is>
          <t>2025-12-26 07:55:00</t>
        </is>
      </c>
      <c r="C1565" t="inlineStr">
        <is>
          <t>Paid Search</t>
        </is>
      </c>
      <c r="D1565" t="inlineStr">
        <is>
          <t>Competitive Exam Prep</t>
        </is>
      </c>
      <c r="E1565" t="inlineStr">
        <is>
          <t>International</t>
        </is>
      </c>
      <c r="F1565" t="inlineStr">
        <is>
          <t>Rep_05</t>
        </is>
      </c>
      <c r="G1565" t="n">
        <v>9.140000000000001</v>
      </c>
      <c r="H1565" t="inlineStr">
        <is>
          <t>Lead</t>
        </is>
      </c>
      <c r="I1565" t="inlineStr">
        <is>
          <t>Open</t>
        </is>
      </c>
      <c r="M1565">
        <f>VLOOKUP(H1565,'Stage Order'!$A$2:$B$8,2,FALSE)</f>
        <v/>
      </c>
      <c r="N1565">
        <f>IF(G1565&lt;=1,"1. Under 1 hour",IF(G1565&lt;=24,"2. 1-24 hours",IF(G1565&lt;=72,"3. 1-3 days","4. Over 3 days")))</f>
        <v/>
      </c>
      <c r="O1565">
        <f>TEXT(B1565,"YYYY-MM")</f>
        <v/>
      </c>
    </row>
    <row r="1566">
      <c r="A1566" t="inlineStr">
        <is>
          <t>LD-301564</t>
        </is>
      </c>
      <c r="B1566" t="inlineStr">
        <is>
          <t>2025-03-07 18:46:00</t>
        </is>
      </c>
      <c r="C1566" t="inlineStr">
        <is>
          <t>Organic Search</t>
        </is>
      </c>
      <c r="D1566" t="inlineStr">
        <is>
          <t>Language Learning</t>
        </is>
      </c>
      <c r="E1566" t="inlineStr">
        <is>
          <t>South Region</t>
        </is>
      </c>
      <c r="F1566" t="inlineStr">
        <is>
          <t>Rep_12</t>
        </is>
      </c>
      <c r="G1566" t="n">
        <v>3.81</v>
      </c>
      <c r="H1566" t="inlineStr">
        <is>
          <t>Contacted</t>
        </is>
      </c>
      <c r="I1566" t="inlineStr">
        <is>
          <t>Open</t>
        </is>
      </c>
      <c r="M1566">
        <f>VLOOKUP(H1566,'Stage Order'!$A$2:$B$8,2,FALSE)</f>
        <v/>
      </c>
      <c r="N1566">
        <f>IF(G1566&lt;=1,"1. Under 1 hour",IF(G1566&lt;=24,"2. 1-24 hours",IF(G1566&lt;=72,"3. 1-3 days","4. Over 3 days")))</f>
        <v/>
      </c>
      <c r="O1566">
        <f>TEXT(B1566,"YYYY-MM")</f>
        <v/>
      </c>
    </row>
    <row r="1567">
      <c r="A1567" t="inlineStr">
        <is>
          <t>LD-301565</t>
        </is>
      </c>
      <c r="B1567" t="inlineStr">
        <is>
          <t>2025-08-15 10:35:00</t>
        </is>
      </c>
      <c r="C1567" t="inlineStr">
        <is>
          <t>Paid Search</t>
        </is>
      </c>
      <c r="D1567" t="inlineStr">
        <is>
          <t>Coding for Kids</t>
        </is>
      </c>
      <c r="E1567" t="inlineStr">
        <is>
          <t>West Region</t>
        </is>
      </c>
      <c r="F1567" t="inlineStr">
        <is>
          <t>Rep_08</t>
        </is>
      </c>
      <c r="G1567" t="n">
        <v>12.55</v>
      </c>
      <c r="H1567" t="inlineStr">
        <is>
          <t>Contacted</t>
        </is>
      </c>
      <c r="I1567" t="inlineStr">
        <is>
          <t>Open</t>
        </is>
      </c>
      <c r="M1567">
        <f>VLOOKUP(H1567,'Stage Order'!$A$2:$B$8,2,FALSE)</f>
        <v/>
      </c>
      <c r="N1567">
        <f>IF(G1567&lt;=1,"1. Under 1 hour",IF(G1567&lt;=24,"2. 1-24 hours",IF(G1567&lt;=72,"3. 1-3 days","4. Over 3 days")))</f>
        <v/>
      </c>
      <c r="O1567">
        <f>TEXT(B1567,"YYYY-MM")</f>
        <v/>
      </c>
    </row>
    <row r="1568">
      <c r="A1568" t="inlineStr">
        <is>
          <t>LD-301566</t>
        </is>
      </c>
      <c r="B1568" t="inlineStr">
        <is>
          <t>2025-05-30 15:00:00</t>
        </is>
      </c>
      <c r="C1568" t="inlineStr">
        <is>
          <t>Paid Search</t>
        </is>
      </c>
      <c r="D1568" t="inlineStr">
        <is>
          <t>Coding for Kids</t>
        </is>
      </c>
      <c r="E1568" t="inlineStr">
        <is>
          <t>North Region</t>
        </is>
      </c>
      <c r="F1568" t="inlineStr">
        <is>
          <t>Rep_06</t>
        </is>
      </c>
      <c r="G1568" t="n">
        <v>8.359999999999999</v>
      </c>
      <c r="H1568" t="inlineStr">
        <is>
          <t>Lead</t>
        </is>
      </c>
      <c r="I1568" t="inlineStr">
        <is>
          <t>Open</t>
        </is>
      </c>
      <c r="M1568">
        <f>VLOOKUP(H1568,'Stage Order'!$A$2:$B$8,2,FALSE)</f>
        <v/>
      </c>
      <c r="N1568">
        <f>IF(G1568&lt;=1,"1. Under 1 hour",IF(G1568&lt;=24,"2. 1-24 hours",IF(G1568&lt;=72,"3. 1-3 days","4. Over 3 days")))</f>
        <v/>
      </c>
      <c r="O1568">
        <f>TEXT(B1568,"YYYY-MM")</f>
        <v/>
      </c>
    </row>
    <row r="1569">
      <c r="A1569" t="inlineStr">
        <is>
          <t>LD-301567</t>
        </is>
      </c>
      <c r="B1569" t="inlineStr">
        <is>
          <t>2025-03-08 17:04:00</t>
        </is>
      </c>
      <c r="C1569" t="inlineStr">
        <is>
          <t>Social Media</t>
        </is>
      </c>
      <c r="D1569" t="inlineStr">
        <is>
          <t>K-12 Math</t>
        </is>
      </c>
      <c r="E1569" t="inlineStr">
        <is>
          <t>North Region</t>
        </is>
      </c>
      <c r="F1569" t="inlineStr">
        <is>
          <t>Rep_11</t>
        </is>
      </c>
      <c r="G1569" t="n">
        <v>3.43</v>
      </c>
      <c r="H1569" t="inlineStr">
        <is>
          <t>Demo Completed</t>
        </is>
      </c>
      <c r="I1569" t="inlineStr">
        <is>
          <t>Lost</t>
        </is>
      </c>
      <c r="J1569" t="inlineStr">
        <is>
          <t>Went With Competitor</t>
        </is>
      </c>
      <c r="K1569" t="n">
        <v>535.3</v>
      </c>
      <c r="L1569" t="inlineStr">
        <is>
          <t>2025-04-08 07:38:59.607049</t>
        </is>
      </c>
      <c r="M1569">
        <f>VLOOKUP(H1569,'Stage Order'!$A$2:$B$8,2,FALSE)</f>
        <v/>
      </c>
      <c r="N1569">
        <f>IF(G1569&lt;=1,"1. Under 1 hour",IF(G1569&lt;=24,"2. 1-24 hours",IF(G1569&lt;=72,"3. 1-3 days","4. Over 3 days")))</f>
        <v/>
      </c>
      <c r="O1569">
        <f>TEXT(B1569,"YYYY-MM")</f>
        <v/>
      </c>
    </row>
    <row r="1570">
      <c r="A1570" t="inlineStr">
        <is>
          <t>LD-301568</t>
        </is>
      </c>
      <c r="B1570" t="inlineStr">
        <is>
          <t>2025-06-02 07:57:00</t>
        </is>
      </c>
      <c r="C1570" t="inlineStr">
        <is>
          <t>Partner Channel</t>
        </is>
      </c>
      <c r="D1570" t="inlineStr">
        <is>
          <t>Coding for Kids</t>
        </is>
      </c>
      <c r="E1570" t="inlineStr">
        <is>
          <t>North Region</t>
        </is>
      </c>
      <c r="F1570" t="inlineStr">
        <is>
          <t>Rep_01</t>
        </is>
      </c>
      <c r="G1570" t="n">
        <v>13.72</v>
      </c>
      <c r="H1570" t="inlineStr">
        <is>
          <t>Negotiation</t>
        </is>
      </c>
      <c r="I1570" t="inlineStr">
        <is>
          <t>Lost</t>
        </is>
      </c>
      <c r="J1570" t="inlineStr">
        <is>
          <t>Price Objection</t>
        </is>
      </c>
      <c r="K1570" t="n">
        <v>737.27</v>
      </c>
      <c r="L1570" t="inlineStr">
        <is>
          <t>2025-06-29 18:53:28.910830</t>
        </is>
      </c>
      <c r="M1570">
        <f>VLOOKUP(H1570,'Stage Order'!$A$2:$B$8,2,FALSE)</f>
        <v/>
      </c>
      <c r="N1570">
        <f>IF(G1570&lt;=1,"1. Under 1 hour",IF(G1570&lt;=24,"2. 1-24 hours",IF(G1570&lt;=72,"3. 1-3 days","4. Over 3 days")))</f>
        <v/>
      </c>
      <c r="O1570">
        <f>TEXT(B1570,"YYYY-MM")</f>
        <v/>
      </c>
    </row>
    <row r="1571">
      <c r="A1571" t="inlineStr">
        <is>
          <t>LD-301569</t>
        </is>
      </c>
      <c r="B1571" t="inlineStr">
        <is>
          <t>2025-02-09 10:27:00</t>
        </is>
      </c>
      <c r="C1571" t="inlineStr">
        <is>
          <t>Paid Search</t>
        </is>
      </c>
      <c r="D1571" t="inlineStr">
        <is>
          <t>Coding for Kids</t>
        </is>
      </c>
      <c r="E1571" t="inlineStr">
        <is>
          <t>North Region</t>
        </is>
      </c>
      <c r="F1571" t="inlineStr">
        <is>
          <t>Rep_01</t>
        </is>
      </c>
      <c r="G1571" t="n">
        <v>12.34</v>
      </c>
      <c r="H1571" t="inlineStr">
        <is>
          <t>Lead</t>
        </is>
      </c>
      <c r="I1571" t="inlineStr">
        <is>
          <t>Open</t>
        </is>
      </c>
      <c r="M1571">
        <f>VLOOKUP(H1571,'Stage Order'!$A$2:$B$8,2,FALSE)</f>
        <v/>
      </c>
      <c r="N1571">
        <f>IF(G1571&lt;=1,"1. Under 1 hour",IF(G1571&lt;=24,"2. 1-24 hours",IF(G1571&lt;=72,"3. 1-3 days","4. Over 3 days")))</f>
        <v/>
      </c>
      <c r="O1571">
        <f>TEXT(B1571,"YYYY-MM")</f>
        <v/>
      </c>
    </row>
    <row r="1572">
      <c r="A1572" t="inlineStr">
        <is>
          <t>LD-301570</t>
        </is>
      </c>
      <c r="B1572" t="inlineStr">
        <is>
          <t>2025-09-10 10:47:00</t>
        </is>
      </c>
      <c r="C1572" t="inlineStr">
        <is>
          <t>Organic Search</t>
        </is>
      </c>
      <c r="D1572" t="inlineStr">
        <is>
          <t>Coding for Kids</t>
        </is>
      </c>
      <c r="E1572" t="inlineStr">
        <is>
          <t>South Region</t>
        </is>
      </c>
      <c r="F1572" t="inlineStr">
        <is>
          <t>Rep_02</t>
        </is>
      </c>
      <c r="G1572" t="n">
        <v>2.24</v>
      </c>
      <c r="H1572" t="inlineStr">
        <is>
          <t>Negotiation</t>
        </is>
      </c>
      <c r="I1572" t="inlineStr">
        <is>
          <t>Lost</t>
        </is>
      </c>
      <c r="J1572" t="inlineStr">
        <is>
          <t>Price Objection</t>
        </is>
      </c>
      <c r="K1572" t="n">
        <v>729.37</v>
      </c>
      <c r="L1572" t="inlineStr">
        <is>
          <t>2025-11-04 14:22:26.123699</t>
        </is>
      </c>
      <c r="M1572">
        <f>VLOOKUP(H1572,'Stage Order'!$A$2:$B$8,2,FALSE)</f>
        <v/>
      </c>
      <c r="N1572">
        <f>IF(G1572&lt;=1,"1. Under 1 hour",IF(G1572&lt;=24,"2. 1-24 hours",IF(G1572&lt;=72,"3. 1-3 days","4. Over 3 days")))</f>
        <v/>
      </c>
      <c r="O1572">
        <f>TEXT(B1572,"YYYY-MM")</f>
        <v/>
      </c>
    </row>
    <row r="1573">
      <c r="A1573" t="inlineStr">
        <is>
          <t>LD-301571</t>
        </is>
      </c>
      <c r="B1573" t="inlineStr">
        <is>
          <t>2026-01-15 09:57:00</t>
        </is>
      </c>
      <c r="C1573" t="inlineStr">
        <is>
          <t>Organic Search</t>
        </is>
      </c>
      <c r="D1573" t="inlineStr">
        <is>
          <t>Competitive Exam Prep</t>
        </is>
      </c>
      <c r="E1573" t="inlineStr">
        <is>
          <t>North Region</t>
        </is>
      </c>
      <c r="F1573" t="inlineStr">
        <is>
          <t>Rep_01</t>
        </is>
      </c>
      <c r="G1573" t="n">
        <v>6.54</v>
      </c>
      <c r="H1573" t="inlineStr">
        <is>
          <t>Contacted</t>
        </is>
      </c>
      <c r="I1573" t="inlineStr">
        <is>
          <t>Open</t>
        </is>
      </c>
      <c r="M1573">
        <f>VLOOKUP(H1573,'Stage Order'!$A$2:$B$8,2,FALSE)</f>
        <v/>
      </c>
      <c r="N1573">
        <f>IF(G1573&lt;=1,"1. Under 1 hour",IF(G1573&lt;=24,"2. 1-24 hours",IF(G1573&lt;=72,"3. 1-3 days","4. Over 3 days")))</f>
        <v/>
      </c>
      <c r="O1573">
        <f>TEXT(B1573,"YYYY-MM")</f>
        <v/>
      </c>
    </row>
    <row r="1574">
      <c r="A1574" t="inlineStr">
        <is>
          <t>LD-301572</t>
        </is>
      </c>
      <c r="B1574" t="inlineStr">
        <is>
          <t>2026-05-12 11:19:00</t>
        </is>
      </c>
      <c r="C1574" t="inlineStr">
        <is>
          <t>Social Media</t>
        </is>
      </c>
      <c r="D1574" t="inlineStr">
        <is>
          <t>Coding for Kids</t>
        </is>
      </c>
      <c r="E1574" t="inlineStr">
        <is>
          <t>South Region</t>
        </is>
      </c>
      <c r="F1574" t="inlineStr">
        <is>
          <t>Rep_07</t>
        </is>
      </c>
      <c r="G1574" t="n">
        <v>7.87</v>
      </c>
      <c r="H1574" t="inlineStr">
        <is>
          <t>Demo Completed</t>
        </is>
      </c>
      <c r="I1574" t="inlineStr">
        <is>
          <t>Lost</t>
        </is>
      </c>
      <c r="J1574" t="inlineStr">
        <is>
          <t>No Response / Ghosted</t>
        </is>
      </c>
      <c r="K1574" t="n">
        <v>749.66</v>
      </c>
      <c r="L1574" t="inlineStr">
        <is>
          <t>2026-06-01 13:21:38.138314</t>
        </is>
      </c>
      <c r="M1574">
        <f>VLOOKUP(H1574,'Stage Order'!$A$2:$B$8,2,FALSE)</f>
        <v/>
      </c>
      <c r="N1574">
        <f>IF(G1574&lt;=1,"1. Under 1 hour",IF(G1574&lt;=24,"2. 1-24 hours",IF(G1574&lt;=72,"3. 1-3 days","4. Over 3 days")))</f>
        <v/>
      </c>
      <c r="O1574">
        <f>TEXT(B1574,"YYYY-MM")</f>
        <v/>
      </c>
    </row>
    <row r="1575">
      <c r="A1575" t="inlineStr">
        <is>
          <t>LD-301573</t>
        </is>
      </c>
      <c r="B1575" t="inlineStr">
        <is>
          <t>2025-10-10 18:47:00</t>
        </is>
      </c>
      <c r="C1575" t="inlineStr">
        <is>
          <t>Social Media</t>
        </is>
      </c>
      <c r="D1575" t="inlineStr">
        <is>
          <t>Competitive Exam Prep</t>
        </is>
      </c>
      <c r="E1575" t="inlineStr">
        <is>
          <t>North Region</t>
        </is>
      </c>
      <c r="F1575" t="inlineStr">
        <is>
          <t>Rep_01</t>
        </is>
      </c>
      <c r="G1575" t="n">
        <v>1.1</v>
      </c>
      <c r="H1575" t="inlineStr">
        <is>
          <t>Contacted</t>
        </is>
      </c>
      <c r="I1575" t="inlineStr">
        <is>
          <t>Open</t>
        </is>
      </c>
      <c r="M1575">
        <f>VLOOKUP(H1575,'Stage Order'!$A$2:$B$8,2,FALSE)</f>
        <v/>
      </c>
      <c r="N1575">
        <f>IF(G1575&lt;=1,"1. Under 1 hour",IF(G1575&lt;=24,"2. 1-24 hours",IF(G1575&lt;=72,"3. 1-3 days","4. Over 3 days")))</f>
        <v/>
      </c>
      <c r="O1575">
        <f>TEXT(B1575,"YYYY-MM")</f>
        <v/>
      </c>
    </row>
    <row r="1576">
      <c r="A1576" t="inlineStr">
        <is>
          <t>LD-301574</t>
        </is>
      </c>
      <c r="B1576" t="inlineStr">
        <is>
          <t>2025-09-17 19:50:00</t>
        </is>
      </c>
      <c r="C1576" t="inlineStr">
        <is>
          <t>Referral</t>
        </is>
      </c>
      <c r="D1576" t="inlineStr">
        <is>
          <t>Competitive Exam Prep</t>
        </is>
      </c>
      <c r="E1576" t="inlineStr">
        <is>
          <t>International</t>
        </is>
      </c>
      <c r="F1576" t="inlineStr">
        <is>
          <t>Rep_05</t>
        </is>
      </c>
      <c r="G1576" t="n">
        <v>2</v>
      </c>
      <c r="H1576" t="inlineStr">
        <is>
          <t>Contacted</t>
        </is>
      </c>
      <c r="I1576" t="inlineStr">
        <is>
          <t>Open</t>
        </is>
      </c>
      <c r="M1576">
        <f>VLOOKUP(H1576,'Stage Order'!$A$2:$B$8,2,FALSE)</f>
        <v/>
      </c>
      <c r="N1576">
        <f>IF(G1576&lt;=1,"1. Under 1 hour",IF(G1576&lt;=24,"2. 1-24 hours",IF(G1576&lt;=72,"3. 1-3 days","4. Over 3 days")))</f>
        <v/>
      </c>
      <c r="O1576">
        <f>TEXT(B1576,"YYYY-MM")</f>
        <v/>
      </c>
    </row>
    <row r="1577">
      <c r="A1577" t="inlineStr">
        <is>
          <t>LD-301575</t>
        </is>
      </c>
      <c r="B1577" t="inlineStr">
        <is>
          <t>2026-05-17 12:30:00</t>
        </is>
      </c>
      <c r="C1577" t="inlineStr">
        <is>
          <t>Paid Search</t>
        </is>
      </c>
      <c r="D1577" t="inlineStr">
        <is>
          <t>Competitive Exam Prep</t>
        </is>
      </c>
      <c r="E1577" t="inlineStr">
        <is>
          <t>International</t>
        </is>
      </c>
      <c r="F1577" t="inlineStr">
        <is>
          <t>Rep_15</t>
        </is>
      </c>
      <c r="G1577" t="n">
        <v>3.64</v>
      </c>
      <c r="H1577" t="inlineStr">
        <is>
          <t>Lead</t>
        </is>
      </c>
      <c r="I1577" t="inlineStr">
        <is>
          <t>Open</t>
        </is>
      </c>
      <c r="M1577">
        <f>VLOOKUP(H1577,'Stage Order'!$A$2:$B$8,2,FALSE)</f>
        <v/>
      </c>
      <c r="N1577">
        <f>IF(G1577&lt;=1,"1. Under 1 hour",IF(G1577&lt;=24,"2. 1-24 hours",IF(G1577&lt;=72,"3. 1-3 days","4. Over 3 days")))</f>
        <v/>
      </c>
      <c r="O1577">
        <f>TEXT(B1577,"YYYY-MM")</f>
        <v/>
      </c>
    </row>
    <row r="1578">
      <c r="A1578" t="inlineStr">
        <is>
          <t>LD-301576</t>
        </is>
      </c>
      <c r="B1578" t="inlineStr">
        <is>
          <t>2026-03-15 12:54:00</t>
        </is>
      </c>
      <c r="C1578" t="inlineStr">
        <is>
          <t>Social Media</t>
        </is>
      </c>
      <c r="D1578" t="inlineStr">
        <is>
          <t>K-12 Math</t>
        </is>
      </c>
      <c r="E1578" t="inlineStr">
        <is>
          <t>West Region</t>
        </is>
      </c>
      <c r="F1578" t="inlineStr">
        <is>
          <t>Rep_03</t>
        </is>
      </c>
      <c r="G1578" t="n">
        <v>1.82</v>
      </c>
      <c r="H1578" t="inlineStr">
        <is>
          <t>Lead</t>
        </is>
      </c>
      <c r="I1578" t="inlineStr">
        <is>
          <t>Open</t>
        </is>
      </c>
      <c r="M1578">
        <f>VLOOKUP(H1578,'Stage Order'!$A$2:$B$8,2,FALSE)</f>
        <v/>
      </c>
      <c r="N1578">
        <f>IF(G1578&lt;=1,"1. Under 1 hour",IF(G1578&lt;=24,"2. 1-24 hours",IF(G1578&lt;=72,"3. 1-3 days","4. Over 3 days")))</f>
        <v/>
      </c>
      <c r="O1578">
        <f>TEXT(B1578,"YYYY-MM")</f>
        <v/>
      </c>
    </row>
    <row r="1579">
      <c r="A1579" t="inlineStr">
        <is>
          <t>LD-301577</t>
        </is>
      </c>
      <c r="B1579" t="inlineStr">
        <is>
          <t>2025-04-18 20:38:00</t>
        </is>
      </c>
      <c r="C1579" t="inlineStr">
        <is>
          <t>Organic Search</t>
        </is>
      </c>
      <c r="D1579" t="inlineStr">
        <is>
          <t>K-12 Math</t>
        </is>
      </c>
      <c r="E1579" t="inlineStr">
        <is>
          <t>East Region</t>
        </is>
      </c>
      <c r="F1579" t="inlineStr">
        <is>
          <t>Rep_14</t>
        </is>
      </c>
      <c r="G1579" t="n">
        <v>0.95</v>
      </c>
      <c r="H1579" t="inlineStr">
        <is>
          <t>Contacted</t>
        </is>
      </c>
      <c r="I1579" t="inlineStr">
        <is>
          <t>Open</t>
        </is>
      </c>
      <c r="M1579">
        <f>VLOOKUP(H1579,'Stage Order'!$A$2:$B$8,2,FALSE)</f>
        <v/>
      </c>
      <c r="N1579">
        <f>IF(G1579&lt;=1,"1. Under 1 hour",IF(G1579&lt;=24,"2. 1-24 hours",IF(G1579&lt;=72,"3. 1-3 days","4. Over 3 days")))</f>
        <v/>
      </c>
      <c r="O1579">
        <f>TEXT(B1579,"YYYY-MM")</f>
        <v/>
      </c>
    </row>
    <row r="1580">
      <c r="A1580" t="inlineStr">
        <is>
          <t>LD-301578</t>
        </is>
      </c>
      <c r="B1580" t="inlineStr">
        <is>
          <t>2025-06-03 08:51:00</t>
        </is>
      </c>
      <c r="C1580" t="inlineStr">
        <is>
          <t>Social Media</t>
        </is>
      </c>
      <c r="D1580" t="inlineStr">
        <is>
          <t>Competitive Exam Prep</t>
        </is>
      </c>
      <c r="E1580" t="inlineStr">
        <is>
          <t>North Region</t>
        </is>
      </c>
      <c r="F1580" t="inlineStr">
        <is>
          <t>Rep_06</t>
        </is>
      </c>
      <c r="G1580" t="n">
        <v>2.89</v>
      </c>
      <c r="H1580" t="inlineStr">
        <is>
          <t>Contacted</t>
        </is>
      </c>
      <c r="I1580" t="inlineStr">
        <is>
          <t>Open</t>
        </is>
      </c>
      <c r="M1580">
        <f>VLOOKUP(H1580,'Stage Order'!$A$2:$B$8,2,FALSE)</f>
        <v/>
      </c>
      <c r="N1580">
        <f>IF(G1580&lt;=1,"1. Under 1 hour",IF(G1580&lt;=24,"2. 1-24 hours",IF(G1580&lt;=72,"3. 1-3 days","4. Over 3 days")))</f>
        <v/>
      </c>
      <c r="O1580">
        <f>TEXT(B1580,"YYYY-MM")</f>
        <v/>
      </c>
    </row>
    <row r="1581">
      <c r="A1581" t="inlineStr">
        <is>
          <t>LD-301579</t>
        </is>
      </c>
      <c r="B1581" t="inlineStr">
        <is>
          <t>2025-09-25 13:47:00</t>
        </is>
      </c>
      <c r="C1581" t="inlineStr">
        <is>
          <t>Paid Search</t>
        </is>
      </c>
      <c r="D1581" t="inlineStr">
        <is>
          <t>Study Abroad Prep</t>
        </is>
      </c>
      <c r="E1581" t="inlineStr">
        <is>
          <t>East Region</t>
        </is>
      </c>
      <c r="F1581" t="inlineStr">
        <is>
          <t>Rep_14</t>
        </is>
      </c>
      <c r="G1581" t="n">
        <v>2.54</v>
      </c>
      <c r="H1581" t="inlineStr">
        <is>
          <t>Contacted</t>
        </is>
      </c>
      <c r="I1581" t="inlineStr">
        <is>
          <t>Open</t>
        </is>
      </c>
      <c r="M1581">
        <f>VLOOKUP(H1581,'Stage Order'!$A$2:$B$8,2,FALSE)</f>
        <v/>
      </c>
      <c r="N1581">
        <f>IF(G1581&lt;=1,"1. Under 1 hour",IF(G1581&lt;=24,"2. 1-24 hours",IF(G1581&lt;=72,"3. 1-3 days","4. Over 3 days")))</f>
        <v/>
      </c>
      <c r="O1581">
        <f>TEXT(B1581,"YYYY-MM")</f>
        <v/>
      </c>
    </row>
    <row r="1582">
      <c r="A1582" t="inlineStr">
        <is>
          <t>LD-301580</t>
        </is>
      </c>
      <c r="B1582" t="inlineStr">
        <is>
          <t>2025-02-07 20:09:00</t>
        </is>
      </c>
      <c r="C1582" t="inlineStr">
        <is>
          <t>Organic Search</t>
        </is>
      </c>
      <c r="D1582" t="inlineStr">
        <is>
          <t>Language Learning</t>
        </is>
      </c>
      <c r="E1582" t="inlineStr">
        <is>
          <t>South Region</t>
        </is>
      </c>
      <c r="F1582" t="inlineStr">
        <is>
          <t>Rep_02</t>
        </is>
      </c>
      <c r="G1582" t="n">
        <v>20.48</v>
      </c>
      <c r="H1582" t="inlineStr">
        <is>
          <t>Negotiation</t>
        </is>
      </c>
      <c r="I1582" t="inlineStr">
        <is>
          <t>Lost</t>
        </is>
      </c>
      <c r="J1582" t="inlineStr">
        <is>
          <t>No Response / Ghosted</t>
        </is>
      </c>
      <c r="K1582" t="n">
        <v>387.96</v>
      </c>
      <c r="L1582" t="inlineStr">
        <is>
          <t>2025-03-16 15:58:47.529544</t>
        </is>
      </c>
      <c r="M1582">
        <f>VLOOKUP(H1582,'Stage Order'!$A$2:$B$8,2,FALSE)</f>
        <v/>
      </c>
      <c r="N1582">
        <f>IF(G1582&lt;=1,"1. Under 1 hour",IF(G1582&lt;=24,"2. 1-24 hours",IF(G1582&lt;=72,"3. 1-3 days","4. Over 3 days")))</f>
        <v/>
      </c>
      <c r="O1582">
        <f>TEXT(B1582,"YYYY-MM")</f>
        <v/>
      </c>
    </row>
    <row r="1583">
      <c r="A1583" t="inlineStr">
        <is>
          <t>LD-301581</t>
        </is>
      </c>
      <c r="B1583" t="inlineStr">
        <is>
          <t>2026-05-04 07:28:00</t>
        </is>
      </c>
      <c r="C1583" t="inlineStr">
        <is>
          <t>Paid Search</t>
        </is>
      </c>
      <c r="D1583" t="inlineStr">
        <is>
          <t>Competitive Exam Prep</t>
        </is>
      </c>
      <c r="E1583" t="inlineStr">
        <is>
          <t>North Region</t>
        </is>
      </c>
      <c r="F1583" t="inlineStr">
        <is>
          <t>Rep_11</t>
        </is>
      </c>
      <c r="G1583" t="n">
        <v>1.32</v>
      </c>
      <c r="H1583" t="inlineStr">
        <is>
          <t>Demo Completed</t>
        </is>
      </c>
      <c r="I1583" t="inlineStr">
        <is>
          <t>Lost</t>
        </is>
      </c>
      <c r="J1583" t="inlineStr">
        <is>
          <t>Price Objection</t>
        </is>
      </c>
      <c r="K1583" t="n">
        <v>1106.02</v>
      </c>
      <c r="L1583" t="inlineStr">
        <is>
          <t>2026-05-31 23:18:24.039167</t>
        </is>
      </c>
      <c r="M1583">
        <f>VLOOKUP(H1583,'Stage Order'!$A$2:$B$8,2,FALSE)</f>
        <v/>
      </c>
      <c r="N1583">
        <f>IF(G1583&lt;=1,"1. Under 1 hour",IF(G1583&lt;=24,"2. 1-24 hours",IF(G1583&lt;=72,"3. 1-3 days","4. Over 3 days")))</f>
        <v/>
      </c>
      <c r="O1583">
        <f>TEXT(B1583,"YYYY-MM")</f>
        <v/>
      </c>
    </row>
    <row r="1584">
      <c r="A1584" t="inlineStr">
        <is>
          <t>LD-301582</t>
        </is>
      </c>
      <c r="B1584" t="inlineStr">
        <is>
          <t>2025-08-07 11:29:00</t>
        </is>
      </c>
      <c r="C1584" t="inlineStr">
        <is>
          <t>Paid Search</t>
        </is>
      </c>
      <c r="D1584" t="inlineStr">
        <is>
          <t>K-12 Math</t>
        </is>
      </c>
      <c r="E1584" t="inlineStr">
        <is>
          <t>International</t>
        </is>
      </c>
      <c r="F1584" t="inlineStr">
        <is>
          <t>Rep_05</t>
        </is>
      </c>
      <c r="G1584" t="n">
        <v>5.03</v>
      </c>
      <c r="H1584" t="inlineStr">
        <is>
          <t>Demo Completed</t>
        </is>
      </c>
      <c r="I1584" t="inlineStr">
        <is>
          <t>Lost</t>
        </is>
      </c>
      <c r="J1584" t="inlineStr">
        <is>
          <t>Price Objection</t>
        </is>
      </c>
      <c r="K1584" t="n">
        <v>446.98</v>
      </c>
      <c r="L1584" t="inlineStr">
        <is>
          <t>2025-09-18 23:54:40.025223</t>
        </is>
      </c>
      <c r="M1584">
        <f>VLOOKUP(H1584,'Stage Order'!$A$2:$B$8,2,FALSE)</f>
        <v/>
      </c>
      <c r="N1584">
        <f>IF(G1584&lt;=1,"1. Under 1 hour",IF(G1584&lt;=24,"2. 1-24 hours",IF(G1584&lt;=72,"3. 1-3 days","4. Over 3 days")))</f>
        <v/>
      </c>
      <c r="O1584">
        <f>TEXT(B1584,"YYYY-MM")</f>
        <v/>
      </c>
    </row>
    <row r="1585">
      <c r="A1585" t="inlineStr">
        <is>
          <t>LD-301583</t>
        </is>
      </c>
      <c r="B1585" t="inlineStr">
        <is>
          <t>2025-12-30 08:14:00</t>
        </is>
      </c>
      <c r="C1585" t="inlineStr">
        <is>
          <t>Referral</t>
        </is>
      </c>
      <c r="D1585" t="inlineStr">
        <is>
          <t>Coding for Kids</t>
        </is>
      </c>
      <c r="E1585" t="inlineStr">
        <is>
          <t>South Region</t>
        </is>
      </c>
      <c r="F1585" t="inlineStr">
        <is>
          <t>Rep_07</t>
        </is>
      </c>
      <c r="G1585" t="n">
        <v>2.14</v>
      </c>
      <c r="H1585" t="inlineStr">
        <is>
          <t>Negotiation</t>
        </is>
      </c>
      <c r="I1585" t="inlineStr">
        <is>
          <t>Lost</t>
        </is>
      </c>
      <c r="J1585" t="inlineStr">
        <is>
          <t>Price Objection</t>
        </is>
      </c>
      <c r="K1585" t="n">
        <v>744.47</v>
      </c>
      <c r="L1585" t="inlineStr">
        <is>
          <t>2026-01-31 08:49:18.508647</t>
        </is>
      </c>
      <c r="M1585">
        <f>VLOOKUP(H1585,'Stage Order'!$A$2:$B$8,2,FALSE)</f>
        <v/>
      </c>
      <c r="N1585">
        <f>IF(G1585&lt;=1,"1. Under 1 hour",IF(G1585&lt;=24,"2. 1-24 hours",IF(G1585&lt;=72,"3. 1-3 days","4. Over 3 days")))</f>
        <v/>
      </c>
      <c r="O1585">
        <f>TEXT(B1585,"YYYY-MM")</f>
        <v/>
      </c>
    </row>
    <row r="1586">
      <c r="A1586" t="inlineStr">
        <is>
          <t>LD-301584</t>
        </is>
      </c>
      <c r="B1586" t="inlineStr">
        <is>
          <t>2026-03-06 16:13:00</t>
        </is>
      </c>
      <c r="C1586" t="inlineStr">
        <is>
          <t>Organic Search</t>
        </is>
      </c>
      <c r="D1586" t="inlineStr">
        <is>
          <t>Study Abroad Prep</t>
        </is>
      </c>
      <c r="E1586" t="inlineStr">
        <is>
          <t>South Region</t>
        </is>
      </c>
      <c r="F1586" t="inlineStr">
        <is>
          <t>Rep_12</t>
        </is>
      </c>
      <c r="G1586" t="n">
        <v>1.64</v>
      </c>
      <c r="H1586" t="inlineStr">
        <is>
          <t>Contacted</t>
        </is>
      </c>
      <c r="I1586" t="inlineStr">
        <is>
          <t>Open</t>
        </is>
      </c>
      <c r="M1586">
        <f>VLOOKUP(H1586,'Stage Order'!$A$2:$B$8,2,FALSE)</f>
        <v/>
      </c>
      <c r="N1586">
        <f>IF(G1586&lt;=1,"1. Under 1 hour",IF(G1586&lt;=24,"2. 1-24 hours",IF(G1586&lt;=72,"3. 1-3 days","4. Over 3 days")))</f>
        <v/>
      </c>
      <c r="O1586">
        <f>TEXT(B1586,"YYYY-MM")</f>
        <v/>
      </c>
    </row>
    <row r="1587">
      <c r="A1587" t="inlineStr">
        <is>
          <t>LD-301585</t>
        </is>
      </c>
      <c r="B1587" t="inlineStr">
        <is>
          <t>2025-01-29 12:30:00</t>
        </is>
      </c>
      <c r="C1587" t="inlineStr">
        <is>
          <t>Organic Search</t>
        </is>
      </c>
      <c r="D1587" t="inlineStr">
        <is>
          <t>K-12 Math</t>
        </is>
      </c>
      <c r="E1587" t="inlineStr">
        <is>
          <t>East Region</t>
        </is>
      </c>
      <c r="F1587" t="inlineStr">
        <is>
          <t>Rep_04</t>
        </is>
      </c>
      <c r="G1587" t="n">
        <v>14.59</v>
      </c>
      <c r="H1587" t="inlineStr">
        <is>
          <t>Contacted</t>
        </is>
      </c>
      <c r="I1587" t="inlineStr">
        <is>
          <t>Open</t>
        </is>
      </c>
      <c r="M1587">
        <f>VLOOKUP(H1587,'Stage Order'!$A$2:$B$8,2,FALSE)</f>
        <v/>
      </c>
      <c r="N1587">
        <f>IF(G1587&lt;=1,"1. Under 1 hour",IF(G1587&lt;=24,"2. 1-24 hours",IF(G1587&lt;=72,"3. 1-3 days","4. Over 3 days")))</f>
        <v/>
      </c>
      <c r="O1587">
        <f>TEXT(B1587,"YYYY-MM")</f>
        <v/>
      </c>
    </row>
    <row r="1588">
      <c r="A1588" t="inlineStr">
        <is>
          <t>LD-301586</t>
        </is>
      </c>
      <c r="B1588" t="inlineStr">
        <is>
          <t>2026-01-01 12:06:00</t>
        </is>
      </c>
      <c r="C1588" t="inlineStr">
        <is>
          <t>Organic Search</t>
        </is>
      </c>
      <c r="D1588" t="inlineStr">
        <is>
          <t>Coding for Kids</t>
        </is>
      </c>
      <c r="E1588" t="inlineStr">
        <is>
          <t>North Region</t>
        </is>
      </c>
      <c r="F1588" t="inlineStr">
        <is>
          <t>Rep_06</t>
        </is>
      </c>
      <c r="G1588" t="n">
        <v>1.07</v>
      </c>
      <c r="H1588" t="inlineStr">
        <is>
          <t>Lead</t>
        </is>
      </c>
      <c r="I1588" t="inlineStr">
        <is>
          <t>Open</t>
        </is>
      </c>
      <c r="M1588">
        <f>VLOOKUP(H1588,'Stage Order'!$A$2:$B$8,2,FALSE)</f>
        <v/>
      </c>
      <c r="N1588">
        <f>IF(G1588&lt;=1,"1. Under 1 hour",IF(G1588&lt;=24,"2. 1-24 hours",IF(G1588&lt;=72,"3. 1-3 days","4. Over 3 days")))</f>
        <v/>
      </c>
      <c r="O1588">
        <f>TEXT(B1588,"YYYY-MM")</f>
        <v/>
      </c>
    </row>
    <row r="1589">
      <c r="A1589" t="inlineStr">
        <is>
          <t>LD-301587</t>
        </is>
      </c>
      <c r="B1589" t="inlineStr">
        <is>
          <t>2025-09-26 08:20:00</t>
        </is>
      </c>
      <c r="C1589" t="inlineStr">
        <is>
          <t>Referral</t>
        </is>
      </c>
      <c r="D1589" t="inlineStr">
        <is>
          <t>K-12 Math</t>
        </is>
      </c>
      <c r="E1589" t="inlineStr">
        <is>
          <t>International</t>
        </is>
      </c>
      <c r="F1589" t="inlineStr">
        <is>
          <t>Rep_10</t>
        </is>
      </c>
      <c r="G1589" t="n">
        <v>3.27</v>
      </c>
      <c r="H1589" t="inlineStr">
        <is>
          <t>Closed</t>
        </is>
      </c>
      <c r="I1589" t="inlineStr">
        <is>
          <t>Won</t>
        </is>
      </c>
      <c r="K1589" t="n">
        <v>441.06</v>
      </c>
      <c r="L1589" t="inlineStr">
        <is>
          <t>2025-11-04 15:40:56.754093</t>
        </is>
      </c>
      <c r="M1589">
        <f>VLOOKUP(H1589,'Stage Order'!$A$2:$B$8,2,FALSE)</f>
        <v/>
      </c>
      <c r="N1589">
        <f>IF(G1589&lt;=1,"1. Under 1 hour",IF(G1589&lt;=24,"2. 1-24 hours",IF(G1589&lt;=72,"3. 1-3 days","4. Over 3 days")))</f>
        <v/>
      </c>
      <c r="O1589">
        <f>TEXT(B1589,"YYYY-MM")</f>
        <v/>
      </c>
    </row>
    <row r="1590">
      <c r="A1590" t="inlineStr">
        <is>
          <t>LD-301588</t>
        </is>
      </c>
      <c r="B1590" t="inlineStr">
        <is>
          <t>2025-04-18 10:01:00</t>
        </is>
      </c>
      <c r="C1590" t="inlineStr">
        <is>
          <t>Cold Outreach</t>
        </is>
      </c>
      <c r="D1590" t="inlineStr">
        <is>
          <t>Language Learning</t>
        </is>
      </c>
      <c r="E1590" t="inlineStr">
        <is>
          <t>West Region</t>
        </is>
      </c>
      <c r="F1590" t="inlineStr">
        <is>
          <t>Rep_08</t>
        </is>
      </c>
      <c r="G1590" t="n">
        <v>2.39</v>
      </c>
      <c r="H1590" t="inlineStr">
        <is>
          <t>Contacted</t>
        </is>
      </c>
      <c r="I1590" t="inlineStr">
        <is>
          <t>Open</t>
        </is>
      </c>
      <c r="M1590">
        <f>VLOOKUP(H1590,'Stage Order'!$A$2:$B$8,2,FALSE)</f>
        <v/>
      </c>
      <c r="N1590">
        <f>IF(G1590&lt;=1,"1. Under 1 hour",IF(G1590&lt;=24,"2. 1-24 hours",IF(G1590&lt;=72,"3. 1-3 days","4. Over 3 days")))</f>
        <v/>
      </c>
      <c r="O1590">
        <f>TEXT(B1590,"YYYY-MM")</f>
        <v/>
      </c>
    </row>
    <row r="1591">
      <c r="A1591" t="inlineStr">
        <is>
          <t>LD-301589</t>
        </is>
      </c>
      <c r="B1591" t="inlineStr">
        <is>
          <t>2025-09-20 09:12:00</t>
        </is>
      </c>
      <c r="C1591" t="inlineStr">
        <is>
          <t>Webinar</t>
        </is>
      </c>
      <c r="D1591" t="inlineStr">
        <is>
          <t>Coding for Kids</t>
        </is>
      </c>
      <c r="E1591" t="inlineStr">
        <is>
          <t>North Region</t>
        </is>
      </c>
      <c r="F1591" t="inlineStr">
        <is>
          <t>Rep_11</t>
        </is>
      </c>
      <c r="G1591" t="n">
        <v>10.88</v>
      </c>
      <c r="H1591" t="inlineStr">
        <is>
          <t>Negotiation</t>
        </is>
      </c>
      <c r="I1591" t="inlineStr">
        <is>
          <t>Lost</t>
        </is>
      </c>
      <c r="J1591" t="inlineStr">
        <is>
          <t>Price Objection</t>
        </is>
      </c>
      <c r="K1591" t="n">
        <v>731.17</v>
      </c>
      <c r="L1591" t="inlineStr">
        <is>
          <t>2025-11-02 15:42:13.036435</t>
        </is>
      </c>
      <c r="M1591">
        <f>VLOOKUP(H1591,'Stage Order'!$A$2:$B$8,2,FALSE)</f>
        <v/>
      </c>
      <c r="N1591">
        <f>IF(G1591&lt;=1,"1. Under 1 hour",IF(G1591&lt;=24,"2. 1-24 hours",IF(G1591&lt;=72,"3. 1-3 days","4. Over 3 days")))</f>
        <v/>
      </c>
      <c r="O1591">
        <f>TEXT(B1591,"YYYY-MM")</f>
        <v/>
      </c>
    </row>
    <row r="1592">
      <c r="A1592" t="inlineStr">
        <is>
          <t>LD-301590</t>
        </is>
      </c>
      <c r="B1592" t="inlineStr">
        <is>
          <t>2025-08-08 08:08:00</t>
        </is>
      </c>
      <c r="C1592" t="inlineStr">
        <is>
          <t>Cold Outreach</t>
        </is>
      </c>
      <c r="D1592" t="inlineStr">
        <is>
          <t>Language Learning</t>
        </is>
      </c>
      <c r="E1592" t="inlineStr">
        <is>
          <t>South Region</t>
        </is>
      </c>
      <c r="F1592" t="inlineStr">
        <is>
          <t>Rep_12</t>
        </is>
      </c>
      <c r="G1592" t="n">
        <v>1.62</v>
      </c>
      <c r="H1592" t="inlineStr">
        <is>
          <t>Contacted</t>
        </is>
      </c>
      <c r="I1592" t="inlineStr">
        <is>
          <t>Open</t>
        </is>
      </c>
      <c r="M1592">
        <f>VLOOKUP(H1592,'Stage Order'!$A$2:$B$8,2,FALSE)</f>
        <v/>
      </c>
      <c r="N1592">
        <f>IF(G1592&lt;=1,"1. Under 1 hour",IF(G1592&lt;=24,"2. 1-24 hours",IF(G1592&lt;=72,"3. 1-3 days","4. Over 3 days")))</f>
        <v/>
      </c>
      <c r="O1592">
        <f>TEXT(B1592,"YYYY-MM")</f>
        <v/>
      </c>
    </row>
    <row r="1593">
      <c r="A1593" t="inlineStr">
        <is>
          <t>LD-301591</t>
        </is>
      </c>
      <c r="B1593" t="inlineStr">
        <is>
          <t>2026-05-19 12:03:00</t>
        </is>
      </c>
      <c r="C1593" t="inlineStr">
        <is>
          <t>Webinar</t>
        </is>
      </c>
      <c r="D1593" t="inlineStr">
        <is>
          <t>Language Learning</t>
        </is>
      </c>
      <c r="E1593" t="inlineStr">
        <is>
          <t>North Region</t>
        </is>
      </c>
      <c r="F1593" t="inlineStr">
        <is>
          <t>Rep_01</t>
        </is>
      </c>
      <c r="G1593" t="n">
        <v>8.119999999999999</v>
      </c>
      <c r="H1593" t="inlineStr">
        <is>
          <t>Proposal Sent</t>
        </is>
      </c>
      <c r="I1593" t="inlineStr">
        <is>
          <t>Lost</t>
        </is>
      </c>
      <c r="J1593" t="inlineStr">
        <is>
          <t>Bad Timing</t>
        </is>
      </c>
      <c r="K1593" t="n">
        <v>321.28</v>
      </c>
      <c r="L1593" t="inlineStr">
        <is>
          <t>2026-06-26 17:04:15.690380</t>
        </is>
      </c>
      <c r="M1593">
        <f>VLOOKUP(H1593,'Stage Order'!$A$2:$B$8,2,FALSE)</f>
        <v/>
      </c>
      <c r="N1593">
        <f>IF(G1593&lt;=1,"1. Under 1 hour",IF(G1593&lt;=24,"2. 1-24 hours",IF(G1593&lt;=72,"3. 1-3 days","4. Over 3 days")))</f>
        <v/>
      </c>
      <c r="O1593">
        <f>TEXT(B1593,"YYYY-MM")</f>
        <v/>
      </c>
    </row>
    <row r="1594">
      <c r="A1594" t="inlineStr">
        <is>
          <t>LD-301592</t>
        </is>
      </c>
      <c r="B1594" t="inlineStr">
        <is>
          <t>2025-03-10 15:13:00</t>
        </is>
      </c>
      <c r="C1594" t="inlineStr">
        <is>
          <t>Referral</t>
        </is>
      </c>
      <c r="D1594" t="inlineStr">
        <is>
          <t>Study Abroad Prep</t>
        </is>
      </c>
      <c r="E1594" t="inlineStr">
        <is>
          <t>West Region</t>
        </is>
      </c>
      <c r="F1594" t="inlineStr">
        <is>
          <t>Rep_13</t>
        </is>
      </c>
      <c r="G1594" t="n">
        <v>0.29</v>
      </c>
      <c r="H1594" t="inlineStr">
        <is>
          <t>Closed</t>
        </is>
      </c>
      <c r="I1594" t="inlineStr">
        <is>
          <t>Won</t>
        </is>
      </c>
      <c r="K1594" t="n">
        <v>1548.07</v>
      </c>
      <c r="L1594" t="inlineStr">
        <is>
          <t>2025-04-11 18:33:39.315591</t>
        </is>
      </c>
      <c r="M1594">
        <f>VLOOKUP(H1594,'Stage Order'!$A$2:$B$8,2,FALSE)</f>
        <v/>
      </c>
      <c r="N1594">
        <f>IF(G1594&lt;=1,"1. Under 1 hour",IF(G1594&lt;=24,"2. 1-24 hours",IF(G1594&lt;=72,"3. 1-3 days","4. Over 3 days")))</f>
        <v/>
      </c>
      <c r="O1594">
        <f>TEXT(B1594,"YYYY-MM")</f>
        <v/>
      </c>
    </row>
    <row r="1595">
      <c r="A1595" t="inlineStr">
        <is>
          <t>LD-301593</t>
        </is>
      </c>
      <c r="B1595" t="inlineStr">
        <is>
          <t>2025-03-14 19:15:00</t>
        </is>
      </c>
      <c r="C1595" t="inlineStr">
        <is>
          <t>Organic Search</t>
        </is>
      </c>
      <c r="D1595" t="inlineStr">
        <is>
          <t>Language Learning</t>
        </is>
      </c>
      <c r="E1595" t="inlineStr">
        <is>
          <t>East Region</t>
        </is>
      </c>
      <c r="F1595" t="inlineStr">
        <is>
          <t>Rep_09</t>
        </is>
      </c>
      <c r="G1595" t="n">
        <v>2.75</v>
      </c>
      <c r="H1595" t="inlineStr">
        <is>
          <t>Proposal Sent</t>
        </is>
      </c>
      <c r="I1595" t="inlineStr">
        <is>
          <t>Lost</t>
        </is>
      </c>
      <c r="J1595" t="inlineStr">
        <is>
          <t>Went With Competitor</t>
        </is>
      </c>
      <c r="K1595" t="n">
        <v>303.03</v>
      </c>
      <c r="L1595" t="inlineStr">
        <is>
          <t>2025-04-29 02:46:45.839164</t>
        </is>
      </c>
      <c r="M1595">
        <f>VLOOKUP(H1595,'Stage Order'!$A$2:$B$8,2,FALSE)</f>
        <v/>
      </c>
      <c r="N1595">
        <f>IF(G1595&lt;=1,"1. Under 1 hour",IF(G1595&lt;=24,"2. 1-24 hours",IF(G1595&lt;=72,"3. 1-3 days","4. Over 3 days")))</f>
        <v/>
      </c>
      <c r="O1595">
        <f>TEXT(B1595,"YYYY-MM")</f>
        <v/>
      </c>
    </row>
    <row r="1596">
      <c r="A1596" t="inlineStr">
        <is>
          <t>LD-301594</t>
        </is>
      </c>
      <c r="B1596" t="inlineStr">
        <is>
          <t>2025-03-07 16:01:00</t>
        </is>
      </c>
      <c r="C1596" t="inlineStr">
        <is>
          <t>Cold Outreach</t>
        </is>
      </c>
      <c r="D1596" t="inlineStr">
        <is>
          <t>K-12 Math</t>
        </is>
      </c>
      <c r="E1596" t="inlineStr">
        <is>
          <t>South Region</t>
        </is>
      </c>
      <c r="F1596" t="inlineStr">
        <is>
          <t>Rep_02</t>
        </is>
      </c>
      <c r="G1596" t="n">
        <v>1.35</v>
      </c>
      <c r="H1596" t="inlineStr">
        <is>
          <t>Contacted</t>
        </is>
      </c>
      <c r="I1596" t="inlineStr">
        <is>
          <t>Open</t>
        </is>
      </c>
      <c r="M1596">
        <f>VLOOKUP(H1596,'Stage Order'!$A$2:$B$8,2,FALSE)</f>
        <v/>
      </c>
      <c r="N1596">
        <f>IF(G1596&lt;=1,"1. Under 1 hour",IF(G1596&lt;=24,"2. 1-24 hours",IF(G1596&lt;=72,"3. 1-3 days","4. Over 3 days")))</f>
        <v/>
      </c>
      <c r="O1596">
        <f>TEXT(B1596,"YYYY-MM")</f>
        <v/>
      </c>
    </row>
    <row r="1597">
      <c r="A1597" t="inlineStr">
        <is>
          <t>LD-301595</t>
        </is>
      </c>
      <c r="B1597" t="inlineStr">
        <is>
          <t>2025-11-01 17:08:00</t>
        </is>
      </c>
      <c r="C1597" t="inlineStr">
        <is>
          <t>Organic Search</t>
        </is>
      </c>
      <c r="D1597" t="inlineStr">
        <is>
          <t>K-12 Math</t>
        </is>
      </c>
      <c r="E1597" t="inlineStr">
        <is>
          <t>East Region</t>
        </is>
      </c>
      <c r="F1597" t="inlineStr">
        <is>
          <t>Rep_14</t>
        </is>
      </c>
      <c r="G1597" t="n">
        <v>13.61</v>
      </c>
      <c r="H1597" t="inlineStr">
        <is>
          <t>Contacted</t>
        </is>
      </c>
      <c r="I1597" t="inlineStr">
        <is>
          <t>Open</t>
        </is>
      </c>
      <c r="M1597">
        <f>VLOOKUP(H1597,'Stage Order'!$A$2:$B$8,2,FALSE)</f>
        <v/>
      </c>
      <c r="N1597">
        <f>IF(G1597&lt;=1,"1. Under 1 hour",IF(G1597&lt;=24,"2. 1-24 hours",IF(G1597&lt;=72,"3. 1-3 days","4. Over 3 days")))</f>
        <v/>
      </c>
      <c r="O1597">
        <f>TEXT(B1597,"YYYY-MM")</f>
        <v/>
      </c>
    </row>
    <row r="1598">
      <c r="A1598" t="inlineStr">
        <is>
          <t>LD-301596</t>
        </is>
      </c>
      <c r="B1598" t="inlineStr">
        <is>
          <t>2025-01-23 13:19:00</t>
        </is>
      </c>
      <c r="C1598" t="inlineStr">
        <is>
          <t>Social Media</t>
        </is>
      </c>
      <c r="D1598" t="inlineStr">
        <is>
          <t>K-12 Math</t>
        </is>
      </c>
      <c r="E1598" t="inlineStr">
        <is>
          <t>South Region</t>
        </is>
      </c>
      <c r="F1598" t="inlineStr">
        <is>
          <t>Rep_07</t>
        </is>
      </c>
      <c r="G1598" t="n">
        <v>5.41</v>
      </c>
      <c r="H1598" t="inlineStr">
        <is>
          <t>Contacted</t>
        </is>
      </c>
      <c r="I1598" t="inlineStr">
        <is>
          <t>Open</t>
        </is>
      </c>
      <c r="M1598">
        <f>VLOOKUP(H1598,'Stage Order'!$A$2:$B$8,2,FALSE)</f>
        <v/>
      </c>
      <c r="N1598">
        <f>IF(G1598&lt;=1,"1. Under 1 hour",IF(G1598&lt;=24,"2. 1-24 hours",IF(G1598&lt;=72,"3. 1-3 days","4. Over 3 days")))</f>
        <v/>
      </c>
      <c r="O1598">
        <f>TEXT(B1598,"YYYY-MM")</f>
        <v/>
      </c>
    </row>
    <row r="1599">
      <c r="A1599" t="inlineStr">
        <is>
          <t>LD-301597</t>
        </is>
      </c>
      <c r="B1599" t="inlineStr">
        <is>
          <t>2026-02-09 09:32:00</t>
        </is>
      </c>
      <c r="C1599" t="inlineStr">
        <is>
          <t>Paid Search</t>
        </is>
      </c>
      <c r="D1599" t="inlineStr">
        <is>
          <t>Competitive Exam Prep</t>
        </is>
      </c>
      <c r="E1599" t="inlineStr">
        <is>
          <t>North Region</t>
        </is>
      </c>
      <c r="F1599" t="inlineStr">
        <is>
          <t>Rep_11</t>
        </is>
      </c>
      <c r="G1599" t="n">
        <v>5.88</v>
      </c>
      <c r="H1599" t="inlineStr">
        <is>
          <t>Lead</t>
        </is>
      </c>
      <c r="I1599" t="inlineStr">
        <is>
          <t>Open</t>
        </is>
      </c>
      <c r="M1599">
        <f>VLOOKUP(H1599,'Stage Order'!$A$2:$B$8,2,FALSE)</f>
        <v/>
      </c>
      <c r="N1599">
        <f>IF(G1599&lt;=1,"1. Under 1 hour",IF(G1599&lt;=24,"2. 1-24 hours",IF(G1599&lt;=72,"3. 1-3 days","4. Over 3 days")))</f>
        <v/>
      </c>
      <c r="O1599">
        <f>TEXT(B1599,"YYYY-MM")</f>
        <v/>
      </c>
    </row>
    <row r="1600">
      <c r="A1600" t="inlineStr">
        <is>
          <t>LD-301598</t>
        </is>
      </c>
      <c r="B1600" t="inlineStr">
        <is>
          <t>2026-06-29 14:31:00</t>
        </is>
      </c>
      <c r="C1600" t="inlineStr">
        <is>
          <t>Paid Search</t>
        </is>
      </c>
      <c r="D1600" t="inlineStr">
        <is>
          <t>Coding for Kids</t>
        </is>
      </c>
      <c r="E1600" t="inlineStr">
        <is>
          <t>West Region</t>
        </is>
      </c>
      <c r="F1600" t="inlineStr">
        <is>
          <t>Rep_08</t>
        </is>
      </c>
      <c r="G1600" t="n">
        <v>2.55</v>
      </c>
      <c r="H1600" t="inlineStr">
        <is>
          <t>Negotiation</t>
        </is>
      </c>
      <c r="I1600" t="inlineStr">
        <is>
          <t>Lost</t>
        </is>
      </c>
      <c r="J1600" t="inlineStr">
        <is>
          <t>Went With Competitor</t>
        </is>
      </c>
      <c r="K1600" t="n">
        <v>735.5599999999999</v>
      </c>
      <c r="L1600" t="inlineStr">
        <is>
          <t>2026-08-24 14:36:42.510991</t>
        </is>
      </c>
      <c r="M1600">
        <f>VLOOKUP(H1600,'Stage Order'!$A$2:$B$8,2,FALSE)</f>
        <v/>
      </c>
      <c r="N1600">
        <f>IF(G1600&lt;=1,"1. Under 1 hour",IF(G1600&lt;=24,"2. 1-24 hours",IF(G1600&lt;=72,"3. 1-3 days","4. Over 3 days")))</f>
        <v/>
      </c>
      <c r="O1600">
        <f>TEXT(B1600,"YYYY-MM")</f>
        <v/>
      </c>
    </row>
    <row r="1601">
      <c r="A1601" t="inlineStr">
        <is>
          <t>LD-301599</t>
        </is>
      </c>
      <c r="B1601" t="inlineStr">
        <is>
          <t>2026-05-01 07:25:00</t>
        </is>
      </c>
      <c r="C1601" t="inlineStr">
        <is>
          <t>Referral</t>
        </is>
      </c>
      <c r="D1601" t="inlineStr">
        <is>
          <t>Competitive Exam Prep</t>
        </is>
      </c>
      <c r="E1601" t="inlineStr">
        <is>
          <t>North Region</t>
        </is>
      </c>
      <c r="F1601" t="inlineStr">
        <is>
          <t>Rep_06</t>
        </is>
      </c>
      <c r="G1601" t="n">
        <v>1.31</v>
      </c>
      <c r="H1601" t="inlineStr">
        <is>
          <t>Contacted</t>
        </is>
      </c>
      <c r="I1601" t="inlineStr">
        <is>
          <t>Open</t>
        </is>
      </c>
      <c r="M1601">
        <f>VLOOKUP(H1601,'Stage Order'!$A$2:$B$8,2,FALSE)</f>
        <v/>
      </c>
      <c r="N1601">
        <f>IF(G1601&lt;=1,"1. Under 1 hour",IF(G1601&lt;=24,"2. 1-24 hours",IF(G1601&lt;=72,"3. 1-3 days","4. Over 3 days")))</f>
        <v/>
      </c>
      <c r="O1601">
        <f>TEXT(B1601,"YYYY-MM")</f>
        <v/>
      </c>
    </row>
    <row r="1602">
      <c r="A1602" t="inlineStr">
        <is>
          <t>LD-301600</t>
        </is>
      </c>
      <c r="B1602" t="inlineStr">
        <is>
          <t>2026-03-02 14:57:00</t>
        </is>
      </c>
      <c r="C1602" t="inlineStr">
        <is>
          <t>Cold Outreach</t>
        </is>
      </c>
      <c r="D1602" t="inlineStr">
        <is>
          <t>K-12 Math</t>
        </is>
      </c>
      <c r="E1602" t="inlineStr">
        <is>
          <t>South Region</t>
        </is>
      </c>
      <c r="F1602" t="inlineStr">
        <is>
          <t>Rep_02</t>
        </is>
      </c>
      <c r="G1602" t="n">
        <v>0.93</v>
      </c>
      <c r="H1602" t="inlineStr">
        <is>
          <t>Contacted</t>
        </is>
      </c>
      <c r="I1602" t="inlineStr">
        <is>
          <t>Open</t>
        </is>
      </c>
      <c r="M1602">
        <f>VLOOKUP(H1602,'Stage Order'!$A$2:$B$8,2,FALSE)</f>
        <v/>
      </c>
      <c r="N1602">
        <f>IF(G1602&lt;=1,"1. Under 1 hour",IF(G1602&lt;=24,"2. 1-24 hours",IF(G1602&lt;=72,"3. 1-3 days","4. Over 3 days")))</f>
        <v/>
      </c>
      <c r="O1602">
        <f>TEXT(B1602,"YYYY-MM")</f>
        <v/>
      </c>
    </row>
    <row r="1603">
      <c r="A1603" t="inlineStr">
        <is>
          <t>LD-301601</t>
        </is>
      </c>
      <c r="B1603" t="inlineStr">
        <is>
          <t>2025-12-10 09:58:00</t>
        </is>
      </c>
      <c r="C1603" t="inlineStr">
        <is>
          <t>Partner Channel</t>
        </is>
      </c>
      <c r="D1603" t="inlineStr">
        <is>
          <t>Language Learning</t>
        </is>
      </c>
      <c r="E1603" t="inlineStr">
        <is>
          <t>South Region</t>
        </is>
      </c>
      <c r="F1603" t="inlineStr">
        <is>
          <t>Rep_02</t>
        </is>
      </c>
      <c r="G1603" t="n">
        <v>2.27</v>
      </c>
      <c r="H1603" t="inlineStr">
        <is>
          <t>Contacted</t>
        </is>
      </c>
      <c r="I1603" t="inlineStr">
        <is>
          <t>Open</t>
        </is>
      </c>
      <c r="M1603">
        <f>VLOOKUP(H1603,'Stage Order'!$A$2:$B$8,2,FALSE)</f>
        <v/>
      </c>
      <c r="N1603">
        <f>IF(G1603&lt;=1,"1. Under 1 hour",IF(G1603&lt;=24,"2. 1-24 hours",IF(G1603&lt;=72,"3. 1-3 days","4. Over 3 days")))</f>
        <v/>
      </c>
      <c r="O1603">
        <f>TEXT(B1603,"YYYY-MM")</f>
        <v/>
      </c>
    </row>
    <row r="1604">
      <c r="A1604" t="inlineStr">
        <is>
          <t>LD-301602</t>
        </is>
      </c>
      <c r="B1604" t="inlineStr">
        <is>
          <t>2026-06-11 13:15:00</t>
        </is>
      </c>
      <c r="C1604" t="inlineStr">
        <is>
          <t>Social Media</t>
        </is>
      </c>
      <c r="D1604" t="inlineStr">
        <is>
          <t>Language Learning</t>
        </is>
      </c>
      <c r="E1604" t="inlineStr">
        <is>
          <t>East Region</t>
        </is>
      </c>
      <c r="F1604" t="inlineStr">
        <is>
          <t>Rep_04</t>
        </is>
      </c>
      <c r="G1604" t="n">
        <v>6.65</v>
      </c>
      <c r="H1604" t="inlineStr">
        <is>
          <t>Lead</t>
        </is>
      </c>
      <c r="I1604" t="inlineStr">
        <is>
          <t>Open</t>
        </is>
      </c>
      <c r="M1604">
        <f>VLOOKUP(H1604,'Stage Order'!$A$2:$B$8,2,FALSE)</f>
        <v/>
      </c>
      <c r="N1604">
        <f>IF(G1604&lt;=1,"1. Under 1 hour",IF(G1604&lt;=24,"2. 1-24 hours",IF(G1604&lt;=72,"3. 1-3 days","4. Over 3 days")))</f>
        <v/>
      </c>
      <c r="O1604">
        <f>TEXT(B1604,"YYYY-MM")</f>
        <v/>
      </c>
    </row>
    <row r="1605">
      <c r="A1605" t="inlineStr">
        <is>
          <t>LD-301603</t>
        </is>
      </c>
      <c r="B1605" t="inlineStr">
        <is>
          <t>2025-08-26 14:33:00</t>
        </is>
      </c>
      <c r="C1605" t="inlineStr">
        <is>
          <t>Organic Search</t>
        </is>
      </c>
      <c r="D1605" t="inlineStr">
        <is>
          <t>Language Learning</t>
        </is>
      </c>
      <c r="E1605" t="inlineStr">
        <is>
          <t>West Region</t>
        </is>
      </c>
      <c r="F1605" t="inlineStr">
        <is>
          <t>Rep_13</t>
        </is>
      </c>
      <c r="G1605" t="n">
        <v>6.7</v>
      </c>
      <c r="H1605" t="inlineStr">
        <is>
          <t>Contacted</t>
        </is>
      </c>
      <c r="I1605" t="inlineStr">
        <is>
          <t>Open</t>
        </is>
      </c>
      <c r="M1605">
        <f>VLOOKUP(H1605,'Stage Order'!$A$2:$B$8,2,FALSE)</f>
        <v/>
      </c>
      <c r="N1605">
        <f>IF(G1605&lt;=1,"1. Under 1 hour",IF(G1605&lt;=24,"2. 1-24 hours",IF(G1605&lt;=72,"3. 1-3 days","4. Over 3 days")))</f>
        <v/>
      </c>
      <c r="O1605">
        <f>TEXT(B1605,"YYYY-MM")</f>
        <v/>
      </c>
    </row>
    <row r="1606">
      <c r="A1606" t="inlineStr">
        <is>
          <t>LD-301604</t>
        </is>
      </c>
      <c r="B1606" t="inlineStr">
        <is>
          <t>2025-12-11 16:03:00</t>
        </is>
      </c>
      <c r="C1606" t="inlineStr">
        <is>
          <t>Paid Search</t>
        </is>
      </c>
      <c r="D1606" t="inlineStr">
        <is>
          <t>Coding for Kids</t>
        </is>
      </c>
      <c r="E1606" t="inlineStr">
        <is>
          <t>South Region</t>
        </is>
      </c>
      <c r="F1606" t="inlineStr">
        <is>
          <t>Rep_02</t>
        </is>
      </c>
      <c r="G1606" t="n">
        <v>4.6</v>
      </c>
      <c r="H1606" t="inlineStr">
        <is>
          <t>Contacted</t>
        </is>
      </c>
      <c r="I1606" t="inlineStr">
        <is>
          <t>Open</t>
        </is>
      </c>
      <c r="M1606">
        <f>VLOOKUP(H1606,'Stage Order'!$A$2:$B$8,2,FALSE)</f>
        <v/>
      </c>
      <c r="N1606">
        <f>IF(G1606&lt;=1,"1. Under 1 hour",IF(G1606&lt;=24,"2. 1-24 hours",IF(G1606&lt;=72,"3. 1-3 days","4. Over 3 days")))</f>
        <v/>
      </c>
      <c r="O1606">
        <f>TEXT(B1606,"YYYY-MM")</f>
        <v/>
      </c>
    </row>
    <row r="1607">
      <c r="A1607" t="inlineStr">
        <is>
          <t>LD-301605</t>
        </is>
      </c>
      <c r="B1607" t="inlineStr">
        <is>
          <t>2025-02-19 08:35:00</t>
        </is>
      </c>
      <c r="C1607" t="inlineStr">
        <is>
          <t>Webinar</t>
        </is>
      </c>
      <c r="D1607" t="inlineStr">
        <is>
          <t>Competitive Exam Prep</t>
        </is>
      </c>
      <c r="E1607" t="inlineStr">
        <is>
          <t>East Region</t>
        </is>
      </c>
      <c r="F1607" t="inlineStr">
        <is>
          <t>Rep_09</t>
        </is>
      </c>
      <c r="G1607" t="n">
        <v>3.69</v>
      </c>
      <c r="H1607" t="inlineStr">
        <is>
          <t>Demo Scheduled</t>
        </is>
      </c>
      <c r="I1607" t="inlineStr">
        <is>
          <t>Open</t>
        </is>
      </c>
      <c r="M1607">
        <f>VLOOKUP(H1607,'Stage Order'!$A$2:$B$8,2,FALSE)</f>
        <v/>
      </c>
      <c r="N1607">
        <f>IF(G1607&lt;=1,"1. Under 1 hour",IF(G1607&lt;=24,"2. 1-24 hours",IF(G1607&lt;=72,"3. 1-3 days","4. Over 3 days")))</f>
        <v/>
      </c>
      <c r="O1607">
        <f>TEXT(B1607,"YYYY-MM")</f>
        <v/>
      </c>
    </row>
    <row r="1608">
      <c r="A1608" t="inlineStr">
        <is>
          <t>LD-301606</t>
        </is>
      </c>
      <c r="B1608" t="inlineStr">
        <is>
          <t>2025-11-24 20:42:00</t>
        </is>
      </c>
      <c r="C1608" t="inlineStr">
        <is>
          <t>Referral</t>
        </is>
      </c>
      <c r="D1608" t="inlineStr">
        <is>
          <t>Competitive Exam Prep</t>
        </is>
      </c>
      <c r="E1608" t="inlineStr">
        <is>
          <t>West Region</t>
        </is>
      </c>
      <c r="F1608" t="inlineStr">
        <is>
          <t>Rep_08</t>
        </is>
      </c>
      <c r="G1608" t="n">
        <v>3.24</v>
      </c>
      <c r="H1608" t="inlineStr">
        <is>
          <t>Closed</t>
        </is>
      </c>
      <c r="I1608" t="inlineStr">
        <is>
          <t>Won</t>
        </is>
      </c>
      <c r="K1608" t="n">
        <v>1133.32</v>
      </c>
      <c r="L1608" t="inlineStr">
        <is>
          <t>2026-01-14 10:27:17.934433</t>
        </is>
      </c>
      <c r="M1608">
        <f>VLOOKUP(H1608,'Stage Order'!$A$2:$B$8,2,FALSE)</f>
        <v/>
      </c>
      <c r="N1608">
        <f>IF(G1608&lt;=1,"1. Under 1 hour",IF(G1608&lt;=24,"2. 1-24 hours",IF(G1608&lt;=72,"3. 1-3 days","4. Over 3 days")))</f>
        <v/>
      </c>
      <c r="O1608">
        <f>TEXT(B1608,"YYYY-MM")</f>
        <v/>
      </c>
    </row>
    <row r="1609">
      <c r="A1609" t="inlineStr">
        <is>
          <t>LD-301607</t>
        </is>
      </c>
      <c r="B1609" t="inlineStr">
        <is>
          <t>2026-04-18 17:16:00</t>
        </is>
      </c>
      <c r="C1609" t="inlineStr">
        <is>
          <t>Social Media</t>
        </is>
      </c>
      <c r="D1609" t="inlineStr">
        <is>
          <t>Coding for Kids</t>
        </is>
      </c>
      <c r="E1609" t="inlineStr">
        <is>
          <t>West Region</t>
        </is>
      </c>
      <c r="F1609" t="inlineStr">
        <is>
          <t>Rep_13</t>
        </is>
      </c>
      <c r="G1609" t="n">
        <v>42.34</v>
      </c>
      <c r="H1609" t="inlineStr">
        <is>
          <t>Contacted</t>
        </is>
      </c>
      <c r="I1609" t="inlineStr">
        <is>
          <t>Open</t>
        </is>
      </c>
      <c r="M1609">
        <f>VLOOKUP(H1609,'Stage Order'!$A$2:$B$8,2,FALSE)</f>
        <v/>
      </c>
      <c r="N1609">
        <f>IF(G1609&lt;=1,"1. Under 1 hour",IF(G1609&lt;=24,"2. 1-24 hours",IF(G1609&lt;=72,"3. 1-3 days","4. Over 3 days")))</f>
        <v/>
      </c>
      <c r="O1609">
        <f>TEXT(B1609,"YYYY-MM")</f>
        <v/>
      </c>
    </row>
    <row r="1610">
      <c r="A1610" t="inlineStr">
        <is>
          <t>LD-301608</t>
        </is>
      </c>
      <c r="B1610" t="inlineStr">
        <is>
          <t>2025-07-24 17:55:00</t>
        </is>
      </c>
      <c r="C1610" t="inlineStr">
        <is>
          <t>Organic Search</t>
        </is>
      </c>
      <c r="D1610" t="inlineStr">
        <is>
          <t>Competitive Exam Prep</t>
        </is>
      </c>
      <c r="E1610" t="inlineStr">
        <is>
          <t>East Region</t>
        </is>
      </c>
      <c r="F1610" t="inlineStr">
        <is>
          <t>Rep_09</t>
        </is>
      </c>
      <c r="G1610" t="n">
        <v>4.37</v>
      </c>
      <c r="H1610" t="inlineStr">
        <is>
          <t>Contacted</t>
        </is>
      </c>
      <c r="I1610" t="inlineStr">
        <is>
          <t>Open</t>
        </is>
      </c>
      <c r="M1610">
        <f>VLOOKUP(H1610,'Stage Order'!$A$2:$B$8,2,FALSE)</f>
        <v/>
      </c>
      <c r="N1610">
        <f>IF(G1610&lt;=1,"1. Under 1 hour",IF(G1610&lt;=24,"2. 1-24 hours",IF(G1610&lt;=72,"3. 1-3 days","4. Over 3 days")))</f>
        <v/>
      </c>
      <c r="O1610">
        <f>TEXT(B1610,"YYYY-MM")</f>
        <v/>
      </c>
    </row>
    <row r="1611">
      <c r="A1611" t="inlineStr">
        <is>
          <t>LD-301609</t>
        </is>
      </c>
      <c r="B1611" t="inlineStr">
        <is>
          <t>2025-06-20 08:33:00</t>
        </is>
      </c>
      <c r="C1611" t="inlineStr">
        <is>
          <t>Cold Outreach</t>
        </is>
      </c>
      <c r="D1611" t="inlineStr">
        <is>
          <t>Language Learning</t>
        </is>
      </c>
      <c r="E1611" t="inlineStr">
        <is>
          <t>South Region</t>
        </is>
      </c>
      <c r="F1611" t="inlineStr">
        <is>
          <t>Rep_07</t>
        </is>
      </c>
      <c r="G1611" t="n">
        <v>3.82</v>
      </c>
      <c r="H1611" t="inlineStr">
        <is>
          <t>Contacted</t>
        </is>
      </c>
      <c r="I1611" t="inlineStr">
        <is>
          <t>Open</t>
        </is>
      </c>
      <c r="M1611">
        <f>VLOOKUP(H1611,'Stage Order'!$A$2:$B$8,2,FALSE)</f>
        <v/>
      </c>
      <c r="N1611">
        <f>IF(G1611&lt;=1,"1. Under 1 hour",IF(G1611&lt;=24,"2. 1-24 hours",IF(G1611&lt;=72,"3. 1-3 days","4. Over 3 days")))</f>
        <v/>
      </c>
      <c r="O1611">
        <f>TEXT(B1611,"YYYY-MM")</f>
        <v/>
      </c>
    </row>
    <row r="1612">
      <c r="A1612" t="inlineStr">
        <is>
          <t>LD-301610</t>
        </is>
      </c>
      <c r="B1612" t="inlineStr">
        <is>
          <t>2026-02-23 12:27:00</t>
        </is>
      </c>
      <c r="C1612" t="inlineStr">
        <is>
          <t>Cold Outreach</t>
        </is>
      </c>
      <c r="D1612" t="inlineStr">
        <is>
          <t>Study Abroad Prep</t>
        </is>
      </c>
      <c r="E1612" t="inlineStr">
        <is>
          <t>East Region</t>
        </is>
      </c>
      <c r="F1612" t="inlineStr">
        <is>
          <t>Rep_14</t>
        </is>
      </c>
      <c r="G1612" t="n">
        <v>8.09</v>
      </c>
      <c r="H1612" t="inlineStr">
        <is>
          <t>Contacted</t>
        </is>
      </c>
      <c r="I1612" t="inlineStr">
        <is>
          <t>Open</t>
        </is>
      </c>
      <c r="M1612">
        <f>VLOOKUP(H1612,'Stage Order'!$A$2:$B$8,2,FALSE)</f>
        <v/>
      </c>
      <c r="N1612">
        <f>IF(G1612&lt;=1,"1. Under 1 hour",IF(G1612&lt;=24,"2. 1-24 hours",IF(G1612&lt;=72,"3. 1-3 days","4. Over 3 days")))</f>
        <v/>
      </c>
      <c r="O1612">
        <f>TEXT(B1612,"YYYY-MM")</f>
        <v/>
      </c>
    </row>
    <row r="1613">
      <c r="A1613" t="inlineStr">
        <is>
          <t>LD-301611</t>
        </is>
      </c>
      <c r="B1613" t="inlineStr">
        <is>
          <t>2025-07-17 17:34:00</t>
        </is>
      </c>
      <c r="C1613" t="inlineStr">
        <is>
          <t>Organic Search</t>
        </is>
      </c>
      <c r="D1613" t="inlineStr">
        <is>
          <t>Coding for Kids</t>
        </is>
      </c>
      <c r="E1613" t="inlineStr">
        <is>
          <t>South Region</t>
        </is>
      </c>
      <c r="F1613" t="inlineStr">
        <is>
          <t>Rep_02</t>
        </is>
      </c>
      <c r="G1613" t="n">
        <v>3.39</v>
      </c>
      <c r="H1613" t="inlineStr">
        <is>
          <t>Contacted</t>
        </is>
      </c>
      <c r="I1613" t="inlineStr">
        <is>
          <t>Open</t>
        </is>
      </c>
      <c r="M1613">
        <f>VLOOKUP(H1613,'Stage Order'!$A$2:$B$8,2,FALSE)</f>
        <v/>
      </c>
      <c r="N1613">
        <f>IF(G1613&lt;=1,"1. Under 1 hour",IF(G1613&lt;=24,"2. 1-24 hours",IF(G1613&lt;=72,"3. 1-3 days","4. Over 3 days")))</f>
        <v/>
      </c>
      <c r="O1613">
        <f>TEXT(B1613,"YYYY-MM")</f>
        <v/>
      </c>
    </row>
    <row r="1614">
      <c r="A1614" t="inlineStr">
        <is>
          <t>LD-301612</t>
        </is>
      </c>
      <c r="B1614" t="inlineStr">
        <is>
          <t>2025-09-06 13:49:00</t>
        </is>
      </c>
      <c r="C1614" t="inlineStr">
        <is>
          <t>Webinar</t>
        </is>
      </c>
      <c r="D1614" t="inlineStr">
        <is>
          <t>K-12 Math</t>
        </is>
      </c>
      <c r="E1614" t="inlineStr">
        <is>
          <t>East Region</t>
        </is>
      </c>
      <c r="F1614" t="inlineStr">
        <is>
          <t>Rep_04</t>
        </is>
      </c>
      <c r="G1614" t="n">
        <v>1.48</v>
      </c>
      <c r="H1614" t="inlineStr">
        <is>
          <t>Contacted</t>
        </is>
      </c>
      <c r="I1614" t="inlineStr">
        <is>
          <t>Open</t>
        </is>
      </c>
      <c r="M1614">
        <f>VLOOKUP(H1614,'Stage Order'!$A$2:$B$8,2,FALSE)</f>
        <v/>
      </c>
      <c r="N1614">
        <f>IF(G1614&lt;=1,"1. Under 1 hour",IF(G1614&lt;=24,"2. 1-24 hours",IF(G1614&lt;=72,"3. 1-3 days","4. Over 3 days")))</f>
        <v/>
      </c>
      <c r="O1614">
        <f>TEXT(B1614,"YYYY-MM")</f>
        <v/>
      </c>
    </row>
    <row r="1615">
      <c r="A1615" t="inlineStr">
        <is>
          <t>LD-301613</t>
        </is>
      </c>
      <c r="B1615" t="inlineStr">
        <is>
          <t>2025-07-02 20:34:00</t>
        </is>
      </c>
      <c r="C1615" t="inlineStr">
        <is>
          <t>Partner Channel</t>
        </is>
      </c>
      <c r="D1615" t="inlineStr">
        <is>
          <t>K-12 Math</t>
        </is>
      </c>
      <c r="E1615" t="inlineStr">
        <is>
          <t>North Region</t>
        </is>
      </c>
      <c r="F1615" t="inlineStr">
        <is>
          <t>Rep_11</t>
        </is>
      </c>
      <c r="G1615" t="n">
        <v>0.5600000000000001</v>
      </c>
      <c r="H1615" t="inlineStr">
        <is>
          <t>Proposal Sent</t>
        </is>
      </c>
      <c r="I1615" t="inlineStr">
        <is>
          <t>Lost</t>
        </is>
      </c>
      <c r="J1615" t="inlineStr">
        <is>
          <t>Went With Competitor</t>
        </is>
      </c>
      <c r="K1615" t="n">
        <v>537.38</v>
      </c>
      <c r="L1615" t="inlineStr">
        <is>
          <t>2025-07-24 22:27:26.251225</t>
        </is>
      </c>
      <c r="M1615">
        <f>VLOOKUP(H1615,'Stage Order'!$A$2:$B$8,2,FALSE)</f>
        <v/>
      </c>
      <c r="N1615">
        <f>IF(G1615&lt;=1,"1. Under 1 hour",IF(G1615&lt;=24,"2. 1-24 hours",IF(G1615&lt;=72,"3. 1-3 days","4. Over 3 days")))</f>
        <v/>
      </c>
      <c r="O1615">
        <f>TEXT(B1615,"YYYY-MM")</f>
        <v/>
      </c>
    </row>
    <row r="1616">
      <c r="A1616" t="inlineStr">
        <is>
          <t>LD-301614</t>
        </is>
      </c>
      <c r="B1616" t="inlineStr">
        <is>
          <t>2026-03-27 17:26:00</t>
        </is>
      </c>
      <c r="C1616" t="inlineStr">
        <is>
          <t>Organic Search</t>
        </is>
      </c>
      <c r="D1616" t="inlineStr">
        <is>
          <t>K-12 Math</t>
        </is>
      </c>
      <c r="E1616" t="inlineStr">
        <is>
          <t>East Region</t>
        </is>
      </c>
      <c r="F1616" t="inlineStr">
        <is>
          <t>Rep_09</t>
        </is>
      </c>
      <c r="G1616" t="n">
        <v>4.33</v>
      </c>
      <c r="H1616" t="inlineStr">
        <is>
          <t>Contacted</t>
        </is>
      </c>
      <c r="I1616" t="inlineStr">
        <is>
          <t>Open</t>
        </is>
      </c>
      <c r="M1616">
        <f>VLOOKUP(H1616,'Stage Order'!$A$2:$B$8,2,FALSE)</f>
        <v/>
      </c>
      <c r="N1616">
        <f>IF(G1616&lt;=1,"1. Under 1 hour",IF(G1616&lt;=24,"2. 1-24 hours",IF(G1616&lt;=72,"3. 1-3 days","4. Over 3 days")))</f>
        <v/>
      </c>
      <c r="O1616">
        <f>TEXT(B1616,"YYYY-MM")</f>
        <v/>
      </c>
    </row>
    <row r="1617">
      <c r="A1617" t="inlineStr">
        <is>
          <t>LD-301615</t>
        </is>
      </c>
      <c r="B1617" t="inlineStr">
        <is>
          <t>2025-01-15 19:07:00</t>
        </is>
      </c>
      <c r="C1617" t="inlineStr">
        <is>
          <t>Cold Outreach</t>
        </is>
      </c>
      <c r="D1617" t="inlineStr">
        <is>
          <t>Study Abroad Prep</t>
        </is>
      </c>
      <c r="E1617" t="inlineStr">
        <is>
          <t>International</t>
        </is>
      </c>
      <c r="F1617" t="inlineStr">
        <is>
          <t>Rep_15</t>
        </is>
      </c>
      <c r="G1617" t="n">
        <v>0.63</v>
      </c>
      <c r="H1617" t="inlineStr">
        <is>
          <t>Lead</t>
        </is>
      </c>
      <c r="I1617" t="inlineStr">
        <is>
          <t>Open</t>
        </is>
      </c>
      <c r="M1617">
        <f>VLOOKUP(H1617,'Stage Order'!$A$2:$B$8,2,FALSE)</f>
        <v/>
      </c>
      <c r="N1617">
        <f>IF(G1617&lt;=1,"1. Under 1 hour",IF(G1617&lt;=24,"2. 1-24 hours",IF(G1617&lt;=72,"3. 1-3 days","4. Over 3 days")))</f>
        <v/>
      </c>
      <c r="O1617">
        <f>TEXT(B1617,"YYYY-MM")</f>
        <v/>
      </c>
    </row>
    <row r="1618">
      <c r="A1618" t="inlineStr">
        <is>
          <t>LD-301616</t>
        </is>
      </c>
      <c r="B1618" t="inlineStr">
        <is>
          <t>2026-03-20 11:21:00</t>
        </is>
      </c>
      <c r="C1618" t="inlineStr">
        <is>
          <t>Paid Search</t>
        </is>
      </c>
      <c r="D1618" t="inlineStr">
        <is>
          <t>Language Learning</t>
        </is>
      </c>
      <c r="E1618" t="inlineStr">
        <is>
          <t>South Region</t>
        </is>
      </c>
      <c r="F1618" t="inlineStr">
        <is>
          <t>Rep_12</t>
        </is>
      </c>
      <c r="G1618" t="n">
        <v>2.14</v>
      </c>
      <c r="H1618" t="inlineStr">
        <is>
          <t>Contacted</t>
        </is>
      </c>
      <c r="I1618" t="inlineStr">
        <is>
          <t>Open</t>
        </is>
      </c>
      <c r="M1618">
        <f>VLOOKUP(H1618,'Stage Order'!$A$2:$B$8,2,FALSE)</f>
        <v/>
      </c>
      <c r="N1618">
        <f>IF(G1618&lt;=1,"1. Under 1 hour",IF(G1618&lt;=24,"2. 1-24 hours",IF(G1618&lt;=72,"3. 1-3 days","4. Over 3 days")))</f>
        <v/>
      </c>
      <c r="O1618">
        <f>TEXT(B1618,"YYYY-MM")</f>
        <v/>
      </c>
    </row>
    <row r="1619">
      <c r="A1619" t="inlineStr">
        <is>
          <t>LD-301617</t>
        </is>
      </c>
      <c r="B1619" t="inlineStr">
        <is>
          <t>2025-01-03 17:02:00</t>
        </is>
      </c>
      <c r="C1619" t="inlineStr">
        <is>
          <t>Webinar</t>
        </is>
      </c>
      <c r="D1619" t="inlineStr">
        <is>
          <t>Competitive Exam Prep</t>
        </is>
      </c>
      <c r="E1619" t="inlineStr">
        <is>
          <t>South Region</t>
        </is>
      </c>
      <c r="F1619" t="inlineStr">
        <is>
          <t>Rep_02</t>
        </is>
      </c>
      <c r="G1619" t="n">
        <v>1.18</v>
      </c>
      <c r="H1619" t="inlineStr">
        <is>
          <t>Closed</t>
        </is>
      </c>
      <c r="I1619" t="inlineStr">
        <is>
          <t>Won</t>
        </is>
      </c>
      <c r="K1619" t="n">
        <v>1065.7</v>
      </c>
      <c r="L1619" t="inlineStr">
        <is>
          <t>2025-02-17 03:26:29.342227</t>
        </is>
      </c>
      <c r="M1619">
        <f>VLOOKUP(H1619,'Stage Order'!$A$2:$B$8,2,FALSE)</f>
        <v/>
      </c>
      <c r="N1619">
        <f>IF(G1619&lt;=1,"1. Under 1 hour",IF(G1619&lt;=24,"2. 1-24 hours",IF(G1619&lt;=72,"3. 1-3 days","4. Over 3 days")))</f>
        <v/>
      </c>
      <c r="O1619">
        <f>TEXT(B1619,"YYYY-MM")</f>
        <v/>
      </c>
    </row>
    <row r="1620">
      <c r="A1620" t="inlineStr">
        <is>
          <t>LD-301618</t>
        </is>
      </c>
      <c r="B1620" t="inlineStr">
        <is>
          <t>2025-07-29 17:13:00</t>
        </is>
      </c>
      <c r="C1620" t="inlineStr">
        <is>
          <t>Social Media</t>
        </is>
      </c>
      <c r="D1620" t="inlineStr">
        <is>
          <t>Study Abroad Prep</t>
        </is>
      </c>
      <c r="E1620" t="inlineStr">
        <is>
          <t>North Region</t>
        </is>
      </c>
      <c r="F1620" t="inlineStr">
        <is>
          <t>Rep_06</t>
        </is>
      </c>
      <c r="G1620" t="n">
        <v>1.06</v>
      </c>
      <c r="H1620" t="inlineStr">
        <is>
          <t>Contacted</t>
        </is>
      </c>
      <c r="I1620" t="inlineStr">
        <is>
          <t>Open</t>
        </is>
      </c>
      <c r="M1620">
        <f>VLOOKUP(H1620,'Stage Order'!$A$2:$B$8,2,FALSE)</f>
        <v/>
      </c>
      <c r="N1620">
        <f>IF(G1620&lt;=1,"1. Under 1 hour",IF(G1620&lt;=24,"2. 1-24 hours",IF(G1620&lt;=72,"3. 1-3 days","4. Over 3 days")))</f>
        <v/>
      </c>
      <c r="O1620">
        <f>TEXT(B1620,"YYYY-MM")</f>
        <v/>
      </c>
    </row>
    <row r="1621">
      <c r="A1621" t="inlineStr">
        <is>
          <t>LD-301619</t>
        </is>
      </c>
      <c r="B1621" t="inlineStr">
        <is>
          <t>2026-03-27 17:16:00</t>
        </is>
      </c>
      <c r="C1621" t="inlineStr">
        <is>
          <t>Organic Search</t>
        </is>
      </c>
      <c r="D1621" t="inlineStr">
        <is>
          <t>Language Learning</t>
        </is>
      </c>
      <c r="E1621" t="inlineStr">
        <is>
          <t>South Region</t>
        </is>
      </c>
      <c r="F1621" t="inlineStr">
        <is>
          <t>Rep_12</t>
        </is>
      </c>
      <c r="G1621" t="n">
        <v>3.66</v>
      </c>
      <c r="H1621" t="inlineStr">
        <is>
          <t>Contacted</t>
        </is>
      </c>
      <c r="I1621" t="inlineStr">
        <is>
          <t>Open</t>
        </is>
      </c>
      <c r="M1621">
        <f>VLOOKUP(H1621,'Stage Order'!$A$2:$B$8,2,FALSE)</f>
        <v/>
      </c>
      <c r="N1621">
        <f>IF(G1621&lt;=1,"1. Under 1 hour",IF(G1621&lt;=24,"2. 1-24 hours",IF(G1621&lt;=72,"3. 1-3 days","4. Over 3 days")))</f>
        <v/>
      </c>
      <c r="O1621">
        <f>TEXT(B1621,"YYYY-MM")</f>
        <v/>
      </c>
    </row>
    <row r="1622">
      <c r="A1622" t="inlineStr">
        <is>
          <t>LD-301620</t>
        </is>
      </c>
      <c r="B1622" t="inlineStr">
        <is>
          <t>2026-03-14 14:12:00</t>
        </is>
      </c>
      <c r="C1622" t="inlineStr">
        <is>
          <t>Referral</t>
        </is>
      </c>
      <c r="D1622" t="inlineStr">
        <is>
          <t>Study Abroad Prep</t>
        </is>
      </c>
      <c r="E1622" t="inlineStr">
        <is>
          <t>South Region</t>
        </is>
      </c>
      <c r="F1622" t="inlineStr">
        <is>
          <t>Rep_12</t>
        </is>
      </c>
      <c r="G1622" t="n">
        <v>0.53</v>
      </c>
      <c r="H1622" t="inlineStr">
        <is>
          <t>Closed</t>
        </is>
      </c>
      <c r="I1622" t="inlineStr">
        <is>
          <t>Won</t>
        </is>
      </c>
      <c r="K1622" t="n">
        <v>1474.39</v>
      </c>
      <c r="L1622" t="inlineStr">
        <is>
          <t>2026-05-06 05:28:25.623854</t>
        </is>
      </c>
      <c r="M1622">
        <f>VLOOKUP(H1622,'Stage Order'!$A$2:$B$8,2,FALSE)</f>
        <v/>
      </c>
      <c r="N1622">
        <f>IF(G1622&lt;=1,"1. Under 1 hour",IF(G1622&lt;=24,"2. 1-24 hours",IF(G1622&lt;=72,"3. 1-3 days","4. Over 3 days")))</f>
        <v/>
      </c>
      <c r="O1622">
        <f>TEXT(B1622,"YYYY-MM")</f>
        <v/>
      </c>
    </row>
    <row r="1623">
      <c r="A1623" t="inlineStr">
        <is>
          <t>LD-301621</t>
        </is>
      </c>
      <c r="B1623" t="inlineStr">
        <is>
          <t>2026-03-15 18:48:00</t>
        </is>
      </c>
      <c r="C1623" t="inlineStr">
        <is>
          <t>Organic Search</t>
        </is>
      </c>
      <c r="D1623" t="inlineStr">
        <is>
          <t>Study Abroad Prep</t>
        </is>
      </c>
      <c r="E1623" t="inlineStr">
        <is>
          <t>East Region</t>
        </is>
      </c>
      <c r="F1623" t="inlineStr">
        <is>
          <t>Rep_14</t>
        </is>
      </c>
      <c r="G1623" t="n">
        <v>8.029999999999999</v>
      </c>
      <c r="H1623" t="inlineStr">
        <is>
          <t>Contacted</t>
        </is>
      </c>
      <c r="I1623" t="inlineStr">
        <is>
          <t>Open</t>
        </is>
      </c>
      <c r="M1623">
        <f>VLOOKUP(H1623,'Stage Order'!$A$2:$B$8,2,FALSE)</f>
        <v/>
      </c>
      <c r="N1623">
        <f>IF(G1623&lt;=1,"1. Under 1 hour",IF(G1623&lt;=24,"2. 1-24 hours",IF(G1623&lt;=72,"3. 1-3 days","4. Over 3 days")))</f>
        <v/>
      </c>
      <c r="O1623">
        <f>TEXT(B1623,"YYYY-MM")</f>
        <v/>
      </c>
    </row>
    <row r="1624">
      <c r="A1624" t="inlineStr">
        <is>
          <t>LD-301622</t>
        </is>
      </c>
      <c r="B1624" t="inlineStr">
        <is>
          <t>2025-01-03 08:27:00</t>
        </is>
      </c>
      <c r="C1624" t="inlineStr">
        <is>
          <t>Social Media</t>
        </is>
      </c>
      <c r="D1624" t="inlineStr">
        <is>
          <t>Coding for Kids</t>
        </is>
      </c>
      <c r="E1624" t="inlineStr">
        <is>
          <t>East Region</t>
        </is>
      </c>
      <c r="F1624" t="inlineStr">
        <is>
          <t>Rep_14</t>
        </is>
      </c>
      <c r="G1624" t="n">
        <v>0.9</v>
      </c>
      <c r="H1624" t="inlineStr">
        <is>
          <t>Lead</t>
        </is>
      </c>
      <c r="I1624" t="inlineStr">
        <is>
          <t>Open</t>
        </is>
      </c>
      <c r="M1624">
        <f>VLOOKUP(H1624,'Stage Order'!$A$2:$B$8,2,FALSE)</f>
        <v/>
      </c>
      <c r="N1624">
        <f>IF(G1624&lt;=1,"1. Under 1 hour",IF(G1624&lt;=24,"2. 1-24 hours",IF(G1624&lt;=72,"3. 1-3 days","4. Over 3 days")))</f>
        <v/>
      </c>
      <c r="O1624">
        <f>TEXT(B1624,"YYYY-MM")</f>
        <v/>
      </c>
    </row>
    <row r="1625">
      <c r="A1625" t="inlineStr">
        <is>
          <t>LD-301623</t>
        </is>
      </c>
      <c r="B1625" t="inlineStr">
        <is>
          <t>2026-03-10 15:00:00</t>
        </is>
      </c>
      <c r="C1625" t="inlineStr">
        <is>
          <t>Paid Search</t>
        </is>
      </c>
      <c r="D1625" t="inlineStr">
        <is>
          <t>Competitive Exam Prep</t>
        </is>
      </c>
      <c r="E1625" t="inlineStr">
        <is>
          <t>International</t>
        </is>
      </c>
      <c r="F1625" t="inlineStr">
        <is>
          <t>Rep_05</t>
        </is>
      </c>
      <c r="G1625" t="n">
        <v>4.09</v>
      </c>
      <c r="H1625" t="inlineStr">
        <is>
          <t>Contacted</t>
        </is>
      </c>
      <c r="I1625" t="inlineStr">
        <is>
          <t>Open</t>
        </is>
      </c>
      <c r="M1625">
        <f>VLOOKUP(H1625,'Stage Order'!$A$2:$B$8,2,FALSE)</f>
        <v/>
      </c>
      <c r="N1625">
        <f>IF(G1625&lt;=1,"1. Under 1 hour",IF(G1625&lt;=24,"2. 1-24 hours",IF(G1625&lt;=72,"3. 1-3 days","4. Over 3 days")))</f>
        <v/>
      </c>
      <c r="O1625">
        <f>TEXT(B1625,"YYYY-MM")</f>
        <v/>
      </c>
    </row>
    <row r="1626">
      <c r="A1626" t="inlineStr">
        <is>
          <t>LD-301624</t>
        </is>
      </c>
      <c r="B1626" t="inlineStr">
        <is>
          <t>2025-10-24 14:19:00</t>
        </is>
      </c>
      <c r="C1626" t="inlineStr">
        <is>
          <t>Cold Outreach</t>
        </is>
      </c>
      <c r="D1626" t="inlineStr">
        <is>
          <t>Competitive Exam Prep</t>
        </is>
      </c>
      <c r="E1626" t="inlineStr">
        <is>
          <t>South Region</t>
        </is>
      </c>
      <c r="F1626" t="inlineStr">
        <is>
          <t>Rep_07</t>
        </is>
      </c>
      <c r="G1626" t="n">
        <v>0.91</v>
      </c>
      <c r="H1626" t="inlineStr">
        <is>
          <t>Demo Scheduled</t>
        </is>
      </c>
      <c r="I1626" t="inlineStr">
        <is>
          <t>Open</t>
        </is>
      </c>
      <c r="M1626">
        <f>VLOOKUP(H1626,'Stage Order'!$A$2:$B$8,2,FALSE)</f>
        <v/>
      </c>
      <c r="N1626">
        <f>IF(G1626&lt;=1,"1. Under 1 hour",IF(G1626&lt;=24,"2. 1-24 hours",IF(G1626&lt;=72,"3. 1-3 days","4. Over 3 days")))</f>
        <v/>
      </c>
      <c r="O1626">
        <f>TEXT(B1626,"YYYY-MM")</f>
        <v/>
      </c>
    </row>
    <row r="1627">
      <c r="A1627" t="inlineStr">
        <is>
          <t>LD-301625</t>
        </is>
      </c>
      <c r="B1627" t="inlineStr">
        <is>
          <t>2025-07-21 10:24:00</t>
        </is>
      </c>
      <c r="C1627" t="inlineStr">
        <is>
          <t>Cold Outreach</t>
        </is>
      </c>
      <c r="D1627" t="inlineStr">
        <is>
          <t>Coding for Kids</t>
        </is>
      </c>
      <c r="E1627" t="inlineStr">
        <is>
          <t>East Region</t>
        </is>
      </c>
      <c r="F1627" t="inlineStr">
        <is>
          <t>Rep_04</t>
        </is>
      </c>
      <c r="G1627" t="n">
        <v>5.74</v>
      </c>
      <c r="H1627" t="inlineStr">
        <is>
          <t>Contacted</t>
        </is>
      </c>
      <c r="I1627" t="inlineStr">
        <is>
          <t>Open</t>
        </is>
      </c>
      <c r="M1627">
        <f>VLOOKUP(H1627,'Stage Order'!$A$2:$B$8,2,FALSE)</f>
        <v/>
      </c>
      <c r="N1627">
        <f>IF(G1627&lt;=1,"1. Under 1 hour",IF(G1627&lt;=24,"2. 1-24 hours",IF(G1627&lt;=72,"3. 1-3 days","4. Over 3 days")))</f>
        <v/>
      </c>
      <c r="O1627">
        <f>TEXT(B1627,"YYYY-MM")</f>
        <v/>
      </c>
    </row>
    <row r="1628">
      <c r="A1628" t="inlineStr">
        <is>
          <t>LD-301626</t>
        </is>
      </c>
      <c r="B1628" t="inlineStr">
        <is>
          <t>2025-05-02 13:52:00</t>
        </is>
      </c>
      <c r="C1628" t="inlineStr">
        <is>
          <t>Webinar</t>
        </is>
      </c>
      <c r="D1628" t="inlineStr">
        <is>
          <t>Competitive Exam Prep</t>
        </is>
      </c>
      <c r="E1628" t="inlineStr">
        <is>
          <t>North Region</t>
        </is>
      </c>
      <c r="F1628" t="inlineStr">
        <is>
          <t>Rep_01</t>
        </is>
      </c>
      <c r="G1628" t="n">
        <v>0.57</v>
      </c>
      <c r="H1628" t="inlineStr">
        <is>
          <t>Contacted</t>
        </is>
      </c>
      <c r="I1628" t="inlineStr">
        <is>
          <t>Open</t>
        </is>
      </c>
      <c r="M1628">
        <f>VLOOKUP(H1628,'Stage Order'!$A$2:$B$8,2,FALSE)</f>
        <v/>
      </c>
      <c r="N1628">
        <f>IF(G1628&lt;=1,"1. Under 1 hour",IF(G1628&lt;=24,"2. 1-24 hours",IF(G1628&lt;=72,"3. 1-3 days","4. Over 3 days")))</f>
        <v/>
      </c>
      <c r="O1628">
        <f>TEXT(B1628,"YYYY-MM")</f>
        <v/>
      </c>
    </row>
    <row r="1629">
      <c r="A1629" t="inlineStr">
        <is>
          <t>LD-301627</t>
        </is>
      </c>
      <c r="B1629" t="inlineStr">
        <is>
          <t>2025-03-24 09:34:00</t>
        </is>
      </c>
      <c r="C1629" t="inlineStr">
        <is>
          <t>Partner Channel</t>
        </is>
      </c>
      <c r="D1629" t="inlineStr">
        <is>
          <t>Competitive Exam Prep</t>
        </is>
      </c>
      <c r="E1629" t="inlineStr">
        <is>
          <t>North Region</t>
        </is>
      </c>
      <c r="F1629" t="inlineStr">
        <is>
          <t>Rep_01</t>
        </is>
      </c>
      <c r="G1629" t="n">
        <v>2.05</v>
      </c>
      <c r="H1629" t="inlineStr">
        <is>
          <t>Closed</t>
        </is>
      </c>
      <c r="I1629" t="inlineStr">
        <is>
          <t>Won</t>
        </is>
      </c>
      <c r="K1629" t="n">
        <v>1063.04</v>
      </c>
      <c r="L1629" t="inlineStr">
        <is>
          <t>2025-04-18 03:52:21.009008</t>
        </is>
      </c>
      <c r="M1629">
        <f>VLOOKUP(H1629,'Stage Order'!$A$2:$B$8,2,FALSE)</f>
        <v/>
      </c>
      <c r="N1629">
        <f>IF(G1629&lt;=1,"1. Under 1 hour",IF(G1629&lt;=24,"2. 1-24 hours",IF(G1629&lt;=72,"3. 1-3 days","4. Over 3 days")))</f>
        <v/>
      </c>
      <c r="O1629">
        <f>TEXT(B1629,"YYYY-MM")</f>
        <v/>
      </c>
    </row>
    <row r="1630">
      <c r="A1630" t="inlineStr">
        <is>
          <t>LD-301628</t>
        </is>
      </c>
      <c r="B1630" t="inlineStr">
        <is>
          <t>2025-09-05 09:02:00</t>
        </is>
      </c>
      <c r="C1630" t="inlineStr">
        <is>
          <t>Organic Search</t>
        </is>
      </c>
      <c r="D1630" t="inlineStr">
        <is>
          <t>Study Abroad Prep</t>
        </is>
      </c>
      <c r="E1630" t="inlineStr">
        <is>
          <t>South Region</t>
        </is>
      </c>
      <c r="F1630" t="inlineStr">
        <is>
          <t>Rep_12</t>
        </is>
      </c>
      <c r="G1630" t="n">
        <v>3.08</v>
      </c>
      <c r="H1630" t="inlineStr">
        <is>
          <t>Demo Scheduled</t>
        </is>
      </c>
      <c r="I1630" t="inlineStr">
        <is>
          <t>Open</t>
        </is>
      </c>
      <c r="M1630">
        <f>VLOOKUP(H1630,'Stage Order'!$A$2:$B$8,2,FALSE)</f>
        <v/>
      </c>
      <c r="N1630">
        <f>IF(G1630&lt;=1,"1. Under 1 hour",IF(G1630&lt;=24,"2. 1-24 hours",IF(G1630&lt;=72,"3. 1-3 days","4. Over 3 days")))</f>
        <v/>
      </c>
      <c r="O1630">
        <f>TEXT(B1630,"YYYY-MM")</f>
        <v/>
      </c>
    </row>
    <row r="1631">
      <c r="A1631" t="inlineStr">
        <is>
          <t>LD-301629</t>
        </is>
      </c>
      <c r="B1631" t="inlineStr">
        <is>
          <t>2025-11-15 08:18:00</t>
        </is>
      </c>
      <c r="C1631" t="inlineStr">
        <is>
          <t>Partner Channel</t>
        </is>
      </c>
      <c r="D1631" t="inlineStr">
        <is>
          <t>Competitive Exam Prep</t>
        </is>
      </c>
      <c r="E1631" t="inlineStr">
        <is>
          <t>North Region</t>
        </is>
      </c>
      <c r="F1631" t="inlineStr">
        <is>
          <t>Rep_11</t>
        </is>
      </c>
      <c r="G1631" t="n">
        <v>3.17</v>
      </c>
      <c r="H1631" t="inlineStr">
        <is>
          <t>Contacted</t>
        </is>
      </c>
      <c r="I1631" t="inlineStr">
        <is>
          <t>Open</t>
        </is>
      </c>
      <c r="M1631">
        <f>VLOOKUP(H1631,'Stage Order'!$A$2:$B$8,2,FALSE)</f>
        <v/>
      </c>
      <c r="N1631">
        <f>IF(G1631&lt;=1,"1. Under 1 hour",IF(G1631&lt;=24,"2. 1-24 hours",IF(G1631&lt;=72,"3. 1-3 days","4. Over 3 days")))</f>
        <v/>
      </c>
      <c r="O1631">
        <f>TEXT(B1631,"YYYY-MM")</f>
        <v/>
      </c>
    </row>
    <row r="1632">
      <c r="A1632" t="inlineStr">
        <is>
          <t>LD-301630</t>
        </is>
      </c>
      <c r="B1632" t="inlineStr">
        <is>
          <t>2026-04-03 07:11:00</t>
        </is>
      </c>
      <c r="C1632" t="inlineStr">
        <is>
          <t>Paid Search</t>
        </is>
      </c>
      <c r="D1632" t="inlineStr">
        <is>
          <t>K-12 Math</t>
        </is>
      </c>
      <c r="E1632" t="inlineStr">
        <is>
          <t>South Region</t>
        </is>
      </c>
      <c r="F1632" t="inlineStr">
        <is>
          <t>Rep_12</t>
        </is>
      </c>
      <c r="G1632" t="n">
        <v>3.55</v>
      </c>
      <c r="H1632" t="inlineStr">
        <is>
          <t>Demo Completed</t>
        </is>
      </c>
      <c r="I1632" t="inlineStr">
        <is>
          <t>Lost</t>
        </is>
      </c>
      <c r="J1632" t="inlineStr">
        <is>
          <t>Bad Timing</t>
        </is>
      </c>
      <c r="K1632" t="n">
        <v>596.12</v>
      </c>
      <c r="L1632" t="inlineStr">
        <is>
          <t>2026-04-22 09:33:58.621547</t>
        </is>
      </c>
      <c r="M1632">
        <f>VLOOKUP(H1632,'Stage Order'!$A$2:$B$8,2,FALSE)</f>
        <v/>
      </c>
      <c r="N1632">
        <f>IF(G1632&lt;=1,"1. Under 1 hour",IF(G1632&lt;=24,"2. 1-24 hours",IF(G1632&lt;=72,"3. 1-3 days","4. Over 3 days")))</f>
        <v/>
      </c>
      <c r="O1632">
        <f>TEXT(B1632,"YYYY-MM")</f>
        <v/>
      </c>
    </row>
    <row r="1633">
      <c r="A1633" t="inlineStr">
        <is>
          <t>LD-301631</t>
        </is>
      </c>
      <c r="B1633" t="inlineStr">
        <is>
          <t>2026-02-21 11:24:00</t>
        </is>
      </c>
      <c r="C1633" t="inlineStr">
        <is>
          <t>Partner Channel</t>
        </is>
      </c>
      <c r="D1633" t="inlineStr">
        <is>
          <t>Coding for Kids</t>
        </is>
      </c>
      <c r="E1633" t="inlineStr">
        <is>
          <t>East Region</t>
        </is>
      </c>
      <c r="F1633" t="inlineStr">
        <is>
          <t>Rep_09</t>
        </is>
      </c>
      <c r="G1633" t="n">
        <v>4.11</v>
      </c>
      <c r="H1633" t="inlineStr">
        <is>
          <t>Contacted</t>
        </is>
      </c>
      <c r="I1633" t="inlineStr">
        <is>
          <t>Open</t>
        </is>
      </c>
      <c r="M1633">
        <f>VLOOKUP(H1633,'Stage Order'!$A$2:$B$8,2,FALSE)</f>
        <v/>
      </c>
      <c r="N1633">
        <f>IF(G1633&lt;=1,"1. Under 1 hour",IF(G1633&lt;=24,"2. 1-24 hours",IF(G1633&lt;=72,"3. 1-3 days","4. Over 3 days")))</f>
        <v/>
      </c>
      <c r="O1633">
        <f>TEXT(B1633,"YYYY-MM")</f>
        <v/>
      </c>
    </row>
    <row r="1634">
      <c r="A1634" t="inlineStr">
        <is>
          <t>LD-301632</t>
        </is>
      </c>
      <c r="B1634" t="inlineStr">
        <is>
          <t>2025-07-15 13:34:00</t>
        </is>
      </c>
      <c r="C1634" t="inlineStr">
        <is>
          <t>Social Media</t>
        </is>
      </c>
      <c r="D1634" t="inlineStr">
        <is>
          <t>K-12 Math</t>
        </is>
      </c>
      <c r="E1634" t="inlineStr">
        <is>
          <t>West Region</t>
        </is>
      </c>
      <c r="F1634" t="inlineStr">
        <is>
          <t>Rep_03</t>
        </is>
      </c>
      <c r="G1634" t="n">
        <v>1.14</v>
      </c>
      <c r="H1634" t="inlineStr">
        <is>
          <t>Demo Completed</t>
        </is>
      </c>
      <c r="I1634" t="inlineStr">
        <is>
          <t>Lost</t>
        </is>
      </c>
      <c r="J1634" t="inlineStr">
        <is>
          <t>Went With Competitor</t>
        </is>
      </c>
      <c r="K1634" t="n">
        <v>423.97</v>
      </c>
      <c r="L1634" t="inlineStr">
        <is>
          <t>2025-08-19 09:45:35.093500</t>
        </is>
      </c>
      <c r="M1634">
        <f>VLOOKUP(H1634,'Stage Order'!$A$2:$B$8,2,FALSE)</f>
        <v/>
      </c>
      <c r="N1634">
        <f>IF(G1634&lt;=1,"1. Under 1 hour",IF(G1634&lt;=24,"2. 1-24 hours",IF(G1634&lt;=72,"3. 1-3 days","4. Over 3 days")))</f>
        <v/>
      </c>
      <c r="O1634">
        <f>TEXT(B1634,"YYYY-MM")</f>
        <v/>
      </c>
    </row>
    <row r="1635">
      <c r="A1635" t="inlineStr">
        <is>
          <t>LD-301633</t>
        </is>
      </c>
      <c r="B1635" t="inlineStr">
        <is>
          <t>2026-04-10 11:19:00</t>
        </is>
      </c>
      <c r="C1635" t="inlineStr">
        <is>
          <t>Paid Search</t>
        </is>
      </c>
      <c r="D1635" t="inlineStr">
        <is>
          <t>K-12 Math</t>
        </is>
      </c>
      <c r="E1635" t="inlineStr">
        <is>
          <t>West Region</t>
        </is>
      </c>
      <c r="F1635" t="inlineStr">
        <is>
          <t>Rep_08</t>
        </is>
      </c>
      <c r="G1635" t="n">
        <v>1.96</v>
      </c>
      <c r="H1635" t="inlineStr">
        <is>
          <t>Proposal Sent</t>
        </is>
      </c>
      <c r="I1635" t="inlineStr">
        <is>
          <t>Lost</t>
        </is>
      </c>
      <c r="J1635" t="inlineStr">
        <is>
          <t>Bad Timing</t>
        </is>
      </c>
      <c r="K1635" t="n">
        <v>585.9400000000001</v>
      </c>
      <c r="L1635" t="inlineStr">
        <is>
          <t>2026-05-07 20:19:25.435436</t>
        </is>
      </c>
      <c r="M1635">
        <f>VLOOKUP(H1635,'Stage Order'!$A$2:$B$8,2,FALSE)</f>
        <v/>
      </c>
      <c r="N1635">
        <f>IF(G1635&lt;=1,"1. Under 1 hour",IF(G1635&lt;=24,"2. 1-24 hours",IF(G1635&lt;=72,"3. 1-3 days","4. Over 3 days")))</f>
        <v/>
      </c>
      <c r="O1635">
        <f>TEXT(B1635,"YYYY-MM")</f>
        <v/>
      </c>
    </row>
    <row r="1636">
      <c r="A1636" t="inlineStr">
        <is>
          <t>LD-301634</t>
        </is>
      </c>
      <c r="B1636" t="inlineStr">
        <is>
          <t>2025-12-23 12:18:00</t>
        </is>
      </c>
      <c r="C1636" t="inlineStr">
        <is>
          <t>Cold Outreach</t>
        </is>
      </c>
      <c r="D1636" t="inlineStr">
        <is>
          <t>Language Learning</t>
        </is>
      </c>
      <c r="E1636" t="inlineStr">
        <is>
          <t>West Region</t>
        </is>
      </c>
      <c r="F1636" t="inlineStr">
        <is>
          <t>Rep_08</t>
        </is>
      </c>
      <c r="G1636" t="n">
        <v>3.73</v>
      </c>
      <c r="H1636" t="inlineStr">
        <is>
          <t>Contacted</t>
        </is>
      </c>
      <c r="I1636" t="inlineStr">
        <is>
          <t>Open</t>
        </is>
      </c>
      <c r="M1636">
        <f>VLOOKUP(H1636,'Stage Order'!$A$2:$B$8,2,FALSE)</f>
        <v/>
      </c>
      <c r="N1636">
        <f>IF(G1636&lt;=1,"1. Under 1 hour",IF(G1636&lt;=24,"2. 1-24 hours",IF(G1636&lt;=72,"3. 1-3 days","4. Over 3 days")))</f>
        <v/>
      </c>
      <c r="O1636">
        <f>TEXT(B1636,"YYYY-MM")</f>
        <v/>
      </c>
    </row>
    <row r="1637">
      <c r="A1637" t="inlineStr">
        <is>
          <t>LD-301635</t>
        </is>
      </c>
      <c r="B1637" t="inlineStr">
        <is>
          <t>2026-05-31 09:48:00</t>
        </is>
      </c>
      <c r="C1637" t="inlineStr">
        <is>
          <t>Social Media</t>
        </is>
      </c>
      <c r="D1637" t="inlineStr">
        <is>
          <t>Competitive Exam Prep</t>
        </is>
      </c>
      <c r="E1637" t="inlineStr">
        <is>
          <t>East Region</t>
        </is>
      </c>
      <c r="F1637" t="inlineStr">
        <is>
          <t>Rep_09</t>
        </is>
      </c>
      <c r="G1637" t="n">
        <v>5.49</v>
      </c>
      <c r="H1637" t="inlineStr">
        <is>
          <t>Contacted</t>
        </is>
      </c>
      <c r="I1637" t="inlineStr">
        <is>
          <t>Open</t>
        </is>
      </c>
      <c r="M1637">
        <f>VLOOKUP(H1637,'Stage Order'!$A$2:$B$8,2,FALSE)</f>
        <v/>
      </c>
      <c r="N1637">
        <f>IF(G1637&lt;=1,"1. Under 1 hour",IF(G1637&lt;=24,"2. 1-24 hours",IF(G1637&lt;=72,"3. 1-3 days","4. Over 3 days")))</f>
        <v/>
      </c>
      <c r="O1637">
        <f>TEXT(B1637,"YYYY-MM")</f>
        <v/>
      </c>
    </row>
    <row r="1638">
      <c r="A1638" t="inlineStr">
        <is>
          <t>LD-301636</t>
        </is>
      </c>
      <c r="B1638" t="inlineStr">
        <is>
          <t>2025-09-15 16:42:00</t>
        </is>
      </c>
      <c r="C1638" t="inlineStr">
        <is>
          <t>Social Media</t>
        </is>
      </c>
      <c r="D1638" t="inlineStr">
        <is>
          <t>Study Abroad Prep</t>
        </is>
      </c>
      <c r="E1638" t="inlineStr">
        <is>
          <t>East Region</t>
        </is>
      </c>
      <c r="F1638" t="inlineStr">
        <is>
          <t>Rep_14</t>
        </is>
      </c>
      <c r="G1638" t="n">
        <v>13.75</v>
      </c>
      <c r="H1638" t="inlineStr">
        <is>
          <t>Lead</t>
        </is>
      </c>
      <c r="I1638" t="inlineStr">
        <is>
          <t>Open</t>
        </is>
      </c>
      <c r="M1638">
        <f>VLOOKUP(H1638,'Stage Order'!$A$2:$B$8,2,FALSE)</f>
        <v/>
      </c>
      <c r="N1638">
        <f>IF(G1638&lt;=1,"1. Under 1 hour",IF(G1638&lt;=24,"2. 1-24 hours",IF(G1638&lt;=72,"3. 1-3 days","4. Over 3 days")))</f>
        <v/>
      </c>
      <c r="O1638">
        <f>TEXT(B1638,"YYYY-MM")</f>
        <v/>
      </c>
    </row>
    <row r="1639">
      <c r="A1639" t="inlineStr">
        <is>
          <t>LD-301637</t>
        </is>
      </c>
      <c r="B1639" t="inlineStr">
        <is>
          <t>2025-08-03 20:19:00</t>
        </is>
      </c>
      <c r="C1639" t="inlineStr">
        <is>
          <t>Paid Search</t>
        </is>
      </c>
      <c r="D1639" t="inlineStr">
        <is>
          <t>Competitive Exam Prep</t>
        </is>
      </c>
      <c r="E1639" t="inlineStr">
        <is>
          <t>International</t>
        </is>
      </c>
      <c r="F1639" t="inlineStr">
        <is>
          <t>Rep_05</t>
        </is>
      </c>
      <c r="G1639" t="n">
        <v>3.67</v>
      </c>
      <c r="H1639" t="inlineStr">
        <is>
          <t>Contacted</t>
        </is>
      </c>
      <c r="I1639" t="inlineStr">
        <is>
          <t>Open</t>
        </is>
      </c>
      <c r="M1639">
        <f>VLOOKUP(H1639,'Stage Order'!$A$2:$B$8,2,FALSE)</f>
        <v/>
      </c>
      <c r="N1639">
        <f>IF(G1639&lt;=1,"1. Under 1 hour",IF(G1639&lt;=24,"2. 1-24 hours",IF(G1639&lt;=72,"3. 1-3 days","4. Over 3 days")))</f>
        <v/>
      </c>
      <c r="O1639">
        <f>TEXT(B1639,"YYYY-MM")</f>
        <v/>
      </c>
    </row>
    <row r="1640">
      <c r="A1640" t="inlineStr">
        <is>
          <t>LD-301638</t>
        </is>
      </c>
      <c r="B1640" t="inlineStr">
        <is>
          <t>2025-10-31 10:09:00</t>
        </is>
      </c>
      <c r="C1640" t="inlineStr">
        <is>
          <t>Paid Search</t>
        </is>
      </c>
      <c r="D1640" t="inlineStr">
        <is>
          <t>Coding for Kids</t>
        </is>
      </c>
      <c r="E1640" t="inlineStr">
        <is>
          <t>North Region</t>
        </is>
      </c>
      <c r="F1640" t="inlineStr">
        <is>
          <t>Rep_06</t>
        </is>
      </c>
      <c r="G1640" t="n">
        <v>4.87</v>
      </c>
      <c r="H1640" t="inlineStr">
        <is>
          <t>Contacted</t>
        </is>
      </c>
      <c r="I1640" t="inlineStr">
        <is>
          <t>Open</t>
        </is>
      </c>
      <c r="M1640">
        <f>VLOOKUP(H1640,'Stage Order'!$A$2:$B$8,2,FALSE)</f>
        <v/>
      </c>
      <c r="N1640">
        <f>IF(G1640&lt;=1,"1. Under 1 hour",IF(G1640&lt;=24,"2. 1-24 hours",IF(G1640&lt;=72,"3. 1-3 days","4. Over 3 days")))</f>
        <v/>
      </c>
      <c r="O1640">
        <f>TEXT(B1640,"YYYY-MM")</f>
        <v/>
      </c>
    </row>
    <row r="1641">
      <c r="A1641" t="inlineStr">
        <is>
          <t>LD-301639</t>
        </is>
      </c>
      <c r="B1641" t="inlineStr">
        <is>
          <t>2026-06-26 13:03:00</t>
        </is>
      </c>
      <c r="C1641" t="inlineStr">
        <is>
          <t>Referral</t>
        </is>
      </c>
      <c r="D1641" t="inlineStr">
        <is>
          <t>K-12 Math</t>
        </is>
      </c>
      <c r="E1641" t="inlineStr">
        <is>
          <t>East Region</t>
        </is>
      </c>
      <c r="F1641" t="inlineStr">
        <is>
          <t>Rep_09</t>
        </is>
      </c>
      <c r="G1641" t="n">
        <v>3.36</v>
      </c>
      <c r="H1641" t="inlineStr">
        <is>
          <t>Closed</t>
        </is>
      </c>
      <c r="I1641" t="inlineStr">
        <is>
          <t>Won</t>
        </is>
      </c>
      <c r="K1641" t="n">
        <v>526.76</v>
      </c>
      <c r="L1641" t="inlineStr">
        <is>
          <t>2026-07-31 22:06:40.841315</t>
        </is>
      </c>
      <c r="M1641">
        <f>VLOOKUP(H1641,'Stage Order'!$A$2:$B$8,2,FALSE)</f>
        <v/>
      </c>
      <c r="N1641">
        <f>IF(G1641&lt;=1,"1. Under 1 hour",IF(G1641&lt;=24,"2. 1-24 hours",IF(G1641&lt;=72,"3. 1-3 days","4. Over 3 days")))</f>
        <v/>
      </c>
      <c r="O1641">
        <f>TEXT(B1641,"YYYY-MM")</f>
        <v/>
      </c>
    </row>
    <row r="1642">
      <c r="A1642" t="inlineStr">
        <is>
          <t>LD-301640</t>
        </is>
      </c>
      <c r="B1642" t="inlineStr">
        <is>
          <t>2025-09-18 16:15:00</t>
        </is>
      </c>
      <c r="C1642" t="inlineStr">
        <is>
          <t>Webinar</t>
        </is>
      </c>
      <c r="D1642" t="inlineStr">
        <is>
          <t>Competitive Exam Prep</t>
        </is>
      </c>
      <c r="E1642" t="inlineStr">
        <is>
          <t>East Region</t>
        </is>
      </c>
      <c r="F1642" t="inlineStr">
        <is>
          <t>Rep_09</t>
        </is>
      </c>
      <c r="G1642" t="n">
        <v>4.57</v>
      </c>
      <c r="H1642" t="inlineStr">
        <is>
          <t>Contacted</t>
        </is>
      </c>
      <c r="I1642" t="inlineStr">
        <is>
          <t>Open</t>
        </is>
      </c>
      <c r="M1642">
        <f>VLOOKUP(H1642,'Stage Order'!$A$2:$B$8,2,FALSE)</f>
        <v/>
      </c>
      <c r="N1642">
        <f>IF(G1642&lt;=1,"1. Under 1 hour",IF(G1642&lt;=24,"2. 1-24 hours",IF(G1642&lt;=72,"3. 1-3 days","4. Over 3 days")))</f>
        <v/>
      </c>
      <c r="O1642">
        <f>TEXT(B1642,"YYYY-MM")</f>
        <v/>
      </c>
    </row>
    <row r="1643">
      <c r="A1643" t="inlineStr">
        <is>
          <t>LD-301641</t>
        </is>
      </c>
      <c r="B1643" t="inlineStr">
        <is>
          <t>2025-12-11 19:38:00</t>
        </is>
      </c>
      <c r="C1643" t="inlineStr">
        <is>
          <t>Paid Search</t>
        </is>
      </c>
      <c r="D1643" t="inlineStr">
        <is>
          <t>K-12 Math</t>
        </is>
      </c>
      <c r="E1643" t="inlineStr">
        <is>
          <t>South Region</t>
        </is>
      </c>
      <c r="F1643" t="inlineStr">
        <is>
          <t>Rep_07</t>
        </is>
      </c>
      <c r="G1643" t="n">
        <v>1.61</v>
      </c>
      <c r="H1643" t="inlineStr">
        <is>
          <t>Closed</t>
        </is>
      </c>
      <c r="I1643" t="inlineStr">
        <is>
          <t>Won</t>
        </is>
      </c>
      <c r="K1643" t="n">
        <v>421.2</v>
      </c>
      <c r="L1643" t="inlineStr">
        <is>
          <t>2026-01-20 17:09:45.416643</t>
        </is>
      </c>
      <c r="M1643">
        <f>VLOOKUP(H1643,'Stage Order'!$A$2:$B$8,2,FALSE)</f>
        <v/>
      </c>
      <c r="N1643">
        <f>IF(G1643&lt;=1,"1. Under 1 hour",IF(G1643&lt;=24,"2. 1-24 hours",IF(G1643&lt;=72,"3. 1-3 days","4. Over 3 days")))</f>
        <v/>
      </c>
      <c r="O1643">
        <f>TEXT(B1643,"YYYY-MM")</f>
        <v/>
      </c>
    </row>
    <row r="1644">
      <c r="A1644" t="inlineStr">
        <is>
          <t>LD-301642</t>
        </is>
      </c>
      <c r="B1644" t="inlineStr">
        <is>
          <t>2025-06-24 18:35:00</t>
        </is>
      </c>
      <c r="C1644" t="inlineStr">
        <is>
          <t>Organic Search</t>
        </is>
      </c>
      <c r="D1644" t="inlineStr">
        <is>
          <t>K-12 Math</t>
        </is>
      </c>
      <c r="E1644" t="inlineStr">
        <is>
          <t>International</t>
        </is>
      </c>
      <c r="F1644" t="inlineStr">
        <is>
          <t>Rep_10</t>
        </is>
      </c>
      <c r="G1644" t="n">
        <v>0.5600000000000001</v>
      </c>
      <c r="H1644" t="inlineStr">
        <is>
          <t>Contacted</t>
        </is>
      </c>
      <c r="I1644" t="inlineStr">
        <is>
          <t>Open</t>
        </is>
      </c>
      <c r="M1644">
        <f>VLOOKUP(H1644,'Stage Order'!$A$2:$B$8,2,FALSE)</f>
        <v/>
      </c>
      <c r="N1644">
        <f>IF(G1644&lt;=1,"1. Under 1 hour",IF(G1644&lt;=24,"2. 1-24 hours",IF(G1644&lt;=72,"3. 1-3 days","4. Over 3 days")))</f>
        <v/>
      </c>
      <c r="O1644">
        <f>TEXT(B1644,"YYYY-MM")</f>
        <v/>
      </c>
    </row>
    <row r="1645">
      <c r="A1645" t="inlineStr">
        <is>
          <t>LD-301643</t>
        </is>
      </c>
      <c r="B1645" t="inlineStr">
        <is>
          <t>2025-08-29 16:03:00</t>
        </is>
      </c>
      <c r="C1645" t="inlineStr">
        <is>
          <t>Partner Channel</t>
        </is>
      </c>
      <c r="D1645" t="inlineStr">
        <is>
          <t>K-12 Math</t>
        </is>
      </c>
      <c r="E1645" t="inlineStr">
        <is>
          <t>South Region</t>
        </is>
      </c>
      <c r="F1645" t="inlineStr">
        <is>
          <t>Rep_02</t>
        </is>
      </c>
      <c r="G1645" t="n">
        <v>2.87</v>
      </c>
      <c r="H1645" t="inlineStr">
        <is>
          <t>Contacted</t>
        </is>
      </c>
      <c r="I1645" t="inlineStr">
        <is>
          <t>Open</t>
        </is>
      </c>
      <c r="M1645">
        <f>VLOOKUP(H1645,'Stage Order'!$A$2:$B$8,2,FALSE)</f>
        <v/>
      </c>
      <c r="N1645">
        <f>IF(G1645&lt;=1,"1. Under 1 hour",IF(G1645&lt;=24,"2. 1-24 hours",IF(G1645&lt;=72,"3. 1-3 days","4. Over 3 days")))</f>
        <v/>
      </c>
      <c r="O1645">
        <f>TEXT(B1645,"YYYY-MM")</f>
        <v/>
      </c>
    </row>
    <row r="1646">
      <c r="A1646" t="inlineStr">
        <is>
          <t>LD-301644</t>
        </is>
      </c>
      <c r="B1646" t="inlineStr">
        <is>
          <t>2025-03-04 20:04:00</t>
        </is>
      </c>
      <c r="C1646" t="inlineStr">
        <is>
          <t>Partner Channel</t>
        </is>
      </c>
      <c r="D1646" t="inlineStr">
        <is>
          <t>Language Learning</t>
        </is>
      </c>
      <c r="E1646" t="inlineStr">
        <is>
          <t>West Region</t>
        </is>
      </c>
      <c r="F1646" t="inlineStr">
        <is>
          <t>Rep_03</t>
        </is>
      </c>
      <c r="G1646" t="n">
        <v>13.86</v>
      </c>
      <c r="H1646" t="inlineStr">
        <is>
          <t>Negotiation</t>
        </is>
      </c>
      <c r="I1646" t="inlineStr">
        <is>
          <t>Lost</t>
        </is>
      </c>
      <c r="J1646" t="inlineStr">
        <is>
          <t>Bad Timing</t>
        </is>
      </c>
      <c r="K1646" t="n">
        <v>336.66</v>
      </c>
      <c r="L1646" t="inlineStr">
        <is>
          <t>2025-04-08 06:11:05.109752</t>
        </is>
      </c>
      <c r="M1646">
        <f>VLOOKUP(H1646,'Stage Order'!$A$2:$B$8,2,FALSE)</f>
        <v/>
      </c>
      <c r="N1646">
        <f>IF(G1646&lt;=1,"1. Under 1 hour",IF(G1646&lt;=24,"2. 1-24 hours",IF(G1646&lt;=72,"3. 1-3 days","4. Over 3 days")))</f>
        <v/>
      </c>
      <c r="O1646">
        <f>TEXT(B1646,"YYYY-MM")</f>
        <v/>
      </c>
    </row>
    <row r="1647">
      <c r="A1647" t="inlineStr">
        <is>
          <t>LD-301645</t>
        </is>
      </c>
      <c r="B1647" t="inlineStr">
        <is>
          <t>2025-07-30 20:35:00</t>
        </is>
      </c>
      <c r="C1647" t="inlineStr">
        <is>
          <t>Webinar</t>
        </is>
      </c>
      <c r="D1647" t="inlineStr">
        <is>
          <t>Coding for Kids</t>
        </is>
      </c>
      <c r="E1647" t="inlineStr">
        <is>
          <t>East Region</t>
        </is>
      </c>
      <c r="F1647" t="inlineStr">
        <is>
          <t>Rep_04</t>
        </is>
      </c>
      <c r="G1647" t="n">
        <v>6.89</v>
      </c>
      <c r="H1647" t="inlineStr">
        <is>
          <t>Contacted</t>
        </is>
      </c>
      <c r="I1647" t="inlineStr">
        <is>
          <t>Open</t>
        </is>
      </c>
      <c r="M1647">
        <f>VLOOKUP(H1647,'Stage Order'!$A$2:$B$8,2,FALSE)</f>
        <v/>
      </c>
      <c r="N1647">
        <f>IF(G1647&lt;=1,"1. Under 1 hour",IF(G1647&lt;=24,"2. 1-24 hours",IF(G1647&lt;=72,"3. 1-3 days","4. Over 3 days")))</f>
        <v/>
      </c>
      <c r="O1647">
        <f>TEXT(B1647,"YYYY-MM")</f>
        <v/>
      </c>
    </row>
    <row r="1648">
      <c r="A1648" t="inlineStr">
        <is>
          <t>LD-301646</t>
        </is>
      </c>
      <c r="B1648" t="inlineStr">
        <is>
          <t>2026-06-24 18:22:00</t>
        </is>
      </c>
      <c r="C1648" t="inlineStr">
        <is>
          <t>Organic Search</t>
        </is>
      </c>
      <c r="D1648" t="inlineStr">
        <is>
          <t>Competitive Exam Prep</t>
        </is>
      </c>
      <c r="E1648" t="inlineStr">
        <is>
          <t>International</t>
        </is>
      </c>
      <c r="F1648" t="inlineStr">
        <is>
          <t>Rep_15</t>
        </is>
      </c>
      <c r="G1648" t="n">
        <v>3.86</v>
      </c>
      <c r="H1648" t="inlineStr">
        <is>
          <t>Contacted</t>
        </is>
      </c>
      <c r="I1648" t="inlineStr">
        <is>
          <t>Open</t>
        </is>
      </c>
      <c r="M1648">
        <f>VLOOKUP(H1648,'Stage Order'!$A$2:$B$8,2,FALSE)</f>
        <v/>
      </c>
      <c r="N1648">
        <f>IF(G1648&lt;=1,"1. Under 1 hour",IF(G1648&lt;=24,"2. 1-24 hours",IF(G1648&lt;=72,"3. 1-3 days","4. Over 3 days")))</f>
        <v/>
      </c>
      <c r="O1648">
        <f>TEXT(B1648,"YYYY-MM")</f>
        <v/>
      </c>
    </row>
    <row r="1649">
      <c r="A1649" t="inlineStr">
        <is>
          <t>LD-301647</t>
        </is>
      </c>
      <c r="B1649" t="inlineStr">
        <is>
          <t>2026-03-02 18:52:00</t>
        </is>
      </c>
      <c r="C1649" t="inlineStr">
        <is>
          <t>Partner Channel</t>
        </is>
      </c>
      <c r="D1649" t="inlineStr">
        <is>
          <t>K-12 Math</t>
        </is>
      </c>
      <c r="E1649" t="inlineStr">
        <is>
          <t>West Region</t>
        </is>
      </c>
      <c r="F1649" t="inlineStr">
        <is>
          <t>Rep_13</t>
        </is>
      </c>
      <c r="G1649" t="n">
        <v>2.67</v>
      </c>
      <c r="H1649" t="inlineStr">
        <is>
          <t>Contacted</t>
        </is>
      </c>
      <c r="I1649" t="inlineStr">
        <is>
          <t>Open</t>
        </is>
      </c>
      <c r="M1649">
        <f>VLOOKUP(H1649,'Stage Order'!$A$2:$B$8,2,FALSE)</f>
        <v/>
      </c>
      <c r="N1649">
        <f>IF(G1649&lt;=1,"1. Under 1 hour",IF(G1649&lt;=24,"2. 1-24 hours",IF(G1649&lt;=72,"3. 1-3 days","4. Over 3 days")))</f>
        <v/>
      </c>
      <c r="O1649">
        <f>TEXT(B1649,"YYYY-MM")</f>
        <v/>
      </c>
    </row>
    <row r="1650">
      <c r="A1650" t="inlineStr">
        <is>
          <t>LD-301648</t>
        </is>
      </c>
      <c r="B1650" t="inlineStr">
        <is>
          <t>2025-09-11 16:53:00</t>
        </is>
      </c>
      <c r="C1650" t="inlineStr">
        <is>
          <t>Paid Search</t>
        </is>
      </c>
      <c r="D1650" t="inlineStr">
        <is>
          <t>Study Abroad Prep</t>
        </is>
      </c>
      <c r="E1650" t="inlineStr">
        <is>
          <t>West Region</t>
        </is>
      </c>
      <c r="F1650" t="inlineStr">
        <is>
          <t>Rep_03</t>
        </is>
      </c>
      <c r="G1650" t="n">
        <v>10.55</v>
      </c>
      <c r="H1650" t="inlineStr">
        <is>
          <t>Demo Completed</t>
        </is>
      </c>
      <c r="I1650" t="inlineStr">
        <is>
          <t>Lost</t>
        </is>
      </c>
      <c r="J1650" t="inlineStr">
        <is>
          <t>Went With Competitor</t>
        </is>
      </c>
      <c r="K1650" t="n">
        <v>1639.75</v>
      </c>
      <c r="L1650" t="inlineStr">
        <is>
          <t>2025-10-19 09:14:30.824400</t>
        </is>
      </c>
      <c r="M1650">
        <f>VLOOKUP(H1650,'Stage Order'!$A$2:$B$8,2,FALSE)</f>
        <v/>
      </c>
      <c r="N1650">
        <f>IF(G1650&lt;=1,"1. Under 1 hour",IF(G1650&lt;=24,"2. 1-24 hours",IF(G1650&lt;=72,"3. 1-3 days","4. Over 3 days")))</f>
        <v/>
      </c>
      <c r="O1650">
        <f>TEXT(B1650,"YYYY-MM")</f>
        <v/>
      </c>
    </row>
    <row r="1651">
      <c r="A1651" t="inlineStr">
        <is>
          <t>LD-301649</t>
        </is>
      </c>
      <c r="B1651" t="inlineStr">
        <is>
          <t>2025-12-20 16:54:00</t>
        </is>
      </c>
      <c r="C1651" t="inlineStr">
        <is>
          <t>Social Media</t>
        </is>
      </c>
      <c r="D1651" t="inlineStr">
        <is>
          <t>Language Learning</t>
        </is>
      </c>
      <c r="E1651" t="inlineStr">
        <is>
          <t>South Region</t>
        </is>
      </c>
      <c r="F1651" t="inlineStr">
        <is>
          <t>Rep_02</t>
        </is>
      </c>
      <c r="G1651" t="n">
        <v>1.94</v>
      </c>
      <c r="H1651" t="inlineStr">
        <is>
          <t>Contacted</t>
        </is>
      </c>
      <c r="I1651" t="inlineStr">
        <is>
          <t>Open</t>
        </is>
      </c>
      <c r="M1651">
        <f>VLOOKUP(H1651,'Stage Order'!$A$2:$B$8,2,FALSE)</f>
        <v/>
      </c>
      <c r="N1651">
        <f>IF(G1651&lt;=1,"1. Under 1 hour",IF(G1651&lt;=24,"2. 1-24 hours",IF(G1651&lt;=72,"3. 1-3 days","4. Over 3 days")))</f>
        <v/>
      </c>
      <c r="O1651">
        <f>TEXT(B1651,"YYYY-MM")</f>
        <v/>
      </c>
    </row>
    <row r="1652">
      <c r="A1652" t="inlineStr">
        <is>
          <t>LD-301650</t>
        </is>
      </c>
      <c r="B1652" t="inlineStr">
        <is>
          <t>2026-05-15 08:09:00</t>
        </is>
      </c>
      <c r="C1652" t="inlineStr">
        <is>
          <t>Cold Outreach</t>
        </is>
      </c>
      <c r="D1652" t="inlineStr">
        <is>
          <t>K-12 Math</t>
        </is>
      </c>
      <c r="E1652" t="inlineStr">
        <is>
          <t>East Region</t>
        </is>
      </c>
      <c r="F1652" t="inlineStr">
        <is>
          <t>Rep_04</t>
        </is>
      </c>
      <c r="G1652" t="n">
        <v>2.7</v>
      </c>
      <c r="H1652" t="inlineStr">
        <is>
          <t>Lead</t>
        </is>
      </c>
      <c r="I1652" t="inlineStr">
        <is>
          <t>Open</t>
        </is>
      </c>
      <c r="M1652">
        <f>VLOOKUP(H1652,'Stage Order'!$A$2:$B$8,2,FALSE)</f>
        <v/>
      </c>
      <c r="N1652">
        <f>IF(G1652&lt;=1,"1. Under 1 hour",IF(G1652&lt;=24,"2. 1-24 hours",IF(G1652&lt;=72,"3. 1-3 days","4. Over 3 days")))</f>
        <v/>
      </c>
      <c r="O1652">
        <f>TEXT(B1652,"YYYY-MM")</f>
        <v/>
      </c>
    </row>
    <row r="1653">
      <c r="A1653" t="inlineStr">
        <is>
          <t>LD-301651</t>
        </is>
      </c>
      <c r="B1653" t="inlineStr">
        <is>
          <t>2025-07-25 16:14:00</t>
        </is>
      </c>
      <c r="C1653" t="inlineStr">
        <is>
          <t>Partner Channel</t>
        </is>
      </c>
      <c r="D1653" t="inlineStr">
        <is>
          <t>Language Learning</t>
        </is>
      </c>
      <c r="E1653" t="inlineStr">
        <is>
          <t>South Region</t>
        </is>
      </c>
      <c r="F1653" t="inlineStr">
        <is>
          <t>Rep_02</t>
        </is>
      </c>
      <c r="G1653" t="n">
        <v>1.73</v>
      </c>
      <c r="H1653" t="inlineStr">
        <is>
          <t>Contacted</t>
        </is>
      </c>
      <c r="I1653" t="inlineStr">
        <is>
          <t>Open</t>
        </is>
      </c>
      <c r="M1653">
        <f>VLOOKUP(H1653,'Stage Order'!$A$2:$B$8,2,FALSE)</f>
        <v/>
      </c>
      <c r="N1653">
        <f>IF(G1653&lt;=1,"1. Under 1 hour",IF(G1653&lt;=24,"2. 1-24 hours",IF(G1653&lt;=72,"3. 1-3 days","4. Over 3 days")))</f>
        <v/>
      </c>
      <c r="O1653">
        <f>TEXT(B1653,"YYYY-MM")</f>
        <v/>
      </c>
    </row>
    <row r="1654">
      <c r="A1654" t="inlineStr">
        <is>
          <t>LD-301652</t>
        </is>
      </c>
      <c r="B1654" t="inlineStr">
        <is>
          <t>2026-01-16 12:29:00</t>
        </is>
      </c>
      <c r="C1654" t="inlineStr">
        <is>
          <t>Webinar</t>
        </is>
      </c>
      <c r="D1654" t="inlineStr">
        <is>
          <t>K-12 Math</t>
        </is>
      </c>
      <c r="E1654" t="inlineStr">
        <is>
          <t>South Region</t>
        </is>
      </c>
      <c r="F1654" t="inlineStr">
        <is>
          <t>Rep_02</t>
        </is>
      </c>
      <c r="G1654" t="n">
        <v>1.6</v>
      </c>
      <c r="H1654" t="inlineStr">
        <is>
          <t>Contacted</t>
        </is>
      </c>
      <c r="I1654" t="inlineStr">
        <is>
          <t>Open</t>
        </is>
      </c>
      <c r="M1654">
        <f>VLOOKUP(H1654,'Stage Order'!$A$2:$B$8,2,FALSE)</f>
        <v/>
      </c>
      <c r="N1654">
        <f>IF(G1654&lt;=1,"1. Under 1 hour",IF(G1654&lt;=24,"2. 1-24 hours",IF(G1654&lt;=72,"3. 1-3 days","4. Over 3 days")))</f>
        <v/>
      </c>
      <c r="O1654">
        <f>TEXT(B1654,"YYYY-MM")</f>
        <v/>
      </c>
    </row>
    <row r="1655">
      <c r="A1655" t="inlineStr">
        <is>
          <t>LD-301653</t>
        </is>
      </c>
      <c r="B1655" t="inlineStr">
        <is>
          <t>2025-07-23 18:11:00</t>
        </is>
      </c>
      <c r="C1655" t="inlineStr">
        <is>
          <t>Organic Search</t>
        </is>
      </c>
      <c r="D1655" t="inlineStr">
        <is>
          <t>Coding for Kids</t>
        </is>
      </c>
      <c r="E1655" t="inlineStr">
        <is>
          <t>South Region</t>
        </is>
      </c>
      <c r="F1655" t="inlineStr">
        <is>
          <t>Rep_02</t>
        </is>
      </c>
      <c r="G1655" t="n">
        <v>1.42</v>
      </c>
      <c r="H1655" t="inlineStr">
        <is>
          <t>Demo Completed</t>
        </is>
      </c>
      <c r="I1655" t="inlineStr">
        <is>
          <t>Lost</t>
        </is>
      </c>
      <c r="J1655" t="inlineStr">
        <is>
          <t>Budget Not Approved</t>
        </is>
      </c>
      <c r="K1655" t="n">
        <v>600.9299999999999</v>
      </c>
      <c r="L1655" t="inlineStr">
        <is>
          <t>2025-08-25 01:42:37.488807</t>
        </is>
      </c>
      <c r="M1655">
        <f>VLOOKUP(H1655,'Stage Order'!$A$2:$B$8,2,FALSE)</f>
        <v/>
      </c>
      <c r="N1655">
        <f>IF(G1655&lt;=1,"1. Under 1 hour",IF(G1655&lt;=24,"2. 1-24 hours",IF(G1655&lt;=72,"3. 1-3 days","4. Over 3 days")))</f>
        <v/>
      </c>
      <c r="O1655">
        <f>TEXT(B1655,"YYYY-MM")</f>
        <v/>
      </c>
    </row>
    <row r="1656">
      <c r="A1656" t="inlineStr">
        <is>
          <t>LD-301654</t>
        </is>
      </c>
      <c r="B1656" t="inlineStr">
        <is>
          <t>2025-01-02 07:29:00</t>
        </is>
      </c>
      <c r="C1656" t="inlineStr">
        <is>
          <t>Referral</t>
        </is>
      </c>
      <c r="D1656" t="inlineStr">
        <is>
          <t>Study Abroad Prep</t>
        </is>
      </c>
      <c r="E1656" t="inlineStr">
        <is>
          <t>North Region</t>
        </is>
      </c>
      <c r="F1656" t="inlineStr">
        <is>
          <t>Rep_06</t>
        </is>
      </c>
      <c r="G1656" t="n">
        <v>0.8</v>
      </c>
      <c r="H1656" t="inlineStr">
        <is>
          <t>Closed</t>
        </is>
      </c>
      <c r="I1656" t="inlineStr">
        <is>
          <t>Won</t>
        </is>
      </c>
      <c r="K1656" t="n">
        <v>1347.58</v>
      </c>
      <c r="L1656" t="inlineStr">
        <is>
          <t>2025-02-21 02:16:33.196697</t>
        </is>
      </c>
      <c r="M1656">
        <f>VLOOKUP(H1656,'Stage Order'!$A$2:$B$8,2,FALSE)</f>
        <v/>
      </c>
      <c r="N1656">
        <f>IF(G1656&lt;=1,"1. Under 1 hour",IF(G1656&lt;=24,"2. 1-24 hours",IF(G1656&lt;=72,"3. 1-3 days","4. Over 3 days")))</f>
        <v/>
      </c>
      <c r="O1656">
        <f>TEXT(B1656,"YYYY-MM")</f>
        <v/>
      </c>
    </row>
    <row r="1657">
      <c r="A1657" t="inlineStr">
        <is>
          <t>LD-301655</t>
        </is>
      </c>
      <c r="B1657" t="inlineStr">
        <is>
          <t>2025-08-27 10:43:00</t>
        </is>
      </c>
      <c r="C1657" t="inlineStr">
        <is>
          <t>Cold Outreach</t>
        </is>
      </c>
      <c r="D1657" t="inlineStr">
        <is>
          <t>Competitive Exam Prep</t>
        </is>
      </c>
      <c r="E1657" t="inlineStr">
        <is>
          <t>North Region</t>
        </is>
      </c>
      <c r="F1657" t="inlineStr">
        <is>
          <t>Rep_01</t>
        </is>
      </c>
      <c r="G1657" t="n">
        <v>6.65</v>
      </c>
      <c r="H1657" t="inlineStr">
        <is>
          <t>Contacted</t>
        </is>
      </c>
      <c r="I1657" t="inlineStr">
        <is>
          <t>Open</t>
        </is>
      </c>
      <c r="M1657">
        <f>VLOOKUP(H1657,'Stage Order'!$A$2:$B$8,2,FALSE)</f>
        <v/>
      </c>
      <c r="N1657">
        <f>IF(G1657&lt;=1,"1. Under 1 hour",IF(G1657&lt;=24,"2. 1-24 hours",IF(G1657&lt;=72,"3. 1-3 days","4. Over 3 days")))</f>
        <v/>
      </c>
      <c r="O1657">
        <f>TEXT(B1657,"YYYY-MM")</f>
        <v/>
      </c>
    </row>
    <row r="1658">
      <c r="A1658" t="inlineStr">
        <is>
          <t>LD-301656</t>
        </is>
      </c>
      <c r="B1658" t="inlineStr">
        <is>
          <t>2026-02-14 20:13:00</t>
        </is>
      </c>
      <c r="C1658" t="inlineStr">
        <is>
          <t>Paid Search</t>
        </is>
      </c>
      <c r="D1658" t="inlineStr">
        <is>
          <t>Competitive Exam Prep</t>
        </is>
      </c>
      <c r="E1658" t="inlineStr">
        <is>
          <t>North Region</t>
        </is>
      </c>
      <c r="F1658" t="inlineStr">
        <is>
          <t>Rep_11</t>
        </is>
      </c>
      <c r="G1658" t="n">
        <v>4.14</v>
      </c>
      <c r="H1658" t="inlineStr">
        <is>
          <t>Negotiation</t>
        </is>
      </c>
      <c r="I1658" t="inlineStr">
        <is>
          <t>Lost</t>
        </is>
      </c>
      <c r="J1658" t="inlineStr">
        <is>
          <t>No Response / Ghosted</t>
        </is>
      </c>
      <c r="K1658" t="n">
        <v>927.8200000000001</v>
      </c>
      <c r="L1658" t="inlineStr">
        <is>
          <t>2026-04-15 17:50:45.971185</t>
        </is>
      </c>
      <c r="M1658">
        <f>VLOOKUP(H1658,'Stage Order'!$A$2:$B$8,2,FALSE)</f>
        <v/>
      </c>
      <c r="N1658">
        <f>IF(G1658&lt;=1,"1. Under 1 hour",IF(G1658&lt;=24,"2. 1-24 hours",IF(G1658&lt;=72,"3. 1-3 days","4. Over 3 days")))</f>
        <v/>
      </c>
      <c r="O1658">
        <f>TEXT(B1658,"YYYY-MM")</f>
        <v/>
      </c>
    </row>
    <row r="1659">
      <c r="A1659" t="inlineStr">
        <is>
          <t>LD-301657</t>
        </is>
      </c>
      <c r="B1659" t="inlineStr">
        <is>
          <t>2025-10-02 14:01:00</t>
        </is>
      </c>
      <c r="C1659" t="inlineStr">
        <is>
          <t>Organic Search</t>
        </is>
      </c>
      <c r="D1659" t="inlineStr">
        <is>
          <t>Language Learning</t>
        </is>
      </c>
      <c r="E1659" t="inlineStr">
        <is>
          <t>North Region</t>
        </is>
      </c>
      <c r="F1659" t="inlineStr">
        <is>
          <t>Rep_06</t>
        </is>
      </c>
      <c r="G1659" t="n">
        <v>7.18</v>
      </c>
      <c r="H1659" t="inlineStr">
        <is>
          <t>Contacted</t>
        </is>
      </c>
      <c r="I1659" t="inlineStr">
        <is>
          <t>Open</t>
        </is>
      </c>
      <c r="M1659">
        <f>VLOOKUP(H1659,'Stage Order'!$A$2:$B$8,2,FALSE)</f>
        <v/>
      </c>
      <c r="N1659">
        <f>IF(G1659&lt;=1,"1. Under 1 hour",IF(G1659&lt;=24,"2. 1-24 hours",IF(G1659&lt;=72,"3. 1-3 days","4. Over 3 days")))</f>
        <v/>
      </c>
      <c r="O1659">
        <f>TEXT(B1659,"YYYY-MM")</f>
        <v/>
      </c>
    </row>
    <row r="1660">
      <c r="A1660" t="inlineStr">
        <is>
          <t>LD-301658</t>
        </is>
      </c>
      <c r="B1660" t="inlineStr">
        <is>
          <t>2025-02-26 11:23:00</t>
        </is>
      </c>
      <c r="C1660" t="inlineStr">
        <is>
          <t>Organic Search</t>
        </is>
      </c>
      <c r="D1660" t="inlineStr">
        <is>
          <t>K-12 Math</t>
        </is>
      </c>
      <c r="E1660" t="inlineStr">
        <is>
          <t>North Region</t>
        </is>
      </c>
      <c r="F1660" t="inlineStr">
        <is>
          <t>Rep_06</t>
        </is>
      </c>
      <c r="G1660" t="n">
        <v>5.87</v>
      </c>
      <c r="H1660" t="inlineStr">
        <is>
          <t>Demo Completed</t>
        </is>
      </c>
      <c r="I1660" t="inlineStr">
        <is>
          <t>Lost</t>
        </is>
      </c>
      <c r="J1660" t="inlineStr">
        <is>
          <t>Budget Not Approved</t>
        </is>
      </c>
      <c r="K1660" t="n">
        <v>429.35</v>
      </c>
      <c r="L1660" t="inlineStr">
        <is>
          <t>2025-03-16 10:14:09.858046</t>
        </is>
      </c>
      <c r="M1660">
        <f>VLOOKUP(H1660,'Stage Order'!$A$2:$B$8,2,FALSE)</f>
        <v/>
      </c>
      <c r="N1660">
        <f>IF(G1660&lt;=1,"1. Under 1 hour",IF(G1660&lt;=24,"2. 1-24 hours",IF(G1660&lt;=72,"3. 1-3 days","4. Over 3 days")))</f>
        <v/>
      </c>
      <c r="O1660">
        <f>TEXT(B1660,"YYYY-MM")</f>
        <v/>
      </c>
    </row>
    <row r="1661">
      <c r="A1661" t="inlineStr">
        <is>
          <t>LD-301659</t>
        </is>
      </c>
      <c r="B1661" t="inlineStr">
        <is>
          <t>2026-05-28 12:36:00</t>
        </is>
      </c>
      <c r="C1661" t="inlineStr">
        <is>
          <t>Webinar</t>
        </is>
      </c>
      <c r="D1661" t="inlineStr">
        <is>
          <t>Competitive Exam Prep</t>
        </is>
      </c>
      <c r="E1661" t="inlineStr">
        <is>
          <t>South Region</t>
        </is>
      </c>
      <c r="F1661" t="inlineStr">
        <is>
          <t>Rep_02</t>
        </is>
      </c>
      <c r="G1661" t="n">
        <v>2.76</v>
      </c>
      <c r="H1661" t="inlineStr">
        <is>
          <t>Negotiation</t>
        </is>
      </c>
      <c r="I1661" t="inlineStr">
        <is>
          <t>Lost</t>
        </is>
      </c>
      <c r="J1661" t="inlineStr">
        <is>
          <t>Went With Competitor</t>
        </is>
      </c>
      <c r="K1661" t="n">
        <v>944.62</v>
      </c>
      <c r="L1661" t="inlineStr">
        <is>
          <t>2026-08-01 08:29:32.973205</t>
        </is>
      </c>
      <c r="M1661">
        <f>VLOOKUP(H1661,'Stage Order'!$A$2:$B$8,2,FALSE)</f>
        <v/>
      </c>
      <c r="N1661">
        <f>IF(G1661&lt;=1,"1. Under 1 hour",IF(G1661&lt;=24,"2. 1-24 hours",IF(G1661&lt;=72,"3. 1-3 days","4. Over 3 days")))</f>
        <v/>
      </c>
      <c r="O1661">
        <f>TEXT(B1661,"YYYY-MM")</f>
        <v/>
      </c>
    </row>
    <row r="1662">
      <c r="A1662" t="inlineStr">
        <is>
          <t>LD-301660</t>
        </is>
      </c>
      <c r="B1662" t="inlineStr">
        <is>
          <t>2025-06-27 20:24:00</t>
        </is>
      </c>
      <c r="C1662" t="inlineStr">
        <is>
          <t>Cold Outreach</t>
        </is>
      </c>
      <c r="D1662" t="inlineStr">
        <is>
          <t>Competitive Exam Prep</t>
        </is>
      </c>
      <c r="E1662" t="inlineStr">
        <is>
          <t>West Region</t>
        </is>
      </c>
      <c r="F1662" t="inlineStr">
        <is>
          <t>Rep_03</t>
        </is>
      </c>
      <c r="G1662" t="n">
        <v>5.23</v>
      </c>
      <c r="H1662" t="inlineStr">
        <is>
          <t>Contacted</t>
        </is>
      </c>
      <c r="I1662" t="inlineStr">
        <is>
          <t>Open</t>
        </is>
      </c>
      <c r="M1662">
        <f>VLOOKUP(H1662,'Stage Order'!$A$2:$B$8,2,FALSE)</f>
        <v/>
      </c>
      <c r="N1662">
        <f>IF(G1662&lt;=1,"1. Under 1 hour",IF(G1662&lt;=24,"2. 1-24 hours",IF(G1662&lt;=72,"3. 1-3 days","4. Over 3 days")))</f>
        <v/>
      </c>
      <c r="O1662">
        <f>TEXT(B1662,"YYYY-MM")</f>
        <v/>
      </c>
    </row>
    <row r="1663">
      <c r="A1663" t="inlineStr">
        <is>
          <t>LD-301661</t>
        </is>
      </c>
      <c r="B1663" t="inlineStr">
        <is>
          <t>2025-04-11 11:52:00</t>
        </is>
      </c>
      <c r="C1663" t="inlineStr">
        <is>
          <t>Social Media</t>
        </is>
      </c>
      <c r="D1663" t="inlineStr">
        <is>
          <t>Coding for Kids</t>
        </is>
      </c>
      <c r="E1663" t="inlineStr">
        <is>
          <t>South Region</t>
        </is>
      </c>
      <c r="F1663" t="inlineStr">
        <is>
          <t>Rep_07</t>
        </is>
      </c>
      <c r="G1663" t="n">
        <v>0.7</v>
      </c>
      <c r="H1663" t="inlineStr">
        <is>
          <t>Contacted</t>
        </is>
      </c>
      <c r="I1663" t="inlineStr">
        <is>
          <t>Open</t>
        </is>
      </c>
      <c r="M1663">
        <f>VLOOKUP(H1663,'Stage Order'!$A$2:$B$8,2,FALSE)</f>
        <v/>
      </c>
      <c r="N1663">
        <f>IF(G1663&lt;=1,"1. Under 1 hour",IF(G1663&lt;=24,"2. 1-24 hours",IF(G1663&lt;=72,"3. 1-3 days","4. Over 3 days")))</f>
        <v/>
      </c>
      <c r="O1663">
        <f>TEXT(B1663,"YYYY-MM")</f>
        <v/>
      </c>
    </row>
    <row r="1664">
      <c r="A1664" t="inlineStr">
        <is>
          <t>LD-301662</t>
        </is>
      </c>
      <c r="B1664" t="inlineStr">
        <is>
          <t>2026-05-28 19:00:00</t>
        </is>
      </c>
      <c r="C1664" t="inlineStr">
        <is>
          <t>Organic Search</t>
        </is>
      </c>
      <c r="D1664" t="inlineStr">
        <is>
          <t>K-12 Math</t>
        </is>
      </c>
      <c r="E1664" t="inlineStr">
        <is>
          <t>South Region</t>
        </is>
      </c>
      <c r="F1664" t="inlineStr">
        <is>
          <t>Rep_07</t>
        </is>
      </c>
      <c r="G1664" t="n">
        <v>1.88</v>
      </c>
      <c r="H1664" t="inlineStr">
        <is>
          <t>Contacted</t>
        </is>
      </c>
      <c r="I1664" t="inlineStr">
        <is>
          <t>Open</t>
        </is>
      </c>
      <c r="M1664">
        <f>VLOOKUP(H1664,'Stage Order'!$A$2:$B$8,2,FALSE)</f>
        <v/>
      </c>
      <c r="N1664">
        <f>IF(G1664&lt;=1,"1. Under 1 hour",IF(G1664&lt;=24,"2. 1-24 hours",IF(G1664&lt;=72,"3. 1-3 days","4. Over 3 days")))</f>
        <v/>
      </c>
      <c r="O1664">
        <f>TEXT(B1664,"YYYY-MM")</f>
        <v/>
      </c>
    </row>
    <row r="1665">
      <c r="A1665" t="inlineStr">
        <is>
          <t>LD-301663</t>
        </is>
      </c>
      <c r="B1665" t="inlineStr">
        <is>
          <t>2025-11-04 11:20:00</t>
        </is>
      </c>
      <c r="C1665" t="inlineStr">
        <is>
          <t>Social Media</t>
        </is>
      </c>
      <c r="D1665" t="inlineStr">
        <is>
          <t>Language Learning</t>
        </is>
      </c>
      <c r="E1665" t="inlineStr">
        <is>
          <t>South Region</t>
        </is>
      </c>
      <c r="F1665" t="inlineStr">
        <is>
          <t>Rep_12</t>
        </is>
      </c>
      <c r="G1665" t="n">
        <v>12.62</v>
      </c>
      <c r="H1665" t="inlineStr">
        <is>
          <t>Lead</t>
        </is>
      </c>
      <c r="I1665" t="inlineStr">
        <is>
          <t>Open</t>
        </is>
      </c>
      <c r="M1665">
        <f>VLOOKUP(H1665,'Stage Order'!$A$2:$B$8,2,FALSE)</f>
        <v/>
      </c>
      <c r="N1665">
        <f>IF(G1665&lt;=1,"1. Under 1 hour",IF(G1665&lt;=24,"2. 1-24 hours",IF(G1665&lt;=72,"3. 1-3 days","4. Over 3 days")))</f>
        <v/>
      </c>
      <c r="O1665">
        <f>TEXT(B1665,"YYYY-MM")</f>
        <v/>
      </c>
    </row>
    <row r="1666">
      <c r="A1666" t="inlineStr">
        <is>
          <t>LD-301664</t>
        </is>
      </c>
      <c r="B1666" t="inlineStr">
        <is>
          <t>2025-11-25 10:44:00</t>
        </is>
      </c>
      <c r="C1666" t="inlineStr">
        <is>
          <t>Partner Channel</t>
        </is>
      </c>
      <c r="D1666" t="inlineStr">
        <is>
          <t>Competitive Exam Prep</t>
        </is>
      </c>
      <c r="E1666" t="inlineStr">
        <is>
          <t>West Region</t>
        </is>
      </c>
      <c r="F1666" t="inlineStr">
        <is>
          <t>Rep_03</t>
        </is>
      </c>
      <c r="G1666" t="n">
        <v>2.13</v>
      </c>
      <c r="H1666" t="inlineStr">
        <is>
          <t>Negotiation</t>
        </is>
      </c>
      <c r="I1666" t="inlineStr">
        <is>
          <t>Lost</t>
        </is>
      </c>
      <c r="J1666" t="inlineStr">
        <is>
          <t>Bad Timing</t>
        </is>
      </c>
      <c r="K1666" t="n">
        <v>959.12</v>
      </c>
      <c r="L1666" t="inlineStr">
        <is>
          <t>2025-12-28 03:25:45.400025</t>
        </is>
      </c>
      <c r="M1666">
        <f>VLOOKUP(H1666,'Stage Order'!$A$2:$B$8,2,FALSE)</f>
        <v/>
      </c>
      <c r="N1666">
        <f>IF(G1666&lt;=1,"1. Under 1 hour",IF(G1666&lt;=24,"2. 1-24 hours",IF(G1666&lt;=72,"3. 1-3 days","4. Over 3 days")))</f>
        <v/>
      </c>
      <c r="O1666">
        <f>TEXT(B1666,"YYYY-MM")</f>
        <v/>
      </c>
    </row>
    <row r="1667">
      <c r="A1667" t="inlineStr">
        <is>
          <t>LD-301665</t>
        </is>
      </c>
      <c r="B1667" t="inlineStr">
        <is>
          <t>2026-01-02 09:48:00</t>
        </is>
      </c>
      <c r="C1667" t="inlineStr">
        <is>
          <t>Webinar</t>
        </is>
      </c>
      <c r="D1667" t="inlineStr">
        <is>
          <t>K-12 Math</t>
        </is>
      </c>
      <c r="E1667" t="inlineStr">
        <is>
          <t>International</t>
        </is>
      </c>
      <c r="F1667" t="inlineStr">
        <is>
          <t>Rep_15</t>
        </is>
      </c>
      <c r="G1667" t="n">
        <v>1.96</v>
      </c>
      <c r="H1667" t="inlineStr">
        <is>
          <t>Contacted</t>
        </is>
      </c>
      <c r="I1667" t="inlineStr">
        <is>
          <t>Open</t>
        </is>
      </c>
      <c r="M1667">
        <f>VLOOKUP(H1667,'Stage Order'!$A$2:$B$8,2,FALSE)</f>
        <v/>
      </c>
      <c r="N1667">
        <f>IF(G1667&lt;=1,"1. Under 1 hour",IF(G1667&lt;=24,"2. 1-24 hours",IF(G1667&lt;=72,"3. 1-3 days","4. Over 3 days")))</f>
        <v/>
      </c>
      <c r="O1667">
        <f>TEXT(B1667,"YYYY-MM")</f>
        <v/>
      </c>
    </row>
    <row r="1668">
      <c r="A1668" t="inlineStr">
        <is>
          <t>LD-301666</t>
        </is>
      </c>
      <c r="B1668" t="inlineStr">
        <is>
          <t>2025-11-27 20:10:00</t>
        </is>
      </c>
      <c r="C1668" t="inlineStr">
        <is>
          <t>Webinar</t>
        </is>
      </c>
      <c r="D1668" t="inlineStr">
        <is>
          <t>Study Abroad Prep</t>
        </is>
      </c>
      <c r="E1668" t="inlineStr">
        <is>
          <t>East Region</t>
        </is>
      </c>
      <c r="F1668" t="inlineStr">
        <is>
          <t>Rep_04</t>
        </is>
      </c>
      <c r="G1668" t="n">
        <v>1.75</v>
      </c>
      <c r="H1668" t="inlineStr">
        <is>
          <t>Contacted</t>
        </is>
      </c>
      <c r="I1668" t="inlineStr">
        <is>
          <t>Open</t>
        </is>
      </c>
      <c r="M1668">
        <f>VLOOKUP(H1668,'Stage Order'!$A$2:$B$8,2,FALSE)</f>
        <v/>
      </c>
      <c r="N1668">
        <f>IF(G1668&lt;=1,"1. Under 1 hour",IF(G1668&lt;=24,"2. 1-24 hours",IF(G1668&lt;=72,"3. 1-3 days","4. Over 3 days")))</f>
        <v/>
      </c>
      <c r="O1668">
        <f>TEXT(B1668,"YYYY-MM")</f>
        <v/>
      </c>
    </row>
    <row r="1669">
      <c r="A1669" t="inlineStr">
        <is>
          <t>LD-301667</t>
        </is>
      </c>
      <c r="B1669" t="inlineStr">
        <is>
          <t>2026-06-02 11:57:00</t>
        </is>
      </c>
      <c r="C1669" t="inlineStr">
        <is>
          <t>Social Media</t>
        </is>
      </c>
      <c r="D1669" t="inlineStr">
        <is>
          <t>Study Abroad Prep</t>
        </is>
      </c>
      <c r="E1669" t="inlineStr">
        <is>
          <t>South Region</t>
        </is>
      </c>
      <c r="F1669" t="inlineStr">
        <is>
          <t>Rep_07</t>
        </is>
      </c>
      <c r="G1669" t="n">
        <v>2.97</v>
      </c>
      <c r="H1669" t="inlineStr">
        <is>
          <t>Proposal Sent</t>
        </is>
      </c>
      <c r="I1669" t="inlineStr">
        <is>
          <t>Lost</t>
        </is>
      </c>
      <c r="J1669" t="inlineStr">
        <is>
          <t>No Response / Ghosted</t>
        </is>
      </c>
      <c r="K1669" t="n">
        <v>1196.82</v>
      </c>
      <c r="L1669" t="inlineStr">
        <is>
          <t>2026-07-07 16:50:12.456162</t>
        </is>
      </c>
      <c r="M1669">
        <f>VLOOKUP(H1669,'Stage Order'!$A$2:$B$8,2,FALSE)</f>
        <v/>
      </c>
      <c r="N1669">
        <f>IF(G1669&lt;=1,"1. Under 1 hour",IF(G1669&lt;=24,"2. 1-24 hours",IF(G1669&lt;=72,"3. 1-3 days","4. Over 3 days")))</f>
        <v/>
      </c>
      <c r="O1669">
        <f>TEXT(B1669,"YYYY-MM")</f>
        <v/>
      </c>
    </row>
    <row r="1670">
      <c r="A1670" t="inlineStr">
        <is>
          <t>LD-301668</t>
        </is>
      </c>
      <c r="B1670" t="inlineStr">
        <is>
          <t>2025-03-13 07:32:00</t>
        </is>
      </c>
      <c r="C1670" t="inlineStr">
        <is>
          <t>Webinar</t>
        </is>
      </c>
      <c r="D1670" t="inlineStr">
        <is>
          <t>K-12 Math</t>
        </is>
      </c>
      <c r="E1670" t="inlineStr">
        <is>
          <t>West Region</t>
        </is>
      </c>
      <c r="F1670" t="inlineStr">
        <is>
          <t>Rep_13</t>
        </is>
      </c>
      <c r="G1670" t="n">
        <v>1.25</v>
      </c>
      <c r="H1670" t="inlineStr">
        <is>
          <t>Contacted</t>
        </is>
      </c>
      <c r="I1670" t="inlineStr">
        <is>
          <t>Open</t>
        </is>
      </c>
      <c r="M1670">
        <f>VLOOKUP(H1670,'Stage Order'!$A$2:$B$8,2,FALSE)</f>
        <v/>
      </c>
      <c r="N1670">
        <f>IF(G1670&lt;=1,"1. Under 1 hour",IF(G1670&lt;=24,"2. 1-24 hours",IF(G1670&lt;=72,"3. 1-3 days","4. Over 3 days")))</f>
        <v/>
      </c>
      <c r="O1670">
        <f>TEXT(B1670,"YYYY-MM")</f>
        <v/>
      </c>
    </row>
    <row r="1671">
      <c r="A1671" t="inlineStr">
        <is>
          <t>LD-301669</t>
        </is>
      </c>
      <c r="B1671" t="inlineStr">
        <is>
          <t>2025-08-04 07:17:00</t>
        </is>
      </c>
      <c r="C1671" t="inlineStr">
        <is>
          <t>Cold Outreach</t>
        </is>
      </c>
      <c r="D1671" t="inlineStr">
        <is>
          <t>Competitive Exam Prep</t>
        </is>
      </c>
      <c r="E1671" t="inlineStr">
        <is>
          <t>International</t>
        </is>
      </c>
      <c r="F1671" t="inlineStr">
        <is>
          <t>Rep_15</t>
        </is>
      </c>
      <c r="G1671" t="n">
        <v>3.15</v>
      </c>
      <c r="H1671" t="inlineStr">
        <is>
          <t>Contacted</t>
        </is>
      </c>
      <c r="I1671" t="inlineStr">
        <is>
          <t>Open</t>
        </is>
      </c>
      <c r="M1671">
        <f>VLOOKUP(H1671,'Stage Order'!$A$2:$B$8,2,FALSE)</f>
        <v/>
      </c>
      <c r="N1671">
        <f>IF(G1671&lt;=1,"1. Under 1 hour",IF(G1671&lt;=24,"2. 1-24 hours",IF(G1671&lt;=72,"3. 1-3 days","4. Over 3 days")))</f>
        <v/>
      </c>
      <c r="O1671">
        <f>TEXT(B1671,"YYYY-MM")</f>
        <v/>
      </c>
    </row>
    <row r="1672">
      <c r="A1672" t="inlineStr">
        <is>
          <t>LD-301670</t>
        </is>
      </c>
      <c r="B1672" t="inlineStr">
        <is>
          <t>2026-05-08 15:01:00</t>
        </is>
      </c>
      <c r="C1672" t="inlineStr">
        <is>
          <t>Organic Search</t>
        </is>
      </c>
      <c r="D1672" t="inlineStr">
        <is>
          <t>K-12 Math</t>
        </is>
      </c>
      <c r="E1672" t="inlineStr">
        <is>
          <t>North Region</t>
        </is>
      </c>
      <c r="F1672" t="inlineStr">
        <is>
          <t>Rep_01</t>
        </is>
      </c>
      <c r="G1672" t="n">
        <v>2.93</v>
      </c>
      <c r="H1672" t="inlineStr">
        <is>
          <t>Contacted</t>
        </is>
      </c>
      <c r="I1672" t="inlineStr">
        <is>
          <t>Open</t>
        </is>
      </c>
      <c r="M1672">
        <f>VLOOKUP(H1672,'Stage Order'!$A$2:$B$8,2,FALSE)</f>
        <v/>
      </c>
      <c r="N1672">
        <f>IF(G1672&lt;=1,"1. Under 1 hour",IF(G1672&lt;=24,"2. 1-24 hours",IF(G1672&lt;=72,"3. 1-3 days","4. Over 3 days")))</f>
        <v/>
      </c>
      <c r="O1672">
        <f>TEXT(B1672,"YYYY-MM")</f>
        <v/>
      </c>
    </row>
    <row r="1673">
      <c r="A1673" t="inlineStr">
        <is>
          <t>LD-301671</t>
        </is>
      </c>
      <c r="B1673" t="inlineStr">
        <is>
          <t>2025-06-09 19:23:00</t>
        </is>
      </c>
      <c r="C1673" t="inlineStr">
        <is>
          <t>Partner Channel</t>
        </is>
      </c>
      <c r="D1673" t="inlineStr">
        <is>
          <t>Coding for Kids</t>
        </is>
      </c>
      <c r="E1673" t="inlineStr">
        <is>
          <t>South Region</t>
        </is>
      </c>
      <c r="F1673" t="inlineStr">
        <is>
          <t>Rep_12</t>
        </is>
      </c>
      <c r="G1673" t="n">
        <v>6.05</v>
      </c>
      <c r="H1673" t="inlineStr">
        <is>
          <t>Contacted</t>
        </is>
      </c>
      <c r="I1673" t="inlineStr">
        <is>
          <t>Open</t>
        </is>
      </c>
      <c r="M1673">
        <f>VLOOKUP(H1673,'Stage Order'!$A$2:$B$8,2,FALSE)</f>
        <v/>
      </c>
      <c r="N1673">
        <f>IF(G1673&lt;=1,"1. Under 1 hour",IF(G1673&lt;=24,"2. 1-24 hours",IF(G1673&lt;=72,"3. 1-3 days","4. Over 3 days")))</f>
        <v/>
      </c>
      <c r="O1673">
        <f>TEXT(B1673,"YYYY-MM")</f>
        <v/>
      </c>
    </row>
    <row r="1674">
      <c r="A1674" t="inlineStr">
        <is>
          <t>LD-301672</t>
        </is>
      </c>
      <c r="B1674" t="inlineStr">
        <is>
          <t>2025-01-22 16:41:00</t>
        </is>
      </c>
      <c r="C1674" t="inlineStr">
        <is>
          <t>Cold Outreach</t>
        </is>
      </c>
      <c r="D1674" t="inlineStr">
        <is>
          <t>Language Learning</t>
        </is>
      </c>
      <c r="E1674" t="inlineStr">
        <is>
          <t>South Region</t>
        </is>
      </c>
      <c r="F1674" t="inlineStr">
        <is>
          <t>Rep_12</t>
        </is>
      </c>
      <c r="G1674" t="n">
        <v>1.55</v>
      </c>
      <c r="H1674" t="inlineStr">
        <is>
          <t>Demo Completed</t>
        </is>
      </c>
      <c r="I1674" t="inlineStr">
        <is>
          <t>Lost</t>
        </is>
      </c>
      <c r="J1674" t="inlineStr">
        <is>
          <t>Price Objection</t>
        </is>
      </c>
      <c r="K1674" t="n">
        <v>423.88</v>
      </c>
      <c r="L1674" t="inlineStr">
        <is>
          <t>2025-03-05 19:25:59.119829</t>
        </is>
      </c>
      <c r="M1674">
        <f>VLOOKUP(H1674,'Stage Order'!$A$2:$B$8,2,FALSE)</f>
        <v/>
      </c>
      <c r="N1674">
        <f>IF(G1674&lt;=1,"1. Under 1 hour",IF(G1674&lt;=24,"2. 1-24 hours",IF(G1674&lt;=72,"3. 1-3 days","4. Over 3 days")))</f>
        <v/>
      </c>
      <c r="O1674">
        <f>TEXT(B1674,"YYYY-MM")</f>
        <v/>
      </c>
    </row>
    <row r="1675">
      <c r="A1675" t="inlineStr">
        <is>
          <t>LD-301673</t>
        </is>
      </c>
      <c r="B1675" t="inlineStr">
        <is>
          <t>2025-05-30 11:22:00</t>
        </is>
      </c>
      <c r="C1675" t="inlineStr">
        <is>
          <t>Social Media</t>
        </is>
      </c>
      <c r="D1675" t="inlineStr">
        <is>
          <t>Competitive Exam Prep</t>
        </is>
      </c>
      <c r="E1675" t="inlineStr">
        <is>
          <t>South Region</t>
        </is>
      </c>
      <c r="F1675" t="inlineStr">
        <is>
          <t>Rep_07</t>
        </is>
      </c>
      <c r="G1675" t="n">
        <v>5.1</v>
      </c>
      <c r="H1675" t="inlineStr">
        <is>
          <t>Contacted</t>
        </is>
      </c>
      <c r="I1675" t="inlineStr">
        <is>
          <t>Open</t>
        </is>
      </c>
      <c r="M1675">
        <f>VLOOKUP(H1675,'Stage Order'!$A$2:$B$8,2,FALSE)</f>
        <v/>
      </c>
      <c r="N1675">
        <f>IF(G1675&lt;=1,"1. Under 1 hour",IF(G1675&lt;=24,"2. 1-24 hours",IF(G1675&lt;=72,"3. 1-3 days","4. Over 3 days")))</f>
        <v/>
      </c>
      <c r="O1675">
        <f>TEXT(B1675,"YYYY-MM")</f>
        <v/>
      </c>
    </row>
    <row r="1676">
      <c r="A1676" t="inlineStr">
        <is>
          <t>LD-301674</t>
        </is>
      </c>
      <c r="B1676" t="inlineStr">
        <is>
          <t>2025-03-20 12:40:00</t>
        </is>
      </c>
      <c r="C1676" t="inlineStr">
        <is>
          <t>Referral</t>
        </is>
      </c>
      <c r="D1676" t="inlineStr">
        <is>
          <t>Study Abroad Prep</t>
        </is>
      </c>
      <c r="E1676" t="inlineStr">
        <is>
          <t>International</t>
        </is>
      </c>
      <c r="F1676" t="inlineStr">
        <is>
          <t>Rep_15</t>
        </is>
      </c>
      <c r="G1676" t="n">
        <v>8.09</v>
      </c>
      <c r="H1676" t="inlineStr">
        <is>
          <t>Closed</t>
        </is>
      </c>
      <c r="I1676" t="inlineStr">
        <is>
          <t>Won</t>
        </is>
      </c>
      <c r="K1676" t="n">
        <v>1668.13</v>
      </c>
      <c r="L1676" t="inlineStr">
        <is>
          <t>2025-05-06 11:10:06.087755</t>
        </is>
      </c>
      <c r="M1676">
        <f>VLOOKUP(H1676,'Stage Order'!$A$2:$B$8,2,FALSE)</f>
        <v/>
      </c>
      <c r="N1676">
        <f>IF(G1676&lt;=1,"1. Under 1 hour",IF(G1676&lt;=24,"2. 1-24 hours",IF(G1676&lt;=72,"3. 1-3 days","4. Over 3 days")))</f>
        <v/>
      </c>
      <c r="O1676">
        <f>TEXT(B1676,"YYYY-MM")</f>
        <v/>
      </c>
    </row>
    <row r="1677">
      <c r="A1677" t="inlineStr">
        <is>
          <t>LD-301675</t>
        </is>
      </c>
      <c r="B1677" t="inlineStr">
        <is>
          <t>2025-05-20 09:58:00</t>
        </is>
      </c>
      <c r="C1677" t="inlineStr">
        <is>
          <t>Organic Search</t>
        </is>
      </c>
      <c r="D1677" t="inlineStr">
        <is>
          <t>Competitive Exam Prep</t>
        </is>
      </c>
      <c r="E1677" t="inlineStr">
        <is>
          <t>International</t>
        </is>
      </c>
      <c r="F1677" t="inlineStr">
        <is>
          <t>Rep_05</t>
        </is>
      </c>
      <c r="G1677" t="n">
        <v>5.51</v>
      </c>
      <c r="H1677" t="inlineStr">
        <is>
          <t>Contacted</t>
        </is>
      </c>
      <c r="I1677" t="inlineStr">
        <is>
          <t>Open</t>
        </is>
      </c>
      <c r="M1677">
        <f>VLOOKUP(H1677,'Stage Order'!$A$2:$B$8,2,FALSE)</f>
        <v/>
      </c>
      <c r="N1677">
        <f>IF(G1677&lt;=1,"1. Under 1 hour",IF(G1677&lt;=24,"2. 1-24 hours",IF(G1677&lt;=72,"3. 1-3 days","4. Over 3 days")))</f>
        <v/>
      </c>
      <c r="O1677">
        <f>TEXT(B1677,"YYYY-MM")</f>
        <v/>
      </c>
    </row>
    <row r="1678">
      <c r="A1678" t="inlineStr">
        <is>
          <t>LD-301676</t>
        </is>
      </c>
      <c r="B1678" t="inlineStr">
        <is>
          <t>2026-06-02 07:18:00</t>
        </is>
      </c>
      <c r="C1678" t="inlineStr">
        <is>
          <t>Referral</t>
        </is>
      </c>
      <c r="D1678" t="inlineStr">
        <is>
          <t>Study Abroad Prep</t>
        </is>
      </c>
      <c r="E1678" t="inlineStr">
        <is>
          <t>South Region</t>
        </is>
      </c>
      <c r="F1678" t="inlineStr">
        <is>
          <t>Rep_07</t>
        </is>
      </c>
      <c r="G1678" t="n">
        <v>2.05</v>
      </c>
      <c r="H1678" t="inlineStr">
        <is>
          <t>Negotiation</t>
        </is>
      </c>
      <c r="I1678" t="inlineStr">
        <is>
          <t>Lost</t>
        </is>
      </c>
      <c r="J1678" t="inlineStr">
        <is>
          <t>Price Objection</t>
        </is>
      </c>
      <c r="K1678" t="n">
        <v>1500.5</v>
      </c>
      <c r="L1678" t="inlineStr">
        <is>
          <t>2026-07-12 09:34:07.703103</t>
        </is>
      </c>
      <c r="M1678">
        <f>VLOOKUP(H1678,'Stage Order'!$A$2:$B$8,2,FALSE)</f>
        <v/>
      </c>
      <c r="N1678">
        <f>IF(G1678&lt;=1,"1. Under 1 hour",IF(G1678&lt;=24,"2. 1-24 hours",IF(G1678&lt;=72,"3. 1-3 days","4. Over 3 days")))</f>
        <v/>
      </c>
      <c r="O1678">
        <f>TEXT(B1678,"YYYY-MM")</f>
        <v/>
      </c>
    </row>
    <row r="1679">
      <c r="A1679" t="inlineStr">
        <is>
          <t>LD-301677</t>
        </is>
      </c>
      <c r="B1679" t="inlineStr">
        <is>
          <t>2025-12-06 09:37:00</t>
        </is>
      </c>
      <c r="C1679" t="inlineStr">
        <is>
          <t>Social Media</t>
        </is>
      </c>
      <c r="D1679" t="inlineStr">
        <is>
          <t>Language Learning</t>
        </is>
      </c>
      <c r="E1679" t="inlineStr">
        <is>
          <t>International</t>
        </is>
      </c>
      <c r="F1679" t="inlineStr">
        <is>
          <t>Rep_10</t>
        </is>
      </c>
      <c r="G1679" t="n">
        <v>2.12</v>
      </c>
      <c r="H1679" t="inlineStr">
        <is>
          <t>Contacted</t>
        </is>
      </c>
      <c r="I1679" t="inlineStr">
        <is>
          <t>Open</t>
        </is>
      </c>
      <c r="M1679">
        <f>VLOOKUP(H1679,'Stage Order'!$A$2:$B$8,2,FALSE)</f>
        <v/>
      </c>
      <c r="N1679">
        <f>IF(G1679&lt;=1,"1. Under 1 hour",IF(G1679&lt;=24,"2. 1-24 hours",IF(G1679&lt;=72,"3. 1-3 days","4. Over 3 days")))</f>
        <v/>
      </c>
      <c r="O1679">
        <f>TEXT(B1679,"YYYY-MM")</f>
        <v/>
      </c>
    </row>
    <row r="1680">
      <c r="A1680" t="inlineStr">
        <is>
          <t>LD-301678</t>
        </is>
      </c>
      <c r="B1680" t="inlineStr">
        <is>
          <t>2025-05-20 17:06:00</t>
        </is>
      </c>
      <c r="C1680" t="inlineStr">
        <is>
          <t>Referral</t>
        </is>
      </c>
      <c r="D1680" t="inlineStr">
        <is>
          <t>K-12 Math</t>
        </is>
      </c>
      <c r="E1680" t="inlineStr">
        <is>
          <t>South Region</t>
        </is>
      </c>
      <c r="F1680" t="inlineStr">
        <is>
          <t>Rep_07</t>
        </is>
      </c>
      <c r="G1680" t="n">
        <v>3.88</v>
      </c>
      <c r="H1680" t="inlineStr">
        <is>
          <t>Contacted</t>
        </is>
      </c>
      <c r="I1680" t="inlineStr">
        <is>
          <t>Open</t>
        </is>
      </c>
      <c r="M1680">
        <f>VLOOKUP(H1680,'Stage Order'!$A$2:$B$8,2,FALSE)</f>
        <v/>
      </c>
      <c r="N1680">
        <f>IF(G1680&lt;=1,"1. Under 1 hour",IF(G1680&lt;=24,"2. 1-24 hours",IF(G1680&lt;=72,"3. 1-3 days","4. Over 3 days")))</f>
        <v/>
      </c>
      <c r="O1680">
        <f>TEXT(B1680,"YYYY-MM")</f>
        <v/>
      </c>
    </row>
    <row r="1681">
      <c r="A1681" t="inlineStr">
        <is>
          <t>LD-301679</t>
        </is>
      </c>
      <c r="B1681" t="inlineStr">
        <is>
          <t>2025-07-21 08:50:00</t>
        </is>
      </c>
      <c r="C1681" t="inlineStr">
        <is>
          <t>Paid Search</t>
        </is>
      </c>
      <c r="D1681" t="inlineStr">
        <is>
          <t>Coding for Kids</t>
        </is>
      </c>
      <c r="E1681" t="inlineStr">
        <is>
          <t>West Region</t>
        </is>
      </c>
      <c r="F1681" t="inlineStr">
        <is>
          <t>Rep_03</t>
        </is>
      </c>
      <c r="G1681" t="n">
        <v>1.45</v>
      </c>
      <c r="H1681" t="inlineStr">
        <is>
          <t>Contacted</t>
        </is>
      </c>
      <c r="I1681" t="inlineStr">
        <is>
          <t>Open</t>
        </is>
      </c>
      <c r="M1681">
        <f>VLOOKUP(H1681,'Stage Order'!$A$2:$B$8,2,FALSE)</f>
        <v/>
      </c>
      <c r="N1681">
        <f>IF(G1681&lt;=1,"1. Under 1 hour",IF(G1681&lt;=24,"2. 1-24 hours",IF(G1681&lt;=72,"3. 1-3 days","4. Over 3 days")))</f>
        <v/>
      </c>
      <c r="O1681">
        <f>TEXT(B1681,"YYYY-MM")</f>
        <v/>
      </c>
    </row>
    <row r="1682">
      <c r="A1682" t="inlineStr">
        <is>
          <t>LD-301680</t>
        </is>
      </c>
      <c r="B1682" t="inlineStr">
        <is>
          <t>2025-12-19 07:29:00</t>
        </is>
      </c>
      <c r="C1682" t="inlineStr">
        <is>
          <t>Paid Search</t>
        </is>
      </c>
      <c r="D1682" t="inlineStr">
        <is>
          <t>K-12 Math</t>
        </is>
      </c>
      <c r="E1682" t="inlineStr">
        <is>
          <t>South Region</t>
        </is>
      </c>
      <c r="F1682" t="inlineStr">
        <is>
          <t>Rep_02</t>
        </is>
      </c>
      <c r="G1682" t="n">
        <v>5.25</v>
      </c>
      <c r="H1682" t="inlineStr">
        <is>
          <t>Contacted</t>
        </is>
      </c>
      <c r="I1682" t="inlineStr">
        <is>
          <t>Open</t>
        </is>
      </c>
      <c r="M1682">
        <f>VLOOKUP(H1682,'Stage Order'!$A$2:$B$8,2,FALSE)</f>
        <v/>
      </c>
      <c r="N1682">
        <f>IF(G1682&lt;=1,"1. Under 1 hour",IF(G1682&lt;=24,"2. 1-24 hours",IF(G1682&lt;=72,"3. 1-3 days","4. Over 3 days")))</f>
        <v/>
      </c>
      <c r="O1682">
        <f>TEXT(B1682,"YYYY-MM")</f>
        <v/>
      </c>
    </row>
    <row r="1683">
      <c r="A1683" t="inlineStr">
        <is>
          <t>LD-301681</t>
        </is>
      </c>
      <c r="B1683" t="inlineStr">
        <is>
          <t>2025-02-07 20:29:00</t>
        </is>
      </c>
      <c r="C1683" t="inlineStr">
        <is>
          <t>Cold Outreach</t>
        </is>
      </c>
      <c r="D1683" t="inlineStr">
        <is>
          <t>Coding for Kids</t>
        </is>
      </c>
      <c r="E1683" t="inlineStr">
        <is>
          <t>East Region</t>
        </is>
      </c>
      <c r="F1683" t="inlineStr">
        <is>
          <t>Rep_09</t>
        </is>
      </c>
      <c r="G1683" t="n">
        <v>1.07</v>
      </c>
      <c r="H1683" t="inlineStr">
        <is>
          <t>Contacted</t>
        </is>
      </c>
      <c r="I1683" t="inlineStr">
        <is>
          <t>Open</t>
        </is>
      </c>
      <c r="M1683">
        <f>VLOOKUP(H1683,'Stage Order'!$A$2:$B$8,2,FALSE)</f>
        <v/>
      </c>
      <c r="N1683">
        <f>IF(G1683&lt;=1,"1. Under 1 hour",IF(G1683&lt;=24,"2. 1-24 hours",IF(G1683&lt;=72,"3. 1-3 days","4. Over 3 days")))</f>
        <v/>
      </c>
      <c r="O1683">
        <f>TEXT(B1683,"YYYY-MM")</f>
        <v/>
      </c>
    </row>
    <row r="1684">
      <c r="A1684" t="inlineStr">
        <is>
          <t>LD-301682</t>
        </is>
      </c>
      <c r="B1684" t="inlineStr">
        <is>
          <t>2025-05-30 20:03:00</t>
        </is>
      </c>
      <c r="C1684" t="inlineStr">
        <is>
          <t>Paid Search</t>
        </is>
      </c>
      <c r="D1684" t="inlineStr">
        <is>
          <t>Competitive Exam Prep</t>
        </is>
      </c>
      <c r="E1684" t="inlineStr">
        <is>
          <t>East Region</t>
        </is>
      </c>
      <c r="F1684" t="inlineStr">
        <is>
          <t>Rep_14</t>
        </is>
      </c>
      <c r="G1684" t="n">
        <v>2.34</v>
      </c>
      <c r="H1684" t="inlineStr">
        <is>
          <t>Contacted</t>
        </is>
      </c>
      <c r="I1684" t="inlineStr">
        <is>
          <t>Open</t>
        </is>
      </c>
      <c r="M1684">
        <f>VLOOKUP(H1684,'Stage Order'!$A$2:$B$8,2,FALSE)</f>
        <v/>
      </c>
      <c r="N1684">
        <f>IF(G1684&lt;=1,"1. Under 1 hour",IF(G1684&lt;=24,"2. 1-24 hours",IF(G1684&lt;=72,"3. 1-3 days","4. Over 3 days")))</f>
        <v/>
      </c>
      <c r="O1684">
        <f>TEXT(B1684,"YYYY-MM")</f>
        <v/>
      </c>
    </row>
    <row r="1685">
      <c r="A1685" t="inlineStr">
        <is>
          <t>LD-301683</t>
        </is>
      </c>
      <c r="B1685" t="inlineStr">
        <is>
          <t>2026-03-25 11:31:00</t>
        </is>
      </c>
      <c r="C1685" t="inlineStr">
        <is>
          <t>Cold Outreach</t>
        </is>
      </c>
      <c r="D1685" t="inlineStr">
        <is>
          <t>Coding for Kids</t>
        </is>
      </c>
      <c r="E1685" t="inlineStr">
        <is>
          <t>International</t>
        </is>
      </c>
      <c r="F1685" t="inlineStr">
        <is>
          <t>Rep_05</t>
        </is>
      </c>
      <c r="G1685" t="n">
        <v>8.970000000000001</v>
      </c>
      <c r="H1685" t="inlineStr">
        <is>
          <t>Lead</t>
        </is>
      </c>
      <c r="I1685" t="inlineStr">
        <is>
          <t>Open</t>
        </is>
      </c>
      <c r="M1685">
        <f>VLOOKUP(H1685,'Stage Order'!$A$2:$B$8,2,FALSE)</f>
        <v/>
      </c>
      <c r="N1685">
        <f>IF(G1685&lt;=1,"1. Under 1 hour",IF(G1685&lt;=24,"2. 1-24 hours",IF(G1685&lt;=72,"3. 1-3 days","4. Over 3 days")))</f>
        <v/>
      </c>
      <c r="O1685">
        <f>TEXT(B1685,"YYYY-MM")</f>
        <v/>
      </c>
    </row>
    <row r="1686">
      <c r="A1686" t="inlineStr">
        <is>
          <t>LD-301684</t>
        </is>
      </c>
      <c r="B1686" t="inlineStr">
        <is>
          <t>2026-04-03 14:09:00</t>
        </is>
      </c>
      <c r="C1686" t="inlineStr">
        <is>
          <t>Paid Search</t>
        </is>
      </c>
      <c r="D1686" t="inlineStr">
        <is>
          <t>Competitive Exam Prep</t>
        </is>
      </c>
      <c r="E1686" t="inlineStr">
        <is>
          <t>International</t>
        </is>
      </c>
      <c r="F1686" t="inlineStr">
        <is>
          <t>Rep_15</t>
        </is>
      </c>
      <c r="G1686" t="n">
        <v>1.72</v>
      </c>
      <c r="H1686" t="inlineStr">
        <is>
          <t>Demo Completed</t>
        </is>
      </c>
      <c r="I1686" t="inlineStr">
        <is>
          <t>Lost</t>
        </is>
      </c>
      <c r="J1686" t="inlineStr">
        <is>
          <t>Bad Timing</t>
        </is>
      </c>
      <c r="K1686" t="n">
        <v>870.47</v>
      </c>
      <c r="L1686" t="inlineStr">
        <is>
          <t>2026-05-12 01:41:38.522527</t>
        </is>
      </c>
      <c r="M1686">
        <f>VLOOKUP(H1686,'Stage Order'!$A$2:$B$8,2,FALSE)</f>
        <v/>
      </c>
      <c r="N1686">
        <f>IF(G1686&lt;=1,"1. Under 1 hour",IF(G1686&lt;=24,"2. 1-24 hours",IF(G1686&lt;=72,"3. 1-3 days","4. Over 3 days")))</f>
        <v/>
      </c>
      <c r="O1686">
        <f>TEXT(B1686,"YYYY-MM")</f>
        <v/>
      </c>
    </row>
    <row r="1687">
      <c r="A1687" t="inlineStr">
        <is>
          <t>LD-301685</t>
        </is>
      </c>
      <c r="B1687" t="inlineStr">
        <is>
          <t>2025-07-25 17:03:00</t>
        </is>
      </c>
      <c r="C1687" t="inlineStr">
        <is>
          <t>Webinar</t>
        </is>
      </c>
      <c r="D1687" t="inlineStr">
        <is>
          <t>Competitive Exam Prep</t>
        </is>
      </c>
      <c r="E1687" t="inlineStr">
        <is>
          <t>East Region</t>
        </is>
      </c>
      <c r="F1687" t="inlineStr">
        <is>
          <t>Rep_04</t>
        </is>
      </c>
      <c r="G1687" t="n">
        <v>6.61</v>
      </c>
      <c r="H1687" t="inlineStr">
        <is>
          <t>Demo Completed</t>
        </is>
      </c>
      <c r="I1687" t="inlineStr">
        <is>
          <t>Lost</t>
        </is>
      </c>
      <c r="J1687" t="inlineStr">
        <is>
          <t>Went With Competitor</t>
        </is>
      </c>
      <c r="K1687" t="n">
        <v>1116.16</v>
      </c>
      <c r="L1687" t="inlineStr">
        <is>
          <t>2025-08-22 04:08:36.578213</t>
        </is>
      </c>
      <c r="M1687">
        <f>VLOOKUP(H1687,'Stage Order'!$A$2:$B$8,2,FALSE)</f>
        <v/>
      </c>
      <c r="N1687">
        <f>IF(G1687&lt;=1,"1. Under 1 hour",IF(G1687&lt;=24,"2. 1-24 hours",IF(G1687&lt;=72,"3. 1-3 days","4. Over 3 days")))</f>
        <v/>
      </c>
      <c r="O1687">
        <f>TEXT(B1687,"YYYY-MM")</f>
        <v/>
      </c>
    </row>
    <row r="1688">
      <c r="A1688" t="inlineStr">
        <is>
          <t>LD-301686</t>
        </is>
      </c>
      <c r="B1688" t="inlineStr">
        <is>
          <t>2026-03-31 19:26:00</t>
        </is>
      </c>
      <c r="C1688" t="inlineStr">
        <is>
          <t>Webinar</t>
        </is>
      </c>
      <c r="D1688" t="inlineStr">
        <is>
          <t>K-12 Math</t>
        </is>
      </c>
      <c r="E1688" t="inlineStr">
        <is>
          <t>East Region</t>
        </is>
      </c>
      <c r="F1688" t="inlineStr">
        <is>
          <t>Rep_14</t>
        </is>
      </c>
      <c r="G1688" t="n">
        <v>2.18</v>
      </c>
      <c r="H1688" t="inlineStr">
        <is>
          <t>Contacted</t>
        </is>
      </c>
      <c r="I1688" t="inlineStr">
        <is>
          <t>Open</t>
        </is>
      </c>
      <c r="M1688">
        <f>VLOOKUP(H1688,'Stage Order'!$A$2:$B$8,2,FALSE)</f>
        <v/>
      </c>
      <c r="N1688">
        <f>IF(G1688&lt;=1,"1. Under 1 hour",IF(G1688&lt;=24,"2. 1-24 hours",IF(G1688&lt;=72,"3. 1-3 days","4. Over 3 days")))</f>
        <v/>
      </c>
      <c r="O1688">
        <f>TEXT(B1688,"YYYY-MM")</f>
        <v/>
      </c>
    </row>
    <row r="1689">
      <c r="A1689" t="inlineStr">
        <is>
          <t>LD-301687</t>
        </is>
      </c>
      <c r="B1689" t="inlineStr">
        <is>
          <t>2025-08-19 20:40:00</t>
        </is>
      </c>
      <c r="C1689" t="inlineStr">
        <is>
          <t>Organic Search</t>
        </is>
      </c>
      <c r="D1689" t="inlineStr">
        <is>
          <t>Competitive Exam Prep</t>
        </is>
      </c>
      <c r="E1689" t="inlineStr">
        <is>
          <t>North Region</t>
        </is>
      </c>
      <c r="F1689" t="inlineStr">
        <is>
          <t>Rep_06</t>
        </is>
      </c>
      <c r="G1689" t="n">
        <v>2.68</v>
      </c>
      <c r="H1689" t="inlineStr">
        <is>
          <t>Demo Scheduled</t>
        </is>
      </c>
      <c r="I1689" t="inlineStr">
        <is>
          <t>Open</t>
        </is>
      </c>
      <c r="M1689">
        <f>VLOOKUP(H1689,'Stage Order'!$A$2:$B$8,2,FALSE)</f>
        <v/>
      </c>
      <c r="N1689">
        <f>IF(G1689&lt;=1,"1. Under 1 hour",IF(G1689&lt;=24,"2. 1-24 hours",IF(G1689&lt;=72,"3. 1-3 days","4. Over 3 days")))</f>
        <v/>
      </c>
      <c r="O1689">
        <f>TEXT(B1689,"YYYY-MM")</f>
        <v/>
      </c>
    </row>
    <row r="1690">
      <c r="A1690" t="inlineStr">
        <is>
          <t>LD-301688</t>
        </is>
      </c>
      <c r="B1690" t="inlineStr">
        <is>
          <t>2025-12-29 18:42:00</t>
        </is>
      </c>
      <c r="C1690" t="inlineStr">
        <is>
          <t>Referral</t>
        </is>
      </c>
      <c r="D1690" t="inlineStr">
        <is>
          <t>Study Abroad Prep</t>
        </is>
      </c>
      <c r="E1690" t="inlineStr">
        <is>
          <t>East Region</t>
        </is>
      </c>
      <c r="F1690" t="inlineStr">
        <is>
          <t>Rep_04</t>
        </is>
      </c>
      <c r="G1690" t="n">
        <v>8.960000000000001</v>
      </c>
      <c r="H1690" t="inlineStr">
        <is>
          <t>Demo Scheduled</t>
        </is>
      </c>
      <c r="I1690" t="inlineStr">
        <is>
          <t>Open</t>
        </is>
      </c>
      <c r="M1690">
        <f>VLOOKUP(H1690,'Stage Order'!$A$2:$B$8,2,FALSE)</f>
        <v/>
      </c>
      <c r="N1690">
        <f>IF(G1690&lt;=1,"1. Under 1 hour",IF(G1690&lt;=24,"2. 1-24 hours",IF(G1690&lt;=72,"3. 1-3 days","4. Over 3 days")))</f>
        <v/>
      </c>
      <c r="O1690">
        <f>TEXT(B1690,"YYYY-MM")</f>
        <v/>
      </c>
    </row>
    <row r="1691">
      <c r="A1691" t="inlineStr">
        <is>
          <t>LD-301689</t>
        </is>
      </c>
      <c r="B1691" t="inlineStr">
        <is>
          <t>2025-02-22 12:32:00</t>
        </is>
      </c>
      <c r="C1691" t="inlineStr">
        <is>
          <t>Organic Search</t>
        </is>
      </c>
      <c r="D1691" t="inlineStr">
        <is>
          <t>K-12 Math</t>
        </is>
      </c>
      <c r="E1691" t="inlineStr">
        <is>
          <t>East Region</t>
        </is>
      </c>
      <c r="F1691" t="inlineStr">
        <is>
          <t>Rep_09</t>
        </is>
      </c>
      <c r="G1691" t="n">
        <v>1.35</v>
      </c>
      <c r="H1691" t="inlineStr">
        <is>
          <t>Proposal Sent</t>
        </is>
      </c>
      <c r="I1691" t="inlineStr">
        <is>
          <t>Lost</t>
        </is>
      </c>
      <c r="J1691" t="inlineStr">
        <is>
          <t>Bad Timing</t>
        </is>
      </c>
      <c r="K1691" t="n">
        <v>587.8200000000001</v>
      </c>
      <c r="L1691" t="inlineStr">
        <is>
          <t>2025-04-12 23:29:29.567694</t>
        </is>
      </c>
      <c r="M1691">
        <f>VLOOKUP(H1691,'Stage Order'!$A$2:$B$8,2,FALSE)</f>
        <v/>
      </c>
      <c r="N1691">
        <f>IF(G1691&lt;=1,"1. Under 1 hour",IF(G1691&lt;=24,"2. 1-24 hours",IF(G1691&lt;=72,"3. 1-3 days","4. Over 3 days")))</f>
        <v/>
      </c>
      <c r="O1691">
        <f>TEXT(B1691,"YYYY-MM")</f>
        <v/>
      </c>
    </row>
    <row r="1692">
      <c r="A1692" t="inlineStr">
        <is>
          <t>LD-301690</t>
        </is>
      </c>
      <c r="B1692" t="inlineStr">
        <is>
          <t>2025-04-09 19:20:00</t>
        </is>
      </c>
      <c r="C1692" t="inlineStr">
        <is>
          <t>Webinar</t>
        </is>
      </c>
      <c r="D1692" t="inlineStr">
        <is>
          <t>Language Learning</t>
        </is>
      </c>
      <c r="E1692" t="inlineStr">
        <is>
          <t>West Region</t>
        </is>
      </c>
      <c r="F1692" t="inlineStr">
        <is>
          <t>Rep_03</t>
        </is>
      </c>
      <c r="G1692" t="n">
        <v>1.66</v>
      </c>
      <c r="H1692" t="inlineStr">
        <is>
          <t>Proposal Sent</t>
        </is>
      </c>
      <c r="I1692" t="inlineStr">
        <is>
          <t>Lost</t>
        </is>
      </c>
      <c r="J1692" t="inlineStr">
        <is>
          <t>Price Objection</t>
        </is>
      </c>
      <c r="K1692" t="n">
        <v>383.79</v>
      </c>
      <c r="L1692" t="inlineStr">
        <is>
          <t>2025-05-21 11:20:40.276544</t>
        </is>
      </c>
      <c r="M1692">
        <f>VLOOKUP(H1692,'Stage Order'!$A$2:$B$8,2,FALSE)</f>
        <v/>
      </c>
      <c r="N1692">
        <f>IF(G1692&lt;=1,"1. Under 1 hour",IF(G1692&lt;=24,"2. 1-24 hours",IF(G1692&lt;=72,"3. 1-3 days","4. Over 3 days")))</f>
        <v/>
      </c>
      <c r="O1692">
        <f>TEXT(B1692,"YYYY-MM")</f>
        <v/>
      </c>
    </row>
    <row r="1693">
      <c r="A1693" t="inlineStr">
        <is>
          <t>LD-301691</t>
        </is>
      </c>
      <c r="B1693" t="inlineStr">
        <is>
          <t>2026-01-16 11:57:00</t>
        </is>
      </c>
      <c r="C1693" t="inlineStr">
        <is>
          <t>Cold Outreach</t>
        </is>
      </c>
      <c r="D1693" t="inlineStr">
        <is>
          <t>Study Abroad Prep</t>
        </is>
      </c>
      <c r="E1693" t="inlineStr">
        <is>
          <t>South Region</t>
        </is>
      </c>
      <c r="F1693" t="inlineStr">
        <is>
          <t>Rep_07</t>
        </is>
      </c>
      <c r="G1693" t="n">
        <v>3.61</v>
      </c>
      <c r="H1693" t="inlineStr">
        <is>
          <t>Contacted</t>
        </is>
      </c>
      <c r="I1693" t="inlineStr">
        <is>
          <t>Open</t>
        </is>
      </c>
      <c r="M1693">
        <f>VLOOKUP(H1693,'Stage Order'!$A$2:$B$8,2,FALSE)</f>
        <v/>
      </c>
      <c r="N1693">
        <f>IF(G1693&lt;=1,"1. Under 1 hour",IF(G1693&lt;=24,"2. 1-24 hours",IF(G1693&lt;=72,"3. 1-3 days","4. Over 3 days")))</f>
        <v/>
      </c>
      <c r="O1693">
        <f>TEXT(B1693,"YYYY-MM")</f>
        <v/>
      </c>
    </row>
    <row r="1694">
      <c r="A1694" t="inlineStr">
        <is>
          <t>LD-301692</t>
        </is>
      </c>
      <c r="B1694" t="inlineStr">
        <is>
          <t>2025-12-05 12:47:00</t>
        </is>
      </c>
      <c r="C1694" t="inlineStr">
        <is>
          <t>Cold Outreach</t>
        </is>
      </c>
      <c r="D1694" t="inlineStr">
        <is>
          <t>Competitive Exam Prep</t>
        </is>
      </c>
      <c r="E1694" t="inlineStr">
        <is>
          <t>East Region</t>
        </is>
      </c>
      <c r="F1694" t="inlineStr">
        <is>
          <t>Rep_04</t>
        </is>
      </c>
      <c r="G1694" t="n">
        <v>6.86</v>
      </c>
      <c r="H1694" t="inlineStr">
        <is>
          <t>Lead</t>
        </is>
      </c>
      <c r="I1694" t="inlineStr">
        <is>
          <t>Open</t>
        </is>
      </c>
      <c r="M1694">
        <f>VLOOKUP(H1694,'Stage Order'!$A$2:$B$8,2,FALSE)</f>
        <v/>
      </c>
      <c r="N1694">
        <f>IF(G1694&lt;=1,"1. Under 1 hour",IF(G1694&lt;=24,"2. 1-24 hours",IF(G1694&lt;=72,"3. 1-3 days","4. Over 3 days")))</f>
        <v/>
      </c>
      <c r="O1694">
        <f>TEXT(B1694,"YYYY-MM")</f>
        <v/>
      </c>
    </row>
    <row r="1695">
      <c r="A1695" t="inlineStr">
        <is>
          <t>LD-301693</t>
        </is>
      </c>
      <c r="B1695" t="inlineStr">
        <is>
          <t>2025-03-10 09:57:00</t>
        </is>
      </c>
      <c r="C1695" t="inlineStr">
        <is>
          <t>Paid Search</t>
        </is>
      </c>
      <c r="D1695" t="inlineStr">
        <is>
          <t>Study Abroad Prep</t>
        </is>
      </c>
      <c r="E1695" t="inlineStr">
        <is>
          <t>North Region</t>
        </is>
      </c>
      <c r="F1695" t="inlineStr">
        <is>
          <t>Rep_11</t>
        </is>
      </c>
      <c r="G1695" t="n">
        <v>2.51</v>
      </c>
      <c r="H1695" t="inlineStr">
        <is>
          <t>Contacted</t>
        </is>
      </c>
      <c r="I1695" t="inlineStr">
        <is>
          <t>Open</t>
        </is>
      </c>
      <c r="M1695">
        <f>VLOOKUP(H1695,'Stage Order'!$A$2:$B$8,2,FALSE)</f>
        <v/>
      </c>
      <c r="N1695">
        <f>IF(G1695&lt;=1,"1. Under 1 hour",IF(G1695&lt;=24,"2. 1-24 hours",IF(G1695&lt;=72,"3. 1-3 days","4. Over 3 days")))</f>
        <v/>
      </c>
      <c r="O1695">
        <f>TEXT(B1695,"YYYY-MM")</f>
        <v/>
      </c>
    </row>
    <row r="1696">
      <c r="A1696" t="inlineStr">
        <is>
          <t>LD-301694</t>
        </is>
      </c>
      <c r="B1696" t="inlineStr">
        <is>
          <t>2026-02-20 20:12:00</t>
        </is>
      </c>
      <c r="C1696" t="inlineStr">
        <is>
          <t>Paid Search</t>
        </is>
      </c>
      <c r="D1696" t="inlineStr">
        <is>
          <t>Language Learning</t>
        </is>
      </c>
      <c r="E1696" t="inlineStr">
        <is>
          <t>West Region</t>
        </is>
      </c>
      <c r="F1696" t="inlineStr">
        <is>
          <t>Rep_03</t>
        </is>
      </c>
      <c r="G1696" t="n">
        <v>2.27</v>
      </c>
      <c r="H1696" t="inlineStr">
        <is>
          <t>Closed</t>
        </is>
      </c>
      <c r="I1696" t="inlineStr">
        <is>
          <t>Won</t>
        </is>
      </c>
      <c r="K1696" t="n">
        <v>334.78</v>
      </c>
      <c r="L1696" t="inlineStr">
        <is>
          <t>2026-04-03 22:19:43.552392</t>
        </is>
      </c>
      <c r="M1696">
        <f>VLOOKUP(H1696,'Stage Order'!$A$2:$B$8,2,FALSE)</f>
        <v/>
      </c>
      <c r="N1696">
        <f>IF(G1696&lt;=1,"1. Under 1 hour",IF(G1696&lt;=24,"2. 1-24 hours",IF(G1696&lt;=72,"3. 1-3 days","4. Over 3 days")))</f>
        <v/>
      </c>
      <c r="O1696">
        <f>TEXT(B1696,"YYYY-MM")</f>
        <v/>
      </c>
    </row>
    <row r="1697">
      <c r="A1697" t="inlineStr">
        <is>
          <t>LD-301695</t>
        </is>
      </c>
      <c r="B1697" t="inlineStr">
        <is>
          <t>2025-08-08 17:09:00</t>
        </is>
      </c>
      <c r="C1697" t="inlineStr">
        <is>
          <t>Organic Search</t>
        </is>
      </c>
      <c r="D1697" t="inlineStr">
        <is>
          <t>Language Learning</t>
        </is>
      </c>
      <c r="E1697" t="inlineStr">
        <is>
          <t>South Region</t>
        </is>
      </c>
      <c r="F1697" t="inlineStr">
        <is>
          <t>Rep_02</t>
        </is>
      </c>
      <c r="G1697" t="n">
        <v>0.95</v>
      </c>
      <c r="H1697" t="inlineStr">
        <is>
          <t>Closed</t>
        </is>
      </c>
      <c r="I1697" t="inlineStr">
        <is>
          <t>Won</t>
        </is>
      </c>
      <c r="K1697" t="n">
        <v>302.38</v>
      </c>
      <c r="L1697" t="inlineStr">
        <is>
          <t>2025-09-13 00:09:36.580768</t>
        </is>
      </c>
      <c r="M1697">
        <f>VLOOKUP(H1697,'Stage Order'!$A$2:$B$8,2,FALSE)</f>
        <v/>
      </c>
      <c r="N1697">
        <f>IF(G1697&lt;=1,"1. Under 1 hour",IF(G1697&lt;=24,"2. 1-24 hours",IF(G1697&lt;=72,"3. 1-3 days","4. Over 3 days")))</f>
        <v/>
      </c>
      <c r="O1697">
        <f>TEXT(B1697,"YYYY-MM")</f>
        <v/>
      </c>
    </row>
    <row r="1698">
      <c r="A1698" t="inlineStr">
        <is>
          <t>LD-301696</t>
        </is>
      </c>
      <c r="B1698" t="inlineStr">
        <is>
          <t>2025-10-10 08:31:00</t>
        </is>
      </c>
      <c r="C1698" t="inlineStr">
        <is>
          <t>Webinar</t>
        </is>
      </c>
      <c r="D1698" t="inlineStr">
        <is>
          <t>Competitive Exam Prep</t>
        </is>
      </c>
      <c r="E1698" t="inlineStr">
        <is>
          <t>East Region</t>
        </is>
      </c>
      <c r="F1698" t="inlineStr">
        <is>
          <t>Rep_14</t>
        </is>
      </c>
      <c r="G1698" t="n">
        <v>4.17</v>
      </c>
      <c r="H1698" t="inlineStr">
        <is>
          <t>Contacted</t>
        </is>
      </c>
      <c r="I1698" t="inlineStr">
        <is>
          <t>Open</t>
        </is>
      </c>
      <c r="M1698">
        <f>VLOOKUP(H1698,'Stage Order'!$A$2:$B$8,2,FALSE)</f>
        <v/>
      </c>
      <c r="N1698">
        <f>IF(G1698&lt;=1,"1. Under 1 hour",IF(G1698&lt;=24,"2. 1-24 hours",IF(G1698&lt;=72,"3. 1-3 days","4. Over 3 days")))</f>
        <v/>
      </c>
      <c r="O1698">
        <f>TEXT(B1698,"YYYY-MM")</f>
        <v/>
      </c>
    </row>
    <row r="1699">
      <c r="A1699" t="inlineStr">
        <is>
          <t>LD-301697</t>
        </is>
      </c>
      <c r="B1699" t="inlineStr">
        <is>
          <t>2025-07-11 14:43:00</t>
        </is>
      </c>
      <c r="C1699" t="inlineStr">
        <is>
          <t>Partner Channel</t>
        </is>
      </c>
      <c r="D1699" t="inlineStr">
        <is>
          <t>Coding for Kids</t>
        </is>
      </c>
      <c r="E1699" t="inlineStr">
        <is>
          <t>South Region</t>
        </is>
      </c>
      <c r="F1699" t="inlineStr">
        <is>
          <t>Rep_12</t>
        </is>
      </c>
      <c r="G1699" t="n">
        <v>2.45</v>
      </c>
      <c r="H1699" t="inlineStr">
        <is>
          <t>Demo Scheduled</t>
        </is>
      </c>
      <c r="I1699" t="inlineStr">
        <is>
          <t>Open</t>
        </is>
      </c>
      <c r="M1699">
        <f>VLOOKUP(H1699,'Stage Order'!$A$2:$B$8,2,FALSE)</f>
        <v/>
      </c>
      <c r="N1699">
        <f>IF(G1699&lt;=1,"1. Under 1 hour",IF(G1699&lt;=24,"2. 1-24 hours",IF(G1699&lt;=72,"3. 1-3 days","4. Over 3 days")))</f>
        <v/>
      </c>
      <c r="O1699">
        <f>TEXT(B1699,"YYYY-MM")</f>
        <v/>
      </c>
    </row>
    <row r="1700">
      <c r="A1700" t="inlineStr">
        <is>
          <t>LD-301698</t>
        </is>
      </c>
      <c r="B1700" t="inlineStr">
        <is>
          <t>2025-10-08 10:41:00</t>
        </is>
      </c>
      <c r="C1700" t="inlineStr">
        <is>
          <t>Organic Search</t>
        </is>
      </c>
      <c r="D1700" t="inlineStr">
        <is>
          <t>Competitive Exam Prep</t>
        </is>
      </c>
      <c r="E1700" t="inlineStr">
        <is>
          <t>International</t>
        </is>
      </c>
      <c r="F1700" t="inlineStr">
        <is>
          <t>Rep_10</t>
        </is>
      </c>
      <c r="G1700" t="n">
        <v>3.55</v>
      </c>
      <c r="H1700" t="inlineStr">
        <is>
          <t>Contacted</t>
        </is>
      </c>
      <c r="I1700" t="inlineStr">
        <is>
          <t>Open</t>
        </is>
      </c>
      <c r="M1700">
        <f>VLOOKUP(H1700,'Stage Order'!$A$2:$B$8,2,FALSE)</f>
        <v/>
      </c>
      <c r="N1700">
        <f>IF(G1700&lt;=1,"1. Under 1 hour",IF(G1700&lt;=24,"2. 1-24 hours",IF(G1700&lt;=72,"3. 1-3 days","4. Over 3 days")))</f>
        <v/>
      </c>
      <c r="O1700">
        <f>TEXT(B1700,"YYYY-MM")</f>
        <v/>
      </c>
    </row>
    <row r="1701">
      <c r="A1701" t="inlineStr">
        <is>
          <t>LD-301699</t>
        </is>
      </c>
      <c r="B1701" t="inlineStr">
        <is>
          <t>2026-05-29 07:14:00</t>
        </is>
      </c>
      <c r="C1701" t="inlineStr">
        <is>
          <t>Webinar</t>
        </is>
      </c>
      <c r="D1701" t="inlineStr">
        <is>
          <t>Coding for Kids</t>
        </is>
      </c>
      <c r="E1701" t="inlineStr">
        <is>
          <t>East Region</t>
        </is>
      </c>
      <c r="F1701" t="inlineStr">
        <is>
          <t>Rep_09</t>
        </is>
      </c>
      <c r="G1701" t="n">
        <v>8.380000000000001</v>
      </c>
      <c r="H1701" t="inlineStr">
        <is>
          <t>Demo Completed</t>
        </is>
      </c>
      <c r="I1701" t="inlineStr">
        <is>
          <t>Lost</t>
        </is>
      </c>
      <c r="J1701" t="inlineStr">
        <is>
          <t>Went With Competitor</t>
        </is>
      </c>
      <c r="K1701" t="n">
        <v>674.8200000000001</v>
      </c>
      <c r="L1701" t="inlineStr">
        <is>
          <t>2026-06-19 18:55:31.660518</t>
        </is>
      </c>
      <c r="M1701">
        <f>VLOOKUP(H1701,'Stage Order'!$A$2:$B$8,2,FALSE)</f>
        <v/>
      </c>
      <c r="N1701">
        <f>IF(G1701&lt;=1,"1. Under 1 hour",IF(G1701&lt;=24,"2. 1-24 hours",IF(G1701&lt;=72,"3. 1-3 days","4. Over 3 days")))</f>
        <v/>
      </c>
      <c r="O1701">
        <f>TEXT(B1701,"YYYY-MM")</f>
        <v/>
      </c>
    </row>
    <row r="1702">
      <c r="A1702" t="inlineStr">
        <is>
          <t>LD-301700</t>
        </is>
      </c>
      <c r="B1702" t="inlineStr">
        <is>
          <t>2025-09-26 17:02:00</t>
        </is>
      </c>
      <c r="C1702" t="inlineStr">
        <is>
          <t>Partner Channel</t>
        </is>
      </c>
      <c r="D1702" t="inlineStr">
        <is>
          <t>Competitive Exam Prep</t>
        </is>
      </c>
      <c r="E1702" t="inlineStr">
        <is>
          <t>South Region</t>
        </is>
      </c>
      <c r="F1702" t="inlineStr">
        <is>
          <t>Rep_02</t>
        </is>
      </c>
      <c r="G1702" t="n">
        <v>9.68</v>
      </c>
      <c r="H1702" t="inlineStr">
        <is>
          <t>Contacted</t>
        </is>
      </c>
      <c r="I1702" t="inlineStr">
        <is>
          <t>Open</t>
        </is>
      </c>
      <c r="M1702">
        <f>VLOOKUP(H1702,'Stage Order'!$A$2:$B$8,2,FALSE)</f>
        <v/>
      </c>
      <c r="N1702">
        <f>IF(G1702&lt;=1,"1. Under 1 hour",IF(G1702&lt;=24,"2. 1-24 hours",IF(G1702&lt;=72,"3. 1-3 days","4. Over 3 days")))</f>
        <v/>
      </c>
      <c r="O1702">
        <f>TEXT(B1702,"YYYY-MM")</f>
        <v/>
      </c>
    </row>
    <row r="1703">
      <c r="A1703" t="inlineStr">
        <is>
          <t>LD-301701</t>
        </is>
      </c>
      <c r="B1703" t="inlineStr">
        <is>
          <t>2025-05-02 08:12:00</t>
        </is>
      </c>
      <c r="C1703" t="inlineStr">
        <is>
          <t>Webinar</t>
        </is>
      </c>
      <c r="D1703" t="inlineStr">
        <is>
          <t>Coding for Kids</t>
        </is>
      </c>
      <c r="E1703" t="inlineStr">
        <is>
          <t>South Region</t>
        </is>
      </c>
      <c r="F1703" t="inlineStr">
        <is>
          <t>Rep_12</t>
        </is>
      </c>
      <c r="G1703" t="n">
        <v>2.16</v>
      </c>
      <c r="H1703" t="inlineStr">
        <is>
          <t>Closed</t>
        </is>
      </c>
      <c r="I1703" t="inlineStr">
        <is>
          <t>Won</t>
        </is>
      </c>
      <c r="K1703" t="n">
        <v>734.34</v>
      </c>
      <c r="L1703" t="inlineStr">
        <is>
          <t>2025-06-16 11:35:59.599924</t>
        </is>
      </c>
      <c r="M1703">
        <f>VLOOKUP(H1703,'Stage Order'!$A$2:$B$8,2,FALSE)</f>
        <v/>
      </c>
      <c r="N1703">
        <f>IF(G1703&lt;=1,"1. Under 1 hour",IF(G1703&lt;=24,"2. 1-24 hours",IF(G1703&lt;=72,"3. 1-3 days","4. Over 3 days")))</f>
        <v/>
      </c>
      <c r="O1703">
        <f>TEXT(B1703,"YYYY-MM")</f>
        <v/>
      </c>
    </row>
    <row r="1704">
      <c r="A1704" t="inlineStr">
        <is>
          <t>LD-301702</t>
        </is>
      </c>
      <c r="B1704" t="inlineStr">
        <is>
          <t>2026-01-05 14:33:00</t>
        </is>
      </c>
      <c r="C1704" t="inlineStr">
        <is>
          <t>Social Media</t>
        </is>
      </c>
      <c r="D1704" t="inlineStr">
        <is>
          <t>Competitive Exam Prep</t>
        </is>
      </c>
      <c r="E1704" t="inlineStr">
        <is>
          <t>West Region</t>
        </is>
      </c>
      <c r="F1704" t="inlineStr">
        <is>
          <t>Rep_13</t>
        </is>
      </c>
      <c r="G1704" t="n">
        <v>1.1</v>
      </c>
      <c r="H1704" t="inlineStr">
        <is>
          <t>Closed</t>
        </is>
      </c>
      <c r="I1704" t="inlineStr">
        <is>
          <t>Won</t>
        </is>
      </c>
      <c r="K1704" t="n">
        <v>950.8</v>
      </c>
      <c r="L1704" t="inlineStr">
        <is>
          <t>2026-02-11 01:40:50.943899</t>
        </is>
      </c>
      <c r="M1704">
        <f>VLOOKUP(H1704,'Stage Order'!$A$2:$B$8,2,FALSE)</f>
        <v/>
      </c>
      <c r="N1704">
        <f>IF(G1704&lt;=1,"1. Under 1 hour",IF(G1704&lt;=24,"2. 1-24 hours",IF(G1704&lt;=72,"3. 1-3 days","4. Over 3 days")))</f>
        <v/>
      </c>
      <c r="O1704">
        <f>TEXT(B1704,"YYYY-MM")</f>
        <v/>
      </c>
    </row>
    <row r="1705">
      <c r="A1705" t="inlineStr">
        <is>
          <t>LD-301703</t>
        </is>
      </c>
      <c r="B1705" t="inlineStr">
        <is>
          <t>2025-04-25 15:24:00</t>
        </is>
      </c>
      <c r="C1705" t="inlineStr">
        <is>
          <t>Paid Search</t>
        </is>
      </c>
      <c r="D1705" t="inlineStr">
        <is>
          <t>Coding for Kids</t>
        </is>
      </c>
      <c r="E1705" t="inlineStr">
        <is>
          <t>West Region</t>
        </is>
      </c>
      <c r="F1705" t="inlineStr">
        <is>
          <t>Rep_13</t>
        </is>
      </c>
      <c r="G1705" t="n">
        <v>4.41</v>
      </c>
      <c r="H1705" t="inlineStr">
        <is>
          <t>Contacted</t>
        </is>
      </c>
      <c r="I1705" t="inlineStr">
        <is>
          <t>Open</t>
        </is>
      </c>
      <c r="M1705">
        <f>VLOOKUP(H1705,'Stage Order'!$A$2:$B$8,2,FALSE)</f>
        <v/>
      </c>
      <c r="N1705">
        <f>IF(G1705&lt;=1,"1. Under 1 hour",IF(G1705&lt;=24,"2. 1-24 hours",IF(G1705&lt;=72,"3. 1-3 days","4. Over 3 days")))</f>
        <v/>
      </c>
      <c r="O1705">
        <f>TEXT(B1705,"YYYY-MM")</f>
        <v/>
      </c>
    </row>
    <row r="1706">
      <c r="A1706" t="inlineStr">
        <is>
          <t>LD-301704</t>
        </is>
      </c>
      <c r="B1706" t="inlineStr">
        <is>
          <t>2025-07-30 16:25:00</t>
        </is>
      </c>
      <c r="C1706" t="inlineStr">
        <is>
          <t>Paid Search</t>
        </is>
      </c>
      <c r="D1706" t="inlineStr">
        <is>
          <t>Competitive Exam Prep</t>
        </is>
      </c>
      <c r="E1706" t="inlineStr">
        <is>
          <t>East Region</t>
        </is>
      </c>
      <c r="F1706" t="inlineStr">
        <is>
          <t>Rep_14</t>
        </is>
      </c>
      <c r="G1706" t="n">
        <v>4.77</v>
      </c>
      <c r="H1706" t="inlineStr">
        <is>
          <t>Lead</t>
        </is>
      </c>
      <c r="I1706" t="inlineStr">
        <is>
          <t>Open</t>
        </is>
      </c>
      <c r="M1706">
        <f>VLOOKUP(H1706,'Stage Order'!$A$2:$B$8,2,FALSE)</f>
        <v/>
      </c>
      <c r="N1706">
        <f>IF(G1706&lt;=1,"1. Under 1 hour",IF(G1706&lt;=24,"2. 1-24 hours",IF(G1706&lt;=72,"3. 1-3 days","4. Over 3 days")))</f>
        <v/>
      </c>
      <c r="O1706">
        <f>TEXT(B1706,"YYYY-MM")</f>
        <v/>
      </c>
    </row>
    <row r="1707">
      <c r="A1707" t="inlineStr">
        <is>
          <t>LD-301705</t>
        </is>
      </c>
      <c r="B1707" t="inlineStr">
        <is>
          <t>2025-01-23 18:43:00</t>
        </is>
      </c>
      <c r="C1707" t="inlineStr">
        <is>
          <t>Social Media</t>
        </is>
      </c>
      <c r="D1707" t="inlineStr">
        <is>
          <t>Competitive Exam Prep</t>
        </is>
      </c>
      <c r="E1707" t="inlineStr">
        <is>
          <t>West Region</t>
        </is>
      </c>
      <c r="F1707" t="inlineStr">
        <is>
          <t>Rep_03</t>
        </is>
      </c>
      <c r="G1707" t="n">
        <v>2.91</v>
      </c>
      <c r="H1707" t="inlineStr">
        <is>
          <t>Contacted</t>
        </is>
      </c>
      <c r="I1707" t="inlineStr">
        <is>
          <t>Open</t>
        </is>
      </c>
      <c r="M1707">
        <f>VLOOKUP(H1707,'Stage Order'!$A$2:$B$8,2,FALSE)</f>
        <v/>
      </c>
      <c r="N1707">
        <f>IF(G1707&lt;=1,"1. Under 1 hour",IF(G1707&lt;=24,"2. 1-24 hours",IF(G1707&lt;=72,"3. 1-3 days","4. Over 3 days")))</f>
        <v/>
      </c>
      <c r="O1707">
        <f>TEXT(B1707,"YYYY-MM")</f>
        <v/>
      </c>
    </row>
    <row r="1708">
      <c r="A1708" t="inlineStr">
        <is>
          <t>LD-301706</t>
        </is>
      </c>
      <c r="B1708" t="inlineStr">
        <is>
          <t>2025-06-15 07:58:00</t>
        </is>
      </c>
      <c r="C1708" t="inlineStr">
        <is>
          <t>Cold Outreach</t>
        </is>
      </c>
      <c r="D1708" t="inlineStr">
        <is>
          <t>Competitive Exam Prep</t>
        </is>
      </c>
      <c r="E1708" t="inlineStr">
        <is>
          <t>South Region</t>
        </is>
      </c>
      <c r="F1708" t="inlineStr">
        <is>
          <t>Rep_12</t>
        </is>
      </c>
      <c r="G1708" t="n">
        <v>9.390000000000001</v>
      </c>
      <c r="H1708" t="inlineStr">
        <is>
          <t>Lead</t>
        </is>
      </c>
      <c r="I1708" t="inlineStr">
        <is>
          <t>Open</t>
        </is>
      </c>
      <c r="M1708">
        <f>VLOOKUP(H1708,'Stage Order'!$A$2:$B$8,2,FALSE)</f>
        <v/>
      </c>
      <c r="N1708">
        <f>IF(G1708&lt;=1,"1. Under 1 hour",IF(G1708&lt;=24,"2. 1-24 hours",IF(G1708&lt;=72,"3. 1-3 days","4. Over 3 days")))</f>
        <v/>
      </c>
      <c r="O1708">
        <f>TEXT(B1708,"YYYY-MM")</f>
        <v/>
      </c>
    </row>
    <row r="1709">
      <c r="A1709" t="inlineStr">
        <is>
          <t>LD-301707</t>
        </is>
      </c>
      <c r="B1709" t="inlineStr">
        <is>
          <t>2026-04-09 11:12:00</t>
        </is>
      </c>
      <c r="C1709" t="inlineStr">
        <is>
          <t>Paid Search</t>
        </is>
      </c>
      <c r="D1709" t="inlineStr">
        <is>
          <t>Competitive Exam Prep</t>
        </is>
      </c>
      <c r="E1709" t="inlineStr">
        <is>
          <t>South Region</t>
        </is>
      </c>
      <c r="F1709" t="inlineStr">
        <is>
          <t>Rep_12</t>
        </is>
      </c>
      <c r="G1709" t="n">
        <v>2.78</v>
      </c>
      <c r="H1709" t="inlineStr">
        <is>
          <t>Lead</t>
        </is>
      </c>
      <c r="I1709" t="inlineStr">
        <is>
          <t>Open</t>
        </is>
      </c>
      <c r="M1709">
        <f>VLOOKUP(H1709,'Stage Order'!$A$2:$B$8,2,FALSE)</f>
        <v/>
      </c>
      <c r="N1709">
        <f>IF(G1709&lt;=1,"1. Under 1 hour",IF(G1709&lt;=24,"2. 1-24 hours",IF(G1709&lt;=72,"3. 1-3 days","4. Over 3 days")))</f>
        <v/>
      </c>
      <c r="O1709">
        <f>TEXT(B1709,"YYYY-MM")</f>
        <v/>
      </c>
    </row>
    <row r="1710">
      <c r="A1710" t="inlineStr">
        <is>
          <t>LD-301708</t>
        </is>
      </c>
      <c r="B1710" t="inlineStr">
        <is>
          <t>2025-05-30 18:38:00</t>
        </is>
      </c>
      <c r="C1710" t="inlineStr">
        <is>
          <t>Organic Search</t>
        </is>
      </c>
      <c r="D1710" t="inlineStr">
        <is>
          <t>K-12 Math</t>
        </is>
      </c>
      <c r="E1710" t="inlineStr">
        <is>
          <t>North Region</t>
        </is>
      </c>
      <c r="F1710" t="inlineStr">
        <is>
          <t>Rep_01</t>
        </is>
      </c>
      <c r="G1710" t="n">
        <v>10.2</v>
      </c>
      <c r="H1710" t="inlineStr">
        <is>
          <t>Contacted</t>
        </is>
      </c>
      <c r="I1710" t="inlineStr">
        <is>
          <t>Open</t>
        </is>
      </c>
      <c r="M1710">
        <f>VLOOKUP(H1710,'Stage Order'!$A$2:$B$8,2,FALSE)</f>
        <v/>
      </c>
      <c r="N1710">
        <f>IF(G1710&lt;=1,"1. Under 1 hour",IF(G1710&lt;=24,"2. 1-24 hours",IF(G1710&lt;=72,"3. 1-3 days","4. Over 3 days")))</f>
        <v/>
      </c>
      <c r="O1710">
        <f>TEXT(B1710,"YYYY-MM")</f>
        <v/>
      </c>
    </row>
    <row r="1711">
      <c r="A1711" t="inlineStr">
        <is>
          <t>LD-301709</t>
        </is>
      </c>
      <c r="B1711" t="inlineStr">
        <is>
          <t>2025-12-18 15:12:00</t>
        </is>
      </c>
      <c r="C1711" t="inlineStr">
        <is>
          <t>Referral</t>
        </is>
      </c>
      <c r="D1711" t="inlineStr">
        <is>
          <t>Coding for Kids</t>
        </is>
      </c>
      <c r="E1711" t="inlineStr">
        <is>
          <t>North Region</t>
        </is>
      </c>
      <c r="F1711" t="inlineStr">
        <is>
          <t>Rep_01</t>
        </is>
      </c>
      <c r="G1711" t="n">
        <v>14.71</v>
      </c>
      <c r="H1711" t="inlineStr">
        <is>
          <t>Closed</t>
        </is>
      </c>
      <c r="I1711" t="inlineStr">
        <is>
          <t>Won</t>
        </is>
      </c>
      <c r="K1711" t="n">
        <v>540.66</v>
      </c>
      <c r="L1711" t="inlineStr">
        <is>
          <t>2026-01-20 20:53:21.005021</t>
        </is>
      </c>
      <c r="M1711">
        <f>VLOOKUP(H1711,'Stage Order'!$A$2:$B$8,2,FALSE)</f>
        <v/>
      </c>
      <c r="N1711">
        <f>IF(G1711&lt;=1,"1. Under 1 hour",IF(G1711&lt;=24,"2. 1-24 hours",IF(G1711&lt;=72,"3. 1-3 days","4. Over 3 days")))</f>
        <v/>
      </c>
      <c r="O1711">
        <f>TEXT(B1711,"YYYY-MM")</f>
        <v/>
      </c>
    </row>
    <row r="1712">
      <c r="A1712" t="inlineStr">
        <is>
          <t>LD-301710</t>
        </is>
      </c>
      <c r="B1712" t="inlineStr">
        <is>
          <t>2025-05-20 08:25:00</t>
        </is>
      </c>
      <c r="C1712" t="inlineStr">
        <is>
          <t>Organic Search</t>
        </is>
      </c>
      <c r="D1712" t="inlineStr">
        <is>
          <t>Competitive Exam Prep</t>
        </is>
      </c>
      <c r="E1712" t="inlineStr">
        <is>
          <t>West Region</t>
        </is>
      </c>
      <c r="F1712" t="inlineStr">
        <is>
          <t>Rep_08</t>
        </is>
      </c>
      <c r="G1712" t="n">
        <v>1.54</v>
      </c>
      <c r="H1712" t="inlineStr">
        <is>
          <t>Closed</t>
        </is>
      </c>
      <c r="I1712" t="inlineStr">
        <is>
          <t>Won</t>
        </is>
      </c>
      <c r="K1712" t="n">
        <v>810.87</v>
      </c>
      <c r="L1712" t="inlineStr">
        <is>
          <t>2025-06-18 10:42:09.047487</t>
        </is>
      </c>
      <c r="M1712">
        <f>VLOOKUP(H1712,'Stage Order'!$A$2:$B$8,2,FALSE)</f>
        <v/>
      </c>
      <c r="N1712">
        <f>IF(G1712&lt;=1,"1. Under 1 hour",IF(G1712&lt;=24,"2. 1-24 hours",IF(G1712&lt;=72,"3. 1-3 days","4. Over 3 days")))</f>
        <v/>
      </c>
      <c r="O1712">
        <f>TEXT(B1712,"YYYY-MM")</f>
        <v/>
      </c>
    </row>
    <row r="1713">
      <c r="A1713" t="inlineStr">
        <is>
          <t>LD-301711</t>
        </is>
      </c>
      <c r="B1713" t="inlineStr">
        <is>
          <t>2025-11-29 19:30:00</t>
        </is>
      </c>
      <c r="C1713" t="inlineStr">
        <is>
          <t>Organic Search</t>
        </is>
      </c>
      <c r="D1713" t="inlineStr">
        <is>
          <t>Coding for Kids</t>
        </is>
      </c>
      <c r="E1713" t="inlineStr">
        <is>
          <t>West Region</t>
        </is>
      </c>
      <c r="F1713" t="inlineStr">
        <is>
          <t>Rep_13</t>
        </is>
      </c>
      <c r="G1713" t="n">
        <v>4.74</v>
      </c>
      <c r="H1713" t="inlineStr">
        <is>
          <t>Demo Completed</t>
        </is>
      </c>
      <c r="I1713" t="inlineStr">
        <is>
          <t>Lost</t>
        </is>
      </c>
      <c r="J1713" t="inlineStr">
        <is>
          <t>Budget Not Approved</t>
        </is>
      </c>
      <c r="K1713" t="n">
        <v>678.97</v>
      </c>
      <c r="L1713" t="inlineStr">
        <is>
          <t>2026-01-07 10:47:26.027344</t>
        </is>
      </c>
      <c r="M1713">
        <f>VLOOKUP(H1713,'Stage Order'!$A$2:$B$8,2,FALSE)</f>
        <v/>
      </c>
      <c r="N1713">
        <f>IF(G1713&lt;=1,"1. Under 1 hour",IF(G1713&lt;=24,"2. 1-24 hours",IF(G1713&lt;=72,"3. 1-3 days","4. Over 3 days")))</f>
        <v/>
      </c>
      <c r="O1713">
        <f>TEXT(B1713,"YYYY-MM")</f>
        <v/>
      </c>
    </row>
    <row r="1714">
      <c r="A1714" t="inlineStr">
        <is>
          <t>LD-301712</t>
        </is>
      </c>
      <c r="B1714" t="inlineStr">
        <is>
          <t>2025-02-03 09:41:00</t>
        </is>
      </c>
      <c r="C1714" t="inlineStr">
        <is>
          <t>Organic Search</t>
        </is>
      </c>
      <c r="D1714" t="inlineStr">
        <is>
          <t>Coding for Kids</t>
        </is>
      </c>
      <c r="E1714" t="inlineStr">
        <is>
          <t>North Region</t>
        </is>
      </c>
      <c r="F1714" t="inlineStr">
        <is>
          <t>Rep_01</t>
        </is>
      </c>
      <c r="G1714" t="n">
        <v>5.51</v>
      </c>
      <c r="H1714" t="inlineStr">
        <is>
          <t>Contacted</t>
        </is>
      </c>
      <c r="I1714" t="inlineStr">
        <is>
          <t>Open</t>
        </is>
      </c>
      <c r="M1714">
        <f>VLOOKUP(H1714,'Stage Order'!$A$2:$B$8,2,FALSE)</f>
        <v/>
      </c>
      <c r="N1714">
        <f>IF(G1714&lt;=1,"1. Under 1 hour",IF(G1714&lt;=24,"2. 1-24 hours",IF(G1714&lt;=72,"3. 1-3 days","4. Over 3 days")))</f>
        <v/>
      </c>
      <c r="O1714">
        <f>TEXT(B1714,"YYYY-MM")</f>
        <v/>
      </c>
    </row>
    <row r="1715">
      <c r="A1715" t="inlineStr">
        <is>
          <t>LD-301713</t>
        </is>
      </c>
      <c r="B1715" t="inlineStr">
        <is>
          <t>2025-04-21 16:33:00</t>
        </is>
      </c>
      <c r="C1715" t="inlineStr">
        <is>
          <t>Cold Outreach</t>
        </is>
      </c>
      <c r="D1715" t="inlineStr">
        <is>
          <t>Language Learning</t>
        </is>
      </c>
      <c r="E1715" t="inlineStr">
        <is>
          <t>North Region</t>
        </is>
      </c>
      <c r="F1715" t="inlineStr">
        <is>
          <t>Rep_01</t>
        </is>
      </c>
      <c r="G1715" t="n">
        <v>0.49</v>
      </c>
      <c r="H1715" t="inlineStr">
        <is>
          <t>Contacted</t>
        </is>
      </c>
      <c r="I1715" t="inlineStr">
        <is>
          <t>Open</t>
        </is>
      </c>
      <c r="M1715">
        <f>VLOOKUP(H1715,'Stage Order'!$A$2:$B$8,2,FALSE)</f>
        <v/>
      </c>
      <c r="N1715">
        <f>IF(G1715&lt;=1,"1. Under 1 hour",IF(G1715&lt;=24,"2. 1-24 hours",IF(G1715&lt;=72,"3. 1-3 days","4. Over 3 days")))</f>
        <v/>
      </c>
      <c r="O1715">
        <f>TEXT(B1715,"YYYY-MM")</f>
        <v/>
      </c>
    </row>
    <row r="1716">
      <c r="A1716" t="inlineStr">
        <is>
          <t>LD-301714</t>
        </is>
      </c>
      <c r="B1716" t="inlineStr">
        <is>
          <t>2025-10-21 10:07:00</t>
        </is>
      </c>
      <c r="C1716" t="inlineStr">
        <is>
          <t>Organic Search</t>
        </is>
      </c>
      <c r="D1716" t="inlineStr">
        <is>
          <t>Study Abroad Prep</t>
        </is>
      </c>
      <c r="E1716" t="inlineStr">
        <is>
          <t>International</t>
        </is>
      </c>
      <c r="F1716" t="inlineStr">
        <is>
          <t>Rep_15</t>
        </is>
      </c>
      <c r="G1716" t="n">
        <v>6.34</v>
      </c>
      <c r="H1716" t="inlineStr">
        <is>
          <t>Demo Completed</t>
        </is>
      </c>
      <c r="I1716" t="inlineStr">
        <is>
          <t>Lost</t>
        </is>
      </c>
      <c r="J1716" t="inlineStr">
        <is>
          <t>Bad Timing</t>
        </is>
      </c>
      <c r="K1716" t="n">
        <v>1473.46</v>
      </c>
      <c r="L1716" t="inlineStr">
        <is>
          <t>2025-11-16 20:51:09.452963</t>
        </is>
      </c>
      <c r="M1716">
        <f>VLOOKUP(H1716,'Stage Order'!$A$2:$B$8,2,FALSE)</f>
        <v/>
      </c>
      <c r="N1716">
        <f>IF(G1716&lt;=1,"1. Under 1 hour",IF(G1716&lt;=24,"2. 1-24 hours",IF(G1716&lt;=72,"3. 1-3 days","4. Over 3 days")))</f>
        <v/>
      </c>
      <c r="O1716">
        <f>TEXT(B1716,"YYYY-MM")</f>
        <v/>
      </c>
    </row>
    <row r="1717">
      <c r="A1717" t="inlineStr">
        <is>
          <t>LD-301715</t>
        </is>
      </c>
      <c r="B1717" t="inlineStr">
        <is>
          <t>2025-06-10 18:06:00</t>
        </is>
      </c>
      <c r="C1717" t="inlineStr">
        <is>
          <t>Paid Search</t>
        </is>
      </c>
      <c r="D1717" t="inlineStr">
        <is>
          <t>K-12 Math</t>
        </is>
      </c>
      <c r="E1717" t="inlineStr">
        <is>
          <t>South Region</t>
        </is>
      </c>
      <c r="F1717" t="inlineStr">
        <is>
          <t>Rep_02</t>
        </is>
      </c>
      <c r="G1717" t="n">
        <v>5.68</v>
      </c>
      <c r="H1717" t="inlineStr">
        <is>
          <t>Lead</t>
        </is>
      </c>
      <c r="I1717" t="inlineStr">
        <is>
          <t>Open</t>
        </is>
      </c>
      <c r="M1717">
        <f>VLOOKUP(H1717,'Stage Order'!$A$2:$B$8,2,FALSE)</f>
        <v/>
      </c>
      <c r="N1717">
        <f>IF(G1717&lt;=1,"1. Under 1 hour",IF(G1717&lt;=24,"2. 1-24 hours",IF(G1717&lt;=72,"3. 1-3 days","4. Over 3 days")))</f>
        <v/>
      </c>
      <c r="O1717">
        <f>TEXT(B1717,"YYYY-MM")</f>
        <v/>
      </c>
    </row>
    <row r="1718">
      <c r="A1718" t="inlineStr">
        <is>
          <t>LD-301716</t>
        </is>
      </c>
      <c r="B1718" t="inlineStr">
        <is>
          <t>2025-04-12 13:13:00</t>
        </is>
      </c>
      <c r="C1718" t="inlineStr">
        <is>
          <t>Cold Outreach</t>
        </is>
      </c>
      <c r="D1718" t="inlineStr">
        <is>
          <t>K-12 Math</t>
        </is>
      </c>
      <c r="E1718" t="inlineStr">
        <is>
          <t>North Region</t>
        </is>
      </c>
      <c r="F1718" t="inlineStr">
        <is>
          <t>Rep_06</t>
        </is>
      </c>
      <c r="G1718" t="n">
        <v>9.92</v>
      </c>
      <c r="H1718" t="inlineStr">
        <is>
          <t>Contacted</t>
        </is>
      </c>
      <c r="I1718" t="inlineStr">
        <is>
          <t>Open</t>
        </is>
      </c>
      <c r="M1718">
        <f>VLOOKUP(H1718,'Stage Order'!$A$2:$B$8,2,FALSE)</f>
        <v/>
      </c>
      <c r="N1718">
        <f>IF(G1718&lt;=1,"1. Under 1 hour",IF(G1718&lt;=24,"2. 1-24 hours",IF(G1718&lt;=72,"3. 1-3 days","4. Over 3 days")))</f>
        <v/>
      </c>
      <c r="O1718">
        <f>TEXT(B1718,"YYYY-MM")</f>
        <v/>
      </c>
    </row>
    <row r="1719">
      <c r="A1719" t="inlineStr">
        <is>
          <t>LD-301717</t>
        </is>
      </c>
      <c r="B1719" t="inlineStr">
        <is>
          <t>2025-06-03 11:49:00</t>
        </is>
      </c>
      <c r="C1719" t="inlineStr">
        <is>
          <t>Organic Search</t>
        </is>
      </c>
      <c r="D1719" t="inlineStr">
        <is>
          <t>K-12 Math</t>
        </is>
      </c>
      <c r="E1719" t="inlineStr">
        <is>
          <t>North Region</t>
        </is>
      </c>
      <c r="F1719" t="inlineStr">
        <is>
          <t>Rep_06</t>
        </is>
      </c>
      <c r="G1719" t="n">
        <v>1.41</v>
      </c>
      <c r="H1719" t="inlineStr">
        <is>
          <t>Contacted</t>
        </is>
      </c>
      <c r="I1719" t="inlineStr">
        <is>
          <t>Open</t>
        </is>
      </c>
      <c r="M1719">
        <f>VLOOKUP(H1719,'Stage Order'!$A$2:$B$8,2,FALSE)</f>
        <v/>
      </c>
      <c r="N1719">
        <f>IF(G1719&lt;=1,"1. Under 1 hour",IF(G1719&lt;=24,"2. 1-24 hours",IF(G1719&lt;=72,"3. 1-3 days","4. Over 3 days")))</f>
        <v/>
      </c>
      <c r="O1719">
        <f>TEXT(B1719,"YYYY-MM")</f>
        <v/>
      </c>
    </row>
    <row r="1720">
      <c r="A1720" t="inlineStr">
        <is>
          <t>LD-301718</t>
        </is>
      </c>
      <c r="B1720" t="inlineStr">
        <is>
          <t>2025-05-28 13:51:00</t>
        </is>
      </c>
      <c r="C1720" t="inlineStr">
        <is>
          <t>Organic Search</t>
        </is>
      </c>
      <c r="D1720" t="inlineStr">
        <is>
          <t>Study Abroad Prep</t>
        </is>
      </c>
      <c r="E1720" t="inlineStr">
        <is>
          <t>North Region</t>
        </is>
      </c>
      <c r="F1720" t="inlineStr">
        <is>
          <t>Rep_01</t>
        </is>
      </c>
      <c r="G1720" t="n">
        <v>14.53</v>
      </c>
      <c r="H1720" t="inlineStr">
        <is>
          <t>Contacted</t>
        </is>
      </c>
      <c r="I1720" t="inlineStr">
        <is>
          <t>Open</t>
        </is>
      </c>
      <c r="M1720">
        <f>VLOOKUP(H1720,'Stage Order'!$A$2:$B$8,2,FALSE)</f>
        <v/>
      </c>
      <c r="N1720">
        <f>IF(G1720&lt;=1,"1. Under 1 hour",IF(G1720&lt;=24,"2. 1-24 hours",IF(G1720&lt;=72,"3. 1-3 days","4. Over 3 days")))</f>
        <v/>
      </c>
      <c r="O1720">
        <f>TEXT(B1720,"YYYY-MM")</f>
        <v/>
      </c>
    </row>
    <row r="1721">
      <c r="A1721" t="inlineStr">
        <is>
          <t>LD-301719</t>
        </is>
      </c>
      <c r="B1721" t="inlineStr">
        <is>
          <t>2025-10-23 16:27:00</t>
        </is>
      </c>
      <c r="C1721" t="inlineStr">
        <is>
          <t>Paid Search</t>
        </is>
      </c>
      <c r="D1721" t="inlineStr">
        <is>
          <t>K-12 Math</t>
        </is>
      </c>
      <c r="E1721" t="inlineStr">
        <is>
          <t>East Region</t>
        </is>
      </c>
      <c r="F1721" t="inlineStr">
        <is>
          <t>Rep_09</t>
        </is>
      </c>
      <c r="G1721" t="n">
        <v>1.56</v>
      </c>
      <c r="H1721" t="inlineStr">
        <is>
          <t>Contacted</t>
        </is>
      </c>
      <c r="I1721" t="inlineStr">
        <is>
          <t>Open</t>
        </is>
      </c>
      <c r="M1721">
        <f>VLOOKUP(H1721,'Stage Order'!$A$2:$B$8,2,FALSE)</f>
        <v/>
      </c>
      <c r="N1721">
        <f>IF(G1721&lt;=1,"1. Under 1 hour",IF(G1721&lt;=24,"2. 1-24 hours",IF(G1721&lt;=72,"3. 1-3 days","4. Over 3 days")))</f>
        <v/>
      </c>
      <c r="O1721">
        <f>TEXT(B1721,"YYYY-MM")</f>
        <v/>
      </c>
    </row>
    <row r="1722">
      <c r="A1722" t="inlineStr">
        <is>
          <t>LD-301720</t>
        </is>
      </c>
      <c r="B1722" t="inlineStr">
        <is>
          <t>2025-05-02 16:43:00</t>
        </is>
      </c>
      <c r="C1722" t="inlineStr">
        <is>
          <t>Organic Search</t>
        </is>
      </c>
      <c r="D1722" t="inlineStr">
        <is>
          <t>Competitive Exam Prep</t>
        </is>
      </c>
      <c r="E1722" t="inlineStr">
        <is>
          <t>International</t>
        </is>
      </c>
      <c r="F1722" t="inlineStr">
        <is>
          <t>Rep_10</t>
        </is>
      </c>
      <c r="G1722" t="n">
        <v>3.59</v>
      </c>
      <c r="H1722" t="inlineStr">
        <is>
          <t>Contacted</t>
        </is>
      </c>
      <c r="I1722" t="inlineStr">
        <is>
          <t>Open</t>
        </is>
      </c>
      <c r="M1722">
        <f>VLOOKUP(H1722,'Stage Order'!$A$2:$B$8,2,FALSE)</f>
        <v/>
      </c>
      <c r="N1722">
        <f>IF(G1722&lt;=1,"1. Under 1 hour",IF(G1722&lt;=24,"2. 1-24 hours",IF(G1722&lt;=72,"3. 1-3 days","4. Over 3 days")))</f>
        <v/>
      </c>
      <c r="O1722">
        <f>TEXT(B1722,"YYYY-MM")</f>
        <v/>
      </c>
    </row>
    <row r="1723">
      <c r="A1723" t="inlineStr">
        <is>
          <t>LD-301721</t>
        </is>
      </c>
      <c r="B1723" t="inlineStr">
        <is>
          <t>2025-01-28 10:47:00</t>
        </is>
      </c>
      <c r="C1723" t="inlineStr">
        <is>
          <t>Partner Channel</t>
        </is>
      </c>
      <c r="D1723" t="inlineStr">
        <is>
          <t>Competitive Exam Prep</t>
        </is>
      </c>
      <c r="E1723" t="inlineStr">
        <is>
          <t>North Region</t>
        </is>
      </c>
      <c r="F1723" t="inlineStr">
        <is>
          <t>Rep_11</t>
        </is>
      </c>
      <c r="G1723" t="n">
        <v>1.48</v>
      </c>
      <c r="H1723" t="inlineStr">
        <is>
          <t>Closed</t>
        </is>
      </c>
      <c r="I1723" t="inlineStr">
        <is>
          <t>Won</t>
        </is>
      </c>
      <c r="K1723" t="n">
        <v>814.55</v>
      </c>
      <c r="L1723" t="inlineStr">
        <is>
          <t>2025-03-04 21:56:41.885328</t>
        </is>
      </c>
      <c r="M1723">
        <f>VLOOKUP(H1723,'Stage Order'!$A$2:$B$8,2,FALSE)</f>
        <v/>
      </c>
      <c r="N1723">
        <f>IF(G1723&lt;=1,"1. Under 1 hour",IF(G1723&lt;=24,"2. 1-24 hours",IF(G1723&lt;=72,"3. 1-3 days","4. Over 3 days")))</f>
        <v/>
      </c>
      <c r="O1723">
        <f>TEXT(B1723,"YYYY-MM")</f>
        <v/>
      </c>
    </row>
    <row r="1724">
      <c r="A1724" t="inlineStr">
        <is>
          <t>LD-301722</t>
        </is>
      </c>
      <c r="B1724" t="inlineStr">
        <is>
          <t>2025-12-12 12:30:00</t>
        </is>
      </c>
      <c r="C1724" t="inlineStr">
        <is>
          <t>Paid Search</t>
        </is>
      </c>
      <c r="D1724" t="inlineStr">
        <is>
          <t>Competitive Exam Prep</t>
        </is>
      </c>
      <c r="E1724" t="inlineStr">
        <is>
          <t>South Region</t>
        </is>
      </c>
      <c r="F1724" t="inlineStr">
        <is>
          <t>Rep_07</t>
        </is>
      </c>
      <c r="G1724" t="n">
        <v>3.95</v>
      </c>
      <c r="H1724" t="inlineStr">
        <is>
          <t>Closed</t>
        </is>
      </c>
      <c r="I1724" t="inlineStr">
        <is>
          <t>Won</t>
        </is>
      </c>
      <c r="K1724" t="n">
        <v>1175.97</v>
      </c>
      <c r="L1724" t="inlineStr">
        <is>
          <t>2026-01-11 21:18:49.783232</t>
        </is>
      </c>
      <c r="M1724">
        <f>VLOOKUP(H1724,'Stage Order'!$A$2:$B$8,2,FALSE)</f>
        <v/>
      </c>
      <c r="N1724">
        <f>IF(G1724&lt;=1,"1. Under 1 hour",IF(G1724&lt;=24,"2. 1-24 hours",IF(G1724&lt;=72,"3. 1-3 days","4. Over 3 days")))</f>
        <v/>
      </c>
      <c r="O1724">
        <f>TEXT(B1724,"YYYY-MM")</f>
        <v/>
      </c>
    </row>
    <row r="1725">
      <c r="A1725" t="inlineStr">
        <is>
          <t>LD-301723</t>
        </is>
      </c>
      <c r="B1725" t="inlineStr">
        <is>
          <t>2025-06-05 07:03:00</t>
        </is>
      </c>
      <c r="C1725" t="inlineStr">
        <is>
          <t>Referral</t>
        </is>
      </c>
      <c r="D1725" t="inlineStr">
        <is>
          <t>K-12 Math</t>
        </is>
      </c>
      <c r="E1725" t="inlineStr">
        <is>
          <t>South Region</t>
        </is>
      </c>
      <c r="F1725" t="inlineStr">
        <is>
          <t>Rep_07</t>
        </is>
      </c>
      <c r="G1725" t="n">
        <v>5.63</v>
      </c>
      <c r="H1725" t="inlineStr">
        <is>
          <t>Negotiation</t>
        </is>
      </c>
      <c r="I1725" t="inlineStr">
        <is>
          <t>Lost</t>
        </is>
      </c>
      <c r="J1725" t="inlineStr">
        <is>
          <t>No Response / Ghosted</t>
        </is>
      </c>
      <c r="K1725" t="n">
        <v>447.46</v>
      </c>
      <c r="L1725" t="inlineStr">
        <is>
          <t>2025-07-17 07:51:13.626412</t>
        </is>
      </c>
      <c r="M1725">
        <f>VLOOKUP(H1725,'Stage Order'!$A$2:$B$8,2,FALSE)</f>
        <v/>
      </c>
      <c r="N1725">
        <f>IF(G1725&lt;=1,"1. Under 1 hour",IF(G1725&lt;=24,"2. 1-24 hours",IF(G1725&lt;=72,"3. 1-3 days","4. Over 3 days")))</f>
        <v/>
      </c>
      <c r="O1725">
        <f>TEXT(B1725,"YYYY-MM")</f>
        <v/>
      </c>
    </row>
    <row r="1726">
      <c r="A1726" t="inlineStr">
        <is>
          <t>LD-301724</t>
        </is>
      </c>
      <c r="B1726" t="inlineStr">
        <is>
          <t>2025-12-22 09:50:00</t>
        </is>
      </c>
      <c r="C1726" t="inlineStr">
        <is>
          <t>Webinar</t>
        </is>
      </c>
      <c r="D1726" t="inlineStr">
        <is>
          <t>Coding for Kids</t>
        </is>
      </c>
      <c r="E1726" t="inlineStr">
        <is>
          <t>East Region</t>
        </is>
      </c>
      <c r="F1726" t="inlineStr">
        <is>
          <t>Rep_09</t>
        </is>
      </c>
      <c r="G1726" t="n">
        <v>0.92</v>
      </c>
      <c r="H1726" t="inlineStr">
        <is>
          <t>Contacted</t>
        </is>
      </c>
      <c r="I1726" t="inlineStr">
        <is>
          <t>Open</t>
        </is>
      </c>
      <c r="M1726">
        <f>VLOOKUP(H1726,'Stage Order'!$A$2:$B$8,2,FALSE)</f>
        <v/>
      </c>
      <c r="N1726">
        <f>IF(G1726&lt;=1,"1. Under 1 hour",IF(G1726&lt;=24,"2. 1-24 hours",IF(G1726&lt;=72,"3. 1-3 days","4. Over 3 days")))</f>
        <v/>
      </c>
      <c r="O1726">
        <f>TEXT(B1726,"YYYY-MM")</f>
        <v/>
      </c>
    </row>
    <row r="1727">
      <c r="A1727" t="inlineStr">
        <is>
          <t>LD-301725</t>
        </is>
      </c>
      <c r="B1727" t="inlineStr">
        <is>
          <t>2025-03-14 09:53:00</t>
        </is>
      </c>
      <c r="C1727" t="inlineStr">
        <is>
          <t>Organic Search</t>
        </is>
      </c>
      <c r="D1727" t="inlineStr">
        <is>
          <t>Coding for Kids</t>
        </is>
      </c>
      <c r="E1727" t="inlineStr">
        <is>
          <t>International</t>
        </is>
      </c>
      <c r="F1727" t="inlineStr">
        <is>
          <t>Rep_15</t>
        </is>
      </c>
      <c r="G1727" t="n">
        <v>0.54</v>
      </c>
      <c r="H1727" t="inlineStr">
        <is>
          <t>Lead</t>
        </is>
      </c>
      <c r="I1727" t="inlineStr">
        <is>
          <t>Open</t>
        </is>
      </c>
      <c r="M1727">
        <f>VLOOKUP(H1727,'Stage Order'!$A$2:$B$8,2,FALSE)</f>
        <v/>
      </c>
      <c r="N1727">
        <f>IF(G1727&lt;=1,"1. Under 1 hour",IF(G1727&lt;=24,"2. 1-24 hours",IF(G1727&lt;=72,"3. 1-3 days","4. Over 3 days")))</f>
        <v/>
      </c>
      <c r="O1727">
        <f>TEXT(B1727,"YYYY-MM")</f>
        <v/>
      </c>
    </row>
    <row r="1728">
      <c r="A1728" t="inlineStr">
        <is>
          <t>LD-301726</t>
        </is>
      </c>
      <c r="B1728" t="inlineStr">
        <is>
          <t>2025-10-03 13:25:00</t>
        </is>
      </c>
      <c r="C1728" t="inlineStr">
        <is>
          <t>Cold Outreach</t>
        </is>
      </c>
      <c r="D1728" t="inlineStr">
        <is>
          <t>Coding for Kids</t>
        </is>
      </c>
      <c r="E1728" t="inlineStr">
        <is>
          <t>South Region</t>
        </is>
      </c>
      <c r="F1728" t="inlineStr">
        <is>
          <t>Rep_12</t>
        </is>
      </c>
      <c r="G1728" t="n">
        <v>1.75</v>
      </c>
      <c r="H1728" t="inlineStr">
        <is>
          <t>Proposal Sent</t>
        </is>
      </c>
      <c r="I1728" t="inlineStr">
        <is>
          <t>Lost</t>
        </is>
      </c>
      <c r="J1728" t="inlineStr">
        <is>
          <t>Bad Timing</t>
        </is>
      </c>
      <c r="K1728" t="n">
        <v>548.97</v>
      </c>
      <c r="L1728" t="inlineStr">
        <is>
          <t>2025-10-31 13:37:39.852020</t>
        </is>
      </c>
      <c r="M1728">
        <f>VLOOKUP(H1728,'Stage Order'!$A$2:$B$8,2,FALSE)</f>
        <v/>
      </c>
      <c r="N1728">
        <f>IF(G1728&lt;=1,"1. Under 1 hour",IF(G1728&lt;=24,"2. 1-24 hours",IF(G1728&lt;=72,"3. 1-3 days","4. Over 3 days")))</f>
        <v/>
      </c>
      <c r="O1728">
        <f>TEXT(B1728,"YYYY-MM")</f>
        <v/>
      </c>
    </row>
    <row r="1729">
      <c r="A1729" t="inlineStr">
        <is>
          <t>LD-301727</t>
        </is>
      </c>
      <c r="B1729" t="inlineStr">
        <is>
          <t>2026-03-02 11:11:00</t>
        </is>
      </c>
      <c r="C1729" t="inlineStr">
        <is>
          <t>Referral</t>
        </is>
      </c>
      <c r="D1729" t="inlineStr">
        <is>
          <t>Language Learning</t>
        </is>
      </c>
      <c r="E1729" t="inlineStr">
        <is>
          <t>North Region</t>
        </is>
      </c>
      <c r="F1729" t="inlineStr">
        <is>
          <t>Rep_01</t>
        </is>
      </c>
      <c r="G1729" t="n">
        <v>6.12</v>
      </c>
      <c r="H1729" t="inlineStr">
        <is>
          <t>Contacted</t>
        </is>
      </c>
      <c r="I1729" t="inlineStr">
        <is>
          <t>Open</t>
        </is>
      </c>
      <c r="M1729">
        <f>VLOOKUP(H1729,'Stage Order'!$A$2:$B$8,2,FALSE)</f>
        <v/>
      </c>
      <c r="N1729">
        <f>IF(G1729&lt;=1,"1. Under 1 hour",IF(G1729&lt;=24,"2. 1-24 hours",IF(G1729&lt;=72,"3. 1-3 days","4. Over 3 days")))</f>
        <v/>
      </c>
      <c r="O1729">
        <f>TEXT(B1729,"YYYY-MM")</f>
        <v/>
      </c>
    </row>
    <row r="1730">
      <c r="A1730" t="inlineStr">
        <is>
          <t>LD-301728</t>
        </is>
      </c>
      <c r="B1730" t="inlineStr">
        <is>
          <t>2025-12-04 08:58:00</t>
        </is>
      </c>
      <c r="C1730" t="inlineStr">
        <is>
          <t>Organic Search</t>
        </is>
      </c>
      <c r="D1730" t="inlineStr">
        <is>
          <t>Competitive Exam Prep</t>
        </is>
      </c>
      <c r="E1730" t="inlineStr">
        <is>
          <t>West Region</t>
        </is>
      </c>
      <c r="F1730" t="inlineStr">
        <is>
          <t>Rep_03</t>
        </is>
      </c>
      <c r="G1730" t="n">
        <v>3.83</v>
      </c>
      <c r="H1730" t="inlineStr">
        <is>
          <t>Contacted</t>
        </is>
      </c>
      <c r="I1730" t="inlineStr">
        <is>
          <t>Open</t>
        </is>
      </c>
      <c r="M1730">
        <f>VLOOKUP(H1730,'Stage Order'!$A$2:$B$8,2,FALSE)</f>
        <v/>
      </c>
      <c r="N1730">
        <f>IF(G1730&lt;=1,"1. Under 1 hour",IF(G1730&lt;=24,"2. 1-24 hours",IF(G1730&lt;=72,"3. 1-3 days","4. Over 3 days")))</f>
        <v/>
      </c>
      <c r="O1730">
        <f>TEXT(B1730,"YYYY-MM")</f>
        <v/>
      </c>
    </row>
    <row r="1731">
      <c r="A1731" t="inlineStr">
        <is>
          <t>LD-301729</t>
        </is>
      </c>
      <c r="B1731" t="inlineStr">
        <is>
          <t>2025-05-15 10:24:00</t>
        </is>
      </c>
      <c r="C1731" t="inlineStr">
        <is>
          <t>Referral</t>
        </is>
      </c>
      <c r="D1731" t="inlineStr">
        <is>
          <t>K-12 Math</t>
        </is>
      </c>
      <c r="E1731" t="inlineStr">
        <is>
          <t>North Region</t>
        </is>
      </c>
      <c r="F1731" t="inlineStr">
        <is>
          <t>Rep_06</t>
        </is>
      </c>
      <c r="G1731" t="n">
        <v>7.66</v>
      </c>
      <c r="H1731" t="inlineStr">
        <is>
          <t>Contacted</t>
        </is>
      </c>
      <c r="I1731" t="inlineStr">
        <is>
          <t>Open</t>
        </is>
      </c>
      <c r="M1731">
        <f>VLOOKUP(H1731,'Stage Order'!$A$2:$B$8,2,FALSE)</f>
        <v/>
      </c>
      <c r="N1731">
        <f>IF(G1731&lt;=1,"1. Under 1 hour",IF(G1731&lt;=24,"2. 1-24 hours",IF(G1731&lt;=72,"3. 1-3 days","4. Over 3 days")))</f>
        <v/>
      </c>
      <c r="O1731">
        <f>TEXT(B1731,"YYYY-MM")</f>
        <v/>
      </c>
    </row>
    <row r="1732">
      <c r="A1732" t="inlineStr">
        <is>
          <t>LD-301730</t>
        </is>
      </c>
      <c r="B1732" t="inlineStr">
        <is>
          <t>2025-03-07 07:14:00</t>
        </is>
      </c>
      <c r="C1732" t="inlineStr">
        <is>
          <t>Organic Search</t>
        </is>
      </c>
      <c r="D1732" t="inlineStr">
        <is>
          <t>Study Abroad Prep</t>
        </is>
      </c>
      <c r="E1732" t="inlineStr">
        <is>
          <t>South Region</t>
        </is>
      </c>
      <c r="F1732" t="inlineStr">
        <is>
          <t>Rep_02</t>
        </is>
      </c>
      <c r="G1732" t="n">
        <v>6.49</v>
      </c>
      <c r="H1732" t="inlineStr">
        <is>
          <t>Contacted</t>
        </is>
      </c>
      <c r="I1732" t="inlineStr">
        <is>
          <t>Open</t>
        </is>
      </c>
      <c r="M1732">
        <f>VLOOKUP(H1732,'Stage Order'!$A$2:$B$8,2,FALSE)</f>
        <v/>
      </c>
      <c r="N1732">
        <f>IF(G1732&lt;=1,"1. Under 1 hour",IF(G1732&lt;=24,"2. 1-24 hours",IF(G1732&lt;=72,"3. 1-3 days","4. Over 3 days")))</f>
        <v/>
      </c>
      <c r="O1732">
        <f>TEXT(B1732,"YYYY-MM")</f>
        <v/>
      </c>
    </row>
    <row r="1733">
      <c r="A1733" t="inlineStr">
        <is>
          <t>LD-301731</t>
        </is>
      </c>
      <c r="B1733" t="inlineStr">
        <is>
          <t>2026-02-12 11:34:00</t>
        </is>
      </c>
      <c r="C1733" t="inlineStr">
        <is>
          <t>Organic Search</t>
        </is>
      </c>
      <c r="D1733" t="inlineStr">
        <is>
          <t>Coding for Kids</t>
        </is>
      </c>
      <c r="E1733" t="inlineStr">
        <is>
          <t>South Region</t>
        </is>
      </c>
      <c r="F1733" t="inlineStr">
        <is>
          <t>Rep_07</t>
        </is>
      </c>
      <c r="G1733" t="n">
        <v>2.8</v>
      </c>
      <c r="H1733" t="inlineStr">
        <is>
          <t>Contacted</t>
        </is>
      </c>
      <c r="I1733" t="inlineStr">
        <is>
          <t>Open</t>
        </is>
      </c>
      <c r="M1733">
        <f>VLOOKUP(H1733,'Stage Order'!$A$2:$B$8,2,FALSE)</f>
        <v/>
      </c>
      <c r="N1733">
        <f>IF(G1733&lt;=1,"1. Under 1 hour",IF(G1733&lt;=24,"2. 1-24 hours",IF(G1733&lt;=72,"3. 1-3 days","4. Over 3 days")))</f>
        <v/>
      </c>
      <c r="O1733">
        <f>TEXT(B1733,"YYYY-MM")</f>
        <v/>
      </c>
    </row>
    <row r="1734">
      <c r="A1734" t="inlineStr">
        <is>
          <t>LD-301732</t>
        </is>
      </c>
      <c r="B1734" t="inlineStr">
        <is>
          <t>2025-10-24 17:35:00</t>
        </is>
      </c>
      <c r="C1734" t="inlineStr">
        <is>
          <t>Paid Search</t>
        </is>
      </c>
      <c r="D1734" t="inlineStr">
        <is>
          <t>Language Learning</t>
        </is>
      </c>
      <c r="E1734" t="inlineStr">
        <is>
          <t>South Region</t>
        </is>
      </c>
      <c r="F1734" t="inlineStr">
        <is>
          <t>Rep_12</t>
        </is>
      </c>
      <c r="G1734" t="n">
        <v>3.41</v>
      </c>
      <c r="H1734" t="inlineStr">
        <is>
          <t>Demo Completed</t>
        </is>
      </c>
      <c r="I1734" t="inlineStr">
        <is>
          <t>Lost</t>
        </is>
      </c>
      <c r="J1734" t="inlineStr">
        <is>
          <t>Price Objection</t>
        </is>
      </c>
      <c r="K1734" t="n">
        <v>295.85</v>
      </c>
      <c r="L1734" t="inlineStr">
        <is>
          <t>2025-11-20 16:32:42.620663</t>
        </is>
      </c>
      <c r="M1734">
        <f>VLOOKUP(H1734,'Stage Order'!$A$2:$B$8,2,FALSE)</f>
        <v/>
      </c>
      <c r="N1734">
        <f>IF(G1734&lt;=1,"1. Under 1 hour",IF(G1734&lt;=24,"2. 1-24 hours",IF(G1734&lt;=72,"3. 1-3 days","4. Over 3 days")))</f>
        <v/>
      </c>
      <c r="O1734">
        <f>TEXT(B1734,"YYYY-MM")</f>
        <v/>
      </c>
    </row>
    <row r="1735">
      <c r="A1735" t="inlineStr">
        <is>
          <t>LD-301733</t>
        </is>
      </c>
      <c r="B1735" t="inlineStr">
        <is>
          <t>2025-10-22 09:43:00</t>
        </is>
      </c>
      <c r="C1735" t="inlineStr">
        <is>
          <t>Paid Search</t>
        </is>
      </c>
      <c r="D1735" t="inlineStr">
        <is>
          <t>Coding for Kids</t>
        </is>
      </c>
      <c r="E1735" t="inlineStr">
        <is>
          <t>West Region</t>
        </is>
      </c>
      <c r="F1735" t="inlineStr">
        <is>
          <t>Rep_13</t>
        </is>
      </c>
      <c r="G1735" t="n">
        <v>8.699999999999999</v>
      </c>
      <c r="H1735" t="inlineStr">
        <is>
          <t>Contacted</t>
        </is>
      </c>
      <c r="I1735" t="inlineStr">
        <is>
          <t>Open</t>
        </is>
      </c>
      <c r="M1735">
        <f>VLOOKUP(H1735,'Stage Order'!$A$2:$B$8,2,FALSE)</f>
        <v/>
      </c>
      <c r="N1735">
        <f>IF(G1735&lt;=1,"1. Under 1 hour",IF(G1735&lt;=24,"2. 1-24 hours",IF(G1735&lt;=72,"3. 1-3 days","4. Over 3 days")))</f>
        <v/>
      </c>
      <c r="O1735">
        <f>TEXT(B1735,"YYYY-MM")</f>
        <v/>
      </c>
    </row>
    <row r="1736">
      <c r="A1736" t="inlineStr">
        <is>
          <t>LD-301734</t>
        </is>
      </c>
      <c r="B1736" t="inlineStr">
        <is>
          <t>2026-06-15 12:06:00</t>
        </is>
      </c>
      <c r="C1736" t="inlineStr">
        <is>
          <t>Cold Outreach</t>
        </is>
      </c>
      <c r="D1736" t="inlineStr">
        <is>
          <t>Competitive Exam Prep</t>
        </is>
      </c>
      <c r="E1736" t="inlineStr">
        <is>
          <t>North Region</t>
        </is>
      </c>
      <c r="F1736" t="inlineStr">
        <is>
          <t>Rep_01</t>
        </is>
      </c>
      <c r="G1736" t="n">
        <v>9.24</v>
      </c>
      <c r="H1736" t="inlineStr">
        <is>
          <t>Lead</t>
        </is>
      </c>
      <c r="I1736" t="inlineStr">
        <is>
          <t>Open</t>
        </is>
      </c>
      <c r="M1736">
        <f>VLOOKUP(H1736,'Stage Order'!$A$2:$B$8,2,FALSE)</f>
        <v/>
      </c>
      <c r="N1736">
        <f>IF(G1736&lt;=1,"1. Under 1 hour",IF(G1736&lt;=24,"2. 1-24 hours",IF(G1736&lt;=72,"3. 1-3 days","4. Over 3 days")))</f>
        <v/>
      </c>
      <c r="O1736">
        <f>TEXT(B1736,"YYYY-MM")</f>
        <v/>
      </c>
    </row>
    <row r="1737">
      <c r="A1737" t="inlineStr">
        <is>
          <t>LD-301735</t>
        </is>
      </c>
      <c r="B1737" t="inlineStr">
        <is>
          <t>2025-12-23 12:45:00</t>
        </is>
      </c>
      <c r="C1737" t="inlineStr">
        <is>
          <t>Social Media</t>
        </is>
      </c>
      <c r="D1737" t="inlineStr">
        <is>
          <t>Coding for Kids</t>
        </is>
      </c>
      <c r="E1737" t="inlineStr">
        <is>
          <t>South Region</t>
        </is>
      </c>
      <c r="F1737" t="inlineStr">
        <is>
          <t>Rep_12</t>
        </is>
      </c>
      <c r="G1737" t="n">
        <v>2.82</v>
      </c>
      <c r="H1737" t="inlineStr">
        <is>
          <t>Lead</t>
        </is>
      </c>
      <c r="I1737" t="inlineStr">
        <is>
          <t>Open</t>
        </is>
      </c>
      <c r="M1737">
        <f>VLOOKUP(H1737,'Stage Order'!$A$2:$B$8,2,FALSE)</f>
        <v/>
      </c>
      <c r="N1737">
        <f>IF(G1737&lt;=1,"1. Under 1 hour",IF(G1737&lt;=24,"2. 1-24 hours",IF(G1737&lt;=72,"3. 1-3 days","4. Over 3 days")))</f>
        <v/>
      </c>
      <c r="O1737">
        <f>TEXT(B1737,"YYYY-MM")</f>
        <v/>
      </c>
    </row>
    <row r="1738">
      <c r="A1738" t="inlineStr">
        <is>
          <t>LD-301736</t>
        </is>
      </c>
      <c r="B1738" t="inlineStr">
        <is>
          <t>2026-04-20 07:05:00</t>
        </is>
      </c>
      <c r="C1738" t="inlineStr">
        <is>
          <t>Social Media</t>
        </is>
      </c>
      <c r="D1738" t="inlineStr">
        <is>
          <t>K-12 Math</t>
        </is>
      </c>
      <c r="E1738" t="inlineStr">
        <is>
          <t>East Region</t>
        </is>
      </c>
      <c r="F1738" t="inlineStr">
        <is>
          <t>Rep_04</t>
        </is>
      </c>
      <c r="G1738" t="n">
        <v>5.15</v>
      </c>
      <c r="H1738" t="inlineStr">
        <is>
          <t>Contacted</t>
        </is>
      </c>
      <c r="I1738" t="inlineStr">
        <is>
          <t>Open</t>
        </is>
      </c>
      <c r="M1738">
        <f>VLOOKUP(H1738,'Stage Order'!$A$2:$B$8,2,FALSE)</f>
        <v/>
      </c>
      <c r="N1738">
        <f>IF(G1738&lt;=1,"1. Under 1 hour",IF(G1738&lt;=24,"2. 1-24 hours",IF(G1738&lt;=72,"3. 1-3 days","4. Over 3 days")))</f>
        <v/>
      </c>
      <c r="O1738">
        <f>TEXT(B1738,"YYYY-MM")</f>
        <v/>
      </c>
    </row>
    <row r="1739">
      <c r="A1739" t="inlineStr">
        <is>
          <t>LD-301737</t>
        </is>
      </c>
      <c r="B1739" t="inlineStr">
        <is>
          <t>2025-04-29 20:00:00</t>
        </is>
      </c>
      <c r="C1739" t="inlineStr">
        <is>
          <t>Referral</t>
        </is>
      </c>
      <c r="D1739" t="inlineStr">
        <is>
          <t>Study Abroad Prep</t>
        </is>
      </c>
      <c r="E1739" t="inlineStr">
        <is>
          <t>International</t>
        </is>
      </c>
      <c r="F1739" t="inlineStr">
        <is>
          <t>Rep_10</t>
        </is>
      </c>
      <c r="G1739" t="n">
        <v>3.4</v>
      </c>
      <c r="H1739" t="inlineStr">
        <is>
          <t>Contacted</t>
        </is>
      </c>
      <c r="I1739" t="inlineStr">
        <is>
          <t>Open</t>
        </is>
      </c>
      <c r="M1739">
        <f>VLOOKUP(H1739,'Stage Order'!$A$2:$B$8,2,FALSE)</f>
        <v/>
      </c>
      <c r="N1739">
        <f>IF(G1739&lt;=1,"1. Under 1 hour",IF(G1739&lt;=24,"2. 1-24 hours",IF(G1739&lt;=72,"3. 1-3 days","4. Over 3 days")))</f>
        <v/>
      </c>
      <c r="O1739">
        <f>TEXT(B1739,"YYYY-MM")</f>
        <v/>
      </c>
    </row>
    <row r="1740">
      <c r="A1740" t="inlineStr">
        <is>
          <t>LD-301738</t>
        </is>
      </c>
      <c r="B1740" t="inlineStr">
        <is>
          <t>2025-10-16 19:18:00</t>
        </is>
      </c>
      <c r="C1740" t="inlineStr">
        <is>
          <t>Referral</t>
        </is>
      </c>
      <c r="D1740" t="inlineStr">
        <is>
          <t>Language Learning</t>
        </is>
      </c>
      <c r="E1740" t="inlineStr">
        <is>
          <t>East Region</t>
        </is>
      </c>
      <c r="F1740" t="inlineStr">
        <is>
          <t>Rep_14</t>
        </is>
      </c>
      <c r="G1740" t="n">
        <v>0.99</v>
      </c>
      <c r="H1740" t="inlineStr">
        <is>
          <t>Lead</t>
        </is>
      </c>
      <c r="I1740" t="inlineStr">
        <is>
          <t>Open</t>
        </is>
      </c>
      <c r="M1740">
        <f>VLOOKUP(H1740,'Stage Order'!$A$2:$B$8,2,FALSE)</f>
        <v/>
      </c>
      <c r="N1740">
        <f>IF(G1740&lt;=1,"1. Under 1 hour",IF(G1740&lt;=24,"2. 1-24 hours",IF(G1740&lt;=72,"3. 1-3 days","4. Over 3 days")))</f>
        <v/>
      </c>
      <c r="O1740">
        <f>TEXT(B1740,"YYYY-MM")</f>
        <v/>
      </c>
    </row>
    <row r="1741">
      <c r="A1741" t="inlineStr">
        <is>
          <t>LD-301739</t>
        </is>
      </c>
      <c r="B1741" t="inlineStr">
        <is>
          <t>2025-03-14 11:35:00</t>
        </is>
      </c>
      <c r="C1741" t="inlineStr">
        <is>
          <t>Referral</t>
        </is>
      </c>
      <c r="D1741" t="inlineStr">
        <is>
          <t>Competitive Exam Prep</t>
        </is>
      </c>
      <c r="E1741" t="inlineStr">
        <is>
          <t>West Region</t>
        </is>
      </c>
      <c r="F1741" t="inlineStr">
        <is>
          <t>Rep_03</t>
        </is>
      </c>
      <c r="G1741" t="n">
        <v>4.51</v>
      </c>
      <c r="H1741" t="inlineStr">
        <is>
          <t>Contacted</t>
        </is>
      </c>
      <c r="I1741" t="inlineStr">
        <is>
          <t>Open</t>
        </is>
      </c>
      <c r="M1741">
        <f>VLOOKUP(H1741,'Stage Order'!$A$2:$B$8,2,FALSE)</f>
        <v/>
      </c>
      <c r="N1741">
        <f>IF(G1741&lt;=1,"1. Under 1 hour",IF(G1741&lt;=24,"2. 1-24 hours",IF(G1741&lt;=72,"3. 1-3 days","4. Over 3 days")))</f>
        <v/>
      </c>
      <c r="O1741">
        <f>TEXT(B1741,"YYYY-MM")</f>
        <v/>
      </c>
    </row>
    <row r="1742">
      <c r="A1742" t="inlineStr">
        <is>
          <t>LD-301740</t>
        </is>
      </c>
      <c r="B1742" t="inlineStr">
        <is>
          <t>2026-02-28 08:49:00</t>
        </is>
      </c>
      <c r="C1742" t="inlineStr">
        <is>
          <t>Paid Search</t>
        </is>
      </c>
      <c r="D1742" t="inlineStr">
        <is>
          <t>Competitive Exam Prep</t>
        </is>
      </c>
      <c r="E1742" t="inlineStr">
        <is>
          <t>West Region</t>
        </is>
      </c>
      <c r="F1742" t="inlineStr">
        <is>
          <t>Rep_13</t>
        </is>
      </c>
      <c r="G1742" t="n">
        <v>2.06</v>
      </c>
      <c r="H1742" t="inlineStr">
        <is>
          <t>Lead</t>
        </is>
      </c>
      <c r="I1742" t="inlineStr">
        <is>
          <t>Open</t>
        </is>
      </c>
      <c r="M1742">
        <f>VLOOKUP(H1742,'Stage Order'!$A$2:$B$8,2,FALSE)</f>
        <v/>
      </c>
      <c r="N1742">
        <f>IF(G1742&lt;=1,"1. Under 1 hour",IF(G1742&lt;=24,"2. 1-24 hours",IF(G1742&lt;=72,"3. 1-3 days","4. Over 3 days")))</f>
        <v/>
      </c>
      <c r="O1742">
        <f>TEXT(B1742,"YYYY-MM")</f>
        <v/>
      </c>
    </row>
    <row r="1743">
      <c r="A1743" t="inlineStr">
        <is>
          <t>LD-301741</t>
        </is>
      </c>
      <c r="B1743" t="inlineStr">
        <is>
          <t>2025-01-14 14:49:00</t>
        </is>
      </c>
      <c r="C1743" t="inlineStr">
        <is>
          <t>Organic Search</t>
        </is>
      </c>
      <c r="D1743" t="inlineStr">
        <is>
          <t>Study Abroad Prep</t>
        </is>
      </c>
      <c r="E1743" t="inlineStr">
        <is>
          <t>South Region</t>
        </is>
      </c>
      <c r="F1743" t="inlineStr">
        <is>
          <t>Rep_07</t>
        </is>
      </c>
      <c r="G1743" t="n">
        <v>18.59</v>
      </c>
      <c r="H1743" t="inlineStr">
        <is>
          <t>Contacted</t>
        </is>
      </c>
      <c r="I1743" t="inlineStr">
        <is>
          <t>Open</t>
        </is>
      </c>
      <c r="M1743">
        <f>VLOOKUP(H1743,'Stage Order'!$A$2:$B$8,2,FALSE)</f>
        <v/>
      </c>
      <c r="N1743">
        <f>IF(G1743&lt;=1,"1. Under 1 hour",IF(G1743&lt;=24,"2. 1-24 hours",IF(G1743&lt;=72,"3. 1-3 days","4. Over 3 days")))</f>
        <v/>
      </c>
      <c r="O1743">
        <f>TEXT(B1743,"YYYY-MM")</f>
        <v/>
      </c>
    </row>
    <row r="1744">
      <c r="A1744" t="inlineStr">
        <is>
          <t>LD-301742</t>
        </is>
      </c>
      <c r="B1744" t="inlineStr">
        <is>
          <t>2025-07-08 15:19:00</t>
        </is>
      </c>
      <c r="C1744" t="inlineStr">
        <is>
          <t>Social Media</t>
        </is>
      </c>
      <c r="D1744" t="inlineStr">
        <is>
          <t>K-12 Math</t>
        </is>
      </c>
      <c r="E1744" t="inlineStr">
        <is>
          <t>International</t>
        </is>
      </c>
      <c r="F1744" t="inlineStr">
        <is>
          <t>Rep_15</t>
        </is>
      </c>
      <c r="G1744" t="n">
        <v>1.44</v>
      </c>
      <c r="H1744" t="inlineStr">
        <is>
          <t>Lead</t>
        </is>
      </c>
      <c r="I1744" t="inlineStr">
        <is>
          <t>Open</t>
        </is>
      </c>
      <c r="M1744">
        <f>VLOOKUP(H1744,'Stage Order'!$A$2:$B$8,2,FALSE)</f>
        <v/>
      </c>
      <c r="N1744">
        <f>IF(G1744&lt;=1,"1. Under 1 hour",IF(G1744&lt;=24,"2. 1-24 hours",IF(G1744&lt;=72,"3. 1-3 days","4. Over 3 days")))</f>
        <v/>
      </c>
      <c r="O1744">
        <f>TEXT(B1744,"YYYY-MM")</f>
        <v/>
      </c>
    </row>
    <row r="1745">
      <c r="A1745" t="inlineStr">
        <is>
          <t>LD-301743</t>
        </is>
      </c>
      <c r="B1745" t="inlineStr">
        <is>
          <t>2025-03-03 09:39:00</t>
        </is>
      </c>
      <c r="C1745" t="inlineStr">
        <is>
          <t>Organic Search</t>
        </is>
      </c>
      <c r="D1745" t="inlineStr">
        <is>
          <t>Coding for Kids</t>
        </is>
      </c>
      <c r="E1745" t="inlineStr">
        <is>
          <t>International</t>
        </is>
      </c>
      <c r="F1745" t="inlineStr">
        <is>
          <t>Rep_05</t>
        </is>
      </c>
      <c r="G1745" t="n">
        <v>2.38</v>
      </c>
      <c r="H1745" t="inlineStr">
        <is>
          <t>Contacted</t>
        </is>
      </c>
      <c r="I1745" t="inlineStr">
        <is>
          <t>Open</t>
        </is>
      </c>
      <c r="M1745">
        <f>VLOOKUP(H1745,'Stage Order'!$A$2:$B$8,2,FALSE)</f>
        <v/>
      </c>
      <c r="N1745">
        <f>IF(G1745&lt;=1,"1. Under 1 hour",IF(G1745&lt;=24,"2. 1-24 hours",IF(G1745&lt;=72,"3. 1-3 days","4. Over 3 days")))</f>
        <v/>
      </c>
      <c r="O1745">
        <f>TEXT(B1745,"YYYY-MM")</f>
        <v/>
      </c>
    </row>
    <row r="1746">
      <c r="A1746" t="inlineStr">
        <is>
          <t>LD-301744</t>
        </is>
      </c>
      <c r="B1746" t="inlineStr">
        <is>
          <t>2025-12-15 10:35:00</t>
        </is>
      </c>
      <c r="C1746" t="inlineStr">
        <is>
          <t>Referral</t>
        </is>
      </c>
      <c r="D1746" t="inlineStr">
        <is>
          <t>Competitive Exam Prep</t>
        </is>
      </c>
      <c r="E1746" t="inlineStr">
        <is>
          <t>South Region</t>
        </is>
      </c>
      <c r="F1746" t="inlineStr">
        <is>
          <t>Rep_12</t>
        </is>
      </c>
      <c r="G1746" t="n">
        <v>1.41</v>
      </c>
      <c r="H1746" t="inlineStr">
        <is>
          <t>Contacted</t>
        </is>
      </c>
      <c r="I1746" t="inlineStr">
        <is>
          <t>Open</t>
        </is>
      </c>
      <c r="M1746">
        <f>VLOOKUP(H1746,'Stage Order'!$A$2:$B$8,2,FALSE)</f>
        <v/>
      </c>
      <c r="N1746">
        <f>IF(G1746&lt;=1,"1. Under 1 hour",IF(G1746&lt;=24,"2. 1-24 hours",IF(G1746&lt;=72,"3. 1-3 days","4. Over 3 days")))</f>
        <v/>
      </c>
      <c r="O1746">
        <f>TEXT(B1746,"YYYY-MM")</f>
        <v/>
      </c>
    </row>
    <row r="1747">
      <c r="A1747" t="inlineStr">
        <is>
          <t>LD-301745</t>
        </is>
      </c>
      <c r="B1747" t="inlineStr">
        <is>
          <t>2026-05-18 15:56:00</t>
        </is>
      </c>
      <c r="C1747" t="inlineStr">
        <is>
          <t>Organic Search</t>
        </is>
      </c>
      <c r="D1747" t="inlineStr">
        <is>
          <t>K-12 Math</t>
        </is>
      </c>
      <c r="E1747" t="inlineStr">
        <is>
          <t>International</t>
        </is>
      </c>
      <c r="F1747" t="inlineStr">
        <is>
          <t>Rep_05</t>
        </is>
      </c>
      <c r="G1747" t="n">
        <v>7.33</v>
      </c>
      <c r="H1747" t="inlineStr">
        <is>
          <t>Contacted</t>
        </is>
      </c>
      <c r="I1747" t="inlineStr">
        <is>
          <t>Open</t>
        </is>
      </c>
      <c r="M1747">
        <f>VLOOKUP(H1747,'Stage Order'!$A$2:$B$8,2,FALSE)</f>
        <v/>
      </c>
      <c r="N1747">
        <f>IF(G1747&lt;=1,"1. Under 1 hour",IF(G1747&lt;=24,"2. 1-24 hours",IF(G1747&lt;=72,"3. 1-3 days","4. Over 3 days")))</f>
        <v/>
      </c>
      <c r="O1747">
        <f>TEXT(B1747,"YYYY-MM")</f>
        <v/>
      </c>
    </row>
    <row r="1748">
      <c r="A1748" t="inlineStr">
        <is>
          <t>LD-301746</t>
        </is>
      </c>
      <c r="B1748" t="inlineStr">
        <is>
          <t>2025-12-03 09:47:00</t>
        </is>
      </c>
      <c r="C1748" t="inlineStr">
        <is>
          <t>Paid Search</t>
        </is>
      </c>
      <c r="D1748" t="inlineStr">
        <is>
          <t>Competitive Exam Prep</t>
        </is>
      </c>
      <c r="E1748" t="inlineStr">
        <is>
          <t>North Region</t>
        </is>
      </c>
      <c r="F1748" t="inlineStr">
        <is>
          <t>Rep_06</t>
        </is>
      </c>
      <c r="G1748" t="n">
        <v>1.9</v>
      </c>
      <c r="H1748" t="inlineStr">
        <is>
          <t>Demo Completed</t>
        </is>
      </c>
      <c r="I1748" t="inlineStr">
        <is>
          <t>Lost</t>
        </is>
      </c>
      <c r="J1748" t="inlineStr">
        <is>
          <t>Price Objection</t>
        </is>
      </c>
      <c r="K1748" t="n">
        <v>1043</v>
      </c>
      <c r="L1748" t="inlineStr">
        <is>
          <t>2025-12-27 05:56:16.024530</t>
        </is>
      </c>
      <c r="M1748">
        <f>VLOOKUP(H1748,'Stage Order'!$A$2:$B$8,2,FALSE)</f>
        <v/>
      </c>
      <c r="N1748">
        <f>IF(G1748&lt;=1,"1. Under 1 hour",IF(G1748&lt;=24,"2. 1-24 hours",IF(G1748&lt;=72,"3. 1-3 days","4. Over 3 days")))</f>
        <v/>
      </c>
      <c r="O1748">
        <f>TEXT(B1748,"YYYY-MM")</f>
        <v/>
      </c>
    </row>
    <row r="1749">
      <c r="A1749" t="inlineStr">
        <is>
          <t>LD-301747</t>
        </is>
      </c>
      <c r="B1749" t="inlineStr">
        <is>
          <t>2026-06-17 15:07:00</t>
        </is>
      </c>
      <c r="C1749" t="inlineStr">
        <is>
          <t>Social Media</t>
        </is>
      </c>
      <c r="D1749" t="inlineStr">
        <is>
          <t>Study Abroad Prep</t>
        </is>
      </c>
      <c r="E1749" t="inlineStr">
        <is>
          <t>North Region</t>
        </is>
      </c>
      <c r="F1749" t="inlineStr">
        <is>
          <t>Rep_01</t>
        </is>
      </c>
      <c r="G1749" t="n">
        <v>3.03</v>
      </c>
      <c r="H1749" t="inlineStr">
        <is>
          <t>Proposal Sent</t>
        </is>
      </c>
      <c r="I1749" t="inlineStr">
        <is>
          <t>Lost</t>
        </is>
      </c>
      <c r="J1749" t="inlineStr">
        <is>
          <t>Price Objection</t>
        </is>
      </c>
      <c r="K1749" t="n">
        <v>1280.43</v>
      </c>
      <c r="L1749" t="inlineStr">
        <is>
          <t>2026-07-26 17:09:30.699949</t>
        </is>
      </c>
      <c r="M1749">
        <f>VLOOKUP(H1749,'Stage Order'!$A$2:$B$8,2,FALSE)</f>
        <v/>
      </c>
      <c r="N1749">
        <f>IF(G1749&lt;=1,"1. Under 1 hour",IF(G1749&lt;=24,"2. 1-24 hours",IF(G1749&lt;=72,"3. 1-3 days","4. Over 3 days")))</f>
        <v/>
      </c>
      <c r="O1749">
        <f>TEXT(B1749,"YYYY-MM")</f>
        <v/>
      </c>
    </row>
    <row r="1750">
      <c r="A1750" t="inlineStr">
        <is>
          <t>LD-301748</t>
        </is>
      </c>
      <c r="B1750" t="inlineStr">
        <is>
          <t>2026-06-29 09:13:00</t>
        </is>
      </c>
      <c r="C1750" t="inlineStr">
        <is>
          <t>Organic Search</t>
        </is>
      </c>
      <c r="D1750" t="inlineStr">
        <is>
          <t>K-12 Math</t>
        </is>
      </c>
      <c r="E1750" t="inlineStr">
        <is>
          <t>South Region</t>
        </is>
      </c>
      <c r="F1750" t="inlineStr">
        <is>
          <t>Rep_12</t>
        </is>
      </c>
      <c r="G1750" t="n">
        <v>5.45</v>
      </c>
      <c r="H1750" t="inlineStr">
        <is>
          <t>Negotiation</t>
        </is>
      </c>
      <c r="I1750" t="inlineStr">
        <is>
          <t>Lost</t>
        </is>
      </c>
      <c r="J1750" t="inlineStr">
        <is>
          <t>Price Objection</t>
        </is>
      </c>
      <c r="K1750" t="n">
        <v>543.8200000000001</v>
      </c>
      <c r="L1750" t="inlineStr">
        <is>
          <t>2026-08-17 16:39:40.367383</t>
        </is>
      </c>
      <c r="M1750">
        <f>VLOOKUP(H1750,'Stage Order'!$A$2:$B$8,2,FALSE)</f>
        <v/>
      </c>
      <c r="N1750">
        <f>IF(G1750&lt;=1,"1. Under 1 hour",IF(G1750&lt;=24,"2. 1-24 hours",IF(G1750&lt;=72,"3. 1-3 days","4. Over 3 days")))</f>
        <v/>
      </c>
      <c r="O1750">
        <f>TEXT(B1750,"YYYY-MM")</f>
        <v/>
      </c>
    </row>
    <row r="1751">
      <c r="A1751" t="inlineStr">
        <is>
          <t>LD-301749</t>
        </is>
      </c>
      <c r="B1751" t="inlineStr">
        <is>
          <t>2025-01-21 16:04:00</t>
        </is>
      </c>
      <c r="C1751" t="inlineStr">
        <is>
          <t>Referral</t>
        </is>
      </c>
      <c r="D1751" t="inlineStr">
        <is>
          <t>Competitive Exam Prep</t>
        </is>
      </c>
      <c r="E1751" t="inlineStr">
        <is>
          <t>North Region</t>
        </is>
      </c>
      <c r="F1751" t="inlineStr">
        <is>
          <t>Rep_06</t>
        </is>
      </c>
      <c r="G1751" t="n">
        <v>3.64</v>
      </c>
      <c r="H1751" t="inlineStr">
        <is>
          <t>Proposal Sent</t>
        </is>
      </c>
      <c r="I1751" t="inlineStr">
        <is>
          <t>Lost</t>
        </is>
      </c>
      <c r="J1751" t="inlineStr">
        <is>
          <t>Price Objection</t>
        </is>
      </c>
      <c r="K1751" t="n">
        <v>1122.21</v>
      </c>
      <c r="L1751" t="inlineStr">
        <is>
          <t>2025-03-16 23:18:29.992832</t>
        </is>
      </c>
      <c r="M1751">
        <f>VLOOKUP(H1751,'Stage Order'!$A$2:$B$8,2,FALSE)</f>
        <v/>
      </c>
      <c r="N1751">
        <f>IF(G1751&lt;=1,"1. Under 1 hour",IF(G1751&lt;=24,"2. 1-24 hours",IF(G1751&lt;=72,"3. 1-3 days","4. Over 3 days")))</f>
        <v/>
      </c>
      <c r="O1751">
        <f>TEXT(B1751,"YYYY-MM")</f>
        <v/>
      </c>
    </row>
    <row r="1752">
      <c r="A1752" t="inlineStr">
        <is>
          <t>LD-301750</t>
        </is>
      </c>
      <c r="B1752" t="inlineStr">
        <is>
          <t>2026-05-11 16:04:00</t>
        </is>
      </c>
      <c r="C1752" t="inlineStr">
        <is>
          <t>Referral</t>
        </is>
      </c>
      <c r="D1752" t="inlineStr">
        <is>
          <t>Competitive Exam Prep</t>
        </is>
      </c>
      <c r="E1752" t="inlineStr">
        <is>
          <t>North Region</t>
        </is>
      </c>
      <c r="F1752" t="inlineStr">
        <is>
          <t>Rep_11</t>
        </is>
      </c>
      <c r="G1752" t="n">
        <v>1.03</v>
      </c>
      <c r="H1752" t="inlineStr">
        <is>
          <t>Contacted</t>
        </is>
      </c>
      <c r="I1752" t="inlineStr">
        <is>
          <t>Open</t>
        </is>
      </c>
      <c r="M1752">
        <f>VLOOKUP(H1752,'Stage Order'!$A$2:$B$8,2,FALSE)</f>
        <v/>
      </c>
      <c r="N1752">
        <f>IF(G1752&lt;=1,"1. Under 1 hour",IF(G1752&lt;=24,"2. 1-24 hours",IF(G1752&lt;=72,"3. 1-3 days","4. Over 3 days")))</f>
        <v/>
      </c>
      <c r="O1752">
        <f>TEXT(B1752,"YYYY-MM")</f>
        <v/>
      </c>
    </row>
    <row r="1753">
      <c r="A1753" t="inlineStr">
        <is>
          <t>LD-301751</t>
        </is>
      </c>
      <c r="B1753" t="inlineStr">
        <is>
          <t>2026-06-27 18:04:00</t>
        </is>
      </c>
      <c r="C1753" t="inlineStr">
        <is>
          <t>Partner Channel</t>
        </is>
      </c>
      <c r="D1753" t="inlineStr">
        <is>
          <t>K-12 Math</t>
        </is>
      </c>
      <c r="E1753" t="inlineStr">
        <is>
          <t>North Region</t>
        </is>
      </c>
      <c r="F1753" t="inlineStr">
        <is>
          <t>Rep_11</t>
        </is>
      </c>
      <c r="G1753" t="n">
        <v>1.53</v>
      </c>
      <c r="H1753" t="inlineStr">
        <is>
          <t>Contacted</t>
        </is>
      </c>
      <c r="I1753" t="inlineStr">
        <is>
          <t>Open</t>
        </is>
      </c>
      <c r="M1753">
        <f>VLOOKUP(H1753,'Stage Order'!$A$2:$B$8,2,FALSE)</f>
        <v/>
      </c>
      <c r="N1753">
        <f>IF(G1753&lt;=1,"1. Under 1 hour",IF(G1753&lt;=24,"2. 1-24 hours",IF(G1753&lt;=72,"3. 1-3 days","4. Over 3 days")))</f>
        <v/>
      </c>
      <c r="O1753">
        <f>TEXT(B1753,"YYYY-MM")</f>
        <v/>
      </c>
    </row>
    <row r="1754">
      <c r="A1754" t="inlineStr">
        <is>
          <t>LD-301752</t>
        </is>
      </c>
      <c r="B1754" t="inlineStr">
        <is>
          <t>2025-04-29 20:15:00</t>
        </is>
      </c>
      <c r="C1754" t="inlineStr">
        <is>
          <t>Paid Search</t>
        </is>
      </c>
      <c r="D1754" t="inlineStr">
        <is>
          <t>Coding for Kids</t>
        </is>
      </c>
      <c r="E1754" t="inlineStr">
        <is>
          <t>North Region</t>
        </is>
      </c>
      <c r="F1754" t="inlineStr">
        <is>
          <t>Rep_01</t>
        </is>
      </c>
      <c r="G1754" t="n">
        <v>4.85</v>
      </c>
      <c r="H1754" t="inlineStr">
        <is>
          <t>Demo Completed</t>
        </is>
      </c>
      <c r="I1754" t="inlineStr">
        <is>
          <t>Lost</t>
        </is>
      </c>
      <c r="J1754" t="inlineStr">
        <is>
          <t>Price Objection</t>
        </is>
      </c>
      <c r="K1754" t="n">
        <v>584.7</v>
      </c>
      <c r="L1754" t="inlineStr">
        <is>
          <t>2025-06-10 20:12:11.517133</t>
        </is>
      </c>
      <c r="M1754">
        <f>VLOOKUP(H1754,'Stage Order'!$A$2:$B$8,2,FALSE)</f>
        <v/>
      </c>
      <c r="N1754">
        <f>IF(G1754&lt;=1,"1. Under 1 hour",IF(G1754&lt;=24,"2. 1-24 hours",IF(G1754&lt;=72,"3. 1-3 days","4. Over 3 days")))</f>
        <v/>
      </c>
      <c r="O1754">
        <f>TEXT(B1754,"YYYY-MM")</f>
        <v/>
      </c>
    </row>
    <row r="1755">
      <c r="A1755" t="inlineStr">
        <is>
          <t>LD-301753</t>
        </is>
      </c>
      <c r="B1755" t="inlineStr">
        <is>
          <t>2025-02-07 12:48:00</t>
        </is>
      </c>
      <c r="C1755" t="inlineStr">
        <is>
          <t>Cold Outreach</t>
        </is>
      </c>
      <c r="D1755" t="inlineStr">
        <is>
          <t>Study Abroad Prep</t>
        </is>
      </c>
      <c r="E1755" t="inlineStr">
        <is>
          <t>East Region</t>
        </is>
      </c>
      <c r="F1755" t="inlineStr">
        <is>
          <t>Rep_14</t>
        </is>
      </c>
      <c r="G1755" t="n">
        <v>4.07</v>
      </c>
      <c r="H1755" t="inlineStr">
        <is>
          <t>Lead</t>
        </is>
      </c>
      <c r="I1755" t="inlineStr">
        <is>
          <t>Open</t>
        </is>
      </c>
      <c r="M1755">
        <f>VLOOKUP(H1755,'Stage Order'!$A$2:$B$8,2,FALSE)</f>
        <v/>
      </c>
      <c r="N1755">
        <f>IF(G1755&lt;=1,"1. Under 1 hour",IF(G1755&lt;=24,"2. 1-24 hours",IF(G1755&lt;=72,"3. 1-3 days","4. Over 3 days")))</f>
        <v/>
      </c>
      <c r="O1755">
        <f>TEXT(B1755,"YYYY-MM")</f>
        <v/>
      </c>
    </row>
    <row r="1756">
      <c r="A1756" t="inlineStr">
        <is>
          <t>LD-301754</t>
        </is>
      </c>
      <c r="B1756" t="inlineStr">
        <is>
          <t>2026-03-02 19:28:00</t>
        </is>
      </c>
      <c r="C1756" t="inlineStr">
        <is>
          <t>Paid Search</t>
        </is>
      </c>
      <c r="D1756" t="inlineStr">
        <is>
          <t>K-12 Math</t>
        </is>
      </c>
      <c r="E1756" t="inlineStr">
        <is>
          <t>East Region</t>
        </is>
      </c>
      <c r="F1756" t="inlineStr">
        <is>
          <t>Rep_14</t>
        </is>
      </c>
      <c r="G1756" t="n">
        <v>2.91</v>
      </c>
      <c r="H1756" t="inlineStr">
        <is>
          <t>Demo Completed</t>
        </is>
      </c>
      <c r="I1756" t="inlineStr">
        <is>
          <t>Lost</t>
        </is>
      </c>
      <c r="J1756" t="inlineStr">
        <is>
          <t>Price Objection</t>
        </is>
      </c>
      <c r="K1756" t="n">
        <v>556.0599999999999</v>
      </c>
      <c r="L1756" t="inlineStr">
        <is>
          <t>2026-04-03 20:29:07.566389</t>
        </is>
      </c>
      <c r="M1756">
        <f>VLOOKUP(H1756,'Stage Order'!$A$2:$B$8,2,FALSE)</f>
        <v/>
      </c>
      <c r="N1756">
        <f>IF(G1756&lt;=1,"1. Under 1 hour",IF(G1756&lt;=24,"2. 1-24 hours",IF(G1756&lt;=72,"3. 1-3 days","4. Over 3 days")))</f>
        <v/>
      </c>
      <c r="O1756">
        <f>TEXT(B1756,"YYYY-MM")</f>
        <v/>
      </c>
    </row>
    <row r="1757">
      <c r="A1757" t="inlineStr">
        <is>
          <t>LD-301755</t>
        </is>
      </c>
      <c r="B1757" t="inlineStr">
        <is>
          <t>2025-09-15 09:09:00</t>
        </is>
      </c>
      <c r="C1757" t="inlineStr">
        <is>
          <t>Social Media</t>
        </is>
      </c>
      <c r="D1757" t="inlineStr">
        <is>
          <t>Language Learning</t>
        </is>
      </c>
      <c r="E1757" t="inlineStr">
        <is>
          <t>South Region</t>
        </is>
      </c>
      <c r="F1757" t="inlineStr">
        <is>
          <t>Rep_07</t>
        </is>
      </c>
      <c r="G1757" t="n">
        <v>3.73</v>
      </c>
      <c r="H1757" t="inlineStr">
        <is>
          <t>Proposal Sent</t>
        </is>
      </c>
      <c r="I1757" t="inlineStr">
        <is>
          <t>Lost</t>
        </is>
      </c>
      <c r="J1757" t="inlineStr">
        <is>
          <t>Bad Timing</t>
        </is>
      </c>
      <c r="K1757" t="n">
        <v>404.84</v>
      </c>
      <c r="L1757" t="inlineStr">
        <is>
          <t>2025-10-16 16:44:54.480055</t>
        </is>
      </c>
      <c r="M1757">
        <f>VLOOKUP(H1757,'Stage Order'!$A$2:$B$8,2,FALSE)</f>
        <v/>
      </c>
      <c r="N1757">
        <f>IF(G1757&lt;=1,"1. Under 1 hour",IF(G1757&lt;=24,"2. 1-24 hours",IF(G1757&lt;=72,"3. 1-3 days","4. Over 3 days")))</f>
        <v/>
      </c>
      <c r="O1757">
        <f>TEXT(B1757,"YYYY-MM")</f>
        <v/>
      </c>
    </row>
    <row r="1758">
      <c r="A1758" t="inlineStr">
        <is>
          <t>LD-301756</t>
        </is>
      </c>
      <c r="B1758" t="inlineStr">
        <is>
          <t>2025-11-27 07:59:00</t>
        </is>
      </c>
      <c r="C1758" t="inlineStr">
        <is>
          <t>Organic Search</t>
        </is>
      </c>
      <c r="D1758" t="inlineStr">
        <is>
          <t>Coding for Kids</t>
        </is>
      </c>
      <c r="E1758" t="inlineStr">
        <is>
          <t>North Region</t>
        </is>
      </c>
      <c r="F1758" t="inlineStr">
        <is>
          <t>Rep_01</t>
        </is>
      </c>
      <c r="G1758" t="n">
        <v>1.09</v>
      </c>
      <c r="H1758" t="inlineStr">
        <is>
          <t>Closed</t>
        </is>
      </c>
      <c r="I1758" t="inlineStr">
        <is>
          <t>Won</t>
        </is>
      </c>
      <c r="K1758" t="n">
        <v>741.53</v>
      </c>
      <c r="L1758" t="inlineStr">
        <is>
          <t>2026-01-01 10:13:03.022545</t>
        </is>
      </c>
      <c r="M1758">
        <f>VLOOKUP(H1758,'Stage Order'!$A$2:$B$8,2,FALSE)</f>
        <v/>
      </c>
      <c r="N1758">
        <f>IF(G1758&lt;=1,"1. Under 1 hour",IF(G1758&lt;=24,"2. 1-24 hours",IF(G1758&lt;=72,"3. 1-3 days","4. Over 3 days")))</f>
        <v/>
      </c>
      <c r="O1758">
        <f>TEXT(B1758,"YYYY-MM")</f>
        <v/>
      </c>
    </row>
    <row r="1759">
      <c r="A1759" t="inlineStr">
        <is>
          <t>LD-301757</t>
        </is>
      </c>
      <c r="B1759" t="inlineStr">
        <is>
          <t>2025-10-09 13:30:00</t>
        </is>
      </c>
      <c r="C1759" t="inlineStr">
        <is>
          <t>Organic Search</t>
        </is>
      </c>
      <c r="D1759" t="inlineStr">
        <is>
          <t>K-12 Math</t>
        </is>
      </c>
      <c r="E1759" t="inlineStr">
        <is>
          <t>International</t>
        </is>
      </c>
      <c r="F1759" t="inlineStr">
        <is>
          <t>Rep_05</t>
        </is>
      </c>
      <c r="G1759" t="n">
        <v>1.95</v>
      </c>
      <c r="H1759" t="inlineStr">
        <is>
          <t>Lead</t>
        </is>
      </c>
      <c r="I1759" t="inlineStr">
        <is>
          <t>Open</t>
        </is>
      </c>
      <c r="M1759">
        <f>VLOOKUP(H1759,'Stage Order'!$A$2:$B$8,2,FALSE)</f>
        <v/>
      </c>
      <c r="N1759">
        <f>IF(G1759&lt;=1,"1. Under 1 hour",IF(G1759&lt;=24,"2. 1-24 hours",IF(G1759&lt;=72,"3. 1-3 days","4. Over 3 days")))</f>
        <v/>
      </c>
      <c r="O1759">
        <f>TEXT(B1759,"YYYY-MM")</f>
        <v/>
      </c>
    </row>
    <row r="1760">
      <c r="A1760" t="inlineStr">
        <is>
          <t>LD-301758</t>
        </is>
      </c>
      <c r="B1760" t="inlineStr">
        <is>
          <t>2025-03-06 08:48:00</t>
        </is>
      </c>
      <c r="C1760" t="inlineStr">
        <is>
          <t>Cold Outreach</t>
        </is>
      </c>
      <c r="D1760" t="inlineStr">
        <is>
          <t>K-12 Math</t>
        </is>
      </c>
      <c r="E1760" t="inlineStr">
        <is>
          <t>South Region</t>
        </is>
      </c>
      <c r="F1760" t="inlineStr">
        <is>
          <t>Rep_02</t>
        </is>
      </c>
      <c r="G1760" t="n">
        <v>4.19</v>
      </c>
      <c r="H1760" t="inlineStr">
        <is>
          <t>Demo Completed</t>
        </is>
      </c>
      <c r="I1760" t="inlineStr">
        <is>
          <t>Lost</t>
        </is>
      </c>
      <c r="J1760" t="inlineStr">
        <is>
          <t>Went With Competitor</t>
        </is>
      </c>
      <c r="K1760" t="n">
        <v>440.13</v>
      </c>
      <c r="L1760" t="inlineStr">
        <is>
          <t>2025-04-10 14:44:33.966064</t>
        </is>
      </c>
      <c r="M1760">
        <f>VLOOKUP(H1760,'Stage Order'!$A$2:$B$8,2,FALSE)</f>
        <v/>
      </c>
      <c r="N1760">
        <f>IF(G1760&lt;=1,"1. Under 1 hour",IF(G1760&lt;=24,"2. 1-24 hours",IF(G1760&lt;=72,"3. 1-3 days","4. Over 3 days")))</f>
        <v/>
      </c>
      <c r="O1760">
        <f>TEXT(B1760,"YYYY-MM")</f>
        <v/>
      </c>
    </row>
    <row r="1761">
      <c r="A1761" t="inlineStr">
        <is>
          <t>LD-301759</t>
        </is>
      </c>
      <c r="B1761" t="inlineStr">
        <is>
          <t>2025-08-06 17:49:00</t>
        </is>
      </c>
      <c r="C1761" t="inlineStr">
        <is>
          <t>Paid Search</t>
        </is>
      </c>
      <c r="D1761" t="inlineStr">
        <is>
          <t>Coding for Kids</t>
        </is>
      </c>
      <c r="E1761" t="inlineStr">
        <is>
          <t>South Region</t>
        </is>
      </c>
      <c r="F1761" t="inlineStr">
        <is>
          <t>Rep_07</t>
        </is>
      </c>
      <c r="G1761" t="n">
        <v>3.14</v>
      </c>
      <c r="H1761" t="inlineStr">
        <is>
          <t>Lead</t>
        </is>
      </c>
      <c r="I1761" t="inlineStr">
        <is>
          <t>Open</t>
        </is>
      </c>
      <c r="M1761">
        <f>VLOOKUP(H1761,'Stage Order'!$A$2:$B$8,2,FALSE)</f>
        <v/>
      </c>
      <c r="N1761">
        <f>IF(G1761&lt;=1,"1. Under 1 hour",IF(G1761&lt;=24,"2. 1-24 hours",IF(G1761&lt;=72,"3. 1-3 days","4. Over 3 days")))</f>
        <v/>
      </c>
      <c r="O1761">
        <f>TEXT(B1761,"YYYY-MM")</f>
        <v/>
      </c>
    </row>
    <row r="1762">
      <c r="A1762" t="inlineStr">
        <is>
          <t>LD-301760</t>
        </is>
      </c>
      <c r="B1762" t="inlineStr">
        <is>
          <t>2025-02-11 20:46:00</t>
        </is>
      </c>
      <c r="C1762" t="inlineStr">
        <is>
          <t>Paid Search</t>
        </is>
      </c>
      <c r="D1762" t="inlineStr">
        <is>
          <t>Language Learning</t>
        </is>
      </c>
      <c r="E1762" t="inlineStr">
        <is>
          <t>International</t>
        </is>
      </c>
      <c r="F1762" t="inlineStr">
        <is>
          <t>Rep_10</t>
        </is>
      </c>
      <c r="G1762" t="n">
        <v>8.539999999999999</v>
      </c>
      <c r="H1762" t="inlineStr">
        <is>
          <t>Contacted</t>
        </is>
      </c>
      <c r="I1762" t="inlineStr">
        <is>
          <t>Open</t>
        </is>
      </c>
      <c r="M1762">
        <f>VLOOKUP(H1762,'Stage Order'!$A$2:$B$8,2,FALSE)</f>
        <v/>
      </c>
      <c r="N1762">
        <f>IF(G1762&lt;=1,"1. Under 1 hour",IF(G1762&lt;=24,"2. 1-24 hours",IF(G1762&lt;=72,"3. 1-3 days","4. Over 3 days")))</f>
        <v/>
      </c>
      <c r="O1762">
        <f>TEXT(B1762,"YYYY-MM")</f>
        <v/>
      </c>
    </row>
    <row r="1763">
      <c r="A1763" t="inlineStr">
        <is>
          <t>LD-301761</t>
        </is>
      </c>
      <c r="B1763" t="inlineStr">
        <is>
          <t>2025-02-25 11:26:00</t>
        </is>
      </c>
      <c r="C1763" t="inlineStr">
        <is>
          <t>Webinar</t>
        </is>
      </c>
      <c r="D1763" t="inlineStr">
        <is>
          <t>Study Abroad Prep</t>
        </is>
      </c>
      <c r="E1763" t="inlineStr">
        <is>
          <t>West Region</t>
        </is>
      </c>
      <c r="F1763" t="inlineStr">
        <is>
          <t>Rep_03</t>
        </is>
      </c>
      <c r="G1763" t="n">
        <v>5.13</v>
      </c>
      <c r="H1763" t="inlineStr">
        <is>
          <t>Contacted</t>
        </is>
      </c>
      <c r="I1763" t="inlineStr">
        <is>
          <t>Open</t>
        </is>
      </c>
      <c r="M1763">
        <f>VLOOKUP(H1763,'Stage Order'!$A$2:$B$8,2,FALSE)</f>
        <v/>
      </c>
      <c r="N1763">
        <f>IF(G1763&lt;=1,"1. Under 1 hour",IF(G1763&lt;=24,"2. 1-24 hours",IF(G1763&lt;=72,"3. 1-3 days","4. Over 3 days")))</f>
        <v/>
      </c>
      <c r="O1763">
        <f>TEXT(B1763,"YYYY-MM")</f>
        <v/>
      </c>
    </row>
    <row r="1764">
      <c r="A1764" t="inlineStr">
        <is>
          <t>LD-301762</t>
        </is>
      </c>
      <c r="B1764" t="inlineStr">
        <is>
          <t>2025-12-10 20:29:00</t>
        </is>
      </c>
      <c r="C1764" t="inlineStr">
        <is>
          <t>Referral</t>
        </is>
      </c>
      <c r="D1764" t="inlineStr">
        <is>
          <t>Competitive Exam Prep</t>
        </is>
      </c>
      <c r="E1764" t="inlineStr">
        <is>
          <t>West Region</t>
        </is>
      </c>
      <c r="F1764" t="inlineStr">
        <is>
          <t>Rep_03</t>
        </is>
      </c>
      <c r="G1764" t="n">
        <v>0.8</v>
      </c>
      <c r="H1764" t="inlineStr">
        <is>
          <t>Closed</t>
        </is>
      </c>
      <c r="I1764" t="inlineStr">
        <is>
          <t>Won</t>
        </is>
      </c>
      <c r="K1764" t="n">
        <v>940.5</v>
      </c>
      <c r="L1764" t="inlineStr">
        <is>
          <t>2026-01-18 18:16:41.055902</t>
        </is>
      </c>
      <c r="M1764">
        <f>VLOOKUP(H1764,'Stage Order'!$A$2:$B$8,2,FALSE)</f>
        <v/>
      </c>
      <c r="N1764">
        <f>IF(G1764&lt;=1,"1. Under 1 hour",IF(G1764&lt;=24,"2. 1-24 hours",IF(G1764&lt;=72,"3. 1-3 days","4. Over 3 days")))</f>
        <v/>
      </c>
      <c r="O1764">
        <f>TEXT(B1764,"YYYY-MM")</f>
        <v/>
      </c>
    </row>
    <row r="1765">
      <c r="A1765" t="inlineStr">
        <is>
          <t>LD-301763</t>
        </is>
      </c>
      <c r="B1765" t="inlineStr">
        <is>
          <t>2026-06-09 19:16:00</t>
        </is>
      </c>
      <c r="C1765" t="inlineStr">
        <is>
          <t>Webinar</t>
        </is>
      </c>
      <c r="D1765" t="inlineStr">
        <is>
          <t>Competitive Exam Prep</t>
        </is>
      </c>
      <c r="E1765" t="inlineStr">
        <is>
          <t>South Region</t>
        </is>
      </c>
      <c r="F1765" t="inlineStr">
        <is>
          <t>Rep_02</t>
        </is>
      </c>
      <c r="G1765" t="n">
        <v>4.74</v>
      </c>
      <c r="H1765" t="inlineStr">
        <is>
          <t>Contacted</t>
        </is>
      </c>
      <c r="I1765" t="inlineStr">
        <is>
          <t>Open</t>
        </is>
      </c>
      <c r="M1765">
        <f>VLOOKUP(H1765,'Stage Order'!$A$2:$B$8,2,FALSE)</f>
        <v/>
      </c>
      <c r="N1765">
        <f>IF(G1765&lt;=1,"1. Under 1 hour",IF(G1765&lt;=24,"2. 1-24 hours",IF(G1765&lt;=72,"3. 1-3 days","4. Over 3 days")))</f>
        <v/>
      </c>
      <c r="O1765">
        <f>TEXT(B1765,"YYYY-MM")</f>
        <v/>
      </c>
    </row>
    <row r="1766">
      <c r="A1766" t="inlineStr">
        <is>
          <t>LD-301764</t>
        </is>
      </c>
      <c r="B1766" t="inlineStr">
        <is>
          <t>2025-04-29 09:26:00</t>
        </is>
      </c>
      <c r="C1766" t="inlineStr">
        <is>
          <t>Social Media</t>
        </is>
      </c>
      <c r="D1766" t="inlineStr">
        <is>
          <t>Coding for Kids</t>
        </is>
      </c>
      <c r="E1766" t="inlineStr">
        <is>
          <t>International</t>
        </is>
      </c>
      <c r="F1766" t="inlineStr">
        <is>
          <t>Rep_05</t>
        </is>
      </c>
      <c r="G1766" t="n">
        <v>1.55</v>
      </c>
      <c r="H1766" t="inlineStr">
        <is>
          <t>Lead</t>
        </is>
      </c>
      <c r="I1766" t="inlineStr">
        <is>
          <t>Open</t>
        </is>
      </c>
      <c r="M1766">
        <f>VLOOKUP(H1766,'Stage Order'!$A$2:$B$8,2,FALSE)</f>
        <v/>
      </c>
      <c r="N1766">
        <f>IF(G1766&lt;=1,"1. Under 1 hour",IF(G1766&lt;=24,"2. 1-24 hours",IF(G1766&lt;=72,"3. 1-3 days","4. Over 3 days")))</f>
        <v/>
      </c>
      <c r="O1766">
        <f>TEXT(B1766,"YYYY-MM")</f>
        <v/>
      </c>
    </row>
    <row r="1767">
      <c r="A1767" t="inlineStr">
        <is>
          <t>LD-301765</t>
        </is>
      </c>
      <c r="B1767" t="inlineStr">
        <is>
          <t>2025-06-30 08:38:00</t>
        </is>
      </c>
      <c r="C1767" t="inlineStr">
        <is>
          <t>Organic Search</t>
        </is>
      </c>
      <c r="D1767" t="inlineStr">
        <is>
          <t>Coding for Kids</t>
        </is>
      </c>
      <c r="E1767" t="inlineStr">
        <is>
          <t>South Region</t>
        </is>
      </c>
      <c r="F1767" t="inlineStr">
        <is>
          <t>Rep_07</t>
        </is>
      </c>
      <c r="G1767" t="n">
        <v>1.67</v>
      </c>
      <c r="H1767" t="inlineStr">
        <is>
          <t>Contacted</t>
        </is>
      </c>
      <c r="I1767" t="inlineStr">
        <is>
          <t>Open</t>
        </is>
      </c>
      <c r="M1767">
        <f>VLOOKUP(H1767,'Stage Order'!$A$2:$B$8,2,FALSE)</f>
        <v/>
      </c>
      <c r="N1767">
        <f>IF(G1767&lt;=1,"1. Under 1 hour",IF(G1767&lt;=24,"2. 1-24 hours",IF(G1767&lt;=72,"3. 1-3 days","4. Over 3 days")))</f>
        <v/>
      </c>
      <c r="O1767">
        <f>TEXT(B1767,"YYYY-MM")</f>
        <v/>
      </c>
    </row>
    <row r="1768">
      <c r="A1768" t="inlineStr">
        <is>
          <t>LD-301766</t>
        </is>
      </c>
      <c r="B1768" t="inlineStr">
        <is>
          <t>2026-04-25 15:03:00</t>
        </is>
      </c>
      <c r="C1768" t="inlineStr">
        <is>
          <t>Referral</t>
        </is>
      </c>
      <c r="D1768" t="inlineStr">
        <is>
          <t>Competitive Exam Prep</t>
        </is>
      </c>
      <c r="E1768" t="inlineStr">
        <is>
          <t>East Region</t>
        </is>
      </c>
      <c r="F1768" t="inlineStr">
        <is>
          <t>Rep_04</t>
        </is>
      </c>
      <c r="G1768" t="n">
        <v>2.95</v>
      </c>
      <c r="H1768" t="inlineStr">
        <is>
          <t>Contacted</t>
        </is>
      </c>
      <c r="I1768" t="inlineStr">
        <is>
          <t>Open</t>
        </is>
      </c>
      <c r="M1768">
        <f>VLOOKUP(H1768,'Stage Order'!$A$2:$B$8,2,FALSE)</f>
        <v/>
      </c>
      <c r="N1768">
        <f>IF(G1768&lt;=1,"1. Under 1 hour",IF(G1768&lt;=24,"2. 1-24 hours",IF(G1768&lt;=72,"3. 1-3 days","4. Over 3 days")))</f>
        <v/>
      </c>
      <c r="O1768">
        <f>TEXT(B1768,"YYYY-MM")</f>
        <v/>
      </c>
    </row>
    <row r="1769">
      <c r="A1769" t="inlineStr">
        <is>
          <t>LD-301767</t>
        </is>
      </c>
      <c r="B1769" t="inlineStr">
        <is>
          <t>2025-05-07 15:47:00</t>
        </is>
      </c>
      <c r="C1769" t="inlineStr">
        <is>
          <t>Social Media</t>
        </is>
      </c>
      <c r="D1769" t="inlineStr">
        <is>
          <t>Competitive Exam Prep</t>
        </is>
      </c>
      <c r="E1769" t="inlineStr">
        <is>
          <t>South Region</t>
        </is>
      </c>
      <c r="F1769" t="inlineStr">
        <is>
          <t>Rep_12</t>
        </is>
      </c>
      <c r="G1769" t="n">
        <v>0.55</v>
      </c>
      <c r="H1769" t="inlineStr">
        <is>
          <t>Contacted</t>
        </is>
      </c>
      <c r="I1769" t="inlineStr">
        <is>
          <t>Open</t>
        </is>
      </c>
      <c r="M1769">
        <f>VLOOKUP(H1769,'Stage Order'!$A$2:$B$8,2,FALSE)</f>
        <v/>
      </c>
      <c r="N1769">
        <f>IF(G1769&lt;=1,"1. Under 1 hour",IF(G1769&lt;=24,"2. 1-24 hours",IF(G1769&lt;=72,"3. 1-3 days","4. Over 3 days")))</f>
        <v/>
      </c>
      <c r="O1769">
        <f>TEXT(B1769,"YYYY-MM")</f>
        <v/>
      </c>
    </row>
    <row r="1770">
      <c r="A1770" t="inlineStr">
        <is>
          <t>LD-301768</t>
        </is>
      </c>
      <c r="B1770" t="inlineStr">
        <is>
          <t>2025-03-17 12:10:00</t>
        </is>
      </c>
      <c r="C1770" t="inlineStr">
        <is>
          <t>Organic Search</t>
        </is>
      </c>
      <c r="D1770" t="inlineStr">
        <is>
          <t>K-12 Math</t>
        </is>
      </c>
      <c r="E1770" t="inlineStr">
        <is>
          <t>South Region</t>
        </is>
      </c>
      <c r="F1770" t="inlineStr">
        <is>
          <t>Rep_07</t>
        </is>
      </c>
      <c r="G1770" t="n">
        <v>3.76</v>
      </c>
      <c r="H1770" t="inlineStr">
        <is>
          <t>Contacted</t>
        </is>
      </c>
      <c r="I1770" t="inlineStr">
        <is>
          <t>Open</t>
        </is>
      </c>
      <c r="M1770">
        <f>VLOOKUP(H1770,'Stage Order'!$A$2:$B$8,2,FALSE)</f>
        <v/>
      </c>
      <c r="N1770">
        <f>IF(G1770&lt;=1,"1. Under 1 hour",IF(G1770&lt;=24,"2. 1-24 hours",IF(G1770&lt;=72,"3. 1-3 days","4. Over 3 days")))</f>
        <v/>
      </c>
      <c r="O1770">
        <f>TEXT(B1770,"YYYY-MM")</f>
        <v/>
      </c>
    </row>
    <row r="1771">
      <c r="A1771" t="inlineStr">
        <is>
          <t>LD-301769</t>
        </is>
      </c>
      <c r="B1771" t="inlineStr">
        <is>
          <t>2026-06-15 13:33:00</t>
        </is>
      </c>
      <c r="C1771" t="inlineStr">
        <is>
          <t>Webinar</t>
        </is>
      </c>
      <c r="D1771" t="inlineStr">
        <is>
          <t>Competitive Exam Prep</t>
        </is>
      </c>
      <c r="E1771" t="inlineStr">
        <is>
          <t>North Region</t>
        </is>
      </c>
      <c r="F1771" t="inlineStr">
        <is>
          <t>Rep_06</t>
        </is>
      </c>
      <c r="G1771" t="n">
        <v>9.56</v>
      </c>
      <c r="H1771" t="inlineStr">
        <is>
          <t>Lead</t>
        </is>
      </c>
      <c r="I1771" t="inlineStr">
        <is>
          <t>Open</t>
        </is>
      </c>
      <c r="M1771">
        <f>VLOOKUP(H1771,'Stage Order'!$A$2:$B$8,2,FALSE)</f>
        <v/>
      </c>
      <c r="N1771">
        <f>IF(G1771&lt;=1,"1. Under 1 hour",IF(G1771&lt;=24,"2. 1-24 hours",IF(G1771&lt;=72,"3. 1-3 days","4. Over 3 days")))</f>
        <v/>
      </c>
      <c r="O1771">
        <f>TEXT(B1771,"YYYY-MM")</f>
        <v/>
      </c>
    </row>
    <row r="1772">
      <c r="A1772" t="inlineStr">
        <is>
          <t>LD-301770</t>
        </is>
      </c>
      <c r="B1772" t="inlineStr">
        <is>
          <t>2025-09-13 07:47:00</t>
        </is>
      </c>
      <c r="C1772" t="inlineStr">
        <is>
          <t>Referral</t>
        </is>
      </c>
      <c r="D1772" t="inlineStr">
        <is>
          <t>Language Learning</t>
        </is>
      </c>
      <c r="E1772" t="inlineStr">
        <is>
          <t>South Region</t>
        </is>
      </c>
      <c r="F1772" t="inlineStr">
        <is>
          <t>Rep_02</t>
        </is>
      </c>
      <c r="G1772" t="n">
        <v>7.81</v>
      </c>
      <c r="H1772" t="inlineStr">
        <is>
          <t>Closed</t>
        </is>
      </c>
      <c r="I1772" t="inlineStr">
        <is>
          <t>Won</t>
        </is>
      </c>
      <c r="K1772" t="n">
        <v>333.64</v>
      </c>
      <c r="L1772" t="inlineStr">
        <is>
          <t>2025-10-20 17:03:24.073612</t>
        </is>
      </c>
      <c r="M1772">
        <f>VLOOKUP(H1772,'Stage Order'!$A$2:$B$8,2,FALSE)</f>
        <v/>
      </c>
      <c r="N1772">
        <f>IF(G1772&lt;=1,"1. Under 1 hour",IF(G1772&lt;=24,"2. 1-24 hours",IF(G1772&lt;=72,"3. 1-3 days","4. Over 3 days")))</f>
        <v/>
      </c>
      <c r="O1772">
        <f>TEXT(B1772,"YYYY-MM")</f>
        <v/>
      </c>
    </row>
    <row r="1773">
      <c r="A1773" t="inlineStr">
        <is>
          <t>LD-301771</t>
        </is>
      </c>
      <c r="B1773" t="inlineStr">
        <is>
          <t>2025-06-05 19:23:00</t>
        </is>
      </c>
      <c r="C1773" t="inlineStr">
        <is>
          <t>Webinar</t>
        </is>
      </c>
      <c r="D1773" t="inlineStr">
        <is>
          <t>Competitive Exam Prep</t>
        </is>
      </c>
      <c r="E1773" t="inlineStr">
        <is>
          <t>West Region</t>
        </is>
      </c>
      <c r="F1773" t="inlineStr">
        <is>
          <t>Rep_13</t>
        </is>
      </c>
      <c r="G1773" t="n">
        <v>4.15</v>
      </c>
      <c r="H1773" t="inlineStr">
        <is>
          <t>Negotiation</t>
        </is>
      </c>
      <c r="I1773" t="inlineStr">
        <is>
          <t>Lost</t>
        </is>
      </c>
      <c r="J1773" t="inlineStr">
        <is>
          <t>Bad Timing</t>
        </is>
      </c>
      <c r="K1773" t="n">
        <v>1087.67</v>
      </c>
      <c r="L1773" t="inlineStr">
        <is>
          <t>2025-08-03 07:05:14.829193</t>
        </is>
      </c>
      <c r="M1773">
        <f>VLOOKUP(H1773,'Stage Order'!$A$2:$B$8,2,FALSE)</f>
        <v/>
      </c>
      <c r="N1773">
        <f>IF(G1773&lt;=1,"1. Under 1 hour",IF(G1773&lt;=24,"2. 1-24 hours",IF(G1773&lt;=72,"3. 1-3 days","4. Over 3 days")))</f>
        <v/>
      </c>
      <c r="O1773">
        <f>TEXT(B1773,"YYYY-MM")</f>
        <v/>
      </c>
    </row>
    <row r="1774">
      <c r="A1774" t="inlineStr">
        <is>
          <t>LD-301772</t>
        </is>
      </c>
      <c r="B1774" t="inlineStr">
        <is>
          <t>2025-09-05 14:58:00</t>
        </is>
      </c>
      <c r="C1774" t="inlineStr">
        <is>
          <t>Referral</t>
        </is>
      </c>
      <c r="D1774" t="inlineStr">
        <is>
          <t>Coding for Kids</t>
        </is>
      </c>
      <c r="E1774" t="inlineStr">
        <is>
          <t>West Region</t>
        </is>
      </c>
      <c r="F1774" t="inlineStr">
        <is>
          <t>Rep_13</t>
        </is>
      </c>
      <c r="G1774" t="n">
        <v>3.57</v>
      </c>
      <c r="H1774" t="inlineStr">
        <is>
          <t>Closed</t>
        </is>
      </c>
      <c r="I1774" t="inlineStr">
        <is>
          <t>Won</t>
        </is>
      </c>
      <c r="K1774" t="n">
        <v>621.95</v>
      </c>
      <c r="L1774" t="inlineStr">
        <is>
          <t>2025-10-08 19:19:31.466866</t>
        </is>
      </c>
      <c r="M1774">
        <f>VLOOKUP(H1774,'Stage Order'!$A$2:$B$8,2,FALSE)</f>
        <v/>
      </c>
      <c r="N1774">
        <f>IF(G1774&lt;=1,"1. Under 1 hour",IF(G1774&lt;=24,"2. 1-24 hours",IF(G1774&lt;=72,"3. 1-3 days","4. Over 3 days")))</f>
        <v/>
      </c>
      <c r="O1774">
        <f>TEXT(B1774,"YYYY-MM")</f>
        <v/>
      </c>
    </row>
    <row r="1775">
      <c r="A1775" t="inlineStr">
        <is>
          <t>LD-301773</t>
        </is>
      </c>
      <c r="B1775" t="inlineStr">
        <is>
          <t>2025-01-02 12:18:00</t>
        </is>
      </c>
      <c r="C1775" t="inlineStr">
        <is>
          <t>Organic Search</t>
        </is>
      </c>
      <c r="D1775" t="inlineStr">
        <is>
          <t>K-12 Math</t>
        </is>
      </c>
      <c r="E1775" t="inlineStr">
        <is>
          <t>South Region</t>
        </is>
      </c>
      <c r="F1775" t="inlineStr">
        <is>
          <t>Rep_07</t>
        </is>
      </c>
      <c r="G1775" t="n">
        <v>6.81</v>
      </c>
      <c r="H1775" t="inlineStr">
        <is>
          <t>Lead</t>
        </is>
      </c>
      <c r="I1775" t="inlineStr">
        <is>
          <t>Open</t>
        </is>
      </c>
      <c r="M1775">
        <f>VLOOKUP(H1775,'Stage Order'!$A$2:$B$8,2,FALSE)</f>
        <v/>
      </c>
      <c r="N1775">
        <f>IF(G1775&lt;=1,"1. Under 1 hour",IF(G1775&lt;=24,"2. 1-24 hours",IF(G1775&lt;=72,"3. 1-3 days","4. Over 3 days")))</f>
        <v/>
      </c>
      <c r="O1775">
        <f>TEXT(B1775,"YYYY-MM")</f>
        <v/>
      </c>
    </row>
    <row r="1776">
      <c r="A1776" t="inlineStr">
        <is>
          <t>LD-301774</t>
        </is>
      </c>
      <c r="B1776" t="inlineStr">
        <is>
          <t>2026-01-26 18:17:00</t>
        </is>
      </c>
      <c r="C1776" t="inlineStr">
        <is>
          <t>Social Media</t>
        </is>
      </c>
      <c r="D1776" t="inlineStr">
        <is>
          <t>Language Learning</t>
        </is>
      </c>
      <c r="E1776" t="inlineStr">
        <is>
          <t>South Region</t>
        </is>
      </c>
      <c r="F1776" t="inlineStr">
        <is>
          <t>Rep_02</t>
        </is>
      </c>
      <c r="G1776" t="n">
        <v>0.84</v>
      </c>
      <c r="H1776" t="inlineStr">
        <is>
          <t>Negotiation</t>
        </is>
      </c>
      <c r="I1776" t="inlineStr">
        <is>
          <t>Lost</t>
        </is>
      </c>
      <c r="J1776" t="inlineStr">
        <is>
          <t>Price Objection</t>
        </is>
      </c>
      <c r="K1776" t="n">
        <v>394.05</v>
      </c>
      <c r="L1776" t="inlineStr">
        <is>
          <t>2026-03-09 20:26:05.370067</t>
        </is>
      </c>
      <c r="M1776">
        <f>VLOOKUP(H1776,'Stage Order'!$A$2:$B$8,2,FALSE)</f>
        <v/>
      </c>
      <c r="N1776">
        <f>IF(G1776&lt;=1,"1. Under 1 hour",IF(G1776&lt;=24,"2. 1-24 hours",IF(G1776&lt;=72,"3. 1-3 days","4. Over 3 days")))</f>
        <v/>
      </c>
      <c r="O1776">
        <f>TEXT(B1776,"YYYY-MM")</f>
        <v/>
      </c>
    </row>
    <row r="1777">
      <c r="A1777" t="inlineStr">
        <is>
          <t>LD-301775</t>
        </is>
      </c>
      <c r="B1777" t="inlineStr">
        <is>
          <t>2025-07-15 07:21:00</t>
        </is>
      </c>
      <c r="C1777" t="inlineStr">
        <is>
          <t>Organic Search</t>
        </is>
      </c>
      <c r="D1777" t="inlineStr">
        <is>
          <t>Coding for Kids</t>
        </is>
      </c>
      <c r="E1777" t="inlineStr">
        <is>
          <t>South Region</t>
        </is>
      </c>
      <c r="F1777" t="inlineStr">
        <is>
          <t>Rep_07</t>
        </is>
      </c>
      <c r="G1777" t="n">
        <v>3.44</v>
      </c>
      <c r="H1777" t="inlineStr">
        <is>
          <t>Closed</t>
        </is>
      </c>
      <c r="I1777" t="inlineStr">
        <is>
          <t>Won</t>
        </is>
      </c>
      <c r="K1777" t="n">
        <v>769.03</v>
      </c>
      <c r="L1777" t="inlineStr">
        <is>
          <t>2025-08-07 15:06:41.864328</t>
        </is>
      </c>
      <c r="M1777">
        <f>VLOOKUP(H1777,'Stage Order'!$A$2:$B$8,2,FALSE)</f>
        <v/>
      </c>
      <c r="N1777">
        <f>IF(G1777&lt;=1,"1. Under 1 hour",IF(G1777&lt;=24,"2. 1-24 hours",IF(G1777&lt;=72,"3. 1-3 days","4. Over 3 days")))</f>
        <v/>
      </c>
      <c r="O1777">
        <f>TEXT(B1777,"YYYY-MM")</f>
        <v/>
      </c>
    </row>
    <row r="1778">
      <c r="A1778" t="inlineStr">
        <is>
          <t>LD-301776</t>
        </is>
      </c>
      <c r="B1778" t="inlineStr">
        <is>
          <t>2025-03-12 18:40:00</t>
        </is>
      </c>
      <c r="C1778" t="inlineStr">
        <is>
          <t>Paid Search</t>
        </is>
      </c>
      <c r="D1778" t="inlineStr">
        <is>
          <t>K-12 Math</t>
        </is>
      </c>
      <c r="E1778" t="inlineStr">
        <is>
          <t>West Region</t>
        </is>
      </c>
      <c r="F1778" t="inlineStr">
        <is>
          <t>Rep_03</t>
        </is>
      </c>
      <c r="G1778" t="n">
        <v>0.51</v>
      </c>
      <c r="H1778" t="inlineStr">
        <is>
          <t>Lead</t>
        </is>
      </c>
      <c r="I1778" t="inlineStr">
        <is>
          <t>Open</t>
        </is>
      </c>
      <c r="M1778">
        <f>VLOOKUP(H1778,'Stage Order'!$A$2:$B$8,2,FALSE)</f>
        <v/>
      </c>
      <c r="N1778">
        <f>IF(G1778&lt;=1,"1. Under 1 hour",IF(G1778&lt;=24,"2. 1-24 hours",IF(G1778&lt;=72,"3. 1-3 days","4. Over 3 days")))</f>
        <v/>
      </c>
      <c r="O1778">
        <f>TEXT(B1778,"YYYY-MM")</f>
        <v/>
      </c>
    </row>
    <row r="1779">
      <c r="A1779" t="inlineStr">
        <is>
          <t>LD-301777</t>
        </is>
      </c>
      <c r="B1779" t="inlineStr">
        <is>
          <t>2026-05-04 18:44:00</t>
        </is>
      </c>
      <c r="C1779" t="inlineStr">
        <is>
          <t>Partner Channel</t>
        </is>
      </c>
      <c r="D1779" t="inlineStr">
        <is>
          <t>K-12 Math</t>
        </is>
      </c>
      <c r="E1779" t="inlineStr">
        <is>
          <t>North Region</t>
        </is>
      </c>
      <c r="F1779" t="inlineStr">
        <is>
          <t>Rep_11</t>
        </is>
      </c>
      <c r="G1779" t="n">
        <v>1.22</v>
      </c>
      <c r="H1779" t="inlineStr">
        <is>
          <t>Closed</t>
        </is>
      </c>
      <c r="I1779" t="inlineStr">
        <is>
          <t>Won</t>
        </is>
      </c>
      <c r="K1779" t="n">
        <v>490.08</v>
      </c>
      <c r="L1779" t="inlineStr">
        <is>
          <t>2026-06-04 08:12:13.493260</t>
        </is>
      </c>
      <c r="M1779">
        <f>VLOOKUP(H1779,'Stage Order'!$A$2:$B$8,2,FALSE)</f>
        <v/>
      </c>
      <c r="N1779">
        <f>IF(G1779&lt;=1,"1. Under 1 hour",IF(G1779&lt;=24,"2. 1-24 hours",IF(G1779&lt;=72,"3. 1-3 days","4. Over 3 days")))</f>
        <v/>
      </c>
      <c r="O1779">
        <f>TEXT(B1779,"YYYY-MM")</f>
        <v/>
      </c>
    </row>
    <row r="1780">
      <c r="A1780" t="inlineStr">
        <is>
          <t>LD-301778</t>
        </is>
      </c>
      <c r="B1780" t="inlineStr">
        <is>
          <t>2026-05-20 08:17:00</t>
        </is>
      </c>
      <c r="C1780" t="inlineStr">
        <is>
          <t>Paid Search</t>
        </is>
      </c>
      <c r="D1780" t="inlineStr">
        <is>
          <t>Coding for Kids</t>
        </is>
      </c>
      <c r="E1780" t="inlineStr">
        <is>
          <t>South Region</t>
        </is>
      </c>
      <c r="F1780" t="inlineStr">
        <is>
          <t>Rep_02</t>
        </is>
      </c>
      <c r="G1780" t="n">
        <v>3.9</v>
      </c>
      <c r="H1780" t="inlineStr">
        <is>
          <t>Contacted</t>
        </is>
      </c>
      <c r="I1780" t="inlineStr">
        <is>
          <t>Open</t>
        </is>
      </c>
      <c r="M1780">
        <f>VLOOKUP(H1780,'Stage Order'!$A$2:$B$8,2,FALSE)</f>
        <v/>
      </c>
      <c r="N1780">
        <f>IF(G1780&lt;=1,"1. Under 1 hour",IF(G1780&lt;=24,"2. 1-24 hours",IF(G1780&lt;=72,"3. 1-3 days","4. Over 3 days")))</f>
        <v/>
      </c>
      <c r="O1780">
        <f>TEXT(B1780,"YYYY-MM")</f>
        <v/>
      </c>
    </row>
    <row r="1781">
      <c r="A1781" t="inlineStr">
        <is>
          <t>LD-301779</t>
        </is>
      </c>
      <c r="B1781" t="inlineStr">
        <is>
          <t>2026-04-13 09:53:00</t>
        </is>
      </c>
      <c r="C1781" t="inlineStr">
        <is>
          <t>Organic Search</t>
        </is>
      </c>
      <c r="D1781" t="inlineStr">
        <is>
          <t>Language Learning</t>
        </is>
      </c>
      <c r="E1781" t="inlineStr">
        <is>
          <t>South Region</t>
        </is>
      </c>
      <c r="F1781" t="inlineStr">
        <is>
          <t>Rep_12</t>
        </is>
      </c>
      <c r="G1781" t="n">
        <v>10.67</v>
      </c>
      <c r="H1781" t="inlineStr">
        <is>
          <t>Contacted</t>
        </is>
      </c>
      <c r="I1781" t="inlineStr">
        <is>
          <t>Open</t>
        </is>
      </c>
      <c r="M1781">
        <f>VLOOKUP(H1781,'Stage Order'!$A$2:$B$8,2,FALSE)</f>
        <v/>
      </c>
      <c r="N1781">
        <f>IF(G1781&lt;=1,"1. Under 1 hour",IF(G1781&lt;=24,"2. 1-24 hours",IF(G1781&lt;=72,"3. 1-3 days","4. Over 3 days")))</f>
        <v/>
      </c>
      <c r="O1781">
        <f>TEXT(B1781,"YYYY-MM")</f>
        <v/>
      </c>
    </row>
    <row r="1782">
      <c r="A1782" t="inlineStr">
        <is>
          <t>LD-301780</t>
        </is>
      </c>
      <c r="B1782" t="inlineStr">
        <is>
          <t>2025-11-25 13:02:00</t>
        </is>
      </c>
      <c r="C1782" t="inlineStr">
        <is>
          <t>Webinar</t>
        </is>
      </c>
      <c r="D1782" t="inlineStr">
        <is>
          <t>K-12 Math</t>
        </is>
      </c>
      <c r="E1782" t="inlineStr">
        <is>
          <t>East Region</t>
        </is>
      </c>
      <c r="F1782" t="inlineStr">
        <is>
          <t>Rep_14</t>
        </is>
      </c>
      <c r="G1782" t="n">
        <v>10.31</v>
      </c>
      <c r="H1782" t="inlineStr">
        <is>
          <t>Lead</t>
        </is>
      </c>
      <c r="I1782" t="inlineStr">
        <is>
          <t>Open</t>
        </is>
      </c>
      <c r="M1782">
        <f>VLOOKUP(H1782,'Stage Order'!$A$2:$B$8,2,FALSE)</f>
        <v/>
      </c>
      <c r="N1782">
        <f>IF(G1782&lt;=1,"1. Under 1 hour",IF(G1782&lt;=24,"2. 1-24 hours",IF(G1782&lt;=72,"3. 1-3 days","4. Over 3 days")))</f>
        <v/>
      </c>
      <c r="O1782">
        <f>TEXT(B1782,"YYYY-MM")</f>
        <v/>
      </c>
    </row>
    <row r="1783">
      <c r="A1783" t="inlineStr">
        <is>
          <t>LD-301781</t>
        </is>
      </c>
      <c r="B1783" t="inlineStr">
        <is>
          <t>2025-02-09 15:16:00</t>
        </is>
      </c>
      <c r="C1783" t="inlineStr">
        <is>
          <t>Paid Search</t>
        </is>
      </c>
      <c r="D1783" t="inlineStr">
        <is>
          <t>Competitive Exam Prep</t>
        </is>
      </c>
      <c r="E1783" t="inlineStr">
        <is>
          <t>East Region</t>
        </is>
      </c>
      <c r="F1783" t="inlineStr">
        <is>
          <t>Rep_09</t>
        </is>
      </c>
      <c r="G1783" t="n">
        <v>5.51</v>
      </c>
      <c r="H1783" t="inlineStr">
        <is>
          <t>Contacted</t>
        </is>
      </c>
      <c r="I1783" t="inlineStr">
        <is>
          <t>Open</t>
        </is>
      </c>
      <c r="M1783">
        <f>VLOOKUP(H1783,'Stage Order'!$A$2:$B$8,2,FALSE)</f>
        <v/>
      </c>
      <c r="N1783">
        <f>IF(G1783&lt;=1,"1. Under 1 hour",IF(G1783&lt;=24,"2. 1-24 hours",IF(G1783&lt;=72,"3. 1-3 days","4. Over 3 days")))</f>
        <v/>
      </c>
      <c r="O1783">
        <f>TEXT(B1783,"YYYY-MM")</f>
        <v/>
      </c>
    </row>
    <row r="1784">
      <c r="A1784" t="inlineStr">
        <is>
          <t>LD-301782</t>
        </is>
      </c>
      <c r="B1784" t="inlineStr">
        <is>
          <t>2025-09-25 09:27:00</t>
        </is>
      </c>
      <c r="C1784" t="inlineStr">
        <is>
          <t>Webinar</t>
        </is>
      </c>
      <c r="D1784" t="inlineStr">
        <is>
          <t>Language Learning</t>
        </is>
      </c>
      <c r="E1784" t="inlineStr">
        <is>
          <t>South Region</t>
        </is>
      </c>
      <c r="F1784" t="inlineStr">
        <is>
          <t>Rep_02</t>
        </is>
      </c>
      <c r="G1784" t="n">
        <v>2.76</v>
      </c>
      <c r="H1784" t="inlineStr">
        <is>
          <t>Contacted</t>
        </is>
      </c>
      <c r="I1784" t="inlineStr">
        <is>
          <t>Open</t>
        </is>
      </c>
      <c r="M1784">
        <f>VLOOKUP(H1784,'Stage Order'!$A$2:$B$8,2,FALSE)</f>
        <v/>
      </c>
      <c r="N1784">
        <f>IF(G1784&lt;=1,"1. Under 1 hour",IF(G1784&lt;=24,"2. 1-24 hours",IF(G1784&lt;=72,"3. 1-3 days","4. Over 3 days")))</f>
        <v/>
      </c>
      <c r="O1784">
        <f>TEXT(B1784,"YYYY-MM")</f>
        <v/>
      </c>
    </row>
    <row r="1785">
      <c r="A1785" t="inlineStr">
        <is>
          <t>LD-301783</t>
        </is>
      </c>
      <c r="B1785" t="inlineStr">
        <is>
          <t>2025-10-02 07:57:00</t>
        </is>
      </c>
      <c r="C1785" t="inlineStr">
        <is>
          <t>Paid Search</t>
        </is>
      </c>
      <c r="D1785" t="inlineStr">
        <is>
          <t>Competitive Exam Prep</t>
        </is>
      </c>
      <c r="E1785" t="inlineStr">
        <is>
          <t>West Region</t>
        </is>
      </c>
      <c r="F1785" t="inlineStr">
        <is>
          <t>Rep_08</t>
        </is>
      </c>
      <c r="G1785" t="n">
        <v>1.33</v>
      </c>
      <c r="H1785" t="inlineStr">
        <is>
          <t>Contacted</t>
        </is>
      </c>
      <c r="I1785" t="inlineStr">
        <is>
          <t>Open</t>
        </is>
      </c>
      <c r="M1785">
        <f>VLOOKUP(H1785,'Stage Order'!$A$2:$B$8,2,FALSE)</f>
        <v/>
      </c>
      <c r="N1785">
        <f>IF(G1785&lt;=1,"1. Under 1 hour",IF(G1785&lt;=24,"2. 1-24 hours",IF(G1785&lt;=72,"3. 1-3 days","4. Over 3 days")))</f>
        <v/>
      </c>
      <c r="O1785">
        <f>TEXT(B1785,"YYYY-MM")</f>
        <v/>
      </c>
    </row>
    <row r="1786">
      <c r="A1786" t="inlineStr">
        <is>
          <t>LD-301784</t>
        </is>
      </c>
      <c r="B1786" t="inlineStr">
        <is>
          <t>2025-01-31 19:22:00</t>
        </is>
      </c>
      <c r="C1786" t="inlineStr">
        <is>
          <t>Cold Outreach</t>
        </is>
      </c>
      <c r="D1786" t="inlineStr">
        <is>
          <t>Competitive Exam Prep</t>
        </is>
      </c>
      <c r="E1786" t="inlineStr">
        <is>
          <t>North Region</t>
        </is>
      </c>
      <c r="F1786" t="inlineStr">
        <is>
          <t>Rep_01</t>
        </is>
      </c>
      <c r="G1786" t="n">
        <v>0.16</v>
      </c>
      <c r="H1786" t="inlineStr">
        <is>
          <t>Proposal Sent</t>
        </is>
      </c>
      <c r="I1786" t="inlineStr">
        <is>
          <t>Lost</t>
        </is>
      </c>
      <c r="J1786" t="inlineStr">
        <is>
          <t>No Response / Ghosted</t>
        </is>
      </c>
      <c r="K1786" t="n">
        <v>1104.89</v>
      </c>
      <c r="L1786" t="inlineStr">
        <is>
          <t>2025-03-27 11:17:11.020128</t>
        </is>
      </c>
      <c r="M1786">
        <f>VLOOKUP(H1786,'Stage Order'!$A$2:$B$8,2,FALSE)</f>
        <v/>
      </c>
      <c r="N1786">
        <f>IF(G1786&lt;=1,"1. Under 1 hour",IF(G1786&lt;=24,"2. 1-24 hours",IF(G1786&lt;=72,"3. 1-3 days","4. Over 3 days")))</f>
        <v/>
      </c>
      <c r="O1786">
        <f>TEXT(B1786,"YYYY-MM")</f>
        <v/>
      </c>
    </row>
    <row r="1787">
      <c r="A1787" t="inlineStr">
        <is>
          <t>LD-301785</t>
        </is>
      </c>
      <c r="B1787" t="inlineStr">
        <is>
          <t>2025-02-13 18:02:00</t>
        </is>
      </c>
      <c r="C1787" t="inlineStr">
        <is>
          <t>Organic Search</t>
        </is>
      </c>
      <c r="D1787" t="inlineStr">
        <is>
          <t>Competitive Exam Prep</t>
        </is>
      </c>
      <c r="E1787" t="inlineStr">
        <is>
          <t>East Region</t>
        </is>
      </c>
      <c r="F1787" t="inlineStr">
        <is>
          <t>Rep_14</t>
        </is>
      </c>
      <c r="G1787" t="n">
        <v>4.27</v>
      </c>
      <c r="H1787" t="inlineStr">
        <is>
          <t>Contacted</t>
        </is>
      </c>
      <c r="I1787" t="inlineStr">
        <is>
          <t>Open</t>
        </is>
      </c>
      <c r="M1787">
        <f>VLOOKUP(H1787,'Stage Order'!$A$2:$B$8,2,FALSE)</f>
        <v/>
      </c>
      <c r="N1787">
        <f>IF(G1787&lt;=1,"1. Under 1 hour",IF(G1787&lt;=24,"2. 1-24 hours",IF(G1787&lt;=72,"3. 1-3 days","4. Over 3 days")))</f>
        <v/>
      </c>
      <c r="O1787">
        <f>TEXT(B1787,"YYYY-MM")</f>
        <v/>
      </c>
    </row>
    <row r="1788">
      <c r="A1788" t="inlineStr">
        <is>
          <t>LD-301786</t>
        </is>
      </c>
      <c r="B1788" t="inlineStr">
        <is>
          <t>2026-03-13 17:31:00</t>
        </is>
      </c>
      <c r="C1788" t="inlineStr">
        <is>
          <t>Social Media</t>
        </is>
      </c>
      <c r="D1788" t="inlineStr">
        <is>
          <t>K-12 Math</t>
        </is>
      </c>
      <c r="E1788" t="inlineStr">
        <is>
          <t>South Region</t>
        </is>
      </c>
      <c r="F1788" t="inlineStr">
        <is>
          <t>Rep_12</t>
        </is>
      </c>
      <c r="G1788" t="n">
        <v>2.6</v>
      </c>
      <c r="H1788" t="inlineStr">
        <is>
          <t>Contacted</t>
        </is>
      </c>
      <c r="I1788" t="inlineStr">
        <is>
          <t>Open</t>
        </is>
      </c>
      <c r="M1788">
        <f>VLOOKUP(H1788,'Stage Order'!$A$2:$B$8,2,FALSE)</f>
        <v/>
      </c>
      <c r="N1788">
        <f>IF(G1788&lt;=1,"1. Under 1 hour",IF(G1788&lt;=24,"2. 1-24 hours",IF(G1788&lt;=72,"3. 1-3 days","4. Over 3 days")))</f>
        <v/>
      </c>
      <c r="O1788">
        <f>TEXT(B1788,"YYYY-MM")</f>
        <v/>
      </c>
    </row>
    <row r="1789">
      <c r="A1789" t="inlineStr">
        <is>
          <t>LD-301787</t>
        </is>
      </c>
      <c r="B1789" t="inlineStr">
        <is>
          <t>2025-08-29 20:57:00</t>
        </is>
      </c>
      <c r="C1789" t="inlineStr">
        <is>
          <t>Organic Search</t>
        </is>
      </c>
      <c r="D1789" t="inlineStr">
        <is>
          <t>K-12 Math</t>
        </is>
      </c>
      <c r="E1789" t="inlineStr">
        <is>
          <t>North Region</t>
        </is>
      </c>
      <c r="F1789" t="inlineStr">
        <is>
          <t>Rep_11</t>
        </is>
      </c>
      <c r="G1789" t="n">
        <v>12.63</v>
      </c>
      <c r="H1789" t="inlineStr">
        <is>
          <t>Demo Completed</t>
        </is>
      </c>
      <c r="I1789" t="inlineStr">
        <is>
          <t>Lost</t>
        </is>
      </c>
      <c r="J1789" t="inlineStr">
        <is>
          <t>Went With Competitor</t>
        </is>
      </c>
      <c r="K1789" t="n">
        <v>534.74</v>
      </c>
      <c r="L1789" t="inlineStr">
        <is>
          <t>2025-10-05 08:02:54.512038</t>
        </is>
      </c>
      <c r="M1789">
        <f>VLOOKUP(H1789,'Stage Order'!$A$2:$B$8,2,FALSE)</f>
        <v/>
      </c>
      <c r="N1789">
        <f>IF(G1789&lt;=1,"1. Under 1 hour",IF(G1789&lt;=24,"2. 1-24 hours",IF(G1789&lt;=72,"3. 1-3 days","4. Over 3 days")))</f>
        <v/>
      </c>
      <c r="O1789">
        <f>TEXT(B1789,"YYYY-MM")</f>
        <v/>
      </c>
    </row>
    <row r="1790">
      <c r="A1790" t="inlineStr">
        <is>
          <t>LD-301788</t>
        </is>
      </c>
      <c r="B1790" t="inlineStr">
        <is>
          <t>2025-06-09 16:10:00</t>
        </is>
      </c>
      <c r="C1790" t="inlineStr">
        <is>
          <t>Organic Search</t>
        </is>
      </c>
      <c r="D1790" t="inlineStr">
        <is>
          <t>Coding for Kids</t>
        </is>
      </c>
      <c r="E1790" t="inlineStr">
        <is>
          <t>East Region</t>
        </is>
      </c>
      <c r="F1790" t="inlineStr">
        <is>
          <t>Rep_14</t>
        </is>
      </c>
      <c r="G1790" t="n">
        <v>2.76</v>
      </c>
      <c r="H1790" t="inlineStr">
        <is>
          <t>Demo Scheduled</t>
        </is>
      </c>
      <c r="I1790" t="inlineStr">
        <is>
          <t>Open</t>
        </is>
      </c>
      <c r="M1790">
        <f>VLOOKUP(H1790,'Stage Order'!$A$2:$B$8,2,FALSE)</f>
        <v/>
      </c>
      <c r="N1790">
        <f>IF(G1790&lt;=1,"1. Under 1 hour",IF(G1790&lt;=24,"2. 1-24 hours",IF(G1790&lt;=72,"3. 1-3 days","4. Over 3 days")))</f>
        <v/>
      </c>
      <c r="O1790">
        <f>TEXT(B1790,"YYYY-MM")</f>
        <v/>
      </c>
    </row>
    <row r="1791">
      <c r="A1791" t="inlineStr">
        <is>
          <t>LD-301789</t>
        </is>
      </c>
      <c r="B1791" t="inlineStr">
        <is>
          <t>2025-07-17 19:18:00</t>
        </is>
      </c>
      <c r="C1791" t="inlineStr">
        <is>
          <t>Organic Search</t>
        </is>
      </c>
      <c r="D1791" t="inlineStr">
        <is>
          <t>Coding for Kids</t>
        </is>
      </c>
      <c r="E1791" t="inlineStr">
        <is>
          <t>South Region</t>
        </is>
      </c>
      <c r="F1791" t="inlineStr">
        <is>
          <t>Rep_12</t>
        </is>
      </c>
      <c r="G1791" t="n">
        <v>1.61</v>
      </c>
      <c r="H1791" t="inlineStr">
        <is>
          <t>Contacted</t>
        </is>
      </c>
      <c r="I1791" t="inlineStr">
        <is>
          <t>Open</t>
        </is>
      </c>
      <c r="M1791">
        <f>VLOOKUP(H1791,'Stage Order'!$A$2:$B$8,2,FALSE)</f>
        <v/>
      </c>
      <c r="N1791">
        <f>IF(G1791&lt;=1,"1. Under 1 hour",IF(G1791&lt;=24,"2. 1-24 hours",IF(G1791&lt;=72,"3. 1-3 days","4. Over 3 days")))</f>
        <v/>
      </c>
      <c r="O1791">
        <f>TEXT(B1791,"YYYY-MM")</f>
        <v/>
      </c>
    </row>
    <row r="1792">
      <c r="A1792" t="inlineStr">
        <is>
          <t>LD-301790</t>
        </is>
      </c>
      <c r="B1792" t="inlineStr">
        <is>
          <t>2026-01-18 09:49:00</t>
        </is>
      </c>
      <c r="C1792" t="inlineStr">
        <is>
          <t>Social Media</t>
        </is>
      </c>
      <c r="D1792" t="inlineStr">
        <is>
          <t>Competitive Exam Prep</t>
        </is>
      </c>
      <c r="E1792" t="inlineStr">
        <is>
          <t>West Region</t>
        </is>
      </c>
      <c r="F1792" t="inlineStr">
        <is>
          <t>Rep_13</t>
        </is>
      </c>
      <c r="G1792" t="n">
        <v>5.22</v>
      </c>
      <c r="H1792" t="inlineStr">
        <is>
          <t>Lead</t>
        </is>
      </c>
      <c r="I1792" t="inlineStr">
        <is>
          <t>Open</t>
        </is>
      </c>
      <c r="M1792">
        <f>VLOOKUP(H1792,'Stage Order'!$A$2:$B$8,2,FALSE)</f>
        <v/>
      </c>
      <c r="N1792">
        <f>IF(G1792&lt;=1,"1. Under 1 hour",IF(G1792&lt;=24,"2. 1-24 hours",IF(G1792&lt;=72,"3. 1-3 days","4. Over 3 days")))</f>
        <v/>
      </c>
      <c r="O1792">
        <f>TEXT(B1792,"YYYY-MM")</f>
        <v/>
      </c>
    </row>
    <row r="1793">
      <c r="A1793" t="inlineStr">
        <is>
          <t>LD-301791</t>
        </is>
      </c>
      <c r="B1793" t="inlineStr">
        <is>
          <t>2025-10-11 17:59:00</t>
        </is>
      </c>
      <c r="C1793" t="inlineStr">
        <is>
          <t>Referral</t>
        </is>
      </c>
      <c r="D1793" t="inlineStr">
        <is>
          <t>Coding for Kids</t>
        </is>
      </c>
      <c r="E1793" t="inlineStr">
        <is>
          <t>East Region</t>
        </is>
      </c>
      <c r="F1793" t="inlineStr">
        <is>
          <t>Rep_14</t>
        </is>
      </c>
      <c r="G1793" t="n">
        <v>1.46</v>
      </c>
      <c r="H1793" t="inlineStr">
        <is>
          <t>Contacted</t>
        </is>
      </c>
      <c r="I1793" t="inlineStr">
        <is>
          <t>Open</t>
        </is>
      </c>
      <c r="M1793">
        <f>VLOOKUP(H1793,'Stage Order'!$A$2:$B$8,2,FALSE)</f>
        <v/>
      </c>
      <c r="N1793">
        <f>IF(G1793&lt;=1,"1. Under 1 hour",IF(G1793&lt;=24,"2. 1-24 hours",IF(G1793&lt;=72,"3. 1-3 days","4. Over 3 days")))</f>
        <v/>
      </c>
      <c r="O1793">
        <f>TEXT(B1793,"YYYY-MM")</f>
        <v/>
      </c>
    </row>
    <row r="1794">
      <c r="A1794" t="inlineStr">
        <is>
          <t>LD-301792</t>
        </is>
      </c>
      <c r="B1794" t="inlineStr">
        <is>
          <t>2026-01-23 14:35:00</t>
        </is>
      </c>
      <c r="C1794" t="inlineStr">
        <is>
          <t>Cold Outreach</t>
        </is>
      </c>
      <c r="D1794" t="inlineStr">
        <is>
          <t>Competitive Exam Prep</t>
        </is>
      </c>
      <c r="E1794" t="inlineStr">
        <is>
          <t>South Region</t>
        </is>
      </c>
      <c r="F1794" t="inlineStr">
        <is>
          <t>Rep_12</t>
        </is>
      </c>
      <c r="G1794" t="n">
        <v>2.67</v>
      </c>
      <c r="H1794" t="inlineStr">
        <is>
          <t>Contacted</t>
        </is>
      </c>
      <c r="I1794" t="inlineStr">
        <is>
          <t>Open</t>
        </is>
      </c>
      <c r="M1794">
        <f>VLOOKUP(H1794,'Stage Order'!$A$2:$B$8,2,FALSE)</f>
        <v/>
      </c>
      <c r="N1794">
        <f>IF(G1794&lt;=1,"1. Under 1 hour",IF(G1794&lt;=24,"2. 1-24 hours",IF(G1794&lt;=72,"3. 1-3 days","4. Over 3 days")))</f>
        <v/>
      </c>
      <c r="O1794">
        <f>TEXT(B1794,"YYYY-MM")</f>
        <v/>
      </c>
    </row>
    <row r="1795">
      <c r="A1795" t="inlineStr">
        <is>
          <t>LD-301793</t>
        </is>
      </c>
      <c r="B1795" t="inlineStr">
        <is>
          <t>2026-06-20 17:17:00</t>
        </is>
      </c>
      <c r="C1795" t="inlineStr">
        <is>
          <t>Webinar</t>
        </is>
      </c>
      <c r="D1795" t="inlineStr">
        <is>
          <t>K-12 Math</t>
        </is>
      </c>
      <c r="E1795" t="inlineStr">
        <is>
          <t>South Region</t>
        </is>
      </c>
      <c r="F1795" t="inlineStr">
        <is>
          <t>Rep_02</t>
        </is>
      </c>
      <c r="G1795" t="n">
        <v>2.13</v>
      </c>
      <c r="H1795" t="inlineStr">
        <is>
          <t>Contacted</t>
        </is>
      </c>
      <c r="I1795" t="inlineStr">
        <is>
          <t>Open</t>
        </is>
      </c>
      <c r="M1795">
        <f>VLOOKUP(H1795,'Stage Order'!$A$2:$B$8,2,FALSE)</f>
        <v/>
      </c>
      <c r="N1795">
        <f>IF(G1795&lt;=1,"1. Under 1 hour",IF(G1795&lt;=24,"2. 1-24 hours",IF(G1795&lt;=72,"3. 1-3 days","4. Over 3 days")))</f>
        <v/>
      </c>
      <c r="O1795">
        <f>TEXT(B1795,"YYYY-MM")</f>
        <v/>
      </c>
    </row>
    <row r="1796">
      <c r="A1796" t="inlineStr">
        <is>
          <t>LD-301794</t>
        </is>
      </c>
      <c r="B1796" t="inlineStr">
        <is>
          <t>2025-03-28 18:35:00</t>
        </is>
      </c>
      <c r="C1796" t="inlineStr">
        <is>
          <t>Paid Search</t>
        </is>
      </c>
      <c r="D1796" t="inlineStr">
        <is>
          <t>K-12 Math</t>
        </is>
      </c>
      <c r="E1796" t="inlineStr">
        <is>
          <t>West Region</t>
        </is>
      </c>
      <c r="F1796" t="inlineStr">
        <is>
          <t>Rep_08</t>
        </is>
      </c>
      <c r="G1796" t="n">
        <v>0.52</v>
      </c>
      <c r="H1796" t="inlineStr">
        <is>
          <t>Lead</t>
        </is>
      </c>
      <c r="I1796" t="inlineStr">
        <is>
          <t>Open</t>
        </is>
      </c>
      <c r="M1796">
        <f>VLOOKUP(H1796,'Stage Order'!$A$2:$B$8,2,FALSE)</f>
        <v/>
      </c>
      <c r="N1796">
        <f>IF(G1796&lt;=1,"1. Under 1 hour",IF(G1796&lt;=24,"2. 1-24 hours",IF(G1796&lt;=72,"3. 1-3 days","4. Over 3 days")))</f>
        <v/>
      </c>
      <c r="O1796">
        <f>TEXT(B1796,"YYYY-MM")</f>
        <v/>
      </c>
    </row>
    <row r="1797">
      <c r="A1797" t="inlineStr">
        <is>
          <t>LD-301795</t>
        </is>
      </c>
      <c r="B1797" t="inlineStr">
        <is>
          <t>2025-10-10 14:14:00</t>
        </is>
      </c>
      <c r="C1797" t="inlineStr">
        <is>
          <t>Webinar</t>
        </is>
      </c>
      <c r="D1797" t="inlineStr">
        <is>
          <t>Coding for Kids</t>
        </is>
      </c>
      <c r="E1797" t="inlineStr">
        <is>
          <t>East Region</t>
        </is>
      </c>
      <c r="F1797" t="inlineStr">
        <is>
          <t>Rep_09</t>
        </is>
      </c>
      <c r="G1797" t="n">
        <v>3.01</v>
      </c>
      <c r="H1797" t="inlineStr">
        <is>
          <t>Demo Completed</t>
        </is>
      </c>
      <c r="I1797" t="inlineStr">
        <is>
          <t>Lost</t>
        </is>
      </c>
      <c r="J1797" t="inlineStr">
        <is>
          <t>Price Objection</t>
        </is>
      </c>
      <c r="K1797" t="n">
        <v>537.0599999999999</v>
      </c>
      <c r="L1797" t="inlineStr">
        <is>
          <t>2025-11-24 22:29:07.418198</t>
        </is>
      </c>
      <c r="M1797">
        <f>VLOOKUP(H1797,'Stage Order'!$A$2:$B$8,2,FALSE)</f>
        <v/>
      </c>
      <c r="N1797">
        <f>IF(G1797&lt;=1,"1. Under 1 hour",IF(G1797&lt;=24,"2. 1-24 hours",IF(G1797&lt;=72,"3. 1-3 days","4. Over 3 days")))</f>
        <v/>
      </c>
      <c r="O1797">
        <f>TEXT(B1797,"YYYY-MM")</f>
        <v/>
      </c>
    </row>
    <row r="1798">
      <c r="A1798" t="inlineStr">
        <is>
          <t>LD-301796</t>
        </is>
      </c>
      <c r="B1798" t="inlineStr">
        <is>
          <t>2025-11-25 17:43:00</t>
        </is>
      </c>
      <c r="C1798" t="inlineStr">
        <is>
          <t>Organic Search</t>
        </is>
      </c>
      <c r="D1798" t="inlineStr">
        <is>
          <t>Competitive Exam Prep</t>
        </is>
      </c>
      <c r="E1798" t="inlineStr">
        <is>
          <t>East Region</t>
        </is>
      </c>
      <c r="F1798" t="inlineStr">
        <is>
          <t>Rep_04</t>
        </is>
      </c>
      <c r="G1798" t="n">
        <v>2.28</v>
      </c>
      <c r="H1798" t="inlineStr">
        <is>
          <t>Contacted</t>
        </is>
      </c>
      <c r="I1798" t="inlineStr">
        <is>
          <t>Open</t>
        </is>
      </c>
      <c r="M1798">
        <f>VLOOKUP(H1798,'Stage Order'!$A$2:$B$8,2,FALSE)</f>
        <v/>
      </c>
      <c r="N1798">
        <f>IF(G1798&lt;=1,"1. Under 1 hour",IF(G1798&lt;=24,"2. 1-24 hours",IF(G1798&lt;=72,"3. 1-3 days","4. Over 3 days")))</f>
        <v/>
      </c>
      <c r="O1798">
        <f>TEXT(B1798,"YYYY-MM")</f>
        <v/>
      </c>
    </row>
    <row r="1799">
      <c r="A1799" t="inlineStr">
        <is>
          <t>LD-301797</t>
        </is>
      </c>
      <c r="B1799" t="inlineStr">
        <is>
          <t>2025-10-05 08:20:00</t>
        </is>
      </c>
      <c r="C1799" t="inlineStr">
        <is>
          <t>Paid Search</t>
        </is>
      </c>
      <c r="D1799" t="inlineStr">
        <is>
          <t>Competitive Exam Prep</t>
        </is>
      </c>
      <c r="E1799" t="inlineStr">
        <is>
          <t>South Region</t>
        </is>
      </c>
      <c r="F1799" t="inlineStr">
        <is>
          <t>Rep_02</t>
        </is>
      </c>
      <c r="G1799" t="n">
        <v>0.6</v>
      </c>
      <c r="H1799" t="inlineStr">
        <is>
          <t>Closed</t>
        </is>
      </c>
      <c r="I1799" t="inlineStr">
        <is>
          <t>Won</t>
        </is>
      </c>
      <c r="K1799" t="n">
        <v>981.4</v>
      </c>
      <c r="L1799" t="inlineStr">
        <is>
          <t>2025-11-10 06:18:50.943526</t>
        </is>
      </c>
      <c r="M1799">
        <f>VLOOKUP(H1799,'Stage Order'!$A$2:$B$8,2,FALSE)</f>
        <v/>
      </c>
      <c r="N1799">
        <f>IF(G1799&lt;=1,"1. Under 1 hour",IF(G1799&lt;=24,"2. 1-24 hours",IF(G1799&lt;=72,"3. 1-3 days","4. Over 3 days")))</f>
        <v/>
      </c>
      <c r="O1799">
        <f>TEXT(B1799,"YYYY-MM")</f>
        <v/>
      </c>
    </row>
    <row r="1800">
      <c r="A1800" t="inlineStr">
        <is>
          <t>LD-301798</t>
        </is>
      </c>
      <c r="B1800" t="inlineStr">
        <is>
          <t>2026-01-14 17:15:00</t>
        </is>
      </c>
      <c r="C1800" t="inlineStr">
        <is>
          <t>Paid Search</t>
        </is>
      </c>
      <c r="D1800" t="inlineStr">
        <is>
          <t>Coding for Kids</t>
        </is>
      </c>
      <c r="E1800" t="inlineStr">
        <is>
          <t>West Region</t>
        </is>
      </c>
      <c r="F1800" t="inlineStr">
        <is>
          <t>Rep_08</t>
        </is>
      </c>
      <c r="G1800" t="n">
        <v>4.85</v>
      </c>
      <c r="H1800" t="inlineStr">
        <is>
          <t>Demo Completed</t>
        </is>
      </c>
      <c r="I1800" t="inlineStr">
        <is>
          <t>Lost</t>
        </is>
      </c>
      <c r="J1800" t="inlineStr">
        <is>
          <t>Budget Not Approved</t>
        </is>
      </c>
      <c r="K1800" t="n">
        <v>729.22</v>
      </c>
      <c r="L1800" t="inlineStr">
        <is>
          <t>2026-02-16 16:25:54.431550</t>
        </is>
      </c>
      <c r="M1800">
        <f>VLOOKUP(H1800,'Stage Order'!$A$2:$B$8,2,FALSE)</f>
        <v/>
      </c>
      <c r="N1800">
        <f>IF(G1800&lt;=1,"1. Under 1 hour",IF(G1800&lt;=24,"2. 1-24 hours",IF(G1800&lt;=72,"3. 1-3 days","4. Over 3 days")))</f>
        <v/>
      </c>
      <c r="O1800">
        <f>TEXT(B1800,"YYYY-MM")</f>
        <v/>
      </c>
    </row>
    <row r="1801">
      <c r="A1801" t="inlineStr">
        <is>
          <t>LD-301799</t>
        </is>
      </c>
      <c r="B1801" t="inlineStr">
        <is>
          <t>2025-03-21 13:20:00</t>
        </is>
      </c>
      <c r="C1801" t="inlineStr">
        <is>
          <t>Paid Search</t>
        </is>
      </c>
      <c r="D1801" t="inlineStr">
        <is>
          <t>Competitive Exam Prep</t>
        </is>
      </c>
      <c r="E1801" t="inlineStr">
        <is>
          <t>West Region</t>
        </is>
      </c>
      <c r="F1801" t="inlineStr">
        <is>
          <t>Rep_03</t>
        </is>
      </c>
      <c r="G1801" t="n">
        <v>2.72</v>
      </c>
      <c r="H1801" t="inlineStr">
        <is>
          <t>Lead</t>
        </is>
      </c>
      <c r="I1801" t="inlineStr">
        <is>
          <t>Open</t>
        </is>
      </c>
      <c r="M1801">
        <f>VLOOKUP(H1801,'Stage Order'!$A$2:$B$8,2,FALSE)</f>
        <v/>
      </c>
      <c r="N1801">
        <f>IF(G1801&lt;=1,"1. Under 1 hour",IF(G1801&lt;=24,"2. 1-24 hours",IF(G1801&lt;=72,"3. 1-3 days","4. Over 3 days")))</f>
        <v/>
      </c>
      <c r="O1801">
        <f>TEXT(B1801,"YYYY-MM")</f>
        <v/>
      </c>
    </row>
    <row r="1802">
      <c r="A1802" t="inlineStr">
        <is>
          <t>LD-301800</t>
        </is>
      </c>
      <c r="B1802" t="inlineStr">
        <is>
          <t>2026-05-29 13:43:00</t>
        </is>
      </c>
      <c r="C1802" t="inlineStr">
        <is>
          <t>Webinar</t>
        </is>
      </c>
      <c r="D1802" t="inlineStr">
        <is>
          <t>Competitive Exam Prep</t>
        </is>
      </c>
      <c r="E1802" t="inlineStr">
        <is>
          <t>North Region</t>
        </is>
      </c>
      <c r="F1802" t="inlineStr">
        <is>
          <t>Rep_11</t>
        </is>
      </c>
      <c r="G1802" t="n">
        <v>0.22</v>
      </c>
      <c r="H1802" t="inlineStr">
        <is>
          <t>Closed</t>
        </is>
      </c>
      <c r="I1802" t="inlineStr">
        <is>
          <t>Won</t>
        </is>
      </c>
      <c r="K1802" t="n">
        <v>842.8</v>
      </c>
      <c r="L1802" t="inlineStr">
        <is>
          <t>2026-07-07 16:52:51.150742</t>
        </is>
      </c>
      <c r="M1802">
        <f>VLOOKUP(H1802,'Stage Order'!$A$2:$B$8,2,FALSE)</f>
        <v/>
      </c>
      <c r="N1802">
        <f>IF(G1802&lt;=1,"1. Under 1 hour",IF(G1802&lt;=24,"2. 1-24 hours",IF(G1802&lt;=72,"3. 1-3 days","4. Over 3 days")))</f>
        <v/>
      </c>
      <c r="O1802">
        <f>TEXT(B1802,"YYYY-MM")</f>
        <v/>
      </c>
    </row>
    <row r="1803">
      <c r="A1803" t="inlineStr">
        <is>
          <t>LD-301801</t>
        </is>
      </c>
      <c r="B1803" t="inlineStr">
        <is>
          <t>2025-09-24 08:13:00</t>
        </is>
      </c>
      <c r="C1803" t="inlineStr">
        <is>
          <t>Referral</t>
        </is>
      </c>
      <c r="D1803" t="inlineStr">
        <is>
          <t>Competitive Exam Prep</t>
        </is>
      </c>
      <c r="E1803" t="inlineStr">
        <is>
          <t>East Region</t>
        </is>
      </c>
      <c r="F1803" t="inlineStr">
        <is>
          <t>Rep_09</t>
        </is>
      </c>
      <c r="G1803" t="n">
        <v>2.21</v>
      </c>
      <c r="H1803" t="inlineStr">
        <is>
          <t>Contacted</t>
        </is>
      </c>
      <c r="I1803" t="inlineStr">
        <is>
          <t>Open</t>
        </is>
      </c>
      <c r="M1803">
        <f>VLOOKUP(H1803,'Stage Order'!$A$2:$B$8,2,FALSE)</f>
        <v/>
      </c>
      <c r="N1803">
        <f>IF(G1803&lt;=1,"1. Under 1 hour",IF(G1803&lt;=24,"2. 1-24 hours",IF(G1803&lt;=72,"3. 1-3 days","4. Over 3 days")))</f>
        <v/>
      </c>
      <c r="O1803">
        <f>TEXT(B1803,"YYYY-MM")</f>
        <v/>
      </c>
    </row>
    <row r="1804">
      <c r="A1804" t="inlineStr">
        <is>
          <t>LD-301802</t>
        </is>
      </c>
      <c r="B1804" t="inlineStr">
        <is>
          <t>2025-05-02 12:55:00</t>
        </is>
      </c>
      <c r="C1804" t="inlineStr">
        <is>
          <t>Partner Channel</t>
        </is>
      </c>
      <c r="D1804" t="inlineStr">
        <is>
          <t>Coding for Kids</t>
        </is>
      </c>
      <c r="E1804" t="inlineStr">
        <is>
          <t>East Region</t>
        </is>
      </c>
      <c r="F1804" t="inlineStr">
        <is>
          <t>Rep_14</t>
        </is>
      </c>
      <c r="G1804" t="n">
        <v>8.609999999999999</v>
      </c>
      <c r="H1804" t="inlineStr">
        <is>
          <t>Lead</t>
        </is>
      </c>
      <c r="I1804" t="inlineStr">
        <is>
          <t>Open</t>
        </is>
      </c>
      <c r="M1804">
        <f>VLOOKUP(H1804,'Stage Order'!$A$2:$B$8,2,FALSE)</f>
        <v/>
      </c>
      <c r="N1804">
        <f>IF(G1804&lt;=1,"1. Under 1 hour",IF(G1804&lt;=24,"2. 1-24 hours",IF(G1804&lt;=72,"3. 1-3 days","4. Over 3 days")))</f>
        <v/>
      </c>
      <c r="O1804">
        <f>TEXT(B1804,"YYYY-MM")</f>
        <v/>
      </c>
    </row>
    <row r="1805">
      <c r="A1805" t="inlineStr">
        <is>
          <t>LD-301803</t>
        </is>
      </c>
      <c r="B1805" t="inlineStr">
        <is>
          <t>2026-03-19 11:34:00</t>
        </is>
      </c>
      <c r="C1805" t="inlineStr">
        <is>
          <t>Referral</t>
        </is>
      </c>
      <c r="D1805" t="inlineStr">
        <is>
          <t>Coding for Kids</t>
        </is>
      </c>
      <c r="E1805" t="inlineStr">
        <is>
          <t>South Region</t>
        </is>
      </c>
      <c r="F1805" t="inlineStr">
        <is>
          <t>Rep_02</t>
        </is>
      </c>
      <c r="G1805" t="n">
        <v>8.619999999999999</v>
      </c>
      <c r="H1805" t="inlineStr">
        <is>
          <t>Contacted</t>
        </is>
      </c>
      <c r="I1805" t="inlineStr">
        <is>
          <t>Open</t>
        </is>
      </c>
      <c r="M1805">
        <f>VLOOKUP(H1805,'Stage Order'!$A$2:$B$8,2,FALSE)</f>
        <v/>
      </c>
      <c r="N1805">
        <f>IF(G1805&lt;=1,"1. Under 1 hour",IF(G1805&lt;=24,"2. 1-24 hours",IF(G1805&lt;=72,"3. 1-3 days","4. Over 3 days")))</f>
        <v/>
      </c>
      <c r="O1805">
        <f>TEXT(B1805,"YYYY-MM")</f>
        <v/>
      </c>
    </row>
    <row r="1806">
      <c r="A1806" t="inlineStr">
        <is>
          <t>LD-301804</t>
        </is>
      </c>
      <c r="B1806" t="inlineStr">
        <is>
          <t>2025-06-26 13:25:00</t>
        </is>
      </c>
      <c r="C1806" t="inlineStr">
        <is>
          <t>Partner Channel</t>
        </is>
      </c>
      <c r="D1806" t="inlineStr">
        <is>
          <t>Coding for Kids</t>
        </is>
      </c>
      <c r="E1806" t="inlineStr">
        <is>
          <t>North Region</t>
        </is>
      </c>
      <c r="F1806" t="inlineStr">
        <is>
          <t>Rep_06</t>
        </is>
      </c>
      <c r="G1806" t="n">
        <v>0.72</v>
      </c>
      <c r="H1806" t="inlineStr">
        <is>
          <t>Proposal Sent</t>
        </is>
      </c>
      <c r="I1806" t="inlineStr">
        <is>
          <t>Lost</t>
        </is>
      </c>
      <c r="J1806" t="inlineStr">
        <is>
          <t>Price Objection</t>
        </is>
      </c>
      <c r="K1806" t="n">
        <v>591.01</v>
      </c>
      <c r="L1806" t="inlineStr">
        <is>
          <t>2025-08-15 02:06:16.574144</t>
        </is>
      </c>
      <c r="M1806">
        <f>VLOOKUP(H1806,'Stage Order'!$A$2:$B$8,2,FALSE)</f>
        <v/>
      </c>
      <c r="N1806">
        <f>IF(G1806&lt;=1,"1. Under 1 hour",IF(G1806&lt;=24,"2. 1-24 hours",IF(G1806&lt;=72,"3. 1-3 days","4. Over 3 days")))</f>
        <v/>
      </c>
      <c r="O1806">
        <f>TEXT(B1806,"YYYY-MM")</f>
        <v/>
      </c>
    </row>
    <row r="1807">
      <c r="A1807" t="inlineStr">
        <is>
          <t>LD-301805</t>
        </is>
      </c>
      <c r="B1807" t="inlineStr">
        <is>
          <t>2026-01-16 19:02:00</t>
        </is>
      </c>
      <c r="C1807" t="inlineStr">
        <is>
          <t>Webinar</t>
        </is>
      </c>
      <c r="D1807" t="inlineStr">
        <is>
          <t>Coding for Kids</t>
        </is>
      </c>
      <c r="E1807" t="inlineStr">
        <is>
          <t>South Region</t>
        </is>
      </c>
      <c r="F1807" t="inlineStr">
        <is>
          <t>Rep_12</t>
        </is>
      </c>
      <c r="G1807" t="n">
        <v>1.84</v>
      </c>
      <c r="H1807" t="inlineStr">
        <is>
          <t>Contacted</t>
        </is>
      </c>
      <c r="I1807" t="inlineStr">
        <is>
          <t>Open</t>
        </is>
      </c>
      <c r="M1807">
        <f>VLOOKUP(H1807,'Stage Order'!$A$2:$B$8,2,FALSE)</f>
        <v/>
      </c>
      <c r="N1807">
        <f>IF(G1807&lt;=1,"1. Under 1 hour",IF(G1807&lt;=24,"2. 1-24 hours",IF(G1807&lt;=72,"3. 1-3 days","4. Over 3 days")))</f>
        <v/>
      </c>
      <c r="O1807">
        <f>TEXT(B1807,"YYYY-MM")</f>
        <v/>
      </c>
    </row>
    <row r="1808">
      <c r="A1808" t="inlineStr">
        <is>
          <t>LD-301806</t>
        </is>
      </c>
      <c r="B1808" t="inlineStr">
        <is>
          <t>2025-11-27 16:55:00</t>
        </is>
      </c>
      <c r="C1808" t="inlineStr">
        <is>
          <t>Paid Search</t>
        </is>
      </c>
      <c r="D1808" t="inlineStr">
        <is>
          <t>K-12 Math</t>
        </is>
      </c>
      <c r="E1808" t="inlineStr">
        <is>
          <t>North Region</t>
        </is>
      </c>
      <c r="F1808" t="inlineStr">
        <is>
          <t>Rep_11</t>
        </is>
      </c>
      <c r="G1808" t="n">
        <v>1.35</v>
      </c>
      <c r="H1808" t="inlineStr">
        <is>
          <t>Closed</t>
        </is>
      </c>
      <c r="I1808" t="inlineStr">
        <is>
          <t>Won</t>
        </is>
      </c>
      <c r="K1808" t="n">
        <v>582.35</v>
      </c>
      <c r="L1808" t="inlineStr">
        <is>
          <t>2026-01-06 03:22:24.649734</t>
        </is>
      </c>
      <c r="M1808">
        <f>VLOOKUP(H1808,'Stage Order'!$A$2:$B$8,2,FALSE)</f>
        <v/>
      </c>
      <c r="N1808">
        <f>IF(G1808&lt;=1,"1. Under 1 hour",IF(G1808&lt;=24,"2. 1-24 hours",IF(G1808&lt;=72,"3. 1-3 days","4. Over 3 days")))</f>
        <v/>
      </c>
      <c r="O1808">
        <f>TEXT(B1808,"YYYY-MM")</f>
        <v/>
      </c>
    </row>
    <row r="1809">
      <c r="A1809" t="inlineStr">
        <is>
          <t>LD-301807</t>
        </is>
      </c>
      <c r="B1809" t="inlineStr">
        <is>
          <t>2026-06-13 17:32:00</t>
        </is>
      </c>
      <c r="C1809" t="inlineStr">
        <is>
          <t>Webinar</t>
        </is>
      </c>
      <c r="D1809" t="inlineStr">
        <is>
          <t>Language Learning</t>
        </is>
      </c>
      <c r="E1809" t="inlineStr">
        <is>
          <t>South Region</t>
        </is>
      </c>
      <c r="F1809" t="inlineStr">
        <is>
          <t>Rep_12</t>
        </is>
      </c>
      <c r="G1809" t="n">
        <v>2.91</v>
      </c>
      <c r="H1809" t="inlineStr">
        <is>
          <t>Closed</t>
        </is>
      </c>
      <c r="I1809" t="inlineStr">
        <is>
          <t>Won</t>
        </is>
      </c>
      <c r="K1809" t="n">
        <v>393.47</v>
      </c>
      <c r="L1809" t="inlineStr">
        <is>
          <t>2026-07-28 12:59:18.224419</t>
        </is>
      </c>
      <c r="M1809">
        <f>VLOOKUP(H1809,'Stage Order'!$A$2:$B$8,2,FALSE)</f>
        <v/>
      </c>
      <c r="N1809">
        <f>IF(G1809&lt;=1,"1. Under 1 hour",IF(G1809&lt;=24,"2. 1-24 hours",IF(G1809&lt;=72,"3. 1-3 days","4. Over 3 days")))</f>
        <v/>
      </c>
      <c r="O1809">
        <f>TEXT(B1809,"YYYY-MM")</f>
        <v/>
      </c>
    </row>
    <row r="1810">
      <c r="A1810" t="inlineStr">
        <is>
          <t>LD-301808</t>
        </is>
      </c>
      <c r="B1810" t="inlineStr">
        <is>
          <t>2025-10-17 08:16:00</t>
        </is>
      </c>
      <c r="C1810" t="inlineStr">
        <is>
          <t>Partner Channel</t>
        </is>
      </c>
      <c r="D1810" t="inlineStr">
        <is>
          <t>Competitive Exam Prep</t>
        </is>
      </c>
      <c r="E1810" t="inlineStr">
        <is>
          <t>South Region</t>
        </is>
      </c>
      <c r="F1810" t="inlineStr">
        <is>
          <t>Rep_07</t>
        </is>
      </c>
      <c r="G1810" t="n">
        <v>1.63</v>
      </c>
      <c r="H1810" t="inlineStr">
        <is>
          <t>Closed</t>
        </is>
      </c>
      <c r="I1810" t="inlineStr">
        <is>
          <t>Won</t>
        </is>
      </c>
      <c r="K1810" t="n">
        <v>1067.43</v>
      </c>
      <c r="L1810" t="inlineStr">
        <is>
          <t>2025-11-19 12:47:01.793225</t>
        </is>
      </c>
      <c r="M1810">
        <f>VLOOKUP(H1810,'Stage Order'!$A$2:$B$8,2,FALSE)</f>
        <v/>
      </c>
      <c r="N1810">
        <f>IF(G1810&lt;=1,"1. Under 1 hour",IF(G1810&lt;=24,"2. 1-24 hours",IF(G1810&lt;=72,"3. 1-3 days","4. Over 3 days")))</f>
        <v/>
      </c>
      <c r="O1810">
        <f>TEXT(B1810,"YYYY-MM")</f>
        <v/>
      </c>
    </row>
    <row r="1811">
      <c r="A1811" t="inlineStr">
        <is>
          <t>LD-301809</t>
        </is>
      </c>
      <c r="B1811" t="inlineStr">
        <is>
          <t>2025-02-11 20:15:00</t>
        </is>
      </c>
      <c r="C1811" t="inlineStr">
        <is>
          <t>Organic Search</t>
        </is>
      </c>
      <c r="D1811" t="inlineStr">
        <is>
          <t>Coding for Kids</t>
        </is>
      </c>
      <c r="E1811" t="inlineStr">
        <is>
          <t>East Region</t>
        </is>
      </c>
      <c r="F1811" t="inlineStr">
        <is>
          <t>Rep_04</t>
        </is>
      </c>
      <c r="G1811" t="n">
        <v>2.22</v>
      </c>
      <c r="H1811" t="inlineStr">
        <is>
          <t>Contacted</t>
        </is>
      </c>
      <c r="I1811" t="inlineStr">
        <is>
          <t>Open</t>
        </is>
      </c>
      <c r="M1811">
        <f>VLOOKUP(H1811,'Stage Order'!$A$2:$B$8,2,FALSE)</f>
        <v/>
      </c>
      <c r="N1811">
        <f>IF(G1811&lt;=1,"1. Under 1 hour",IF(G1811&lt;=24,"2. 1-24 hours",IF(G1811&lt;=72,"3. 1-3 days","4. Over 3 days")))</f>
        <v/>
      </c>
      <c r="O1811">
        <f>TEXT(B1811,"YYYY-MM")</f>
        <v/>
      </c>
    </row>
    <row r="1812">
      <c r="A1812" t="inlineStr">
        <is>
          <t>LD-301810</t>
        </is>
      </c>
      <c r="B1812" t="inlineStr">
        <is>
          <t>2025-01-01 18:41:00</t>
        </is>
      </c>
      <c r="C1812" t="inlineStr">
        <is>
          <t>Paid Search</t>
        </is>
      </c>
      <c r="D1812" t="inlineStr">
        <is>
          <t>Coding for Kids</t>
        </is>
      </c>
      <c r="E1812" t="inlineStr">
        <is>
          <t>West Region</t>
        </is>
      </c>
      <c r="F1812" t="inlineStr">
        <is>
          <t>Rep_13</t>
        </is>
      </c>
      <c r="G1812" t="n">
        <v>2.3</v>
      </c>
      <c r="H1812" t="inlineStr">
        <is>
          <t>Contacted</t>
        </is>
      </c>
      <c r="I1812" t="inlineStr">
        <is>
          <t>Open</t>
        </is>
      </c>
      <c r="M1812">
        <f>VLOOKUP(H1812,'Stage Order'!$A$2:$B$8,2,FALSE)</f>
        <v/>
      </c>
      <c r="N1812">
        <f>IF(G1812&lt;=1,"1. Under 1 hour",IF(G1812&lt;=24,"2. 1-24 hours",IF(G1812&lt;=72,"3. 1-3 days","4. Over 3 days")))</f>
        <v/>
      </c>
      <c r="O1812">
        <f>TEXT(B1812,"YYYY-MM")</f>
        <v/>
      </c>
    </row>
    <row r="1813">
      <c r="A1813" t="inlineStr">
        <is>
          <t>LD-301811</t>
        </is>
      </c>
      <c r="B1813" t="inlineStr">
        <is>
          <t>2025-05-16 12:05:00</t>
        </is>
      </c>
      <c r="C1813" t="inlineStr">
        <is>
          <t>Webinar</t>
        </is>
      </c>
      <c r="D1813" t="inlineStr">
        <is>
          <t>K-12 Math</t>
        </is>
      </c>
      <c r="E1813" t="inlineStr">
        <is>
          <t>West Region</t>
        </is>
      </c>
      <c r="F1813" t="inlineStr">
        <is>
          <t>Rep_13</t>
        </is>
      </c>
      <c r="G1813" t="n">
        <v>3.73</v>
      </c>
      <c r="H1813" t="inlineStr">
        <is>
          <t>Closed</t>
        </is>
      </c>
      <c r="I1813" t="inlineStr">
        <is>
          <t>Won</t>
        </is>
      </c>
      <c r="K1813" t="n">
        <v>589.7</v>
      </c>
      <c r="L1813" t="inlineStr">
        <is>
          <t>2025-07-02 13:13:26.412031</t>
        </is>
      </c>
      <c r="M1813">
        <f>VLOOKUP(H1813,'Stage Order'!$A$2:$B$8,2,FALSE)</f>
        <v/>
      </c>
      <c r="N1813">
        <f>IF(G1813&lt;=1,"1. Under 1 hour",IF(G1813&lt;=24,"2. 1-24 hours",IF(G1813&lt;=72,"3. 1-3 days","4. Over 3 days")))</f>
        <v/>
      </c>
      <c r="O1813">
        <f>TEXT(B1813,"YYYY-MM")</f>
        <v/>
      </c>
    </row>
    <row r="1814">
      <c r="A1814" t="inlineStr">
        <is>
          <t>LD-301812</t>
        </is>
      </c>
      <c r="B1814" t="inlineStr">
        <is>
          <t>2025-05-16 18:24:00</t>
        </is>
      </c>
      <c r="C1814" t="inlineStr">
        <is>
          <t>Paid Search</t>
        </is>
      </c>
      <c r="D1814" t="inlineStr">
        <is>
          <t>Coding for Kids</t>
        </is>
      </c>
      <c r="E1814" t="inlineStr">
        <is>
          <t>North Region</t>
        </is>
      </c>
      <c r="F1814" t="inlineStr">
        <is>
          <t>Rep_11</t>
        </is>
      </c>
      <c r="G1814" t="n">
        <v>1.18</v>
      </c>
      <c r="H1814" t="inlineStr">
        <is>
          <t>Closed</t>
        </is>
      </c>
      <c r="I1814" t="inlineStr">
        <is>
          <t>Won</t>
        </is>
      </c>
      <c r="K1814" t="n">
        <v>722.65</v>
      </c>
      <c r="L1814" t="inlineStr">
        <is>
          <t>2025-06-23 07:29:10.666528</t>
        </is>
      </c>
      <c r="M1814">
        <f>VLOOKUP(H1814,'Stage Order'!$A$2:$B$8,2,FALSE)</f>
        <v/>
      </c>
      <c r="N1814">
        <f>IF(G1814&lt;=1,"1. Under 1 hour",IF(G1814&lt;=24,"2. 1-24 hours",IF(G1814&lt;=72,"3. 1-3 days","4. Over 3 days")))</f>
        <v/>
      </c>
      <c r="O1814">
        <f>TEXT(B1814,"YYYY-MM")</f>
        <v/>
      </c>
    </row>
    <row r="1815">
      <c r="A1815" t="inlineStr">
        <is>
          <t>LD-301813</t>
        </is>
      </c>
      <c r="B1815" t="inlineStr">
        <is>
          <t>2025-09-13 15:23:00</t>
        </is>
      </c>
      <c r="C1815" t="inlineStr">
        <is>
          <t>Social Media</t>
        </is>
      </c>
      <c r="D1815" t="inlineStr">
        <is>
          <t>Competitive Exam Prep</t>
        </is>
      </c>
      <c r="E1815" t="inlineStr">
        <is>
          <t>South Region</t>
        </is>
      </c>
      <c r="F1815" t="inlineStr">
        <is>
          <t>Rep_07</t>
        </is>
      </c>
      <c r="G1815" t="n">
        <v>5.09</v>
      </c>
      <c r="H1815" t="inlineStr">
        <is>
          <t>Demo Scheduled</t>
        </is>
      </c>
      <c r="I1815" t="inlineStr">
        <is>
          <t>Open</t>
        </is>
      </c>
      <c r="M1815">
        <f>VLOOKUP(H1815,'Stage Order'!$A$2:$B$8,2,FALSE)</f>
        <v/>
      </c>
      <c r="N1815">
        <f>IF(G1815&lt;=1,"1. Under 1 hour",IF(G1815&lt;=24,"2. 1-24 hours",IF(G1815&lt;=72,"3. 1-3 days","4. Over 3 days")))</f>
        <v/>
      </c>
      <c r="O1815">
        <f>TEXT(B1815,"YYYY-MM")</f>
        <v/>
      </c>
    </row>
    <row r="1816">
      <c r="A1816" t="inlineStr">
        <is>
          <t>LD-301814</t>
        </is>
      </c>
      <c r="B1816" t="inlineStr">
        <is>
          <t>2025-09-09 09:09:00</t>
        </is>
      </c>
      <c r="C1816" t="inlineStr">
        <is>
          <t>Paid Search</t>
        </is>
      </c>
      <c r="D1816" t="inlineStr">
        <is>
          <t>Language Learning</t>
        </is>
      </c>
      <c r="E1816" t="inlineStr">
        <is>
          <t>South Region</t>
        </is>
      </c>
      <c r="F1816" t="inlineStr">
        <is>
          <t>Rep_12</t>
        </is>
      </c>
      <c r="G1816" t="n">
        <v>2.66</v>
      </c>
      <c r="H1816" t="inlineStr">
        <is>
          <t>Contacted</t>
        </is>
      </c>
      <c r="I1816" t="inlineStr">
        <is>
          <t>Open</t>
        </is>
      </c>
      <c r="M1816">
        <f>VLOOKUP(H1816,'Stage Order'!$A$2:$B$8,2,FALSE)</f>
        <v/>
      </c>
      <c r="N1816">
        <f>IF(G1816&lt;=1,"1. Under 1 hour",IF(G1816&lt;=24,"2. 1-24 hours",IF(G1816&lt;=72,"3. 1-3 days","4. Over 3 days")))</f>
        <v/>
      </c>
      <c r="O1816">
        <f>TEXT(B1816,"YYYY-MM")</f>
        <v/>
      </c>
    </row>
    <row r="1817">
      <c r="A1817" t="inlineStr">
        <is>
          <t>LD-301815</t>
        </is>
      </c>
      <c r="B1817" t="inlineStr">
        <is>
          <t>2025-07-02 16:50:00</t>
        </is>
      </c>
      <c r="C1817" t="inlineStr">
        <is>
          <t>Social Media</t>
        </is>
      </c>
      <c r="D1817" t="inlineStr">
        <is>
          <t>K-12 Math</t>
        </is>
      </c>
      <c r="E1817" t="inlineStr">
        <is>
          <t>West Region</t>
        </is>
      </c>
      <c r="F1817" t="inlineStr">
        <is>
          <t>Rep_08</t>
        </is>
      </c>
      <c r="G1817" t="n">
        <v>2.79</v>
      </c>
      <c r="H1817" t="inlineStr">
        <is>
          <t>Contacted</t>
        </is>
      </c>
      <c r="I1817" t="inlineStr">
        <is>
          <t>Open</t>
        </is>
      </c>
      <c r="M1817">
        <f>VLOOKUP(H1817,'Stage Order'!$A$2:$B$8,2,FALSE)</f>
        <v/>
      </c>
      <c r="N1817">
        <f>IF(G1817&lt;=1,"1. Under 1 hour",IF(G1817&lt;=24,"2. 1-24 hours",IF(G1817&lt;=72,"3. 1-3 days","4. Over 3 days")))</f>
        <v/>
      </c>
      <c r="O1817">
        <f>TEXT(B1817,"YYYY-MM")</f>
        <v/>
      </c>
    </row>
    <row r="1818">
      <c r="A1818" t="inlineStr">
        <is>
          <t>LD-301816</t>
        </is>
      </c>
      <c r="B1818" t="inlineStr">
        <is>
          <t>2026-01-23 12:53:00</t>
        </is>
      </c>
      <c r="C1818" t="inlineStr">
        <is>
          <t>Partner Channel</t>
        </is>
      </c>
      <c r="D1818" t="inlineStr">
        <is>
          <t>K-12 Math</t>
        </is>
      </c>
      <c r="E1818" t="inlineStr">
        <is>
          <t>East Region</t>
        </is>
      </c>
      <c r="F1818" t="inlineStr">
        <is>
          <t>Rep_09</t>
        </is>
      </c>
      <c r="G1818" t="n">
        <v>0.74</v>
      </c>
      <c r="H1818" t="inlineStr">
        <is>
          <t>Closed</t>
        </is>
      </c>
      <c r="I1818" t="inlineStr">
        <is>
          <t>Won</t>
        </is>
      </c>
      <c r="K1818" t="n">
        <v>561.26</v>
      </c>
      <c r="L1818" t="inlineStr">
        <is>
          <t>2026-02-27 13:49:57.006627</t>
        </is>
      </c>
      <c r="M1818">
        <f>VLOOKUP(H1818,'Stage Order'!$A$2:$B$8,2,FALSE)</f>
        <v/>
      </c>
      <c r="N1818">
        <f>IF(G1818&lt;=1,"1. Under 1 hour",IF(G1818&lt;=24,"2. 1-24 hours",IF(G1818&lt;=72,"3. 1-3 days","4. Over 3 days")))</f>
        <v/>
      </c>
      <c r="O1818">
        <f>TEXT(B1818,"YYYY-MM")</f>
        <v/>
      </c>
    </row>
    <row r="1819">
      <c r="A1819" t="inlineStr">
        <is>
          <t>LD-301817</t>
        </is>
      </c>
      <c r="B1819" t="inlineStr">
        <is>
          <t>2025-11-04 12:39:00</t>
        </is>
      </c>
      <c r="C1819" t="inlineStr">
        <is>
          <t>Social Media</t>
        </is>
      </c>
      <c r="D1819" t="inlineStr">
        <is>
          <t>Competitive Exam Prep</t>
        </is>
      </c>
      <c r="E1819" t="inlineStr">
        <is>
          <t>West Region</t>
        </is>
      </c>
      <c r="F1819" t="inlineStr">
        <is>
          <t>Rep_08</t>
        </is>
      </c>
      <c r="G1819" t="n">
        <v>0.7</v>
      </c>
      <c r="H1819" t="inlineStr">
        <is>
          <t>Contacted</t>
        </is>
      </c>
      <c r="I1819" t="inlineStr">
        <is>
          <t>Open</t>
        </is>
      </c>
      <c r="M1819">
        <f>VLOOKUP(H1819,'Stage Order'!$A$2:$B$8,2,FALSE)</f>
        <v/>
      </c>
      <c r="N1819">
        <f>IF(G1819&lt;=1,"1. Under 1 hour",IF(G1819&lt;=24,"2. 1-24 hours",IF(G1819&lt;=72,"3. 1-3 days","4. Over 3 days")))</f>
        <v/>
      </c>
      <c r="O1819">
        <f>TEXT(B1819,"YYYY-MM")</f>
        <v/>
      </c>
    </row>
    <row r="1820">
      <c r="A1820" t="inlineStr">
        <is>
          <t>LD-301818</t>
        </is>
      </c>
      <c r="B1820" t="inlineStr">
        <is>
          <t>2026-02-11 16:54:00</t>
        </is>
      </c>
      <c r="C1820" t="inlineStr">
        <is>
          <t>Organic Search</t>
        </is>
      </c>
      <c r="D1820" t="inlineStr">
        <is>
          <t>Study Abroad Prep</t>
        </is>
      </c>
      <c r="E1820" t="inlineStr">
        <is>
          <t>East Region</t>
        </is>
      </c>
      <c r="F1820" t="inlineStr">
        <is>
          <t>Rep_14</t>
        </is>
      </c>
      <c r="G1820" t="n">
        <v>2.6</v>
      </c>
      <c r="H1820" t="inlineStr">
        <is>
          <t>Contacted</t>
        </is>
      </c>
      <c r="I1820" t="inlineStr">
        <is>
          <t>Open</t>
        </is>
      </c>
      <c r="M1820">
        <f>VLOOKUP(H1820,'Stage Order'!$A$2:$B$8,2,FALSE)</f>
        <v/>
      </c>
      <c r="N1820">
        <f>IF(G1820&lt;=1,"1. Under 1 hour",IF(G1820&lt;=24,"2. 1-24 hours",IF(G1820&lt;=72,"3. 1-3 days","4. Over 3 days")))</f>
        <v/>
      </c>
      <c r="O1820">
        <f>TEXT(B1820,"YYYY-MM")</f>
        <v/>
      </c>
    </row>
    <row r="1821">
      <c r="A1821" t="inlineStr">
        <is>
          <t>LD-301819</t>
        </is>
      </c>
      <c r="B1821" t="inlineStr">
        <is>
          <t>2026-05-20 14:18:00</t>
        </is>
      </c>
      <c r="C1821" t="inlineStr">
        <is>
          <t>Paid Search</t>
        </is>
      </c>
      <c r="D1821" t="inlineStr">
        <is>
          <t>Coding for Kids</t>
        </is>
      </c>
      <c r="E1821" t="inlineStr">
        <is>
          <t>East Region</t>
        </is>
      </c>
      <c r="F1821" t="inlineStr">
        <is>
          <t>Rep_09</t>
        </is>
      </c>
      <c r="G1821" t="n">
        <v>3.98</v>
      </c>
      <c r="H1821" t="inlineStr">
        <is>
          <t>Contacted</t>
        </is>
      </c>
      <c r="I1821" t="inlineStr">
        <is>
          <t>Open</t>
        </is>
      </c>
      <c r="M1821">
        <f>VLOOKUP(H1821,'Stage Order'!$A$2:$B$8,2,FALSE)</f>
        <v/>
      </c>
      <c r="N1821">
        <f>IF(G1821&lt;=1,"1. Under 1 hour",IF(G1821&lt;=24,"2. 1-24 hours",IF(G1821&lt;=72,"3. 1-3 days","4. Over 3 days")))</f>
        <v/>
      </c>
      <c r="O1821">
        <f>TEXT(B1821,"YYYY-MM")</f>
        <v/>
      </c>
    </row>
    <row r="1822">
      <c r="A1822" t="inlineStr">
        <is>
          <t>LD-301820</t>
        </is>
      </c>
      <c r="B1822" t="inlineStr">
        <is>
          <t>2026-04-17 11:52:00</t>
        </is>
      </c>
      <c r="C1822" t="inlineStr">
        <is>
          <t>Organic Search</t>
        </is>
      </c>
      <c r="D1822" t="inlineStr">
        <is>
          <t>Language Learning</t>
        </is>
      </c>
      <c r="E1822" t="inlineStr">
        <is>
          <t>International</t>
        </is>
      </c>
      <c r="F1822" t="inlineStr">
        <is>
          <t>Rep_15</t>
        </is>
      </c>
      <c r="G1822" t="n">
        <v>7.1</v>
      </c>
      <c r="H1822" t="inlineStr">
        <is>
          <t>Contacted</t>
        </is>
      </c>
      <c r="I1822" t="inlineStr">
        <is>
          <t>Open</t>
        </is>
      </c>
      <c r="M1822">
        <f>VLOOKUP(H1822,'Stage Order'!$A$2:$B$8,2,FALSE)</f>
        <v/>
      </c>
      <c r="N1822">
        <f>IF(G1822&lt;=1,"1. Under 1 hour",IF(G1822&lt;=24,"2. 1-24 hours",IF(G1822&lt;=72,"3. 1-3 days","4. Over 3 days")))</f>
        <v/>
      </c>
      <c r="O1822">
        <f>TEXT(B1822,"YYYY-MM")</f>
        <v/>
      </c>
    </row>
    <row r="1823">
      <c r="A1823" t="inlineStr">
        <is>
          <t>LD-301821</t>
        </is>
      </c>
      <c r="B1823" t="inlineStr">
        <is>
          <t>2025-12-25 19:55:00</t>
        </is>
      </c>
      <c r="C1823" t="inlineStr">
        <is>
          <t>Referral</t>
        </is>
      </c>
      <c r="D1823" t="inlineStr">
        <is>
          <t>Coding for Kids</t>
        </is>
      </c>
      <c r="E1823" t="inlineStr">
        <is>
          <t>South Region</t>
        </is>
      </c>
      <c r="F1823" t="inlineStr">
        <is>
          <t>Rep_12</t>
        </is>
      </c>
      <c r="G1823" t="n">
        <v>1.9</v>
      </c>
      <c r="H1823" t="inlineStr">
        <is>
          <t>Closed</t>
        </is>
      </c>
      <c r="I1823" t="inlineStr">
        <is>
          <t>Won</t>
        </is>
      </c>
      <c r="K1823" t="n">
        <v>645.6799999999999</v>
      </c>
      <c r="L1823" t="inlineStr">
        <is>
          <t>2026-01-25 13:22:44.639917</t>
        </is>
      </c>
      <c r="M1823">
        <f>VLOOKUP(H1823,'Stage Order'!$A$2:$B$8,2,FALSE)</f>
        <v/>
      </c>
      <c r="N1823">
        <f>IF(G1823&lt;=1,"1. Under 1 hour",IF(G1823&lt;=24,"2. 1-24 hours",IF(G1823&lt;=72,"3. 1-3 days","4. Over 3 days")))</f>
        <v/>
      </c>
      <c r="O1823">
        <f>TEXT(B1823,"YYYY-MM")</f>
        <v/>
      </c>
    </row>
    <row r="1824">
      <c r="A1824" t="inlineStr">
        <is>
          <t>LD-301822</t>
        </is>
      </c>
      <c r="B1824" t="inlineStr">
        <is>
          <t>2026-06-15 20:28:00</t>
        </is>
      </c>
      <c r="C1824" t="inlineStr">
        <is>
          <t>Paid Search</t>
        </is>
      </c>
      <c r="D1824" t="inlineStr">
        <is>
          <t>Language Learning</t>
        </is>
      </c>
      <c r="E1824" t="inlineStr">
        <is>
          <t>East Region</t>
        </is>
      </c>
      <c r="F1824" t="inlineStr">
        <is>
          <t>Rep_04</t>
        </is>
      </c>
      <c r="G1824" t="n">
        <v>3.95</v>
      </c>
      <c r="H1824" t="inlineStr">
        <is>
          <t>Contacted</t>
        </is>
      </c>
      <c r="I1824" t="inlineStr">
        <is>
          <t>Open</t>
        </is>
      </c>
      <c r="M1824">
        <f>VLOOKUP(H1824,'Stage Order'!$A$2:$B$8,2,FALSE)</f>
        <v/>
      </c>
      <c r="N1824">
        <f>IF(G1824&lt;=1,"1. Under 1 hour",IF(G1824&lt;=24,"2. 1-24 hours",IF(G1824&lt;=72,"3. 1-3 days","4. Over 3 days")))</f>
        <v/>
      </c>
      <c r="O1824">
        <f>TEXT(B1824,"YYYY-MM")</f>
        <v/>
      </c>
    </row>
    <row r="1825">
      <c r="A1825" t="inlineStr">
        <is>
          <t>LD-301823</t>
        </is>
      </c>
      <c r="B1825" t="inlineStr">
        <is>
          <t>2026-01-21 19:39:00</t>
        </is>
      </c>
      <c r="C1825" t="inlineStr">
        <is>
          <t>Paid Search</t>
        </is>
      </c>
      <c r="D1825" t="inlineStr">
        <is>
          <t>K-12 Math</t>
        </is>
      </c>
      <c r="E1825" t="inlineStr">
        <is>
          <t>South Region</t>
        </is>
      </c>
      <c r="F1825" t="inlineStr">
        <is>
          <t>Rep_07</t>
        </is>
      </c>
      <c r="G1825" t="n">
        <v>2.2</v>
      </c>
      <c r="H1825" t="inlineStr">
        <is>
          <t>Contacted</t>
        </is>
      </c>
      <c r="I1825" t="inlineStr">
        <is>
          <t>Open</t>
        </is>
      </c>
      <c r="M1825">
        <f>VLOOKUP(H1825,'Stage Order'!$A$2:$B$8,2,FALSE)</f>
        <v/>
      </c>
      <c r="N1825">
        <f>IF(G1825&lt;=1,"1. Under 1 hour",IF(G1825&lt;=24,"2. 1-24 hours",IF(G1825&lt;=72,"3. 1-3 days","4. Over 3 days")))</f>
        <v/>
      </c>
      <c r="O1825">
        <f>TEXT(B1825,"YYYY-MM")</f>
        <v/>
      </c>
    </row>
    <row r="1826">
      <c r="A1826" t="inlineStr">
        <is>
          <t>LD-301824</t>
        </is>
      </c>
      <c r="B1826" t="inlineStr">
        <is>
          <t>2025-02-04 07:03:00</t>
        </is>
      </c>
      <c r="C1826" t="inlineStr">
        <is>
          <t>Social Media</t>
        </is>
      </c>
      <c r="D1826" t="inlineStr">
        <is>
          <t>Competitive Exam Prep</t>
        </is>
      </c>
      <c r="E1826" t="inlineStr">
        <is>
          <t>South Region</t>
        </is>
      </c>
      <c r="F1826" t="inlineStr">
        <is>
          <t>Rep_07</t>
        </is>
      </c>
      <c r="G1826" t="n">
        <v>3.43</v>
      </c>
      <c r="H1826" t="inlineStr">
        <is>
          <t>Lead</t>
        </is>
      </c>
      <c r="I1826" t="inlineStr">
        <is>
          <t>Open</t>
        </is>
      </c>
      <c r="M1826">
        <f>VLOOKUP(H1826,'Stage Order'!$A$2:$B$8,2,FALSE)</f>
        <v/>
      </c>
      <c r="N1826">
        <f>IF(G1826&lt;=1,"1. Under 1 hour",IF(G1826&lt;=24,"2. 1-24 hours",IF(G1826&lt;=72,"3. 1-3 days","4. Over 3 days")))</f>
        <v/>
      </c>
      <c r="O1826">
        <f>TEXT(B1826,"YYYY-MM")</f>
        <v/>
      </c>
    </row>
    <row r="1827">
      <c r="A1827" t="inlineStr">
        <is>
          <t>LD-301825</t>
        </is>
      </c>
      <c r="B1827" t="inlineStr">
        <is>
          <t>2025-11-21 20:40:00</t>
        </is>
      </c>
      <c r="C1827" t="inlineStr">
        <is>
          <t>Partner Channel</t>
        </is>
      </c>
      <c r="D1827" t="inlineStr">
        <is>
          <t>Competitive Exam Prep</t>
        </is>
      </c>
      <c r="E1827" t="inlineStr">
        <is>
          <t>South Region</t>
        </is>
      </c>
      <c r="F1827" t="inlineStr">
        <is>
          <t>Rep_07</t>
        </is>
      </c>
      <c r="G1827" t="n">
        <v>11.2</v>
      </c>
      <c r="H1827" t="inlineStr">
        <is>
          <t>Closed</t>
        </is>
      </c>
      <c r="I1827" t="inlineStr">
        <is>
          <t>Won</t>
        </is>
      </c>
      <c r="K1827" t="n">
        <v>1018.06</v>
      </c>
      <c r="L1827" t="inlineStr">
        <is>
          <t>2025-12-28 13:44:07.813235</t>
        </is>
      </c>
      <c r="M1827">
        <f>VLOOKUP(H1827,'Stage Order'!$A$2:$B$8,2,FALSE)</f>
        <v/>
      </c>
      <c r="N1827">
        <f>IF(G1827&lt;=1,"1. Under 1 hour",IF(G1827&lt;=24,"2. 1-24 hours",IF(G1827&lt;=72,"3. 1-3 days","4. Over 3 days")))</f>
        <v/>
      </c>
      <c r="O1827">
        <f>TEXT(B1827,"YYYY-MM")</f>
        <v/>
      </c>
    </row>
    <row r="1828">
      <c r="A1828" t="inlineStr">
        <is>
          <t>LD-301826</t>
        </is>
      </c>
      <c r="B1828" t="inlineStr">
        <is>
          <t>2025-04-14 19:07:00</t>
        </is>
      </c>
      <c r="C1828" t="inlineStr">
        <is>
          <t>Organic Search</t>
        </is>
      </c>
      <c r="D1828" t="inlineStr">
        <is>
          <t>K-12 Math</t>
        </is>
      </c>
      <c r="E1828" t="inlineStr">
        <is>
          <t>International</t>
        </is>
      </c>
      <c r="F1828" t="inlineStr">
        <is>
          <t>Rep_10</t>
        </is>
      </c>
      <c r="G1828" t="n">
        <v>7.41</v>
      </c>
      <c r="H1828" t="inlineStr">
        <is>
          <t>Lead</t>
        </is>
      </c>
      <c r="I1828" t="inlineStr">
        <is>
          <t>Open</t>
        </is>
      </c>
      <c r="M1828">
        <f>VLOOKUP(H1828,'Stage Order'!$A$2:$B$8,2,FALSE)</f>
        <v/>
      </c>
      <c r="N1828">
        <f>IF(G1828&lt;=1,"1. Under 1 hour",IF(G1828&lt;=24,"2. 1-24 hours",IF(G1828&lt;=72,"3. 1-3 days","4. Over 3 days")))</f>
        <v/>
      </c>
      <c r="O1828">
        <f>TEXT(B1828,"YYYY-MM")</f>
        <v/>
      </c>
    </row>
    <row r="1829">
      <c r="A1829" t="inlineStr">
        <is>
          <t>LD-301827</t>
        </is>
      </c>
      <c r="B1829" t="inlineStr">
        <is>
          <t>2025-05-28 18:27:00</t>
        </is>
      </c>
      <c r="C1829" t="inlineStr">
        <is>
          <t>Organic Search</t>
        </is>
      </c>
      <c r="D1829" t="inlineStr">
        <is>
          <t>Competitive Exam Prep</t>
        </is>
      </c>
      <c r="E1829" t="inlineStr">
        <is>
          <t>North Region</t>
        </is>
      </c>
      <c r="F1829" t="inlineStr">
        <is>
          <t>Rep_06</t>
        </is>
      </c>
      <c r="G1829" t="n">
        <v>2.79</v>
      </c>
      <c r="H1829" t="inlineStr">
        <is>
          <t>Lead</t>
        </is>
      </c>
      <c r="I1829" t="inlineStr">
        <is>
          <t>Open</t>
        </is>
      </c>
      <c r="M1829">
        <f>VLOOKUP(H1829,'Stage Order'!$A$2:$B$8,2,FALSE)</f>
        <v/>
      </c>
      <c r="N1829">
        <f>IF(G1829&lt;=1,"1. Under 1 hour",IF(G1829&lt;=24,"2. 1-24 hours",IF(G1829&lt;=72,"3. 1-3 days","4. Over 3 days")))</f>
        <v/>
      </c>
      <c r="O1829">
        <f>TEXT(B1829,"YYYY-MM")</f>
        <v/>
      </c>
    </row>
    <row r="1830">
      <c r="A1830" t="inlineStr">
        <is>
          <t>LD-301828</t>
        </is>
      </c>
      <c r="B1830" t="inlineStr">
        <is>
          <t>2026-06-01 12:12:00</t>
        </is>
      </c>
      <c r="C1830" t="inlineStr">
        <is>
          <t>Paid Search</t>
        </is>
      </c>
      <c r="D1830" t="inlineStr">
        <is>
          <t>Language Learning</t>
        </is>
      </c>
      <c r="E1830" t="inlineStr">
        <is>
          <t>East Region</t>
        </is>
      </c>
      <c r="F1830" t="inlineStr">
        <is>
          <t>Rep_09</t>
        </is>
      </c>
      <c r="G1830" t="n">
        <v>2.2</v>
      </c>
      <c r="H1830" t="inlineStr">
        <is>
          <t>Contacted</t>
        </is>
      </c>
      <c r="I1830" t="inlineStr">
        <is>
          <t>Open</t>
        </is>
      </c>
      <c r="M1830">
        <f>VLOOKUP(H1830,'Stage Order'!$A$2:$B$8,2,FALSE)</f>
        <v/>
      </c>
      <c r="N1830">
        <f>IF(G1830&lt;=1,"1. Under 1 hour",IF(G1830&lt;=24,"2. 1-24 hours",IF(G1830&lt;=72,"3. 1-3 days","4. Over 3 days")))</f>
        <v/>
      </c>
      <c r="O1830">
        <f>TEXT(B1830,"YYYY-MM")</f>
        <v/>
      </c>
    </row>
    <row r="1831">
      <c r="A1831" t="inlineStr">
        <is>
          <t>LD-301829</t>
        </is>
      </c>
      <c r="B1831" t="inlineStr">
        <is>
          <t>2025-02-04 09:49:00</t>
        </is>
      </c>
      <c r="C1831" t="inlineStr">
        <is>
          <t>Paid Search</t>
        </is>
      </c>
      <c r="D1831" t="inlineStr">
        <is>
          <t>K-12 Math</t>
        </is>
      </c>
      <c r="E1831" t="inlineStr">
        <is>
          <t>West Region</t>
        </is>
      </c>
      <c r="F1831" t="inlineStr">
        <is>
          <t>Rep_03</t>
        </is>
      </c>
      <c r="G1831" t="n">
        <v>5.04</v>
      </c>
      <c r="H1831" t="inlineStr">
        <is>
          <t>Lead</t>
        </is>
      </c>
      <c r="I1831" t="inlineStr">
        <is>
          <t>Open</t>
        </is>
      </c>
      <c r="M1831">
        <f>VLOOKUP(H1831,'Stage Order'!$A$2:$B$8,2,FALSE)</f>
        <v/>
      </c>
      <c r="N1831">
        <f>IF(G1831&lt;=1,"1. Under 1 hour",IF(G1831&lt;=24,"2. 1-24 hours",IF(G1831&lt;=72,"3. 1-3 days","4. Over 3 days")))</f>
        <v/>
      </c>
      <c r="O1831">
        <f>TEXT(B1831,"YYYY-MM")</f>
        <v/>
      </c>
    </row>
    <row r="1832">
      <c r="A1832" t="inlineStr">
        <is>
          <t>LD-301830</t>
        </is>
      </c>
      <c r="B1832" t="inlineStr">
        <is>
          <t>2026-06-11 17:25:00</t>
        </is>
      </c>
      <c r="C1832" t="inlineStr">
        <is>
          <t>Paid Search</t>
        </is>
      </c>
      <c r="D1832" t="inlineStr">
        <is>
          <t>Coding for Kids</t>
        </is>
      </c>
      <c r="E1832" t="inlineStr">
        <is>
          <t>East Region</t>
        </is>
      </c>
      <c r="F1832" t="inlineStr">
        <is>
          <t>Rep_14</t>
        </is>
      </c>
      <c r="G1832" t="n">
        <v>1.2</v>
      </c>
      <c r="H1832" t="inlineStr">
        <is>
          <t>Contacted</t>
        </is>
      </c>
      <c r="I1832" t="inlineStr">
        <is>
          <t>Open</t>
        </is>
      </c>
      <c r="M1832">
        <f>VLOOKUP(H1832,'Stage Order'!$A$2:$B$8,2,FALSE)</f>
        <v/>
      </c>
      <c r="N1832">
        <f>IF(G1832&lt;=1,"1. Under 1 hour",IF(G1832&lt;=24,"2. 1-24 hours",IF(G1832&lt;=72,"3. 1-3 days","4. Over 3 days")))</f>
        <v/>
      </c>
      <c r="O1832">
        <f>TEXT(B1832,"YYYY-MM")</f>
        <v/>
      </c>
    </row>
    <row r="1833">
      <c r="A1833" t="inlineStr">
        <is>
          <t>LD-301831</t>
        </is>
      </c>
      <c r="B1833" t="inlineStr">
        <is>
          <t>2025-07-25 15:52:00</t>
        </is>
      </c>
      <c r="C1833" t="inlineStr">
        <is>
          <t>Social Media</t>
        </is>
      </c>
      <c r="D1833" t="inlineStr">
        <is>
          <t>Competitive Exam Prep</t>
        </is>
      </c>
      <c r="E1833" t="inlineStr">
        <is>
          <t>South Region</t>
        </is>
      </c>
      <c r="F1833" t="inlineStr">
        <is>
          <t>Rep_12</t>
        </is>
      </c>
      <c r="G1833" t="n">
        <v>2.33</v>
      </c>
      <c r="H1833" t="inlineStr">
        <is>
          <t>Lead</t>
        </is>
      </c>
      <c r="I1833" t="inlineStr">
        <is>
          <t>Open</t>
        </is>
      </c>
      <c r="M1833">
        <f>VLOOKUP(H1833,'Stage Order'!$A$2:$B$8,2,FALSE)</f>
        <v/>
      </c>
      <c r="N1833">
        <f>IF(G1833&lt;=1,"1. Under 1 hour",IF(G1833&lt;=24,"2. 1-24 hours",IF(G1833&lt;=72,"3. 1-3 days","4. Over 3 days")))</f>
        <v/>
      </c>
      <c r="O1833">
        <f>TEXT(B1833,"YYYY-MM")</f>
        <v/>
      </c>
    </row>
    <row r="1834">
      <c r="A1834" t="inlineStr">
        <is>
          <t>LD-301832</t>
        </is>
      </c>
      <c r="B1834" t="inlineStr">
        <is>
          <t>2025-12-21 13:03:00</t>
        </is>
      </c>
      <c r="C1834" t="inlineStr">
        <is>
          <t>Webinar</t>
        </is>
      </c>
      <c r="D1834" t="inlineStr">
        <is>
          <t>K-12 Math</t>
        </is>
      </c>
      <c r="E1834" t="inlineStr">
        <is>
          <t>West Region</t>
        </is>
      </c>
      <c r="F1834" t="inlineStr">
        <is>
          <t>Rep_08</t>
        </is>
      </c>
      <c r="G1834" t="n">
        <v>4.85</v>
      </c>
      <c r="H1834" t="inlineStr">
        <is>
          <t>Contacted</t>
        </is>
      </c>
      <c r="I1834" t="inlineStr">
        <is>
          <t>Open</t>
        </is>
      </c>
      <c r="M1834">
        <f>VLOOKUP(H1834,'Stage Order'!$A$2:$B$8,2,FALSE)</f>
        <v/>
      </c>
      <c r="N1834">
        <f>IF(G1834&lt;=1,"1. Under 1 hour",IF(G1834&lt;=24,"2. 1-24 hours",IF(G1834&lt;=72,"3. 1-3 days","4. Over 3 days")))</f>
        <v/>
      </c>
      <c r="O1834">
        <f>TEXT(B1834,"YYYY-MM")</f>
        <v/>
      </c>
    </row>
    <row r="1835">
      <c r="A1835" t="inlineStr">
        <is>
          <t>LD-301833</t>
        </is>
      </c>
      <c r="B1835" t="inlineStr">
        <is>
          <t>2025-05-13 15:34:00</t>
        </is>
      </c>
      <c r="C1835" t="inlineStr">
        <is>
          <t>Referral</t>
        </is>
      </c>
      <c r="D1835" t="inlineStr">
        <is>
          <t>Coding for Kids</t>
        </is>
      </c>
      <c r="E1835" t="inlineStr">
        <is>
          <t>South Region</t>
        </is>
      </c>
      <c r="F1835" t="inlineStr">
        <is>
          <t>Rep_12</t>
        </is>
      </c>
      <c r="G1835" t="n">
        <v>2.58</v>
      </c>
      <c r="H1835" t="inlineStr">
        <is>
          <t>Negotiation</t>
        </is>
      </c>
      <c r="I1835" t="inlineStr">
        <is>
          <t>Lost</t>
        </is>
      </c>
      <c r="J1835" t="inlineStr">
        <is>
          <t>Bad Timing</t>
        </is>
      </c>
      <c r="K1835" t="n">
        <v>535.0700000000001</v>
      </c>
      <c r="L1835" t="inlineStr">
        <is>
          <t>2025-06-15 10:53:28.161268</t>
        </is>
      </c>
      <c r="M1835">
        <f>VLOOKUP(H1835,'Stage Order'!$A$2:$B$8,2,FALSE)</f>
        <v/>
      </c>
      <c r="N1835">
        <f>IF(G1835&lt;=1,"1. Under 1 hour",IF(G1835&lt;=24,"2. 1-24 hours",IF(G1835&lt;=72,"3. 1-3 days","4. Over 3 days")))</f>
        <v/>
      </c>
      <c r="O1835">
        <f>TEXT(B1835,"YYYY-MM")</f>
        <v/>
      </c>
    </row>
    <row r="1836">
      <c r="A1836" t="inlineStr">
        <is>
          <t>LD-301834</t>
        </is>
      </c>
      <c r="B1836" t="inlineStr">
        <is>
          <t>2025-12-08 07:02:00</t>
        </is>
      </c>
      <c r="C1836" t="inlineStr">
        <is>
          <t>Referral</t>
        </is>
      </c>
      <c r="D1836" t="inlineStr">
        <is>
          <t>Competitive Exam Prep</t>
        </is>
      </c>
      <c r="E1836" t="inlineStr">
        <is>
          <t>East Region</t>
        </is>
      </c>
      <c r="F1836" t="inlineStr">
        <is>
          <t>Rep_14</t>
        </is>
      </c>
      <c r="G1836" t="n">
        <v>6.5</v>
      </c>
      <c r="H1836" t="inlineStr">
        <is>
          <t>Negotiation</t>
        </is>
      </c>
      <c r="I1836" t="inlineStr">
        <is>
          <t>Lost</t>
        </is>
      </c>
      <c r="J1836" t="inlineStr">
        <is>
          <t>Price Objection</t>
        </is>
      </c>
      <c r="K1836" t="n">
        <v>976.8200000000001</v>
      </c>
      <c r="L1836" t="inlineStr">
        <is>
          <t>2026-01-22 19:24:33.996171</t>
        </is>
      </c>
      <c r="M1836">
        <f>VLOOKUP(H1836,'Stage Order'!$A$2:$B$8,2,FALSE)</f>
        <v/>
      </c>
      <c r="N1836">
        <f>IF(G1836&lt;=1,"1. Under 1 hour",IF(G1836&lt;=24,"2. 1-24 hours",IF(G1836&lt;=72,"3. 1-3 days","4. Over 3 days")))</f>
        <v/>
      </c>
      <c r="O1836">
        <f>TEXT(B1836,"YYYY-MM")</f>
        <v/>
      </c>
    </row>
    <row r="1837">
      <c r="A1837" t="inlineStr">
        <is>
          <t>LD-301835</t>
        </is>
      </c>
      <c r="B1837" t="inlineStr">
        <is>
          <t>2026-04-10 14:10:00</t>
        </is>
      </c>
      <c r="C1837" t="inlineStr">
        <is>
          <t>Organic Search</t>
        </is>
      </c>
      <c r="D1837" t="inlineStr">
        <is>
          <t>Coding for Kids</t>
        </is>
      </c>
      <c r="E1837" t="inlineStr">
        <is>
          <t>West Region</t>
        </is>
      </c>
      <c r="F1837" t="inlineStr">
        <is>
          <t>Rep_03</t>
        </is>
      </c>
      <c r="G1837" t="n">
        <v>2.8</v>
      </c>
      <c r="H1837" t="inlineStr">
        <is>
          <t>Contacted</t>
        </is>
      </c>
      <c r="I1837" t="inlineStr">
        <is>
          <t>Open</t>
        </is>
      </c>
      <c r="M1837">
        <f>VLOOKUP(H1837,'Stage Order'!$A$2:$B$8,2,FALSE)</f>
        <v/>
      </c>
      <c r="N1837">
        <f>IF(G1837&lt;=1,"1. Under 1 hour",IF(G1837&lt;=24,"2. 1-24 hours",IF(G1837&lt;=72,"3. 1-3 days","4. Over 3 days")))</f>
        <v/>
      </c>
      <c r="O1837">
        <f>TEXT(B1837,"YYYY-MM")</f>
        <v/>
      </c>
    </row>
    <row r="1838">
      <c r="A1838" t="inlineStr">
        <is>
          <t>LD-301836</t>
        </is>
      </c>
      <c r="B1838" t="inlineStr">
        <is>
          <t>2026-01-16 14:27:00</t>
        </is>
      </c>
      <c r="C1838" t="inlineStr">
        <is>
          <t>Organic Search</t>
        </is>
      </c>
      <c r="D1838" t="inlineStr">
        <is>
          <t>Coding for Kids</t>
        </is>
      </c>
      <c r="E1838" t="inlineStr">
        <is>
          <t>North Region</t>
        </is>
      </c>
      <c r="F1838" t="inlineStr">
        <is>
          <t>Rep_06</t>
        </is>
      </c>
      <c r="G1838" t="n">
        <v>2.28</v>
      </c>
      <c r="H1838" t="inlineStr">
        <is>
          <t>Lead</t>
        </is>
      </c>
      <c r="I1838" t="inlineStr">
        <is>
          <t>Open</t>
        </is>
      </c>
      <c r="M1838">
        <f>VLOOKUP(H1838,'Stage Order'!$A$2:$B$8,2,FALSE)</f>
        <v/>
      </c>
      <c r="N1838">
        <f>IF(G1838&lt;=1,"1. Under 1 hour",IF(G1838&lt;=24,"2. 1-24 hours",IF(G1838&lt;=72,"3. 1-3 days","4. Over 3 days")))</f>
        <v/>
      </c>
      <c r="O1838">
        <f>TEXT(B1838,"YYYY-MM")</f>
        <v/>
      </c>
    </row>
    <row r="1839">
      <c r="A1839" t="inlineStr">
        <is>
          <t>LD-301837</t>
        </is>
      </c>
      <c r="B1839" t="inlineStr">
        <is>
          <t>2025-10-03 17:35:00</t>
        </is>
      </c>
      <c r="C1839" t="inlineStr">
        <is>
          <t>Social Media</t>
        </is>
      </c>
      <c r="D1839" t="inlineStr">
        <is>
          <t>K-12 Math</t>
        </is>
      </c>
      <c r="E1839" t="inlineStr">
        <is>
          <t>West Region</t>
        </is>
      </c>
      <c r="F1839" t="inlineStr">
        <is>
          <t>Rep_03</t>
        </is>
      </c>
      <c r="G1839" t="n">
        <v>0.93</v>
      </c>
      <c r="H1839" t="inlineStr">
        <is>
          <t>Lead</t>
        </is>
      </c>
      <c r="I1839" t="inlineStr">
        <is>
          <t>Open</t>
        </is>
      </c>
      <c r="M1839">
        <f>VLOOKUP(H1839,'Stage Order'!$A$2:$B$8,2,FALSE)</f>
        <v/>
      </c>
      <c r="N1839">
        <f>IF(G1839&lt;=1,"1. Under 1 hour",IF(G1839&lt;=24,"2. 1-24 hours",IF(G1839&lt;=72,"3. 1-3 days","4. Over 3 days")))</f>
        <v/>
      </c>
      <c r="O1839">
        <f>TEXT(B1839,"YYYY-MM")</f>
        <v/>
      </c>
    </row>
    <row r="1840">
      <c r="A1840" t="inlineStr">
        <is>
          <t>LD-301838</t>
        </is>
      </c>
      <c r="B1840" t="inlineStr">
        <is>
          <t>2026-05-29 14:37:00</t>
        </is>
      </c>
      <c r="C1840" t="inlineStr">
        <is>
          <t>Paid Search</t>
        </is>
      </c>
      <c r="D1840" t="inlineStr">
        <is>
          <t>Coding for Kids</t>
        </is>
      </c>
      <c r="E1840" t="inlineStr">
        <is>
          <t>East Region</t>
        </is>
      </c>
      <c r="F1840" t="inlineStr">
        <is>
          <t>Rep_04</t>
        </is>
      </c>
      <c r="G1840" t="n">
        <v>4.42</v>
      </c>
      <c r="H1840" t="inlineStr">
        <is>
          <t>Demo Scheduled</t>
        </is>
      </c>
      <c r="I1840" t="inlineStr">
        <is>
          <t>Open</t>
        </is>
      </c>
      <c r="M1840">
        <f>VLOOKUP(H1840,'Stage Order'!$A$2:$B$8,2,FALSE)</f>
        <v/>
      </c>
      <c r="N1840">
        <f>IF(G1840&lt;=1,"1. Under 1 hour",IF(G1840&lt;=24,"2. 1-24 hours",IF(G1840&lt;=72,"3. 1-3 days","4. Over 3 days")))</f>
        <v/>
      </c>
      <c r="O1840">
        <f>TEXT(B1840,"YYYY-MM")</f>
        <v/>
      </c>
    </row>
    <row r="1841">
      <c r="A1841" t="inlineStr">
        <is>
          <t>LD-301839</t>
        </is>
      </c>
      <c r="B1841" t="inlineStr">
        <is>
          <t>2025-01-02 10:44:00</t>
        </is>
      </c>
      <c r="C1841" t="inlineStr">
        <is>
          <t>Paid Search</t>
        </is>
      </c>
      <c r="D1841" t="inlineStr">
        <is>
          <t>Coding for Kids</t>
        </is>
      </c>
      <c r="E1841" t="inlineStr">
        <is>
          <t>West Region</t>
        </is>
      </c>
      <c r="F1841" t="inlineStr">
        <is>
          <t>Rep_13</t>
        </is>
      </c>
      <c r="G1841" t="n">
        <v>6.87</v>
      </c>
      <c r="H1841" t="inlineStr">
        <is>
          <t>Lead</t>
        </is>
      </c>
      <c r="I1841" t="inlineStr">
        <is>
          <t>Open</t>
        </is>
      </c>
      <c r="M1841">
        <f>VLOOKUP(H1841,'Stage Order'!$A$2:$B$8,2,FALSE)</f>
        <v/>
      </c>
      <c r="N1841">
        <f>IF(G1841&lt;=1,"1. Under 1 hour",IF(G1841&lt;=24,"2. 1-24 hours",IF(G1841&lt;=72,"3. 1-3 days","4. Over 3 days")))</f>
        <v/>
      </c>
      <c r="O1841">
        <f>TEXT(B1841,"YYYY-MM")</f>
        <v/>
      </c>
    </row>
    <row r="1842">
      <c r="A1842" t="inlineStr">
        <is>
          <t>LD-301840</t>
        </is>
      </c>
      <c r="B1842" t="inlineStr">
        <is>
          <t>2025-01-21 18:04:00</t>
        </is>
      </c>
      <c r="C1842" t="inlineStr">
        <is>
          <t>Social Media</t>
        </is>
      </c>
      <c r="D1842" t="inlineStr">
        <is>
          <t>Study Abroad Prep</t>
        </is>
      </c>
      <c r="E1842" t="inlineStr">
        <is>
          <t>South Region</t>
        </is>
      </c>
      <c r="F1842" t="inlineStr">
        <is>
          <t>Rep_02</t>
        </is>
      </c>
      <c r="G1842" t="n">
        <v>2.16</v>
      </c>
      <c r="H1842" t="inlineStr">
        <is>
          <t>Demo Completed</t>
        </is>
      </c>
      <c r="I1842" t="inlineStr">
        <is>
          <t>Lost</t>
        </is>
      </c>
      <c r="J1842" t="inlineStr">
        <is>
          <t>No Response / Ghosted</t>
        </is>
      </c>
      <c r="K1842" t="n">
        <v>1617.45</v>
      </c>
      <c r="L1842" t="inlineStr">
        <is>
          <t>2025-02-23 10:23:09.020996</t>
        </is>
      </c>
      <c r="M1842">
        <f>VLOOKUP(H1842,'Stage Order'!$A$2:$B$8,2,FALSE)</f>
        <v/>
      </c>
      <c r="N1842">
        <f>IF(G1842&lt;=1,"1. Under 1 hour",IF(G1842&lt;=24,"2. 1-24 hours",IF(G1842&lt;=72,"3. 1-3 days","4. Over 3 days")))</f>
        <v/>
      </c>
      <c r="O1842">
        <f>TEXT(B1842,"YYYY-MM")</f>
        <v/>
      </c>
    </row>
    <row r="1843">
      <c r="A1843" t="inlineStr">
        <is>
          <t>LD-301841</t>
        </is>
      </c>
      <c r="B1843" t="inlineStr">
        <is>
          <t>2026-05-02 07:28:00</t>
        </is>
      </c>
      <c r="C1843" t="inlineStr">
        <is>
          <t>Referral</t>
        </is>
      </c>
      <c r="D1843" t="inlineStr">
        <is>
          <t>Coding for Kids</t>
        </is>
      </c>
      <c r="E1843" t="inlineStr">
        <is>
          <t>East Region</t>
        </is>
      </c>
      <c r="F1843" t="inlineStr">
        <is>
          <t>Rep_14</t>
        </is>
      </c>
      <c r="G1843" t="n">
        <v>3.24</v>
      </c>
      <c r="H1843" t="inlineStr">
        <is>
          <t>Proposal Sent</t>
        </is>
      </c>
      <c r="I1843" t="inlineStr">
        <is>
          <t>Lost</t>
        </is>
      </c>
      <c r="J1843" t="inlineStr">
        <is>
          <t>Price Objection</t>
        </is>
      </c>
      <c r="K1843" t="n">
        <v>565.75</v>
      </c>
      <c r="L1843" t="inlineStr">
        <is>
          <t>2026-06-15 16:01:22.972145</t>
        </is>
      </c>
      <c r="M1843">
        <f>VLOOKUP(H1843,'Stage Order'!$A$2:$B$8,2,FALSE)</f>
        <v/>
      </c>
      <c r="N1843">
        <f>IF(G1843&lt;=1,"1. Under 1 hour",IF(G1843&lt;=24,"2. 1-24 hours",IF(G1843&lt;=72,"3. 1-3 days","4. Over 3 days")))</f>
        <v/>
      </c>
      <c r="O1843">
        <f>TEXT(B1843,"YYYY-MM")</f>
        <v/>
      </c>
    </row>
    <row r="1844">
      <c r="A1844" t="inlineStr">
        <is>
          <t>LD-301842</t>
        </is>
      </c>
      <c r="B1844" t="inlineStr">
        <is>
          <t>2025-07-11 08:22:00</t>
        </is>
      </c>
      <c r="C1844" t="inlineStr">
        <is>
          <t>Cold Outreach</t>
        </is>
      </c>
      <c r="D1844" t="inlineStr">
        <is>
          <t>Coding for Kids</t>
        </is>
      </c>
      <c r="E1844" t="inlineStr">
        <is>
          <t>West Region</t>
        </is>
      </c>
      <c r="F1844" t="inlineStr">
        <is>
          <t>Rep_03</t>
        </is>
      </c>
      <c r="G1844" t="n">
        <v>2.09</v>
      </c>
      <c r="H1844" t="inlineStr">
        <is>
          <t>Demo Scheduled</t>
        </is>
      </c>
      <c r="I1844" t="inlineStr">
        <is>
          <t>Open</t>
        </is>
      </c>
      <c r="M1844">
        <f>VLOOKUP(H1844,'Stage Order'!$A$2:$B$8,2,FALSE)</f>
        <v/>
      </c>
      <c r="N1844">
        <f>IF(G1844&lt;=1,"1. Under 1 hour",IF(G1844&lt;=24,"2. 1-24 hours",IF(G1844&lt;=72,"3. 1-3 days","4. Over 3 days")))</f>
        <v/>
      </c>
      <c r="O1844">
        <f>TEXT(B1844,"YYYY-MM")</f>
        <v/>
      </c>
    </row>
    <row r="1845">
      <c r="A1845" t="inlineStr">
        <is>
          <t>LD-301843</t>
        </is>
      </c>
      <c r="B1845" t="inlineStr">
        <is>
          <t>2025-12-26 14:24:00</t>
        </is>
      </c>
      <c r="C1845" t="inlineStr">
        <is>
          <t>Referral</t>
        </is>
      </c>
      <c r="D1845" t="inlineStr">
        <is>
          <t>K-12 Math</t>
        </is>
      </c>
      <c r="E1845" t="inlineStr">
        <is>
          <t>International</t>
        </is>
      </c>
      <c r="F1845" t="inlineStr">
        <is>
          <t>Rep_10</t>
        </is>
      </c>
      <c r="G1845" t="n">
        <v>3.22</v>
      </c>
      <c r="H1845" t="inlineStr">
        <is>
          <t>Negotiation</t>
        </is>
      </c>
      <c r="I1845" t="inlineStr">
        <is>
          <t>Lost</t>
        </is>
      </c>
      <c r="J1845" t="inlineStr">
        <is>
          <t>Price Objection</t>
        </is>
      </c>
      <c r="K1845" t="n">
        <v>430.12</v>
      </c>
      <c r="L1845" t="inlineStr">
        <is>
          <t>2026-02-12 09:48:36.477426</t>
        </is>
      </c>
      <c r="M1845">
        <f>VLOOKUP(H1845,'Stage Order'!$A$2:$B$8,2,FALSE)</f>
        <v/>
      </c>
      <c r="N1845">
        <f>IF(G1845&lt;=1,"1. Under 1 hour",IF(G1845&lt;=24,"2. 1-24 hours",IF(G1845&lt;=72,"3. 1-3 days","4. Over 3 days")))</f>
        <v/>
      </c>
      <c r="O1845">
        <f>TEXT(B1845,"YYYY-MM")</f>
        <v/>
      </c>
    </row>
    <row r="1846">
      <c r="A1846" t="inlineStr">
        <is>
          <t>LD-301844</t>
        </is>
      </c>
      <c r="B1846" t="inlineStr">
        <is>
          <t>2025-06-21 16:36:00</t>
        </is>
      </c>
      <c r="C1846" t="inlineStr">
        <is>
          <t>Organic Search</t>
        </is>
      </c>
      <c r="D1846" t="inlineStr">
        <is>
          <t>Study Abroad Prep</t>
        </is>
      </c>
      <c r="E1846" t="inlineStr">
        <is>
          <t>International</t>
        </is>
      </c>
      <c r="F1846" t="inlineStr">
        <is>
          <t>Rep_10</t>
        </is>
      </c>
      <c r="G1846" t="n">
        <v>8.83</v>
      </c>
      <c r="H1846" t="inlineStr">
        <is>
          <t>Contacted</t>
        </is>
      </c>
      <c r="I1846" t="inlineStr">
        <is>
          <t>Open</t>
        </is>
      </c>
      <c r="M1846">
        <f>VLOOKUP(H1846,'Stage Order'!$A$2:$B$8,2,FALSE)</f>
        <v/>
      </c>
      <c r="N1846">
        <f>IF(G1846&lt;=1,"1. Under 1 hour",IF(G1846&lt;=24,"2. 1-24 hours",IF(G1846&lt;=72,"3. 1-3 days","4. Over 3 days")))</f>
        <v/>
      </c>
      <c r="O1846">
        <f>TEXT(B1846,"YYYY-MM")</f>
        <v/>
      </c>
    </row>
    <row r="1847">
      <c r="A1847" t="inlineStr">
        <is>
          <t>LD-301845</t>
        </is>
      </c>
      <c r="B1847" t="inlineStr">
        <is>
          <t>2025-01-03 16:39:00</t>
        </is>
      </c>
      <c r="C1847" t="inlineStr">
        <is>
          <t>Organic Search</t>
        </is>
      </c>
      <c r="D1847" t="inlineStr">
        <is>
          <t>K-12 Math</t>
        </is>
      </c>
      <c r="E1847" t="inlineStr">
        <is>
          <t>East Region</t>
        </is>
      </c>
      <c r="F1847" t="inlineStr">
        <is>
          <t>Rep_04</t>
        </is>
      </c>
      <c r="G1847" t="n">
        <v>2.81</v>
      </c>
      <c r="H1847" t="inlineStr">
        <is>
          <t>Lead</t>
        </is>
      </c>
      <c r="I1847" t="inlineStr">
        <is>
          <t>Open</t>
        </is>
      </c>
      <c r="M1847">
        <f>VLOOKUP(H1847,'Stage Order'!$A$2:$B$8,2,FALSE)</f>
        <v/>
      </c>
      <c r="N1847">
        <f>IF(G1847&lt;=1,"1. Under 1 hour",IF(G1847&lt;=24,"2. 1-24 hours",IF(G1847&lt;=72,"3. 1-3 days","4. Over 3 days")))</f>
        <v/>
      </c>
      <c r="O1847">
        <f>TEXT(B1847,"YYYY-MM")</f>
        <v/>
      </c>
    </row>
    <row r="1848">
      <c r="A1848" t="inlineStr">
        <is>
          <t>LD-301846</t>
        </is>
      </c>
      <c r="B1848" t="inlineStr">
        <is>
          <t>2025-06-06 09:15:00</t>
        </is>
      </c>
      <c r="C1848" t="inlineStr">
        <is>
          <t>Cold Outreach</t>
        </is>
      </c>
      <c r="D1848" t="inlineStr">
        <is>
          <t>Coding for Kids</t>
        </is>
      </c>
      <c r="E1848" t="inlineStr">
        <is>
          <t>West Region</t>
        </is>
      </c>
      <c r="F1848" t="inlineStr">
        <is>
          <t>Rep_03</t>
        </is>
      </c>
      <c r="G1848" t="n">
        <v>4.13</v>
      </c>
      <c r="H1848" t="inlineStr">
        <is>
          <t>Lead</t>
        </is>
      </c>
      <c r="I1848" t="inlineStr">
        <is>
          <t>Open</t>
        </is>
      </c>
      <c r="M1848">
        <f>VLOOKUP(H1848,'Stage Order'!$A$2:$B$8,2,FALSE)</f>
        <v/>
      </c>
      <c r="N1848">
        <f>IF(G1848&lt;=1,"1. Under 1 hour",IF(G1848&lt;=24,"2. 1-24 hours",IF(G1848&lt;=72,"3. 1-3 days","4. Over 3 days")))</f>
        <v/>
      </c>
      <c r="O1848">
        <f>TEXT(B1848,"YYYY-MM")</f>
        <v/>
      </c>
    </row>
    <row r="1849">
      <c r="A1849" t="inlineStr">
        <is>
          <t>LD-301847</t>
        </is>
      </c>
      <c r="B1849" t="inlineStr">
        <is>
          <t>2026-04-14 18:20:00</t>
        </is>
      </c>
      <c r="C1849" t="inlineStr">
        <is>
          <t>Partner Channel</t>
        </is>
      </c>
      <c r="D1849" t="inlineStr">
        <is>
          <t>Study Abroad Prep</t>
        </is>
      </c>
      <c r="E1849" t="inlineStr">
        <is>
          <t>West Region</t>
        </is>
      </c>
      <c r="F1849" t="inlineStr">
        <is>
          <t>Rep_03</t>
        </is>
      </c>
      <c r="G1849" t="n">
        <v>4.84</v>
      </c>
      <c r="H1849" t="inlineStr">
        <is>
          <t>Proposal Sent</t>
        </is>
      </c>
      <c r="I1849" t="inlineStr">
        <is>
          <t>Lost</t>
        </is>
      </c>
      <c r="J1849" t="inlineStr">
        <is>
          <t>Price Objection</t>
        </is>
      </c>
      <c r="K1849" t="n">
        <v>1401.28</v>
      </c>
      <c r="L1849" t="inlineStr">
        <is>
          <t>2026-05-26 22:45:47.841721</t>
        </is>
      </c>
      <c r="M1849">
        <f>VLOOKUP(H1849,'Stage Order'!$A$2:$B$8,2,FALSE)</f>
        <v/>
      </c>
      <c r="N1849">
        <f>IF(G1849&lt;=1,"1. Under 1 hour",IF(G1849&lt;=24,"2. 1-24 hours",IF(G1849&lt;=72,"3. 1-3 days","4. Over 3 days")))</f>
        <v/>
      </c>
      <c r="O1849">
        <f>TEXT(B1849,"YYYY-MM")</f>
        <v/>
      </c>
    </row>
    <row r="1850">
      <c r="A1850" t="inlineStr">
        <is>
          <t>LD-301848</t>
        </is>
      </c>
      <c r="B1850" t="inlineStr">
        <is>
          <t>2025-08-22 17:16:00</t>
        </is>
      </c>
      <c r="C1850" t="inlineStr">
        <is>
          <t>Organic Search</t>
        </is>
      </c>
      <c r="D1850" t="inlineStr">
        <is>
          <t>K-12 Math</t>
        </is>
      </c>
      <c r="E1850" t="inlineStr">
        <is>
          <t>North Region</t>
        </is>
      </c>
      <c r="F1850" t="inlineStr">
        <is>
          <t>Rep_01</t>
        </is>
      </c>
      <c r="G1850" t="n">
        <v>2.8</v>
      </c>
      <c r="H1850" t="inlineStr">
        <is>
          <t>Contacted</t>
        </is>
      </c>
      <c r="I1850" t="inlineStr">
        <is>
          <t>Open</t>
        </is>
      </c>
      <c r="M1850">
        <f>VLOOKUP(H1850,'Stage Order'!$A$2:$B$8,2,FALSE)</f>
        <v/>
      </c>
      <c r="N1850">
        <f>IF(G1850&lt;=1,"1. Under 1 hour",IF(G1850&lt;=24,"2. 1-24 hours",IF(G1850&lt;=72,"3. 1-3 days","4. Over 3 days")))</f>
        <v/>
      </c>
      <c r="O1850">
        <f>TEXT(B1850,"YYYY-MM")</f>
        <v/>
      </c>
    </row>
    <row r="1851">
      <c r="A1851" t="inlineStr">
        <is>
          <t>LD-301849</t>
        </is>
      </c>
      <c r="B1851" t="inlineStr">
        <is>
          <t>2025-05-28 14:34:00</t>
        </is>
      </c>
      <c r="C1851" t="inlineStr">
        <is>
          <t>Organic Search</t>
        </is>
      </c>
      <c r="D1851" t="inlineStr">
        <is>
          <t>Coding for Kids</t>
        </is>
      </c>
      <c r="E1851" t="inlineStr">
        <is>
          <t>North Region</t>
        </is>
      </c>
      <c r="F1851" t="inlineStr">
        <is>
          <t>Rep_01</t>
        </is>
      </c>
      <c r="G1851" t="n">
        <v>18.05</v>
      </c>
      <c r="H1851" t="inlineStr">
        <is>
          <t>Demo Completed</t>
        </is>
      </c>
      <c r="I1851" t="inlineStr">
        <is>
          <t>Lost</t>
        </is>
      </c>
      <c r="J1851" t="inlineStr">
        <is>
          <t>Price Objection</t>
        </is>
      </c>
      <c r="K1851" t="n">
        <v>637.89</v>
      </c>
      <c r="L1851" t="inlineStr">
        <is>
          <t>2025-06-26 21:52:33.311250</t>
        </is>
      </c>
      <c r="M1851">
        <f>VLOOKUP(H1851,'Stage Order'!$A$2:$B$8,2,FALSE)</f>
        <v/>
      </c>
      <c r="N1851">
        <f>IF(G1851&lt;=1,"1. Under 1 hour",IF(G1851&lt;=24,"2. 1-24 hours",IF(G1851&lt;=72,"3. 1-3 days","4. Over 3 days")))</f>
        <v/>
      </c>
      <c r="O1851">
        <f>TEXT(B1851,"YYYY-MM")</f>
        <v/>
      </c>
    </row>
    <row r="1852">
      <c r="A1852" t="inlineStr">
        <is>
          <t>LD-301850</t>
        </is>
      </c>
      <c r="B1852" t="inlineStr">
        <is>
          <t>2026-05-08 11:40:00</t>
        </is>
      </c>
      <c r="C1852" t="inlineStr">
        <is>
          <t>Paid Search</t>
        </is>
      </c>
      <c r="D1852" t="inlineStr">
        <is>
          <t>K-12 Math</t>
        </is>
      </c>
      <c r="E1852" t="inlineStr">
        <is>
          <t>International</t>
        </is>
      </c>
      <c r="F1852" t="inlineStr">
        <is>
          <t>Rep_15</t>
        </is>
      </c>
      <c r="G1852" t="n">
        <v>2.15</v>
      </c>
      <c r="H1852" t="inlineStr">
        <is>
          <t>Contacted</t>
        </is>
      </c>
      <c r="I1852" t="inlineStr">
        <is>
          <t>Open</t>
        </is>
      </c>
      <c r="M1852">
        <f>VLOOKUP(H1852,'Stage Order'!$A$2:$B$8,2,FALSE)</f>
        <v/>
      </c>
      <c r="N1852">
        <f>IF(G1852&lt;=1,"1. Under 1 hour",IF(G1852&lt;=24,"2. 1-24 hours",IF(G1852&lt;=72,"3. 1-3 days","4. Over 3 days")))</f>
        <v/>
      </c>
      <c r="O1852">
        <f>TEXT(B1852,"YYYY-MM")</f>
        <v/>
      </c>
    </row>
    <row r="1853">
      <c r="A1853" t="inlineStr">
        <is>
          <t>LD-301851</t>
        </is>
      </c>
      <c r="B1853" t="inlineStr">
        <is>
          <t>2025-04-01 18:26:00</t>
        </is>
      </c>
      <c r="C1853" t="inlineStr">
        <is>
          <t>Social Media</t>
        </is>
      </c>
      <c r="D1853" t="inlineStr">
        <is>
          <t>K-12 Math</t>
        </is>
      </c>
      <c r="E1853" t="inlineStr">
        <is>
          <t>West Region</t>
        </is>
      </c>
      <c r="F1853" t="inlineStr">
        <is>
          <t>Rep_08</t>
        </is>
      </c>
      <c r="G1853" t="n">
        <v>0.8</v>
      </c>
      <c r="H1853" t="inlineStr">
        <is>
          <t>Closed</t>
        </is>
      </c>
      <c r="I1853" t="inlineStr">
        <is>
          <t>Won</t>
        </is>
      </c>
      <c r="K1853" t="n">
        <v>588.72</v>
      </c>
      <c r="L1853" t="inlineStr">
        <is>
          <t>2025-04-28 00:51:02.683016</t>
        </is>
      </c>
      <c r="M1853">
        <f>VLOOKUP(H1853,'Stage Order'!$A$2:$B$8,2,FALSE)</f>
        <v/>
      </c>
      <c r="N1853">
        <f>IF(G1853&lt;=1,"1. Under 1 hour",IF(G1853&lt;=24,"2. 1-24 hours",IF(G1853&lt;=72,"3. 1-3 days","4. Over 3 days")))</f>
        <v/>
      </c>
      <c r="O1853">
        <f>TEXT(B1853,"YYYY-MM")</f>
        <v/>
      </c>
    </row>
    <row r="1854">
      <c r="A1854" t="inlineStr">
        <is>
          <t>LD-301852</t>
        </is>
      </c>
      <c r="B1854" t="inlineStr">
        <is>
          <t>2026-06-16 08:21:00</t>
        </is>
      </c>
      <c r="C1854" t="inlineStr">
        <is>
          <t>Social Media</t>
        </is>
      </c>
      <c r="D1854" t="inlineStr">
        <is>
          <t>K-12 Math</t>
        </is>
      </c>
      <c r="E1854" t="inlineStr">
        <is>
          <t>West Region</t>
        </is>
      </c>
      <c r="F1854" t="inlineStr">
        <is>
          <t>Rep_13</t>
        </is>
      </c>
      <c r="G1854" t="n">
        <v>5.62</v>
      </c>
      <c r="H1854" t="inlineStr">
        <is>
          <t>Contacted</t>
        </is>
      </c>
      <c r="I1854" t="inlineStr">
        <is>
          <t>Open</t>
        </is>
      </c>
      <c r="M1854">
        <f>VLOOKUP(H1854,'Stage Order'!$A$2:$B$8,2,FALSE)</f>
        <v/>
      </c>
      <c r="N1854">
        <f>IF(G1854&lt;=1,"1. Under 1 hour",IF(G1854&lt;=24,"2. 1-24 hours",IF(G1854&lt;=72,"3. 1-3 days","4. Over 3 days")))</f>
        <v/>
      </c>
      <c r="O1854">
        <f>TEXT(B1854,"YYYY-MM")</f>
        <v/>
      </c>
    </row>
    <row r="1855">
      <c r="A1855" t="inlineStr">
        <is>
          <t>LD-301853</t>
        </is>
      </c>
      <c r="B1855" t="inlineStr">
        <is>
          <t>2026-02-08 18:32:00</t>
        </is>
      </c>
      <c r="C1855" t="inlineStr">
        <is>
          <t>Paid Search</t>
        </is>
      </c>
      <c r="D1855" t="inlineStr">
        <is>
          <t>Competitive Exam Prep</t>
        </is>
      </c>
      <c r="E1855" t="inlineStr">
        <is>
          <t>North Region</t>
        </is>
      </c>
      <c r="F1855" t="inlineStr">
        <is>
          <t>Rep_01</t>
        </is>
      </c>
      <c r="G1855" t="n">
        <v>1.34</v>
      </c>
      <c r="H1855" t="inlineStr">
        <is>
          <t>Contacted</t>
        </is>
      </c>
      <c r="I1855" t="inlineStr">
        <is>
          <t>Open</t>
        </is>
      </c>
      <c r="M1855">
        <f>VLOOKUP(H1855,'Stage Order'!$A$2:$B$8,2,FALSE)</f>
        <v/>
      </c>
      <c r="N1855">
        <f>IF(G1855&lt;=1,"1. Under 1 hour",IF(G1855&lt;=24,"2. 1-24 hours",IF(G1855&lt;=72,"3. 1-3 days","4. Over 3 days")))</f>
        <v/>
      </c>
      <c r="O1855">
        <f>TEXT(B1855,"YYYY-MM")</f>
        <v/>
      </c>
    </row>
    <row r="1856">
      <c r="A1856" t="inlineStr">
        <is>
          <t>LD-301854</t>
        </is>
      </c>
      <c r="B1856" t="inlineStr">
        <is>
          <t>2025-07-02 13:23:00</t>
        </is>
      </c>
      <c r="C1856" t="inlineStr">
        <is>
          <t>Referral</t>
        </is>
      </c>
      <c r="D1856" t="inlineStr">
        <is>
          <t>Competitive Exam Prep</t>
        </is>
      </c>
      <c r="E1856" t="inlineStr">
        <is>
          <t>North Region</t>
        </is>
      </c>
      <c r="F1856" t="inlineStr">
        <is>
          <t>Rep_01</t>
        </is>
      </c>
      <c r="G1856" t="n">
        <v>2.51</v>
      </c>
      <c r="H1856" t="inlineStr">
        <is>
          <t>Closed</t>
        </is>
      </c>
      <c r="I1856" t="inlineStr">
        <is>
          <t>Won</t>
        </is>
      </c>
      <c r="K1856" t="n">
        <v>889.0700000000001</v>
      </c>
      <c r="L1856" t="inlineStr">
        <is>
          <t>2025-08-10 23:06:06.846290</t>
        </is>
      </c>
      <c r="M1856">
        <f>VLOOKUP(H1856,'Stage Order'!$A$2:$B$8,2,FALSE)</f>
        <v/>
      </c>
      <c r="N1856">
        <f>IF(G1856&lt;=1,"1. Under 1 hour",IF(G1856&lt;=24,"2. 1-24 hours",IF(G1856&lt;=72,"3. 1-3 days","4. Over 3 days")))</f>
        <v/>
      </c>
      <c r="O1856">
        <f>TEXT(B1856,"YYYY-MM")</f>
        <v/>
      </c>
    </row>
    <row r="1857">
      <c r="A1857" t="inlineStr">
        <is>
          <t>LD-301855</t>
        </is>
      </c>
      <c r="B1857" t="inlineStr">
        <is>
          <t>2025-10-17 16:31:00</t>
        </is>
      </c>
      <c r="C1857" t="inlineStr">
        <is>
          <t>Referral</t>
        </is>
      </c>
      <c r="D1857" t="inlineStr">
        <is>
          <t>Competitive Exam Prep</t>
        </is>
      </c>
      <c r="E1857" t="inlineStr">
        <is>
          <t>West Region</t>
        </is>
      </c>
      <c r="F1857" t="inlineStr">
        <is>
          <t>Rep_03</t>
        </is>
      </c>
      <c r="G1857" t="n">
        <v>1.07</v>
      </c>
      <c r="H1857" t="inlineStr">
        <is>
          <t>Negotiation</t>
        </is>
      </c>
      <c r="I1857" t="inlineStr">
        <is>
          <t>Lost</t>
        </is>
      </c>
      <c r="J1857" t="inlineStr">
        <is>
          <t>Price Objection</t>
        </is>
      </c>
      <c r="K1857" t="n">
        <v>854.84</v>
      </c>
      <c r="L1857" t="inlineStr">
        <is>
          <t>2025-12-07 01:08:44.331362</t>
        </is>
      </c>
      <c r="M1857">
        <f>VLOOKUP(H1857,'Stage Order'!$A$2:$B$8,2,FALSE)</f>
        <v/>
      </c>
      <c r="N1857">
        <f>IF(G1857&lt;=1,"1. Under 1 hour",IF(G1857&lt;=24,"2. 1-24 hours",IF(G1857&lt;=72,"3. 1-3 days","4. Over 3 days")))</f>
        <v/>
      </c>
      <c r="O1857">
        <f>TEXT(B1857,"YYYY-MM")</f>
        <v/>
      </c>
    </row>
    <row r="1858">
      <c r="A1858" t="inlineStr">
        <is>
          <t>LD-301856</t>
        </is>
      </c>
      <c r="B1858" t="inlineStr">
        <is>
          <t>2025-03-23 12:41:00</t>
        </is>
      </c>
      <c r="C1858" t="inlineStr">
        <is>
          <t>Paid Search</t>
        </is>
      </c>
      <c r="D1858" t="inlineStr">
        <is>
          <t>Coding for Kids</t>
        </is>
      </c>
      <c r="E1858" t="inlineStr">
        <is>
          <t>International</t>
        </is>
      </c>
      <c r="F1858" t="inlineStr">
        <is>
          <t>Rep_05</t>
        </is>
      </c>
      <c r="G1858" t="n">
        <v>6.16</v>
      </c>
      <c r="H1858" t="inlineStr">
        <is>
          <t>Contacted</t>
        </is>
      </c>
      <c r="I1858" t="inlineStr">
        <is>
          <t>Open</t>
        </is>
      </c>
      <c r="M1858">
        <f>VLOOKUP(H1858,'Stage Order'!$A$2:$B$8,2,FALSE)</f>
        <v/>
      </c>
      <c r="N1858">
        <f>IF(G1858&lt;=1,"1. Under 1 hour",IF(G1858&lt;=24,"2. 1-24 hours",IF(G1858&lt;=72,"3. 1-3 days","4. Over 3 days")))</f>
        <v/>
      </c>
      <c r="O1858">
        <f>TEXT(B1858,"YYYY-MM")</f>
        <v/>
      </c>
    </row>
    <row r="1859">
      <c r="A1859" t="inlineStr">
        <is>
          <t>LD-301857</t>
        </is>
      </c>
      <c r="B1859" t="inlineStr">
        <is>
          <t>2025-06-20 11:52:00</t>
        </is>
      </c>
      <c r="C1859" t="inlineStr">
        <is>
          <t>Paid Search</t>
        </is>
      </c>
      <c r="D1859" t="inlineStr">
        <is>
          <t>K-12 Math</t>
        </is>
      </c>
      <c r="E1859" t="inlineStr">
        <is>
          <t>North Region</t>
        </is>
      </c>
      <c r="F1859" t="inlineStr">
        <is>
          <t>Rep_01</t>
        </is>
      </c>
      <c r="G1859" t="n">
        <v>4.21</v>
      </c>
      <c r="H1859" t="inlineStr">
        <is>
          <t>Lead</t>
        </is>
      </c>
      <c r="I1859" t="inlineStr">
        <is>
          <t>Open</t>
        </is>
      </c>
      <c r="M1859">
        <f>VLOOKUP(H1859,'Stage Order'!$A$2:$B$8,2,FALSE)</f>
        <v/>
      </c>
      <c r="N1859">
        <f>IF(G1859&lt;=1,"1. Under 1 hour",IF(G1859&lt;=24,"2. 1-24 hours",IF(G1859&lt;=72,"3. 1-3 days","4. Over 3 days")))</f>
        <v/>
      </c>
      <c r="O1859">
        <f>TEXT(B1859,"YYYY-MM")</f>
        <v/>
      </c>
    </row>
    <row r="1860">
      <c r="A1860" t="inlineStr">
        <is>
          <t>LD-301858</t>
        </is>
      </c>
      <c r="B1860" t="inlineStr">
        <is>
          <t>2026-03-15 13:46:00</t>
        </is>
      </c>
      <c r="C1860" t="inlineStr">
        <is>
          <t>Cold Outreach</t>
        </is>
      </c>
      <c r="D1860" t="inlineStr">
        <is>
          <t>Coding for Kids</t>
        </is>
      </c>
      <c r="E1860" t="inlineStr">
        <is>
          <t>East Region</t>
        </is>
      </c>
      <c r="F1860" t="inlineStr">
        <is>
          <t>Rep_14</t>
        </is>
      </c>
      <c r="G1860" t="n">
        <v>2.79</v>
      </c>
      <c r="H1860" t="inlineStr">
        <is>
          <t>Contacted</t>
        </is>
      </c>
      <c r="I1860" t="inlineStr">
        <is>
          <t>Open</t>
        </is>
      </c>
      <c r="M1860">
        <f>VLOOKUP(H1860,'Stage Order'!$A$2:$B$8,2,FALSE)</f>
        <v/>
      </c>
      <c r="N1860">
        <f>IF(G1860&lt;=1,"1. Under 1 hour",IF(G1860&lt;=24,"2. 1-24 hours",IF(G1860&lt;=72,"3. 1-3 days","4. Over 3 days")))</f>
        <v/>
      </c>
      <c r="O1860">
        <f>TEXT(B1860,"YYYY-MM")</f>
        <v/>
      </c>
    </row>
    <row r="1861">
      <c r="A1861" t="inlineStr">
        <is>
          <t>LD-301859</t>
        </is>
      </c>
      <c r="B1861" t="inlineStr">
        <is>
          <t>2025-09-19 09:36:00</t>
        </is>
      </c>
      <c r="C1861" t="inlineStr">
        <is>
          <t>Cold Outreach</t>
        </is>
      </c>
      <c r="D1861" t="inlineStr">
        <is>
          <t>Competitive Exam Prep</t>
        </is>
      </c>
      <c r="E1861" t="inlineStr">
        <is>
          <t>East Region</t>
        </is>
      </c>
      <c r="F1861" t="inlineStr">
        <is>
          <t>Rep_09</t>
        </is>
      </c>
      <c r="G1861" t="n">
        <v>4.82</v>
      </c>
      <c r="H1861" t="inlineStr">
        <is>
          <t>Lead</t>
        </is>
      </c>
      <c r="I1861" t="inlineStr">
        <is>
          <t>Open</t>
        </is>
      </c>
      <c r="M1861">
        <f>VLOOKUP(H1861,'Stage Order'!$A$2:$B$8,2,FALSE)</f>
        <v/>
      </c>
      <c r="N1861">
        <f>IF(G1861&lt;=1,"1. Under 1 hour",IF(G1861&lt;=24,"2. 1-24 hours",IF(G1861&lt;=72,"3. 1-3 days","4. Over 3 days")))</f>
        <v/>
      </c>
      <c r="O1861">
        <f>TEXT(B1861,"YYYY-MM")</f>
        <v/>
      </c>
    </row>
    <row r="1862">
      <c r="A1862" t="inlineStr">
        <is>
          <t>LD-301860</t>
        </is>
      </c>
      <c r="B1862" t="inlineStr">
        <is>
          <t>2026-05-17 18:46:00</t>
        </is>
      </c>
      <c r="C1862" t="inlineStr">
        <is>
          <t>Webinar</t>
        </is>
      </c>
      <c r="D1862" t="inlineStr">
        <is>
          <t>Language Learning</t>
        </is>
      </c>
      <c r="E1862" t="inlineStr">
        <is>
          <t>East Region</t>
        </is>
      </c>
      <c r="F1862" t="inlineStr">
        <is>
          <t>Rep_04</t>
        </is>
      </c>
      <c r="G1862" t="n">
        <v>1.37</v>
      </c>
      <c r="H1862" t="inlineStr">
        <is>
          <t>Contacted</t>
        </is>
      </c>
      <c r="I1862" t="inlineStr">
        <is>
          <t>Open</t>
        </is>
      </c>
      <c r="M1862">
        <f>VLOOKUP(H1862,'Stage Order'!$A$2:$B$8,2,FALSE)</f>
        <v/>
      </c>
      <c r="N1862">
        <f>IF(G1862&lt;=1,"1. Under 1 hour",IF(G1862&lt;=24,"2. 1-24 hours",IF(G1862&lt;=72,"3. 1-3 days","4. Over 3 days")))</f>
        <v/>
      </c>
      <c r="O1862">
        <f>TEXT(B1862,"YYYY-MM")</f>
        <v/>
      </c>
    </row>
    <row r="1863">
      <c r="A1863" t="inlineStr">
        <is>
          <t>LD-301861</t>
        </is>
      </c>
      <c r="B1863" t="inlineStr">
        <is>
          <t>2025-12-25 19:05:00</t>
        </is>
      </c>
      <c r="C1863" t="inlineStr">
        <is>
          <t>Webinar</t>
        </is>
      </c>
      <c r="D1863" t="inlineStr">
        <is>
          <t>Language Learning</t>
        </is>
      </c>
      <c r="E1863" t="inlineStr">
        <is>
          <t>West Region</t>
        </is>
      </c>
      <c r="F1863" t="inlineStr">
        <is>
          <t>Rep_08</t>
        </is>
      </c>
      <c r="G1863" t="n">
        <v>4.94</v>
      </c>
      <c r="H1863" t="inlineStr">
        <is>
          <t>Closed</t>
        </is>
      </c>
      <c r="I1863" t="inlineStr">
        <is>
          <t>Won</t>
        </is>
      </c>
      <c r="K1863" t="n">
        <v>319.08</v>
      </c>
      <c r="L1863" t="inlineStr">
        <is>
          <t>2026-02-11 20:42:08.273629</t>
        </is>
      </c>
      <c r="M1863">
        <f>VLOOKUP(H1863,'Stage Order'!$A$2:$B$8,2,FALSE)</f>
        <v/>
      </c>
      <c r="N1863">
        <f>IF(G1863&lt;=1,"1. Under 1 hour",IF(G1863&lt;=24,"2. 1-24 hours",IF(G1863&lt;=72,"3. 1-3 days","4. Over 3 days")))</f>
        <v/>
      </c>
      <c r="O1863">
        <f>TEXT(B1863,"YYYY-MM")</f>
        <v/>
      </c>
    </row>
    <row r="1864">
      <c r="A1864" t="inlineStr">
        <is>
          <t>LD-301862</t>
        </is>
      </c>
      <c r="B1864" t="inlineStr">
        <is>
          <t>2025-02-21 15:20:00</t>
        </is>
      </c>
      <c r="C1864" t="inlineStr">
        <is>
          <t>Paid Search</t>
        </is>
      </c>
      <c r="D1864" t="inlineStr">
        <is>
          <t>Study Abroad Prep</t>
        </is>
      </c>
      <c r="E1864" t="inlineStr">
        <is>
          <t>South Region</t>
        </is>
      </c>
      <c r="F1864" t="inlineStr">
        <is>
          <t>Rep_12</t>
        </is>
      </c>
      <c r="G1864" t="n">
        <v>2.72</v>
      </c>
      <c r="H1864" t="inlineStr">
        <is>
          <t>Lead</t>
        </is>
      </c>
      <c r="I1864" t="inlineStr">
        <is>
          <t>Open</t>
        </is>
      </c>
      <c r="M1864">
        <f>VLOOKUP(H1864,'Stage Order'!$A$2:$B$8,2,FALSE)</f>
        <v/>
      </c>
      <c r="N1864">
        <f>IF(G1864&lt;=1,"1. Under 1 hour",IF(G1864&lt;=24,"2. 1-24 hours",IF(G1864&lt;=72,"3. 1-3 days","4. Over 3 days")))</f>
        <v/>
      </c>
      <c r="O1864">
        <f>TEXT(B1864,"YYYY-MM")</f>
        <v/>
      </c>
    </row>
    <row r="1865">
      <c r="A1865" t="inlineStr">
        <is>
          <t>LD-301863</t>
        </is>
      </c>
      <c r="B1865" t="inlineStr">
        <is>
          <t>2025-09-05 18:20:00</t>
        </is>
      </c>
      <c r="C1865" t="inlineStr">
        <is>
          <t>Social Media</t>
        </is>
      </c>
      <c r="D1865" t="inlineStr">
        <is>
          <t>Language Learning</t>
        </is>
      </c>
      <c r="E1865" t="inlineStr">
        <is>
          <t>International</t>
        </is>
      </c>
      <c r="F1865" t="inlineStr">
        <is>
          <t>Rep_05</t>
        </is>
      </c>
      <c r="G1865" t="n">
        <v>12.69</v>
      </c>
      <c r="H1865" t="inlineStr">
        <is>
          <t>Lead</t>
        </is>
      </c>
      <c r="I1865" t="inlineStr">
        <is>
          <t>Open</t>
        </is>
      </c>
      <c r="M1865">
        <f>VLOOKUP(H1865,'Stage Order'!$A$2:$B$8,2,FALSE)</f>
        <v/>
      </c>
      <c r="N1865">
        <f>IF(G1865&lt;=1,"1. Under 1 hour",IF(G1865&lt;=24,"2. 1-24 hours",IF(G1865&lt;=72,"3. 1-3 days","4. Over 3 days")))</f>
        <v/>
      </c>
      <c r="O1865">
        <f>TEXT(B1865,"YYYY-MM")</f>
        <v/>
      </c>
    </row>
    <row r="1866">
      <c r="A1866" t="inlineStr">
        <is>
          <t>LD-301864</t>
        </is>
      </c>
      <c r="B1866" t="inlineStr">
        <is>
          <t>2025-07-17 14:46:00</t>
        </is>
      </c>
      <c r="C1866" t="inlineStr">
        <is>
          <t>Paid Search</t>
        </is>
      </c>
      <c r="D1866" t="inlineStr">
        <is>
          <t>Competitive Exam Prep</t>
        </is>
      </c>
      <c r="E1866" t="inlineStr">
        <is>
          <t>South Region</t>
        </is>
      </c>
      <c r="F1866" t="inlineStr">
        <is>
          <t>Rep_07</t>
        </is>
      </c>
      <c r="G1866" t="n">
        <v>4.7</v>
      </c>
      <c r="H1866" t="inlineStr">
        <is>
          <t>Lead</t>
        </is>
      </c>
      <c r="I1866" t="inlineStr">
        <is>
          <t>Open</t>
        </is>
      </c>
      <c r="M1866">
        <f>VLOOKUP(H1866,'Stage Order'!$A$2:$B$8,2,FALSE)</f>
        <v/>
      </c>
      <c r="N1866">
        <f>IF(G1866&lt;=1,"1. Under 1 hour",IF(G1866&lt;=24,"2. 1-24 hours",IF(G1866&lt;=72,"3. 1-3 days","4. Over 3 days")))</f>
        <v/>
      </c>
      <c r="O1866">
        <f>TEXT(B1866,"YYYY-MM")</f>
        <v/>
      </c>
    </row>
    <row r="1867">
      <c r="A1867" t="inlineStr">
        <is>
          <t>LD-301865</t>
        </is>
      </c>
      <c r="B1867" t="inlineStr">
        <is>
          <t>2025-02-19 20:22:00</t>
        </is>
      </c>
      <c r="C1867" t="inlineStr">
        <is>
          <t>Partner Channel</t>
        </is>
      </c>
      <c r="D1867" t="inlineStr">
        <is>
          <t>Coding for Kids</t>
        </is>
      </c>
      <c r="E1867" t="inlineStr">
        <is>
          <t>North Region</t>
        </is>
      </c>
      <c r="F1867" t="inlineStr">
        <is>
          <t>Rep_06</t>
        </is>
      </c>
      <c r="G1867" t="n">
        <v>7.39</v>
      </c>
      <c r="H1867" t="inlineStr">
        <is>
          <t>Contacted</t>
        </is>
      </c>
      <c r="I1867" t="inlineStr">
        <is>
          <t>Open</t>
        </is>
      </c>
      <c r="M1867">
        <f>VLOOKUP(H1867,'Stage Order'!$A$2:$B$8,2,FALSE)</f>
        <v/>
      </c>
      <c r="N1867">
        <f>IF(G1867&lt;=1,"1. Under 1 hour",IF(G1867&lt;=24,"2. 1-24 hours",IF(G1867&lt;=72,"3. 1-3 days","4. Over 3 days")))</f>
        <v/>
      </c>
      <c r="O1867">
        <f>TEXT(B1867,"YYYY-MM")</f>
        <v/>
      </c>
    </row>
    <row r="1868">
      <c r="A1868" t="inlineStr">
        <is>
          <t>LD-301866</t>
        </is>
      </c>
      <c r="B1868" t="inlineStr">
        <is>
          <t>2026-01-02 12:26:00</t>
        </is>
      </c>
      <c r="C1868" t="inlineStr">
        <is>
          <t>Organic Search</t>
        </is>
      </c>
      <c r="D1868" t="inlineStr">
        <is>
          <t>Competitive Exam Prep</t>
        </is>
      </c>
      <c r="E1868" t="inlineStr">
        <is>
          <t>West Region</t>
        </is>
      </c>
      <c r="F1868" t="inlineStr">
        <is>
          <t>Rep_08</t>
        </is>
      </c>
      <c r="G1868" t="n">
        <v>1.55</v>
      </c>
      <c r="H1868" t="inlineStr">
        <is>
          <t>Contacted</t>
        </is>
      </c>
      <c r="I1868" t="inlineStr">
        <is>
          <t>Open</t>
        </is>
      </c>
      <c r="M1868">
        <f>VLOOKUP(H1868,'Stage Order'!$A$2:$B$8,2,FALSE)</f>
        <v/>
      </c>
      <c r="N1868">
        <f>IF(G1868&lt;=1,"1. Under 1 hour",IF(G1868&lt;=24,"2. 1-24 hours",IF(G1868&lt;=72,"3. 1-3 days","4. Over 3 days")))</f>
        <v/>
      </c>
      <c r="O1868">
        <f>TEXT(B1868,"YYYY-MM")</f>
        <v/>
      </c>
    </row>
    <row r="1869">
      <c r="A1869" t="inlineStr">
        <is>
          <t>LD-301867</t>
        </is>
      </c>
      <c r="B1869" t="inlineStr">
        <is>
          <t>2025-10-23 08:51:00</t>
        </is>
      </c>
      <c r="C1869" t="inlineStr">
        <is>
          <t>Social Media</t>
        </is>
      </c>
      <c r="D1869" t="inlineStr">
        <is>
          <t>Study Abroad Prep</t>
        </is>
      </c>
      <c r="E1869" t="inlineStr">
        <is>
          <t>West Region</t>
        </is>
      </c>
      <c r="F1869" t="inlineStr">
        <is>
          <t>Rep_08</t>
        </is>
      </c>
      <c r="G1869" t="n">
        <v>2.78</v>
      </c>
      <c r="H1869" t="inlineStr">
        <is>
          <t>Contacted</t>
        </is>
      </c>
      <c r="I1869" t="inlineStr">
        <is>
          <t>Open</t>
        </is>
      </c>
      <c r="M1869">
        <f>VLOOKUP(H1869,'Stage Order'!$A$2:$B$8,2,FALSE)</f>
        <v/>
      </c>
      <c r="N1869">
        <f>IF(G1869&lt;=1,"1. Under 1 hour",IF(G1869&lt;=24,"2. 1-24 hours",IF(G1869&lt;=72,"3. 1-3 days","4. Over 3 days")))</f>
        <v/>
      </c>
      <c r="O1869">
        <f>TEXT(B1869,"YYYY-MM")</f>
        <v/>
      </c>
    </row>
    <row r="1870">
      <c r="A1870" t="inlineStr">
        <is>
          <t>LD-301868</t>
        </is>
      </c>
      <c r="B1870" t="inlineStr">
        <is>
          <t>2025-09-05 18:35:00</t>
        </is>
      </c>
      <c r="C1870" t="inlineStr">
        <is>
          <t>Organic Search</t>
        </is>
      </c>
      <c r="D1870" t="inlineStr">
        <is>
          <t>K-12 Math</t>
        </is>
      </c>
      <c r="E1870" t="inlineStr">
        <is>
          <t>East Region</t>
        </is>
      </c>
      <c r="F1870" t="inlineStr">
        <is>
          <t>Rep_04</t>
        </is>
      </c>
      <c r="G1870" t="n">
        <v>8.83</v>
      </c>
      <c r="H1870" t="inlineStr">
        <is>
          <t>Contacted</t>
        </is>
      </c>
      <c r="I1870" t="inlineStr">
        <is>
          <t>Open</t>
        </is>
      </c>
      <c r="M1870">
        <f>VLOOKUP(H1870,'Stage Order'!$A$2:$B$8,2,FALSE)</f>
        <v/>
      </c>
      <c r="N1870">
        <f>IF(G1870&lt;=1,"1. Under 1 hour",IF(G1870&lt;=24,"2. 1-24 hours",IF(G1870&lt;=72,"3. 1-3 days","4. Over 3 days")))</f>
        <v/>
      </c>
      <c r="O1870">
        <f>TEXT(B1870,"YYYY-MM")</f>
        <v/>
      </c>
    </row>
    <row r="1871">
      <c r="A1871" t="inlineStr">
        <is>
          <t>LD-301869</t>
        </is>
      </c>
      <c r="B1871" t="inlineStr">
        <is>
          <t>2025-07-09 07:36:00</t>
        </is>
      </c>
      <c r="C1871" t="inlineStr">
        <is>
          <t>Cold Outreach</t>
        </is>
      </c>
      <c r="D1871" t="inlineStr">
        <is>
          <t>Coding for Kids</t>
        </is>
      </c>
      <c r="E1871" t="inlineStr">
        <is>
          <t>South Region</t>
        </is>
      </c>
      <c r="F1871" t="inlineStr">
        <is>
          <t>Rep_02</t>
        </is>
      </c>
      <c r="G1871" t="n">
        <v>3.54</v>
      </c>
      <c r="H1871" t="inlineStr">
        <is>
          <t>Lead</t>
        </is>
      </c>
      <c r="I1871" t="inlineStr">
        <is>
          <t>Open</t>
        </is>
      </c>
      <c r="M1871">
        <f>VLOOKUP(H1871,'Stage Order'!$A$2:$B$8,2,FALSE)</f>
        <v/>
      </c>
      <c r="N1871">
        <f>IF(G1871&lt;=1,"1. Under 1 hour",IF(G1871&lt;=24,"2. 1-24 hours",IF(G1871&lt;=72,"3. 1-3 days","4. Over 3 days")))</f>
        <v/>
      </c>
      <c r="O1871">
        <f>TEXT(B1871,"YYYY-MM")</f>
        <v/>
      </c>
    </row>
    <row r="1872">
      <c r="A1872" t="inlineStr">
        <is>
          <t>LD-301870</t>
        </is>
      </c>
      <c r="B1872" t="inlineStr">
        <is>
          <t>2025-06-23 16:37:00</t>
        </is>
      </c>
      <c r="C1872" t="inlineStr">
        <is>
          <t>Organic Search</t>
        </is>
      </c>
      <c r="D1872" t="inlineStr">
        <is>
          <t>K-12 Math</t>
        </is>
      </c>
      <c r="E1872" t="inlineStr">
        <is>
          <t>South Region</t>
        </is>
      </c>
      <c r="F1872" t="inlineStr">
        <is>
          <t>Rep_07</t>
        </is>
      </c>
      <c r="G1872" t="n">
        <v>7.77</v>
      </c>
      <c r="H1872" t="inlineStr">
        <is>
          <t>Negotiation</t>
        </is>
      </c>
      <c r="I1872" t="inlineStr">
        <is>
          <t>Lost</t>
        </is>
      </c>
      <c r="J1872" t="inlineStr">
        <is>
          <t>Price Objection</t>
        </is>
      </c>
      <c r="K1872" t="n">
        <v>491.98</v>
      </c>
      <c r="L1872" t="inlineStr">
        <is>
          <t>2025-08-05 01:03:41.873117</t>
        </is>
      </c>
      <c r="M1872">
        <f>VLOOKUP(H1872,'Stage Order'!$A$2:$B$8,2,FALSE)</f>
        <v/>
      </c>
      <c r="N1872">
        <f>IF(G1872&lt;=1,"1. Under 1 hour",IF(G1872&lt;=24,"2. 1-24 hours",IF(G1872&lt;=72,"3. 1-3 days","4. Over 3 days")))</f>
        <v/>
      </c>
      <c r="O1872">
        <f>TEXT(B1872,"YYYY-MM")</f>
        <v/>
      </c>
    </row>
    <row r="1873">
      <c r="A1873" t="inlineStr">
        <is>
          <t>LD-301871</t>
        </is>
      </c>
      <c r="B1873" t="inlineStr">
        <is>
          <t>2025-12-26 17:57:00</t>
        </is>
      </c>
      <c r="C1873" t="inlineStr">
        <is>
          <t>Cold Outreach</t>
        </is>
      </c>
      <c r="D1873" t="inlineStr">
        <is>
          <t>Language Learning</t>
        </is>
      </c>
      <c r="E1873" t="inlineStr">
        <is>
          <t>West Region</t>
        </is>
      </c>
      <c r="F1873" t="inlineStr">
        <is>
          <t>Rep_03</t>
        </is>
      </c>
      <c r="G1873" t="n">
        <v>3.74</v>
      </c>
      <c r="H1873" t="inlineStr">
        <is>
          <t>Contacted</t>
        </is>
      </c>
      <c r="I1873" t="inlineStr">
        <is>
          <t>Open</t>
        </is>
      </c>
      <c r="M1873">
        <f>VLOOKUP(H1873,'Stage Order'!$A$2:$B$8,2,FALSE)</f>
        <v/>
      </c>
      <c r="N1873">
        <f>IF(G1873&lt;=1,"1. Under 1 hour",IF(G1873&lt;=24,"2. 1-24 hours",IF(G1873&lt;=72,"3. 1-3 days","4. Over 3 days")))</f>
        <v/>
      </c>
      <c r="O1873">
        <f>TEXT(B1873,"YYYY-MM")</f>
        <v/>
      </c>
    </row>
    <row r="1874">
      <c r="A1874" t="inlineStr">
        <is>
          <t>LD-301872</t>
        </is>
      </c>
      <c r="B1874" t="inlineStr">
        <is>
          <t>2026-05-26 12:04:00</t>
        </is>
      </c>
      <c r="C1874" t="inlineStr">
        <is>
          <t>Cold Outreach</t>
        </is>
      </c>
      <c r="D1874" t="inlineStr">
        <is>
          <t>Competitive Exam Prep</t>
        </is>
      </c>
      <c r="E1874" t="inlineStr">
        <is>
          <t>West Region</t>
        </is>
      </c>
      <c r="F1874" t="inlineStr">
        <is>
          <t>Rep_08</t>
        </is>
      </c>
      <c r="G1874" t="n">
        <v>2.02</v>
      </c>
      <c r="H1874" t="inlineStr">
        <is>
          <t>Negotiation</t>
        </is>
      </c>
      <c r="I1874" t="inlineStr">
        <is>
          <t>Lost</t>
        </is>
      </c>
      <c r="J1874" t="inlineStr">
        <is>
          <t>No Response / Ghosted</t>
        </is>
      </c>
      <c r="K1874" t="n">
        <v>846.24</v>
      </c>
      <c r="L1874" t="inlineStr">
        <is>
          <t>2026-06-29 20:49:49.457967</t>
        </is>
      </c>
      <c r="M1874">
        <f>VLOOKUP(H1874,'Stage Order'!$A$2:$B$8,2,FALSE)</f>
        <v/>
      </c>
      <c r="N1874">
        <f>IF(G1874&lt;=1,"1. Under 1 hour",IF(G1874&lt;=24,"2. 1-24 hours",IF(G1874&lt;=72,"3. 1-3 days","4. Over 3 days")))</f>
        <v/>
      </c>
      <c r="O1874">
        <f>TEXT(B1874,"YYYY-MM")</f>
        <v/>
      </c>
    </row>
    <row r="1875">
      <c r="A1875" t="inlineStr">
        <is>
          <t>LD-301873</t>
        </is>
      </c>
      <c r="B1875" t="inlineStr">
        <is>
          <t>2025-09-19 18:44:00</t>
        </is>
      </c>
      <c r="C1875" t="inlineStr">
        <is>
          <t>Cold Outreach</t>
        </is>
      </c>
      <c r="D1875" t="inlineStr">
        <is>
          <t>Language Learning</t>
        </is>
      </c>
      <c r="E1875" t="inlineStr">
        <is>
          <t>North Region</t>
        </is>
      </c>
      <c r="F1875" t="inlineStr">
        <is>
          <t>Rep_06</t>
        </is>
      </c>
      <c r="G1875" t="n">
        <v>0.83</v>
      </c>
      <c r="H1875" t="inlineStr">
        <is>
          <t>Lead</t>
        </is>
      </c>
      <c r="I1875" t="inlineStr">
        <is>
          <t>Open</t>
        </is>
      </c>
      <c r="M1875">
        <f>VLOOKUP(H1875,'Stage Order'!$A$2:$B$8,2,FALSE)</f>
        <v/>
      </c>
      <c r="N1875">
        <f>IF(G1875&lt;=1,"1. Under 1 hour",IF(G1875&lt;=24,"2. 1-24 hours",IF(G1875&lt;=72,"3. 1-3 days","4. Over 3 days")))</f>
        <v/>
      </c>
      <c r="O1875">
        <f>TEXT(B1875,"YYYY-MM")</f>
        <v/>
      </c>
    </row>
    <row r="1876">
      <c r="A1876" t="inlineStr">
        <is>
          <t>LD-301874</t>
        </is>
      </c>
      <c r="B1876" t="inlineStr">
        <is>
          <t>2025-04-18 11:41:00</t>
        </is>
      </c>
      <c r="C1876" t="inlineStr">
        <is>
          <t>Social Media</t>
        </is>
      </c>
      <c r="D1876" t="inlineStr">
        <is>
          <t>K-12 Math</t>
        </is>
      </c>
      <c r="E1876" t="inlineStr">
        <is>
          <t>West Region</t>
        </is>
      </c>
      <c r="F1876" t="inlineStr">
        <is>
          <t>Rep_13</t>
        </is>
      </c>
      <c r="G1876" t="n">
        <v>0.41</v>
      </c>
      <c r="H1876" t="inlineStr">
        <is>
          <t>Closed</t>
        </is>
      </c>
      <c r="I1876" t="inlineStr">
        <is>
          <t>Won</t>
        </is>
      </c>
      <c r="K1876" t="n">
        <v>463.84</v>
      </c>
      <c r="L1876" t="inlineStr">
        <is>
          <t>2025-06-04 13:03:42.502955</t>
        </is>
      </c>
      <c r="M1876">
        <f>VLOOKUP(H1876,'Stage Order'!$A$2:$B$8,2,FALSE)</f>
        <v/>
      </c>
      <c r="N1876">
        <f>IF(G1876&lt;=1,"1. Under 1 hour",IF(G1876&lt;=24,"2. 1-24 hours",IF(G1876&lt;=72,"3. 1-3 days","4. Over 3 days")))</f>
        <v/>
      </c>
      <c r="O1876">
        <f>TEXT(B1876,"YYYY-MM")</f>
        <v/>
      </c>
    </row>
    <row r="1877">
      <c r="A1877" t="inlineStr">
        <is>
          <t>LD-301875</t>
        </is>
      </c>
      <c r="B1877" t="inlineStr">
        <is>
          <t>2025-04-26 10:20:00</t>
        </is>
      </c>
      <c r="C1877" t="inlineStr">
        <is>
          <t>Paid Search</t>
        </is>
      </c>
      <c r="D1877" t="inlineStr">
        <is>
          <t>Language Learning</t>
        </is>
      </c>
      <c r="E1877" t="inlineStr">
        <is>
          <t>North Region</t>
        </is>
      </c>
      <c r="F1877" t="inlineStr">
        <is>
          <t>Rep_11</t>
        </is>
      </c>
      <c r="G1877" t="n">
        <v>1.41</v>
      </c>
      <c r="H1877" t="inlineStr">
        <is>
          <t>Contacted</t>
        </is>
      </c>
      <c r="I1877" t="inlineStr">
        <is>
          <t>Open</t>
        </is>
      </c>
      <c r="M1877">
        <f>VLOOKUP(H1877,'Stage Order'!$A$2:$B$8,2,FALSE)</f>
        <v/>
      </c>
      <c r="N1877">
        <f>IF(G1877&lt;=1,"1. Under 1 hour",IF(G1877&lt;=24,"2. 1-24 hours",IF(G1877&lt;=72,"3. 1-3 days","4. Over 3 days")))</f>
        <v/>
      </c>
      <c r="O1877">
        <f>TEXT(B1877,"YYYY-MM")</f>
        <v/>
      </c>
    </row>
    <row r="1878">
      <c r="A1878" t="inlineStr">
        <is>
          <t>LD-301876</t>
        </is>
      </c>
      <c r="B1878" t="inlineStr">
        <is>
          <t>2025-10-13 07:26:00</t>
        </is>
      </c>
      <c r="C1878" t="inlineStr">
        <is>
          <t>Organic Search</t>
        </is>
      </c>
      <c r="D1878" t="inlineStr">
        <is>
          <t>K-12 Math</t>
        </is>
      </c>
      <c r="E1878" t="inlineStr">
        <is>
          <t>East Region</t>
        </is>
      </c>
      <c r="F1878" t="inlineStr">
        <is>
          <t>Rep_09</t>
        </is>
      </c>
      <c r="G1878" t="n">
        <v>0.87</v>
      </c>
      <c r="H1878" t="inlineStr">
        <is>
          <t>Contacted</t>
        </is>
      </c>
      <c r="I1878" t="inlineStr">
        <is>
          <t>Open</t>
        </is>
      </c>
      <c r="M1878">
        <f>VLOOKUP(H1878,'Stage Order'!$A$2:$B$8,2,FALSE)</f>
        <v/>
      </c>
      <c r="N1878">
        <f>IF(G1878&lt;=1,"1. Under 1 hour",IF(G1878&lt;=24,"2. 1-24 hours",IF(G1878&lt;=72,"3. 1-3 days","4. Over 3 days")))</f>
        <v/>
      </c>
      <c r="O1878">
        <f>TEXT(B1878,"YYYY-MM")</f>
        <v/>
      </c>
    </row>
    <row r="1879">
      <c r="A1879" t="inlineStr">
        <is>
          <t>LD-301877</t>
        </is>
      </c>
      <c r="B1879" t="inlineStr">
        <is>
          <t>2025-12-29 13:43:00</t>
        </is>
      </c>
      <c r="C1879" t="inlineStr">
        <is>
          <t>Webinar</t>
        </is>
      </c>
      <c r="D1879" t="inlineStr">
        <is>
          <t>K-12 Math</t>
        </is>
      </c>
      <c r="E1879" t="inlineStr">
        <is>
          <t>South Region</t>
        </is>
      </c>
      <c r="F1879" t="inlineStr">
        <is>
          <t>Rep_02</t>
        </is>
      </c>
      <c r="G1879" t="n">
        <v>3.22</v>
      </c>
      <c r="H1879" t="inlineStr">
        <is>
          <t>Contacted</t>
        </is>
      </c>
      <c r="I1879" t="inlineStr">
        <is>
          <t>Open</t>
        </is>
      </c>
      <c r="M1879">
        <f>VLOOKUP(H1879,'Stage Order'!$A$2:$B$8,2,FALSE)</f>
        <v/>
      </c>
      <c r="N1879">
        <f>IF(G1879&lt;=1,"1. Under 1 hour",IF(G1879&lt;=24,"2. 1-24 hours",IF(G1879&lt;=72,"3. 1-3 days","4. Over 3 days")))</f>
        <v/>
      </c>
      <c r="O1879">
        <f>TEXT(B1879,"YYYY-MM")</f>
        <v/>
      </c>
    </row>
    <row r="1880">
      <c r="A1880" t="inlineStr">
        <is>
          <t>LD-301878</t>
        </is>
      </c>
      <c r="B1880" t="inlineStr">
        <is>
          <t>2025-07-09 20:26:00</t>
        </is>
      </c>
      <c r="C1880" t="inlineStr">
        <is>
          <t>Social Media</t>
        </is>
      </c>
      <c r="D1880" t="inlineStr">
        <is>
          <t>Competitive Exam Prep</t>
        </is>
      </c>
      <c r="E1880" t="inlineStr">
        <is>
          <t>North Region</t>
        </is>
      </c>
      <c r="F1880" t="inlineStr">
        <is>
          <t>Rep_11</t>
        </is>
      </c>
      <c r="G1880" t="n">
        <v>8.279999999999999</v>
      </c>
      <c r="H1880" t="inlineStr">
        <is>
          <t>Contacted</t>
        </is>
      </c>
      <c r="I1880" t="inlineStr">
        <is>
          <t>Open</t>
        </is>
      </c>
      <c r="M1880">
        <f>VLOOKUP(H1880,'Stage Order'!$A$2:$B$8,2,FALSE)</f>
        <v/>
      </c>
      <c r="N1880">
        <f>IF(G1880&lt;=1,"1. Under 1 hour",IF(G1880&lt;=24,"2. 1-24 hours",IF(G1880&lt;=72,"3. 1-3 days","4. Over 3 days")))</f>
        <v/>
      </c>
      <c r="O1880">
        <f>TEXT(B1880,"YYYY-MM")</f>
        <v/>
      </c>
    </row>
    <row r="1881">
      <c r="A1881" t="inlineStr">
        <is>
          <t>LD-301879</t>
        </is>
      </c>
      <c r="B1881" t="inlineStr">
        <is>
          <t>2025-10-19 07:08:00</t>
        </is>
      </c>
      <c r="C1881" t="inlineStr">
        <is>
          <t>Partner Channel</t>
        </is>
      </c>
      <c r="D1881" t="inlineStr">
        <is>
          <t>Study Abroad Prep</t>
        </is>
      </c>
      <c r="E1881" t="inlineStr">
        <is>
          <t>West Region</t>
        </is>
      </c>
      <c r="F1881" t="inlineStr">
        <is>
          <t>Rep_03</t>
        </is>
      </c>
      <c r="G1881" t="n">
        <v>0.61</v>
      </c>
      <c r="H1881" t="inlineStr">
        <is>
          <t>Contacted</t>
        </is>
      </c>
      <c r="I1881" t="inlineStr">
        <is>
          <t>Open</t>
        </is>
      </c>
      <c r="M1881">
        <f>VLOOKUP(H1881,'Stage Order'!$A$2:$B$8,2,FALSE)</f>
        <v/>
      </c>
      <c r="N1881">
        <f>IF(G1881&lt;=1,"1. Under 1 hour",IF(G1881&lt;=24,"2. 1-24 hours",IF(G1881&lt;=72,"3. 1-3 days","4. Over 3 days")))</f>
        <v/>
      </c>
      <c r="O1881">
        <f>TEXT(B1881,"YYYY-MM")</f>
        <v/>
      </c>
    </row>
    <row r="1882">
      <c r="A1882" t="inlineStr">
        <is>
          <t>LD-301880</t>
        </is>
      </c>
      <c r="B1882" t="inlineStr">
        <is>
          <t>2025-09-05 20:39:00</t>
        </is>
      </c>
      <c r="C1882" t="inlineStr">
        <is>
          <t>Webinar</t>
        </is>
      </c>
      <c r="D1882" t="inlineStr">
        <is>
          <t>Competitive Exam Prep</t>
        </is>
      </c>
      <c r="E1882" t="inlineStr">
        <is>
          <t>South Region</t>
        </is>
      </c>
      <c r="F1882" t="inlineStr">
        <is>
          <t>Rep_12</t>
        </is>
      </c>
      <c r="G1882" t="n">
        <v>1.69</v>
      </c>
      <c r="H1882" t="inlineStr">
        <is>
          <t>Closed</t>
        </is>
      </c>
      <c r="I1882" t="inlineStr">
        <is>
          <t>Won</t>
        </is>
      </c>
      <c r="K1882" t="n">
        <v>967.9400000000001</v>
      </c>
      <c r="L1882" t="inlineStr">
        <is>
          <t>2025-10-25 19:56:34.789324</t>
        </is>
      </c>
      <c r="M1882">
        <f>VLOOKUP(H1882,'Stage Order'!$A$2:$B$8,2,FALSE)</f>
        <v/>
      </c>
      <c r="N1882">
        <f>IF(G1882&lt;=1,"1. Under 1 hour",IF(G1882&lt;=24,"2. 1-24 hours",IF(G1882&lt;=72,"3. 1-3 days","4. Over 3 days")))</f>
        <v/>
      </c>
      <c r="O1882">
        <f>TEXT(B1882,"YYYY-MM")</f>
        <v/>
      </c>
    </row>
    <row r="1883">
      <c r="A1883" t="inlineStr">
        <is>
          <t>LD-301881</t>
        </is>
      </c>
      <c r="B1883" t="inlineStr">
        <is>
          <t>2025-07-07 13:01:00</t>
        </is>
      </c>
      <c r="C1883" t="inlineStr">
        <is>
          <t>Social Media</t>
        </is>
      </c>
      <c r="D1883" t="inlineStr">
        <is>
          <t>K-12 Math</t>
        </is>
      </c>
      <c r="E1883" t="inlineStr">
        <is>
          <t>West Region</t>
        </is>
      </c>
      <c r="F1883" t="inlineStr">
        <is>
          <t>Rep_13</t>
        </is>
      </c>
      <c r="G1883" t="n">
        <v>2.89</v>
      </c>
      <c r="H1883" t="inlineStr">
        <is>
          <t>Lead</t>
        </is>
      </c>
      <c r="I1883" t="inlineStr">
        <is>
          <t>Open</t>
        </is>
      </c>
      <c r="M1883">
        <f>VLOOKUP(H1883,'Stage Order'!$A$2:$B$8,2,FALSE)</f>
        <v/>
      </c>
      <c r="N1883">
        <f>IF(G1883&lt;=1,"1. Under 1 hour",IF(G1883&lt;=24,"2. 1-24 hours",IF(G1883&lt;=72,"3. 1-3 days","4. Over 3 days")))</f>
        <v/>
      </c>
      <c r="O1883">
        <f>TEXT(B1883,"YYYY-MM")</f>
        <v/>
      </c>
    </row>
    <row r="1884">
      <c r="A1884" t="inlineStr">
        <is>
          <t>LD-301882</t>
        </is>
      </c>
      <c r="B1884" t="inlineStr">
        <is>
          <t>2025-08-13 13:04:00</t>
        </is>
      </c>
      <c r="C1884" t="inlineStr">
        <is>
          <t>Referral</t>
        </is>
      </c>
      <c r="D1884" t="inlineStr">
        <is>
          <t>Coding for Kids</t>
        </is>
      </c>
      <c r="E1884" t="inlineStr">
        <is>
          <t>South Region</t>
        </is>
      </c>
      <c r="F1884" t="inlineStr">
        <is>
          <t>Rep_07</t>
        </is>
      </c>
      <c r="G1884" t="n">
        <v>0.86</v>
      </c>
      <c r="H1884" t="inlineStr">
        <is>
          <t>Contacted</t>
        </is>
      </c>
      <c r="I1884" t="inlineStr">
        <is>
          <t>Open</t>
        </is>
      </c>
      <c r="M1884">
        <f>VLOOKUP(H1884,'Stage Order'!$A$2:$B$8,2,FALSE)</f>
        <v/>
      </c>
      <c r="N1884">
        <f>IF(G1884&lt;=1,"1. Under 1 hour",IF(G1884&lt;=24,"2. 1-24 hours",IF(G1884&lt;=72,"3. 1-3 days","4. Over 3 days")))</f>
        <v/>
      </c>
      <c r="O1884">
        <f>TEXT(B1884,"YYYY-MM")</f>
        <v/>
      </c>
    </row>
    <row r="1885">
      <c r="A1885" t="inlineStr">
        <is>
          <t>LD-301883</t>
        </is>
      </c>
      <c r="B1885" t="inlineStr">
        <is>
          <t>2025-05-01 18:37:00</t>
        </is>
      </c>
      <c r="C1885" t="inlineStr">
        <is>
          <t>Cold Outreach</t>
        </is>
      </c>
      <c r="D1885" t="inlineStr">
        <is>
          <t>Competitive Exam Prep</t>
        </is>
      </c>
      <c r="E1885" t="inlineStr">
        <is>
          <t>West Region</t>
        </is>
      </c>
      <c r="F1885" t="inlineStr">
        <is>
          <t>Rep_03</t>
        </is>
      </c>
      <c r="G1885" t="n">
        <v>10.94</v>
      </c>
      <c r="H1885" t="inlineStr">
        <is>
          <t>Contacted</t>
        </is>
      </c>
      <c r="I1885" t="inlineStr">
        <is>
          <t>Open</t>
        </is>
      </c>
      <c r="M1885">
        <f>VLOOKUP(H1885,'Stage Order'!$A$2:$B$8,2,FALSE)</f>
        <v/>
      </c>
      <c r="N1885">
        <f>IF(G1885&lt;=1,"1. Under 1 hour",IF(G1885&lt;=24,"2. 1-24 hours",IF(G1885&lt;=72,"3. 1-3 days","4. Over 3 days")))</f>
        <v/>
      </c>
      <c r="O1885">
        <f>TEXT(B1885,"YYYY-MM")</f>
        <v/>
      </c>
    </row>
    <row r="1886">
      <c r="A1886" t="inlineStr">
        <is>
          <t>LD-301884</t>
        </is>
      </c>
      <c r="B1886" t="inlineStr">
        <is>
          <t>2025-06-04 09:11:00</t>
        </is>
      </c>
      <c r="C1886" t="inlineStr">
        <is>
          <t>Cold Outreach</t>
        </is>
      </c>
      <c r="D1886" t="inlineStr">
        <is>
          <t>Coding for Kids</t>
        </is>
      </c>
      <c r="E1886" t="inlineStr">
        <is>
          <t>West Region</t>
        </is>
      </c>
      <c r="F1886" t="inlineStr">
        <is>
          <t>Rep_03</t>
        </is>
      </c>
      <c r="G1886" t="n">
        <v>4.03</v>
      </c>
      <c r="H1886" t="inlineStr">
        <is>
          <t>Negotiation</t>
        </is>
      </c>
      <c r="I1886" t="inlineStr">
        <is>
          <t>Lost</t>
        </is>
      </c>
      <c r="J1886" t="inlineStr">
        <is>
          <t>No Response / Ghosted</t>
        </is>
      </c>
      <c r="K1886" t="n">
        <v>574.5</v>
      </c>
      <c r="L1886" t="inlineStr">
        <is>
          <t>2025-07-17 20:21:46.792262</t>
        </is>
      </c>
      <c r="M1886">
        <f>VLOOKUP(H1886,'Stage Order'!$A$2:$B$8,2,FALSE)</f>
        <v/>
      </c>
      <c r="N1886">
        <f>IF(G1886&lt;=1,"1. Under 1 hour",IF(G1886&lt;=24,"2. 1-24 hours",IF(G1886&lt;=72,"3. 1-3 days","4. Over 3 days")))</f>
        <v/>
      </c>
      <c r="O1886">
        <f>TEXT(B1886,"YYYY-MM")</f>
        <v/>
      </c>
    </row>
    <row r="1887">
      <c r="A1887" t="inlineStr">
        <is>
          <t>LD-301885</t>
        </is>
      </c>
      <c r="B1887" t="inlineStr">
        <is>
          <t>2025-11-13 14:50:00</t>
        </is>
      </c>
      <c r="C1887" t="inlineStr">
        <is>
          <t>Social Media</t>
        </is>
      </c>
      <c r="D1887" t="inlineStr">
        <is>
          <t>Competitive Exam Prep</t>
        </is>
      </c>
      <c r="E1887" t="inlineStr">
        <is>
          <t>East Region</t>
        </is>
      </c>
      <c r="F1887" t="inlineStr">
        <is>
          <t>Rep_14</t>
        </is>
      </c>
      <c r="G1887" t="n">
        <v>6.15</v>
      </c>
      <c r="H1887" t="inlineStr">
        <is>
          <t>Contacted</t>
        </is>
      </c>
      <c r="I1887" t="inlineStr">
        <is>
          <t>Open</t>
        </is>
      </c>
      <c r="M1887">
        <f>VLOOKUP(H1887,'Stage Order'!$A$2:$B$8,2,FALSE)</f>
        <v/>
      </c>
      <c r="N1887">
        <f>IF(G1887&lt;=1,"1. Under 1 hour",IF(G1887&lt;=24,"2. 1-24 hours",IF(G1887&lt;=72,"3. 1-3 days","4. Over 3 days")))</f>
        <v/>
      </c>
      <c r="O1887">
        <f>TEXT(B1887,"YYYY-MM")</f>
        <v/>
      </c>
    </row>
    <row r="1888">
      <c r="A1888" t="inlineStr">
        <is>
          <t>LD-301886</t>
        </is>
      </c>
      <c r="B1888" t="inlineStr">
        <is>
          <t>2025-01-21 14:34:00</t>
        </is>
      </c>
      <c r="C1888" t="inlineStr">
        <is>
          <t>Paid Search</t>
        </is>
      </c>
      <c r="D1888" t="inlineStr">
        <is>
          <t>Language Learning</t>
        </is>
      </c>
      <c r="E1888" t="inlineStr">
        <is>
          <t>South Region</t>
        </is>
      </c>
      <c r="F1888" t="inlineStr">
        <is>
          <t>Rep_12</t>
        </is>
      </c>
      <c r="G1888" t="n">
        <v>2.47</v>
      </c>
      <c r="H1888" t="inlineStr">
        <is>
          <t>Contacted</t>
        </is>
      </c>
      <c r="I1888" t="inlineStr">
        <is>
          <t>Open</t>
        </is>
      </c>
      <c r="M1888">
        <f>VLOOKUP(H1888,'Stage Order'!$A$2:$B$8,2,FALSE)</f>
        <v/>
      </c>
      <c r="N1888">
        <f>IF(G1888&lt;=1,"1. Under 1 hour",IF(G1888&lt;=24,"2. 1-24 hours",IF(G1888&lt;=72,"3. 1-3 days","4. Over 3 days")))</f>
        <v/>
      </c>
      <c r="O1888">
        <f>TEXT(B1888,"YYYY-MM")</f>
        <v/>
      </c>
    </row>
    <row r="1889">
      <c r="A1889" t="inlineStr">
        <is>
          <t>LD-301887</t>
        </is>
      </c>
      <c r="B1889" t="inlineStr">
        <is>
          <t>2025-01-21 07:18:00</t>
        </is>
      </c>
      <c r="C1889" t="inlineStr">
        <is>
          <t>Social Media</t>
        </is>
      </c>
      <c r="D1889" t="inlineStr">
        <is>
          <t>Competitive Exam Prep</t>
        </is>
      </c>
      <c r="E1889" t="inlineStr">
        <is>
          <t>North Region</t>
        </is>
      </c>
      <c r="F1889" t="inlineStr">
        <is>
          <t>Rep_11</t>
        </is>
      </c>
      <c r="G1889" t="n">
        <v>0.39</v>
      </c>
      <c r="H1889" t="inlineStr">
        <is>
          <t>Contacted</t>
        </is>
      </c>
      <c r="I1889" t="inlineStr">
        <is>
          <t>Open</t>
        </is>
      </c>
      <c r="M1889">
        <f>VLOOKUP(H1889,'Stage Order'!$A$2:$B$8,2,FALSE)</f>
        <v/>
      </c>
      <c r="N1889">
        <f>IF(G1889&lt;=1,"1. Under 1 hour",IF(G1889&lt;=24,"2. 1-24 hours",IF(G1889&lt;=72,"3. 1-3 days","4. Over 3 days")))</f>
        <v/>
      </c>
      <c r="O1889">
        <f>TEXT(B1889,"YYYY-MM")</f>
        <v/>
      </c>
    </row>
    <row r="1890">
      <c r="A1890" t="inlineStr">
        <is>
          <t>LD-301888</t>
        </is>
      </c>
      <c r="B1890" t="inlineStr">
        <is>
          <t>2025-08-14 19:18:00</t>
        </is>
      </c>
      <c r="C1890" t="inlineStr">
        <is>
          <t>Social Media</t>
        </is>
      </c>
      <c r="D1890" t="inlineStr">
        <is>
          <t>K-12 Math</t>
        </is>
      </c>
      <c r="E1890" t="inlineStr">
        <is>
          <t>International</t>
        </is>
      </c>
      <c r="F1890" t="inlineStr">
        <is>
          <t>Rep_15</t>
        </is>
      </c>
      <c r="G1890" t="n">
        <v>21.28</v>
      </c>
      <c r="H1890" t="inlineStr">
        <is>
          <t>Contacted</t>
        </is>
      </c>
      <c r="I1890" t="inlineStr">
        <is>
          <t>Open</t>
        </is>
      </c>
      <c r="M1890">
        <f>VLOOKUP(H1890,'Stage Order'!$A$2:$B$8,2,FALSE)</f>
        <v/>
      </c>
      <c r="N1890">
        <f>IF(G1890&lt;=1,"1. Under 1 hour",IF(G1890&lt;=24,"2. 1-24 hours",IF(G1890&lt;=72,"3. 1-3 days","4. Over 3 days")))</f>
        <v/>
      </c>
      <c r="O1890">
        <f>TEXT(B1890,"YYYY-MM")</f>
        <v/>
      </c>
    </row>
    <row r="1891">
      <c r="A1891" t="inlineStr">
        <is>
          <t>LD-301889</t>
        </is>
      </c>
      <c r="B1891" t="inlineStr">
        <is>
          <t>2025-07-16 17:00:00</t>
        </is>
      </c>
      <c r="C1891" t="inlineStr">
        <is>
          <t>Cold Outreach</t>
        </is>
      </c>
      <c r="D1891" t="inlineStr">
        <is>
          <t>Coding for Kids</t>
        </is>
      </c>
      <c r="E1891" t="inlineStr">
        <is>
          <t>West Region</t>
        </is>
      </c>
      <c r="F1891" t="inlineStr">
        <is>
          <t>Rep_08</t>
        </is>
      </c>
      <c r="G1891" t="n">
        <v>3.8</v>
      </c>
      <c r="H1891" t="inlineStr">
        <is>
          <t>Lead</t>
        </is>
      </c>
      <c r="I1891" t="inlineStr">
        <is>
          <t>Open</t>
        </is>
      </c>
      <c r="M1891">
        <f>VLOOKUP(H1891,'Stage Order'!$A$2:$B$8,2,FALSE)</f>
        <v/>
      </c>
      <c r="N1891">
        <f>IF(G1891&lt;=1,"1. Under 1 hour",IF(G1891&lt;=24,"2. 1-24 hours",IF(G1891&lt;=72,"3. 1-3 days","4. Over 3 days")))</f>
        <v/>
      </c>
      <c r="O1891">
        <f>TEXT(B1891,"YYYY-MM")</f>
        <v/>
      </c>
    </row>
    <row r="1892">
      <c r="A1892" t="inlineStr">
        <is>
          <t>LD-301890</t>
        </is>
      </c>
      <c r="B1892" t="inlineStr">
        <is>
          <t>2025-05-26 12:29:00</t>
        </is>
      </c>
      <c r="C1892" t="inlineStr">
        <is>
          <t>Paid Search</t>
        </is>
      </c>
      <c r="D1892" t="inlineStr">
        <is>
          <t>Coding for Kids</t>
        </is>
      </c>
      <c r="E1892" t="inlineStr">
        <is>
          <t>West Region</t>
        </is>
      </c>
      <c r="F1892" t="inlineStr">
        <is>
          <t>Rep_13</t>
        </is>
      </c>
      <c r="G1892" t="n">
        <v>2.97</v>
      </c>
      <c r="H1892" t="inlineStr">
        <is>
          <t>Demo Completed</t>
        </is>
      </c>
      <c r="I1892" t="inlineStr">
        <is>
          <t>Lost</t>
        </is>
      </c>
      <c r="J1892" t="inlineStr">
        <is>
          <t>Went With Competitor</t>
        </is>
      </c>
      <c r="K1892" t="n">
        <v>711.58</v>
      </c>
      <c r="L1892" t="inlineStr">
        <is>
          <t>2025-06-13 07:24:45.988133</t>
        </is>
      </c>
      <c r="M1892">
        <f>VLOOKUP(H1892,'Stage Order'!$A$2:$B$8,2,FALSE)</f>
        <v/>
      </c>
      <c r="N1892">
        <f>IF(G1892&lt;=1,"1. Under 1 hour",IF(G1892&lt;=24,"2. 1-24 hours",IF(G1892&lt;=72,"3. 1-3 days","4. Over 3 days")))</f>
        <v/>
      </c>
      <c r="O1892">
        <f>TEXT(B1892,"YYYY-MM")</f>
        <v/>
      </c>
    </row>
    <row r="1893">
      <c r="A1893" t="inlineStr">
        <is>
          <t>LD-301891</t>
        </is>
      </c>
      <c r="B1893" t="inlineStr">
        <is>
          <t>2025-09-08 11:48:00</t>
        </is>
      </c>
      <c r="C1893" t="inlineStr">
        <is>
          <t>Organic Search</t>
        </is>
      </c>
      <c r="D1893" t="inlineStr">
        <is>
          <t>Study Abroad Prep</t>
        </is>
      </c>
      <c r="E1893" t="inlineStr">
        <is>
          <t>North Region</t>
        </is>
      </c>
      <c r="F1893" t="inlineStr">
        <is>
          <t>Rep_06</t>
        </is>
      </c>
      <c r="G1893" t="n">
        <v>25.73</v>
      </c>
      <c r="H1893" t="inlineStr">
        <is>
          <t>Contacted</t>
        </is>
      </c>
      <c r="I1893" t="inlineStr">
        <is>
          <t>Open</t>
        </is>
      </c>
      <c r="M1893">
        <f>VLOOKUP(H1893,'Stage Order'!$A$2:$B$8,2,FALSE)</f>
        <v/>
      </c>
      <c r="N1893">
        <f>IF(G1893&lt;=1,"1. Under 1 hour",IF(G1893&lt;=24,"2. 1-24 hours",IF(G1893&lt;=72,"3. 1-3 days","4. Over 3 days")))</f>
        <v/>
      </c>
      <c r="O1893">
        <f>TEXT(B1893,"YYYY-MM")</f>
        <v/>
      </c>
    </row>
    <row r="1894">
      <c r="A1894" t="inlineStr">
        <is>
          <t>LD-301892</t>
        </is>
      </c>
      <c r="B1894" t="inlineStr">
        <is>
          <t>2025-12-30 19:58:00</t>
        </is>
      </c>
      <c r="C1894" t="inlineStr">
        <is>
          <t>Paid Search</t>
        </is>
      </c>
      <c r="D1894" t="inlineStr">
        <is>
          <t>Language Learning</t>
        </is>
      </c>
      <c r="E1894" t="inlineStr">
        <is>
          <t>South Region</t>
        </is>
      </c>
      <c r="F1894" t="inlineStr">
        <is>
          <t>Rep_07</t>
        </is>
      </c>
      <c r="G1894" t="n">
        <v>1.25</v>
      </c>
      <c r="H1894" t="inlineStr">
        <is>
          <t>Lead</t>
        </is>
      </c>
      <c r="I1894" t="inlineStr">
        <is>
          <t>Open</t>
        </is>
      </c>
      <c r="M1894">
        <f>VLOOKUP(H1894,'Stage Order'!$A$2:$B$8,2,FALSE)</f>
        <v/>
      </c>
      <c r="N1894">
        <f>IF(G1894&lt;=1,"1. Under 1 hour",IF(G1894&lt;=24,"2. 1-24 hours",IF(G1894&lt;=72,"3. 1-3 days","4. Over 3 days")))</f>
        <v/>
      </c>
      <c r="O1894">
        <f>TEXT(B1894,"YYYY-MM")</f>
        <v/>
      </c>
    </row>
    <row r="1895">
      <c r="A1895" t="inlineStr">
        <is>
          <t>LD-301893</t>
        </is>
      </c>
      <c r="B1895" t="inlineStr">
        <is>
          <t>2025-05-22 17:25:00</t>
        </is>
      </c>
      <c r="C1895" t="inlineStr">
        <is>
          <t>Organic Search</t>
        </is>
      </c>
      <c r="D1895" t="inlineStr">
        <is>
          <t>Competitive Exam Prep</t>
        </is>
      </c>
      <c r="E1895" t="inlineStr">
        <is>
          <t>South Region</t>
        </is>
      </c>
      <c r="F1895" t="inlineStr">
        <is>
          <t>Rep_07</t>
        </is>
      </c>
      <c r="G1895" t="n">
        <v>1.15</v>
      </c>
      <c r="H1895" t="inlineStr">
        <is>
          <t>Proposal Sent</t>
        </is>
      </c>
      <c r="I1895" t="inlineStr">
        <is>
          <t>Lost</t>
        </is>
      </c>
      <c r="J1895" t="inlineStr">
        <is>
          <t>Budget Not Approved</t>
        </is>
      </c>
      <c r="K1895" t="n">
        <v>1143.47</v>
      </c>
      <c r="L1895" t="inlineStr">
        <is>
          <t>2025-06-27 11:04:13.504350</t>
        </is>
      </c>
      <c r="M1895">
        <f>VLOOKUP(H1895,'Stage Order'!$A$2:$B$8,2,FALSE)</f>
        <v/>
      </c>
      <c r="N1895">
        <f>IF(G1895&lt;=1,"1. Under 1 hour",IF(G1895&lt;=24,"2. 1-24 hours",IF(G1895&lt;=72,"3. 1-3 days","4. Over 3 days")))</f>
        <v/>
      </c>
      <c r="O1895">
        <f>TEXT(B1895,"YYYY-MM")</f>
        <v/>
      </c>
    </row>
    <row r="1896">
      <c r="A1896" t="inlineStr">
        <is>
          <t>LD-301894</t>
        </is>
      </c>
      <c r="B1896" t="inlineStr">
        <is>
          <t>2025-11-21 07:53:00</t>
        </is>
      </c>
      <c r="C1896" t="inlineStr">
        <is>
          <t>Organic Search</t>
        </is>
      </c>
      <c r="D1896" t="inlineStr">
        <is>
          <t>K-12 Math</t>
        </is>
      </c>
      <c r="E1896" t="inlineStr">
        <is>
          <t>North Region</t>
        </is>
      </c>
      <c r="F1896" t="inlineStr">
        <is>
          <t>Rep_01</t>
        </is>
      </c>
      <c r="G1896" t="n">
        <v>4.15</v>
      </c>
      <c r="H1896" t="inlineStr">
        <is>
          <t>Negotiation</t>
        </is>
      </c>
      <c r="I1896" t="inlineStr">
        <is>
          <t>Lost</t>
        </is>
      </c>
      <c r="J1896" t="inlineStr">
        <is>
          <t>Bad Timing</t>
        </is>
      </c>
      <c r="K1896" t="n">
        <v>408.76</v>
      </c>
      <c r="L1896" t="inlineStr">
        <is>
          <t>2025-12-24 08:21:28.927056</t>
        </is>
      </c>
      <c r="M1896">
        <f>VLOOKUP(H1896,'Stage Order'!$A$2:$B$8,2,FALSE)</f>
        <v/>
      </c>
      <c r="N1896">
        <f>IF(G1896&lt;=1,"1. Under 1 hour",IF(G1896&lt;=24,"2. 1-24 hours",IF(G1896&lt;=72,"3. 1-3 days","4. Over 3 days")))</f>
        <v/>
      </c>
      <c r="O1896">
        <f>TEXT(B1896,"YYYY-MM")</f>
        <v/>
      </c>
    </row>
    <row r="1897">
      <c r="A1897" t="inlineStr">
        <is>
          <t>LD-301895</t>
        </is>
      </c>
      <c r="B1897" t="inlineStr">
        <is>
          <t>2026-04-28 14:25:00</t>
        </is>
      </c>
      <c r="C1897" t="inlineStr">
        <is>
          <t>Paid Search</t>
        </is>
      </c>
      <c r="D1897" t="inlineStr">
        <is>
          <t>Competitive Exam Prep</t>
        </is>
      </c>
      <c r="E1897" t="inlineStr">
        <is>
          <t>East Region</t>
        </is>
      </c>
      <c r="F1897" t="inlineStr">
        <is>
          <t>Rep_14</t>
        </is>
      </c>
      <c r="G1897" t="n">
        <v>3.77</v>
      </c>
      <c r="H1897" t="inlineStr">
        <is>
          <t>Contacted</t>
        </is>
      </c>
      <c r="I1897" t="inlineStr">
        <is>
          <t>Open</t>
        </is>
      </c>
      <c r="M1897">
        <f>VLOOKUP(H1897,'Stage Order'!$A$2:$B$8,2,FALSE)</f>
        <v/>
      </c>
      <c r="N1897">
        <f>IF(G1897&lt;=1,"1. Under 1 hour",IF(G1897&lt;=24,"2. 1-24 hours",IF(G1897&lt;=72,"3. 1-3 days","4. Over 3 days")))</f>
        <v/>
      </c>
      <c r="O1897">
        <f>TEXT(B1897,"YYYY-MM")</f>
        <v/>
      </c>
    </row>
    <row r="1898">
      <c r="A1898" t="inlineStr">
        <is>
          <t>LD-301896</t>
        </is>
      </c>
      <c r="B1898" t="inlineStr">
        <is>
          <t>2025-02-10 19:27:00</t>
        </is>
      </c>
      <c r="C1898" t="inlineStr">
        <is>
          <t>Organic Search</t>
        </is>
      </c>
      <c r="D1898" t="inlineStr">
        <is>
          <t>Language Learning</t>
        </is>
      </c>
      <c r="E1898" t="inlineStr">
        <is>
          <t>West Region</t>
        </is>
      </c>
      <c r="F1898" t="inlineStr">
        <is>
          <t>Rep_13</t>
        </is>
      </c>
      <c r="G1898" t="n">
        <v>3.53</v>
      </c>
      <c r="H1898" t="inlineStr">
        <is>
          <t>Negotiation</t>
        </is>
      </c>
      <c r="I1898" t="inlineStr">
        <is>
          <t>Lost</t>
        </is>
      </c>
      <c r="J1898" t="inlineStr">
        <is>
          <t>No Response / Ghosted</t>
        </is>
      </c>
      <c r="K1898" t="n">
        <v>308.89</v>
      </c>
      <c r="L1898" t="inlineStr">
        <is>
          <t>2025-03-31 12:49:48.455948</t>
        </is>
      </c>
      <c r="M1898">
        <f>VLOOKUP(H1898,'Stage Order'!$A$2:$B$8,2,FALSE)</f>
        <v/>
      </c>
      <c r="N1898">
        <f>IF(G1898&lt;=1,"1. Under 1 hour",IF(G1898&lt;=24,"2. 1-24 hours",IF(G1898&lt;=72,"3. 1-3 days","4. Over 3 days")))</f>
        <v/>
      </c>
      <c r="O1898">
        <f>TEXT(B1898,"YYYY-MM")</f>
        <v/>
      </c>
    </row>
    <row r="1899">
      <c r="A1899" t="inlineStr">
        <is>
          <t>LD-301897</t>
        </is>
      </c>
      <c r="B1899" t="inlineStr">
        <is>
          <t>2026-04-24 08:42:00</t>
        </is>
      </c>
      <c r="C1899" t="inlineStr">
        <is>
          <t>Paid Search</t>
        </is>
      </c>
      <c r="D1899" t="inlineStr">
        <is>
          <t>K-12 Math</t>
        </is>
      </c>
      <c r="E1899" t="inlineStr">
        <is>
          <t>South Region</t>
        </is>
      </c>
      <c r="F1899" t="inlineStr">
        <is>
          <t>Rep_07</t>
        </is>
      </c>
      <c r="G1899" t="n">
        <v>0.91</v>
      </c>
      <c r="H1899" t="inlineStr">
        <is>
          <t>Closed</t>
        </is>
      </c>
      <c r="I1899" t="inlineStr">
        <is>
          <t>Won</t>
        </is>
      </c>
      <c r="K1899" t="n">
        <v>591.74</v>
      </c>
      <c r="L1899" t="inlineStr">
        <is>
          <t>2026-05-31 04:29:29.214805</t>
        </is>
      </c>
      <c r="M1899">
        <f>VLOOKUP(H1899,'Stage Order'!$A$2:$B$8,2,FALSE)</f>
        <v/>
      </c>
      <c r="N1899">
        <f>IF(G1899&lt;=1,"1. Under 1 hour",IF(G1899&lt;=24,"2. 1-24 hours",IF(G1899&lt;=72,"3. 1-3 days","4. Over 3 days")))</f>
        <v/>
      </c>
      <c r="O1899">
        <f>TEXT(B1899,"YYYY-MM")</f>
        <v/>
      </c>
    </row>
    <row r="1900">
      <c r="A1900" t="inlineStr">
        <is>
          <t>LD-301898</t>
        </is>
      </c>
      <c r="B1900" t="inlineStr">
        <is>
          <t>2025-01-17 09:00:00</t>
        </is>
      </c>
      <c r="C1900" t="inlineStr">
        <is>
          <t>Webinar</t>
        </is>
      </c>
      <c r="D1900" t="inlineStr">
        <is>
          <t>Coding for Kids</t>
        </is>
      </c>
      <c r="E1900" t="inlineStr">
        <is>
          <t>South Region</t>
        </is>
      </c>
      <c r="F1900" t="inlineStr">
        <is>
          <t>Rep_12</t>
        </is>
      </c>
      <c r="G1900" t="n">
        <v>0.25</v>
      </c>
      <c r="H1900" t="inlineStr">
        <is>
          <t>Demo Scheduled</t>
        </is>
      </c>
      <c r="I1900" t="inlineStr">
        <is>
          <t>Open</t>
        </is>
      </c>
      <c r="M1900">
        <f>VLOOKUP(H1900,'Stage Order'!$A$2:$B$8,2,FALSE)</f>
        <v/>
      </c>
      <c r="N1900">
        <f>IF(G1900&lt;=1,"1. Under 1 hour",IF(G1900&lt;=24,"2. 1-24 hours",IF(G1900&lt;=72,"3. 1-3 days","4. Over 3 days")))</f>
        <v/>
      </c>
      <c r="O1900">
        <f>TEXT(B1900,"YYYY-MM")</f>
        <v/>
      </c>
    </row>
    <row r="1901">
      <c r="A1901" t="inlineStr">
        <is>
          <t>LD-301899</t>
        </is>
      </c>
      <c r="B1901" t="inlineStr">
        <is>
          <t>2026-04-17 10:04:00</t>
        </is>
      </c>
      <c r="C1901" t="inlineStr">
        <is>
          <t>Paid Search</t>
        </is>
      </c>
      <c r="D1901" t="inlineStr">
        <is>
          <t>Language Learning</t>
        </is>
      </c>
      <c r="E1901" t="inlineStr">
        <is>
          <t>East Region</t>
        </is>
      </c>
      <c r="F1901" t="inlineStr">
        <is>
          <t>Rep_04</t>
        </is>
      </c>
      <c r="G1901" t="n">
        <v>2.91</v>
      </c>
      <c r="H1901" t="inlineStr">
        <is>
          <t>Lead</t>
        </is>
      </c>
      <c r="I1901" t="inlineStr">
        <is>
          <t>Open</t>
        </is>
      </c>
      <c r="M1901">
        <f>VLOOKUP(H1901,'Stage Order'!$A$2:$B$8,2,FALSE)</f>
        <v/>
      </c>
      <c r="N1901">
        <f>IF(G1901&lt;=1,"1. Under 1 hour",IF(G1901&lt;=24,"2. 1-24 hours",IF(G1901&lt;=72,"3. 1-3 days","4. Over 3 days")))</f>
        <v/>
      </c>
      <c r="O1901">
        <f>TEXT(B1901,"YYYY-MM")</f>
        <v/>
      </c>
    </row>
    <row r="1902">
      <c r="A1902" t="inlineStr">
        <is>
          <t>LD-301900</t>
        </is>
      </c>
      <c r="B1902" t="inlineStr">
        <is>
          <t>2025-10-29 20:54:00</t>
        </is>
      </c>
      <c r="C1902" t="inlineStr">
        <is>
          <t>Paid Search</t>
        </is>
      </c>
      <c r="D1902" t="inlineStr">
        <is>
          <t>Study Abroad Prep</t>
        </is>
      </c>
      <c r="E1902" t="inlineStr">
        <is>
          <t>International</t>
        </is>
      </c>
      <c r="F1902" t="inlineStr">
        <is>
          <t>Rep_05</t>
        </is>
      </c>
      <c r="G1902" t="n">
        <v>3.87</v>
      </c>
      <c r="H1902" t="inlineStr">
        <is>
          <t>Contacted</t>
        </is>
      </c>
      <c r="I1902" t="inlineStr">
        <is>
          <t>Open</t>
        </is>
      </c>
      <c r="M1902">
        <f>VLOOKUP(H1902,'Stage Order'!$A$2:$B$8,2,FALSE)</f>
        <v/>
      </c>
      <c r="N1902">
        <f>IF(G1902&lt;=1,"1. Under 1 hour",IF(G1902&lt;=24,"2. 1-24 hours",IF(G1902&lt;=72,"3. 1-3 days","4. Over 3 days")))</f>
        <v/>
      </c>
      <c r="O1902">
        <f>TEXT(B1902,"YYYY-MM")</f>
        <v/>
      </c>
    </row>
    <row r="1903">
      <c r="A1903" t="inlineStr">
        <is>
          <t>LD-301901</t>
        </is>
      </c>
      <c r="B1903" t="inlineStr">
        <is>
          <t>2026-06-15 15:56:00</t>
        </is>
      </c>
      <c r="C1903" t="inlineStr">
        <is>
          <t>Organic Search</t>
        </is>
      </c>
      <c r="D1903" t="inlineStr">
        <is>
          <t>K-12 Math</t>
        </is>
      </c>
      <c r="E1903" t="inlineStr">
        <is>
          <t>South Region</t>
        </is>
      </c>
      <c r="F1903" t="inlineStr">
        <is>
          <t>Rep_07</t>
        </is>
      </c>
      <c r="G1903" t="n">
        <v>2.36</v>
      </c>
      <c r="H1903" t="inlineStr">
        <is>
          <t>Closed</t>
        </is>
      </c>
      <c r="I1903" t="inlineStr">
        <is>
          <t>Won</t>
        </is>
      </c>
      <c r="K1903" t="n">
        <v>435.98</v>
      </c>
      <c r="L1903" t="inlineStr">
        <is>
          <t>2026-08-01 03:50:07.096153</t>
        </is>
      </c>
      <c r="M1903">
        <f>VLOOKUP(H1903,'Stage Order'!$A$2:$B$8,2,FALSE)</f>
        <v/>
      </c>
      <c r="N1903">
        <f>IF(G1903&lt;=1,"1. Under 1 hour",IF(G1903&lt;=24,"2. 1-24 hours",IF(G1903&lt;=72,"3. 1-3 days","4. Over 3 days")))</f>
        <v/>
      </c>
      <c r="O1903">
        <f>TEXT(B1903,"YYYY-MM")</f>
        <v/>
      </c>
    </row>
    <row r="1904">
      <c r="A1904" t="inlineStr">
        <is>
          <t>LD-301902</t>
        </is>
      </c>
      <c r="B1904" t="inlineStr">
        <is>
          <t>2025-10-01 07:35:00</t>
        </is>
      </c>
      <c r="C1904" t="inlineStr">
        <is>
          <t>Webinar</t>
        </is>
      </c>
      <c r="D1904" t="inlineStr">
        <is>
          <t>Coding for Kids</t>
        </is>
      </c>
      <c r="E1904" t="inlineStr">
        <is>
          <t>South Region</t>
        </is>
      </c>
      <c r="F1904" t="inlineStr">
        <is>
          <t>Rep_02</t>
        </is>
      </c>
      <c r="G1904" t="n">
        <v>5.7</v>
      </c>
      <c r="H1904" t="inlineStr">
        <is>
          <t>Contacted</t>
        </is>
      </c>
      <c r="I1904" t="inlineStr">
        <is>
          <t>Open</t>
        </is>
      </c>
      <c r="M1904">
        <f>VLOOKUP(H1904,'Stage Order'!$A$2:$B$8,2,FALSE)</f>
        <v/>
      </c>
      <c r="N1904">
        <f>IF(G1904&lt;=1,"1. Under 1 hour",IF(G1904&lt;=24,"2. 1-24 hours",IF(G1904&lt;=72,"3. 1-3 days","4. Over 3 days")))</f>
        <v/>
      </c>
      <c r="O1904">
        <f>TEXT(B1904,"YYYY-MM")</f>
        <v/>
      </c>
    </row>
    <row r="1905">
      <c r="A1905" t="inlineStr">
        <is>
          <t>LD-301903</t>
        </is>
      </c>
      <c r="B1905" t="inlineStr">
        <is>
          <t>2025-01-18 16:24:00</t>
        </is>
      </c>
      <c r="C1905" t="inlineStr">
        <is>
          <t>Webinar</t>
        </is>
      </c>
      <c r="D1905" t="inlineStr">
        <is>
          <t>Coding for Kids</t>
        </is>
      </c>
      <c r="E1905" t="inlineStr">
        <is>
          <t>East Region</t>
        </is>
      </c>
      <c r="F1905" t="inlineStr">
        <is>
          <t>Rep_04</t>
        </is>
      </c>
      <c r="G1905" t="n">
        <v>2.88</v>
      </c>
      <c r="H1905" t="inlineStr">
        <is>
          <t>Contacted</t>
        </is>
      </c>
      <c r="I1905" t="inlineStr">
        <is>
          <t>Open</t>
        </is>
      </c>
      <c r="M1905">
        <f>VLOOKUP(H1905,'Stage Order'!$A$2:$B$8,2,FALSE)</f>
        <v/>
      </c>
      <c r="N1905">
        <f>IF(G1905&lt;=1,"1. Under 1 hour",IF(G1905&lt;=24,"2. 1-24 hours",IF(G1905&lt;=72,"3. 1-3 days","4. Over 3 days")))</f>
        <v/>
      </c>
      <c r="O1905">
        <f>TEXT(B1905,"YYYY-MM")</f>
        <v/>
      </c>
    </row>
    <row r="1906">
      <c r="A1906" t="inlineStr">
        <is>
          <t>LD-301904</t>
        </is>
      </c>
      <c r="B1906" t="inlineStr">
        <is>
          <t>2025-05-23 20:01:00</t>
        </is>
      </c>
      <c r="C1906" t="inlineStr">
        <is>
          <t>Cold Outreach</t>
        </is>
      </c>
      <c r="D1906" t="inlineStr">
        <is>
          <t>Language Learning</t>
        </is>
      </c>
      <c r="E1906" t="inlineStr">
        <is>
          <t>East Region</t>
        </is>
      </c>
      <c r="F1906" t="inlineStr">
        <is>
          <t>Rep_09</t>
        </is>
      </c>
      <c r="G1906" t="n">
        <v>23.99</v>
      </c>
      <c r="H1906" t="inlineStr">
        <is>
          <t>Lead</t>
        </is>
      </c>
      <c r="I1906" t="inlineStr">
        <is>
          <t>Open</t>
        </is>
      </c>
      <c r="M1906">
        <f>VLOOKUP(H1906,'Stage Order'!$A$2:$B$8,2,FALSE)</f>
        <v/>
      </c>
      <c r="N1906">
        <f>IF(G1906&lt;=1,"1. Under 1 hour",IF(G1906&lt;=24,"2. 1-24 hours",IF(G1906&lt;=72,"3. 1-3 days","4. Over 3 days")))</f>
        <v/>
      </c>
      <c r="O1906">
        <f>TEXT(B1906,"YYYY-MM")</f>
        <v/>
      </c>
    </row>
    <row r="1907">
      <c r="A1907" t="inlineStr">
        <is>
          <t>LD-301905</t>
        </is>
      </c>
      <c r="B1907" t="inlineStr">
        <is>
          <t>2025-03-28 07:28:00</t>
        </is>
      </c>
      <c r="C1907" t="inlineStr">
        <is>
          <t>Paid Search</t>
        </is>
      </c>
      <c r="D1907" t="inlineStr">
        <is>
          <t>K-12 Math</t>
        </is>
      </c>
      <c r="E1907" t="inlineStr">
        <is>
          <t>East Region</t>
        </is>
      </c>
      <c r="F1907" t="inlineStr">
        <is>
          <t>Rep_04</t>
        </is>
      </c>
      <c r="G1907" t="n">
        <v>1.67</v>
      </c>
      <c r="H1907" t="inlineStr">
        <is>
          <t>Lead</t>
        </is>
      </c>
      <c r="I1907" t="inlineStr">
        <is>
          <t>Open</t>
        </is>
      </c>
      <c r="M1907">
        <f>VLOOKUP(H1907,'Stage Order'!$A$2:$B$8,2,FALSE)</f>
        <v/>
      </c>
      <c r="N1907">
        <f>IF(G1907&lt;=1,"1. Under 1 hour",IF(G1907&lt;=24,"2. 1-24 hours",IF(G1907&lt;=72,"3. 1-3 days","4. Over 3 days")))</f>
        <v/>
      </c>
      <c r="O1907">
        <f>TEXT(B1907,"YYYY-MM")</f>
        <v/>
      </c>
    </row>
    <row r="1908">
      <c r="A1908" t="inlineStr">
        <is>
          <t>LD-301906</t>
        </is>
      </c>
      <c r="B1908" t="inlineStr">
        <is>
          <t>2026-06-22 18:50:00</t>
        </is>
      </c>
      <c r="C1908" t="inlineStr">
        <is>
          <t>Organic Search</t>
        </is>
      </c>
      <c r="D1908" t="inlineStr">
        <is>
          <t>Competitive Exam Prep</t>
        </is>
      </c>
      <c r="E1908" t="inlineStr">
        <is>
          <t>South Region</t>
        </is>
      </c>
      <c r="F1908" t="inlineStr">
        <is>
          <t>Rep_12</t>
        </is>
      </c>
      <c r="G1908" t="n">
        <v>3.19</v>
      </c>
      <c r="H1908" t="inlineStr">
        <is>
          <t>Contacted</t>
        </is>
      </c>
      <c r="I1908" t="inlineStr">
        <is>
          <t>Open</t>
        </is>
      </c>
      <c r="M1908">
        <f>VLOOKUP(H1908,'Stage Order'!$A$2:$B$8,2,FALSE)</f>
        <v/>
      </c>
      <c r="N1908">
        <f>IF(G1908&lt;=1,"1. Under 1 hour",IF(G1908&lt;=24,"2. 1-24 hours",IF(G1908&lt;=72,"3. 1-3 days","4. Over 3 days")))</f>
        <v/>
      </c>
      <c r="O1908">
        <f>TEXT(B1908,"YYYY-MM")</f>
        <v/>
      </c>
    </row>
    <row r="1909">
      <c r="A1909" t="inlineStr">
        <is>
          <t>LD-301907</t>
        </is>
      </c>
      <c r="B1909" t="inlineStr">
        <is>
          <t>2025-11-03 08:55:00</t>
        </is>
      </c>
      <c r="C1909" t="inlineStr">
        <is>
          <t>Cold Outreach</t>
        </is>
      </c>
      <c r="D1909" t="inlineStr">
        <is>
          <t>K-12 Math</t>
        </is>
      </c>
      <c r="E1909" t="inlineStr">
        <is>
          <t>South Region</t>
        </is>
      </c>
      <c r="F1909" t="inlineStr">
        <is>
          <t>Rep_02</t>
        </is>
      </c>
      <c r="G1909" t="n">
        <v>0.9</v>
      </c>
      <c r="H1909" t="inlineStr">
        <is>
          <t>Lead</t>
        </is>
      </c>
      <c r="I1909" t="inlineStr">
        <is>
          <t>Open</t>
        </is>
      </c>
      <c r="M1909">
        <f>VLOOKUP(H1909,'Stage Order'!$A$2:$B$8,2,FALSE)</f>
        <v/>
      </c>
      <c r="N1909">
        <f>IF(G1909&lt;=1,"1. Under 1 hour",IF(G1909&lt;=24,"2. 1-24 hours",IF(G1909&lt;=72,"3. 1-3 days","4. Over 3 days")))</f>
        <v/>
      </c>
      <c r="O1909">
        <f>TEXT(B1909,"YYYY-MM")</f>
        <v/>
      </c>
    </row>
    <row r="1910">
      <c r="A1910" t="inlineStr">
        <is>
          <t>LD-301908</t>
        </is>
      </c>
      <c r="B1910" t="inlineStr">
        <is>
          <t>2025-01-09 19:33:00</t>
        </is>
      </c>
      <c r="C1910" t="inlineStr">
        <is>
          <t>Paid Search</t>
        </is>
      </c>
      <c r="D1910" t="inlineStr">
        <is>
          <t>Language Learning</t>
        </is>
      </c>
      <c r="E1910" t="inlineStr">
        <is>
          <t>South Region</t>
        </is>
      </c>
      <c r="F1910" t="inlineStr">
        <is>
          <t>Rep_07</t>
        </is>
      </c>
      <c r="G1910" t="n">
        <v>1.58</v>
      </c>
      <c r="H1910" t="inlineStr">
        <is>
          <t>Contacted</t>
        </is>
      </c>
      <c r="I1910" t="inlineStr">
        <is>
          <t>Open</t>
        </is>
      </c>
      <c r="M1910">
        <f>VLOOKUP(H1910,'Stage Order'!$A$2:$B$8,2,FALSE)</f>
        <v/>
      </c>
      <c r="N1910">
        <f>IF(G1910&lt;=1,"1. Under 1 hour",IF(G1910&lt;=24,"2. 1-24 hours",IF(G1910&lt;=72,"3. 1-3 days","4. Over 3 days")))</f>
        <v/>
      </c>
      <c r="O1910">
        <f>TEXT(B1910,"YYYY-MM")</f>
        <v/>
      </c>
    </row>
    <row r="1911">
      <c r="A1911" t="inlineStr">
        <is>
          <t>LD-301909</t>
        </is>
      </c>
      <c r="B1911" t="inlineStr">
        <is>
          <t>2025-06-14 10:23:00</t>
        </is>
      </c>
      <c r="C1911" t="inlineStr">
        <is>
          <t>Webinar</t>
        </is>
      </c>
      <c r="D1911" t="inlineStr">
        <is>
          <t>Language Learning</t>
        </is>
      </c>
      <c r="E1911" t="inlineStr">
        <is>
          <t>South Region</t>
        </is>
      </c>
      <c r="F1911" t="inlineStr">
        <is>
          <t>Rep_02</t>
        </is>
      </c>
      <c r="G1911" t="n">
        <v>2.03</v>
      </c>
      <c r="H1911" t="inlineStr">
        <is>
          <t>Contacted</t>
        </is>
      </c>
      <c r="I1911" t="inlineStr">
        <is>
          <t>Open</t>
        </is>
      </c>
      <c r="M1911">
        <f>VLOOKUP(H1911,'Stage Order'!$A$2:$B$8,2,FALSE)</f>
        <v/>
      </c>
      <c r="N1911">
        <f>IF(G1911&lt;=1,"1. Under 1 hour",IF(G1911&lt;=24,"2. 1-24 hours",IF(G1911&lt;=72,"3. 1-3 days","4. Over 3 days")))</f>
        <v/>
      </c>
      <c r="O1911">
        <f>TEXT(B1911,"YYYY-MM")</f>
        <v/>
      </c>
    </row>
    <row r="1912">
      <c r="A1912" t="inlineStr">
        <is>
          <t>LD-301910</t>
        </is>
      </c>
      <c r="B1912" t="inlineStr">
        <is>
          <t>2026-01-19 08:34:00</t>
        </is>
      </c>
      <c r="C1912" t="inlineStr">
        <is>
          <t>Referral</t>
        </is>
      </c>
      <c r="D1912" t="inlineStr">
        <is>
          <t>Coding for Kids</t>
        </is>
      </c>
      <c r="E1912" t="inlineStr">
        <is>
          <t>West Region</t>
        </is>
      </c>
      <c r="F1912" t="inlineStr">
        <is>
          <t>Rep_13</t>
        </is>
      </c>
      <c r="G1912" t="n">
        <v>1.52</v>
      </c>
      <c r="H1912" t="inlineStr">
        <is>
          <t>Contacted</t>
        </is>
      </c>
      <c r="I1912" t="inlineStr">
        <is>
          <t>Open</t>
        </is>
      </c>
      <c r="M1912">
        <f>VLOOKUP(H1912,'Stage Order'!$A$2:$B$8,2,FALSE)</f>
        <v/>
      </c>
      <c r="N1912">
        <f>IF(G1912&lt;=1,"1. Under 1 hour",IF(G1912&lt;=24,"2. 1-24 hours",IF(G1912&lt;=72,"3. 1-3 days","4. Over 3 days")))</f>
        <v/>
      </c>
      <c r="O1912">
        <f>TEXT(B1912,"YYYY-MM")</f>
        <v/>
      </c>
    </row>
    <row r="1913">
      <c r="A1913" t="inlineStr">
        <is>
          <t>LD-301911</t>
        </is>
      </c>
      <c r="B1913" t="inlineStr">
        <is>
          <t>2026-05-25 15:36:00</t>
        </is>
      </c>
      <c r="C1913" t="inlineStr">
        <is>
          <t>Referral</t>
        </is>
      </c>
      <c r="D1913" t="inlineStr">
        <is>
          <t>K-12 Math</t>
        </is>
      </c>
      <c r="E1913" t="inlineStr">
        <is>
          <t>South Region</t>
        </is>
      </c>
      <c r="F1913" t="inlineStr">
        <is>
          <t>Rep_12</t>
        </is>
      </c>
      <c r="G1913" t="n">
        <v>2.6</v>
      </c>
      <c r="H1913" t="inlineStr">
        <is>
          <t>Negotiation</t>
        </is>
      </c>
      <c r="I1913" t="inlineStr">
        <is>
          <t>Lost</t>
        </is>
      </c>
      <c r="J1913" t="inlineStr">
        <is>
          <t>Budget Not Approved</t>
        </is>
      </c>
      <c r="K1913" t="n">
        <v>558.47</v>
      </c>
      <c r="L1913" t="inlineStr">
        <is>
          <t>2026-07-06 11:48:22.858271</t>
        </is>
      </c>
      <c r="M1913">
        <f>VLOOKUP(H1913,'Stage Order'!$A$2:$B$8,2,FALSE)</f>
        <v/>
      </c>
      <c r="N1913">
        <f>IF(G1913&lt;=1,"1. Under 1 hour",IF(G1913&lt;=24,"2. 1-24 hours",IF(G1913&lt;=72,"3. 1-3 days","4. Over 3 days")))</f>
        <v/>
      </c>
      <c r="O1913">
        <f>TEXT(B1913,"YYYY-MM")</f>
        <v/>
      </c>
    </row>
    <row r="1914">
      <c r="A1914" t="inlineStr">
        <is>
          <t>LD-301912</t>
        </is>
      </c>
      <c r="B1914" t="inlineStr">
        <is>
          <t>2025-01-28 11:55:00</t>
        </is>
      </c>
      <c r="C1914" t="inlineStr">
        <is>
          <t>Social Media</t>
        </is>
      </c>
      <c r="D1914" t="inlineStr">
        <is>
          <t>Competitive Exam Prep</t>
        </is>
      </c>
      <c r="E1914" t="inlineStr">
        <is>
          <t>North Region</t>
        </is>
      </c>
      <c r="F1914" t="inlineStr">
        <is>
          <t>Rep_06</t>
        </is>
      </c>
      <c r="G1914" t="n">
        <v>4.43</v>
      </c>
      <c r="H1914" t="inlineStr">
        <is>
          <t>Lead</t>
        </is>
      </c>
      <c r="I1914" t="inlineStr">
        <is>
          <t>Open</t>
        </is>
      </c>
      <c r="M1914">
        <f>VLOOKUP(H1914,'Stage Order'!$A$2:$B$8,2,FALSE)</f>
        <v/>
      </c>
      <c r="N1914">
        <f>IF(G1914&lt;=1,"1. Under 1 hour",IF(G1914&lt;=24,"2. 1-24 hours",IF(G1914&lt;=72,"3. 1-3 days","4. Over 3 days")))</f>
        <v/>
      </c>
      <c r="O1914">
        <f>TEXT(B1914,"YYYY-MM")</f>
        <v/>
      </c>
    </row>
    <row r="1915">
      <c r="A1915" t="inlineStr">
        <is>
          <t>LD-301913</t>
        </is>
      </c>
      <c r="B1915" t="inlineStr">
        <is>
          <t>2025-05-02 11:49:00</t>
        </is>
      </c>
      <c r="C1915" t="inlineStr">
        <is>
          <t>Organic Search</t>
        </is>
      </c>
      <c r="D1915" t="inlineStr">
        <is>
          <t>Competitive Exam Prep</t>
        </is>
      </c>
      <c r="E1915" t="inlineStr">
        <is>
          <t>South Region</t>
        </is>
      </c>
      <c r="F1915" t="inlineStr">
        <is>
          <t>Rep_02</t>
        </is>
      </c>
      <c r="G1915" t="n">
        <v>3.67</v>
      </c>
      <c r="H1915" t="inlineStr">
        <is>
          <t>Contacted</t>
        </is>
      </c>
      <c r="I1915" t="inlineStr">
        <is>
          <t>Open</t>
        </is>
      </c>
      <c r="M1915">
        <f>VLOOKUP(H1915,'Stage Order'!$A$2:$B$8,2,FALSE)</f>
        <v/>
      </c>
      <c r="N1915">
        <f>IF(G1915&lt;=1,"1. Under 1 hour",IF(G1915&lt;=24,"2. 1-24 hours",IF(G1915&lt;=72,"3. 1-3 days","4. Over 3 days")))</f>
        <v/>
      </c>
      <c r="O1915">
        <f>TEXT(B1915,"YYYY-MM")</f>
        <v/>
      </c>
    </row>
    <row r="1916">
      <c r="A1916" t="inlineStr">
        <is>
          <t>LD-301914</t>
        </is>
      </c>
      <c r="B1916" t="inlineStr">
        <is>
          <t>2025-02-21 10:16:00</t>
        </is>
      </c>
      <c r="C1916" t="inlineStr">
        <is>
          <t>Partner Channel</t>
        </is>
      </c>
      <c r="D1916" t="inlineStr">
        <is>
          <t>K-12 Math</t>
        </is>
      </c>
      <c r="E1916" t="inlineStr">
        <is>
          <t>North Region</t>
        </is>
      </c>
      <c r="F1916" t="inlineStr">
        <is>
          <t>Rep_06</t>
        </is>
      </c>
      <c r="G1916" t="n">
        <v>2.06</v>
      </c>
      <c r="H1916" t="inlineStr">
        <is>
          <t>Contacted</t>
        </is>
      </c>
      <c r="I1916" t="inlineStr">
        <is>
          <t>Open</t>
        </is>
      </c>
      <c r="M1916">
        <f>VLOOKUP(H1916,'Stage Order'!$A$2:$B$8,2,FALSE)</f>
        <v/>
      </c>
      <c r="N1916">
        <f>IF(G1916&lt;=1,"1. Under 1 hour",IF(G1916&lt;=24,"2. 1-24 hours",IF(G1916&lt;=72,"3. 1-3 days","4. Over 3 days")))</f>
        <v/>
      </c>
      <c r="O1916">
        <f>TEXT(B1916,"YYYY-MM")</f>
        <v/>
      </c>
    </row>
    <row r="1917">
      <c r="A1917" t="inlineStr">
        <is>
          <t>LD-301915</t>
        </is>
      </c>
      <c r="B1917" t="inlineStr">
        <is>
          <t>2025-09-19 09:23:00</t>
        </is>
      </c>
      <c r="C1917" t="inlineStr">
        <is>
          <t>Cold Outreach</t>
        </is>
      </c>
      <c r="D1917" t="inlineStr">
        <is>
          <t>Coding for Kids</t>
        </is>
      </c>
      <c r="E1917" t="inlineStr">
        <is>
          <t>North Region</t>
        </is>
      </c>
      <c r="F1917" t="inlineStr">
        <is>
          <t>Rep_01</t>
        </is>
      </c>
      <c r="G1917" t="n">
        <v>14.02</v>
      </c>
      <c r="H1917" t="inlineStr">
        <is>
          <t>Lead</t>
        </is>
      </c>
      <c r="I1917" t="inlineStr">
        <is>
          <t>Open</t>
        </is>
      </c>
      <c r="M1917">
        <f>VLOOKUP(H1917,'Stage Order'!$A$2:$B$8,2,FALSE)</f>
        <v/>
      </c>
      <c r="N1917">
        <f>IF(G1917&lt;=1,"1. Under 1 hour",IF(G1917&lt;=24,"2. 1-24 hours",IF(G1917&lt;=72,"3. 1-3 days","4. Over 3 days")))</f>
        <v/>
      </c>
      <c r="O1917">
        <f>TEXT(B1917,"YYYY-MM")</f>
        <v/>
      </c>
    </row>
    <row r="1918">
      <c r="A1918" t="inlineStr">
        <is>
          <t>LD-301916</t>
        </is>
      </c>
      <c r="B1918" t="inlineStr">
        <is>
          <t>2025-10-20 10:44:00</t>
        </is>
      </c>
      <c r="C1918" t="inlineStr">
        <is>
          <t>Webinar</t>
        </is>
      </c>
      <c r="D1918" t="inlineStr">
        <is>
          <t>K-12 Math</t>
        </is>
      </c>
      <c r="E1918" t="inlineStr">
        <is>
          <t>West Region</t>
        </is>
      </c>
      <c r="F1918" t="inlineStr">
        <is>
          <t>Rep_08</t>
        </is>
      </c>
      <c r="G1918" t="n">
        <v>3.75</v>
      </c>
      <c r="H1918" t="inlineStr">
        <is>
          <t>Negotiation</t>
        </is>
      </c>
      <c r="I1918" t="inlineStr">
        <is>
          <t>Lost</t>
        </is>
      </c>
      <c r="J1918" t="inlineStr">
        <is>
          <t>Price Objection</t>
        </is>
      </c>
      <c r="K1918" t="n">
        <v>570.24</v>
      </c>
      <c r="L1918" t="inlineStr">
        <is>
          <t>2025-12-04 21:31:14.553312</t>
        </is>
      </c>
      <c r="M1918">
        <f>VLOOKUP(H1918,'Stage Order'!$A$2:$B$8,2,FALSE)</f>
        <v/>
      </c>
      <c r="N1918">
        <f>IF(G1918&lt;=1,"1. Under 1 hour",IF(G1918&lt;=24,"2. 1-24 hours",IF(G1918&lt;=72,"3. 1-3 days","4. Over 3 days")))</f>
        <v/>
      </c>
      <c r="O1918">
        <f>TEXT(B1918,"YYYY-MM")</f>
        <v/>
      </c>
    </row>
    <row r="1919">
      <c r="A1919" t="inlineStr">
        <is>
          <t>LD-301917</t>
        </is>
      </c>
      <c r="B1919" t="inlineStr">
        <is>
          <t>2026-04-17 18:01:00</t>
        </is>
      </c>
      <c r="C1919" t="inlineStr">
        <is>
          <t>Organic Search</t>
        </is>
      </c>
      <c r="D1919" t="inlineStr">
        <is>
          <t>Competitive Exam Prep</t>
        </is>
      </c>
      <c r="E1919" t="inlineStr">
        <is>
          <t>East Region</t>
        </is>
      </c>
      <c r="F1919" t="inlineStr">
        <is>
          <t>Rep_14</t>
        </is>
      </c>
      <c r="G1919" t="n">
        <v>6.52</v>
      </c>
      <c r="H1919" t="inlineStr">
        <is>
          <t>Contacted</t>
        </is>
      </c>
      <c r="I1919" t="inlineStr">
        <is>
          <t>Open</t>
        </is>
      </c>
      <c r="M1919">
        <f>VLOOKUP(H1919,'Stage Order'!$A$2:$B$8,2,FALSE)</f>
        <v/>
      </c>
      <c r="N1919">
        <f>IF(G1919&lt;=1,"1. Under 1 hour",IF(G1919&lt;=24,"2. 1-24 hours",IF(G1919&lt;=72,"3. 1-3 days","4. Over 3 days")))</f>
        <v/>
      </c>
      <c r="O1919">
        <f>TEXT(B1919,"YYYY-MM")</f>
        <v/>
      </c>
    </row>
    <row r="1920">
      <c r="A1920" t="inlineStr">
        <is>
          <t>LD-301918</t>
        </is>
      </c>
      <c r="B1920" t="inlineStr">
        <is>
          <t>2025-04-14 15:06:00</t>
        </is>
      </c>
      <c r="C1920" t="inlineStr">
        <is>
          <t>Organic Search</t>
        </is>
      </c>
      <c r="D1920" t="inlineStr">
        <is>
          <t>Competitive Exam Prep</t>
        </is>
      </c>
      <c r="E1920" t="inlineStr">
        <is>
          <t>East Region</t>
        </is>
      </c>
      <c r="F1920" t="inlineStr">
        <is>
          <t>Rep_14</t>
        </is>
      </c>
      <c r="G1920" t="n">
        <v>5.76</v>
      </c>
      <c r="H1920" t="inlineStr">
        <is>
          <t>Lead</t>
        </is>
      </c>
      <c r="I1920" t="inlineStr">
        <is>
          <t>Open</t>
        </is>
      </c>
      <c r="M1920">
        <f>VLOOKUP(H1920,'Stage Order'!$A$2:$B$8,2,FALSE)</f>
        <v/>
      </c>
      <c r="N1920">
        <f>IF(G1920&lt;=1,"1. Under 1 hour",IF(G1920&lt;=24,"2. 1-24 hours",IF(G1920&lt;=72,"3. 1-3 days","4. Over 3 days")))</f>
        <v/>
      </c>
      <c r="O1920">
        <f>TEXT(B1920,"YYYY-MM")</f>
        <v/>
      </c>
    </row>
    <row r="1921">
      <c r="A1921" t="inlineStr">
        <is>
          <t>LD-301919</t>
        </is>
      </c>
      <c r="B1921" t="inlineStr">
        <is>
          <t>2026-01-15 17:19:00</t>
        </is>
      </c>
      <c r="C1921" t="inlineStr">
        <is>
          <t>Webinar</t>
        </is>
      </c>
      <c r="D1921" t="inlineStr">
        <is>
          <t>Competitive Exam Prep</t>
        </is>
      </c>
      <c r="E1921" t="inlineStr">
        <is>
          <t>East Region</t>
        </is>
      </c>
      <c r="F1921" t="inlineStr">
        <is>
          <t>Rep_09</t>
        </is>
      </c>
      <c r="G1921" t="n">
        <v>7.33</v>
      </c>
      <c r="H1921" t="inlineStr">
        <is>
          <t>Closed</t>
        </is>
      </c>
      <c r="I1921" t="inlineStr">
        <is>
          <t>Won</t>
        </is>
      </c>
      <c r="K1921" t="n">
        <v>1029.15</v>
      </c>
      <c r="L1921" t="inlineStr">
        <is>
          <t>2026-02-12 03:59:07.803219</t>
        </is>
      </c>
      <c r="M1921">
        <f>VLOOKUP(H1921,'Stage Order'!$A$2:$B$8,2,FALSE)</f>
        <v/>
      </c>
      <c r="N1921">
        <f>IF(G1921&lt;=1,"1. Under 1 hour",IF(G1921&lt;=24,"2. 1-24 hours",IF(G1921&lt;=72,"3. 1-3 days","4. Over 3 days")))</f>
        <v/>
      </c>
      <c r="O1921">
        <f>TEXT(B1921,"YYYY-MM")</f>
        <v/>
      </c>
    </row>
    <row r="1922">
      <c r="A1922" t="inlineStr">
        <is>
          <t>LD-301920</t>
        </is>
      </c>
      <c r="B1922" t="inlineStr">
        <is>
          <t>2025-04-23 20:05:00</t>
        </is>
      </c>
      <c r="C1922" t="inlineStr">
        <is>
          <t>Partner Channel</t>
        </is>
      </c>
      <c r="D1922" t="inlineStr">
        <is>
          <t>Competitive Exam Prep</t>
        </is>
      </c>
      <c r="E1922" t="inlineStr">
        <is>
          <t>International</t>
        </is>
      </c>
      <c r="F1922" t="inlineStr">
        <is>
          <t>Rep_15</t>
        </is>
      </c>
      <c r="G1922" t="n">
        <v>14</v>
      </c>
      <c r="H1922" t="inlineStr">
        <is>
          <t>Negotiation</t>
        </is>
      </c>
      <c r="I1922" t="inlineStr">
        <is>
          <t>Lost</t>
        </is>
      </c>
      <c r="J1922" t="inlineStr">
        <is>
          <t>No Response / Ghosted</t>
        </is>
      </c>
      <c r="K1922" t="n">
        <v>935.16</v>
      </c>
      <c r="L1922" t="inlineStr">
        <is>
          <t>2025-06-04 22:30:52.517520</t>
        </is>
      </c>
      <c r="M1922">
        <f>VLOOKUP(H1922,'Stage Order'!$A$2:$B$8,2,FALSE)</f>
        <v/>
      </c>
      <c r="N1922">
        <f>IF(G1922&lt;=1,"1. Under 1 hour",IF(G1922&lt;=24,"2. 1-24 hours",IF(G1922&lt;=72,"3. 1-3 days","4. Over 3 days")))</f>
        <v/>
      </c>
      <c r="O1922">
        <f>TEXT(B1922,"YYYY-MM")</f>
        <v/>
      </c>
    </row>
    <row r="1923">
      <c r="A1923" t="inlineStr">
        <is>
          <t>LD-301921</t>
        </is>
      </c>
      <c r="B1923" t="inlineStr">
        <is>
          <t>2025-07-04 11:09:00</t>
        </is>
      </c>
      <c r="C1923" t="inlineStr">
        <is>
          <t>Paid Search</t>
        </is>
      </c>
      <c r="D1923" t="inlineStr">
        <is>
          <t>Study Abroad Prep</t>
        </is>
      </c>
      <c r="E1923" t="inlineStr">
        <is>
          <t>North Region</t>
        </is>
      </c>
      <c r="F1923" t="inlineStr">
        <is>
          <t>Rep_06</t>
        </is>
      </c>
      <c r="G1923" t="n">
        <v>1.4</v>
      </c>
      <c r="H1923" t="inlineStr">
        <is>
          <t>Contacted</t>
        </is>
      </c>
      <c r="I1923" t="inlineStr">
        <is>
          <t>Open</t>
        </is>
      </c>
      <c r="M1923">
        <f>VLOOKUP(H1923,'Stage Order'!$A$2:$B$8,2,FALSE)</f>
        <v/>
      </c>
      <c r="N1923">
        <f>IF(G1923&lt;=1,"1. Under 1 hour",IF(G1923&lt;=24,"2. 1-24 hours",IF(G1923&lt;=72,"3. 1-3 days","4. Over 3 days")))</f>
        <v/>
      </c>
      <c r="O1923">
        <f>TEXT(B1923,"YYYY-MM")</f>
        <v/>
      </c>
    </row>
    <row r="1924">
      <c r="A1924" t="inlineStr">
        <is>
          <t>LD-301922</t>
        </is>
      </c>
      <c r="B1924" t="inlineStr">
        <is>
          <t>2025-07-24 11:36:00</t>
        </is>
      </c>
      <c r="C1924" t="inlineStr">
        <is>
          <t>Referral</t>
        </is>
      </c>
      <c r="D1924" t="inlineStr">
        <is>
          <t>Competitive Exam Prep</t>
        </is>
      </c>
      <c r="E1924" t="inlineStr">
        <is>
          <t>South Region</t>
        </is>
      </c>
      <c r="F1924" t="inlineStr">
        <is>
          <t>Rep_12</t>
        </is>
      </c>
      <c r="G1924" t="n">
        <v>0.9</v>
      </c>
      <c r="H1924" t="inlineStr">
        <is>
          <t>Closed</t>
        </is>
      </c>
      <c r="I1924" t="inlineStr">
        <is>
          <t>Won</t>
        </is>
      </c>
      <c r="K1924" t="n">
        <v>818.0700000000001</v>
      </c>
      <c r="L1924" t="inlineStr">
        <is>
          <t>2025-09-04 06:19:33.419110</t>
        </is>
      </c>
      <c r="M1924">
        <f>VLOOKUP(H1924,'Stage Order'!$A$2:$B$8,2,FALSE)</f>
        <v/>
      </c>
      <c r="N1924">
        <f>IF(G1924&lt;=1,"1. Under 1 hour",IF(G1924&lt;=24,"2. 1-24 hours",IF(G1924&lt;=72,"3. 1-3 days","4. Over 3 days")))</f>
        <v/>
      </c>
      <c r="O1924">
        <f>TEXT(B1924,"YYYY-MM")</f>
        <v/>
      </c>
    </row>
    <row r="1925">
      <c r="A1925" t="inlineStr">
        <is>
          <t>LD-301923</t>
        </is>
      </c>
      <c r="B1925" t="inlineStr">
        <is>
          <t>2025-06-20 13:33:00</t>
        </is>
      </c>
      <c r="C1925" t="inlineStr">
        <is>
          <t>Partner Channel</t>
        </is>
      </c>
      <c r="D1925" t="inlineStr">
        <is>
          <t>Competitive Exam Prep</t>
        </is>
      </c>
      <c r="E1925" t="inlineStr">
        <is>
          <t>South Region</t>
        </is>
      </c>
      <c r="F1925" t="inlineStr">
        <is>
          <t>Rep_07</t>
        </is>
      </c>
      <c r="G1925" t="n">
        <v>2.94</v>
      </c>
      <c r="H1925" t="inlineStr">
        <is>
          <t>Negotiation</t>
        </is>
      </c>
      <c r="I1925" t="inlineStr">
        <is>
          <t>Lost</t>
        </is>
      </c>
      <c r="J1925" t="inlineStr">
        <is>
          <t>No Response / Ghosted</t>
        </is>
      </c>
      <c r="K1925" t="n">
        <v>1015.46</v>
      </c>
      <c r="L1925" t="inlineStr">
        <is>
          <t>2025-08-10 19:15:35.709332</t>
        </is>
      </c>
      <c r="M1925">
        <f>VLOOKUP(H1925,'Stage Order'!$A$2:$B$8,2,FALSE)</f>
        <v/>
      </c>
      <c r="N1925">
        <f>IF(G1925&lt;=1,"1. Under 1 hour",IF(G1925&lt;=24,"2. 1-24 hours",IF(G1925&lt;=72,"3. 1-3 days","4. Over 3 days")))</f>
        <v/>
      </c>
      <c r="O1925">
        <f>TEXT(B1925,"YYYY-MM")</f>
        <v/>
      </c>
    </row>
    <row r="1926">
      <c r="A1926" t="inlineStr">
        <is>
          <t>LD-301924</t>
        </is>
      </c>
      <c r="B1926" t="inlineStr">
        <is>
          <t>2025-08-15 18:06:00</t>
        </is>
      </c>
      <c r="C1926" t="inlineStr">
        <is>
          <t>Paid Search</t>
        </is>
      </c>
      <c r="D1926" t="inlineStr">
        <is>
          <t>Competitive Exam Prep</t>
        </is>
      </c>
      <c r="E1926" t="inlineStr">
        <is>
          <t>South Region</t>
        </is>
      </c>
      <c r="F1926" t="inlineStr">
        <is>
          <t>Rep_07</t>
        </is>
      </c>
      <c r="G1926" t="n">
        <v>4.26</v>
      </c>
      <c r="H1926" t="inlineStr">
        <is>
          <t>Closed</t>
        </is>
      </c>
      <c r="I1926" t="inlineStr">
        <is>
          <t>Won</t>
        </is>
      </c>
      <c r="K1926" t="n">
        <v>909.22</v>
      </c>
      <c r="L1926" t="inlineStr">
        <is>
          <t>2025-09-20 04:12:43.947345</t>
        </is>
      </c>
      <c r="M1926">
        <f>VLOOKUP(H1926,'Stage Order'!$A$2:$B$8,2,FALSE)</f>
        <v/>
      </c>
      <c r="N1926">
        <f>IF(G1926&lt;=1,"1. Under 1 hour",IF(G1926&lt;=24,"2. 1-24 hours",IF(G1926&lt;=72,"3. 1-3 days","4. Over 3 days")))</f>
        <v/>
      </c>
      <c r="O1926">
        <f>TEXT(B1926,"YYYY-MM")</f>
        <v/>
      </c>
    </row>
    <row r="1927">
      <c r="A1927" t="inlineStr">
        <is>
          <t>LD-301925</t>
        </is>
      </c>
      <c r="B1927" t="inlineStr">
        <is>
          <t>2026-02-28 09:23:00</t>
        </is>
      </c>
      <c r="C1927" t="inlineStr">
        <is>
          <t>Cold Outreach</t>
        </is>
      </c>
      <c r="D1927" t="inlineStr">
        <is>
          <t>Competitive Exam Prep</t>
        </is>
      </c>
      <c r="E1927" t="inlineStr">
        <is>
          <t>North Region</t>
        </is>
      </c>
      <c r="F1927" t="inlineStr">
        <is>
          <t>Rep_06</t>
        </is>
      </c>
      <c r="G1927" t="n">
        <v>10.33</v>
      </c>
      <c r="H1927" t="inlineStr">
        <is>
          <t>Lead</t>
        </is>
      </c>
      <c r="I1927" t="inlineStr">
        <is>
          <t>Open</t>
        </is>
      </c>
      <c r="M1927">
        <f>VLOOKUP(H1927,'Stage Order'!$A$2:$B$8,2,FALSE)</f>
        <v/>
      </c>
      <c r="N1927">
        <f>IF(G1927&lt;=1,"1. Under 1 hour",IF(G1927&lt;=24,"2. 1-24 hours",IF(G1927&lt;=72,"3. 1-3 days","4. Over 3 days")))</f>
        <v/>
      </c>
      <c r="O1927">
        <f>TEXT(B1927,"YYYY-MM")</f>
        <v/>
      </c>
    </row>
    <row r="1928">
      <c r="A1928" t="inlineStr">
        <is>
          <t>LD-301926</t>
        </is>
      </c>
      <c r="B1928" t="inlineStr">
        <is>
          <t>2026-02-11 12:53:00</t>
        </is>
      </c>
      <c r="C1928" t="inlineStr">
        <is>
          <t>Partner Channel</t>
        </is>
      </c>
      <c r="D1928" t="inlineStr">
        <is>
          <t>Language Learning</t>
        </is>
      </c>
      <c r="E1928" t="inlineStr">
        <is>
          <t>South Region</t>
        </is>
      </c>
      <c r="F1928" t="inlineStr">
        <is>
          <t>Rep_02</t>
        </is>
      </c>
      <c r="G1928" t="n">
        <v>2.87</v>
      </c>
      <c r="H1928" t="inlineStr">
        <is>
          <t>Closed</t>
        </is>
      </c>
      <c r="I1928" t="inlineStr">
        <is>
          <t>Won</t>
        </is>
      </c>
      <c r="K1928" t="n">
        <v>352.13</v>
      </c>
      <c r="L1928" t="inlineStr">
        <is>
          <t>2026-03-23 12:05:59.399714</t>
        </is>
      </c>
      <c r="M1928">
        <f>VLOOKUP(H1928,'Stage Order'!$A$2:$B$8,2,FALSE)</f>
        <v/>
      </c>
      <c r="N1928">
        <f>IF(G1928&lt;=1,"1. Under 1 hour",IF(G1928&lt;=24,"2. 1-24 hours",IF(G1928&lt;=72,"3. 1-3 days","4. Over 3 days")))</f>
        <v/>
      </c>
      <c r="O1928">
        <f>TEXT(B1928,"YYYY-MM")</f>
        <v/>
      </c>
    </row>
    <row r="1929">
      <c r="A1929" t="inlineStr">
        <is>
          <t>LD-301927</t>
        </is>
      </c>
      <c r="B1929" t="inlineStr">
        <is>
          <t>2026-05-11 18:10:00</t>
        </is>
      </c>
      <c r="C1929" t="inlineStr">
        <is>
          <t>Organic Search</t>
        </is>
      </c>
      <c r="D1929" t="inlineStr">
        <is>
          <t>Study Abroad Prep</t>
        </is>
      </c>
      <c r="E1929" t="inlineStr">
        <is>
          <t>East Region</t>
        </is>
      </c>
      <c r="F1929" t="inlineStr">
        <is>
          <t>Rep_04</t>
        </is>
      </c>
      <c r="G1929" t="n">
        <v>0.68</v>
      </c>
      <c r="H1929" t="inlineStr">
        <is>
          <t>Contacted</t>
        </is>
      </c>
      <c r="I1929" t="inlineStr">
        <is>
          <t>Open</t>
        </is>
      </c>
      <c r="M1929">
        <f>VLOOKUP(H1929,'Stage Order'!$A$2:$B$8,2,FALSE)</f>
        <v/>
      </c>
      <c r="N1929">
        <f>IF(G1929&lt;=1,"1. Under 1 hour",IF(G1929&lt;=24,"2. 1-24 hours",IF(G1929&lt;=72,"3. 1-3 days","4. Over 3 days")))</f>
        <v/>
      </c>
      <c r="O1929">
        <f>TEXT(B1929,"YYYY-MM")</f>
        <v/>
      </c>
    </row>
    <row r="1930">
      <c r="A1930" t="inlineStr">
        <is>
          <t>LD-301928</t>
        </is>
      </c>
      <c r="B1930" t="inlineStr">
        <is>
          <t>2026-04-10 14:12:00</t>
        </is>
      </c>
      <c r="C1930" t="inlineStr">
        <is>
          <t>Organic Search</t>
        </is>
      </c>
      <c r="D1930" t="inlineStr">
        <is>
          <t>K-12 Math</t>
        </is>
      </c>
      <c r="E1930" t="inlineStr">
        <is>
          <t>International</t>
        </is>
      </c>
      <c r="F1930" t="inlineStr">
        <is>
          <t>Rep_10</t>
        </is>
      </c>
      <c r="G1930" t="n">
        <v>1.66</v>
      </c>
      <c r="H1930" t="inlineStr">
        <is>
          <t>Contacted</t>
        </is>
      </c>
      <c r="I1930" t="inlineStr">
        <is>
          <t>Open</t>
        </is>
      </c>
      <c r="M1930">
        <f>VLOOKUP(H1930,'Stage Order'!$A$2:$B$8,2,FALSE)</f>
        <v/>
      </c>
      <c r="N1930">
        <f>IF(G1930&lt;=1,"1. Under 1 hour",IF(G1930&lt;=24,"2. 1-24 hours",IF(G1930&lt;=72,"3. 1-3 days","4. Over 3 days")))</f>
        <v/>
      </c>
      <c r="O1930">
        <f>TEXT(B1930,"YYYY-MM")</f>
        <v/>
      </c>
    </row>
    <row r="1931">
      <c r="A1931" t="inlineStr">
        <is>
          <t>LD-301929</t>
        </is>
      </c>
      <c r="B1931" t="inlineStr">
        <is>
          <t>2025-05-02 07:32:00</t>
        </is>
      </c>
      <c r="C1931" t="inlineStr">
        <is>
          <t>Social Media</t>
        </is>
      </c>
      <c r="D1931" t="inlineStr">
        <is>
          <t>K-12 Math</t>
        </is>
      </c>
      <c r="E1931" t="inlineStr">
        <is>
          <t>West Region</t>
        </is>
      </c>
      <c r="F1931" t="inlineStr">
        <is>
          <t>Rep_13</t>
        </is>
      </c>
      <c r="G1931" t="n">
        <v>2.15</v>
      </c>
      <c r="H1931" t="inlineStr">
        <is>
          <t>Demo Scheduled</t>
        </is>
      </c>
      <c r="I1931" t="inlineStr">
        <is>
          <t>Open</t>
        </is>
      </c>
      <c r="M1931">
        <f>VLOOKUP(H1931,'Stage Order'!$A$2:$B$8,2,FALSE)</f>
        <v/>
      </c>
      <c r="N1931">
        <f>IF(G1931&lt;=1,"1. Under 1 hour",IF(G1931&lt;=24,"2. 1-24 hours",IF(G1931&lt;=72,"3. 1-3 days","4. Over 3 days")))</f>
        <v/>
      </c>
      <c r="O1931">
        <f>TEXT(B1931,"YYYY-MM")</f>
        <v/>
      </c>
    </row>
    <row r="1932">
      <c r="A1932" t="inlineStr">
        <is>
          <t>LD-301930</t>
        </is>
      </c>
      <c r="B1932" t="inlineStr">
        <is>
          <t>2025-06-26 16:58:00</t>
        </is>
      </c>
      <c r="C1932" t="inlineStr">
        <is>
          <t>Paid Search</t>
        </is>
      </c>
      <c r="D1932" t="inlineStr">
        <is>
          <t>Competitive Exam Prep</t>
        </is>
      </c>
      <c r="E1932" t="inlineStr">
        <is>
          <t>North Region</t>
        </is>
      </c>
      <c r="F1932" t="inlineStr">
        <is>
          <t>Rep_06</t>
        </is>
      </c>
      <c r="G1932" t="n">
        <v>10.18</v>
      </c>
      <c r="H1932" t="inlineStr">
        <is>
          <t>Lead</t>
        </is>
      </c>
      <c r="I1932" t="inlineStr">
        <is>
          <t>Open</t>
        </is>
      </c>
      <c r="M1932">
        <f>VLOOKUP(H1932,'Stage Order'!$A$2:$B$8,2,FALSE)</f>
        <v/>
      </c>
      <c r="N1932">
        <f>IF(G1932&lt;=1,"1. Under 1 hour",IF(G1932&lt;=24,"2. 1-24 hours",IF(G1932&lt;=72,"3. 1-3 days","4. Over 3 days")))</f>
        <v/>
      </c>
      <c r="O1932">
        <f>TEXT(B1932,"YYYY-MM")</f>
        <v/>
      </c>
    </row>
    <row r="1933">
      <c r="A1933" t="inlineStr">
        <is>
          <t>LD-301931</t>
        </is>
      </c>
      <c r="B1933" t="inlineStr">
        <is>
          <t>2025-01-30 08:25:00</t>
        </is>
      </c>
      <c r="C1933" t="inlineStr">
        <is>
          <t>Paid Search</t>
        </is>
      </c>
      <c r="D1933" t="inlineStr">
        <is>
          <t>K-12 Math</t>
        </is>
      </c>
      <c r="E1933" t="inlineStr">
        <is>
          <t>West Region</t>
        </is>
      </c>
      <c r="F1933" t="inlineStr">
        <is>
          <t>Rep_03</t>
        </is>
      </c>
      <c r="G1933" t="n">
        <v>2.47</v>
      </c>
      <c r="H1933" t="inlineStr">
        <is>
          <t>Contacted</t>
        </is>
      </c>
      <c r="I1933" t="inlineStr">
        <is>
          <t>Open</t>
        </is>
      </c>
      <c r="M1933">
        <f>VLOOKUP(H1933,'Stage Order'!$A$2:$B$8,2,FALSE)</f>
        <v/>
      </c>
      <c r="N1933">
        <f>IF(G1933&lt;=1,"1. Under 1 hour",IF(G1933&lt;=24,"2. 1-24 hours",IF(G1933&lt;=72,"3. 1-3 days","4. Over 3 days")))</f>
        <v/>
      </c>
      <c r="O1933">
        <f>TEXT(B1933,"YYYY-MM")</f>
        <v/>
      </c>
    </row>
    <row r="1934">
      <c r="A1934" t="inlineStr">
        <is>
          <t>LD-301932</t>
        </is>
      </c>
      <c r="B1934" t="inlineStr">
        <is>
          <t>2025-04-30 16:39:00</t>
        </is>
      </c>
      <c r="C1934" t="inlineStr">
        <is>
          <t>Paid Search</t>
        </is>
      </c>
      <c r="D1934" t="inlineStr">
        <is>
          <t>Competitive Exam Prep</t>
        </is>
      </c>
      <c r="E1934" t="inlineStr">
        <is>
          <t>South Region</t>
        </is>
      </c>
      <c r="F1934" t="inlineStr">
        <is>
          <t>Rep_07</t>
        </is>
      </c>
      <c r="G1934" t="n">
        <v>2.89</v>
      </c>
      <c r="H1934" t="inlineStr">
        <is>
          <t>Negotiation</t>
        </is>
      </c>
      <c r="I1934" t="inlineStr">
        <is>
          <t>Lost</t>
        </is>
      </c>
      <c r="J1934" t="inlineStr">
        <is>
          <t>Price Objection</t>
        </is>
      </c>
      <c r="K1934" t="n">
        <v>970.17</v>
      </c>
      <c r="L1934" t="inlineStr">
        <is>
          <t>2025-06-07 12:21:08.909876</t>
        </is>
      </c>
      <c r="M1934">
        <f>VLOOKUP(H1934,'Stage Order'!$A$2:$B$8,2,FALSE)</f>
        <v/>
      </c>
      <c r="N1934">
        <f>IF(G1934&lt;=1,"1. Under 1 hour",IF(G1934&lt;=24,"2. 1-24 hours",IF(G1934&lt;=72,"3. 1-3 days","4. Over 3 days")))</f>
        <v/>
      </c>
      <c r="O1934">
        <f>TEXT(B1934,"YYYY-MM")</f>
        <v/>
      </c>
    </row>
    <row r="1935">
      <c r="A1935" t="inlineStr">
        <is>
          <t>LD-301933</t>
        </is>
      </c>
      <c r="B1935" t="inlineStr">
        <is>
          <t>2025-11-20 17:54:00</t>
        </is>
      </c>
      <c r="C1935" t="inlineStr">
        <is>
          <t>Organic Search</t>
        </is>
      </c>
      <c r="D1935" t="inlineStr">
        <is>
          <t>K-12 Math</t>
        </is>
      </c>
      <c r="E1935" t="inlineStr">
        <is>
          <t>East Region</t>
        </is>
      </c>
      <c r="F1935" t="inlineStr">
        <is>
          <t>Rep_04</t>
        </is>
      </c>
      <c r="G1935" t="n">
        <v>3.12</v>
      </c>
      <c r="H1935" t="inlineStr">
        <is>
          <t>Contacted</t>
        </is>
      </c>
      <c r="I1935" t="inlineStr">
        <is>
          <t>Open</t>
        </is>
      </c>
      <c r="M1935">
        <f>VLOOKUP(H1935,'Stage Order'!$A$2:$B$8,2,FALSE)</f>
        <v/>
      </c>
      <c r="N1935">
        <f>IF(G1935&lt;=1,"1. Under 1 hour",IF(G1935&lt;=24,"2. 1-24 hours",IF(G1935&lt;=72,"3. 1-3 days","4. Over 3 days")))</f>
        <v/>
      </c>
      <c r="O1935">
        <f>TEXT(B1935,"YYYY-MM")</f>
        <v/>
      </c>
    </row>
    <row r="1936">
      <c r="A1936" t="inlineStr">
        <is>
          <t>LD-301934</t>
        </is>
      </c>
      <c r="B1936" t="inlineStr">
        <is>
          <t>2025-05-12 16:25:00</t>
        </is>
      </c>
      <c r="C1936" t="inlineStr">
        <is>
          <t>Organic Search</t>
        </is>
      </c>
      <c r="D1936" t="inlineStr">
        <is>
          <t>K-12 Math</t>
        </is>
      </c>
      <c r="E1936" t="inlineStr">
        <is>
          <t>International</t>
        </is>
      </c>
      <c r="F1936" t="inlineStr">
        <is>
          <t>Rep_05</t>
        </is>
      </c>
      <c r="G1936" t="n">
        <v>1.8</v>
      </c>
      <c r="H1936" t="inlineStr">
        <is>
          <t>Closed</t>
        </is>
      </c>
      <c r="I1936" t="inlineStr">
        <is>
          <t>Won</t>
        </is>
      </c>
      <c r="K1936" t="n">
        <v>575.53</v>
      </c>
      <c r="L1936" t="inlineStr">
        <is>
          <t>2025-06-26 16:16:25.255745</t>
        </is>
      </c>
      <c r="M1936">
        <f>VLOOKUP(H1936,'Stage Order'!$A$2:$B$8,2,FALSE)</f>
        <v/>
      </c>
      <c r="N1936">
        <f>IF(G1936&lt;=1,"1. Under 1 hour",IF(G1936&lt;=24,"2. 1-24 hours",IF(G1936&lt;=72,"3. 1-3 days","4. Over 3 days")))</f>
        <v/>
      </c>
      <c r="O1936">
        <f>TEXT(B1936,"YYYY-MM")</f>
        <v/>
      </c>
    </row>
    <row r="1937">
      <c r="A1937" t="inlineStr">
        <is>
          <t>LD-301935</t>
        </is>
      </c>
      <c r="B1937" t="inlineStr">
        <is>
          <t>2026-05-22 12:54:00</t>
        </is>
      </c>
      <c r="C1937" t="inlineStr">
        <is>
          <t>Paid Search</t>
        </is>
      </c>
      <c r="D1937" t="inlineStr">
        <is>
          <t>Study Abroad Prep</t>
        </is>
      </c>
      <c r="E1937" t="inlineStr">
        <is>
          <t>West Region</t>
        </is>
      </c>
      <c r="F1937" t="inlineStr">
        <is>
          <t>Rep_03</t>
        </is>
      </c>
      <c r="G1937" t="n">
        <v>1.1</v>
      </c>
      <c r="H1937" t="inlineStr">
        <is>
          <t>Demo Scheduled</t>
        </is>
      </c>
      <c r="I1937" t="inlineStr">
        <is>
          <t>Open</t>
        </is>
      </c>
      <c r="M1937">
        <f>VLOOKUP(H1937,'Stage Order'!$A$2:$B$8,2,FALSE)</f>
        <v/>
      </c>
      <c r="N1937">
        <f>IF(G1937&lt;=1,"1. Under 1 hour",IF(G1937&lt;=24,"2. 1-24 hours",IF(G1937&lt;=72,"3. 1-3 days","4. Over 3 days")))</f>
        <v/>
      </c>
      <c r="O1937">
        <f>TEXT(B1937,"YYYY-MM")</f>
        <v/>
      </c>
    </row>
    <row r="1938">
      <c r="A1938" t="inlineStr">
        <is>
          <t>LD-301936</t>
        </is>
      </c>
      <c r="B1938" t="inlineStr">
        <is>
          <t>2025-12-15 20:00:00</t>
        </is>
      </c>
      <c r="C1938" t="inlineStr">
        <is>
          <t>Paid Search</t>
        </is>
      </c>
      <c r="D1938" t="inlineStr">
        <is>
          <t>Coding for Kids</t>
        </is>
      </c>
      <c r="E1938" t="inlineStr">
        <is>
          <t>North Region</t>
        </is>
      </c>
      <c r="F1938" t="inlineStr">
        <is>
          <t>Rep_11</t>
        </is>
      </c>
      <c r="G1938" t="n">
        <v>2.86</v>
      </c>
      <c r="H1938" t="inlineStr">
        <is>
          <t>Proposal Sent</t>
        </is>
      </c>
      <c r="I1938" t="inlineStr">
        <is>
          <t>Lost</t>
        </is>
      </c>
      <c r="J1938" t="inlineStr">
        <is>
          <t>Budget Not Approved</t>
        </is>
      </c>
      <c r="K1938" t="n">
        <v>538.78</v>
      </c>
      <c r="L1938" t="inlineStr">
        <is>
          <t>2026-01-25 20:03:14.553859</t>
        </is>
      </c>
      <c r="M1938">
        <f>VLOOKUP(H1938,'Stage Order'!$A$2:$B$8,2,FALSE)</f>
        <v/>
      </c>
      <c r="N1938">
        <f>IF(G1938&lt;=1,"1. Under 1 hour",IF(G1938&lt;=24,"2. 1-24 hours",IF(G1938&lt;=72,"3. 1-3 days","4. Over 3 days")))</f>
        <v/>
      </c>
      <c r="O1938">
        <f>TEXT(B1938,"YYYY-MM")</f>
        <v/>
      </c>
    </row>
    <row r="1939">
      <c r="A1939" t="inlineStr">
        <is>
          <t>LD-301937</t>
        </is>
      </c>
      <c r="B1939" t="inlineStr">
        <is>
          <t>2025-10-03 20:13:00</t>
        </is>
      </c>
      <c r="C1939" t="inlineStr">
        <is>
          <t>Paid Search</t>
        </is>
      </c>
      <c r="D1939" t="inlineStr">
        <is>
          <t>Competitive Exam Prep</t>
        </is>
      </c>
      <c r="E1939" t="inlineStr">
        <is>
          <t>South Region</t>
        </is>
      </c>
      <c r="F1939" t="inlineStr">
        <is>
          <t>Rep_07</t>
        </is>
      </c>
      <c r="G1939" t="n">
        <v>1.96</v>
      </c>
      <c r="H1939" t="inlineStr">
        <is>
          <t>Demo Completed</t>
        </is>
      </c>
      <c r="I1939" t="inlineStr">
        <is>
          <t>Lost</t>
        </is>
      </c>
      <c r="J1939" t="inlineStr">
        <is>
          <t>Price Objection</t>
        </is>
      </c>
      <c r="K1939" t="n">
        <v>956.12</v>
      </c>
      <c r="L1939" t="inlineStr">
        <is>
          <t>2025-11-04 20:37:08.241224</t>
        </is>
      </c>
      <c r="M1939">
        <f>VLOOKUP(H1939,'Stage Order'!$A$2:$B$8,2,FALSE)</f>
        <v/>
      </c>
      <c r="N1939">
        <f>IF(G1939&lt;=1,"1. Under 1 hour",IF(G1939&lt;=24,"2. 1-24 hours",IF(G1939&lt;=72,"3. 1-3 days","4. Over 3 days")))</f>
        <v/>
      </c>
      <c r="O1939">
        <f>TEXT(B1939,"YYYY-MM")</f>
        <v/>
      </c>
    </row>
    <row r="1940">
      <c r="A1940" t="inlineStr">
        <is>
          <t>LD-301938</t>
        </is>
      </c>
      <c r="B1940" t="inlineStr">
        <is>
          <t>2025-08-22 15:17:00</t>
        </is>
      </c>
      <c r="C1940" t="inlineStr">
        <is>
          <t>Paid Search</t>
        </is>
      </c>
      <c r="D1940" t="inlineStr">
        <is>
          <t>Competitive Exam Prep</t>
        </is>
      </c>
      <c r="E1940" t="inlineStr">
        <is>
          <t>South Region</t>
        </is>
      </c>
      <c r="F1940" t="inlineStr">
        <is>
          <t>Rep_02</t>
        </is>
      </c>
      <c r="G1940" t="n">
        <v>2.15</v>
      </c>
      <c r="H1940" t="inlineStr">
        <is>
          <t>Contacted</t>
        </is>
      </c>
      <c r="I1940" t="inlineStr">
        <is>
          <t>Open</t>
        </is>
      </c>
      <c r="M1940">
        <f>VLOOKUP(H1940,'Stage Order'!$A$2:$B$8,2,FALSE)</f>
        <v/>
      </c>
      <c r="N1940">
        <f>IF(G1940&lt;=1,"1. Under 1 hour",IF(G1940&lt;=24,"2. 1-24 hours",IF(G1940&lt;=72,"3. 1-3 days","4. Over 3 days")))</f>
        <v/>
      </c>
      <c r="O1940">
        <f>TEXT(B1940,"YYYY-MM")</f>
        <v/>
      </c>
    </row>
    <row r="1941">
      <c r="A1941" t="inlineStr">
        <is>
          <t>LD-301939</t>
        </is>
      </c>
      <c r="B1941" t="inlineStr">
        <is>
          <t>2025-01-24 13:30:00</t>
        </is>
      </c>
      <c r="C1941" t="inlineStr">
        <is>
          <t>Social Media</t>
        </is>
      </c>
      <c r="D1941" t="inlineStr">
        <is>
          <t>Coding for Kids</t>
        </is>
      </c>
      <c r="E1941" t="inlineStr">
        <is>
          <t>East Region</t>
        </is>
      </c>
      <c r="F1941" t="inlineStr">
        <is>
          <t>Rep_09</t>
        </is>
      </c>
      <c r="G1941" t="n">
        <v>1.54</v>
      </c>
      <c r="H1941" t="inlineStr">
        <is>
          <t>Contacted</t>
        </is>
      </c>
      <c r="I1941" t="inlineStr">
        <is>
          <t>Open</t>
        </is>
      </c>
      <c r="M1941">
        <f>VLOOKUP(H1941,'Stage Order'!$A$2:$B$8,2,FALSE)</f>
        <v/>
      </c>
      <c r="N1941">
        <f>IF(G1941&lt;=1,"1. Under 1 hour",IF(G1941&lt;=24,"2. 1-24 hours",IF(G1941&lt;=72,"3. 1-3 days","4. Over 3 days")))</f>
        <v/>
      </c>
      <c r="O1941">
        <f>TEXT(B1941,"YYYY-MM")</f>
        <v/>
      </c>
    </row>
    <row r="1942">
      <c r="A1942" t="inlineStr">
        <is>
          <t>LD-301940</t>
        </is>
      </c>
      <c r="B1942" t="inlineStr">
        <is>
          <t>2026-02-13 09:09:00</t>
        </is>
      </c>
      <c r="C1942" t="inlineStr">
        <is>
          <t>Referral</t>
        </is>
      </c>
      <c r="D1942" t="inlineStr">
        <is>
          <t>Language Learning</t>
        </is>
      </c>
      <c r="E1942" t="inlineStr">
        <is>
          <t>West Region</t>
        </is>
      </c>
      <c r="F1942" t="inlineStr">
        <is>
          <t>Rep_08</t>
        </is>
      </c>
      <c r="G1942" t="n">
        <v>0.76</v>
      </c>
      <c r="H1942" t="inlineStr">
        <is>
          <t>Closed</t>
        </is>
      </c>
      <c r="I1942" t="inlineStr">
        <is>
          <t>Won</t>
        </is>
      </c>
      <c r="K1942" t="n">
        <v>385.64</v>
      </c>
      <c r="L1942" t="inlineStr">
        <is>
          <t>2026-03-27 01:25:12.741928</t>
        </is>
      </c>
      <c r="M1942">
        <f>VLOOKUP(H1942,'Stage Order'!$A$2:$B$8,2,FALSE)</f>
        <v/>
      </c>
      <c r="N1942">
        <f>IF(G1942&lt;=1,"1. Under 1 hour",IF(G1942&lt;=24,"2. 1-24 hours",IF(G1942&lt;=72,"3. 1-3 days","4. Over 3 days")))</f>
        <v/>
      </c>
      <c r="O1942">
        <f>TEXT(B1942,"YYYY-MM")</f>
        <v/>
      </c>
    </row>
    <row r="1943">
      <c r="A1943" t="inlineStr">
        <is>
          <t>LD-301941</t>
        </is>
      </c>
      <c r="B1943" t="inlineStr">
        <is>
          <t>2026-05-21 14:40:00</t>
        </is>
      </c>
      <c r="C1943" t="inlineStr">
        <is>
          <t>Referral</t>
        </is>
      </c>
      <c r="D1943" t="inlineStr">
        <is>
          <t>Coding for Kids</t>
        </is>
      </c>
      <c r="E1943" t="inlineStr">
        <is>
          <t>East Region</t>
        </is>
      </c>
      <c r="F1943" t="inlineStr">
        <is>
          <t>Rep_14</t>
        </is>
      </c>
      <c r="G1943" t="n">
        <v>3.31</v>
      </c>
      <c r="H1943" t="inlineStr">
        <is>
          <t>Proposal Sent</t>
        </is>
      </c>
      <c r="I1943" t="inlineStr">
        <is>
          <t>Lost</t>
        </is>
      </c>
      <c r="J1943" t="inlineStr">
        <is>
          <t>Price Objection</t>
        </is>
      </c>
      <c r="K1943" t="n">
        <v>610.3200000000001</v>
      </c>
      <c r="L1943" t="inlineStr">
        <is>
          <t>2026-06-25 00:06:40.696016</t>
        </is>
      </c>
      <c r="M1943">
        <f>VLOOKUP(H1943,'Stage Order'!$A$2:$B$8,2,FALSE)</f>
        <v/>
      </c>
      <c r="N1943">
        <f>IF(G1943&lt;=1,"1. Under 1 hour",IF(G1943&lt;=24,"2. 1-24 hours",IF(G1943&lt;=72,"3. 1-3 days","4. Over 3 days")))</f>
        <v/>
      </c>
      <c r="O1943">
        <f>TEXT(B1943,"YYYY-MM")</f>
        <v/>
      </c>
    </row>
    <row r="1944">
      <c r="A1944" t="inlineStr">
        <is>
          <t>LD-301942</t>
        </is>
      </c>
      <c r="B1944" t="inlineStr">
        <is>
          <t>2025-03-31 09:13:00</t>
        </is>
      </c>
      <c r="C1944" t="inlineStr">
        <is>
          <t>Cold Outreach</t>
        </is>
      </c>
      <c r="D1944" t="inlineStr">
        <is>
          <t>Study Abroad Prep</t>
        </is>
      </c>
      <c r="E1944" t="inlineStr">
        <is>
          <t>North Region</t>
        </is>
      </c>
      <c r="F1944" t="inlineStr">
        <is>
          <t>Rep_01</t>
        </is>
      </c>
      <c r="G1944" t="n">
        <v>2.38</v>
      </c>
      <c r="H1944" t="inlineStr">
        <is>
          <t>Lead</t>
        </is>
      </c>
      <c r="I1944" t="inlineStr">
        <is>
          <t>Open</t>
        </is>
      </c>
      <c r="M1944">
        <f>VLOOKUP(H1944,'Stage Order'!$A$2:$B$8,2,FALSE)</f>
        <v/>
      </c>
      <c r="N1944">
        <f>IF(G1944&lt;=1,"1. Under 1 hour",IF(G1944&lt;=24,"2. 1-24 hours",IF(G1944&lt;=72,"3. 1-3 days","4. Over 3 days")))</f>
        <v/>
      </c>
      <c r="O1944">
        <f>TEXT(B1944,"YYYY-MM")</f>
        <v/>
      </c>
    </row>
    <row r="1945">
      <c r="A1945" t="inlineStr">
        <is>
          <t>LD-301943</t>
        </is>
      </c>
      <c r="B1945" t="inlineStr">
        <is>
          <t>2026-06-05 11:38:00</t>
        </is>
      </c>
      <c r="C1945" t="inlineStr">
        <is>
          <t>Cold Outreach</t>
        </is>
      </c>
      <c r="D1945" t="inlineStr">
        <is>
          <t>Language Learning</t>
        </is>
      </c>
      <c r="E1945" t="inlineStr">
        <is>
          <t>North Region</t>
        </is>
      </c>
      <c r="F1945" t="inlineStr">
        <is>
          <t>Rep_01</t>
        </is>
      </c>
      <c r="G1945" t="n">
        <v>7.1</v>
      </c>
      <c r="H1945" t="inlineStr">
        <is>
          <t>Demo Scheduled</t>
        </is>
      </c>
      <c r="I1945" t="inlineStr">
        <is>
          <t>Open</t>
        </is>
      </c>
      <c r="M1945">
        <f>VLOOKUP(H1945,'Stage Order'!$A$2:$B$8,2,FALSE)</f>
        <v/>
      </c>
      <c r="N1945">
        <f>IF(G1945&lt;=1,"1. Under 1 hour",IF(G1945&lt;=24,"2. 1-24 hours",IF(G1945&lt;=72,"3. 1-3 days","4. Over 3 days")))</f>
        <v/>
      </c>
      <c r="O1945">
        <f>TEXT(B1945,"YYYY-MM")</f>
        <v/>
      </c>
    </row>
    <row r="1946">
      <c r="A1946" t="inlineStr">
        <is>
          <t>LD-301944</t>
        </is>
      </c>
      <c r="B1946" t="inlineStr">
        <is>
          <t>2026-01-09 13:54:00</t>
        </is>
      </c>
      <c r="C1946" t="inlineStr">
        <is>
          <t>Cold Outreach</t>
        </is>
      </c>
      <c r="D1946" t="inlineStr">
        <is>
          <t>Coding for Kids</t>
        </is>
      </c>
      <c r="E1946" t="inlineStr">
        <is>
          <t>South Region</t>
        </is>
      </c>
      <c r="F1946" t="inlineStr">
        <is>
          <t>Rep_07</t>
        </is>
      </c>
      <c r="G1946" t="n">
        <v>4.39</v>
      </c>
      <c r="H1946" t="inlineStr">
        <is>
          <t>Lead</t>
        </is>
      </c>
      <c r="I1946" t="inlineStr">
        <is>
          <t>Open</t>
        </is>
      </c>
      <c r="M1946">
        <f>VLOOKUP(H1946,'Stage Order'!$A$2:$B$8,2,FALSE)</f>
        <v/>
      </c>
      <c r="N1946">
        <f>IF(G1946&lt;=1,"1. Under 1 hour",IF(G1946&lt;=24,"2. 1-24 hours",IF(G1946&lt;=72,"3. 1-3 days","4. Over 3 days")))</f>
        <v/>
      </c>
      <c r="O1946">
        <f>TEXT(B1946,"YYYY-MM")</f>
        <v/>
      </c>
    </row>
    <row r="1947">
      <c r="A1947" t="inlineStr">
        <is>
          <t>LD-301945</t>
        </is>
      </c>
      <c r="B1947" t="inlineStr">
        <is>
          <t>2025-12-31 10:36:00</t>
        </is>
      </c>
      <c r="C1947" t="inlineStr">
        <is>
          <t>Paid Search</t>
        </is>
      </c>
      <c r="D1947" t="inlineStr">
        <is>
          <t>Competitive Exam Prep</t>
        </is>
      </c>
      <c r="E1947" t="inlineStr">
        <is>
          <t>East Region</t>
        </is>
      </c>
      <c r="F1947" t="inlineStr">
        <is>
          <t>Rep_04</t>
        </is>
      </c>
      <c r="G1947" t="n">
        <v>6.68</v>
      </c>
      <c r="H1947" t="inlineStr">
        <is>
          <t>Lead</t>
        </is>
      </c>
      <c r="I1947" t="inlineStr">
        <is>
          <t>Open</t>
        </is>
      </c>
      <c r="M1947">
        <f>VLOOKUP(H1947,'Stage Order'!$A$2:$B$8,2,FALSE)</f>
        <v/>
      </c>
      <c r="N1947">
        <f>IF(G1947&lt;=1,"1. Under 1 hour",IF(G1947&lt;=24,"2. 1-24 hours",IF(G1947&lt;=72,"3. 1-3 days","4. Over 3 days")))</f>
        <v/>
      </c>
      <c r="O1947">
        <f>TEXT(B1947,"YYYY-MM")</f>
        <v/>
      </c>
    </row>
    <row r="1948">
      <c r="A1948" t="inlineStr">
        <is>
          <t>LD-301946</t>
        </is>
      </c>
      <c r="B1948" t="inlineStr">
        <is>
          <t>2026-05-05 20:07:00</t>
        </is>
      </c>
      <c r="C1948" t="inlineStr">
        <is>
          <t>Organic Search</t>
        </is>
      </c>
      <c r="D1948" t="inlineStr">
        <is>
          <t>K-12 Math</t>
        </is>
      </c>
      <c r="E1948" t="inlineStr">
        <is>
          <t>North Region</t>
        </is>
      </c>
      <c r="F1948" t="inlineStr">
        <is>
          <t>Rep_11</t>
        </is>
      </c>
      <c r="G1948" t="n">
        <v>1.42</v>
      </c>
      <c r="H1948" t="inlineStr">
        <is>
          <t>Demo Completed</t>
        </is>
      </c>
      <c r="I1948" t="inlineStr">
        <is>
          <t>Lost</t>
        </is>
      </c>
      <c r="J1948" t="inlineStr">
        <is>
          <t>Went With Competitor</t>
        </is>
      </c>
      <c r="K1948" t="n">
        <v>522.23</v>
      </c>
      <c r="L1948" t="inlineStr">
        <is>
          <t>2026-06-12 21:16:37.378964</t>
        </is>
      </c>
      <c r="M1948">
        <f>VLOOKUP(H1948,'Stage Order'!$A$2:$B$8,2,FALSE)</f>
        <v/>
      </c>
      <c r="N1948">
        <f>IF(G1948&lt;=1,"1. Under 1 hour",IF(G1948&lt;=24,"2. 1-24 hours",IF(G1948&lt;=72,"3. 1-3 days","4. Over 3 days")))</f>
        <v/>
      </c>
      <c r="O1948">
        <f>TEXT(B1948,"YYYY-MM")</f>
        <v/>
      </c>
    </row>
    <row r="1949">
      <c r="A1949" t="inlineStr">
        <is>
          <t>LD-301947</t>
        </is>
      </c>
      <c r="B1949" t="inlineStr">
        <is>
          <t>2026-03-09 20:19:00</t>
        </is>
      </c>
      <c r="C1949" t="inlineStr">
        <is>
          <t>Referral</t>
        </is>
      </c>
      <c r="D1949" t="inlineStr">
        <is>
          <t>Competitive Exam Prep</t>
        </is>
      </c>
      <c r="E1949" t="inlineStr">
        <is>
          <t>East Region</t>
        </is>
      </c>
      <c r="F1949" t="inlineStr">
        <is>
          <t>Rep_04</t>
        </is>
      </c>
      <c r="G1949" t="n">
        <v>2.95</v>
      </c>
      <c r="H1949" t="inlineStr">
        <is>
          <t>Contacted</t>
        </is>
      </c>
      <c r="I1949" t="inlineStr">
        <is>
          <t>Open</t>
        </is>
      </c>
      <c r="M1949">
        <f>VLOOKUP(H1949,'Stage Order'!$A$2:$B$8,2,FALSE)</f>
        <v/>
      </c>
      <c r="N1949">
        <f>IF(G1949&lt;=1,"1. Under 1 hour",IF(G1949&lt;=24,"2. 1-24 hours",IF(G1949&lt;=72,"3. 1-3 days","4. Over 3 days")))</f>
        <v/>
      </c>
      <c r="O1949">
        <f>TEXT(B1949,"YYYY-MM")</f>
        <v/>
      </c>
    </row>
    <row r="1950">
      <c r="A1950" t="inlineStr">
        <is>
          <t>LD-301948</t>
        </is>
      </c>
      <c r="B1950" t="inlineStr">
        <is>
          <t>2026-01-28 13:00:00</t>
        </is>
      </c>
      <c r="C1950" t="inlineStr">
        <is>
          <t>Organic Search</t>
        </is>
      </c>
      <c r="D1950" t="inlineStr">
        <is>
          <t>Coding for Kids</t>
        </is>
      </c>
      <c r="E1950" t="inlineStr">
        <is>
          <t>South Region</t>
        </is>
      </c>
      <c r="F1950" t="inlineStr">
        <is>
          <t>Rep_07</t>
        </is>
      </c>
      <c r="G1950" t="n">
        <v>4.85</v>
      </c>
      <c r="H1950" t="inlineStr">
        <is>
          <t>Contacted</t>
        </is>
      </c>
      <c r="I1950" t="inlineStr">
        <is>
          <t>Open</t>
        </is>
      </c>
      <c r="M1950">
        <f>VLOOKUP(H1950,'Stage Order'!$A$2:$B$8,2,FALSE)</f>
        <v/>
      </c>
      <c r="N1950">
        <f>IF(G1950&lt;=1,"1. Under 1 hour",IF(G1950&lt;=24,"2. 1-24 hours",IF(G1950&lt;=72,"3. 1-3 days","4. Over 3 days")))</f>
        <v/>
      </c>
      <c r="O1950">
        <f>TEXT(B1950,"YYYY-MM")</f>
        <v/>
      </c>
    </row>
    <row r="1951">
      <c r="A1951" t="inlineStr">
        <is>
          <t>LD-301949</t>
        </is>
      </c>
      <c r="B1951" t="inlineStr">
        <is>
          <t>2026-01-16 18:28:00</t>
        </is>
      </c>
      <c r="C1951" t="inlineStr">
        <is>
          <t>Organic Search</t>
        </is>
      </c>
      <c r="D1951" t="inlineStr">
        <is>
          <t>K-12 Math</t>
        </is>
      </c>
      <c r="E1951" t="inlineStr">
        <is>
          <t>South Region</t>
        </is>
      </c>
      <c r="F1951" t="inlineStr">
        <is>
          <t>Rep_07</t>
        </is>
      </c>
      <c r="G1951" t="n">
        <v>2.18</v>
      </c>
      <c r="H1951" t="inlineStr">
        <is>
          <t>Contacted</t>
        </is>
      </c>
      <c r="I1951" t="inlineStr">
        <is>
          <t>Open</t>
        </is>
      </c>
      <c r="M1951">
        <f>VLOOKUP(H1951,'Stage Order'!$A$2:$B$8,2,FALSE)</f>
        <v/>
      </c>
      <c r="N1951">
        <f>IF(G1951&lt;=1,"1. Under 1 hour",IF(G1951&lt;=24,"2. 1-24 hours",IF(G1951&lt;=72,"3. 1-3 days","4. Over 3 days")))</f>
        <v/>
      </c>
      <c r="O1951">
        <f>TEXT(B1951,"YYYY-MM")</f>
        <v/>
      </c>
    </row>
    <row r="1952">
      <c r="A1952" t="inlineStr">
        <is>
          <t>LD-301950</t>
        </is>
      </c>
      <c r="B1952" t="inlineStr">
        <is>
          <t>2026-06-29 18:47:00</t>
        </is>
      </c>
      <c r="C1952" t="inlineStr">
        <is>
          <t>Referral</t>
        </is>
      </c>
      <c r="D1952" t="inlineStr">
        <is>
          <t>Coding for Kids</t>
        </is>
      </c>
      <c r="E1952" t="inlineStr">
        <is>
          <t>South Region</t>
        </is>
      </c>
      <c r="F1952" t="inlineStr">
        <is>
          <t>Rep_12</t>
        </is>
      </c>
      <c r="G1952" t="n">
        <v>5.11</v>
      </c>
      <c r="H1952" t="inlineStr">
        <is>
          <t>Closed</t>
        </is>
      </c>
      <c r="I1952" t="inlineStr">
        <is>
          <t>Won</t>
        </is>
      </c>
      <c r="K1952" t="n">
        <v>532.87</v>
      </c>
      <c r="L1952" t="inlineStr">
        <is>
          <t>2026-08-06 14:53:17.253008</t>
        </is>
      </c>
      <c r="M1952">
        <f>VLOOKUP(H1952,'Stage Order'!$A$2:$B$8,2,FALSE)</f>
        <v/>
      </c>
      <c r="N1952">
        <f>IF(G1952&lt;=1,"1. Under 1 hour",IF(G1952&lt;=24,"2. 1-24 hours",IF(G1952&lt;=72,"3. 1-3 days","4. Over 3 days")))</f>
        <v/>
      </c>
      <c r="O1952">
        <f>TEXT(B1952,"YYYY-MM")</f>
        <v/>
      </c>
    </row>
    <row r="1953">
      <c r="A1953" t="inlineStr">
        <is>
          <t>LD-301951</t>
        </is>
      </c>
      <c r="B1953" t="inlineStr">
        <is>
          <t>2025-07-22 16:19:00</t>
        </is>
      </c>
      <c r="C1953" t="inlineStr">
        <is>
          <t>Webinar</t>
        </is>
      </c>
      <c r="D1953" t="inlineStr">
        <is>
          <t>Language Learning</t>
        </is>
      </c>
      <c r="E1953" t="inlineStr">
        <is>
          <t>North Region</t>
        </is>
      </c>
      <c r="F1953" t="inlineStr">
        <is>
          <t>Rep_11</t>
        </is>
      </c>
      <c r="G1953" t="n">
        <v>9.08</v>
      </c>
      <c r="H1953" t="inlineStr">
        <is>
          <t>Closed</t>
        </is>
      </c>
      <c r="I1953" t="inlineStr">
        <is>
          <t>Won</t>
        </is>
      </c>
      <c r="K1953" t="n">
        <v>384.43</v>
      </c>
      <c r="L1953" t="inlineStr">
        <is>
          <t>2025-08-24 20:59:42.367971</t>
        </is>
      </c>
      <c r="M1953">
        <f>VLOOKUP(H1953,'Stage Order'!$A$2:$B$8,2,FALSE)</f>
        <v/>
      </c>
      <c r="N1953">
        <f>IF(G1953&lt;=1,"1. Under 1 hour",IF(G1953&lt;=24,"2. 1-24 hours",IF(G1953&lt;=72,"3. 1-3 days","4. Over 3 days")))</f>
        <v/>
      </c>
      <c r="O1953">
        <f>TEXT(B1953,"YYYY-MM")</f>
        <v/>
      </c>
    </row>
    <row r="1954">
      <c r="A1954" t="inlineStr">
        <is>
          <t>LD-301952</t>
        </is>
      </c>
      <c r="B1954" t="inlineStr">
        <is>
          <t>2025-06-09 20:47:00</t>
        </is>
      </c>
      <c r="C1954" t="inlineStr">
        <is>
          <t>Organic Search</t>
        </is>
      </c>
      <c r="D1954" t="inlineStr">
        <is>
          <t>K-12 Math</t>
        </is>
      </c>
      <c r="E1954" t="inlineStr">
        <is>
          <t>South Region</t>
        </is>
      </c>
      <c r="F1954" t="inlineStr">
        <is>
          <t>Rep_07</t>
        </is>
      </c>
      <c r="G1954" t="n">
        <v>3.7</v>
      </c>
      <c r="H1954" t="inlineStr">
        <is>
          <t>Proposal Sent</t>
        </is>
      </c>
      <c r="I1954" t="inlineStr">
        <is>
          <t>Lost</t>
        </is>
      </c>
      <c r="J1954" t="inlineStr">
        <is>
          <t>Went With Competitor</t>
        </is>
      </c>
      <c r="K1954" t="n">
        <v>454.42</v>
      </c>
      <c r="L1954" t="inlineStr">
        <is>
          <t>2025-07-25 14:48:26.723409</t>
        </is>
      </c>
      <c r="M1954">
        <f>VLOOKUP(H1954,'Stage Order'!$A$2:$B$8,2,FALSE)</f>
        <v/>
      </c>
      <c r="N1954">
        <f>IF(G1954&lt;=1,"1. Under 1 hour",IF(G1954&lt;=24,"2. 1-24 hours",IF(G1954&lt;=72,"3. 1-3 days","4. Over 3 days")))</f>
        <v/>
      </c>
      <c r="O1954">
        <f>TEXT(B1954,"YYYY-MM")</f>
        <v/>
      </c>
    </row>
    <row r="1955">
      <c r="A1955" t="inlineStr">
        <is>
          <t>LD-301953</t>
        </is>
      </c>
      <c r="B1955" t="inlineStr">
        <is>
          <t>2025-10-31 16:57:00</t>
        </is>
      </c>
      <c r="C1955" t="inlineStr">
        <is>
          <t>Paid Search</t>
        </is>
      </c>
      <c r="D1955" t="inlineStr">
        <is>
          <t>Study Abroad Prep</t>
        </is>
      </c>
      <c r="E1955" t="inlineStr">
        <is>
          <t>East Region</t>
        </is>
      </c>
      <c r="F1955" t="inlineStr">
        <is>
          <t>Rep_14</t>
        </is>
      </c>
      <c r="G1955" t="n">
        <v>4.08</v>
      </c>
      <c r="H1955" t="inlineStr">
        <is>
          <t>Demo Completed</t>
        </is>
      </c>
      <c r="I1955" t="inlineStr">
        <is>
          <t>Lost</t>
        </is>
      </c>
      <c r="J1955" t="inlineStr">
        <is>
          <t>Price Objection</t>
        </is>
      </c>
      <c r="K1955" t="n">
        <v>1670.48</v>
      </c>
      <c r="L1955" t="inlineStr">
        <is>
          <t>2025-11-26 18:00:17.998874</t>
        </is>
      </c>
      <c r="M1955">
        <f>VLOOKUP(H1955,'Stage Order'!$A$2:$B$8,2,FALSE)</f>
        <v/>
      </c>
      <c r="N1955">
        <f>IF(G1955&lt;=1,"1. Under 1 hour",IF(G1955&lt;=24,"2. 1-24 hours",IF(G1955&lt;=72,"3. 1-3 days","4. Over 3 days")))</f>
        <v/>
      </c>
      <c r="O1955">
        <f>TEXT(B1955,"YYYY-MM")</f>
        <v/>
      </c>
    </row>
    <row r="1956">
      <c r="A1956" t="inlineStr">
        <is>
          <t>LD-301954</t>
        </is>
      </c>
      <c r="B1956" t="inlineStr">
        <is>
          <t>2026-06-12 15:08:00</t>
        </is>
      </c>
      <c r="C1956" t="inlineStr">
        <is>
          <t>Cold Outreach</t>
        </is>
      </c>
      <c r="D1956" t="inlineStr">
        <is>
          <t>Coding for Kids</t>
        </is>
      </c>
      <c r="E1956" t="inlineStr">
        <is>
          <t>West Region</t>
        </is>
      </c>
      <c r="F1956" t="inlineStr">
        <is>
          <t>Rep_13</t>
        </is>
      </c>
      <c r="G1956" t="n">
        <v>2.2</v>
      </c>
      <c r="H1956" t="inlineStr">
        <is>
          <t>Contacted</t>
        </is>
      </c>
      <c r="I1956" t="inlineStr">
        <is>
          <t>Open</t>
        </is>
      </c>
      <c r="M1956">
        <f>VLOOKUP(H1956,'Stage Order'!$A$2:$B$8,2,FALSE)</f>
        <v/>
      </c>
      <c r="N1956">
        <f>IF(G1956&lt;=1,"1. Under 1 hour",IF(G1956&lt;=24,"2. 1-24 hours",IF(G1956&lt;=72,"3. 1-3 days","4. Over 3 days")))</f>
        <v/>
      </c>
      <c r="O1956">
        <f>TEXT(B1956,"YYYY-MM")</f>
        <v/>
      </c>
    </row>
    <row r="1957">
      <c r="A1957" t="inlineStr">
        <is>
          <t>LD-301955</t>
        </is>
      </c>
      <c r="B1957" t="inlineStr">
        <is>
          <t>2025-06-07 18:15:00</t>
        </is>
      </c>
      <c r="C1957" t="inlineStr">
        <is>
          <t>Social Media</t>
        </is>
      </c>
      <c r="D1957" t="inlineStr">
        <is>
          <t>Coding for Kids</t>
        </is>
      </c>
      <c r="E1957" t="inlineStr">
        <is>
          <t>South Region</t>
        </is>
      </c>
      <c r="F1957" t="inlineStr">
        <is>
          <t>Rep_12</t>
        </is>
      </c>
      <c r="G1957" t="n">
        <v>10.15</v>
      </c>
      <c r="H1957" t="inlineStr">
        <is>
          <t>Contacted</t>
        </is>
      </c>
      <c r="I1957" t="inlineStr">
        <is>
          <t>Open</t>
        </is>
      </c>
      <c r="M1957">
        <f>VLOOKUP(H1957,'Stage Order'!$A$2:$B$8,2,FALSE)</f>
        <v/>
      </c>
      <c r="N1957">
        <f>IF(G1957&lt;=1,"1. Under 1 hour",IF(G1957&lt;=24,"2. 1-24 hours",IF(G1957&lt;=72,"3. 1-3 days","4. Over 3 days")))</f>
        <v/>
      </c>
      <c r="O1957">
        <f>TEXT(B1957,"YYYY-MM")</f>
        <v/>
      </c>
    </row>
    <row r="1958">
      <c r="A1958" t="inlineStr">
        <is>
          <t>LD-301956</t>
        </is>
      </c>
      <c r="B1958" t="inlineStr">
        <is>
          <t>2026-04-30 19:40:00</t>
        </is>
      </c>
      <c r="C1958" t="inlineStr">
        <is>
          <t>Organic Search</t>
        </is>
      </c>
      <c r="D1958" t="inlineStr">
        <is>
          <t>K-12 Math</t>
        </is>
      </c>
      <c r="E1958" t="inlineStr">
        <is>
          <t>North Region</t>
        </is>
      </c>
      <c r="F1958" t="inlineStr">
        <is>
          <t>Rep_11</t>
        </is>
      </c>
      <c r="G1958" t="n">
        <v>1.5</v>
      </c>
      <c r="H1958" t="inlineStr">
        <is>
          <t>Negotiation</t>
        </is>
      </c>
      <c r="I1958" t="inlineStr">
        <is>
          <t>Lost</t>
        </is>
      </c>
      <c r="J1958" t="inlineStr">
        <is>
          <t>Went With Competitor</t>
        </is>
      </c>
      <c r="K1958" t="n">
        <v>595.55</v>
      </c>
      <c r="L1958" t="inlineStr">
        <is>
          <t>2026-06-15 07:44:20.496225</t>
        </is>
      </c>
      <c r="M1958">
        <f>VLOOKUP(H1958,'Stage Order'!$A$2:$B$8,2,FALSE)</f>
        <v/>
      </c>
      <c r="N1958">
        <f>IF(G1958&lt;=1,"1. Under 1 hour",IF(G1958&lt;=24,"2. 1-24 hours",IF(G1958&lt;=72,"3. 1-3 days","4. Over 3 days")))</f>
        <v/>
      </c>
      <c r="O1958">
        <f>TEXT(B1958,"YYYY-MM")</f>
        <v/>
      </c>
    </row>
    <row r="1959">
      <c r="A1959" t="inlineStr">
        <is>
          <t>LD-301957</t>
        </is>
      </c>
      <c r="B1959" t="inlineStr">
        <is>
          <t>2025-08-14 12:23:00</t>
        </is>
      </c>
      <c r="C1959" t="inlineStr">
        <is>
          <t>Social Media</t>
        </is>
      </c>
      <c r="D1959" t="inlineStr">
        <is>
          <t>K-12 Math</t>
        </is>
      </c>
      <c r="E1959" t="inlineStr">
        <is>
          <t>North Region</t>
        </is>
      </c>
      <c r="F1959" t="inlineStr">
        <is>
          <t>Rep_01</t>
        </is>
      </c>
      <c r="G1959" t="n">
        <v>2.04</v>
      </c>
      <c r="H1959" t="inlineStr">
        <is>
          <t>Contacted</t>
        </is>
      </c>
      <c r="I1959" t="inlineStr">
        <is>
          <t>Open</t>
        </is>
      </c>
      <c r="M1959">
        <f>VLOOKUP(H1959,'Stage Order'!$A$2:$B$8,2,FALSE)</f>
        <v/>
      </c>
      <c r="N1959">
        <f>IF(G1959&lt;=1,"1. Under 1 hour",IF(G1959&lt;=24,"2. 1-24 hours",IF(G1959&lt;=72,"3. 1-3 days","4. Over 3 days")))</f>
        <v/>
      </c>
      <c r="O1959">
        <f>TEXT(B1959,"YYYY-MM")</f>
        <v/>
      </c>
    </row>
    <row r="1960">
      <c r="A1960" t="inlineStr">
        <is>
          <t>LD-301958</t>
        </is>
      </c>
      <c r="B1960" t="inlineStr">
        <is>
          <t>2025-08-18 07:02:00</t>
        </is>
      </c>
      <c r="C1960" t="inlineStr">
        <is>
          <t>Referral</t>
        </is>
      </c>
      <c r="D1960" t="inlineStr">
        <is>
          <t>K-12 Math</t>
        </is>
      </c>
      <c r="E1960" t="inlineStr">
        <is>
          <t>North Region</t>
        </is>
      </c>
      <c r="F1960" t="inlineStr">
        <is>
          <t>Rep_11</t>
        </is>
      </c>
      <c r="G1960" t="n">
        <v>0.66</v>
      </c>
      <c r="H1960" t="inlineStr">
        <is>
          <t>Negotiation</t>
        </is>
      </c>
      <c r="I1960" t="inlineStr">
        <is>
          <t>Lost</t>
        </is>
      </c>
      <c r="J1960" t="inlineStr">
        <is>
          <t>Bad Timing</t>
        </is>
      </c>
      <c r="K1960" t="n">
        <v>466.49</v>
      </c>
      <c r="L1960" t="inlineStr">
        <is>
          <t>2025-09-22 07:31:24.032959</t>
        </is>
      </c>
      <c r="M1960">
        <f>VLOOKUP(H1960,'Stage Order'!$A$2:$B$8,2,FALSE)</f>
        <v/>
      </c>
      <c r="N1960">
        <f>IF(G1960&lt;=1,"1. Under 1 hour",IF(G1960&lt;=24,"2. 1-24 hours",IF(G1960&lt;=72,"3. 1-3 days","4. Over 3 days")))</f>
        <v/>
      </c>
      <c r="O1960">
        <f>TEXT(B1960,"YYYY-MM")</f>
        <v/>
      </c>
    </row>
    <row r="1961">
      <c r="A1961" t="inlineStr">
        <is>
          <t>LD-301959</t>
        </is>
      </c>
      <c r="B1961" t="inlineStr">
        <is>
          <t>2025-11-01 13:07:00</t>
        </is>
      </c>
      <c r="C1961" t="inlineStr">
        <is>
          <t>Social Media</t>
        </is>
      </c>
      <c r="D1961" t="inlineStr">
        <is>
          <t>Coding for Kids</t>
        </is>
      </c>
      <c r="E1961" t="inlineStr">
        <is>
          <t>North Region</t>
        </is>
      </c>
      <c r="F1961" t="inlineStr">
        <is>
          <t>Rep_11</t>
        </is>
      </c>
      <c r="G1961" t="n">
        <v>1.98</v>
      </c>
      <c r="H1961" t="inlineStr">
        <is>
          <t>Lead</t>
        </is>
      </c>
      <c r="I1961" t="inlineStr">
        <is>
          <t>Open</t>
        </is>
      </c>
      <c r="M1961">
        <f>VLOOKUP(H1961,'Stage Order'!$A$2:$B$8,2,FALSE)</f>
        <v/>
      </c>
      <c r="N1961">
        <f>IF(G1961&lt;=1,"1. Under 1 hour",IF(G1961&lt;=24,"2. 1-24 hours",IF(G1961&lt;=72,"3. 1-3 days","4. Over 3 days")))</f>
        <v/>
      </c>
      <c r="O1961">
        <f>TEXT(B1961,"YYYY-MM")</f>
        <v/>
      </c>
    </row>
    <row r="1962">
      <c r="A1962" t="inlineStr">
        <is>
          <t>LD-301960</t>
        </is>
      </c>
      <c r="B1962" t="inlineStr">
        <is>
          <t>2025-12-04 16:24:00</t>
        </is>
      </c>
      <c r="C1962" t="inlineStr">
        <is>
          <t>Paid Search</t>
        </is>
      </c>
      <c r="D1962" t="inlineStr">
        <is>
          <t>K-12 Math</t>
        </is>
      </c>
      <c r="E1962" t="inlineStr">
        <is>
          <t>North Region</t>
        </is>
      </c>
      <c r="F1962" t="inlineStr">
        <is>
          <t>Rep_06</t>
        </is>
      </c>
      <c r="G1962" t="n">
        <v>2.14</v>
      </c>
      <c r="H1962" t="inlineStr">
        <is>
          <t>Contacted</t>
        </is>
      </c>
      <c r="I1962" t="inlineStr">
        <is>
          <t>Open</t>
        </is>
      </c>
      <c r="M1962">
        <f>VLOOKUP(H1962,'Stage Order'!$A$2:$B$8,2,FALSE)</f>
        <v/>
      </c>
      <c r="N1962">
        <f>IF(G1962&lt;=1,"1. Under 1 hour",IF(G1962&lt;=24,"2. 1-24 hours",IF(G1962&lt;=72,"3. 1-3 days","4. Over 3 days")))</f>
        <v/>
      </c>
      <c r="O1962">
        <f>TEXT(B1962,"YYYY-MM")</f>
        <v/>
      </c>
    </row>
    <row r="1963">
      <c r="A1963" t="inlineStr">
        <is>
          <t>LD-301961</t>
        </is>
      </c>
      <c r="B1963" t="inlineStr">
        <is>
          <t>2025-07-23 10:25:00</t>
        </is>
      </c>
      <c r="C1963" t="inlineStr">
        <is>
          <t>Partner Channel</t>
        </is>
      </c>
      <c r="D1963" t="inlineStr">
        <is>
          <t>Competitive Exam Prep</t>
        </is>
      </c>
      <c r="E1963" t="inlineStr">
        <is>
          <t>International</t>
        </is>
      </c>
      <c r="F1963" t="inlineStr">
        <is>
          <t>Rep_10</t>
        </is>
      </c>
      <c r="G1963" t="n">
        <v>3.76</v>
      </c>
      <c r="H1963" t="inlineStr">
        <is>
          <t>Proposal Sent</t>
        </is>
      </c>
      <c r="I1963" t="inlineStr">
        <is>
          <t>Lost</t>
        </is>
      </c>
      <c r="J1963" t="inlineStr">
        <is>
          <t>Went With Competitor</t>
        </is>
      </c>
      <c r="K1963" t="n">
        <v>904.16</v>
      </c>
      <c r="L1963" t="inlineStr">
        <is>
          <t>2025-09-08 05:47:34.030376</t>
        </is>
      </c>
      <c r="M1963">
        <f>VLOOKUP(H1963,'Stage Order'!$A$2:$B$8,2,FALSE)</f>
        <v/>
      </c>
      <c r="N1963">
        <f>IF(G1963&lt;=1,"1. Under 1 hour",IF(G1963&lt;=24,"2. 1-24 hours",IF(G1963&lt;=72,"3. 1-3 days","4. Over 3 days")))</f>
        <v/>
      </c>
      <c r="O1963">
        <f>TEXT(B1963,"YYYY-MM")</f>
        <v/>
      </c>
    </row>
    <row r="1964">
      <c r="A1964" t="inlineStr">
        <is>
          <t>LD-301962</t>
        </is>
      </c>
      <c r="B1964" t="inlineStr">
        <is>
          <t>2026-04-07 12:54:00</t>
        </is>
      </c>
      <c r="C1964" t="inlineStr">
        <is>
          <t>Social Media</t>
        </is>
      </c>
      <c r="D1964" t="inlineStr">
        <is>
          <t>Competitive Exam Prep</t>
        </is>
      </c>
      <c r="E1964" t="inlineStr">
        <is>
          <t>International</t>
        </is>
      </c>
      <c r="F1964" t="inlineStr">
        <is>
          <t>Rep_05</t>
        </is>
      </c>
      <c r="G1964" t="n">
        <v>14.14</v>
      </c>
      <c r="H1964" t="inlineStr">
        <is>
          <t>Lead</t>
        </is>
      </c>
      <c r="I1964" t="inlineStr">
        <is>
          <t>Open</t>
        </is>
      </c>
      <c r="M1964">
        <f>VLOOKUP(H1964,'Stage Order'!$A$2:$B$8,2,FALSE)</f>
        <v/>
      </c>
      <c r="N1964">
        <f>IF(G1964&lt;=1,"1. Under 1 hour",IF(G1964&lt;=24,"2. 1-24 hours",IF(G1964&lt;=72,"3. 1-3 days","4. Over 3 days")))</f>
        <v/>
      </c>
      <c r="O1964">
        <f>TEXT(B1964,"YYYY-MM")</f>
        <v/>
      </c>
    </row>
    <row r="1965">
      <c r="A1965" t="inlineStr">
        <is>
          <t>LD-301963</t>
        </is>
      </c>
      <c r="B1965" t="inlineStr">
        <is>
          <t>2025-10-12 20:38:00</t>
        </is>
      </c>
      <c r="C1965" t="inlineStr">
        <is>
          <t>Cold Outreach</t>
        </is>
      </c>
      <c r="D1965" t="inlineStr">
        <is>
          <t>Competitive Exam Prep</t>
        </is>
      </c>
      <c r="E1965" t="inlineStr">
        <is>
          <t>West Region</t>
        </is>
      </c>
      <c r="F1965" t="inlineStr">
        <is>
          <t>Rep_13</t>
        </is>
      </c>
      <c r="G1965" t="n">
        <v>5.77</v>
      </c>
      <c r="H1965" t="inlineStr">
        <is>
          <t>Contacted</t>
        </is>
      </c>
      <c r="I1965" t="inlineStr">
        <is>
          <t>Open</t>
        </is>
      </c>
      <c r="M1965">
        <f>VLOOKUP(H1965,'Stage Order'!$A$2:$B$8,2,FALSE)</f>
        <v/>
      </c>
      <c r="N1965">
        <f>IF(G1965&lt;=1,"1. Under 1 hour",IF(G1965&lt;=24,"2. 1-24 hours",IF(G1965&lt;=72,"3. 1-3 days","4. Over 3 days")))</f>
        <v/>
      </c>
      <c r="O1965">
        <f>TEXT(B1965,"YYYY-MM")</f>
        <v/>
      </c>
    </row>
    <row r="1966">
      <c r="A1966" t="inlineStr">
        <is>
          <t>LD-301964</t>
        </is>
      </c>
      <c r="B1966" t="inlineStr">
        <is>
          <t>2025-03-07 15:19:00</t>
        </is>
      </c>
      <c r="C1966" t="inlineStr">
        <is>
          <t>Cold Outreach</t>
        </is>
      </c>
      <c r="D1966" t="inlineStr">
        <is>
          <t>Competitive Exam Prep</t>
        </is>
      </c>
      <c r="E1966" t="inlineStr">
        <is>
          <t>West Region</t>
        </is>
      </c>
      <c r="F1966" t="inlineStr">
        <is>
          <t>Rep_03</t>
        </is>
      </c>
      <c r="G1966" t="n">
        <v>5.93</v>
      </c>
      <c r="H1966" t="inlineStr">
        <is>
          <t>Lead</t>
        </is>
      </c>
      <c r="I1966" t="inlineStr">
        <is>
          <t>Open</t>
        </is>
      </c>
      <c r="M1966">
        <f>VLOOKUP(H1966,'Stage Order'!$A$2:$B$8,2,FALSE)</f>
        <v/>
      </c>
      <c r="N1966">
        <f>IF(G1966&lt;=1,"1. Under 1 hour",IF(G1966&lt;=24,"2. 1-24 hours",IF(G1966&lt;=72,"3. 1-3 days","4. Over 3 days")))</f>
        <v/>
      </c>
      <c r="O1966">
        <f>TEXT(B1966,"YYYY-MM")</f>
        <v/>
      </c>
    </row>
    <row r="1967">
      <c r="A1967" t="inlineStr">
        <is>
          <t>LD-301965</t>
        </is>
      </c>
      <c r="B1967" t="inlineStr">
        <is>
          <t>2025-01-03 19:29:00</t>
        </is>
      </c>
      <c r="C1967" t="inlineStr">
        <is>
          <t>Cold Outreach</t>
        </is>
      </c>
      <c r="D1967" t="inlineStr">
        <is>
          <t>Language Learning</t>
        </is>
      </c>
      <c r="E1967" t="inlineStr">
        <is>
          <t>South Region</t>
        </is>
      </c>
      <c r="F1967" t="inlineStr">
        <is>
          <t>Rep_12</t>
        </is>
      </c>
      <c r="G1967" t="n">
        <v>2.15</v>
      </c>
      <c r="H1967" t="inlineStr">
        <is>
          <t>Lead</t>
        </is>
      </c>
      <c r="I1967" t="inlineStr">
        <is>
          <t>Open</t>
        </is>
      </c>
      <c r="M1967">
        <f>VLOOKUP(H1967,'Stage Order'!$A$2:$B$8,2,FALSE)</f>
        <v/>
      </c>
      <c r="N1967">
        <f>IF(G1967&lt;=1,"1. Under 1 hour",IF(G1967&lt;=24,"2. 1-24 hours",IF(G1967&lt;=72,"3. 1-3 days","4. Over 3 days")))</f>
        <v/>
      </c>
      <c r="O1967">
        <f>TEXT(B1967,"YYYY-MM")</f>
        <v/>
      </c>
    </row>
    <row r="1968">
      <c r="A1968" t="inlineStr">
        <is>
          <t>LD-301966</t>
        </is>
      </c>
      <c r="B1968" t="inlineStr">
        <is>
          <t>2026-01-08 20:42:00</t>
        </is>
      </c>
      <c r="C1968" t="inlineStr">
        <is>
          <t>Paid Search</t>
        </is>
      </c>
      <c r="D1968" t="inlineStr">
        <is>
          <t>Language Learning</t>
        </is>
      </c>
      <c r="E1968" t="inlineStr">
        <is>
          <t>South Region</t>
        </is>
      </c>
      <c r="F1968" t="inlineStr">
        <is>
          <t>Rep_12</t>
        </is>
      </c>
      <c r="G1968" t="n">
        <v>2.55</v>
      </c>
      <c r="H1968" t="inlineStr">
        <is>
          <t>Contacted</t>
        </is>
      </c>
      <c r="I1968" t="inlineStr">
        <is>
          <t>Open</t>
        </is>
      </c>
      <c r="M1968">
        <f>VLOOKUP(H1968,'Stage Order'!$A$2:$B$8,2,FALSE)</f>
        <v/>
      </c>
      <c r="N1968">
        <f>IF(G1968&lt;=1,"1. Under 1 hour",IF(G1968&lt;=24,"2. 1-24 hours",IF(G1968&lt;=72,"3. 1-3 days","4. Over 3 days")))</f>
        <v/>
      </c>
      <c r="O1968">
        <f>TEXT(B1968,"YYYY-MM")</f>
        <v/>
      </c>
    </row>
    <row r="1969">
      <c r="A1969" t="inlineStr">
        <is>
          <t>LD-301967</t>
        </is>
      </c>
      <c r="B1969" t="inlineStr">
        <is>
          <t>2025-08-15 14:13:00</t>
        </is>
      </c>
      <c r="C1969" t="inlineStr">
        <is>
          <t>Social Media</t>
        </is>
      </c>
      <c r="D1969" t="inlineStr">
        <is>
          <t>K-12 Math</t>
        </is>
      </c>
      <c r="E1969" t="inlineStr">
        <is>
          <t>West Region</t>
        </is>
      </c>
      <c r="F1969" t="inlineStr">
        <is>
          <t>Rep_03</t>
        </is>
      </c>
      <c r="G1969" t="n">
        <v>2.3</v>
      </c>
      <c r="H1969" t="inlineStr">
        <is>
          <t>Demo Scheduled</t>
        </is>
      </c>
      <c r="I1969" t="inlineStr">
        <is>
          <t>Open</t>
        </is>
      </c>
      <c r="M1969">
        <f>VLOOKUP(H1969,'Stage Order'!$A$2:$B$8,2,FALSE)</f>
        <v/>
      </c>
      <c r="N1969">
        <f>IF(G1969&lt;=1,"1. Under 1 hour",IF(G1969&lt;=24,"2. 1-24 hours",IF(G1969&lt;=72,"3. 1-3 days","4. Over 3 days")))</f>
        <v/>
      </c>
      <c r="O1969">
        <f>TEXT(B1969,"YYYY-MM")</f>
        <v/>
      </c>
    </row>
    <row r="1970">
      <c r="A1970" t="inlineStr">
        <is>
          <t>LD-301968</t>
        </is>
      </c>
      <c r="B1970" t="inlineStr">
        <is>
          <t>2026-02-18 15:09:00</t>
        </is>
      </c>
      <c r="C1970" t="inlineStr">
        <is>
          <t>Organic Search</t>
        </is>
      </c>
      <c r="D1970" t="inlineStr">
        <is>
          <t>K-12 Math</t>
        </is>
      </c>
      <c r="E1970" t="inlineStr">
        <is>
          <t>North Region</t>
        </is>
      </c>
      <c r="F1970" t="inlineStr">
        <is>
          <t>Rep_06</t>
        </is>
      </c>
      <c r="G1970" t="n">
        <v>1.55</v>
      </c>
      <c r="H1970" t="inlineStr">
        <is>
          <t>Lead</t>
        </is>
      </c>
      <c r="I1970" t="inlineStr">
        <is>
          <t>Open</t>
        </is>
      </c>
      <c r="M1970">
        <f>VLOOKUP(H1970,'Stage Order'!$A$2:$B$8,2,FALSE)</f>
        <v/>
      </c>
      <c r="N1970">
        <f>IF(G1970&lt;=1,"1. Under 1 hour",IF(G1970&lt;=24,"2. 1-24 hours",IF(G1970&lt;=72,"3. 1-3 days","4. Over 3 days")))</f>
        <v/>
      </c>
      <c r="O1970">
        <f>TEXT(B1970,"YYYY-MM")</f>
        <v/>
      </c>
    </row>
    <row r="1971">
      <c r="A1971" t="inlineStr">
        <is>
          <t>LD-301969</t>
        </is>
      </c>
      <c r="B1971" t="inlineStr">
        <is>
          <t>2025-11-02 19:28:00</t>
        </is>
      </c>
      <c r="C1971" t="inlineStr">
        <is>
          <t>Referral</t>
        </is>
      </c>
      <c r="D1971" t="inlineStr">
        <is>
          <t>Study Abroad Prep</t>
        </is>
      </c>
      <c r="E1971" t="inlineStr">
        <is>
          <t>East Region</t>
        </is>
      </c>
      <c r="F1971" t="inlineStr">
        <is>
          <t>Rep_09</t>
        </is>
      </c>
      <c r="G1971" t="n">
        <v>2.85</v>
      </c>
      <c r="H1971" t="inlineStr">
        <is>
          <t>Negotiation</t>
        </is>
      </c>
      <c r="I1971" t="inlineStr">
        <is>
          <t>Lost</t>
        </is>
      </c>
      <c r="J1971" t="inlineStr">
        <is>
          <t>Bad Timing</t>
        </is>
      </c>
      <c r="K1971" t="n">
        <v>1614.46</v>
      </c>
      <c r="L1971" t="inlineStr">
        <is>
          <t>2025-12-26 13:48:51.110198</t>
        </is>
      </c>
      <c r="M1971">
        <f>VLOOKUP(H1971,'Stage Order'!$A$2:$B$8,2,FALSE)</f>
        <v/>
      </c>
      <c r="N1971">
        <f>IF(G1971&lt;=1,"1. Under 1 hour",IF(G1971&lt;=24,"2. 1-24 hours",IF(G1971&lt;=72,"3. 1-3 days","4. Over 3 days")))</f>
        <v/>
      </c>
      <c r="O1971">
        <f>TEXT(B1971,"YYYY-MM")</f>
        <v/>
      </c>
    </row>
    <row r="1972">
      <c r="A1972" t="inlineStr">
        <is>
          <t>LD-301970</t>
        </is>
      </c>
      <c r="B1972" t="inlineStr">
        <is>
          <t>2025-09-15 20:58:00</t>
        </is>
      </c>
      <c r="C1972" t="inlineStr">
        <is>
          <t>Webinar</t>
        </is>
      </c>
      <c r="D1972" t="inlineStr">
        <is>
          <t>Language Learning</t>
        </is>
      </c>
      <c r="E1972" t="inlineStr">
        <is>
          <t>West Region</t>
        </is>
      </c>
      <c r="F1972" t="inlineStr">
        <is>
          <t>Rep_13</t>
        </is>
      </c>
      <c r="G1972" t="n">
        <v>0.58</v>
      </c>
      <c r="H1972" t="inlineStr">
        <is>
          <t>Closed</t>
        </is>
      </c>
      <c r="I1972" t="inlineStr">
        <is>
          <t>Won</t>
        </is>
      </c>
      <c r="K1972" t="n">
        <v>334.11</v>
      </c>
      <c r="L1972" t="inlineStr">
        <is>
          <t>2025-10-26 12:25:02.475684</t>
        </is>
      </c>
      <c r="M1972">
        <f>VLOOKUP(H1972,'Stage Order'!$A$2:$B$8,2,FALSE)</f>
        <v/>
      </c>
      <c r="N1972">
        <f>IF(G1972&lt;=1,"1. Under 1 hour",IF(G1972&lt;=24,"2. 1-24 hours",IF(G1972&lt;=72,"3. 1-3 days","4. Over 3 days")))</f>
        <v/>
      </c>
      <c r="O1972">
        <f>TEXT(B1972,"YYYY-MM")</f>
        <v/>
      </c>
    </row>
    <row r="1973">
      <c r="A1973" t="inlineStr">
        <is>
          <t>LD-301971</t>
        </is>
      </c>
      <c r="B1973" t="inlineStr">
        <is>
          <t>2025-02-16 13:17:00</t>
        </is>
      </c>
      <c r="C1973" t="inlineStr">
        <is>
          <t>Paid Search</t>
        </is>
      </c>
      <c r="D1973" t="inlineStr">
        <is>
          <t>Competitive Exam Prep</t>
        </is>
      </c>
      <c r="E1973" t="inlineStr">
        <is>
          <t>North Region</t>
        </is>
      </c>
      <c r="F1973" t="inlineStr">
        <is>
          <t>Rep_06</t>
        </is>
      </c>
      <c r="G1973" t="n">
        <v>6.82</v>
      </c>
      <c r="H1973" t="inlineStr">
        <is>
          <t>Contacted</t>
        </is>
      </c>
      <c r="I1973" t="inlineStr">
        <is>
          <t>Open</t>
        </is>
      </c>
      <c r="M1973">
        <f>VLOOKUP(H1973,'Stage Order'!$A$2:$B$8,2,FALSE)</f>
        <v/>
      </c>
      <c r="N1973">
        <f>IF(G1973&lt;=1,"1. Under 1 hour",IF(G1973&lt;=24,"2. 1-24 hours",IF(G1973&lt;=72,"3. 1-3 days","4. Over 3 days")))</f>
        <v/>
      </c>
      <c r="O1973">
        <f>TEXT(B1973,"YYYY-MM")</f>
        <v/>
      </c>
    </row>
    <row r="1974">
      <c r="A1974" t="inlineStr">
        <is>
          <t>LD-301972</t>
        </is>
      </c>
      <c r="B1974" t="inlineStr">
        <is>
          <t>2026-04-24 09:37:00</t>
        </is>
      </c>
      <c r="C1974" t="inlineStr">
        <is>
          <t>Webinar</t>
        </is>
      </c>
      <c r="D1974" t="inlineStr">
        <is>
          <t>K-12 Math</t>
        </is>
      </c>
      <c r="E1974" t="inlineStr">
        <is>
          <t>International</t>
        </is>
      </c>
      <c r="F1974" t="inlineStr">
        <is>
          <t>Rep_05</t>
        </is>
      </c>
      <c r="G1974" t="n">
        <v>2.79</v>
      </c>
      <c r="H1974" t="inlineStr">
        <is>
          <t>Demo Completed</t>
        </is>
      </c>
      <c r="I1974" t="inlineStr">
        <is>
          <t>Lost</t>
        </is>
      </c>
      <c r="J1974" t="inlineStr">
        <is>
          <t>No Response / Ghosted</t>
        </is>
      </c>
      <c r="K1974" t="n">
        <v>547.51</v>
      </c>
      <c r="L1974" t="inlineStr">
        <is>
          <t>2026-05-19 18:27:53.465216</t>
        </is>
      </c>
      <c r="M1974">
        <f>VLOOKUP(H1974,'Stage Order'!$A$2:$B$8,2,FALSE)</f>
        <v/>
      </c>
      <c r="N1974">
        <f>IF(G1974&lt;=1,"1. Under 1 hour",IF(G1974&lt;=24,"2. 1-24 hours",IF(G1974&lt;=72,"3. 1-3 days","4. Over 3 days")))</f>
        <v/>
      </c>
      <c r="O1974">
        <f>TEXT(B1974,"YYYY-MM")</f>
        <v/>
      </c>
    </row>
    <row r="1975">
      <c r="A1975" t="inlineStr">
        <is>
          <t>LD-301973</t>
        </is>
      </c>
      <c r="B1975" t="inlineStr">
        <is>
          <t>2025-08-15 20:53:00</t>
        </is>
      </c>
      <c r="C1975" t="inlineStr">
        <is>
          <t>Social Media</t>
        </is>
      </c>
      <c r="D1975" t="inlineStr">
        <is>
          <t>K-12 Math</t>
        </is>
      </c>
      <c r="E1975" t="inlineStr">
        <is>
          <t>West Region</t>
        </is>
      </c>
      <c r="F1975" t="inlineStr">
        <is>
          <t>Rep_03</t>
        </is>
      </c>
      <c r="G1975" t="n">
        <v>1.64</v>
      </c>
      <c r="H1975" t="inlineStr">
        <is>
          <t>Contacted</t>
        </is>
      </c>
      <c r="I1975" t="inlineStr">
        <is>
          <t>Open</t>
        </is>
      </c>
      <c r="M1975">
        <f>VLOOKUP(H1975,'Stage Order'!$A$2:$B$8,2,FALSE)</f>
        <v/>
      </c>
      <c r="N1975">
        <f>IF(G1975&lt;=1,"1. Under 1 hour",IF(G1975&lt;=24,"2. 1-24 hours",IF(G1975&lt;=72,"3. 1-3 days","4. Over 3 days")))</f>
        <v/>
      </c>
      <c r="O1975">
        <f>TEXT(B1975,"YYYY-MM")</f>
        <v/>
      </c>
    </row>
    <row r="1976">
      <c r="A1976" t="inlineStr">
        <is>
          <t>LD-301974</t>
        </is>
      </c>
      <c r="B1976" t="inlineStr">
        <is>
          <t>2026-04-21 15:57:00</t>
        </is>
      </c>
      <c r="C1976" t="inlineStr">
        <is>
          <t>Webinar</t>
        </is>
      </c>
      <c r="D1976" t="inlineStr">
        <is>
          <t>K-12 Math</t>
        </is>
      </c>
      <c r="E1976" t="inlineStr">
        <is>
          <t>South Region</t>
        </is>
      </c>
      <c r="F1976" t="inlineStr">
        <is>
          <t>Rep_02</t>
        </is>
      </c>
      <c r="G1976" t="n">
        <v>0.6</v>
      </c>
      <c r="H1976" t="inlineStr">
        <is>
          <t>Closed</t>
        </is>
      </c>
      <c r="I1976" t="inlineStr">
        <is>
          <t>Won</t>
        </is>
      </c>
      <c r="K1976" t="n">
        <v>502.88</v>
      </c>
      <c r="L1976" t="inlineStr">
        <is>
          <t>2026-05-30 15:19:31.043753</t>
        </is>
      </c>
      <c r="M1976">
        <f>VLOOKUP(H1976,'Stage Order'!$A$2:$B$8,2,FALSE)</f>
        <v/>
      </c>
      <c r="N1976">
        <f>IF(G1976&lt;=1,"1. Under 1 hour",IF(G1976&lt;=24,"2. 1-24 hours",IF(G1976&lt;=72,"3. 1-3 days","4. Over 3 days")))</f>
        <v/>
      </c>
      <c r="O1976">
        <f>TEXT(B1976,"YYYY-MM")</f>
        <v/>
      </c>
    </row>
    <row r="1977">
      <c r="A1977" t="inlineStr">
        <is>
          <t>LD-301975</t>
        </is>
      </c>
      <c r="B1977" t="inlineStr">
        <is>
          <t>2026-05-10 15:12:00</t>
        </is>
      </c>
      <c r="C1977" t="inlineStr">
        <is>
          <t>Webinar</t>
        </is>
      </c>
      <c r="D1977" t="inlineStr">
        <is>
          <t>Coding for Kids</t>
        </is>
      </c>
      <c r="E1977" t="inlineStr">
        <is>
          <t>International</t>
        </is>
      </c>
      <c r="F1977" t="inlineStr">
        <is>
          <t>Rep_05</t>
        </is>
      </c>
      <c r="G1977" t="n">
        <v>2.88</v>
      </c>
      <c r="H1977" t="inlineStr">
        <is>
          <t>Contacted</t>
        </is>
      </c>
      <c r="I1977" t="inlineStr">
        <is>
          <t>Open</t>
        </is>
      </c>
      <c r="M1977">
        <f>VLOOKUP(H1977,'Stage Order'!$A$2:$B$8,2,FALSE)</f>
        <v/>
      </c>
      <c r="N1977">
        <f>IF(G1977&lt;=1,"1. Under 1 hour",IF(G1977&lt;=24,"2. 1-24 hours",IF(G1977&lt;=72,"3. 1-3 days","4. Over 3 days")))</f>
        <v/>
      </c>
      <c r="O1977">
        <f>TEXT(B1977,"YYYY-MM")</f>
        <v/>
      </c>
    </row>
    <row r="1978">
      <c r="A1978" t="inlineStr">
        <is>
          <t>LD-301976</t>
        </is>
      </c>
      <c r="B1978" t="inlineStr">
        <is>
          <t>2025-12-09 13:25:00</t>
        </is>
      </c>
      <c r="C1978" t="inlineStr">
        <is>
          <t>Cold Outreach</t>
        </is>
      </c>
      <c r="D1978" t="inlineStr">
        <is>
          <t>Study Abroad Prep</t>
        </is>
      </c>
      <c r="E1978" t="inlineStr">
        <is>
          <t>South Region</t>
        </is>
      </c>
      <c r="F1978" t="inlineStr">
        <is>
          <t>Rep_07</t>
        </is>
      </c>
      <c r="G1978" t="n">
        <v>0.71</v>
      </c>
      <c r="H1978" t="inlineStr">
        <is>
          <t>Demo Completed</t>
        </is>
      </c>
      <c r="I1978" t="inlineStr">
        <is>
          <t>Lost</t>
        </is>
      </c>
      <c r="J1978" t="inlineStr">
        <is>
          <t>Bad Timing</t>
        </is>
      </c>
      <c r="K1978" t="n">
        <v>1583.72</v>
      </c>
      <c r="L1978" t="inlineStr">
        <is>
          <t>2025-12-29 01:27:02.606928</t>
        </is>
      </c>
      <c r="M1978">
        <f>VLOOKUP(H1978,'Stage Order'!$A$2:$B$8,2,FALSE)</f>
        <v/>
      </c>
      <c r="N1978">
        <f>IF(G1978&lt;=1,"1. Under 1 hour",IF(G1978&lt;=24,"2. 1-24 hours",IF(G1978&lt;=72,"3. 1-3 days","4. Over 3 days")))</f>
        <v/>
      </c>
      <c r="O1978">
        <f>TEXT(B1978,"YYYY-MM")</f>
        <v/>
      </c>
    </row>
    <row r="1979">
      <c r="A1979" t="inlineStr">
        <is>
          <t>LD-301977</t>
        </is>
      </c>
      <c r="B1979" t="inlineStr">
        <is>
          <t>2025-03-20 10:56:00</t>
        </is>
      </c>
      <c r="C1979" t="inlineStr">
        <is>
          <t>Organic Search</t>
        </is>
      </c>
      <c r="D1979" t="inlineStr">
        <is>
          <t>K-12 Math</t>
        </is>
      </c>
      <c r="E1979" t="inlineStr">
        <is>
          <t>West Region</t>
        </is>
      </c>
      <c r="F1979" t="inlineStr">
        <is>
          <t>Rep_08</t>
        </is>
      </c>
      <c r="G1979" t="n">
        <v>1.33</v>
      </c>
      <c r="H1979" t="inlineStr">
        <is>
          <t>Lead</t>
        </is>
      </c>
      <c r="I1979" t="inlineStr">
        <is>
          <t>Open</t>
        </is>
      </c>
      <c r="M1979">
        <f>VLOOKUP(H1979,'Stage Order'!$A$2:$B$8,2,FALSE)</f>
        <v/>
      </c>
      <c r="N1979">
        <f>IF(G1979&lt;=1,"1. Under 1 hour",IF(G1979&lt;=24,"2. 1-24 hours",IF(G1979&lt;=72,"3. 1-3 days","4. Over 3 days")))</f>
        <v/>
      </c>
      <c r="O1979">
        <f>TEXT(B1979,"YYYY-MM")</f>
        <v/>
      </c>
    </row>
    <row r="1980">
      <c r="A1980" t="inlineStr">
        <is>
          <t>LD-301978</t>
        </is>
      </c>
      <c r="B1980" t="inlineStr">
        <is>
          <t>2025-11-26 08:20:00</t>
        </is>
      </c>
      <c r="C1980" t="inlineStr">
        <is>
          <t>Paid Search</t>
        </is>
      </c>
      <c r="D1980" t="inlineStr">
        <is>
          <t>Coding for Kids</t>
        </is>
      </c>
      <c r="E1980" t="inlineStr">
        <is>
          <t>International</t>
        </is>
      </c>
      <c r="F1980" t="inlineStr">
        <is>
          <t>Rep_05</t>
        </is>
      </c>
      <c r="G1980" t="n">
        <v>2.36</v>
      </c>
      <c r="H1980" t="inlineStr">
        <is>
          <t>Negotiation</t>
        </is>
      </c>
      <c r="I1980" t="inlineStr">
        <is>
          <t>Lost</t>
        </is>
      </c>
      <c r="J1980" t="inlineStr">
        <is>
          <t>Went With Competitor</t>
        </is>
      </c>
      <c r="K1980" t="n">
        <v>600.62</v>
      </c>
      <c r="L1980" t="inlineStr">
        <is>
          <t>2026-01-10 00:01:58.687657</t>
        </is>
      </c>
      <c r="M1980">
        <f>VLOOKUP(H1980,'Stage Order'!$A$2:$B$8,2,FALSE)</f>
        <v/>
      </c>
      <c r="N1980">
        <f>IF(G1980&lt;=1,"1. Under 1 hour",IF(G1980&lt;=24,"2. 1-24 hours",IF(G1980&lt;=72,"3. 1-3 days","4. Over 3 days")))</f>
        <v/>
      </c>
      <c r="O1980">
        <f>TEXT(B1980,"YYYY-MM")</f>
        <v/>
      </c>
    </row>
    <row r="1981">
      <c r="A1981" t="inlineStr">
        <is>
          <t>LD-301979</t>
        </is>
      </c>
      <c r="B1981" t="inlineStr">
        <is>
          <t>2026-05-28 14:12:00</t>
        </is>
      </c>
      <c r="C1981" t="inlineStr">
        <is>
          <t>Webinar</t>
        </is>
      </c>
      <c r="D1981" t="inlineStr">
        <is>
          <t>Study Abroad Prep</t>
        </is>
      </c>
      <c r="E1981" t="inlineStr">
        <is>
          <t>West Region</t>
        </is>
      </c>
      <c r="F1981" t="inlineStr">
        <is>
          <t>Rep_08</t>
        </is>
      </c>
      <c r="G1981" t="n">
        <v>8.720000000000001</v>
      </c>
      <c r="H1981" t="inlineStr">
        <is>
          <t>Contacted</t>
        </is>
      </c>
      <c r="I1981" t="inlineStr">
        <is>
          <t>Open</t>
        </is>
      </c>
      <c r="M1981">
        <f>VLOOKUP(H1981,'Stage Order'!$A$2:$B$8,2,FALSE)</f>
        <v/>
      </c>
      <c r="N1981">
        <f>IF(G1981&lt;=1,"1. Under 1 hour",IF(G1981&lt;=24,"2. 1-24 hours",IF(G1981&lt;=72,"3. 1-3 days","4. Over 3 days")))</f>
        <v/>
      </c>
      <c r="O1981">
        <f>TEXT(B1981,"YYYY-MM")</f>
        <v/>
      </c>
    </row>
    <row r="1982">
      <c r="A1982" t="inlineStr">
        <is>
          <t>LD-301980</t>
        </is>
      </c>
      <c r="B1982" t="inlineStr">
        <is>
          <t>2025-05-10 08:49:00</t>
        </is>
      </c>
      <c r="C1982" t="inlineStr">
        <is>
          <t>Organic Search</t>
        </is>
      </c>
      <c r="D1982" t="inlineStr">
        <is>
          <t>K-12 Math</t>
        </is>
      </c>
      <c r="E1982" t="inlineStr">
        <is>
          <t>North Region</t>
        </is>
      </c>
      <c r="F1982" t="inlineStr">
        <is>
          <t>Rep_01</t>
        </is>
      </c>
      <c r="G1982" t="n">
        <v>3.3</v>
      </c>
      <c r="H1982" t="inlineStr">
        <is>
          <t>Contacted</t>
        </is>
      </c>
      <c r="I1982" t="inlineStr">
        <is>
          <t>Open</t>
        </is>
      </c>
      <c r="M1982">
        <f>VLOOKUP(H1982,'Stage Order'!$A$2:$B$8,2,FALSE)</f>
        <v/>
      </c>
      <c r="N1982">
        <f>IF(G1982&lt;=1,"1. Under 1 hour",IF(G1982&lt;=24,"2. 1-24 hours",IF(G1982&lt;=72,"3. 1-3 days","4. Over 3 days")))</f>
        <v/>
      </c>
      <c r="O1982">
        <f>TEXT(B1982,"YYYY-MM")</f>
        <v/>
      </c>
    </row>
    <row r="1983">
      <c r="A1983" t="inlineStr">
        <is>
          <t>LD-301981</t>
        </is>
      </c>
      <c r="B1983" t="inlineStr">
        <is>
          <t>2025-07-15 16:53:00</t>
        </is>
      </c>
      <c r="C1983" t="inlineStr">
        <is>
          <t>Organic Search</t>
        </is>
      </c>
      <c r="D1983" t="inlineStr">
        <is>
          <t>Language Learning</t>
        </is>
      </c>
      <c r="E1983" t="inlineStr">
        <is>
          <t>International</t>
        </is>
      </c>
      <c r="F1983" t="inlineStr">
        <is>
          <t>Rep_05</t>
        </is>
      </c>
      <c r="G1983" t="n">
        <v>6.21</v>
      </c>
      <c r="H1983" t="inlineStr">
        <is>
          <t>Contacted</t>
        </is>
      </c>
      <c r="I1983" t="inlineStr">
        <is>
          <t>Open</t>
        </is>
      </c>
      <c r="M1983">
        <f>VLOOKUP(H1983,'Stage Order'!$A$2:$B$8,2,FALSE)</f>
        <v/>
      </c>
      <c r="N1983">
        <f>IF(G1983&lt;=1,"1. Under 1 hour",IF(G1983&lt;=24,"2. 1-24 hours",IF(G1983&lt;=72,"3. 1-3 days","4. Over 3 days")))</f>
        <v/>
      </c>
      <c r="O1983">
        <f>TEXT(B1983,"YYYY-MM")</f>
        <v/>
      </c>
    </row>
    <row r="1984">
      <c r="A1984" t="inlineStr">
        <is>
          <t>LD-301982</t>
        </is>
      </c>
      <c r="B1984" t="inlineStr">
        <is>
          <t>2025-08-15 09:08:00</t>
        </is>
      </c>
      <c r="C1984" t="inlineStr">
        <is>
          <t>Organic Search</t>
        </is>
      </c>
      <c r="D1984" t="inlineStr">
        <is>
          <t>Language Learning</t>
        </is>
      </c>
      <c r="E1984" t="inlineStr">
        <is>
          <t>International</t>
        </is>
      </c>
      <c r="F1984" t="inlineStr">
        <is>
          <t>Rep_05</t>
        </is>
      </c>
      <c r="G1984" t="n">
        <v>5.09</v>
      </c>
      <c r="H1984" t="inlineStr">
        <is>
          <t>Contacted</t>
        </is>
      </c>
      <c r="I1984" t="inlineStr">
        <is>
          <t>Open</t>
        </is>
      </c>
      <c r="M1984">
        <f>VLOOKUP(H1984,'Stage Order'!$A$2:$B$8,2,FALSE)</f>
        <v/>
      </c>
      <c r="N1984">
        <f>IF(G1984&lt;=1,"1. Under 1 hour",IF(G1984&lt;=24,"2. 1-24 hours",IF(G1984&lt;=72,"3. 1-3 days","4. Over 3 days")))</f>
        <v/>
      </c>
      <c r="O1984">
        <f>TEXT(B1984,"YYYY-MM")</f>
        <v/>
      </c>
    </row>
    <row r="1985">
      <c r="A1985" t="inlineStr">
        <is>
          <t>LD-301983</t>
        </is>
      </c>
      <c r="B1985" t="inlineStr">
        <is>
          <t>2025-10-17 16:13:00</t>
        </is>
      </c>
      <c r="C1985" t="inlineStr">
        <is>
          <t>Webinar</t>
        </is>
      </c>
      <c r="D1985" t="inlineStr">
        <is>
          <t>K-12 Math</t>
        </is>
      </c>
      <c r="E1985" t="inlineStr">
        <is>
          <t>North Region</t>
        </is>
      </c>
      <c r="F1985" t="inlineStr">
        <is>
          <t>Rep_11</t>
        </is>
      </c>
      <c r="G1985" t="n">
        <v>4.72</v>
      </c>
      <c r="H1985" t="inlineStr">
        <is>
          <t>Closed</t>
        </is>
      </c>
      <c r="I1985" t="inlineStr">
        <is>
          <t>Won</t>
        </is>
      </c>
      <c r="K1985" t="n">
        <v>482.82</v>
      </c>
      <c r="L1985" t="inlineStr">
        <is>
          <t>2025-11-11 06:32:14.798646</t>
        </is>
      </c>
      <c r="M1985">
        <f>VLOOKUP(H1985,'Stage Order'!$A$2:$B$8,2,FALSE)</f>
        <v/>
      </c>
      <c r="N1985">
        <f>IF(G1985&lt;=1,"1. Under 1 hour",IF(G1985&lt;=24,"2. 1-24 hours",IF(G1985&lt;=72,"3. 1-3 days","4. Over 3 days")))</f>
        <v/>
      </c>
      <c r="O1985">
        <f>TEXT(B1985,"YYYY-MM")</f>
        <v/>
      </c>
    </row>
    <row r="1986">
      <c r="A1986" t="inlineStr">
        <is>
          <t>LD-301984</t>
        </is>
      </c>
      <c r="B1986" t="inlineStr">
        <is>
          <t>2025-06-15 08:23:00</t>
        </is>
      </c>
      <c r="C1986" t="inlineStr">
        <is>
          <t>Partner Channel</t>
        </is>
      </c>
      <c r="D1986" t="inlineStr">
        <is>
          <t>Study Abroad Prep</t>
        </is>
      </c>
      <c r="E1986" t="inlineStr">
        <is>
          <t>International</t>
        </is>
      </c>
      <c r="F1986" t="inlineStr">
        <is>
          <t>Rep_10</t>
        </is>
      </c>
      <c r="G1986" t="n">
        <v>3.55</v>
      </c>
      <c r="H1986" t="inlineStr">
        <is>
          <t>Negotiation</t>
        </is>
      </c>
      <c r="I1986" t="inlineStr">
        <is>
          <t>Lost</t>
        </is>
      </c>
      <c r="J1986" t="inlineStr">
        <is>
          <t>Went With Competitor</t>
        </is>
      </c>
      <c r="K1986" t="n">
        <v>1496.6</v>
      </c>
      <c r="L1986" t="inlineStr">
        <is>
          <t>2025-08-07 08:57:14.381144</t>
        </is>
      </c>
      <c r="M1986">
        <f>VLOOKUP(H1986,'Stage Order'!$A$2:$B$8,2,FALSE)</f>
        <v/>
      </c>
      <c r="N1986">
        <f>IF(G1986&lt;=1,"1. Under 1 hour",IF(G1986&lt;=24,"2. 1-24 hours",IF(G1986&lt;=72,"3. 1-3 days","4. Over 3 days")))</f>
        <v/>
      </c>
      <c r="O1986">
        <f>TEXT(B1986,"YYYY-MM")</f>
        <v/>
      </c>
    </row>
    <row r="1987">
      <c r="A1987" t="inlineStr">
        <is>
          <t>LD-301985</t>
        </is>
      </c>
      <c r="B1987" t="inlineStr">
        <is>
          <t>2026-03-21 20:49:00</t>
        </is>
      </c>
      <c r="C1987" t="inlineStr">
        <is>
          <t>Webinar</t>
        </is>
      </c>
      <c r="D1987" t="inlineStr">
        <is>
          <t>Study Abroad Prep</t>
        </is>
      </c>
      <c r="E1987" t="inlineStr">
        <is>
          <t>East Region</t>
        </is>
      </c>
      <c r="F1987" t="inlineStr">
        <is>
          <t>Rep_04</t>
        </is>
      </c>
      <c r="G1987" t="n">
        <v>3.43</v>
      </c>
      <c r="H1987" t="inlineStr">
        <is>
          <t>Contacted</t>
        </is>
      </c>
      <c r="I1987" t="inlineStr">
        <is>
          <t>Open</t>
        </is>
      </c>
      <c r="M1987">
        <f>VLOOKUP(H1987,'Stage Order'!$A$2:$B$8,2,FALSE)</f>
        <v/>
      </c>
      <c r="N1987">
        <f>IF(G1987&lt;=1,"1. Under 1 hour",IF(G1987&lt;=24,"2. 1-24 hours",IF(G1987&lt;=72,"3. 1-3 days","4. Over 3 days")))</f>
        <v/>
      </c>
      <c r="O1987">
        <f>TEXT(B1987,"YYYY-MM")</f>
        <v/>
      </c>
    </row>
    <row r="1988">
      <c r="A1988" t="inlineStr">
        <is>
          <t>LD-301986</t>
        </is>
      </c>
      <c r="B1988" t="inlineStr">
        <is>
          <t>2026-01-11 10:06:00</t>
        </is>
      </c>
      <c r="C1988" t="inlineStr">
        <is>
          <t>Organic Search</t>
        </is>
      </c>
      <c r="D1988" t="inlineStr">
        <is>
          <t>Study Abroad Prep</t>
        </is>
      </c>
      <c r="E1988" t="inlineStr">
        <is>
          <t>West Region</t>
        </is>
      </c>
      <c r="F1988" t="inlineStr">
        <is>
          <t>Rep_03</t>
        </is>
      </c>
      <c r="G1988" t="n">
        <v>4.1</v>
      </c>
      <c r="H1988" t="inlineStr">
        <is>
          <t>Contacted</t>
        </is>
      </c>
      <c r="I1988" t="inlineStr">
        <is>
          <t>Open</t>
        </is>
      </c>
      <c r="M1988">
        <f>VLOOKUP(H1988,'Stage Order'!$A$2:$B$8,2,FALSE)</f>
        <v/>
      </c>
      <c r="N1988">
        <f>IF(G1988&lt;=1,"1. Under 1 hour",IF(G1988&lt;=24,"2. 1-24 hours",IF(G1988&lt;=72,"3. 1-3 days","4. Over 3 days")))</f>
        <v/>
      </c>
      <c r="O1988">
        <f>TEXT(B1988,"YYYY-MM")</f>
        <v/>
      </c>
    </row>
    <row r="1989">
      <c r="A1989" t="inlineStr">
        <is>
          <t>LD-301987</t>
        </is>
      </c>
      <c r="B1989" t="inlineStr">
        <is>
          <t>2026-01-20 12:38:00</t>
        </is>
      </c>
      <c r="C1989" t="inlineStr">
        <is>
          <t>Social Media</t>
        </is>
      </c>
      <c r="D1989" t="inlineStr">
        <is>
          <t>K-12 Math</t>
        </is>
      </c>
      <c r="E1989" t="inlineStr">
        <is>
          <t>South Region</t>
        </is>
      </c>
      <c r="F1989" t="inlineStr">
        <is>
          <t>Rep_12</t>
        </is>
      </c>
      <c r="G1989" t="n">
        <v>4.1</v>
      </c>
      <c r="H1989" t="inlineStr">
        <is>
          <t>Contacted</t>
        </is>
      </c>
      <c r="I1989" t="inlineStr">
        <is>
          <t>Open</t>
        </is>
      </c>
      <c r="M1989">
        <f>VLOOKUP(H1989,'Stage Order'!$A$2:$B$8,2,FALSE)</f>
        <v/>
      </c>
      <c r="N1989">
        <f>IF(G1989&lt;=1,"1. Under 1 hour",IF(G1989&lt;=24,"2. 1-24 hours",IF(G1989&lt;=72,"3. 1-3 days","4. Over 3 days")))</f>
        <v/>
      </c>
      <c r="O1989">
        <f>TEXT(B1989,"YYYY-MM")</f>
        <v/>
      </c>
    </row>
    <row r="1990">
      <c r="A1990" t="inlineStr">
        <is>
          <t>LD-301988</t>
        </is>
      </c>
      <c r="B1990" t="inlineStr">
        <is>
          <t>2025-11-13 07:52:00</t>
        </is>
      </c>
      <c r="C1990" t="inlineStr">
        <is>
          <t>Organic Search</t>
        </is>
      </c>
      <c r="D1990" t="inlineStr">
        <is>
          <t>Coding for Kids</t>
        </is>
      </c>
      <c r="E1990" t="inlineStr">
        <is>
          <t>South Region</t>
        </is>
      </c>
      <c r="F1990" t="inlineStr">
        <is>
          <t>Rep_02</t>
        </is>
      </c>
      <c r="G1990" t="n">
        <v>3.85</v>
      </c>
      <c r="H1990" t="inlineStr">
        <is>
          <t>Demo Completed</t>
        </is>
      </c>
      <c r="I1990" t="inlineStr">
        <is>
          <t>Lost</t>
        </is>
      </c>
      <c r="J1990" t="inlineStr">
        <is>
          <t>Price Objection</t>
        </is>
      </c>
      <c r="K1990" t="n">
        <v>538.4299999999999</v>
      </c>
      <c r="L1990" t="inlineStr">
        <is>
          <t>2025-12-15 19:09:21.975734</t>
        </is>
      </c>
      <c r="M1990">
        <f>VLOOKUP(H1990,'Stage Order'!$A$2:$B$8,2,FALSE)</f>
        <v/>
      </c>
      <c r="N1990">
        <f>IF(G1990&lt;=1,"1. Under 1 hour",IF(G1990&lt;=24,"2. 1-24 hours",IF(G1990&lt;=72,"3. 1-3 days","4. Over 3 days")))</f>
        <v/>
      </c>
      <c r="O1990">
        <f>TEXT(B1990,"YYYY-MM")</f>
        <v/>
      </c>
    </row>
    <row r="1991">
      <c r="A1991" t="inlineStr">
        <is>
          <t>LD-301989</t>
        </is>
      </c>
      <c r="B1991" t="inlineStr">
        <is>
          <t>2025-11-07 08:34:00</t>
        </is>
      </c>
      <c r="C1991" t="inlineStr">
        <is>
          <t>Referral</t>
        </is>
      </c>
      <c r="D1991" t="inlineStr">
        <is>
          <t>Coding for Kids</t>
        </is>
      </c>
      <c r="E1991" t="inlineStr">
        <is>
          <t>International</t>
        </is>
      </c>
      <c r="F1991" t="inlineStr">
        <is>
          <t>Rep_05</t>
        </is>
      </c>
      <c r="G1991" t="n">
        <v>4.63</v>
      </c>
      <c r="H1991" t="inlineStr">
        <is>
          <t>Contacted</t>
        </is>
      </c>
      <c r="I1991" t="inlineStr">
        <is>
          <t>Open</t>
        </is>
      </c>
      <c r="M1991">
        <f>VLOOKUP(H1991,'Stage Order'!$A$2:$B$8,2,FALSE)</f>
        <v/>
      </c>
      <c r="N1991">
        <f>IF(G1991&lt;=1,"1. Under 1 hour",IF(G1991&lt;=24,"2. 1-24 hours",IF(G1991&lt;=72,"3. 1-3 days","4. Over 3 days")))</f>
        <v/>
      </c>
      <c r="O1991">
        <f>TEXT(B1991,"YYYY-MM")</f>
        <v/>
      </c>
    </row>
    <row r="1992">
      <c r="A1992" t="inlineStr">
        <is>
          <t>LD-301990</t>
        </is>
      </c>
      <c r="B1992" t="inlineStr">
        <is>
          <t>2025-02-24 20:20:00</t>
        </is>
      </c>
      <c r="C1992" t="inlineStr">
        <is>
          <t>Organic Search</t>
        </is>
      </c>
      <c r="D1992" t="inlineStr">
        <is>
          <t>K-12 Math</t>
        </is>
      </c>
      <c r="E1992" t="inlineStr">
        <is>
          <t>East Region</t>
        </is>
      </c>
      <c r="F1992" t="inlineStr">
        <is>
          <t>Rep_09</t>
        </is>
      </c>
      <c r="G1992" t="n">
        <v>4.12</v>
      </c>
      <c r="H1992" t="inlineStr">
        <is>
          <t>Contacted</t>
        </is>
      </c>
      <c r="I1992" t="inlineStr">
        <is>
          <t>Open</t>
        </is>
      </c>
      <c r="M1992">
        <f>VLOOKUP(H1992,'Stage Order'!$A$2:$B$8,2,FALSE)</f>
        <v/>
      </c>
      <c r="N1992">
        <f>IF(G1992&lt;=1,"1. Under 1 hour",IF(G1992&lt;=24,"2. 1-24 hours",IF(G1992&lt;=72,"3. 1-3 days","4. Over 3 days")))</f>
        <v/>
      </c>
      <c r="O1992">
        <f>TEXT(B1992,"YYYY-MM")</f>
        <v/>
      </c>
    </row>
    <row r="1993">
      <c r="A1993" t="inlineStr">
        <is>
          <t>LD-301991</t>
        </is>
      </c>
      <c r="B1993" t="inlineStr">
        <is>
          <t>2025-02-16 14:33:00</t>
        </is>
      </c>
      <c r="C1993" t="inlineStr">
        <is>
          <t>Organic Search</t>
        </is>
      </c>
      <c r="D1993" t="inlineStr">
        <is>
          <t>Coding for Kids</t>
        </is>
      </c>
      <c r="E1993" t="inlineStr">
        <is>
          <t>South Region</t>
        </is>
      </c>
      <c r="F1993" t="inlineStr">
        <is>
          <t>Rep_02</t>
        </is>
      </c>
      <c r="G1993" t="n">
        <v>6.84</v>
      </c>
      <c r="H1993" t="inlineStr">
        <is>
          <t>Demo Completed</t>
        </is>
      </c>
      <c r="I1993" t="inlineStr">
        <is>
          <t>Lost</t>
        </is>
      </c>
      <c r="J1993" t="inlineStr">
        <is>
          <t>Bad Timing</t>
        </is>
      </c>
      <c r="K1993" t="n">
        <v>738.8099999999999</v>
      </c>
      <c r="L1993" t="inlineStr">
        <is>
          <t>2025-03-26 17:51:45.584522</t>
        </is>
      </c>
      <c r="M1993">
        <f>VLOOKUP(H1993,'Stage Order'!$A$2:$B$8,2,FALSE)</f>
        <v/>
      </c>
      <c r="N1993">
        <f>IF(G1993&lt;=1,"1. Under 1 hour",IF(G1993&lt;=24,"2. 1-24 hours",IF(G1993&lt;=72,"3. 1-3 days","4. Over 3 days")))</f>
        <v/>
      </c>
      <c r="O1993">
        <f>TEXT(B1993,"YYYY-MM")</f>
        <v/>
      </c>
    </row>
    <row r="1994">
      <c r="A1994" t="inlineStr">
        <is>
          <t>LD-301992</t>
        </is>
      </c>
      <c r="B1994" t="inlineStr">
        <is>
          <t>2025-11-07 14:39:00</t>
        </is>
      </c>
      <c r="C1994" t="inlineStr">
        <is>
          <t>Social Media</t>
        </is>
      </c>
      <c r="D1994" t="inlineStr">
        <is>
          <t>Competitive Exam Prep</t>
        </is>
      </c>
      <c r="E1994" t="inlineStr">
        <is>
          <t>South Region</t>
        </is>
      </c>
      <c r="F1994" t="inlineStr">
        <is>
          <t>Rep_02</t>
        </is>
      </c>
      <c r="G1994" t="n">
        <v>4.16</v>
      </c>
      <c r="H1994" t="inlineStr">
        <is>
          <t>Contacted</t>
        </is>
      </c>
      <c r="I1994" t="inlineStr">
        <is>
          <t>Open</t>
        </is>
      </c>
      <c r="M1994">
        <f>VLOOKUP(H1994,'Stage Order'!$A$2:$B$8,2,FALSE)</f>
        <v/>
      </c>
      <c r="N1994">
        <f>IF(G1994&lt;=1,"1. Under 1 hour",IF(G1994&lt;=24,"2. 1-24 hours",IF(G1994&lt;=72,"3. 1-3 days","4. Over 3 days")))</f>
        <v/>
      </c>
      <c r="O1994">
        <f>TEXT(B1994,"YYYY-MM")</f>
        <v/>
      </c>
    </row>
    <row r="1995">
      <c r="A1995" t="inlineStr">
        <is>
          <t>LD-301993</t>
        </is>
      </c>
      <c r="B1995" t="inlineStr">
        <is>
          <t>2025-02-14 18:53:00</t>
        </is>
      </c>
      <c r="C1995" t="inlineStr">
        <is>
          <t>Paid Search</t>
        </is>
      </c>
      <c r="D1995" t="inlineStr">
        <is>
          <t>Study Abroad Prep</t>
        </is>
      </c>
      <c r="E1995" t="inlineStr">
        <is>
          <t>West Region</t>
        </is>
      </c>
      <c r="F1995" t="inlineStr">
        <is>
          <t>Rep_13</t>
        </is>
      </c>
      <c r="G1995" t="n">
        <v>1.48</v>
      </c>
      <c r="H1995" t="inlineStr">
        <is>
          <t>Closed</t>
        </is>
      </c>
      <c r="I1995" t="inlineStr">
        <is>
          <t>Won</t>
        </is>
      </c>
      <c r="K1995" t="n">
        <v>1683.28</v>
      </c>
      <c r="L1995" t="inlineStr">
        <is>
          <t>2025-04-08 15:01:29.346953</t>
        </is>
      </c>
      <c r="M1995">
        <f>VLOOKUP(H1995,'Stage Order'!$A$2:$B$8,2,FALSE)</f>
        <v/>
      </c>
      <c r="N1995">
        <f>IF(G1995&lt;=1,"1. Under 1 hour",IF(G1995&lt;=24,"2. 1-24 hours",IF(G1995&lt;=72,"3. 1-3 days","4. Over 3 days")))</f>
        <v/>
      </c>
      <c r="O1995">
        <f>TEXT(B1995,"YYYY-MM")</f>
        <v/>
      </c>
    </row>
    <row r="1996">
      <c r="A1996" t="inlineStr">
        <is>
          <t>LD-301994</t>
        </is>
      </c>
      <c r="B1996" t="inlineStr">
        <is>
          <t>2026-06-08 08:18:00</t>
        </is>
      </c>
      <c r="C1996" t="inlineStr">
        <is>
          <t>Organic Search</t>
        </is>
      </c>
      <c r="D1996" t="inlineStr">
        <is>
          <t>Coding for Kids</t>
        </is>
      </c>
      <c r="E1996" t="inlineStr">
        <is>
          <t>West Region</t>
        </is>
      </c>
      <c r="F1996" t="inlineStr">
        <is>
          <t>Rep_13</t>
        </is>
      </c>
      <c r="G1996" t="n">
        <v>13.18</v>
      </c>
      <c r="H1996" t="inlineStr">
        <is>
          <t>Demo Completed</t>
        </is>
      </c>
      <c r="I1996" t="inlineStr">
        <is>
          <t>Lost</t>
        </is>
      </c>
      <c r="J1996" t="inlineStr">
        <is>
          <t>No Response / Ghosted</t>
        </is>
      </c>
      <c r="K1996" t="n">
        <v>582.1</v>
      </c>
      <c r="L1996" t="inlineStr">
        <is>
          <t>2026-07-07 19:48:55.285196</t>
        </is>
      </c>
      <c r="M1996">
        <f>VLOOKUP(H1996,'Stage Order'!$A$2:$B$8,2,FALSE)</f>
        <v/>
      </c>
      <c r="N1996">
        <f>IF(G1996&lt;=1,"1. Under 1 hour",IF(G1996&lt;=24,"2. 1-24 hours",IF(G1996&lt;=72,"3. 1-3 days","4. Over 3 days")))</f>
        <v/>
      </c>
      <c r="O1996">
        <f>TEXT(B1996,"YYYY-MM")</f>
        <v/>
      </c>
    </row>
    <row r="1997">
      <c r="A1997" t="inlineStr">
        <is>
          <t>LD-301995</t>
        </is>
      </c>
      <c r="B1997" t="inlineStr">
        <is>
          <t>2025-10-16 12:50:00</t>
        </is>
      </c>
      <c r="C1997" t="inlineStr">
        <is>
          <t>Organic Search</t>
        </is>
      </c>
      <c r="D1997" t="inlineStr">
        <is>
          <t>Study Abroad Prep</t>
        </is>
      </c>
      <c r="E1997" t="inlineStr">
        <is>
          <t>South Region</t>
        </is>
      </c>
      <c r="F1997" t="inlineStr">
        <is>
          <t>Rep_07</t>
        </is>
      </c>
      <c r="G1997" t="n">
        <v>0.95</v>
      </c>
      <c r="H1997" t="inlineStr">
        <is>
          <t>Closed</t>
        </is>
      </c>
      <c r="I1997" t="inlineStr">
        <is>
          <t>Won</t>
        </is>
      </c>
      <c r="K1997" t="n">
        <v>1392.53</v>
      </c>
      <c r="L1997" t="inlineStr">
        <is>
          <t>2025-11-30 04:03:06.591949</t>
        </is>
      </c>
      <c r="M1997">
        <f>VLOOKUP(H1997,'Stage Order'!$A$2:$B$8,2,FALSE)</f>
        <v/>
      </c>
      <c r="N1997">
        <f>IF(G1997&lt;=1,"1. Under 1 hour",IF(G1997&lt;=24,"2. 1-24 hours",IF(G1997&lt;=72,"3. 1-3 days","4. Over 3 days")))</f>
        <v/>
      </c>
      <c r="O1997">
        <f>TEXT(B1997,"YYYY-MM")</f>
        <v/>
      </c>
    </row>
    <row r="1998">
      <c r="A1998" t="inlineStr">
        <is>
          <t>LD-301996</t>
        </is>
      </c>
      <c r="B1998" t="inlineStr">
        <is>
          <t>2025-11-16 09:23:00</t>
        </is>
      </c>
      <c r="C1998" t="inlineStr">
        <is>
          <t>Organic Search</t>
        </is>
      </c>
      <c r="D1998" t="inlineStr">
        <is>
          <t>K-12 Math</t>
        </is>
      </c>
      <c r="E1998" t="inlineStr">
        <is>
          <t>West Region</t>
        </is>
      </c>
      <c r="F1998" t="inlineStr">
        <is>
          <t>Rep_03</t>
        </is>
      </c>
      <c r="G1998" t="n">
        <v>3.11</v>
      </c>
      <c r="H1998" t="inlineStr">
        <is>
          <t>Demo Completed</t>
        </is>
      </c>
      <c r="I1998" t="inlineStr">
        <is>
          <t>Lost</t>
        </is>
      </c>
      <c r="J1998" t="inlineStr">
        <is>
          <t>Price Objection</t>
        </is>
      </c>
      <c r="K1998" t="n">
        <v>461.45</v>
      </c>
      <c r="L1998" t="inlineStr">
        <is>
          <t>2025-12-14 10:00:57.268065</t>
        </is>
      </c>
      <c r="M1998">
        <f>VLOOKUP(H1998,'Stage Order'!$A$2:$B$8,2,FALSE)</f>
        <v/>
      </c>
      <c r="N1998">
        <f>IF(G1998&lt;=1,"1. Under 1 hour",IF(G1998&lt;=24,"2. 1-24 hours",IF(G1998&lt;=72,"3. 1-3 days","4. Over 3 days")))</f>
        <v/>
      </c>
      <c r="O1998">
        <f>TEXT(B1998,"YYYY-MM")</f>
        <v/>
      </c>
    </row>
    <row r="1999">
      <c r="A1999" t="inlineStr">
        <is>
          <t>LD-301997</t>
        </is>
      </c>
      <c r="B1999" t="inlineStr">
        <is>
          <t>2025-02-21 15:54:00</t>
        </is>
      </c>
      <c r="C1999" t="inlineStr">
        <is>
          <t>Organic Search</t>
        </is>
      </c>
      <c r="D1999" t="inlineStr">
        <is>
          <t>Competitive Exam Prep</t>
        </is>
      </c>
      <c r="E1999" t="inlineStr">
        <is>
          <t>South Region</t>
        </is>
      </c>
      <c r="F1999" t="inlineStr">
        <is>
          <t>Rep_07</t>
        </is>
      </c>
      <c r="G1999" t="n">
        <v>5.24</v>
      </c>
      <c r="H1999" t="inlineStr">
        <is>
          <t>Negotiation</t>
        </is>
      </c>
      <c r="I1999" t="inlineStr">
        <is>
          <t>Lost</t>
        </is>
      </c>
      <c r="J1999" t="inlineStr">
        <is>
          <t>Price Objection</t>
        </is>
      </c>
      <c r="K1999" t="n">
        <v>922.76</v>
      </c>
      <c r="L1999" t="inlineStr">
        <is>
          <t>2025-04-01 06:02:23.370701</t>
        </is>
      </c>
      <c r="M1999">
        <f>VLOOKUP(H1999,'Stage Order'!$A$2:$B$8,2,FALSE)</f>
        <v/>
      </c>
      <c r="N1999">
        <f>IF(G1999&lt;=1,"1. Under 1 hour",IF(G1999&lt;=24,"2. 1-24 hours",IF(G1999&lt;=72,"3. 1-3 days","4. Over 3 days")))</f>
        <v/>
      </c>
      <c r="O1999">
        <f>TEXT(B1999,"YYYY-MM")</f>
        <v/>
      </c>
    </row>
    <row r="2000">
      <c r="A2000" t="inlineStr">
        <is>
          <t>LD-301998</t>
        </is>
      </c>
      <c r="B2000" t="inlineStr">
        <is>
          <t>2026-06-29 12:55:00</t>
        </is>
      </c>
      <c r="C2000" t="inlineStr">
        <is>
          <t>Organic Search</t>
        </is>
      </c>
      <c r="D2000" t="inlineStr">
        <is>
          <t>Competitive Exam Prep</t>
        </is>
      </c>
      <c r="E2000" t="inlineStr">
        <is>
          <t>East Region</t>
        </is>
      </c>
      <c r="F2000" t="inlineStr">
        <is>
          <t>Rep_04</t>
        </is>
      </c>
      <c r="G2000" t="n">
        <v>1.68</v>
      </c>
      <c r="H2000" t="inlineStr">
        <is>
          <t>Lead</t>
        </is>
      </c>
      <c r="I2000" t="inlineStr">
        <is>
          <t>Open</t>
        </is>
      </c>
      <c r="M2000">
        <f>VLOOKUP(H2000,'Stage Order'!$A$2:$B$8,2,FALSE)</f>
        <v/>
      </c>
      <c r="N2000">
        <f>IF(G2000&lt;=1,"1. Under 1 hour",IF(G2000&lt;=24,"2. 1-24 hours",IF(G2000&lt;=72,"3. 1-3 days","4. Over 3 days")))</f>
        <v/>
      </c>
      <c r="O2000">
        <f>TEXT(B2000,"YYYY-MM")</f>
        <v/>
      </c>
    </row>
    <row r="2001">
      <c r="A2001" t="inlineStr">
        <is>
          <t>LD-301999</t>
        </is>
      </c>
      <c r="B2001" t="inlineStr">
        <is>
          <t>2025-06-20 11:11:00</t>
        </is>
      </c>
      <c r="C2001" t="inlineStr">
        <is>
          <t>Organic Search</t>
        </is>
      </c>
      <c r="D2001" t="inlineStr">
        <is>
          <t>Competitive Exam Prep</t>
        </is>
      </c>
      <c r="E2001" t="inlineStr">
        <is>
          <t>East Region</t>
        </is>
      </c>
      <c r="F2001" t="inlineStr">
        <is>
          <t>Rep_04</t>
        </is>
      </c>
      <c r="G2001" t="n">
        <v>4.05</v>
      </c>
      <c r="H2001" t="inlineStr">
        <is>
          <t>Contacted</t>
        </is>
      </c>
      <c r="I2001" t="inlineStr">
        <is>
          <t>Open</t>
        </is>
      </c>
      <c r="M2001">
        <f>VLOOKUP(H2001,'Stage Order'!$A$2:$B$8,2,FALSE)</f>
        <v/>
      </c>
      <c r="N2001">
        <f>IF(G2001&lt;=1,"1. Under 1 hour",IF(G2001&lt;=24,"2. 1-24 hours",IF(G2001&lt;=72,"3. 1-3 days","4. Over 3 days")))</f>
        <v/>
      </c>
      <c r="O2001">
        <f>TEXT(B2001,"YYYY-MM")</f>
        <v/>
      </c>
    </row>
    <row r="2002">
      <c r="A2002" t="inlineStr">
        <is>
          <t>LD-302000</t>
        </is>
      </c>
      <c r="B2002" t="inlineStr">
        <is>
          <t>2026-04-30 10:56:00</t>
        </is>
      </c>
      <c r="C2002" t="inlineStr">
        <is>
          <t>Referral</t>
        </is>
      </c>
      <c r="D2002" t="inlineStr">
        <is>
          <t>Study Abroad Prep</t>
        </is>
      </c>
      <c r="E2002" t="inlineStr">
        <is>
          <t>South Region</t>
        </is>
      </c>
      <c r="F2002" t="inlineStr">
        <is>
          <t>Rep_12</t>
        </is>
      </c>
      <c r="G2002" t="n">
        <v>0.98</v>
      </c>
      <c r="H2002" t="inlineStr">
        <is>
          <t>Contacted</t>
        </is>
      </c>
      <c r="I2002" t="inlineStr">
        <is>
          <t>Open</t>
        </is>
      </c>
      <c r="M2002">
        <f>VLOOKUP(H2002,'Stage Order'!$A$2:$B$8,2,FALSE)</f>
        <v/>
      </c>
      <c r="N2002">
        <f>IF(G2002&lt;=1,"1. Under 1 hour",IF(G2002&lt;=24,"2. 1-24 hours",IF(G2002&lt;=72,"3. 1-3 days","4. Over 3 days")))</f>
        <v/>
      </c>
      <c r="O2002">
        <f>TEXT(B2002,"YYYY-MM")</f>
        <v/>
      </c>
    </row>
    <row r="2003">
      <c r="A2003" t="inlineStr">
        <is>
          <t>LD-302001</t>
        </is>
      </c>
      <c r="B2003" t="inlineStr">
        <is>
          <t>2025-04-28 16:38:00</t>
        </is>
      </c>
      <c r="C2003" t="inlineStr">
        <is>
          <t>Referral</t>
        </is>
      </c>
      <c r="D2003" t="inlineStr">
        <is>
          <t>K-12 Math</t>
        </is>
      </c>
      <c r="E2003" t="inlineStr">
        <is>
          <t>West Region</t>
        </is>
      </c>
      <c r="F2003" t="inlineStr">
        <is>
          <t>Rep_08</t>
        </is>
      </c>
      <c r="G2003" t="n">
        <v>3.96</v>
      </c>
      <c r="H2003" t="inlineStr">
        <is>
          <t>Closed</t>
        </is>
      </c>
      <c r="I2003" t="inlineStr">
        <is>
          <t>Won</t>
        </is>
      </c>
      <c r="K2003" t="n">
        <v>549.51</v>
      </c>
      <c r="L2003" t="inlineStr">
        <is>
          <t>2025-06-02 20:41:54.859910</t>
        </is>
      </c>
      <c r="M2003">
        <f>VLOOKUP(H2003,'Stage Order'!$A$2:$B$8,2,FALSE)</f>
        <v/>
      </c>
      <c r="N2003">
        <f>IF(G2003&lt;=1,"1. Under 1 hour",IF(G2003&lt;=24,"2. 1-24 hours",IF(G2003&lt;=72,"3. 1-3 days","4. Over 3 days")))</f>
        <v/>
      </c>
      <c r="O2003">
        <f>TEXT(B2003,"YYYY-MM")</f>
        <v/>
      </c>
    </row>
    <row r="2004">
      <c r="A2004" t="inlineStr">
        <is>
          <t>LD-302002</t>
        </is>
      </c>
      <c r="B2004" t="inlineStr">
        <is>
          <t>2025-09-02 12:51:00</t>
        </is>
      </c>
      <c r="C2004" t="inlineStr">
        <is>
          <t>Social Media</t>
        </is>
      </c>
      <c r="D2004" t="inlineStr">
        <is>
          <t>Study Abroad Prep</t>
        </is>
      </c>
      <c r="E2004" t="inlineStr">
        <is>
          <t>East Region</t>
        </is>
      </c>
      <c r="F2004" t="inlineStr">
        <is>
          <t>Rep_14</t>
        </is>
      </c>
      <c r="G2004" t="n">
        <v>0.6</v>
      </c>
      <c r="H2004" t="inlineStr">
        <is>
          <t>Lead</t>
        </is>
      </c>
      <c r="I2004" t="inlineStr">
        <is>
          <t>Open</t>
        </is>
      </c>
      <c r="M2004">
        <f>VLOOKUP(H2004,'Stage Order'!$A$2:$B$8,2,FALSE)</f>
        <v/>
      </c>
      <c r="N2004">
        <f>IF(G2004&lt;=1,"1. Under 1 hour",IF(G2004&lt;=24,"2. 1-24 hours",IF(G2004&lt;=72,"3. 1-3 days","4. Over 3 days")))</f>
        <v/>
      </c>
      <c r="O2004">
        <f>TEXT(B2004,"YYYY-MM")</f>
        <v/>
      </c>
    </row>
    <row r="2005">
      <c r="A2005" t="inlineStr">
        <is>
          <t>LD-302003</t>
        </is>
      </c>
      <c r="B2005" t="inlineStr">
        <is>
          <t>2026-04-10 13:37:00</t>
        </is>
      </c>
      <c r="C2005" t="inlineStr">
        <is>
          <t>Webinar</t>
        </is>
      </c>
      <c r="D2005" t="inlineStr">
        <is>
          <t>Language Learning</t>
        </is>
      </c>
      <c r="E2005" t="inlineStr">
        <is>
          <t>South Region</t>
        </is>
      </c>
      <c r="F2005" t="inlineStr">
        <is>
          <t>Rep_12</t>
        </is>
      </c>
      <c r="G2005" t="n">
        <v>5.82</v>
      </c>
      <c r="H2005" t="inlineStr">
        <is>
          <t>Contacted</t>
        </is>
      </c>
      <c r="I2005" t="inlineStr">
        <is>
          <t>Open</t>
        </is>
      </c>
      <c r="M2005">
        <f>VLOOKUP(H2005,'Stage Order'!$A$2:$B$8,2,FALSE)</f>
        <v/>
      </c>
      <c r="N2005">
        <f>IF(G2005&lt;=1,"1. Under 1 hour",IF(G2005&lt;=24,"2. 1-24 hours",IF(G2005&lt;=72,"3. 1-3 days","4. Over 3 days")))</f>
        <v/>
      </c>
      <c r="O2005">
        <f>TEXT(B2005,"YYYY-MM")</f>
        <v/>
      </c>
    </row>
    <row r="2006">
      <c r="A2006" t="inlineStr">
        <is>
          <t>LD-302004</t>
        </is>
      </c>
      <c r="B2006" t="inlineStr">
        <is>
          <t>2025-10-13 14:00:00</t>
        </is>
      </c>
      <c r="C2006" t="inlineStr">
        <is>
          <t>Cold Outreach</t>
        </is>
      </c>
      <c r="D2006" t="inlineStr">
        <is>
          <t>Study Abroad Prep</t>
        </is>
      </c>
      <c r="E2006" t="inlineStr">
        <is>
          <t>West Region</t>
        </is>
      </c>
      <c r="F2006" t="inlineStr">
        <is>
          <t>Rep_13</t>
        </is>
      </c>
      <c r="G2006" t="n">
        <v>4.05</v>
      </c>
      <c r="H2006" t="inlineStr">
        <is>
          <t>Lead</t>
        </is>
      </c>
      <c r="I2006" t="inlineStr">
        <is>
          <t>Open</t>
        </is>
      </c>
      <c r="M2006">
        <f>VLOOKUP(H2006,'Stage Order'!$A$2:$B$8,2,FALSE)</f>
        <v/>
      </c>
      <c r="N2006">
        <f>IF(G2006&lt;=1,"1. Under 1 hour",IF(G2006&lt;=24,"2. 1-24 hours",IF(G2006&lt;=72,"3. 1-3 days","4. Over 3 days")))</f>
        <v/>
      </c>
      <c r="O2006">
        <f>TEXT(B2006,"YYYY-MM")</f>
        <v/>
      </c>
    </row>
    <row r="2007">
      <c r="A2007" t="inlineStr">
        <is>
          <t>LD-302005</t>
        </is>
      </c>
      <c r="B2007" t="inlineStr">
        <is>
          <t>2026-01-16 20:20:00</t>
        </is>
      </c>
      <c r="C2007" t="inlineStr">
        <is>
          <t>Referral</t>
        </is>
      </c>
      <c r="D2007" t="inlineStr">
        <is>
          <t>Coding for Kids</t>
        </is>
      </c>
      <c r="E2007" t="inlineStr">
        <is>
          <t>West Region</t>
        </is>
      </c>
      <c r="F2007" t="inlineStr">
        <is>
          <t>Rep_13</t>
        </is>
      </c>
      <c r="G2007" t="n">
        <v>8.27</v>
      </c>
      <c r="H2007" t="inlineStr">
        <is>
          <t>Contacted</t>
        </is>
      </c>
      <c r="I2007" t="inlineStr">
        <is>
          <t>Open</t>
        </is>
      </c>
      <c r="M2007">
        <f>VLOOKUP(H2007,'Stage Order'!$A$2:$B$8,2,FALSE)</f>
        <v/>
      </c>
      <c r="N2007">
        <f>IF(G2007&lt;=1,"1. Under 1 hour",IF(G2007&lt;=24,"2. 1-24 hours",IF(G2007&lt;=72,"3. 1-3 days","4. Over 3 days")))</f>
        <v/>
      </c>
      <c r="O2007">
        <f>TEXT(B2007,"YYYY-MM")</f>
        <v/>
      </c>
    </row>
    <row r="2008">
      <c r="A2008" t="inlineStr">
        <is>
          <t>LD-302006</t>
        </is>
      </c>
      <c r="B2008" t="inlineStr">
        <is>
          <t>2025-07-26 08:59:00</t>
        </is>
      </c>
      <c r="C2008" t="inlineStr">
        <is>
          <t>Paid Search</t>
        </is>
      </c>
      <c r="D2008" t="inlineStr">
        <is>
          <t>Language Learning</t>
        </is>
      </c>
      <c r="E2008" t="inlineStr">
        <is>
          <t>International</t>
        </is>
      </c>
      <c r="F2008" t="inlineStr">
        <is>
          <t>Rep_05</t>
        </is>
      </c>
      <c r="G2008" t="n">
        <v>0.89</v>
      </c>
      <c r="H2008" t="inlineStr">
        <is>
          <t>Contacted</t>
        </is>
      </c>
      <c r="I2008" t="inlineStr">
        <is>
          <t>Open</t>
        </is>
      </c>
      <c r="M2008">
        <f>VLOOKUP(H2008,'Stage Order'!$A$2:$B$8,2,FALSE)</f>
        <v/>
      </c>
      <c r="N2008">
        <f>IF(G2008&lt;=1,"1. Under 1 hour",IF(G2008&lt;=24,"2. 1-24 hours",IF(G2008&lt;=72,"3. 1-3 days","4. Over 3 days")))</f>
        <v/>
      </c>
      <c r="O2008">
        <f>TEXT(B2008,"YYYY-MM")</f>
        <v/>
      </c>
    </row>
    <row r="2009">
      <c r="A2009" t="inlineStr">
        <is>
          <t>LD-302007</t>
        </is>
      </c>
      <c r="B2009" t="inlineStr">
        <is>
          <t>2025-02-24 16:08:00</t>
        </is>
      </c>
      <c r="C2009" t="inlineStr">
        <is>
          <t>Cold Outreach</t>
        </is>
      </c>
      <c r="D2009" t="inlineStr">
        <is>
          <t>Language Learning</t>
        </is>
      </c>
      <c r="E2009" t="inlineStr">
        <is>
          <t>East Region</t>
        </is>
      </c>
      <c r="F2009" t="inlineStr">
        <is>
          <t>Rep_04</t>
        </is>
      </c>
      <c r="G2009" t="n">
        <v>4.14</v>
      </c>
      <c r="H2009" t="inlineStr">
        <is>
          <t>Lead</t>
        </is>
      </c>
      <c r="I2009" t="inlineStr">
        <is>
          <t>Open</t>
        </is>
      </c>
      <c r="M2009">
        <f>VLOOKUP(H2009,'Stage Order'!$A$2:$B$8,2,FALSE)</f>
        <v/>
      </c>
      <c r="N2009">
        <f>IF(G2009&lt;=1,"1. Under 1 hour",IF(G2009&lt;=24,"2. 1-24 hours",IF(G2009&lt;=72,"3. 1-3 days","4. Over 3 days")))</f>
        <v/>
      </c>
      <c r="O2009">
        <f>TEXT(B2009,"YYYY-MM")</f>
        <v/>
      </c>
    </row>
    <row r="2010">
      <c r="A2010" t="inlineStr">
        <is>
          <t>LD-302008</t>
        </is>
      </c>
      <c r="B2010" t="inlineStr">
        <is>
          <t>2025-11-25 15:55:00</t>
        </is>
      </c>
      <c r="C2010" t="inlineStr">
        <is>
          <t>Organic Search</t>
        </is>
      </c>
      <c r="D2010" t="inlineStr">
        <is>
          <t>K-12 Math</t>
        </is>
      </c>
      <c r="E2010" t="inlineStr">
        <is>
          <t>North Region</t>
        </is>
      </c>
      <c r="F2010" t="inlineStr">
        <is>
          <t>Rep_01</t>
        </is>
      </c>
      <c r="G2010" t="n">
        <v>3.49</v>
      </c>
      <c r="H2010" t="inlineStr">
        <is>
          <t>Contacted</t>
        </is>
      </c>
      <c r="I2010" t="inlineStr">
        <is>
          <t>Open</t>
        </is>
      </c>
      <c r="M2010">
        <f>VLOOKUP(H2010,'Stage Order'!$A$2:$B$8,2,FALSE)</f>
        <v/>
      </c>
      <c r="N2010">
        <f>IF(G2010&lt;=1,"1. Under 1 hour",IF(G2010&lt;=24,"2. 1-24 hours",IF(G2010&lt;=72,"3. 1-3 days","4. Over 3 days")))</f>
        <v/>
      </c>
      <c r="O2010">
        <f>TEXT(B2010,"YYYY-MM")</f>
        <v/>
      </c>
    </row>
    <row r="2011">
      <c r="A2011" t="inlineStr">
        <is>
          <t>LD-302009</t>
        </is>
      </c>
      <c r="B2011" t="inlineStr">
        <is>
          <t>2025-10-27 18:48:00</t>
        </is>
      </c>
      <c r="C2011" t="inlineStr">
        <is>
          <t>Paid Search</t>
        </is>
      </c>
      <c r="D2011" t="inlineStr">
        <is>
          <t>Competitive Exam Prep</t>
        </is>
      </c>
      <c r="E2011" t="inlineStr">
        <is>
          <t>West Region</t>
        </is>
      </c>
      <c r="F2011" t="inlineStr">
        <is>
          <t>Rep_03</t>
        </is>
      </c>
      <c r="G2011" t="n">
        <v>4.71</v>
      </c>
      <c r="H2011" t="inlineStr">
        <is>
          <t>Contacted</t>
        </is>
      </c>
      <c r="I2011" t="inlineStr">
        <is>
          <t>Open</t>
        </is>
      </c>
      <c r="M2011">
        <f>VLOOKUP(H2011,'Stage Order'!$A$2:$B$8,2,FALSE)</f>
        <v/>
      </c>
      <c r="N2011">
        <f>IF(G2011&lt;=1,"1. Under 1 hour",IF(G2011&lt;=24,"2. 1-24 hours",IF(G2011&lt;=72,"3. 1-3 days","4. Over 3 days")))</f>
        <v/>
      </c>
      <c r="O2011">
        <f>TEXT(B2011,"YYYY-MM")</f>
        <v/>
      </c>
    </row>
    <row r="2012">
      <c r="A2012" t="inlineStr">
        <is>
          <t>LD-302010</t>
        </is>
      </c>
      <c r="B2012" t="inlineStr">
        <is>
          <t>2025-09-12 12:32:00</t>
        </is>
      </c>
      <c r="C2012" t="inlineStr">
        <is>
          <t>Referral</t>
        </is>
      </c>
      <c r="D2012" t="inlineStr">
        <is>
          <t>Competitive Exam Prep</t>
        </is>
      </c>
      <c r="E2012" t="inlineStr">
        <is>
          <t>International</t>
        </is>
      </c>
      <c r="F2012" t="inlineStr">
        <is>
          <t>Rep_05</t>
        </is>
      </c>
      <c r="G2012" t="n">
        <v>3.12</v>
      </c>
      <c r="H2012" t="inlineStr">
        <is>
          <t>Proposal Sent</t>
        </is>
      </c>
      <c r="I2012" t="inlineStr">
        <is>
          <t>Lost</t>
        </is>
      </c>
      <c r="J2012" t="inlineStr">
        <is>
          <t>Price Objection</t>
        </is>
      </c>
      <c r="K2012" t="n">
        <v>900.1</v>
      </c>
      <c r="L2012" t="inlineStr">
        <is>
          <t>2025-10-09 10:18:46.682925</t>
        </is>
      </c>
      <c r="M2012">
        <f>VLOOKUP(H2012,'Stage Order'!$A$2:$B$8,2,FALSE)</f>
        <v/>
      </c>
      <c r="N2012">
        <f>IF(G2012&lt;=1,"1. Under 1 hour",IF(G2012&lt;=24,"2. 1-24 hours",IF(G2012&lt;=72,"3. 1-3 days","4. Over 3 days")))</f>
        <v/>
      </c>
      <c r="O2012">
        <f>TEXT(B2012,"YYYY-MM")</f>
        <v/>
      </c>
    </row>
    <row r="2013">
      <c r="A2013" t="inlineStr">
        <is>
          <t>LD-302011</t>
        </is>
      </c>
      <c r="B2013" t="inlineStr">
        <is>
          <t>2025-09-16 19:47:00</t>
        </is>
      </c>
      <c r="C2013" t="inlineStr">
        <is>
          <t>Partner Channel</t>
        </is>
      </c>
      <c r="D2013" t="inlineStr">
        <is>
          <t>Coding for Kids</t>
        </is>
      </c>
      <c r="E2013" t="inlineStr">
        <is>
          <t>North Region</t>
        </is>
      </c>
      <c r="F2013" t="inlineStr">
        <is>
          <t>Rep_06</t>
        </is>
      </c>
      <c r="G2013" t="n">
        <v>4.87</v>
      </c>
      <c r="H2013" t="inlineStr">
        <is>
          <t>Contacted</t>
        </is>
      </c>
      <c r="I2013" t="inlineStr">
        <is>
          <t>Open</t>
        </is>
      </c>
      <c r="M2013">
        <f>VLOOKUP(H2013,'Stage Order'!$A$2:$B$8,2,FALSE)</f>
        <v/>
      </c>
      <c r="N2013">
        <f>IF(G2013&lt;=1,"1. Under 1 hour",IF(G2013&lt;=24,"2. 1-24 hours",IF(G2013&lt;=72,"3. 1-3 days","4. Over 3 days")))</f>
        <v/>
      </c>
      <c r="O2013">
        <f>TEXT(B2013,"YYYY-MM")</f>
        <v/>
      </c>
    </row>
    <row r="2014">
      <c r="A2014" t="inlineStr">
        <is>
          <t>LD-302012</t>
        </is>
      </c>
      <c r="B2014" t="inlineStr">
        <is>
          <t>2025-04-09 20:27:00</t>
        </is>
      </c>
      <c r="C2014" t="inlineStr">
        <is>
          <t>Organic Search</t>
        </is>
      </c>
      <c r="D2014" t="inlineStr">
        <is>
          <t>Study Abroad Prep</t>
        </is>
      </c>
      <c r="E2014" t="inlineStr">
        <is>
          <t>South Region</t>
        </is>
      </c>
      <c r="F2014" t="inlineStr">
        <is>
          <t>Rep_07</t>
        </is>
      </c>
      <c r="G2014" t="n">
        <v>10.13</v>
      </c>
      <c r="H2014" t="inlineStr">
        <is>
          <t>Lead</t>
        </is>
      </c>
      <c r="I2014" t="inlineStr">
        <is>
          <t>Open</t>
        </is>
      </c>
      <c r="M2014">
        <f>VLOOKUP(H2014,'Stage Order'!$A$2:$B$8,2,FALSE)</f>
        <v/>
      </c>
      <c r="N2014">
        <f>IF(G2014&lt;=1,"1. Under 1 hour",IF(G2014&lt;=24,"2. 1-24 hours",IF(G2014&lt;=72,"3. 1-3 days","4. Over 3 days")))</f>
        <v/>
      </c>
      <c r="O2014">
        <f>TEXT(B2014,"YYYY-MM")</f>
        <v/>
      </c>
    </row>
    <row r="2015">
      <c r="A2015" t="inlineStr">
        <is>
          <t>LD-302013</t>
        </is>
      </c>
      <c r="B2015" t="inlineStr">
        <is>
          <t>2025-02-07 13:35:00</t>
        </is>
      </c>
      <c r="C2015" t="inlineStr">
        <is>
          <t>Social Media</t>
        </is>
      </c>
      <c r="D2015" t="inlineStr">
        <is>
          <t>Study Abroad Prep</t>
        </is>
      </c>
      <c r="E2015" t="inlineStr">
        <is>
          <t>East Region</t>
        </is>
      </c>
      <c r="F2015" t="inlineStr">
        <is>
          <t>Rep_04</t>
        </is>
      </c>
      <c r="G2015" t="n">
        <v>4.69</v>
      </c>
      <c r="H2015" t="inlineStr">
        <is>
          <t>Lead</t>
        </is>
      </c>
      <c r="I2015" t="inlineStr">
        <is>
          <t>Open</t>
        </is>
      </c>
      <c r="M2015">
        <f>VLOOKUP(H2015,'Stage Order'!$A$2:$B$8,2,FALSE)</f>
        <v/>
      </c>
      <c r="N2015">
        <f>IF(G2015&lt;=1,"1. Under 1 hour",IF(G2015&lt;=24,"2. 1-24 hours",IF(G2015&lt;=72,"3. 1-3 days","4. Over 3 days")))</f>
        <v/>
      </c>
      <c r="O2015">
        <f>TEXT(B2015,"YYYY-MM")</f>
        <v/>
      </c>
    </row>
    <row r="2016">
      <c r="A2016" t="inlineStr">
        <is>
          <t>LD-302014</t>
        </is>
      </c>
      <c r="B2016" t="inlineStr">
        <is>
          <t>2025-12-30 15:13:00</t>
        </is>
      </c>
      <c r="C2016" t="inlineStr">
        <is>
          <t>Organic Search</t>
        </is>
      </c>
      <c r="D2016" t="inlineStr">
        <is>
          <t>K-12 Math</t>
        </is>
      </c>
      <c r="E2016" t="inlineStr">
        <is>
          <t>North Region</t>
        </is>
      </c>
      <c r="F2016" t="inlineStr">
        <is>
          <t>Rep_01</t>
        </is>
      </c>
      <c r="G2016" t="n">
        <v>1.76</v>
      </c>
      <c r="H2016" t="inlineStr">
        <is>
          <t>Closed</t>
        </is>
      </c>
      <c r="I2016" t="inlineStr">
        <is>
          <t>Won</t>
        </is>
      </c>
      <c r="K2016" t="n">
        <v>563.76</v>
      </c>
      <c r="L2016" t="inlineStr">
        <is>
          <t>2026-02-06 06:20:36.052362</t>
        </is>
      </c>
      <c r="M2016">
        <f>VLOOKUP(H2016,'Stage Order'!$A$2:$B$8,2,FALSE)</f>
        <v/>
      </c>
      <c r="N2016">
        <f>IF(G2016&lt;=1,"1. Under 1 hour",IF(G2016&lt;=24,"2. 1-24 hours",IF(G2016&lt;=72,"3. 1-3 days","4. Over 3 days")))</f>
        <v/>
      </c>
      <c r="O2016">
        <f>TEXT(B2016,"YYYY-MM")</f>
        <v/>
      </c>
    </row>
    <row r="2017">
      <c r="A2017" t="inlineStr">
        <is>
          <t>LD-302015</t>
        </is>
      </c>
      <c r="B2017" t="inlineStr">
        <is>
          <t>2025-06-23 16:55:00</t>
        </is>
      </c>
      <c r="C2017" t="inlineStr">
        <is>
          <t>Organic Search</t>
        </is>
      </c>
      <c r="D2017" t="inlineStr">
        <is>
          <t>K-12 Math</t>
        </is>
      </c>
      <c r="E2017" t="inlineStr">
        <is>
          <t>South Region</t>
        </is>
      </c>
      <c r="F2017" t="inlineStr">
        <is>
          <t>Rep_07</t>
        </is>
      </c>
      <c r="G2017" t="n">
        <v>9.25</v>
      </c>
      <c r="H2017" t="inlineStr">
        <is>
          <t>Contacted</t>
        </is>
      </c>
      <c r="I2017" t="inlineStr">
        <is>
          <t>Open</t>
        </is>
      </c>
      <c r="M2017">
        <f>VLOOKUP(H2017,'Stage Order'!$A$2:$B$8,2,FALSE)</f>
        <v/>
      </c>
      <c r="N2017">
        <f>IF(G2017&lt;=1,"1. Under 1 hour",IF(G2017&lt;=24,"2. 1-24 hours",IF(G2017&lt;=72,"3. 1-3 days","4. Over 3 days")))</f>
        <v/>
      </c>
      <c r="O2017">
        <f>TEXT(B2017,"YYYY-MM")</f>
        <v/>
      </c>
    </row>
    <row r="2018">
      <c r="A2018" t="inlineStr">
        <is>
          <t>LD-302016</t>
        </is>
      </c>
      <c r="B2018" t="inlineStr">
        <is>
          <t>2025-09-21 18:21:00</t>
        </is>
      </c>
      <c r="C2018" t="inlineStr">
        <is>
          <t>Organic Search</t>
        </is>
      </c>
      <c r="D2018" t="inlineStr">
        <is>
          <t>Language Learning</t>
        </is>
      </c>
      <c r="E2018" t="inlineStr">
        <is>
          <t>North Region</t>
        </is>
      </c>
      <c r="F2018" t="inlineStr">
        <is>
          <t>Rep_01</t>
        </is>
      </c>
      <c r="G2018" t="n">
        <v>2.83</v>
      </c>
      <c r="H2018" t="inlineStr">
        <is>
          <t>Contacted</t>
        </is>
      </c>
      <c r="I2018" t="inlineStr">
        <is>
          <t>Open</t>
        </is>
      </c>
      <c r="M2018">
        <f>VLOOKUP(H2018,'Stage Order'!$A$2:$B$8,2,FALSE)</f>
        <v/>
      </c>
      <c r="N2018">
        <f>IF(G2018&lt;=1,"1. Under 1 hour",IF(G2018&lt;=24,"2. 1-24 hours",IF(G2018&lt;=72,"3. 1-3 days","4. Over 3 days")))</f>
        <v/>
      </c>
      <c r="O2018">
        <f>TEXT(B2018,"YYYY-MM")</f>
        <v/>
      </c>
    </row>
    <row r="2019">
      <c r="A2019" t="inlineStr">
        <is>
          <t>LD-302017</t>
        </is>
      </c>
      <c r="B2019" t="inlineStr">
        <is>
          <t>2025-10-24 17:40:00</t>
        </is>
      </c>
      <c r="C2019" t="inlineStr">
        <is>
          <t>Paid Search</t>
        </is>
      </c>
      <c r="D2019" t="inlineStr">
        <is>
          <t>Competitive Exam Prep</t>
        </is>
      </c>
      <c r="E2019" t="inlineStr">
        <is>
          <t>South Region</t>
        </is>
      </c>
      <c r="F2019" t="inlineStr">
        <is>
          <t>Rep_02</t>
        </is>
      </c>
      <c r="G2019" t="n">
        <v>3.16</v>
      </c>
      <c r="H2019" t="inlineStr">
        <is>
          <t>Contacted</t>
        </is>
      </c>
      <c r="I2019" t="inlineStr">
        <is>
          <t>Open</t>
        </is>
      </c>
      <c r="M2019">
        <f>VLOOKUP(H2019,'Stage Order'!$A$2:$B$8,2,FALSE)</f>
        <v/>
      </c>
      <c r="N2019">
        <f>IF(G2019&lt;=1,"1. Under 1 hour",IF(G2019&lt;=24,"2. 1-24 hours",IF(G2019&lt;=72,"3. 1-3 days","4. Over 3 days")))</f>
        <v/>
      </c>
      <c r="O2019">
        <f>TEXT(B2019,"YYYY-MM")</f>
        <v/>
      </c>
    </row>
    <row r="2020">
      <c r="A2020" t="inlineStr">
        <is>
          <t>LD-302018</t>
        </is>
      </c>
      <c r="B2020" t="inlineStr">
        <is>
          <t>2025-04-08 20:09:00</t>
        </is>
      </c>
      <c r="C2020" t="inlineStr">
        <is>
          <t>Referral</t>
        </is>
      </c>
      <c r="D2020" t="inlineStr">
        <is>
          <t>Competitive Exam Prep</t>
        </is>
      </c>
      <c r="E2020" t="inlineStr">
        <is>
          <t>East Region</t>
        </is>
      </c>
      <c r="F2020" t="inlineStr">
        <is>
          <t>Rep_09</t>
        </is>
      </c>
      <c r="G2020" t="n">
        <v>5.32</v>
      </c>
      <c r="H2020" t="inlineStr">
        <is>
          <t>Closed</t>
        </is>
      </c>
      <c r="I2020" t="inlineStr">
        <is>
          <t>Won</t>
        </is>
      </c>
      <c r="K2020" t="n">
        <v>974.84</v>
      </c>
      <c r="L2020" t="inlineStr">
        <is>
          <t>2025-05-07 08:15:22.644715</t>
        </is>
      </c>
      <c r="M2020">
        <f>VLOOKUP(H2020,'Stage Order'!$A$2:$B$8,2,FALSE)</f>
        <v/>
      </c>
      <c r="N2020">
        <f>IF(G2020&lt;=1,"1. Under 1 hour",IF(G2020&lt;=24,"2. 1-24 hours",IF(G2020&lt;=72,"3. 1-3 days","4. Over 3 days")))</f>
        <v/>
      </c>
      <c r="O2020">
        <f>TEXT(B2020,"YYYY-MM")</f>
        <v/>
      </c>
    </row>
    <row r="2021">
      <c r="A2021" t="inlineStr">
        <is>
          <t>LD-302019</t>
        </is>
      </c>
      <c r="B2021" t="inlineStr">
        <is>
          <t>2026-06-12 20:39:00</t>
        </is>
      </c>
      <c r="C2021" t="inlineStr">
        <is>
          <t>Partner Channel</t>
        </is>
      </c>
      <c r="D2021" t="inlineStr">
        <is>
          <t>Language Learning</t>
        </is>
      </c>
      <c r="E2021" t="inlineStr">
        <is>
          <t>North Region</t>
        </is>
      </c>
      <c r="F2021" t="inlineStr">
        <is>
          <t>Rep_01</t>
        </is>
      </c>
      <c r="G2021" t="n">
        <v>3.23</v>
      </c>
      <c r="H2021" t="inlineStr">
        <is>
          <t>Contacted</t>
        </is>
      </c>
      <c r="I2021" t="inlineStr">
        <is>
          <t>Open</t>
        </is>
      </c>
      <c r="M2021">
        <f>VLOOKUP(H2021,'Stage Order'!$A$2:$B$8,2,FALSE)</f>
        <v/>
      </c>
      <c r="N2021">
        <f>IF(G2021&lt;=1,"1. Under 1 hour",IF(G2021&lt;=24,"2. 1-24 hours",IF(G2021&lt;=72,"3. 1-3 days","4. Over 3 days")))</f>
        <v/>
      </c>
      <c r="O2021">
        <f>TEXT(B2021,"YYYY-MM")</f>
        <v/>
      </c>
    </row>
    <row r="2022">
      <c r="A2022" t="inlineStr">
        <is>
          <t>LD-302020</t>
        </is>
      </c>
      <c r="B2022" t="inlineStr">
        <is>
          <t>2026-01-30 12:47:00</t>
        </is>
      </c>
      <c r="C2022" t="inlineStr">
        <is>
          <t>Partner Channel</t>
        </is>
      </c>
      <c r="D2022" t="inlineStr">
        <is>
          <t>K-12 Math</t>
        </is>
      </c>
      <c r="E2022" t="inlineStr">
        <is>
          <t>East Region</t>
        </is>
      </c>
      <c r="F2022" t="inlineStr">
        <is>
          <t>Rep_14</t>
        </is>
      </c>
      <c r="G2022" t="n">
        <v>1.81</v>
      </c>
      <c r="H2022" t="inlineStr">
        <is>
          <t>Lead</t>
        </is>
      </c>
      <c r="I2022" t="inlineStr">
        <is>
          <t>Open</t>
        </is>
      </c>
      <c r="M2022">
        <f>VLOOKUP(H2022,'Stage Order'!$A$2:$B$8,2,FALSE)</f>
        <v/>
      </c>
      <c r="N2022">
        <f>IF(G2022&lt;=1,"1. Under 1 hour",IF(G2022&lt;=24,"2. 1-24 hours",IF(G2022&lt;=72,"3. 1-3 days","4. Over 3 days")))</f>
        <v/>
      </c>
      <c r="O2022">
        <f>TEXT(B2022,"YYYY-MM")</f>
        <v/>
      </c>
    </row>
    <row r="2023">
      <c r="A2023" t="inlineStr">
        <is>
          <t>LD-302021</t>
        </is>
      </c>
      <c r="B2023" t="inlineStr">
        <is>
          <t>2026-01-05 13:25:00</t>
        </is>
      </c>
      <c r="C2023" t="inlineStr">
        <is>
          <t>Paid Search</t>
        </is>
      </c>
      <c r="D2023" t="inlineStr">
        <is>
          <t>Competitive Exam Prep</t>
        </is>
      </c>
      <c r="E2023" t="inlineStr">
        <is>
          <t>West Region</t>
        </is>
      </c>
      <c r="F2023" t="inlineStr">
        <is>
          <t>Rep_03</t>
        </is>
      </c>
      <c r="G2023" t="n">
        <v>1.62</v>
      </c>
      <c r="H2023" t="inlineStr">
        <is>
          <t>Negotiation</t>
        </is>
      </c>
      <c r="I2023" t="inlineStr">
        <is>
          <t>Lost</t>
        </is>
      </c>
      <c r="J2023" t="inlineStr">
        <is>
          <t>No Response / Ghosted</t>
        </is>
      </c>
      <c r="K2023" t="n">
        <v>861.62</v>
      </c>
      <c r="L2023" t="inlineStr">
        <is>
          <t>2026-02-20 22:12:49.924526</t>
        </is>
      </c>
      <c r="M2023">
        <f>VLOOKUP(H2023,'Stage Order'!$A$2:$B$8,2,FALSE)</f>
        <v/>
      </c>
      <c r="N2023">
        <f>IF(G2023&lt;=1,"1. Under 1 hour",IF(G2023&lt;=24,"2. 1-24 hours",IF(G2023&lt;=72,"3. 1-3 days","4. Over 3 days")))</f>
        <v/>
      </c>
      <c r="O2023">
        <f>TEXT(B2023,"YYYY-MM")</f>
        <v/>
      </c>
    </row>
    <row r="2024">
      <c r="A2024" t="inlineStr">
        <is>
          <t>LD-302022</t>
        </is>
      </c>
      <c r="B2024" t="inlineStr">
        <is>
          <t>2025-10-21 08:16:00</t>
        </is>
      </c>
      <c r="C2024" t="inlineStr">
        <is>
          <t>Social Media</t>
        </is>
      </c>
      <c r="D2024" t="inlineStr">
        <is>
          <t>K-12 Math</t>
        </is>
      </c>
      <c r="E2024" t="inlineStr">
        <is>
          <t>North Region</t>
        </is>
      </c>
      <c r="F2024" t="inlineStr">
        <is>
          <t>Rep_06</t>
        </is>
      </c>
      <c r="G2024" t="n">
        <v>6.1</v>
      </c>
      <c r="H2024" t="inlineStr">
        <is>
          <t>Contacted</t>
        </is>
      </c>
      <c r="I2024" t="inlineStr">
        <is>
          <t>Open</t>
        </is>
      </c>
      <c r="M2024">
        <f>VLOOKUP(H2024,'Stage Order'!$A$2:$B$8,2,FALSE)</f>
        <v/>
      </c>
      <c r="N2024">
        <f>IF(G2024&lt;=1,"1. Under 1 hour",IF(G2024&lt;=24,"2. 1-24 hours",IF(G2024&lt;=72,"3. 1-3 days","4. Over 3 days")))</f>
        <v/>
      </c>
      <c r="O2024">
        <f>TEXT(B2024,"YYYY-MM")</f>
        <v/>
      </c>
    </row>
    <row r="2025">
      <c r="A2025" t="inlineStr">
        <is>
          <t>LD-302023</t>
        </is>
      </c>
      <c r="B2025" t="inlineStr">
        <is>
          <t>2026-02-14 09:27:00</t>
        </is>
      </c>
      <c r="C2025" t="inlineStr">
        <is>
          <t>Organic Search</t>
        </is>
      </c>
      <c r="D2025" t="inlineStr">
        <is>
          <t>K-12 Math</t>
        </is>
      </c>
      <c r="E2025" t="inlineStr">
        <is>
          <t>East Region</t>
        </is>
      </c>
      <c r="F2025" t="inlineStr">
        <is>
          <t>Rep_14</t>
        </is>
      </c>
      <c r="G2025" t="n">
        <v>3.03</v>
      </c>
      <c r="H2025" t="inlineStr">
        <is>
          <t>Lead</t>
        </is>
      </c>
      <c r="I2025" t="inlineStr">
        <is>
          <t>Open</t>
        </is>
      </c>
      <c r="M2025">
        <f>VLOOKUP(H2025,'Stage Order'!$A$2:$B$8,2,FALSE)</f>
        <v/>
      </c>
      <c r="N2025">
        <f>IF(G2025&lt;=1,"1. Under 1 hour",IF(G2025&lt;=24,"2. 1-24 hours",IF(G2025&lt;=72,"3. 1-3 days","4. Over 3 days")))</f>
        <v/>
      </c>
      <c r="O2025">
        <f>TEXT(B2025,"YYYY-MM")</f>
        <v/>
      </c>
    </row>
    <row r="2026">
      <c r="A2026" t="inlineStr">
        <is>
          <t>LD-302024</t>
        </is>
      </c>
      <c r="B2026" t="inlineStr">
        <is>
          <t>2025-01-18 08:11:00</t>
        </is>
      </c>
      <c r="C2026" t="inlineStr">
        <is>
          <t>Social Media</t>
        </is>
      </c>
      <c r="D2026" t="inlineStr">
        <is>
          <t>K-12 Math</t>
        </is>
      </c>
      <c r="E2026" t="inlineStr">
        <is>
          <t>North Region</t>
        </is>
      </c>
      <c r="F2026" t="inlineStr">
        <is>
          <t>Rep_06</t>
        </is>
      </c>
      <c r="G2026" t="n">
        <v>2.82</v>
      </c>
      <c r="H2026" t="inlineStr">
        <is>
          <t>Demo Completed</t>
        </is>
      </c>
      <c r="I2026" t="inlineStr">
        <is>
          <t>Lost</t>
        </is>
      </c>
      <c r="J2026" t="inlineStr">
        <is>
          <t>Price Objection</t>
        </is>
      </c>
      <c r="K2026" t="n">
        <v>590.36</v>
      </c>
      <c r="L2026" t="inlineStr">
        <is>
          <t>2025-02-17 00:06:31.247794</t>
        </is>
      </c>
      <c r="M2026">
        <f>VLOOKUP(H2026,'Stage Order'!$A$2:$B$8,2,FALSE)</f>
        <v/>
      </c>
      <c r="N2026">
        <f>IF(G2026&lt;=1,"1. Under 1 hour",IF(G2026&lt;=24,"2. 1-24 hours",IF(G2026&lt;=72,"3. 1-3 days","4. Over 3 days")))</f>
        <v/>
      </c>
      <c r="O2026">
        <f>TEXT(B2026,"YYYY-MM")</f>
        <v/>
      </c>
    </row>
    <row r="2027">
      <c r="A2027" t="inlineStr">
        <is>
          <t>LD-302025</t>
        </is>
      </c>
      <c r="B2027" t="inlineStr">
        <is>
          <t>2025-01-03 20:53:00</t>
        </is>
      </c>
      <c r="C2027" t="inlineStr">
        <is>
          <t>Paid Search</t>
        </is>
      </c>
      <c r="D2027" t="inlineStr">
        <is>
          <t>Coding for Kids</t>
        </is>
      </c>
      <c r="E2027" t="inlineStr">
        <is>
          <t>East Region</t>
        </is>
      </c>
      <c r="F2027" t="inlineStr">
        <is>
          <t>Rep_14</t>
        </is>
      </c>
      <c r="G2027" t="n">
        <v>3.27</v>
      </c>
      <c r="H2027" t="inlineStr">
        <is>
          <t>Contacted</t>
        </is>
      </c>
      <c r="I2027" t="inlineStr">
        <is>
          <t>Open</t>
        </is>
      </c>
      <c r="M2027">
        <f>VLOOKUP(H2027,'Stage Order'!$A$2:$B$8,2,FALSE)</f>
        <v/>
      </c>
      <c r="N2027">
        <f>IF(G2027&lt;=1,"1. Under 1 hour",IF(G2027&lt;=24,"2. 1-24 hours",IF(G2027&lt;=72,"3. 1-3 days","4. Over 3 days")))</f>
        <v/>
      </c>
      <c r="O2027">
        <f>TEXT(B2027,"YYYY-MM")</f>
        <v/>
      </c>
    </row>
    <row r="2028">
      <c r="A2028" t="inlineStr">
        <is>
          <t>LD-302026</t>
        </is>
      </c>
      <c r="B2028" t="inlineStr">
        <is>
          <t>2025-02-17 10:32:00</t>
        </is>
      </c>
      <c r="C2028" t="inlineStr">
        <is>
          <t>Partner Channel</t>
        </is>
      </c>
      <c r="D2028" t="inlineStr">
        <is>
          <t>K-12 Math</t>
        </is>
      </c>
      <c r="E2028" t="inlineStr">
        <is>
          <t>East Region</t>
        </is>
      </c>
      <c r="F2028" t="inlineStr">
        <is>
          <t>Rep_09</t>
        </is>
      </c>
      <c r="G2028" t="n">
        <v>4.96</v>
      </c>
      <c r="H2028" t="inlineStr">
        <is>
          <t>Lead</t>
        </is>
      </c>
      <c r="I2028" t="inlineStr">
        <is>
          <t>Open</t>
        </is>
      </c>
      <c r="M2028">
        <f>VLOOKUP(H2028,'Stage Order'!$A$2:$B$8,2,FALSE)</f>
        <v/>
      </c>
      <c r="N2028">
        <f>IF(G2028&lt;=1,"1. Under 1 hour",IF(G2028&lt;=24,"2. 1-24 hours",IF(G2028&lt;=72,"3. 1-3 days","4. Over 3 days")))</f>
        <v/>
      </c>
      <c r="O2028">
        <f>TEXT(B2028,"YYYY-MM")</f>
        <v/>
      </c>
    </row>
    <row r="2029">
      <c r="A2029" t="inlineStr">
        <is>
          <t>LD-302027</t>
        </is>
      </c>
      <c r="B2029" t="inlineStr">
        <is>
          <t>2025-07-23 15:51:00</t>
        </is>
      </c>
      <c r="C2029" t="inlineStr">
        <is>
          <t>Partner Channel</t>
        </is>
      </c>
      <c r="D2029" t="inlineStr">
        <is>
          <t>Coding for Kids</t>
        </is>
      </c>
      <c r="E2029" t="inlineStr">
        <is>
          <t>West Region</t>
        </is>
      </c>
      <c r="F2029" t="inlineStr">
        <is>
          <t>Rep_08</t>
        </is>
      </c>
      <c r="G2029" t="n">
        <v>1.34</v>
      </c>
      <c r="H2029" t="inlineStr">
        <is>
          <t>Contacted</t>
        </is>
      </c>
      <c r="I2029" t="inlineStr">
        <is>
          <t>Open</t>
        </is>
      </c>
      <c r="M2029">
        <f>VLOOKUP(H2029,'Stage Order'!$A$2:$B$8,2,FALSE)</f>
        <v/>
      </c>
      <c r="N2029">
        <f>IF(G2029&lt;=1,"1. Under 1 hour",IF(G2029&lt;=24,"2. 1-24 hours",IF(G2029&lt;=72,"3. 1-3 days","4. Over 3 days")))</f>
        <v/>
      </c>
      <c r="O2029">
        <f>TEXT(B2029,"YYYY-MM")</f>
        <v/>
      </c>
    </row>
    <row r="2030">
      <c r="A2030" t="inlineStr">
        <is>
          <t>LD-302028</t>
        </is>
      </c>
      <c r="B2030" t="inlineStr">
        <is>
          <t>2025-06-20 10:58:00</t>
        </is>
      </c>
      <c r="C2030" t="inlineStr">
        <is>
          <t>Webinar</t>
        </is>
      </c>
      <c r="D2030" t="inlineStr">
        <is>
          <t>Language Learning</t>
        </is>
      </c>
      <c r="E2030" t="inlineStr">
        <is>
          <t>West Region</t>
        </is>
      </c>
      <c r="F2030" t="inlineStr">
        <is>
          <t>Rep_03</t>
        </is>
      </c>
      <c r="G2030" t="n">
        <v>3.74</v>
      </c>
      <c r="H2030" t="inlineStr">
        <is>
          <t>Contacted</t>
        </is>
      </c>
      <c r="I2030" t="inlineStr">
        <is>
          <t>Open</t>
        </is>
      </c>
      <c r="M2030">
        <f>VLOOKUP(H2030,'Stage Order'!$A$2:$B$8,2,FALSE)</f>
        <v/>
      </c>
      <c r="N2030">
        <f>IF(G2030&lt;=1,"1. Under 1 hour",IF(G2030&lt;=24,"2. 1-24 hours",IF(G2030&lt;=72,"3. 1-3 days","4. Over 3 days")))</f>
        <v/>
      </c>
      <c r="O2030">
        <f>TEXT(B2030,"YYYY-MM")</f>
        <v/>
      </c>
    </row>
    <row r="2031">
      <c r="A2031" t="inlineStr">
        <is>
          <t>LD-302029</t>
        </is>
      </c>
      <c r="B2031" t="inlineStr">
        <is>
          <t>2025-10-17 19:02:00</t>
        </is>
      </c>
      <c r="C2031" t="inlineStr">
        <is>
          <t>Organic Search</t>
        </is>
      </c>
      <c r="D2031" t="inlineStr">
        <is>
          <t>Competitive Exam Prep</t>
        </is>
      </c>
      <c r="E2031" t="inlineStr">
        <is>
          <t>International</t>
        </is>
      </c>
      <c r="F2031" t="inlineStr">
        <is>
          <t>Rep_10</t>
        </is>
      </c>
      <c r="G2031" t="n">
        <v>1.86</v>
      </c>
      <c r="H2031" t="inlineStr">
        <is>
          <t>Contacted</t>
        </is>
      </c>
      <c r="I2031" t="inlineStr">
        <is>
          <t>Open</t>
        </is>
      </c>
      <c r="M2031">
        <f>VLOOKUP(H2031,'Stage Order'!$A$2:$B$8,2,FALSE)</f>
        <v/>
      </c>
      <c r="N2031">
        <f>IF(G2031&lt;=1,"1. Under 1 hour",IF(G2031&lt;=24,"2. 1-24 hours",IF(G2031&lt;=72,"3. 1-3 days","4. Over 3 days")))</f>
        <v/>
      </c>
      <c r="O2031">
        <f>TEXT(B2031,"YYYY-MM")</f>
        <v/>
      </c>
    </row>
    <row r="2032">
      <c r="A2032" t="inlineStr">
        <is>
          <t>LD-302030</t>
        </is>
      </c>
      <c r="B2032" t="inlineStr">
        <is>
          <t>2025-10-21 17:17:00</t>
        </is>
      </c>
      <c r="C2032" t="inlineStr">
        <is>
          <t>Referral</t>
        </is>
      </c>
      <c r="D2032" t="inlineStr">
        <is>
          <t>Language Learning</t>
        </is>
      </c>
      <c r="E2032" t="inlineStr">
        <is>
          <t>North Region</t>
        </is>
      </c>
      <c r="F2032" t="inlineStr">
        <is>
          <t>Rep_01</t>
        </is>
      </c>
      <c r="G2032" t="n">
        <v>2.29</v>
      </c>
      <c r="H2032" t="inlineStr">
        <is>
          <t>Contacted</t>
        </is>
      </c>
      <c r="I2032" t="inlineStr">
        <is>
          <t>Open</t>
        </is>
      </c>
      <c r="M2032">
        <f>VLOOKUP(H2032,'Stage Order'!$A$2:$B$8,2,FALSE)</f>
        <v/>
      </c>
      <c r="N2032">
        <f>IF(G2032&lt;=1,"1. Under 1 hour",IF(G2032&lt;=24,"2. 1-24 hours",IF(G2032&lt;=72,"3. 1-3 days","4. Over 3 days")))</f>
        <v/>
      </c>
      <c r="O2032">
        <f>TEXT(B2032,"YYYY-MM")</f>
        <v/>
      </c>
    </row>
    <row r="2033">
      <c r="A2033" t="inlineStr">
        <is>
          <t>LD-302031</t>
        </is>
      </c>
      <c r="B2033" t="inlineStr">
        <is>
          <t>2025-04-23 17:29:00</t>
        </is>
      </c>
      <c r="C2033" t="inlineStr">
        <is>
          <t>Social Media</t>
        </is>
      </c>
      <c r="D2033" t="inlineStr">
        <is>
          <t>Language Learning</t>
        </is>
      </c>
      <c r="E2033" t="inlineStr">
        <is>
          <t>South Region</t>
        </is>
      </c>
      <c r="F2033" t="inlineStr">
        <is>
          <t>Rep_07</t>
        </is>
      </c>
      <c r="G2033" t="n">
        <v>4.75</v>
      </c>
      <c r="H2033" t="inlineStr">
        <is>
          <t>Contacted</t>
        </is>
      </c>
      <c r="I2033" t="inlineStr">
        <is>
          <t>Open</t>
        </is>
      </c>
      <c r="M2033">
        <f>VLOOKUP(H2033,'Stage Order'!$A$2:$B$8,2,FALSE)</f>
        <v/>
      </c>
      <c r="N2033">
        <f>IF(G2033&lt;=1,"1. Under 1 hour",IF(G2033&lt;=24,"2. 1-24 hours",IF(G2033&lt;=72,"3. 1-3 days","4. Over 3 days")))</f>
        <v/>
      </c>
      <c r="O2033">
        <f>TEXT(B2033,"YYYY-MM")</f>
        <v/>
      </c>
    </row>
    <row r="2034">
      <c r="A2034" t="inlineStr">
        <is>
          <t>LD-302032</t>
        </is>
      </c>
      <c r="B2034" t="inlineStr">
        <is>
          <t>2025-10-15 18:27:00</t>
        </is>
      </c>
      <c r="C2034" t="inlineStr">
        <is>
          <t>Webinar</t>
        </is>
      </c>
      <c r="D2034" t="inlineStr">
        <is>
          <t>K-12 Math</t>
        </is>
      </c>
      <c r="E2034" t="inlineStr">
        <is>
          <t>North Region</t>
        </is>
      </c>
      <c r="F2034" t="inlineStr">
        <is>
          <t>Rep_06</t>
        </is>
      </c>
      <c r="G2034" t="n">
        <v>2.59</v>
      </c>
      <c r="H2034" t="inlineStr">
        <is>
          <t>Closed</t>
        </is>
      </c>
      <c r="I2034" t="inlineStr">
        <is>
          <t>Won</t>
        </is>
      </c>
      <c r="K2034" t="n">
        <v>423.52</v>
      </c>
      <c r="L2034" t="inlineStr">
        <is>
          <t>2025-11-17 07:23:22.614868</t>
        </is>
      </c>
      <c r="M2034">
        <f>VLOOKUP(H2034,'Stage Order'!$A$2:$B$8,2,FALSE)</f>
        <v/>
      </c>
      <c r="N2034">
        <f>IF(G2034&lt;=1,"1. Under 1 hour",IF(G2034&lt;=24,"2. 1-24 hours",IF(G2034&lt;=72,"3. 1-3 days","4. Over 3 days")))</f>
        <v/>
      </c>
      <c r="O2034">
        <f>TEXT(B2034,"YYYY-MM")</f>
        <v/>
      </c>
    </row>
    <row r="2035">
      <c r="A2035" t="inlineStr">
        <is>
          <t>LD-302033</t>
        </is>
      </c>
      <c r="B2035" t="inlineStr">
        <is>
          <t>2025-01-11 14:23:00</t>
        </is>
      </c>
      <c r="C2035" t="inlineStr">
        <is>
          <t>Paid Search</t>
        </is>
      </c>
      <c r="D2035" t="inlineStr">
        <is>
          <t>Competitive Exam Prep</t>
        </is>
      </c>
      <c r="E2035" t="inlineStr">
        <is>
          <t>East Region</t>
        </is>
      </c>
      <c r="F2035" t="inlineStr">
        <is>
          <t>Rep_04</t>
        </is>
      </c>
      <c r="G2035" t="n">
        <v>5.49</v>
      </c>
      <c r="H2035" t="inlineStr">
        <is>
          <t>Contacted</t>
        </is>
      </c>
      <c r="I2035" t="inlineStr">
        <is>
          <t>Open</t>
        </is>
      </c>
      <c r="M2035">
        <f>VLOOKUP(H2035,'Stage Order'!$A$2:$B$8,2,FALSE)</f>
        <v/>
      </c>
      <c r="N2035">
        <f>IF(G2035&lt;=1,"1. Under 1 hour",IF(G2035&lt;=24,"2. 1-24 hours",IF(G2035&lt;=72,"3. 1-3 days","4. Over 3 days")))</f>
        <v/>
      </c>
      <c r="O2035">
        <f>TEXT(B2035,"YYYY-MM")</f>
        <v/>
      </c>
    </row>
    <row r="2036">
      <c r="A2036" t="inlineStr">
        <is>
          <t>LD-302034</t>
        </is>
      </c>
      <c r="B2036" t="inlineStr">
        <is>
          <t>2025-11-07 20:35:00</t>
        </is>
      </c>
      <c r="C2036" t="inlineStr">
        <is>
          <t>Organic Search</t>
        </is>
      </c>
      <c r="D2036" t="inlineStr">
        <is>
          <t>Study Abroad Prep</t>
        </is>
      </c>
      <c r="E2036" t="inlineStr">
        <is>
          <t>East Region</t>
        </is>
      </c>
      <c r="F2036" t="inlineStr">
        <is>
          <t>Rep_14</t>
        </is>
      </c>
      <c r="G2036" t="n">
        <v>8.65</v>
      </c>
      <c r="H2036" t="inlineStr">
        <is>
          <t>Lead</t>
        </is>
      </c>
      <c r="I2036" t="inlineStr">
        <is>
          <t>Open</t>
        </is>
      </c>
      <c r="M2036">
        <f>VLOOKUP(H2036,'Stage Order'!$A$2:$B$8,2,FALSE)</f>
        <v/>
      </c>
      <c r="N2036">
        <f>IF(G2036&lt;=1,"1. Under 1 hour",IF(G2036&lt;=24,"2. 1-24 hours",IF(G2036&lt;=72,"3. 1-3 days","4. Over 3 days")))</f>
        <v/>
      </c>
      <c r="O2036">
        <f>TEXT(B2036,"YYYY-MM")</f>
        <v/>
      </c>
    </row>
    <row r="2037">
      <c r="A2037" t="inlineStr">
        <is>
          <t>LD-302035</t>
        </is>
      </c>
      <c r="B2037" t="inlineStr">
        <is>
          <t>2025-06-24 11:07:00</t>
        </is>
      </c>
      <c r="C2037" t="inlineStr">
        <is>
          <t>Social Media</t>
        </is>
      </c>
      <c r="D2037" t="inlineStr">
        <is>
          <t>K-12 Math</t>
        </is>
      </c>
      <c r="E2037" t="inlineStr">
        <is>
          <t>East Region</t>
        </is>
      </c>
      <c r="F2037" t="inlineStr">
        <is>
          <t>Rep_04</t>
        </is>
      </c>
      <c r="G2037" t="n">
        <v>1.77</v>
      </c>
      <c r="H2037" t="inlineStr">
        <is>
          <t>Contacted</t>
        </is>
      </c>
      <c r="I2037" t="inlineStr">
        <is>
          <t>Open</t>
        </is>
      </c>
      <c r="M2037">
        <f>VLOOKUP(H2037,'Stage Order'!$A$2:$B$8,2,FALSE)</f>
        <v/>
      </c>
      <c r="N2037">
        <f>IF(G2037&lt;=1,"1. Under 1 hour",IF(G2037&lt;=24,"2. 1-24 hours",IF(G2037&lt;=72,"3. 1-3 days","4. Over 3 days")))</f>
        <v/>
      </c>
      <c r="O2037">
        <f>TEXT(B2037,"YYYY-MM")</f>
        <v/>
      </c>
    </row>
    <row r="2038">
      <c r="A2038" t="inlineStr">
        <is>
          <t>LD-302036</t>
        </is>
      </c>
      <c r="B2038" t="inlineStr">
        <is>
          <t>2025-08-22 13:24:00</t>
        </is>
      </c>
      <c r="C2038" t="inlineStr">
        <is>
          <t>Referral</t>
        </is>
      </c>
      <c r="D2038" t="inlineStr">
        <is>
          <t>K-12 Math</t>
        </is>
      </c>
      <c r="E2038" t="inlineStr">
        <is>
          <t>North Region</t>
        </is>
      </c>
      <c r="F2038" t="inlineStr">
        <is>
          <t>Rep_06</t>
        </is>
      </c>
      <c r="G2038" t="n">
        <v>1.43</v>
      </c>
      <c r="H2038" t="inlineStr">
        <is>
          <t>Negotiation</t>
        </is>
      </c>
      <c r="I2038" t="inlineStr">
        <is>
          <t>Lost</t>
        </is>
      </c>
      <c r="J2038" t="inlineStr">
        <is>
          <t>Price Objection</t>
        </is>
      </c>
      <c r="K2038" t="n">
        <v>495.77</v>
      </c>
      <c r="L2038" t="inlineStr">
        <is>
          <t>2025-10-03 02:40:30.296379</t>
        </is>
      </c>
      <c r="M2038">
        <f>VLOOKUP(H2038,'Stage Order'!$A$2:$B$8,2,FALSE)</f>
        <v/>
      </c>
      <c r="N2038">
        <f>IF(G2038&lt;=1,"1. Under 1 hour",IF(G2038&lt;=24,"2. 1-24 hours",IF(G2038&lt;=72,"3. 1-3 days","4. Over 3 days")))</f>
        <v/>
      </c>
      <c r="O2038">
        <f>TEXT(B2038,"YYYY-MM")</f>
        <v/>
      </c>
    </row>
    <row r="2039">
      <c r="A2039" t="inlineStr">
        <is>
          <t>LD-302037</t>
        </is>
      </c>
      <c r="B2039" t="inlineStr">
        <is>
          <t>2025-08-01 13:48:00</t>
        </is>
      </c>
      <c r="C2039" t="inlineStr">
        <is>
          <t>Social Media</t>
        </is>
      </c>
      <c r="D2039" t="inlineStr">
        <is>
          <t>Language Learning</t>
        </is>
      </c>
      <c r="E2039" t="inlineStr">
        <is>
          <t>West Region</t>
        </is>
      </c>
      <c r="F2039" t="inlineStr">
        <is>
          <t>Rep_08</t>
        </is>
      </c>
      <c r="G2039" t="n">
        <v>5.37</v>
      </c>
      <c r="H2039" t="inlineStr">
        <is>
          <t>Contacted</t>
        </is>
      </c>
      <c r="I2039" t="inlineStr">
        <is>
          <t>Open</t>
        </is>
      </c>
      <c r="M2039">
        <f>VLOOKUP(H2039,'Stage Order'!$A$2:$B$8,2,FALSE)</f>
        <v/>
      </c>
      <c r="N2039">
        <f>IF(G2039&lt;=1,"1. Under 1 hour",IF(G2039&lt;=24,"2. 1-24 hours",IF(G2039&lt;=72,"3. 1-3 days","4. Over 3 days")))</f>
        <v/>
      </c>
      <c r="O2039">
        <f>TEXT(B2039,"YYYY-MM")</f>
        <v/>
      </c>
    </row>
    <row r="2040">
      <c r="A2040" t="inlineStr">
        <is>
          <t>LD-302038</t>
        </is>
      </c>
      <c r="B2040" t="inlineStr">
        <is>
          <t>2025-02-21 19:24:00</t>
        </is>
      </c>
      <c r="C2040" t="inlineStr">
        <is>
          <t>Partner Channel</t>
        </is>
      </c>
      <c r="D2040" t="inlineStr">
        <is>
          <t>Language Learning</t>
        </is>
      </c>
      <c r="E2040" t="inlineStr">
        <is>
          <t>West Region</t>
        </is>
      </c>
      <c r="F2040" t="inlineStr">
        <is>
          <t>Rep_08</t>
        </is>
      </c>
      <c r="G2040" t="n">
        <v>4.3</v>
      </c>
      <c r="H2040" t="inlineStr">
        <is>
          <t>Closed</t>
        </is>
      </c>
      <c r="I2040" t="inlineStr">
        <is>
          <t>Won</t>
        </is>
      </c>
      <c r="K2040" t="n">
        <v>313.98</v>
      </c>
      <c r="L2040" t="inlineStr">
        <is>
          <t>2025-03-14 22:22:41.153601</t>
        </is>
      </c>
      <c r="M2040">
        <f>VLOOKUP(H2040,'Stage Order'!$A$2:$B$8,2,FALSE)</f>
        <v/>
      </c>
      <c r="N2040">
        <f>IF(G2040&lt;=1,"1. Under 1 hour",IF(G2040&lt;=24,"2. 1-24 hours",IF(G2040&lt;=72,"3. 1-3 days","4. Over 3 days")))</f>
        <v/>
      </c>
      <c r="O2040">
        <f>TEXT(B2040,"YYYY-MM")</f>
        <v/>
      </c>
    </row>
    <row r="2041">
      <c r="A2041" t="inlineStr">
        <is>
          <t>LD-302039</t>
        </is>
      </c>
      <c r="B2041" t="inlineStr">
        <is>
          <t>2026-06-05 08:03:00</t>
        </is>
      </c>
      <c r="C2041" t="inlineStr">
        <is>
          <t>Paid Search</t>
        </is>
      </c>
      <c r="D2041" t="inlineStr">
        <is>
          <t>Language Learning</t>
        </is>
      </c>
      <c r="E2041" t="inlineStr">
        <is>
          <t>International</t>
        </is>
      </c>
      <c r="F2041" t="inlineStr">
        <is>
          <t>Rep_05</t>
        </is>
      </c>
      <c r="G2041" t="n">
        <v>7.38</v>
      </c>
      <c r="H2041" t="inlineStr">
        <is>
          <t>Contacted</t>
        </is>
      </c>
      <c r="I2041" t="inlineStr">
        <is>
          <t>Open</t>
        </is>
      </c>
      <c r="M2041">
        <f>VLOOKUP(H2041,'Stage Order'!$A$2:$B$8,2,FALSE)</f>
        <v/>
      </c>
      <c r="N2041">
        <f>IF(G2041&lt;=1,"1. Under 1 hour",IF(G2041&lt;=24,"2. 1-24 hours",IF(G2041&lt;=72,"3. 1-3 days","4. Over 3 days")))</f>
        <v/>
      </c>
      <c r="O2041">
        <f>TEXT(B2041,"YYYY-MM")</f>
        <v/>
      </c>
    </row>
    <row r="2042">
      <c r="A2042" t="inlineStr">
        <is>
          <t>LD-302040</t>
        </is>
      </c>
      <c r="B2042" t="inlineStr">
        <is>
          <t>2026-04-03 19:37:00</t>
        </is>
      </c>
      <c r="C2042" t="inlineStr">
        <is>
          <t>Cold Outreach</t>
        </is>
      </c>
      <c r="D2042" t="inlineStr">
        <is>
          <t>Study Abroad Prep</t>
        </is>
      </c>
      <c r="E2042" t="inlineStr">
        <is>
          <t>South Region</t>
        </is>
      </c>
      <c r="F2042" t="inlineStr">
        <is>
          <t>Rep_07</t>
        </is>
      </c>
      <c r="G2042" t="n">
        <v>1.44</v>
      </c>
      <c r="H2042" t="inlineStr">
        <is>
          <t>Demo Scheduled</t>
        </is>
      </c>
      <c r="I2042" t="inlineStr">
        <is>
          <t>Open</t>
        </is>
      </c>
      <c r="M2042">
        <f>VLOOKUP(H2042,'Stage Order'!$A$2:$B$8,2,FALSE)</f>
        <v/>
      </c>
      <c r="N2042">
        <f>IF(G2042&lt;=1,"1. Under 1 hour",IF(G2042&lt;=24,"2. 1-24 hours",IF(G2042&lt;=72,"3. 1-3 days","4. Over 3 days")))</f>
        <v/>
      </c>
      <c r="O2042">
        <f>TEXT(B2042,"YYYY-MM")</f>
        <v/>
      </c>
    </row>
    <row r="2043">
      <c r="A2043" t="inlineStr">
        <is>
          <t>LD-302041</t>
        </is>
      </c>
      <c r="B2043" t="inlineStr">
        <is>
          <t>2025-06-08 15:07:00</t>
        </is>
      </c>
      <c r="C2043" t="inlineStr">
        <is>
          <t>Social Media</t>
        </is>
      </c>
      <c r="D2043" t="inlineStr">
        <is>
          <t>Competitive Exam Prep</t>
        </is>
      </c>
      <c r="E2043" t="inlineStr">
        <is>
          <t>South Region</t>
        </is>
      </c>
      <c r="F2043" t="inlineStr">
        <is>
          <t>Rep_02</t>
        </is>
      </c>
      <c r="G2043" t="n">
        <v>0.8100000000000001</v>
      </c>
      <c r="H2043" t="inlineStr">
        <is>
          <t>Contacted</t>
        </is>
      </c>
      <c r="I2043" t="inlineStr">
        <is>
          <t>Open</t>
        </is>
      </c>
      <c r="M2043">
        <f>VLOOKUP(H2043,'Stage Order'!$A$2:$B$8,2,FALSE)</f>
        <v/>
      </c>
      <c r="N2043">
        <f>IF(G2043&lt;=1,"1. Under 1 hour",IF(G2043&lt;=24,"2. 1-24 hours",IF(G2043&lt;=72,"3. 1-3 days","4. Over 3 days")))</f>
        <v/>
      </c>
      <c r="O2043">
        <f>TEXT(B2043,"YYYY-MM")</f>
        <v/>
      </c>
    </row>
    <row r="2044">
      <c r="A2044" t="inlineStr">
        <is>
          <t>LD-302042</t>
        </is>
      </c>
      <c r="B2044" t="inlineStr">
        <is>
          <t>2025-12-18 07:45:00</t>
        </is>
      </c>
      <c r="C2044" t="inlineStr">
        <is>
          <t>Referral</t>
        </is>
      </c>
      <c r="D2044" t="inlineStr">
        <is>
          <t>Competitive Exam Prep</t>
        </is>
      </c>
      <c r="E2044" t="inlineStr">
        <is>
          <t>North Region</t>
        </is>
      </c>
      <c r="F2044" t="inlineStr">
        <is>
          <t>Rep_06</t>
        </is>
      </c>
      <c r="G2044" t="n">
        <v>8.58</v>
      </c>
      <c r="H2044" t="inlineStr">
        <is>
          <t>Contacted</t>
        </is>
      </c>
      <c r="I2044" t="inlineStr">
        <is>
          <t>Open</t>
        </is>
      </c>
      <c r="M2044">
        <f>VLOOKUP(H2044,'Stage Order'!$A$2:$B$8,2,FALSE)</f>
        <v/>
      </c>
      <c r="N2044">
        <f>IF(G2044&lt;=1,"1. Under 1 hour",IF(G2044&lt;=24,"2. 1-24 hours",IF(G2044&lt;=72,"3. 1-3 days","4. Over 3 days")))</f>
        <v/>
      </c>
      <c r="O2044">
        <f>TEXT(B2044,"YYYY-MM")</f>
        <v/>
      </c>
    </row>
    <row r="2045">
      <c r="A2045" t="inlineStr">
        <is>
          <t>LD-302043</t>
        </is>
      </c>
      <c r="B2045" t="inlineStr">
        <is>
          <t>2026-01-29 07:40:00</t>
        </is>
      </c>
      <c r="C2045" t="inlineStr">
        <is>
          <t>Organic Search</t>
        </is>
      </c>
      <c r="D2045" t="inlineStr">
        <is>
          <t>K-12 Math</t>
        </is>
      </c>
      <c r="E2045" t="inlineStr">
        <is>
          <t>West Region</t>
        </is>
      </c>
      <c r="F2045" t="inlineStr">
        <is>
          <t>Rep_03</t>
        </is>
      </c>
      <c r="G2045" t="n">
        <v>1.67</v>
      </c>
      <c r="H2045" t="inlineStr">
        <is>
          <t>Negotiation</t>
        </is>
      </c>
      <c r="I2045" t="inlineStr">
        <is>
          <t>Lost</t>
        </is>
      </c>
      <c r="J2045" t="inlineStr">
        <is>
          <t>Went With Competitor</t>
        </is>
      </c>
      <c r="K2045" t="n">
        <v>458.92</v>
      </c>
      <c r="L2045" t="inlineStr">
        <is>
          <t>2026-03-11 06:53:49.514228</t>
        </is>
      </c>
      <c r="M2045">
        <f>VLOOKUP(H2045,'Stage Order'!$A$2:$B$8,2,FALSE)</f>
        <v/>
      </c>
      <c r="N2045">
        <f>IF(G2045&lt;=1,"1. Under 1 hour",IF(G2045&lt;=24,"2. 1-24 hours",IF(G2045&lt;=72,"3. 1-3 days","4. Over 3 days")))</f>
        <v/>
      </c>
      <c r="O2045">
        <f>TEXT(B2045,"YYYY-MM")</f>
        <v/>
      </c>
    </row>
    <row r="2046">
      <c r="A2046" t="inlineStr">
        <is>
          <t>LD-302044</t>
        </is>
      </c>
      <c r="B2046" t="inlineStr">
        <is>
          <t>2025-11-14 12:09:00</t>
        </is>
      </c>
      <c r="C2046" t="inlineStr">
        <is>
          <t>Cold Outreach</t>
        </is>
      </c>
      <c r="D2046" t="inlineStr">
        <is>
          <t>Study Abroad Prep</t>
        </is>
      </c>
      <c r="E2046" t="inlineStr">
        <is>
          <t>West Region</t>
        </is>
      </c>
      <c r="F2046" t="inlineStr">
        <is>
          <t>Rep_13</t>
        </is>
      </c>
      <c r="G2046" t="n">
        <v>10.37</v>
      </c>
      <c r="H2046" t="inlineStr">
        <is>
          <t>Proposal Sent</t>
        </is>
      </c>
      <c r="I2046" t="inlineStr">
        <is>
          <t>Lost</t>
        </is>
      </c>
      <c r="J2046" t="inlineStr">
        <is>
          <t>Went With Competitor</t>
        </is>
      </c>
      <c r="K2046" t="n">
        <v>1692.53</v>
      </c>
      <c r="L2046" t="inlineStr">
        <is>
          <t>2025-12-08 10:55:33.655143</t>
        </is>
      </c>
      <c r="M2046">
        <f>VLOOKUP(H2046,'Stage Order'!$A$2:$B$8,2,FALSE)</f>
        <v/>
      </c>
      <c r="N2046">
        <f>IF(G2046&lt;=1,"1. Under 1 hour",IF(G2046&lt;=24,"2. 1-24 hours",IF(G2046&lt;=72,"3. 1-3 days","4. Over 3 days")))</f>
        <v/>
      </c>
      <c r="O2046">
        <f>TEXT(B2046,"YYYY-MM")</f>
        <v/>
      </c>
    </row>
    <row r="2047">
      <c r="A2047" t="inlineStr">
        <is>
          <t>LD-302045</t>
        </is>
      </c>
      <c r="B2047" t="inlineStr">
        <is>
          <t>2025-11-16 14:54:00</t>
        </is>
      </c>
      <c r="C2047" t="inlineStr">
        <is>
          <t>Organic Search</t>
        </is>
      </c>
      <c r="D2047" t="inlineStr">
        <is>
          <t>K-12 Math</t>
        </is>
      </c>
      <c r="E2047" t="inlineStr">
        <is>
          <t>International</t>
        </is>
      </c>
      <c r="F2047" t="inlineStr">
        <is>
          <t>Rep_15</t>
        </is>
      </c>
      <c r="G2047" t="n">
        <v>9.630000000000001</v>
      </c>
      <c r="H2047" t="inlineStr">
        <is>
          <t>Proposal Sent</t>
        </is>
      </c>
      <c r="I2047" t="inlineStr">
        <is>
          <t>Lost</t>
        </is>
      </c>
      <c r="J2047" t="inlineStr">
        <is>
          <t>Price Objection</t>
        </is>
      </c>
      <c r="K2047" t="n">
        <v>420.53</v>
      </c>
      <c r="L2047" t="inlineStr">
        <is>
          <t>2025-12-17 16:05:04.787775</t>
        </is>
      </c>
      <c r="M2047">
        <f>VLOOKUP(H2047,'Stage Order'!$A$2:$B$8,2,FALSE)</f>
        <v/>
      </c>
      <c r="N2047">
        <f>IF(G2047&lt;=1,"1. Under 1 hour",IF(G2047&lt;=24,"2. 1-24 hours",IF(G2047&lt;=72,"3. 1-3 days","4. Over 3 days")))</f>
        <v/>
      </c>
      <c r="O2047">
        <f>TEXT(B2047,"YYYY-MM")</f>
        <v/>
      </c>
    </row>
    <row r="2048">
      <c r="A2048" t="inlineStr">
        <is>
          <t>LD-302046</t>
        </is>
      </c>
      <c r="B2048" t="inlineStr">
        <is>
          <t>2025-02-14 11:03:00</t>
        </is>
      </c>
      <c r="C2048" t="inlineStr">
        <is>
          <t>Paid Search</t>
        </is>
      </c>
      <c r="D2048" t="inlineStr">
        <is>
          <t>Study Abroad Prep</t>
        </is>
      </c>
      <c r="E2048" t="inlineStr">
        <is>
          <t>North Region</t>
        </is>
      </c>
      <c r="F2048" t="inlineStr">
        <is>
          <t>Rep_01</t>
        </is>
      </c>
      <c r="G2048" t="n">
        <v>3.69</v>
      </c>
      <c r="H2048" t="inlineStr">
        <is>
          <t>Lead</t>
        </is>
      </c>
      <c r="I2048" t="inlineStr">
        <is>
          <t>Open</t>
        </is>
      </c>
      <c r="M2048">
        <f>VLOOKUP(H2048,'Stage Order'!$A$2:$B$8,2,FALSE)</f>
        <v/>
      </c>
      <c r="N2048">
        <f>IF(G2048&lt;=1,"1. Under 1 hour",IF(G2048&lt;=24,"2. 1-24 hours",IF(G2048&lt;=72,"3. 1-3 days","4. Over 3 days")))</f>
        <v/>
      </c>
      <c r="O2048">
        <f>TEXT(B2048,"YYYY-MM")</f>
        <v/>
      </c>
    </row>
    <row r="2049">
      <c r="A2049" t="inlineStr">
        <is>
          <t>LD-302047</t>
        </is>
      </c>
      <c r="B2049" t="inlineStr">
        <is>
          <t>2025-06-25 11:44:00</t>
        </is>
      </c>
      <c r="C2049" t="inlineStr">
        <is>
          <t>Partner Channel</t>
        </is>
      </c>
      <c r="D2049" t="inlineStr">
        <is>
          <t>K-12 Math</t>
        </is>
      </c>
      <c r="E2049" t="inlineStr">
        <is>
          <t>West Region</t>
        </is>
      </c>
      <c r="F2049" t="inlineStr">
        <is>
          <t>Rep_13</t>
        </is>
      </c>
      <c r="G2049" t="n">
        <v>2.34</v>
      </c>
      <c r="H2049" t="inlineStr">
        <is>
          <t>Contacted</t>
        </is>
      </c>
      <c r="I2049" t="inlineStr">
        <is>
          <t>Open</t>
        </is>
      </c>
      <c r="M2049">
        <f>VLOOKUP(H2049,'Stage Order'!$A$2:$B$8,2,FALSE)</f>
        <v/>
      </c>
      <c r="N2049">
        <f>IF(G2049&lt;=1,"1. Under 1 hour",IF(G2049&lt;=24,"2. 1-24 hours",IF(G2049&lt;=72,"3. 1-3 days","4. Over 3 days")))</f>
        <v/>
      </c>
      <c r="O2049">
        <f>TEXT(B2049,"YYYY-MM")</f>
        <v/>
      </c>
    </row>
    <row r="2050">
      <c r="A2050" t="inlineStr">
        <is>
          <t>LD-302048</t>
        </is>
      </c>
      <c r="B2050" t="inlineStr">
        <is>
          <t>2026-03-28 10:03:00</t>
        </is>
      </c>
      <c r="C2050" t="inlineStr">
        <is>
          <t>Paid Search</t>
        </is>
      </c>
      <c r="D2050" t="inlineStr">
        <is>
          <t>K-12 Math</t>
        </is>
      </c>
      <c r="E2050" t="inlineStr">
        <is>
          <t>West Region</t>
        </is>
      </c>
      <c r="F2050" t="inlineStr">
        <is>
          <t>Rep_08</t>
        </is>
      </c>
      <c r="G2050" t="n">
        <v>3.49</v>
      </c>
      <c r="H2050" t="inlineStr">
        <is>
          <t>Contacted</t>
        </is>
      </c>
      <c r="I2050" t="inlineStr">
        <is>
          <t>Open</t>
        </is>
      </c>
      <c r="M2050">
        <f>VLOOKUP(H2050,'Stage Order'!$A$2:$B$8,2,FALSE)</f>
        <v/>
      </c>
      <c r="N2050">
        <f>IF(G2050&lt;=1,"1. Under 1 hour",IF(G2050&lt;=24,"2. 1-24 hours",IF(G2050&lt;=72,"3. 1-3 days","4. Over 3 days")))</f>
        <v/>
      </c>
      <c r="O2050">
        <f>TEXT(B2050,"YYYY-MM")</f>
        <v/>
      </c>
    </row>
    <row r="2051">
      <c r="A2051" t="inlineStr">
        <is>
          <t>LD-302049</t>
        </is>
      </c>
      <c r="B2051" t="inlineStr">
        <is>
          <t>2025-06-03 10:49:00</t>
        </is>
      </c>
      <c r="C2051" t="inlineStr">
        <is>
          <t>Social Media</t>
        </is>
      </c>
      <c r="D2051" t="inlineStr">
        <is>
          <t>Coding for Kids</t>
        </is>
      </c>
      <c r="E2051" t="inlineStr">
        <is>
          <t>East Region</t>
        </is>
      </c>
      <c r="F2051" t="inlineStr">
        <is>
          <t>Rep_04</t>
        </is>
      </c>
      <c r="G2051" t="n">
        <v>17.78</v>
      </c>
      <c r="H2051" t="inlineStr">
        <is>
          <t>Contacted</t>
        </is>
      </c>
      <c r="I2051" t="inlineStr">
        <is>
          <t>Open</t>
        </is>
      </c>
      <c r="M2051">
        <f>VLOOKUP(H2051,'Stage Order'!$A$2:$B$8,2,FALSE)</f>
        <v/>
      </c>
      <c r="N2051">
        <f>IF(G2051&lt;=1,"1. Under 1 hour",IF(G2051&lt;=24,"2. 1-24 hours",IF(G2051&lt;=72,"3. 1-3 days","4. Over 3 days")))</f>
        <v/>
      </c>
      <c r="O2051">
        <f>TEXT(B2051,"YYYY-MM")</f>
        <v/>
      </c>
    </row>
    <row r="2052">
      <c r="A2052" t="inlineStr">
        <is>
          <t>LD-302050</t>
        </is>
      </c>
      <c r="B2052" t="inlineStr">
        <is>
          <t>2025-06-05 07:13:00</t>
        </is>
      </c>
      <c r="C2052" t="inlineStr">
        <is>
          <t>Referral</t>
        </is>
      </c>
      <c r="D2052" t="inlineStr">
        <is>
          <t>Competitive Exam Prep</t>
        </is>
      </c>
      <c r="E2052" t="inlineStr">
        <is>
          <t>West Region</t>
        </is>
      </c>
      <c r="F2052" t="inlineStr">
        <is>
          <t>Rep_08</t>
        </is>
      </c>
      <c r="G2052" t="n">
        <v>5.53</v>
      </c>
      <c r="H2052" t="inlineStr">
        <is>
          <t>Closed</t>
        </is>
      </c>
      <c r="I2052" t="inlineStr">
        <is>
          <t>Won</t>
        </is>
      </c>
      <c r="K2052" t="n">
        <v>1023.85</v>
      </c>
      <c r="L2052" t="inlineStr">
        <is>
          <t>2025-07-08 21:02:05.432064</t>
        </is>
      </c>
      <c r="M2052">
        <f>VLOOKUP(H2052,'Stage Order'!$A$2:$B$8,2,FALSE)</f>
        <v/>
      </c>
      <c r="N2052">
        <f>IF(G2052&lt;=1,"1. Under 1 hour",IF(G2052&lt;=24,"2. 1-24 hours",IF(G2052&lt;=72,"3. 1-3 days","4. Over 3 days")))</f>
        <v/>
      </c>
      <c r="O2052">
        <f>TEXT(B2052,"YYYY-MM")</f>
        <v/>
      </c>
    </row>
    <row r="2053">
      <c r="A2053" t="inlineStr">
        <is>
          <t>LD-302051</t>
        </is>
      </c>
      <c r="B2053" t="inlineStr">
        <is>
          <t>2026-05-09 18:35:00</t>
        </is>
      </c>
      <c r="C2053" t="inlineStr">
        <is>
          <t>Cold Outreach</t>
        </is>
      </c>
      <c r="D2053" t="inlineStr">
        <is>
          <t>K-12 Math</t>
        </is>
      </c>
      <c r="E2053" t="inlineStr">
        <is>
          <t>South Region</t>
        </is>
      </c>
      <c r="F2053" t="inlineStr">
        <is>
          <t>Rep_07</t>
        </is>
      </c>
      <c r="G2053" t="n">
        <v>6.38</v>
      </c>
      <c r="H2053" t="inlineStr">
        <is>
          <t>Lead</t>
        </is>
      </c>
      <c r="I2053" t="inlineStr">
        <is>
          <t>Open</t>
        </is>
      </c>
      <c r="M2053">
        <f>VLOOKUP(H2053,'Stage Order'!$A$2:$B$8,2,FALSE)</f>
        <v/>
      </c>
      <c r="N2053">
        <f>IF(G2053&lt;=1,"1. Under 1 hour",IF(G2053&lt;=24,"2. 1-24 hours",IF(G2053&lt;=72,"3. 1-3 days","4. Over 3 days")))</f>
        <v/>
      </c>
      <c r="O2053">
        <f>TEXT(B2053,"YYYY-MM")</f>
        <v/>
      </c>
    </row>
    <row r="2054">
      <c r="A2054" t="inlineStr">
        <is>
          <t>LD-302052</t>
        </is>
      </c>
      <c r="B2054" t="inlineStr">
        <is>
          <t>2026-03-05 07:26:00</t>
        </is>
      </c>
      <c r="C2054" t="inlineStr">
        <is>
          <t>Referral</t>
        </is>
      </c>
      <c r="D2054" t="inlineStr">
        <is>
          <t>K-12 Math</t>
        </is>
      </c>
      <c r="E2054" t="inlineStr">
        <is>
          <t>International</t>
        </is>
      </c>
      <c r="F2054" t="inlineStr">
        <is>
          <t>Rep_05</t>
        </is>
      </c>
      <c r="G2054" t="n">
        <v>4.12</v>
      </c>
      <c r="H2054" t="inlineStr">
        <is>
          <t>Closed</t>
        </is>
      </c>
      <c r="I2054" t="inlineStr">
        <is>
          <t>Won</t>
        </is>
      </c>
      <c r="K2054" t="n">
        <v>550.49</v>
      </c>
      <c r="L2054" t="inlineStr">
        <is>
          <t>2026-03-27 16:28:50.829945</t>
        </is>
      </c>
      <c r="M2054">
        <f>VLOOKUP(H2054,'Stage Order'!$A$2:$B$8,2,FALSE)</f>
        <v/>
      </c>
      <c r="N2054">
        <f>IF(G2054&lt;=1,"1. Under 1 hour",IF(G2054&lt;=24,"2. 1-24 hours",IF(G2054&lt;=72,"3. 1-3 days","4. Over 3 days")))</f>
        <v/>
      </c>
      <c r="O2054">
        <f>TEXT(B2054,"YYYY-MM")</f>
        <v/>
      </c>
    </row>
    <row r="2055">
      <c r="A2055" t="inlineStr">
        <is>
          <t>LD-302053</t>
        </is>
      </c>
      <c r="B2055" t="inlineStr">
        <is>
          <t>2025-08-07 20:31:00</t>
        </is>
      </c>
      <c r="C2055" t="inlineStr">
        <is>
          <t>Webinar</t>
        </is>
      </c>
      <c r="D2055" t="inlineStr">
        <is>
          <t>K-12 Math</t>
        </is>
      </c>
      <c r="E2055" t="inlineStr">
        <is>
          <t>North Region</t>
        </is>
      </c>
      <c r="F2055" t="inlineStr">
        <is>
          <t>Rep_01</t>
        </is>
      </c>
      <c r="G2055" t="n">
        <v>0.98</v>
      </c>
      <c r="H2055" t="inlineStr">
        <is>
          <t>Closed</t>
        </is>
      </c>
      <c r="I2055" t="inlineStr">
        <is>
          <t>Won</t>
        </is>
      </c>
      <c r="K2055" t="n">
        <v>588.15</v>
      </c>
      <c r="L2055" t="inlineStr">
        <is>
          <t>2025-09-22 20:59:38.431138</t>
        </is>
      </c>
      <c r="M2055">
        <f>VLOOKUP(H2055,'Stage Order'!$A$2:$B$8,2,FALSE)</f>
        <v/>
      </c>
      <c r="N2055">
        <f>IF(G2055&lt;=1,"1. Under 1 hour",IF(G2055&lt;=24,"2. 1-24 hours",IF(G2055&lt;=72,"3. 1-3 days","4. Over 3 days")))</f>
        <v/>
      </c>
      <c r="O2055">
        <f>TEXT(B2055,"YYYY-MM")</f>
        <v/>
      </c>
    </row>
    <row r="2056">
      <c r="A2056" t="inlineStr">
        <is>
          <t>LD-302054</t>
        </is>
      </c>
      <c r="B2056" t="inlineStr">
        <is>
          <t>2026-01-09 12:45:00</t>
        </is>
      </c>
      <c r="C2056" t="inlineStr">
        <is>
          <t>Social Media</t>
        </is>
      </c>
      <c r="D2056" t="inlineStr">
        <is>
          <t>Coding for Kids</t>
        </is>
      </c>
      <c r="E2056" t="inlineStr">
        <is>
          <t>West Region</t>
        </is>
      </c>
      <c r="F2056" t="inlineStr">
        <is>
          <t>Rep_03</t>
        </is>
      </c>
      <c r="G2056" t="n">
        <v>1.38</v>
      </c>
      <c r="H2056" t="inlineStr">
        <is>
          <t>Contacted</t>
        </is>
      </c>
      <c r="I2056" t="inlineStr">
        <is>
          <t>Open</t>
        </is>
      </c>
      <c r="M2056">
        <f>VLOOKUP(H2056,'Stage Order'!$A$2:$B$8,2,FALSE)</f>
        <v/>
      </c>
      <c r="N2056">
        <f>IF(G2056&lt;=1,"1. Under 1 hour",IF(G2056&lt;=24,"2. 1-24 hours",IF(G2056&lt;=72,"3. 1-3 days","4. Over 3 days")))</f>
        <v/>
      </c>
      <c r="O2056">
        <f>TEXT(B2056,"YYYY-MM")</f>
        <v/>
      </c>
    </row>
    <row r="2057">
      <c r="A2057" t="inlineStr">
        <is>
          <t>LD-302055</t>
        </is>
      </c>
      <c r="B2057" t="inlineStr">
        <is>
          <t>2026-02-09 14:08:00</t>
        </is>
      </c>
      <c r="C2057" t="inlineStr">
        <is>
          <t>Cold Outreach</t>
        </is>
      </c>
      <c r="D2057" t="inlineStr">
        <is>
          <t>K-12 Math</t>
        </is>
      </c>
      <c r="E2057" t="inlineStr">
        <is>
          <t>East Region</t>
        </is>
      </c>
      <c r="F2057" t="inlineStr">
        <is>
          <t>Rep_09</t>
        </is>
      </c>
      <c r="G2057" t="n">
        <v>2.72</v>
      </c>
      <c r="H2057" t="inlineStr">
        <is>
          <t>Lead</t>
        </is>
      </c>
      <c r="I2057" t="inlineStr">
        <is>
          <t>Open</t>
        </is>
      </c>
      <c r="M2057">
        <f>VLOOKUP(H2057,'Stage Order'!$A$2:$B$8,2,FALSE)</f>
        <v/>
      </c>
      <c r="N2057">
        <f>IF(G2057&lt;=1,"1. Under 1 hour",IF(G2057&lt;=24,"2. 1-24 hours",IF(G2057&lt;=72,"3. 1-3 days","4. Over 3 days")))</f>
        <v/>
      </c>
      <c r="O2057">
        <f>TEXT(B2057,"YYYY-MM")</f>
        <v/>
      </c>
    </row>
    <row r="2058">
      <c r="A2058" t="inlineStr">
        <is>
          <t>LD-302056</t>
        </is>
      </c>
      <c r="B2058" t="inlineStr">
        <is>
          <t>2026-02-27 20:11:00</t>
        </is>
      </c>
      <c r="C2058" t="inlineStr">
        <is>
          <t>Webinar</t>
        </is>
      </c>
      <c r="D2058" t="inlineStr">
        <is>
          <t>Competitive Exam Prep</t>
        </is>
      </c>
      <c r="E2058" t="inlineStr">
        <is>
          <t>South Region</t>
        </is>
      </c>
      <c r="F2058" t="inlineStr">
        <is>
          <t>Rep_07</t>
        </is>
      </c>
      <c r="G2058" t="n">
        <v>3.7</v>
      </c>
      <c r="H2058" t="inlineStr">
        <is>
          <t>Contacted</t>
        </is>
      </c>
      <c r="I2058" t="inlineStr">
        <is>
          <t>Open</t>
        </is>
      </c>
      <c r="M2058">
        <f>VLOOKUP(H2058,'Stage Order'!$A$2:$B$8,2,FALSE)</f>
        <v/>
      </c>
      <c r="N2058">
        <f>IF(G2058&lt;=1,"1. Under 1 hour",IF(G2058&lt;=24,"2. 1-24 hours",IF(G2058&lt;=72,"3. 1-3 days","4. Over 3 days")))</f>
        <v/>
      </c>
      <c r="O2058">
        <f>TEXT(B2058,"YYYY-MM")</f>
        <v/>
      </c>
    </row>
    <row r="2059">
      <c r="A2059" t="inlineStr">
        <is>
          <t>LD-302057</t>
        </is>
      </c>
      <c r="B2059" t="inlineStr">
        <is>
          <t>2025-02-11 11:00:00</t>
        </is>
      </c>
      <c r="C2059" t="inlineStr">
        <is>
          <t>Social Media</t>
        </is>
      </c>
      <c r="D2059" t="inlineStr">
        <is>
          <t>Competitive Exam Prep</t>
        </is>
      </c>
      <c r="E2059" t="inlineStr">
        <is>
          <t>East Region</t>
        </is>
      </c>
      <c r="F2059" t="inlineStr">
        <is>
          <t>Rep_14</t>
        </is>
      </c>
      <c r="G2059" t="n">
        <v>3.82</v>
      </c>
      <c r="H2059" t="inlineStr">
        <is>
          <t>Lead</t>
        </is>
      </c>
      <c r="I2059" t="inlineStr">
        <is>
          <t>Open</t>
        </is>
      </c>
      <c r="M2059">
        <f>VLOOKUP(H2059,'Stage Order'!$A$2:$B$8,2,FALSE)</f>
        <v/>
      </c>
      <c r="N2059">
        <f>IF(G2059&lt;=1,"1. Under 1 hour",IF(G2059&lt;=24,"2. 1-24 hours",IF(G2059&lt;=72,"3. 1-3 days","4. Over 3 days")))</f>
        <v/>
      </c>
      <c r="O2059">
        <f>TEXT(B2059,"YYYY-MM")</f>
        <v/>
      </c>
    </row>
    <row r="2060">
      <c r="A2060" t="inlineStr">
        <is>
          <t>LD-302058</t>
        </is>
      </c>
      <c r="B2060" t="inlineStr">
        <is>
          <t>2025-02-07 12:43:00</t>
        </is>
      </c>
      <c r="C2060" t="inlineStr">
        <is>
          <t>Organic Search</t>
        </is>
      </c>
      <c r="D2060" t="inlineStr">
        <is>
          <t>Coding for Kids</t>
        </is>
      </c>
      <c r="E2060" t="inlineStr">
        <is>
          <t>West Region</t>
        </is>
      </c>
      <c r="F2060" t="inlineStr">
        <is>
          <t>Rep_13</t>
        </is>
      </c>
      <c r="G2060" t="n">
        <v>3.36</v>
      </c>
      <c r="H2060" t="inlineStr">
        <is>
          <t>Demo Completed</t>
        </is>
      </c>
      <c r="I2060" t="inlineStr">
        <is>
          <t>Lost</t>
        </is>
      </c>
      <c r="J2060" t="inlineStr">
        <is>
          <t>No Response / Ghosted</t>
        </is>
      </c>
      <c r="K2060" t="n">
        <v>646.33</v>
      </c>
      <c r="L2060" t="inlineStr">
        <is>
          <t>2025-03-23 06:18:18.743995</t>
        </is>
      </c>
      <c r="M2060">
        <f>VLOOKUP(H2060,'Stage Order'!$A$2:$B$8,2,FALSE)</f>
        <v/>
      </c>
      <c r="N2060">
        <f>IF(G2060&lt;=1,"1. Under 1 hour",IF(G2060&lt;=24,"2. 1-24 hours",IF(G2060&lt;=72,"3. 1-3 days","4. Over 3 days")))</f>
        <v/>
      </c>
      <c r="O2060">
        <f>TEXT(B2060,"YYYY-MM")</f>
        <v/>
      </c>
    </row>
    <row r="2061">
      <c r="A2061" t="inlineStr">
        <is>
          <t>LD-302059</t>
        </is>
      </c>
      <c r="B2061" t="inlineStr">
        <is>
          <t>2026-06-01 08:14:00</t>
        </is>
      </c>
      <c r="C2061" t="inlineStr">
        <is>
          <t>Cold Outreach</t>
        </is>
      </c>
      <c r="D2061" t="inlineStr">
        <is>
          <t>Language Learning</t>
        </is>
      </c>
      <c r="E2061" t="inlineStr">
        <is>
          <t>South Region</t>
        </is>
      </c>
      <c r="F2061" t="inlineStr">
        <is>
          <t>Rep_07</t>
        </is>
      </c>
      <c r="G2061" t="n">
        <v>3.91</v>
      </c>
      <c r="H2061" t="inlineStr">
        <is>
          <t>Contacted</t>
        </is>
      </c>
      <c r="I2061" t="inlineStr">
        <is>
          <t>Open</t>
        </is>
      </c>
      <c r="M2061">
        <f>VLOOKUP(H2061,'Stage Order'!$A$2:$B$8,2,FALSE)</f>
        <v/>
      </c>
      <c r="N2061">
        <f>IF(G2061&lt;=1,"1. Under 1 hour",IF(G2061&lt;=24,"2. 1-24 hours",IF(G2061&lt;=72,"3. 1-3 days","4. Over 3 days")))</f>
        <v/>
      </c>
      <c r="O2061">
        <f>TEXT(B2061,"YYYY-MM")</f>
        <v/>
      </c>
    </row>
    <row r="2062">
      <c r="A2062" t="inlineStr">
        <is>
          <t>LD-302060</t>
        </is>
      </c>
      <c r="B2062" t="inlineStr">
        <is>
          <t>2025-06-20 16:19:00</t>
        </is>
      </c>
      <c r="C2062" t="inlineStr">
        <is>
          <t>Webinar</t>
        </is>
      </c>
      <c r="D2062" t="inlineStr">
        <is>
          <t>Competitive Exam Prep</t>
        </is>
      </c>
      <c r="E2062" t="inlineStr">
        <is>
          <t>West Region</t>
        </is>
      </c>
      <c r="F2062" t="inlineStr">
        <is>
          <t>Rep_03</t>
        </is>
      </c>
      <c r="G2062" t="n">
        <v>3.8</v>
      </c>
      <c r="H2062" t="inlineStr">
        <is>
          <t>Contacted</t>
        </is>
      </c>
      <c r="I2062" t="inlineStr">
        <is>
          <t>Open</t>
        </is>
      </c>
      <c r="M2062">
        <f>VLOOKUP(H2062,'Stage Order'!$A$2:$B$8,2,FALSE)</f>
        <v/>
      </c>
      <c r="N2062">
        <f>IF(G2062&lt;=1,"1. Under 1 hour",IF(G2062&lt;=24,"2. 1-24 hours",IF(G2062&lt;=72,"3. 1-3 days","4. Over 3 days")))</f>
        <v/>
      </c>
      <c r="O2062">
        <f>TEXT(B2062,"YYYY-MM")</f>
        <v/>
      </c>
    </row>
    <row r="2063">
      <c r="A2063" t="inlineStr">
        <is>
          <t>LD-302061</t>
        </is>
      </c>
      <c r="B2063" t="inlineStr">
        <is>
          <t>2025-11-13 13:43:00</t>
        </is>
      </c>
      <c r="C2063" t="inlineStr">
        <is>
          <t>Referral</t>
        </is>
      </c>
      <c r="D2063" t="inlineStr">
        <is>
          <t>Competitive Exam Prep</t>
        </is>
      </c>
      <c r="E2063" t="inlineStr">
        <is>
          <t>East Region</t>
        </is>
      </c>
      <c r="F2063" t="inlineStr">
        <is>
          <t>Rep_14</t>
        </is>
      </c>
      <c r="G2063" t="n">
        <v>3.55</v>
      </c>
      <c r="H2063" t="inlineStr">
        <is>
          <t>Contacted</t>
        </is>
      </c>
      <c r="I2063" t="inlineStr">
        <is>
          <t>Open</t>
        </is>
      </c>
      <c r="M2063">
        <f>VLOOKUP(H2063,'Stage Order'!$A$2:$B$8,2,FALSE)</f>
        <v/>
      </c>
      <c r="N2063">
        <f>IF(G2063&lt;=1,"1. Under 1 hour",IF(G2063&lt;=24,"2. 1-24 hours",IF(G2063&lt;=72,"3. 1-3 days","4. Over 3 days")))</f>
        <v/>
      </c>
      <c r="O2063">
        <f>TEXT(B2063,"YYYY-MM")</f>
        <v/>
      </c>
    </row>
    <row r="2064">
      <c r="A2064" t="inlineStr">
        <is>
          <t>LD-302062</t>
        </is>
      </c>
      <c r="B2064" t="inlineStr">
        <is>
          <t>2025-04-18 20:33:00</t>
        </is>
      </c>
      <c r="C2064" t="inlineStr">
        <is>
          <t>Webinar</t>
        </is>
      </c>
      <c r="D2064" t="inlineStr">
        <is>
          <t>Study Abroad Prep</t>
        </is>
      </c>
      <c r="E2064" t="inlineStr">
        <is>
          <t>North Region</t>
        </is>
      </c>
      <c r="F2064" t="inlineStr">
        <is>
          <t>Rep_06</t>
        </is>
      </c>
      <c r="G2064" t="n">
        <v>5.82</v>
      </c>
      <c r="H2064" t="inlineStr">
        <is>
          <t>Negotiation</t>
        </is>
      </c>
      <c r="I2064" t="inlineStr">
        <is>
          <t>Lost</t>
        </is>
      </c>
      <c r="J2064" t="inlineStr">
        <is>
          <t>No Response / Ghosted</t>
        </is>
      </c>
      <c r="K2064" t="n">
        <v>1562.29</v>
      </c>
      <c r="L2064" t="inlineStr">
        <is>
          <t>2025-05-30 18:47:57.221792</t>
        </is>
      </c>
      <c r="M2064">
        <f>VLOOKUP(H2064,'Stage Order'!$A$2:$B$8,2,FALSE)</f>
        <v/>
      </c>
      <c r="N2064">
        <f>IF(G2064&lt;=1,"1. Under 1 hour",IF(G2064&lt;=24,"2. 1-24 hours",IF(G2064&lt;=72,"3. 1-3 days","4. Over 3 days")))</f>
        <v/>
      </c>
      <c r="O2064">
        <f>TEXT(B2064,"YYYY-MM")</f>
        <v/>
      </c>
    </row>
    <row r="2065">
      <c r="A2065" t="inlineStr">
        <is>
          <t>LD-302063</t>
        </is>
      </c>
      <c r="B2065" t="inlineStr">
        <is>
          <t>2025-07-15 12:33:00</t>
        </is>
      </c>
      <c r="C2065" t="inlineStr">
        <is>
          <t>Cold Outreach</t>
        </is>
      </c>
      <c r="D2065" t="inlineStr">
        <is>
          <t>Coding for Kids</t>
        </is>
      </c>
      <c r="E2065" t="inlineStr">
        <is>
          <t>East Region</t>
        </is>
      </c>
      <c r="F2065" t="inlineStr">
        <is>
          <t>Rep_09</t>
        </is>
      </c>
      <c r="G2065" t="n">
        <v>0.73</v>
      </c>
      <c r="H2065" t="inlineStr">
        <is>
          <t>Lead</t>
        </is>
      </c>
      <c r="I2065" t="inlineStr">
        <is>
          <t>Open</t>
        </is>
      </c>
      <c r="M2065">
        <f>VLOOKUP(H2065,'Stage Order'!$A$2:$B$8,2,FALSE)</f>
        <v/>
      </c>
      <c r="N2065">
        <f>IF(G2065&lt;=1,"1. Under 1 hour",IF(G2065&lt;=24,"2. 1-24 hours",IF(G2065&lt;=72,"3. 1-3 days","4. Over 3 days")))</f>
        <v/>
      </c>
      <c r="O2065">
        <f>TEXT(B2065,"YYYY-MM")</f>
        <v/>
      </c>
    </row>
    <row r="2066">
      <c r="A2066" t="inlineStr">
        <is>
          <t>LD-302064</t>
        </is>
      </c>
      <c r="B2066" t="inlineStr">
        <is>
          <t>2025-03-04 17:49:00</t>
        </is>
      </c>
      <c r="C2066" t="inlineStr">
        <is>
          <t>Cold Outreach</t>
        </is>
      </c>
      <c r="D2066" t="inlineStr">
        <is>
          <t>Coding for Kids</t>
        </is>
      </c>
      <c r="E2066" t="inlineStr">
        <is>
          <t>South Region</t>
        </is>
      </c>
      <c r="F2066" t="inlineStr">
        <is>
          <t>Rep_02</t>
        </is>
      </c>
      <c r="G2066" t="n">
        <v>4.34</v>
      </c>
      <c r="H2066" t="inlineStr">
        <is>
          <t>Lead</t>
        </is>
      </c>
      <c r="I2066" t="inlineStr">
        <is>
          <t>Open</t>
        </is>
      </c>
      <c r="M2066">
        <f>VLOOKUP(H2066,'Stage Order'!$A$2:$B$8,2,FALSE)</f>
        <v/>
      </c>
      <c r="N2066">
        <f>IF(G2066&lt;=1,"1. Under 1 hour",IF(G2066&lt;=24,"2. 1-24 hours",IF(G2066&lt;=72,"3. 1-3 days","4. Over 3 days")))</f>
        <v/>
      </c>
      <c r="O2066">
        <f>TEXT(B2066,"YYYY-MM")</f>
        <v/>
      </c>
    </row>
    <row r="2067">
      <c r="A2067" t="inlineStr">
        <is>
          <t>LD-302065</t>
        </is>
      </c>
      <c r="B2067" t="inlineStr">
        <is>
          <t>2025-08-25 10:14:00</t>
        </is>
      </c>
      <c r="C2067" t="inlineStr">
        <is>
          <t>Social Media</t>
        </is>
      </c>
      <c r="D2067" t="inlineStr">
        <is>
          <t>K-12 Math</t>
        </is>
      </c>
      <c r="E2067" t="inlineStr">
        <is>
          <t>West Region</t>
        </is>
      </c>
      <c r="F2067" t="inlineStr">
        <is>
          <t>Rep_08</t>
        </is>
      </c>
      <c r="G2067" t="n">
        <v>7.57</v>
      </c>
      <c r="H2067" t="inlineStr">
        <is>
          <t>Demo Completed</t>
        </is>
      </c>
      <c r="I2067" t="inlineStr">
        <is>
          <t>Lost</t>
        </is>
      </c>
      <c r="J2067" t="inlineStr">
        <is>
          <t>Budget Not Approved</t>
        </is>
      </c>
      <c r="K2067" t="n">
        <v>460.18</v>
      </c>
      <c r="L2067" t="inlineStr">
        <is>
          <t>2025-09-22 14:58:22.277645</t>
        </is>
      </c>
      <c r="M2067">
        <f>VLOOKUP(H2067,'Stage Order'!$A$2:$B$8,2,FALSE)</f>
        <v/>
      </c>
      <c r="N2067">
        <f>IF(G2067&lt;=1,"1. Under 1 hour",IF(G2067&lt;=24,"2. 1-24 hours",IF(G2067&lt;=72,"3. 1-3 days","4. Over 3 days")))</f>
        <v/>
      </c>
      <c r="O2067">
        <f>TEXT(B2067,"YYYY-MM")</f>
        <v/>
      </c>
    </row>
    <row r="2068">
      <c r="A2068" t="inlineStr">
        <is>
          <t>LD-302066</t>
        </is>
      </c>
      <c r="B2068" t="inlineStr">
        <is>
          <t>2025-09-15 17:23:00</t>
        </is>
      </c>
      <c r="C2068" t="inlineStr">
        <is>
          <t>Organic Search</t>
        </is>
      </c>
      <c r="D2068" t="inlineStr">
        <is>
          <t>Coding for Kids</t>
        </is>
      </c>
      <c r="E2068" t="inlineStr">
        <is>
          <t>South Region</t>
        </is>
      </c>
      <c r="F2068" t="inlineStr">
        <is>
          <t>Rep_02</t>
        </is>
      </c>
      <c r="G2068" t="n">
        <v>4.45</v>
      </c>
      <c r="H2068" t="inlineStr">
        <is>
          <t>Negotiation</t>
        </is>
      </c>
      <c r="I2068" t="inlineStr">
        <is>
          <t>Lost</t>
        </is>
      </c>
      <c r="J2068" t="inlineStr">
        <is>
          <t>Price Objection</t>
        </is>
      </c>
      <c r="K2068" t="n">
        <v>668.29</v>
      </c>
      <c r="L2068" t="inlineStr">
        <is>
          <t>2025-11-03 22:00:24.786447</t>
        </is>
      </c>
      <c r="M2068">
        <f>VLOOKUP(H2068,'Stage Order'!$A$2:$B$8,2,FALSE)</f>
        <v/>
      </c>
      <c r="N2068">
        <f>IF(G2068&lt;=1,"1. Under 1 hour",IF(G2068&lt;=24,"2. 1-24 hours",IF(G2068&lt;=72,"3. 1-3 days","4. Over 3 days")))</f>
        <v/>
      </c>
      <c r="O2068">
        <f>TEXT(B2068,"YYYY-MM")</f>
        <v/>
      </c>
    </row>
    <row r="2069">
      <c r="A2069" t="inlineStr">
        <is>
          <t>LD-302067</t>
        </is>
      </c>
      <c r="B2069" t="inlineStr">
        <is>
          <t>2025-05-09 17:38:00</t>
        </is>
      </c>
      <c r="C2069" t="inlineStr">
        <is>
          <t>Referral</t>
        </is>
      </c>
      <c r="D2069" t="inlineStr">
        <is>
          <t>K-12 Math</t>
        </is>
      </c>
      <c r="E2069" t="inlineStr">
        <is>
          <t>East Region</t>
        </is>
      </c>
      <c r="F2069" t="inlineStr">
        <is>
          <t>Rep_14</t>
        </is>
      </c>
      <c r="G2069" t="n">
        <v>12.04</v>
      </c>
      <c r="H2069" t="inlineStr">
        <is>
          <t>Contacted</t>
        </is>
      </c>
      <c r="I2069" t="inlineStr">
        <is>
          <t>Open</t>
        </is>
      </c>
      <c r="M2069">
        <f>VLOOKUP(H2069,'Stage Order'!$A$2:$B$8,2,FALSE)</f>
        <v/>
      </c>
      <c r="N2069">
        <f>IF(G2069&lt;=1,"1. Under 1 hour",IF(G2069&lt;=24,"2. 1-24 hours",IF(G2069&lt;=72,"3. 1-3 days","4. Over 3 days")))</f>
        <v/>
      </c>
      <c r="O2069">
        <f>TEXT(B2069,"YYYY-MM")</f>
        <v/>
      </c>
    </row>
    <row r="2070">
      <c r="A2070" t="inlineStr">
        <is>
          <t>LD-302068</t>
        </is>
      </c>
      <c r="B2070" t="inlineStr">
        <is>
          <t>2025-03-21 11:49:00</t>
        </is>
      </c>
      <c r="C2070" t="inlineStr">
        <is>
          <t>Webinar</t>
        </is>
      </c>
      <c r="D2070" t="inlineStr">
        <is>
          <t>K-12 Math</t>
        </is>
      </c>
      <c r="E2070" t="inlineStr">
        <is>
          <t>South Region</t>
        </is>
      </c>
      <c r="F2070" t="inlineStr">
        <is>
          <t>Rep_02</t>
        </is>
      </c>
      <c r="G2070" t="n">
        <v>2.59</v>
      </c>
      <c r="H2070" t="inlineStr">
        <is>
          <t>Contacted</t>
        </is>
      </c>
      <c r="I2070" t="inlineStr">
        <is>
          <t>Open</t>
        </is>
      </c>
      <c r="M2070">
        <f>VLOOKUP(H2070,'Stage Order'!$A$2:$B$8,2,FALSE)</f>
        <v/>
      </c>
      <c r="N2070">
        <f>IF(G2070&lt;=1,"1. Under 1 hour",IF(G2070&lt;=24,"2. 1-24 hours",IF(G2070&lt;=72,"3. 1-3 days","4. Over 3 days")))</f>
        <v/>
      </c>
      <c r="O2070">
        <f>TEXT(B2070,"YYYY-MM")</f>
        <v/>
      </c>
    </row>
    <row r="2071">
      <c r="A2071" t="inlineStr">
        <is>
          <t>LD-302069</t>
        </is>
      </c>
      <c r="B2071" t="inlineStr">
        <is>
          <t>2025-11-07 20:41:00</t>
        </is>
      </c>
      <c r="C2071" t="inlineStr">
        <is>
          <t>Paid Search</t>
        </is>
      </c>
      <c r="D2071" t="inlineStr">
        <is>
          <t>Competitive Exam Prep</t>
        </is>
      </c>
      <c r="E2071" t="inlineStr">
        <is>
          <t>North Region</t>
        </is>
      </c>
      <c r="F2071" t="inlineStr">
        <is>
          <t>Rep_01</t>
        </is>
      </c>
      <c r="G2071" t="n">
        <v>1.55</v>
      </c>
      <c r="H2071" t="inlineStr">
        <is>
          <t>Closed</t>
        </is>
      </c>
      <c r="I2071" t="inlineStr">
        <is>
          <t>Won</t>
        </is>
      </c>
      <c r="K2071" t="n">
        <v>1001.55</v>
      </c>
      <c r="L2071" t="inlineStr">
        <is>
          <t>2025-12-26 15:29:30.478677</t>
        </is>
      </c>
      <c r="M2071">
        <f>VLOOKUP(H2071,'Stage Order'!$A$2:$B$8,2,FALSE)</f>
        <v/>
      </c>
      <c r="N2071">
        <f>IF(G2071&lt;=1,"1. Under 1 hour",IF(G2071&lt;=24,"2. 1-24 hours",IF(G2071&lt;=72,"3. 1-3 days","4. Over 3 days")))</f>
        <v/>
      </c>
      <c r="O2071">
        <f>TEXT(B2071,"YYYY-MM")</f>
        <v/>
      </c>
    </row>
    <row r="2072">
      <c r="A2072" t="inlineStr">
        <is>
          <t>LD-302070</t>
        </is>
      </c>
      <c r="B2072" t="inlineStr">
        <is>
          <t>2025-07-16 20:44:00</t>
        </is>
      </c>
      <c r="C2072" t="inlineStr">
        <is>
          <t>Social Media</t>
        </is>
      </c>
      <c r="D2072" t="inlineStr">
        <is>
          <t>Coding for Kids</t>
        </is>
      </c>
      <c r="E2072" t="inlineStr">
        <is>
          <t>South Region</t>
        </is>
      </c>
      <c r="F2072" t="inlineStr">
        <is>
          <t>Rep_07</t>
        </is>
      </c>
      <c r="G2072" t="n">
        <v>3.14</v>
      </c>
      <c r="H2072" t="inlineStr">
        <is>
          <t>Contacted</t>
        </is>
      </c>
      <c r="I2072" t="inlineStr">
        <is>
          <t>Open</t>
        </is>
      </c>
      <c r="M2072">
        <f>VLOOKUP(H2072,'Stage Order'!$A$2:$B$8,2,FALSE)</f>
        <v/>
      </c>
      <c r="N2072">
        <f>IF(G2072&lt;=1,"1. Under 1 hour",IF(G2072&lt;=24,"2. 1-24 hours",IF(G2072&lt;=72,"3. 1-3 days","4. Over 3 days")))</f>
        <v/>
      </c>
      <c r="O2072">
        <f>TEXT(B2072,"YYYY-MM")</f>
        <v/>
      </c>
    </row>
    <row r="2073">
      <c r="A2073" t="inlineStr">
        <is>
          <t>LD-302071</t>
        </is>
      </c>
      <c r="B2073" t="inlineStr">
        <is>
          <t>2025-02-04 09:25:00</t>
        </is>
      </c>
      <c r="C2073" t="inlineStr">
        <is>
          <t>Social Media</t>
        </is>
      </c>
      <c r="D2073" t="inlineStr">
        <is>
          <t>Coding for Kids</t>
        </is>
      </c>
      <c r="E2073" t="inlineStr">
        <is>
          <t>South Region</t>
        </is>
      </c>
      <c r="F2073" t="inlineStr">
        <is>
          <t>Rep_02</t>
        </is>
      </c>
      <c r="G2073" t="n">
        <v>8.140000000000001</v>
      </c>
      <c r="H2073" t="inlineStr">
        <is>
          <t>Contacted</t>
        </is>
      </c>
      <c r="I2073" t="inlineStr">
        <is>
          <t>Open</t>
        </is>
      </c>
      <c r="M2073">
        <f>VLOOKUP(H2073,'Stage Order'!$A$2:$B$8,2,FALSE)</f>
        <v/>
      </c>
      <c r="N2073">
        <f>IF(G2073&lt;=1,"1. Under 1 hour",IF(G2073&lt;=24,"2. 1-24 hours",IF(G2073&lt;=72,"3. 1-3 days","4. Over 3 days")))</f>
        <v/>
      </c>
      <c r="O2073">
        <f>TEXT(B2073,"YYYY-MM")</f>
        <v/>
      </c>
    </row>
    <row r="2074">
      <c r="A2074" t="inlineStr">
        <is>
          <t>LD-302072</t>
        </is>
      </c>
      <c r="B2074" t="inlineStr">
        <is>
          <t>2025-09-09 20:19:00</t>
        </is>
      </c>
      <c r="C2074" t="inlineStr">
        <is>
          <t>Cold Outreach</t>
        </is>
      </c>
      <c r="D2074" t="inlineStr">
        <is>
          <t>Language Learning</t>
        </is>
      </c>
      <c r="E2074" t="inlineStr">
        <is>
          <t>North Region</t>
        </is>
      </c>
      <c r="F2074" t="inlineStr">
        <is>
          <t>Rep_11</t>
        </is>
      </c>
      <c r="G2074" t="n">
        <v>7.24</v>
      </c>
      <c r="H2074" t="inlineStr">
        <is>
          <t>Contacted</t>
        </is>
      </c>
      <c r="I2074" t="inlineStr">
        <is>
          <t>Open</t>
        </is>
      </c>
      <c r="M2074">
        <f>VLOOKUP(H2074,'Stage Order'!$A$2:$B$8,2,FALSE)</f>
        <v/>
      </c>
      <c r="N2074">
        <f>IF(G2074&lt;=1,"1. Under 1 hour",IF(G2074&lt;=24,"2. 1-24 hours",IF(G2074&lt;=72,"3. 1-3 days","4. Over 3 days")))</f>
        <v/>
      </c>
      <c r="O2074">
        <f>TEXT(B2074,"YYYY-MM")</f>
        <v/>
      </c>
    </row>
    <row r="2075">
      <c r="A2075" t="inlineStr">
        <is>
          <t>LD-302073</t>
        </is>
      </c>
      <c r="B2075" t="inlineStr">
        <is>
          <t>2026-04-20 18:10:00</t>
        </is>
      </c>
      <c r="C2075" t="inlineStr">
        <is>
          <t>Organic Search</t>
        </is>
      </c>
      <c r="D2075" t="inlineStr">
        <is>
          <t>Study Abroad Prep</t>
        </is>
      </c>
      <c r="E2075" t="inlineStr">
        <is>
          <t>East Region</t>
        </is>
      </c>
      <c r="F2075" t="inlineStr">
        <is>
          <t>Rep_14</t>
        </is>
      </c>
      <c r="G2075" t="n">
        <v>3.52</v>
      </c>
      <c r="H2075" t="inlineStr">
        <is>
          <t>Contacted</t>
        </is>
      </c>
      <c r="I2075" t="inlineStr">
        <is>
          <t>Open</t>
        </is>
      </c>
      <c r="M2075">
        <f>VLOOKUP(H2075,'Stage Order'!$A$2:$B$8,2,FALSE)</f>
        <v/>
      </c>
      <c r="N2075">
        <f>IF(G2075&lt;=1,"1. Under 1 hour",IF(G2075&lt;=24,"2. 1-24 hours",IF(G2075&lt;=72,"3. 1-3 days","4. Over 3 days")))</f>
        <v/>
      </c>
      <c r="O2075">
        <f>TEXT(B2075,"YYYY-MM")</f>
        <v/>
      </c>
    </row>
    <row r="2076">
      <c r="A2076" t="inlineStr">
        <is>
          <t>LD-302074</t>
        </is>
      </c>
      <c r="B2076" t="inlineStr">
        <is>
          <t>2025-10-05 09:52:00</t>
        </is>
      </c>
      <c r="C2076" t="inlineStr">
        <is>
          <t>Organic Search</t>
        </is>
      </c>
      <c r="D2076" t="inlineStr">
        <is>
          <t>Competitive Exam Prep</t>
        </is>
      </c>
      <c r="E2076" t="inlineStr">
        <is>
          <t>East Region</t>
        </is>
      </c>
      <c r="F2076" t="inlineStr">
        <is>
          <t>Rep_14</t>
        </is>
      </c>
      <c r="G2076" t="n">
        <v>7.89</v>
      </c>
      <c r="H2076" t="inlineStr">
        <is>
          <t>Contacted</t>
        </is>
      </c>
      <c r="I2076" t="inlineStr">
        <is>
          <t>Open</t>
        </is>
      </c>
      <c r="M2076">
        <f>VLOOKUP(H2076,'Stage Order'!$A$2:$B$8,2,FALSE)</f>
        <v/>
      </c>
      <c r="N2076">
        <f>IF(G2076&lt;=1,"1. Under 1 hour",IF(G2076&lt;=24,"2. 1-24 hours",IF(G2076&lt;=72,"3. 1-3 days","4. Over 3 days")))</f>
        <v/>
      </c>
      <c r="O2076">
        <f>TEXT(B2076,"YYYY-MM")</f>
        <v/>
      </c>
    </row>
    <row r="2077">
      <c r="A2077" t="inlineStr">
        <is>
          <t>LD-302075</t>
        </is>
      </c>
      <c r="B2077" t="inlineStr">
        <is>
          <t>2025-10-01 14:53:00</t>
        </is>
      </c>
      <c r="C2077" t="inlineStr">
        <is>
          <t>Organic Search</t>
        </is>
      </c>
      <c r="D2077" t="inlineStr">
        <is>
          <t>Competitive Exam Prep</t>
        </is>
      </c>
      <c r="E2077" t="inlineStr">
        <is>
          <t>International</t>
        </is>
      </c>
      <c r="F2077" t="inlineStr">
        <is>
          <t>Rep_05</t>
        </is>
      </c>
      <c r="G2077" t="n">
        <v>6.32</v>
      </c>
      <c r="H2077" t="inlineStr">
        <is>
          <t>Lead</t>
        </is>
      </c>
      <c r="I2077" t="inlineStr">
        <is>
          <t>Open</t>
        </is>
      </c>
      <c r="M2077">
        <f>VLOOKUP(H2077,'Stage Order'!$A$2:$B$8,2,FALSE)</f>
        <v/>
      </c>
      <c r="N2077">
        <f>IF(G2077&lt;=1,"1. Under 1 hour",IF(G2077&lt;=24,"2. 1-24 hours",IF(G2077&lt;=72,"3. 1-3 days","4. Over 3 days")))</f>
        <v/>
      </c>
      <c r="O2077">
        <f>TEXT(B2077,"YYYY-MM")</f>
        <v/>
      </c>
    </row>
    <row r="2078">
      <c r="A2078" t="inlineStr">
        <is>
          <t>LD-302076</t>
        </is>
      </c>
      <c r="B2078" t="inlineStr">
        <is>
          <t>2025-11-15 19:44:00</t>
        </is>
      </c>
      <c r="C2078" t="inlineStr">
        <is>
          <t>Referral</t>
        </is>
      </c>
      <c r="D2078" t="inlineStr">
        <is>
          <t>Coding for Kids</t>
        </is>
      </c>
      <c r="E2078" t="inlineStr">
        <is>
          <t>South Region</t>
        </is>
      </c>
      <c r="F2078" t="inlineStr">
        <is>
          <t>Rep_07</t>
        </is>
      </c>
      <c r="G2078" t="n">
        <v>2.41</v>
      </c>
      <c r="H2078" t="inlineStr">
        <is>
          <t>Closed</t>
        </is>
      </c>
      <c r="I2078" t="inlineStr">
        <is>
          <t>Won</t>
        </is>
      </c>
      <c r="K2078" t="n">
        <v>583.97</v>
      </c>
      <c r="L2078" t="inlineStr">
        <is>
          <t>2025-12-12 15:06:40.958273</t>
        </is>
      </c>
      <c r="M2078">
        <f>VLOOKUP(H2078,'Stage Order'!$A$2:$B$8,2,FALSE)</f>
        <v/>
      </c>
      <c r="N2078">
        <f>IF(G2078&lt;=1,"1. Under 1 hour",IF(G2078&lt;=24,"2. 1-24 hours",IF(G2078&lt;=72,"3. 1-3 days","4. Over 3 days")))</f>
        <v/>
      </c>
      <c r="O2078">
        <f>TEXT(B2078,"YYYY-MM")</f>
        <v/>
      </c>
    </row>
    <row r="2079">
      <c r="A2079" t="inlineStr">
        <is>
          <t>LD-302077</t>
        </is>
      </c>
      <c r="B2079" t="inlineStr">
        <is>
          <t>2025-12-01 09:33:00</t>
        </is>
      </c>
      <c r="C2079" t="inlineStr">
        <is>
          <t>Webinar</t>
        </is>
      </c>
      <c r="D2079" t="inlineStr">
        <is>
          <t>Competitive Exam Prep</t>
        </is>
      </c>
      <c r="E2079" t="inlineStr">
        <is>
          <t>West Region</t>
        </is>
      </c>
      <c r="F2079" t="inlineStr">
        <is>
          <t>Rep_03</t>
        </is>
      </c>
      <c r="G2079" t="n">
        <v>1.58</v>
      </c>
      <c r="H2079" t="inlineStr">
        <is>
          <t>Proposal Sent</t>
        </is>
      </c>
      <c r="I2079" t="inlineStr">
        <is>
          <t>Lost</t>
        </is>
      </c>
      <c r="J2079" t="inlineStr">
        <is>
          <t>Went With Competitor</t>
        </is>
      </c>
      <c r="K2079" t="n">
        <v>1173.09</v>
      </c>
      <c r="L2079" t="inlineStr">
        <is>
          <t>2026-01-06 16:12:19.779831</t>
        </is>
      </c>
      <c r="M2079">
        <f>VLOOKUP(H2079,'Stage Order'!$A$2:$B$8,2,FALSE)</f>
        <v/>
      </c>
      <c r="N2079">
        <f>IF(G2079&lt;=1,"1. Under 1 hour",IF(G2079&lt;=24,"2. 1-24 hours",IF(G2079&lt;=72,"3. 1-3 days","4. Over 3 days")))</f>
        <v/>
      </c>
      <c r="O2079">
        <f>TEXT(B2079,"YYYY-MM")</f>
        <v/>
      </c>
    </row>
    <row r="2080">
      <c r="A2080" t="inlineStr">
        <is>
          <t>LD-302078</t>
        </is>
      </c>
      <c r="B2080" t="inlineStr">
        <is>
          <t>2026-01-22 17:56:00</t>
        </is>
      </c>
      <c r="C2080" t="inlineStr">
        <is>
          <t>Referral</t>
        </is>
      </c>
      <c r="D2080" t="inlineStr">
        <is>
          <t>K-12 Math</t>
        </is>
      </c>
      <c r="E2080" t="inlineStr">
        <is>
          <t>West Region</t>
        </is>
      </c>
      <c r="F2080" t="inlineStr">
        <is>
          <t>Rep_13</t>
        </is>
      </c>
      <c r="G2080" t="n">
        <v>2.99</v>
      </c>
      <c r="H2080" t="inlineStr">
        <is>
          <t>Contacted</t>
        </is>
      </c>
      <c r="I2080" t="inlineStr">
        <is>
          <t>Open</t>
        </is>
      </c>
      <c r="M2080">
        <f>VLOOKUP(H2080,'Stage Order'!$A$2:$B$8,2,FALSE)</f>
        <v/>
      </c>
      <c r="N2080">
        <f>IF(G2080&lt;=1,"1. Under 1 hour",IF(G2080&lt;=24,"2. 1-24 hours",IF(G2080&lt;=72,"3. 1-3 days","4. Over 3 days")))</f>
        <v/>
      </c>
      <c r="O2080">
        <f>TEXT(B2080,"YYYY-MM")</f>
        <v/>
      </c>
    </row>
    <row r="2081">
      <c r="A2081" t="inlineStr">
        <is>
          <t>LD-302079</t>
        </is>
      </c>
      <c r="B2081" t="inlineStr">
        <is>
          <t>2025-05-16 18:21:00</t>
        </is>
      </c>
      <c r="C2081" t="inlineStr">
        <is>
          <t>Social Media</t>
        </is>
      </c>
      <c r="D2081" t="inlineStr">
        <is>
          <t>Coding for Kids</t>
        </is>
      </c>
      <c r="E2081" t="inlineStr">
        <is>
          <t>North Region</t>
        </is>
      </c>
      <c r="F2081" t="inlineStr">
        <is>
          <t>Rep_11</t>
        </is>
      </c>
      <c r="G2081" t="n">
        <v>2</v>
      </c>
      <c r="H2081" t="inlineStr">
        <is>
          <t>Negotiation</t>
        </is>
      </c>
      <c r="I2081" t="inlineStr">
        <is>
          <t>Lost</t>
        </is>
      </c>
      <c r="J2081" t="inlineStr">
        <is>
          <t>Price Objection</t>
        </is>
      </c>
      <c r="K2081" t="n">
        <v>742.23</v>
      </c>
      <c r="L2081" t="inlineStr">
        <is>
          <t>2025-06-29 03:40:50.665109</t>
        </is>
      </c>
      <c r="M2081">
        <f>VLOOKUP(H2081,'Stage Order'!$A$2:$B$8,2,FALSE)</f>
        <v/>
      </c>
      <c r="N2081">
        <f>IF(G2081&lt;=1,"1. Under 1 hour",IF(G2081&lt;=24,"2. 1-24 hours",IF(G2081&lt;=72,"3. 1-3 days","4. Over 3 days")))</f>
        <v/>
      </c>
      <c r="O2081">
        <f>TEXT(B2081,"YYYY-MM")</f>
        <v/>
      </c>
    </row>
    <row r="2082">
      <c r="A2082" t="inlineStr">
        <is>
          <t>LD-302080</t>
        </is>
      </c>
      <c r="B2082" t="inlineStr">
        <is>
          <t>2025-03-08 19:16:00</t>
        </is>
      </c>
      <c r="C2082" t="inlineStr">
        <is>
          <t>Paid Search</t>
        </is>
      </c>
      <c r="D2082" t="inlineStr">
        <is>
          <t>Coding for Kids</t>
        </is>
      </c>
      <c r="E2082" t="inlineStr">
        <is>
          <t>North Region</t>
        </is>
      </c>
      <c r="F2082" t="inlineStr">
        <is>
          <t>Rep_01</t>
        </is>
      </c>
      <c r="G2082" t="n">
        <v>3.65</v>
      </c>
      <c r="H2082" t="inlineStr">
        <is>
          <t>Contacted</t>
        </is>
      </c>
      <c r="I2082" t="inlineStr">
        <is>
          <t>Open</t>
        </is>
      </c>
      <c r="M2082">
        <f>VLOOKUP(H2082,'Stage Order'!$A$2:$B$8,2,FALSE)</f>
        <v/>
      </c>
      <c r="N2082">
        <f>IF(G2082&lt;=1,"1. Under 1 hour",IF(G2082&lt;=24,"2. 1-24 hours",IF(G2082&lt;=72,"3. 1-3 days","4. Over 3 days")))</f>
        <v/>
      </c>
      <c r="O2082">
        <f>TEXT(B2082,"YYYY-MM")</f>
        <v/>
      </c>
    </row>
    <row r="2083">
      <c r="A2083" t="inlineStr">
        <is>
          <t>LD-302081</t>
        </is>
      </c>
      <c r="B2083" t="inlineStr">
        <is>
          <t>2025-01-23 17:29:00</t>
        </is>
      </c>
      <c r="C2083" t="inlineStr">
        <is>
          <t>Paid Search</t>
        </is>
      </c>
      <c r="D2083" t="inlineStr">
        <is>
          <t>Coding for Kids</t>
        </is>
      </c>
      <c r="E2083" t="inlineStr">
        <is>
          <t>International</t>
        </is>
      </c>
      <c r="F2083" t="inlineStr">
        <is>
          <t>Rep_05</t>
        </is>
      </c>
      <c r="G2083" t="n">
        <v>4.53</v>
      </c>
      <c r="H2083" t="inlineStr">
        <is>
          <t>Demo Completed</t>
        </is>
      </c>
      <c r="I2083" t="inlineStr">
        <is>
          <t>Lost</t>
        </is>
      </c>
      <c r="J2083" t="inlineStr">
        <is>
          <t>Price Objection</t>
        </is>
      </c>
      <c r="K2083" t="n">
        <v>725.02</v>
      </c>
      <c r="L2083" t="inlineStr">
        <is>
          <t>2025-03-05 17:53:57.495105</t>
        </is>
      </c>
      <c r="M2083">
        <f>VLOOKUP(H2083,'Stage Order'!$A$2:$B$8,2,FALSE)</f>
        <v/>
      </c>
      <c r="N2083">
        <f>IF(G2083&lt;=1,"1. Under 1 hour",IF(G2083&lt;=24,"2. 1-24 hours",IF(G2083&lt;=72,"3. 1-3 days","4. Over 3 days")))</f>
        <v/>
      </c>
      <c r="O2083">
        <f>TEXT(B2083,"YYYY-MM")</f>
        <v/>
      </c>
    </row>
    <row r="2084">
      <c r="A2084" t="inlineStr">
        <is>
          <t>LD-302082</t>
        </is>
      </c>
      <c r="B2084" t="inlineStr">
        <is>
          <t>2025-08-01 20:10:00</t>
        </is>
      </c>
      <c r="C2084" t="inlineStr">
        <is>
          <t>Referral</t>
        </is>
      </c>
      <c r="D2084" t="inlineStr">
        <is>
          <t>Competitive Exam Prep</t>
        </is>
      </c>
      <c r="E2084" t="inlineStr">
        <is>
          <t>West Region</t>
        </is>
      </c>
      <c r="F2084" t="inlineStr">
        <is>
          <t>Rep_13</t>
        </is>
      </c>
      <c r="G2084" t="n">
        <v>0.62</v>
      </c>
      <c r="H2084" t="inlineStr">
        <is>
          <t>Negotiation</t>
        </is>
      </c>
      <c r="I2084" t="inlineStr">
        <is>
          <t>Lost</t>
        </is>
      </c>
      <c r="J2084" t="inlineStr">
        <is>
          <t>Price Objection</t>
        </is>
      </c>
      <c r="K2084" t="n">
        <v>953.8200000000001</v>
      </c>
      <c r="L2084" t="inlineStr">
        <is>
          <t>2025-09-27 09:57:31.558992</t>
        </is>
      </c>
      <c r="M2084">
        <f>VLOOKUP(H2084,'Stage Order'!$A$2:$B$8,2,FALSE)</f>
        <v/>
      </c>
      <c r="N2084">
        <f>IF(G2084&lt;=1,"1. Under 1 hour",IF(G2084&lt;=24,"2. 1-24 hours",IF(G2084&lt;=72,"3. 1-3 days","4. Over 3 days")))</f>
        <v/>
      </c>
      <c r="O2084">
        <f>TEXT(B2084,"YYYY-MM")</f>
        <v/>
      </c>
    </row>
    <row r="2085">
      <c r="A2085" t="inlineStr">
        <is>
          <t>LD-302083</t>
        </is>
      </c>
      <c r="B2085" t="inlineStr">
        <is>
          <t>2025-03-21 15:29:00</t>
        </is>
      </c>
      <c r="C2085" t="inlineStr">
        <is>
          <t>Organic Search</t>
        </is>
      </c>
      <c r="D2085" t="inlineStr">
        <is>
          <t>Competitive Exam Prep</t>
        </is>
      </c>
      <c r="E2085" t="inlineStr">
        <is>
          <t>West Region</t>
        </is>
      </c>
      <c r="F2085" t="inlineStr">
        <is>
          <t>Rep_13</t>
        </is>
      </c>
      <c r="G2085" t="n">
        <v>1.35</v>
      </c>
      <c r="H2085" t="inlineStr">
        <is>
          <t>Contacted</t>
        </is>
      </c>
      <c r="I2085" t="inlineStr">
        <is>
          <t>Open</t>
        </is>
      </c>
      <c r="M2085">
        <f>VLOOKUP(H2085,'Stage Order'!$A$2:$B$8,2,FALSE)</f>
        <v/>
      </c>
      <c r="N2085">
        <f>IF(G2085&lt;=1,"1. Under 1 hour",IF(G2085&lt;=24,"2. 1-24 hours",IF(G2085&lt;=72,"3. 1-3 days","4. Over 3 days")))</f>
        <v/>
      </c>
      <c r="O2085">
        <f>TEXT(B2085,"YYYY-MM")</f>
        <v/>
      </c>
    </row>
    <row r="2086">
      <c r="A2086" t="inlineStr">
        <is>
          <t>LD-302084</t>
        </is>
      </c>
      <c r="B2086" t="inlineStr">
        <is>
          <t>2025-06-13 18:51:00</t>
        </is>
      </c>
      <c r="C2086" t="inlineStr">
        <is>
          <t>Social Media</t>
        </is>
      </c>
      <c r="D2086" t="inlineStr">
        <is>
          <t>Coding for Kids</t>
        </is>
      </c>
      <c r="E2086" t="inlineStr">
        <is>
          <t>North Region</t>
        </is>
      </c>
      <c r="F2086" t="inlineStr">
        <is>
          <t>Rep_06</t>
        </is>
      </c>
      <c r="G2086" t="n">
        <v>1.96</v>
      </c>
      <c r="H2086" t="inlineStr">
        <is>
          <t>Contacted</t>
        </is>
      </c>
      <c r="I2086" t="inlineStr">
        <is>
          <t>Open</t>
        </is>
      </c>
      <c r="M2086">
        <f>VLOOKUP(H2086,'Stage Order'!$A$2:$B$8,2,FALSE)</f>
        <v/>
      </c>
      <c r="N2086">
        <f>IF(G2086&lt;=1,"1. Under 1 hour",IF(G2086&lt;=24,"2. 1-24 hours",IF(G2086&lt;=72,"3. 1-3 days","4. Over 3 days")))</f>
        <v/>
      </c>
      <c r="O2086">
        <f>TEXT(B2086,"YYYY-MM")</f>
        <v/>
      </c>
    </row>
    <row r="2087">
      <c r="A2087" t="inlineStr">
        <is>
          <t>LD-302085</t>
        </is>
      </c>
      <c r="B2087" t="inlineStr">
        <is>
          <t>2025-05-15 08:10:00</t>
        </is>
      </c>
      <c r="C2087" t="inlineStr">
        <is>
          <t>Organic Search</t>
        </is>
      </c>
      <c r="D2087" t="inlineStr">
        <is>
          <t>Study Abroad Prep</t>
        </is>
      </c>
      <c r="E2087" t="inlineStr">
        <is>
          <t>North Region</t>
        </is>
      </c>
      <c r="F2087" t="inlineStr">
        <is>
          <t>Rep_01</t>
        </is>
      </c>
      <c r="G2087" t="n">
        <v>6.11</v>
      </c>
      <c r="H2087" t="inlineStr">
        <is>
          <t>Contacted</t>
        </is>
      </c>
      <c r="I2087" t="inlineStr">
        <is>
          <t>Open</t>
        </is>
      </c>
      <c r="M2087">
        <f>VLOOKUP(H2087,'Stage Order'!$A$2:$B$8,2,FALSE)</f>
        <v/>
      </c>
      <c r="N2087">
        <f>IF(G2087&lt;=1,"1. Under 1 hour",IF(G2087&lt;=24,"2. 1-24 hours",IF(G2087&lt;=72,"3. 1-3 days","4. Over 3 days")))</f>
        <v/>
      </c>
      <c r="O2087">
        <f>TEXT(B2087,"YYYY-MM")</f>
        <v/>
      </c>
    </row>
    <row r="2088">
      <c r="A2088" t="inlineStr">
        <is>
          <t>LD-302086</t>
        </is>
      </c>
      <c r="B2088" t="inlineStr">
        <is>
          <t>2025-10-06 09:23:00</t>
        </is>
      </c>
      <c r="C2088" t="inlineStr">
        <is>
          <t>Paid Search</t>
        </is>
      </c>
      <c r="D2088" t="inlineStr">
        <is>
          <t>Language Learning</t>
        </is>
      </c>
      <c r="E2088" t="inlineStr">
        <is>
          <t>South Region</t>
        </is>
      </c>
      <c r="F2088" t="inlineStr">
        <is>
          <t>Rep_02</t>
        </is>
      </c>
      <c r="G2088" t="n">
        <v>0.66</v>
      </c>
      <c r="H2088" t="inlineStr">
        <is>
          <t>Proposal Sent</t>
        </is>
      </c>
      <c r="I2088" t="inlineStr">
        <is>
          <t>Lost</t>
        </is>
      </c>
      <c r="J2088" t="inlineStr">
        <is>
          <t>Bad Timing</t>
        </is>
      </c>
      <c r="K2088" t="n">
        <v>409.22</v>
      </c>
      <c r="L2088" t="inlineStr">
        <is>
          <t>2025-11-24 20:23:02.616588</t>
        </is>
      </c>
      <c r="M2088">
        <f>VLOOKUP(H2088,'Stage Order'!$A$2:$B$8,2,FALSE)</f>
        <v/>
      </c>
      <c r="N2088">
        <f>IF(G2088&lt;=1,"1. Under 1 hour",IF(G2088&lt;=24,"2. 1-24 hours",IF(G2088&lt;=72,"3. 1-3 days","4. Over 3 days")))</f>
        <v/>
      </c>
      <c r="O2088">
        <f>TEXT(B2088,"YYYY-MM")</f>
        <v/>
      </c>
    </row>
    <row r="2089">
      <c r="A2089" t="inlineStr">
        <is>
          <t>LD-302087</t>
        </is>
      </c>
      <c r="B2089" t="inlineStr">
        <is>
          <t>2025-04-02 14:30:00</t>
        </is>
      </c>
      <c r="C2089" t="inlineStr">
        <is>
          <t>Partner Channel</t>
        </is>
      </c>
      <c r="D2089" t="inlineStr">
        <is>
          <t>K-12 Math</t>
        </is>
      </c>
      <c r="E2089" t="inlineStr">
        <is>
          <t>West Region</t>
        </is>
      </c>
      <c r="F2089" t="inlineStr">
        <is>
          <t>Rep_03</t>
        </is>
      </c>
      <c r="G2089" t="n">
        <v>2.48</v>
      </c>
      <c r="H2089" t="inlineStr">
        <is>
          <t>Contacted</t>
        </is>
      </c>
      <c r="I2089" t="inlineStr">
        <is>
          <t>Open</t>
        </is>
      </c>
      <c r="M2089">
        <f>VLOOKUP(H2089,'Stage Order'!$A$2:$B$8,2,FALSE)</f>
        <v/>
      </c>
      <c r="N2089">
        <f>IF(G2089&lt;=1,"1. Under 1 hour",IF(G2089&lt;=24,"2. 1-24 hours",IF(G2089&lt;=72,"3. 1-3 days","4. Over 3 days")))</f>
        <v/>
      </c>
      <c r="O2089">
        <f>TEXT(B2089,"YYYY-MM")</f>
        <v/>
      </c>
    </row>
    <row r="2090">
      <c r="A2090" t="inlineStr">
        <is>
          <t>LD-302088</t>
        </is>
      </c>
      <c r="B2090" t="inlineStr">
        <is>
          <t>2025-12-08 10:00:00</t>
        </is>
      </c>
      <c r="C2090" t="inlineStr">
        <is>
          <t>Organic Search</t>
        </is>
      </c>
      <c r="D2090" t="inlineStr">
        <is>
          <t>K-12 Math</t>
        </is>
      </c>
      <c r="E2090" t="inlineStr">
        <is>
          <t>North Region</t>
        </is>
      </c>
      <c r="F2090" t="inlineStr">
        <is>
          <t>Rep_06</t>
        </is>
      </c>
      <c r="G2090" t="n">
        <v>2.88</v>
      </c>
      <c r="H2090" t="inlineStr">
        <is>
          <t>Contacted</t>
        </is>
      </c>
      <c r="I2090" t="inlineStr">
        <is>
          <t>Open</t>
        </is>
      </c>
      <c r="M2090">
        <f>VLOOKUP(H2090,'Stage Order'!$A$2:$B$8,2,FALSE)</f>
        <v/>
      </c>
      <c r="N2090">
        <f>IF(G2090&lt;=1,"1. Under 1 hour",IF(G2090&lt;=24,"2. 1-24 hours",IF(G2090&lt;=72,"3. 1-3 days","4. Over 3 days")))</f>
        <v/>
      </c>
      <c r="O2090">
        <f>TEXT(B2090,"YYYY-MM")</f>
        <v/>
      </c>
    </row>
    <row r="2091">
      <c r="A2091" t="inlineStr">
        <is>
          <t>LD-302089</t>
        </is>
      </c>
      <c r="B2091" t="inlineStr">
        <is>
          <t>2026-01-26 09:15:00</t>
        </is>
      </c>
      <c r="C2091" t="inlineStr">
        <is>
          <t>Webinar</t>
        </is>
      </c>
      <c r="D2091" t="inlineStr">
        <is>
          <t>Language Learning</t>
        </is>
      </c>
      <c r="E2091" t="inlineStr">
        <is>
          <t>South Region</t>
        </is>
      </c>
      <c r="F2091" t="inlineStr">
        <is>
          <t>Rep_12</t>
        </is>
      </c>
      <c r="G2091" t="n">
        <v>1.37</v>
      </c>
      <c r="H2091" t="inlineStr">
        <is>
          <t>Contacted</t>
        </is>
      </c>
      <c r="I2091" t="inlineStr">
        <is>
          <t>Open</t>
        </is>
      </c>
      <c r="M2091">
        <f>VLOOKUP(H2091,'Stage Order'!$A$2:$B$8,2,FALSE)</f>
        <v/>
      </c>
      <c r="N2091">
        <f>IF(G2091&lt;=1,"1. Under 1 hour",IF(G2091&lt;=24,"2. 1-24 hours",IF(G2091&lt;=72,"3. 1-3 days","4. Over 3 days")))</f>
        <v/>
      </c>
      <c r="O2091">
        <f>TEXT(B2091,"YYYY-MM")</f>
        <v/>
      </c>
    </row>
    <row r="2092">
      <c r="A2092" t="inlineStr">
        <is>
          <t>LD-302090</t>
        </is>
      </c>
      <c r="B2092" t="inlineStr">
        <is>
          <t>2025-12-26 20:27:00</t>
        </is>
      </c>
      <c r="C2092" t="inlineStr">
        <is>
          <t>Cold Outreach</t>
        </is>
      </c>
      <c r="D2092" t="inlineStr">
        <is>
          <t>K-12 Math</t>
        </is>
      </c>
      <c r="E2092" t="inlineStr">
        <is>
          <t>North Region</t>
        </is>
      </c>
      <c r="F2092" t="inlineStr">
        <is>
          <t>Rep_01</t>
        </is>
      </c>
      <c r="G2092" t="n">
        <v>1.6</v>
      </c>
      <c r="H2092" t="inlineStr">
        <is>
          <t>Lead</t>
        </is>
      </c>
      <c r="I2092" t="inlineStr">
        <is>
          <t>Open</t>
        </is>
      </c>
      <c r="M2092">
        <f>VLOOKUP(H2092,'Stage Order'!$A$2:$B$8,2,FALSE)</f>
        <v/>
      </c>
      <c r="N2092">
        <f>IF(G2092&lt;=1,"1. Under 1 hour",IF(G2092&lt;=24,"2. 1-24 hours",IF(G2092&lt;=72,"3. 1-3 days","4. Over 3 days")))</f>
        <v/>
      </c>
      <c r="O2092">
        <f>TEXT(B2092,"YYYY-MM")</f>
        <v/>
      </c>
    </row>
    <row r="2093">
      <c r="A2093" t="inlineStr">
        <is>
          <t>LD-302091</t>
        </is>
      </c>
      <c r="B2093" t="inlineStr">
        <is>
          <t>2026-03-19 13:48:00</t>
        </is>
      </c>
      <c r="C2093" t="inlineStr">
        <is>
          <t>Organic Search</t>
        </is>
      </c>
      <c r="D2093" t="inlineStr">
        <is>
          <t>Competitive Exam Prep</t>
        </is>
      </c>
      <c r="E2093" t="inlineStr">
        <is>
          <t>North Region</t>
        </is>
      </c>
      <c r="F2093" t="inlineStr">
        <is>
          <t>Rep_01</t>
        </is>
      </c>
      <c r="G2093" t="n">
        <v>1.23</v>
      </c>
      <c r="H2093" t="inlineStr">
        <is>
          <t>Contacted</t>
        </is>
      </c>
      <c r="I2093" t="inlineStr">
        <is>
          <t>Open</t>
        </is>
      </c>
      <c r="M2093">
        <f>VLOOKUP(H2093,'Stage Order'!$A$2:$B$8,2,FALSE)</f>
        <v/>
      </c>
      <c r="N2093">
        <f>IF(G2093&lt;=1,"1. Under 1 hour",IF(G2093&lt;=24,"2. 1-24 hours",IF(G2093&lt;=72,"3. 1-3 days","4. Over 3 days")))</f>
        <v/>
      </c>
      <c r="O2093">
        <f>TEXT(B2093,"YYYY-MM")</f>
        <v/>
      </c>
    </row>
    <row r="2094">
      <c r="A2094" t="inlineStr">
        <is>
          <t>LD-302092</t>
        </is>
      </c>
      <c r="B2094" t="inlineStr">
        <is>
          <t>2025-01-29 13:21:00</t>
        </is>
      </c>
      <c r="C2094" t="inlineStr">
        <is>
          <t>Partner Channel</t>
        </is>
      </c>
      <c r="D2094" t="inlineStr">
        <is>
          <t>Language Learning</t>
        </is>
      </c>
      <c r="E2094" t="inlineStr">
        <is>
          <t>North Region</t>
        </is>
      </c>
      <c r="F2094" t="inlineStr">
        <is>
          <t>Rep_06</t>
        </is>
      </c>
      <c r="G2094" t="n">
        <v>2.59</v>
      </c>
      <c r="H2094" t="inlineStr">
        <is>
          <t>Proposal Sent</t>
        </is>
      </c>
      <c r="I2094" t="inlineStr">
        <is>
          <t>Lost</t>
        </is>
      </c>
      <c r="J2094" t="inlineStr">
        <is>
          <t>Went With Competitor</t>
        </is>
      </c>
      <c r="K2094" t="n">
        <v>389.38</v>
      </c>
      <c r="L2094" t="inlineStr">
        <is>
          <t>2025-02-25 01:18:21.353706</t>
        </is>
      </c>
      <c r="M2094">
        <f>VLOOKUP(H2094,'Stage Order'!$A$2:$B$8,2,FALSE)</f>
        <v/>
      </c>
      <c r="N2094">
        <f>IF(G2094&lt;=1,"1. Under 1 hour",IF(G2094&lt;=24,"2. 1-24 hours",IF(G2094&lt;=72,"3. 1-3 days","4. Over 3 days")))</f>
        <v/>
      </c>
      <c r="O2094">
        <f>TEXT(B2094,"YYYY-MM")</f>
        <v/>
      </c>
    </row>
    <row r="2095">
      <c r="A2095" t="inlineStr">
        <is>
          <t>LD-302093</t>
        </is>
      </c>
      <c r="B2095" t="inlineStr">
        <is>
          <t>2025-07-30 17:22:00</t>
        </is>
      </c>
      <c r="C2095" t="inlineStr">
        <is>
          <t>Organic Search</t>
        </is>
      </c>
      <c r="D2095" t="inlineStr">
        <is>
          <t>K-12 Math</t>
        </is>
      </c>
      <c r="E2095" t="inlineStr">
        <is>
          <t>West Region</t>
        </is>
      </c>
      <c r="F2095" t="inlineStr">
        <is>
          <t>Rep_03</t>
        </is>
      </c>
      <c r="G2095" t="n">
        <v>7.53</v>
      </c>
      <c r="H2095" t="inlineStr">
        <is>
          <t>Lead</t>
        </is>
      </c>
      <c r="I2095" t="inlineStr">
        <is>
          <t>Open</t>
        </is>
      </c>
      <c r="M2095">
        <f>VLOOKUP(H2095,'Stage Order'!$A$2:$B$8,2,FALSE)</f>
        <v/>
      </c>
      <c r="N2095">
        <f>IF(G2095&lt;=1,"1. Under 1 hour",IF(G2095&lt;=24,"2. 1-24 hours",IF(G2095&lt;=72,"3. 1-3 days","4. Over 3 days")))</f>
        <v/>
      </c>
      <c r="O2095">
        <f>TEXT(B2095,"YYYY-MM")</f>
        <v/>
      </c>
    </row>
    <row r="2096">
      <c r="A2096" t="inlineStr">
        <is>
          <t>LD-302094</t>
        </is>
      </c>
      <c r="B2096" t="inlineStr">
        <is>
          <t>2025-03-20 11:33:00</t>
        </is>
      </c>
      <c r="C2096" t="inlineStr">
        <is>
          <t>Cold Outreach</t>
        </is>
      </c>
      <c r="D2096" t="inlineStr">
        <is>
          <t>K-12 Math</t>
        </is>
      </c>
      <c r="E2096" t="inlineStr">
        <is>
          <t>West Region</t>
        </is>
      </c>
      <c r="F2096" t="inlineStr">
        <is>
          <t>Rep_03</t>
        </is>
      </c>
      <c r="G2096" t="n">
        <v>21.25</v>
      </c>
      <c r="H2096" t="inlineStr">
        <is>
          <t>Lead</t>
        </is>
      </c>
      <c r="I2096" t="inlineStr">
        <is>
          <t>Open</t>
        </is>
      </c>
      <c r="M2096">
        <f>VLOOKUP(H2096,'Stage Order'!$A$2:$B$8,2,FALSE)</f>
        <v/>
      </c>
      <c r="N2096">
        <f>IF(G2096&lt;=1,"1. Under 1 hour",IF(G2096&lt;=24,"2. 1-24 hours",IF(G2096&lt;=72,"3. 1-3 days","4. Over 3 days")))</f>
        <v/>
      </c>
      <c r="O2096">
        <f>TEXT(B2096,"YYYY-MM")</f>
        <v/>
      </c>
    </row>
    <row r="2097">
      <c r="A2097" t="inlineStr">
        <is>
          <t>LD-302095</t>
        </is>
      </c>
      <c r="B2097" t="inlineStr">
        <is>
          <t>2025-04-28 08:47:00</t>
        </is>
      </c>
      <c r="C2097" t="inlineStr">
        <is>
          <t>Organic Search</t>
        </is>
      </c>
      <c r="D2097" t="inlineStr">
        <is>
          <t>Language Learning</t>
        </is>
      </c>
      <c r="E2097" t="inlineStr">
        <is>
          <t>South Region</t>
        </is>
      </c>
      <c r="F2097" t="inlineStr">
        <is>
          <t>Rep_02</t>
        </is>
      </c>
      <c r="G2097" t="n">
        <v>7.48</v>
      </c>
      <c r="H2097" t="inlineStr">
        <is>
          <t>Contacted</t>
        </is>
      </c>
      <c r="I2097" t="inlineStr">
        <is>
          <t>Open</t>
        </is>
      </c>
      <c r="M2097">
        <f>VLOOKUP(H2097,'Stage Order'!$A$2:$B$8,2,FALSE)</f>
        <v/>
      </c>
      <c r="N2097">
        <f>IF(G2097&lt;=1,"1. Under 1 hour",IF(G2097&lt;=24,"2. 1-24 hours",IF(G2097&lt;=72,"3. 1-3 days","4. Over 3 days")))</f>
        <v/>
      </c>
      <c r="O2097">
        <f>TEXT(B2097,"YYYY-MM")</f>
        <v/>
      </c>
    </row>
    <row r="2098">
      <c r="A2098" t="inlineStr">
        <is>
          <t>LD-302096</t>
        </is>
      </c>
      <c r="B2098" t="inlineStr">
        <is>
          <t>2025-05-22 12:17:00</t>
        </is>
      </c>
      <c r="C2098" t="inlineStr">
        <is>
          <t>Partner Channel</t>
        </is>
      </c>
      <c r="D2098" t="inlineStr">
        <is>
          <t>Coding for Kids</t>
        </is>
      </c>
      <c r="E2098" t="inlineStr">
        <is>
          <t>South Region</t>
        </is>
      </c>
      <c r="F2098" t="inlineStr">
        <is>
          <t>Rep_12</t>
        </is>
      </c>
      <c r="G2098" t="n">
        <v>3.3</v>
      </c>
      <c r="H2098" t="inlineStr">
        <is>
          <t>Proposal Sent</t>
        </is>
      </c>
      <c r="I2098" t="inlineStr">
        <is>
          <t>Lost</t>
        </is>
      </c>
      <c r="J2098" t="inlineStr">
        <is>
          <t>Price Objection</t>
        </is>
      </c>
      <c r="K2098" t="n">
        <v>723.98</v>
      </c>
      <c r="L2098" t="inlineStr">
        <is>
          <t>2025-06-29 22:31:35.896098</t>
        </is>
      </c>
      <c r="M2098">
        <f>VLOOKUP(H2098,'Stage Order'!$A$2:$B$8,2,FALSE)</f>
        <v/>
      </c>
      <c r="N2098">
        <f>IF(G2098&lt;=1,"1. Under 1 hour",IF(G2098&lt;=24,"2. 1-24 hours",IF(G2098&lt;=72,"3. 1-3 days","4. Over 3 days")))</f>
        <v/>
      </c>
      <c r="O2098">
        <f>TEXT(B2098,"YYYY-MM")</f>
        <v/>
      </c>
    </row>
    <row r="2099">
      <c r="A2099" t="inlineStr">
        <is>
          <t>LD-302097</t>
        </is>
      </c>
      <c r="B2099" t="inlineStr">
        <is>
          <t>2026-04-30 10:42:00</t>
        </is>
      </c>
      <c r="C2099" t="inlineStr">
        <is>
          <t>Webinar</t>
        </is>
      </c>
      <c r="D2099" t="inlineStr">
        <is>
          <t>Coding for Kids</t>
        </is>
      </c>
      <c r="E2099" t="inlineStr">
        <is>
          <t>North Region</t>
        </is>
      </c>
      <c r="F2099" t="inlineStr">
        <is>
          <t>Rep_06</t>
        </is>
      </c>
      <c r="G2099" t="n">
        <v>0.85</v>
      </c>
      <c r="H2099" t="inlineStr">
        <is>
          <t>Proposal Sent</t>
        </is>
      </c>
      <c r="I2099" t="inlineStr">
        <is>
          <t>Lost</t>
        </is>
      </c>
      <c r="J2099" t="inlineStr">
        <is>
          <t>Price Objection</t>
        </is>
      </c>
      <c r="K2099" t="n">
        <v>570.59</v>
      </c>
      <c r="L2099" t="inlineStr">
        <is>
          <t>2026-06-13 15:31:33.854843</t>
        </is>
      </c>
      <c r="M2099">
        <f>VLOOKUP(H2099,'Stage Order'!$A$2:$B$8,2,FALSE)</f>
        <v/>
      </c>
      <c r="N2099">
        <f>IF(G2099&lt;=1,"1. Under 1 hour",IF(G2099&lt;=24,"2. 1-24 hours",IF(G2099&lt;=72,"3. 1-3 days","4. Over 3 days")))</f>
        <v/>
      </c>
      <c r="O2099">
        <f>TEXT(B2099,"YYYY-MM")</f>
        <v/>
      </c>
    </row>
    <row r="2100">
      <c r="A2100" t="inlineStr">
        <is>
          <t>LD-302098</t>
        </is>
      </c>
      <c r="B2100" t="inlineStr">
        <is>
          <t>2025-08-07 08:41:00</t>
        </is>
      </c>
      <c r="C2100" t="inlineStr">
        <is>
          <t>Referral</t>
        </is>
      </c>
      <c r="D2100" t="inlineStr">
        <is>
          <t>Study Abroad Prep</t>
        </is>
      </c>
      <c r="E2100" t="inlineStr">
        <is>
          <t>East Region</t>
        </is>
      </c>
      <c r="F2100" t="inlineStr">
        <is>
          <t>Rep_09</t>
        </is>
      </c>
      <c r="G2100" t="n">
        <v>3.32</v>
      </c>
      <c r="H2100" t="inlineStr">
        <is>
          <t>Contacted</t>
        </is>
      </c>
      <c r="I2100" t="inlineStr">
        <is>
          <t>Open</t>
        </is>
      </c>
      <c r="M2100">
        <f>VLOOKUP(H2100,'Stage Order'!$A$2:$B$8,2,FALSE)</f>
        <v/>
      </c>
      <c r="N2100">
        <f>IF(G2100&lt;=1,"1. Under 1 hour",IF(G2100&lt;=24,"2. 1-24 hours",IF(G2100&lt;=72,"3. 1-3 days","4. Over 3 days")))</f>
        <v/>
      </c>
      <c r="O2100">
        <f>TEXT(B2100,"YYYY-MM")</f>
        <v/>
      </c>
    </row>
    <row r="2101">
      <c r="A2101" t="inlineStr">
        <is>
          <t>LD-302099</t>
        </is>
      </c>
      <c r="B2101" t="inlineStr">
        <is>
          <t>2026-04-27 18:44:00</t>
        </is>
      </c>
      <c r="C2101" t="inlineStr">
        <is>
          <t>Organic Search</t>
        </is>
      </c>
      <c r="D2101" t="inlineStr">
        <is>
          <t>Competitive Exam Prep</t>
        </is>
      </c>
      <c r="E2101" t="inlineStr">
        <is>
          <t>South Region</t>
        </is>
      </c>
      <c r="F2101" t="inlineStr">
        <is>
          <t>Rep_02</t>
        </is>
      </c>
      <c r="G2101" t="n">
        <v>0.37</v>
      </c>
      <c r="H2101" t="inlineStr">
        <is>
          <t>Contacted</t>
        </is>
      </c>
      <c r="I2101" t="inlineStr">
        <is>
          <t>Open</t>
        </is>
      </c>
      <c r="M2101">
        <f>VLOOKUP(H2101,'Stage Order'!$A$2:$B$8,2,FALSE)</f>
        <v/>
      </c>
      <c r="N2101">
        <f>IF(G2101&lt;=1,"1. Under 1 hour",IF(G2101&lt;=24,"2. 1-24 hours",IF(G2101&lt;=72,"3. 1-3 days","4. Over 3 days")))</f>
        <v/>
      </c>
      <c r="O2101">
        <f>TEXT(B2101,"YYYY-MM")</f>
        <v/>
      </c>
    </row>
    <row r="2102">
      <c r="A2102" t="inlineStr">
        <is>
          <t>LD-302100</t>
        </is>
      </c>
      <c r="B2102" t="inlineStr">
        <is>
          <t>2025-10-09 19:03:00</t>
        </is>
      </c>
      <c r="C2102" t="inlineStr">
        <is>
          <t>Paid Search</t>
        </is>
      </c>
      <c r="D2102" t="inlineStr">
        <is>
          <t>Language Learning</t>
        </is>
      </c>
      <c r="E2102" t="inlineStr">
        <is>
          <t>International</t>
        </is>
      </c>
      <c r="F2102" t="inlineStr">
        <is>
          <t>Rep_05</t>
        </is>
      </c>
      <c r="G2102" t="n">
        <v>3.18</v>
      </c>
      <c r="H2102" t="inlineStr">
        <is>
          <t>Lead</t>
        </is>
      </c>
      <c r="I2102" t="inlineStr">
        <is>
          <t>Open</t>
        </is>
      </c>
      <c r="M2102">
        <f>VLOOKUP(H2102,'Stage Order'!$A$2:$B$8,2,FALSE)</f>
        <v/>
      </c>
      <c r="N2102">
        <f>IF(G2102&lt;=1,"1. Under 1 hour",IF(G2102&lt;=24,"2. 1-24 hours",IF(G2102&lt;=72,"3. 1-3 days","4. Over 3 days")))</f>
        <v/>
      </c>
      <c r="O2102">
        <f>TEXT(B2102,"YYYY-MM")</f>
        <v/>
      </c>
    </row>
    <row r="2103">
      <c r="A2103" t="inlineStr">
        <is>
          <t>LD-302101</t>
        </is>
      </c>
      <c r="B2103" t="inlineStr">
        <is>
          <t>2026-04-06 09:50:00</t>
        </is>
      </c>
      <c r="C2103" t="inlineStr">
        <is>
          <t>Partner Channel</t>
        </is>
      </c>
      <c r="D2103" t="inlineStr">
        <is>
          <t>Competitive Exam Prep</t>
        </is>
      </c>
      <c r="E2103" t="inlineStr">
        <is>
          <t>North Region</t>
        </is>
      </c>
      <c r="F2103" t="inlineStr">
        <is>
          <t>Rep_01</t>
        </is>
      </c>
      <c r="G2103" t="n">
        <v>1.67</v>
      </c>
      <c r="H2103" t="inlineStr">
        <is>
          <t>Contacted</t>
        </is>
      </c>
      <c r="I2103" t="inlineStr">
        <is>
          <t>Open</t>
        </is>
      </c>
      <c r="M2103">
        <f>VLOOKUP(H2103,'Stage Order'!$A$2:$B$8,2,FALSE)</f>
        <v/>
      </c>
      <c r="N2103">
        <f>IF(G2103&lt;=1,"1. Under 1 hour",IF(G2103&lt;=24,"2. 1-24 hours",IF(G2103&lt;=72,"3. 1-3 days","4. Over 3 days")))</f>
        <v/>
      </c>
      <c r="O2103">
        <f>TEXT(B2103,"YYYY-MM")</f>
        <v/>
      </c>
    </row>
    <row r="2104">
      <c r="A2104" t="inlineStr">
        <is>
          <t>LD-302102</t>
        </is>
      </c>
      <c r="B2104" t="inlineStr">
        <is>
          <t>2025-08-02 12:43:00</t>
        </is>
      </c>
      <c r="C2104" t="inlineStr">
        <is>
          <t>Paid Search</t>
        </is>
      </c>
      <c r="D2104" t="inlineStr">
        <is>
          <t>Study Abroad Prep</t>
        </is>
      </c>
      <c r="E2104" t="inlineStr">
        <is>
          <t>International</t>
        </is>
      </c>
      <c r="F2104" t="inlineStr">
        <is>
          <t>Rep_10</t>
        </is>
      </c>
      <c r="G2104" t="n">
        <v>1.83</v>
      </c>
      <c r="H2104" t="inlineStr">
        <is>
          <t>Lead</t>
        </is>
      </c>
      <c r="I2104" t="inlineStr">
        <is>
          <t>Open</t>
        </is>
      </c>
      <c r="M2104">
        <f>VLOOKUP(H2104,'Stage Order'!$A$2:$B$8,2,FALSE)</f>
        <v/>
      </c>
      <c r="N2104">
        <f>IF(G2104&lt;=1,"1. Under 1 hour",IF(G2104&lt;=24,"2. 1-24 hours",IF(G2104&lt;=72,"3. 1-3 days","4. Over 3 days")))</f>
        <v/>
      </c>
      <c r="O2104">
        <f>TEXT(B2104,"YYYY-MM")</f>
        <v/>
      </c>
    </row>
    <row r="2105">
      <c r="A2105" t="inlineStr">
        <is>
          <t>LD-302103</t>
        </is>
      </c>
      <c r="B2105" t="inlineStr">
        <is>
          <t>2025-03-06 11:28:00</t>
        </is>
      </c>
      <c r="C2105" t="inlineStr">
        <is>
          <t>Organic Search</t>
        </is>
      </c>
      <c r="D2105" t="inlineStr">
        <is>
          <t>Language Learning</t>
        </is>
      </c>
      <c r="E2105" t="inlineStr">
        <is>
          <t>West Region</t>
        </is>
      </c>
      <c r="F2105" t="inlineStr">
        <is>
          <t>Rep_08</t>
        </is>
      </c>
      <c r="G2105" t="n">
        <v>2.04</v>
      </c>
      <c r="H2105" t="inlineStr">
        <is>
          <t>Contacted</t>
        </is>
      </c>
      <c r="I2105" t="inlineStr">
        <is>
          <t>Open</t>
        </is>
      </c>
      <c r="M2105">
        <f>VLOOKUP(H2105,'Stage Order'!$A$2:$B$8,2,FALSE)</f>
        <v/>
      </c>
      <c r="N2105">
        <f>IF(G2105&lt;=1,"1. Under 1 hour",IF(G2105&lt;=24,"2. 1-24 hours",IF(G2105&lt;=72,"3. 1-3 days","4. Over 3 days")))</f>
        <v/>
      </c>
      <c r="O2105">
        <f>TEXT(B2105,"YYYY-MM")</f>
        <v/>
      </c>
    </row>
    <row r="2106">
      <c r="A2106" t="inlineStr">
        <is>
          <t>LD-302104</t>
        </is>
      </c>
      <c r="B2106" t="inlineStr">
        <is>
          <t>2026-03-24 07:07:00</t>
        </is>
      </c>
      <c r="C2106" t="inlineStr">
        <is>
          <t>Social Media</t>
        </is>
      </c>
      <c r="D2106" t="inlineStr">
        <is>
          <t>Competitive Exam Prep</t>
        </is>
      </c>
      <c r="E2106" t="inlineStr">
        <is>
          <t>West Region</t>
        </is>
      </c>
      <c r="F2106" t="inlineStr">
        <is>
          <t>Rep_08</t>
        </is>
      </c>
      <c r="G2106" t="n">
        <v>3.36</v>
      </c>
      <c r="H2106" t="inlineStr">
        <is>
          <t>Negotiation</t>
        </is>
      </c>
      <c r="I2106" t="inlineStr">
        <is>
          <t>Lost</t>
        </is>
      </c>
      <c r="J2106" t="inlineStr">
        <is>
          <t>Price Objection</t>
        </is>
      </c>
      <c r="K2106" t="n">
        <v>1181.24</v>
      </c>
      <c r="L2106" t="inlineStr">
        <is>
          <t>2026-05-05 07:32:45.340404</t>
        </is>
      </c>
      <c r="M2106">
        <f>VLOOKUP(H2106,'Stage Order'!$A$2:$B$8,2,FALSE)</f>
        <v/>
      </c>
      <c r="N2106">
        <f>IF(G2106&lt;=1,"1. Under 1 hour",IF(G2106&lt;=24,"2. 1-24 hours",IF(G2106&lt;=72,"3. 1-3 days","4. Over 3 days")))</f>
        <v/>
      </c>
      <c r="O2106">
        <f>TEXT(B2106,"YYYY-MM")</f>
        <v/>
      </c>
    </row>
    <row r="2107">
      <c r="A2107" t="inlineStr">
        <is>
          <t>LD-302105</t>
        </is>
      </c>
      <c r="B2107" t="inlineStr">
        <is>
          <t>2025-09-05 13:06:00</t>
        </is>
      </c>
      <c r="C2107" t="inlineStr">
        <is>
          <t>Social Media</t>
        </is>
      </c>
      <c r="D2107" t="inlineStr">
        <is>
          <t>Coding for Kids</t>
        </is>
      </c>
      <c r="E2107" t="inlineStr">
        <is>
          <t>North Region</t>
        </is>
      </c>
      <c r="F2107" t="inlineStr">
        <is>
          <t>Rep_06</t>
        </is>
      </c>
      <c r="G2107" t="n">
        <v>10.2</v>
      </c>
      <c r="H2107" t="inlineStr">
        <is>
          <t>Contacted</t>
        </is>
      </c>
      <c r="I2107" t="inlineStr">
        <is>
          <t>Open</t>
        </is>
      </c>
      <c r="M2107">
        <f>VLOOKUP(H2107,'Stage Order'!$A$2:$B$8,2,FALSE)</f>
        <v/>
      </c>
      <c r="N2107">
        <f>IF(G2107&lt;=1,"1. Under 1 hour",IF(G2107&lt;=24,"2. 1-24 hours",IF(G2107&lt;=72,"3. 1-3 days","4. Over 3 days")))</f>
        <v/>
      </c>
      <c r="O2107">
        <f>TEXT(B2107,"YYYY-MM")</f>
        <v/>
      </c>
    </row>
    <row r="2108">
      <c r="A2108" t="inlineStr">
        <is>
          <t>LD-302106</t>
        </is>
      </c>
      <c r="B2108" t="inlineStr">
        <is>
          <t>2026-01-27 09:36:00</t>
        </is>
      </c>
      <c r="C2108" t="inlineStr">
        <is>
          <t>Social Media</t>
        </is>
      </c>
      <c r="D2108" t="inlineStr">
        <is>
          <t>K-12 Math</t>
        </is>
      </c>
      <c r="E2108" t="inlineStr">
        <is>
          <t>West Region</t>
        </is>
      </c>
      <c r="F2108" t="inlineStr">
        <is>
          <t>Rep_03</t>
        </is>
      </c>
      <c r="G2108" t="n">
        <v>2.54</v>
      </c>
      <c r="H2108" t="inlineStr">
        <is>
          <t>Lead</t>
        </is>
      </c>
      <c r="I2108" t="inlineStr">
        <is>
          <t>Open</t>
        </is>
      </c>
      <c r="M2108">
        <f>VLOOKUP(H2108,'Stage Order'!$A$2:$B$8,2,FALSE)</f>
        <v/>
      </c>
      <c r="N2108">
        <f>IF(G2108&lt;=1,"1. Under 1 hour",IF(G2108&lt;=24,"2. 1-24 hours",IF(G2108&lt;=72,"3. 1-3 days","4. Over 3 days")))</f>
        <v/>
      </c>
      <c r="O2108">
        <f>TEXT(B2108,"YYYY-MM")</f>
        <v/>
      </c>
    </row>
    <row r="2109">
      <c r="A2109" t="inlineStr">
        <is>
          <t>LD-302107</t>
        </is>
      </c>
      <c r="B2109" t="inlineStr">
        <is>
          <t>2026-01-15 19:00:00</t>
        </is>
      </c>
      <c r="C2109" t="inlineStr">
        <is>
          <t>Referral</t>
        </is>
      </c>
      <c r="D2109" t="inlineStr">
        <is>
          <t>Coding for Kids</t>
        </is>
      </c>
      <c r="E2109" t="inlineStr">
        <is>
          <t>South Region</t>
        </is>
      </c>
      <c r="F2109" t="inlineStr">
        <is>
          <t>Rep_12</t>
        </is>
      </c>
      <c r="G2109" t="n">
        <v>3.66</v>
      </c>
      <c r="H2109" t="inlineStr">
        <is>
          <t>Negotiation</t>
        </is>
      </c>
      <c r="I2109" t="inlineStr">
        <is>
          <t>Lost</t>
        </is>
      </c>
      <c r="J2109" t="inlineStr">
        <is>
          <t>Price Objection</t>
        </is>
      </c>
      <c r="K2109" t="n">
        <v>707.61</v>
      </c>
      <c r="L2109" t="inlineStr">
        <is>
          <t>2026-02-28 09:53:29.527224</t>
        </is>
      </c>
      <c r="M2109">
        <f>VLOOKUP(H2109,'Stage Order'!$A$2:$B$8,2,FALSE)</f>
        <v/>
      </c>
      <c r="N2109">
        <f>IF(G2109&lt;=1,"1. Under 1 hour",IF(G2109&lt;=24,"2. 1-24 hours",IF(G2109&lt;=72,"3. 1-3 days","4. Over 3 days")))</f>
        <v/>
      </c>
      <c r="O2109">
        <f>TEXT(B2109,"YYYY-MM")</f>
        <v/>
      </c>
    </row>
    <row r="2110">
      <c r="A2110" t="inlineStr">
        <is>
          <t>LD-302108</t>
        </is>
      </c>
      <c r="B2110" t="inlineStr">
        <is>
          <t>2026-05-19 13:52:00</t>
        </is>
      </c>
      <c r="C2110" t="inlineStr">
        <is>
          <t>Partner Channel</t>
        </is>
      </c>
      <c r="D2110" t="inlineStr">
        <is>
          <t>K-12 Math</t>
        </is>
      </c>
      <c r="E2110" t="inlineStr">
        <is>
          <t>International</t>
        </is>
      </c>
      <c r="F2110" t="inlineStr">
        <is>
          <t>Rep_15</t>
        </is>
      </c>
      <c r="G2110" t="n">
        <v>0.5</v>
      </c>
      <c r="H2110" t="inlineStr">
        <is>
          <t>Contacted</t>
        </is>
      </c>
      <c r="I2110" t="inlineStr">
        <is>
          <t>Open</t>
        </is>
      </c>
      <c r="M2110">
        <f>VLOOKUP(H2110,'Stage Order'!$A$2:$B$8,2,FALSE)</f>
        <v/>
      </c>
      <c r="N2110">
        <f>IF(G2110&lt;=1,"1. Under 1 hour",IF(G2110&lt;=24,"2. 1-24 hours",IF(G2110&lt;=72,"3. 1-3 days","4. Over 3 days")))</f>
        <v/>
      </c>
      <c r="O2110">
        <f>TEXT(B2110,"YYYY-MM")</f>
        <v/>
      </c>
    </row>
    <row r="2111">
      <c r="A2111" t="inlineStr">
        <is>
          <t>LD-302109</t>
        </is>
      </c>
      <c r="B2111" t="inlineStr">
        <is>
          <t>2025-05-07 09:21:00</t>
        </is>
      </c>
      <c r="C2111" t="inlineStr">
        <is>
          <t>Social Media</t>
        </is>
      </c>
      <c r="D2111" t="inlineStr">
        <is>
          <t>Coding for Kids</t>
        </is>
      </c>
      <c r="E2111" t="inlineStr">
        <is>
          <t>North Region</t>
        </is>
      </c>
      <c r="F2111" t="inlineStr">
        <is>
          <t>Rep_11</t>
        </is>
      </c>
      <c r="G2111" t="n">
        <v>0.72</v>
      </c>
      <c r="H2111" t="inlineStr">
        <is>
          <t>Contacted</t>
        </is>
      </c>
      <c r="I2111" t="inlineStr">
        <is>
          <t>Open</t>
        </is>
      </c>
      <c r="M2111">
        <f>VLOOKUP(H2111,'Stage Order'!$A$2:$B$8,2,FALSE)</f>
        <v/>
      </c>
      <c r="N2111">
        <f>IF(G2111&lt;=1,"1. Under 1 hour",IF(G2111&lt;=24,"2. 1-24 hours",IF(G2111&lt;=72,"3. 1-3 days","4. Over 3 days")))</f>
        <v/>
      </c>
      <c r="O2111">
        <f>TEXT(B2111,"YYYY-MM")</f>
        <v/>
      </c>
    </row>
    <row r="2112">
      <c r="A2112" t="inlineStr">
        <is>
          <t>LD-302110</t>
        </is>
      </c>
      <c r="B2112" t="inlineStr">
        <is>
          <t>2025-06-27 07:01:00</t>
        </is>
      </c>
      <c r="C2112" t="inlineStr">
        <is>
          <t>Organic Search</t>
        </is>
      </c>
      <c r="D2112" t="inlineStr">
        <is>
          <t>Language Learning</t>
        </is>
      </c>
      <c r="E2112" t="inlineStr">
        <is>
          <t>North Region</t>
        </is>
      </c>
      <c r="F2112" t="inlineStr">
        <is>
          <t>Rep_11</t>
        </is>
      </c>
      <c r="G2112" t="n">
        <v>1.63</v>
      </c>
      <c r="H2112" t="inlineStr">
        <is>
          <t>Negotiation</t>
        </is>
      </c>
      <c r="I2112" t="inlineStr">
        <is>
          <t>Lost</t>
        </is>
      </c>
      <c r="J2112" t="inlineStr">
        <is>
          <t>No Response / Ghosted</t>
        </is>
      </c>
      <c r="K2112" t="n">
        <v>318.4</v>
      </c>
      <c r="L2112" t="inlineStr">
        <is>
          <t>2025-07-20 07:47:48.913742</t>
        </is>
      </c>
      <c r="M2112">
        <f>VLOOKUP(H2112,'Stage Order'!$A$2:$B$8,2,FALSE)</f>
        <v/>
      </c>
      <c r="N2112">
        <f>IF(G2112&lt;=1,"1. Under 1 hour",IF(G2112&lt;=24,"2. 1-24 hours",IF(G2112&lt;=72,"3. 1-3 days","4. Over 3 days")))</f>
        <v/>
      </c>
      <c r="O2112">
        <f>TEXT(B2112,"YYYY-MM")</f>
        <v/>
      </c>
    </row>
    <row r="2113">
      <c r="A2113" t="inlineStr">
        <is>
          <t>LD-302111</t>
        </is>
      </c>
      <c r="B2113" t="inlineStr">
        <is>
          <t>2026-04-24 17:46:00</t>
        </is>
      </c>
      <c r="C2113" t="inlineStr">
        <is>
          <t>Partner Channel</t>
        </is>
      </c>
      <c r="D2113" t="inlineStr">
        <is>
          <t>Coding for Kids</t>
        </is>
      </c>
      <c r="E2113" t="inlineStr">
        <is>
          <t>South Region</t>
        </is>
      </c>
      <c r="F2113" t="inlineStr">
        <is>
          <t>Rep_12</t>
        </is>
      </c>
      <c r="G2113" t="n">
        <v>2.04</v>
      </c>
      <c r="H2113" t="inlineStr">
        <is>
          <t>Contacted</t>
        </is>
      </c>
      <c r="I2113" t="inlineStr">
        <is>
          <t>Open</t>
        </is>
      </c>
      <c r="M2113">
        <f>VLOOKUP(H2113,'Stage Order'!$A$2:$B$8,2,FALSE)</f>
        <v/>
      </c>
      <c r="N2113">
        <f>IF(G2113&lt;=1,"1. Under 1 hour",IF(G2113&lt;=24,"2. 1-24 hours",IF(G2113&lt;=72,"3. 1-3 days","4. Over 3 days")))</f>
        <v/>
      </c>
      <c r="O2113">
        <f>TEXT(B2113,"YYYY-MM")</f>
        <v/>
      </c>
    </row>
    <row r="2114">
      <c r="A2114" t="inlineStr">
        <is>
          <t>LD-302112</t>
        </is>
      </c>
      <c r="B2114" t="inlineStr">
        <is>
          <t>2025-09-29 12:19:00</t>
        </is>
      </c>
      <c r="C2114" t="inlineStr">
        <is>
          <t>Cold Outreach</t>
        </is>
      </c>
      <c r="D2114" t="inlineStr">
        <is>
          <t>Competitive Exam Prep</t>
        </is>
      </c>
      <c r="E2114" t="inlineStr">
        <is>
          <t>South Region</t>
        </is>
      </c>
      <c r="F2114" t="inlineStr">
        <is>
          <t>Rep_02</t>
        </is>
      </c>
      <c r="G2114" t="n">
        <v>7.8</v>
      </c>
      <c r="H2114" t="inlineStr">
        <is>
          <t>Lead</t>
        </is>
      </c>
      <c r="I2114" t="inlineStr">
        <is>
          <t>Open</t>
        </is>
      </c>
      <c r="M2114">
        <f>VLOOKUP(H2114,'Stage Order'!$A$2:$B$8,2,FALSE)</f>
        <v/>
      </c>
      <c r="N2114">
        <f>IF(G2114&lt;=1,"1. Under 1 hour",IF(G2114&lt;=24,"2. 1-24 hours",IF(G2114&lt;=72,"3. 1-3 days","4. Over 3 days")))</f>
        <v/>
      </c>
      <c r="O2114">
        <f>TEXT(B2114,"YYYY-MM")</f>
        <v/>
      </c>
    </row>
    <row r="2115">
      <c r="A2115" t="inlineStr">
        <is>
          <t>LD-302113</t>
        </is>
      </c>
      <c r="B2115" t="inlineStr">
        <is>
          <t>2025-05-06 17:47:00</t>
        </is>
      </c>
      <c r="C2115" t="inlineStr">
        <is>
          <t>Cold Outreach</t>
        </is>
      </c>
      <c r="D2115" t="inlineStr">
        <is>
          <t>Coding for Kids</t>
        </is>
      </c>
      <c r="E2115" t="inlineStr">
        <is>
          <t>South Region</t>
        </is>
      </c>
      <c r="F2115" t="inlineStr">
        <is>
          <t>Rep_07</t>
        </is>
      </c>
      <c r="G2115" t="n">
        <v>2.4</v>
      </c>
      <c r="H2115" t="inlineStr">
        <is>
          <t>Contacted</t>
        </is>
      </c>
      <c r="I2115" t="inlineStr">
        <is>
          <t>Open</t>
        </is>
      </c>
      <c r="M2115">
        <f>VLOOKUP(H2115,'Stage Order'!$A$2:$B$8,2,FALSE)</f>
        <v/>
      </c>
      <c r="N2115">
        <f>IF(G2115&lt;=1,"1. Under 1 hour",IF(G2115&lt;=24,"2. 1-24 hours",IF(G2115&lt;=72,"3. 1-3 days","4. Over 3 days")))</f>
        <v/>
      </c>
      <c r="O2115">
        <f>TEXT(B2115,"YYYY-MM")</f>
        <v/>
      </c>
    </row>
    <row r="2116">
      <c r="A2116" t="inlineStr">
        <is>
          <t>LD-302114</t>
        </is>
      </c>
      <c r="B2116" t="inlineStr">
        <is>
          <t>2025-08-25 16:04:00</t>
        </is>
      </c>
      <c r="C2116" t="inlineStr">
        <is>
          <t>Paid Search</t>
        </is>
      </c>
      <c r="D2116" t="inlineStr">
        <is>
          <t>Language Learning</t>
        </is>
      </c>
      <c r="E2116" t="inlineStr">
        <is>
          <t>International</t>
        </is>
      </c>
      <c r="F2116" t="inlineStr">
        <is>
          <t>Rep_15</t>
        </is>
      </c>
      <c r="G2116" t="n">
        <v>0.67</v>
      </c>
      <c r="H2116" t="inlineStr">
        <is>
          <t>Proposal Sent</t>
        </is>
      </c>
      <c r="I2116" t="inlineStr">
        <is>
          <t>Lost</t>
        </is>
      </c>
      <c r="J2116" t="inlineStr">
        <is>
          <t>Bad Timing</t>
        </is>
      </c>
      <c r="K2116" t="n">
        <v>303.88</v>
      </c>
      <c r="L2116" t="inlineStr">
        <is>
          <t>2025-09-28 20:21:40.228364</t>
        </is>
      </c>
      <c r="M2116">
        <f>VLOOKUP(H2116,'Stage Order'!$A$2:$B$8,2,FALSE)</f>
        <v/>
      </c>
      <c r="N2116">
        <f>IF(G2116&lt;=1,"1. Under 1 hour",IF(G2116&lt;=24,"2. 1-24 hours",IF(G2116&lt;=72,"3. 1-3 days","4. Over 3 days")))</f>
        <v/>
      </c>
      <c r="O2116">
        <f>TEXT(B2116,"YYYY-MM")</f>
        <v/>
      </c>
    </row>
    <row r="2117">
      <c r="A2117" t="inlineStr">
        <is>
          <t>LD-302115</t>
        </is>
      </c>
      <c r="B2117" t="inlineStr">
        <is>
          <t>2026-02-25 19:11:00</t>
        </is>
      </c>
      <c r="C2117" t="inlineStr">
        <is>
          <t>Paid Search</t>
        </is>
      </c>
      <c r="D2117" t="inlineStr">
        <is>
          <t>Coding for Kids</t>
        </is>
      </c>
      <c r="E2117" t="inlineStr">
        <is>
          <t>East Region</t>
        </is>
      </c>
      <c r="F2117" t="inlineStr">
        <is>
          <t>Rep_04</t>
        </is>
      </c>
      <c r="G2117" t="n">
        <v>4.95</v>
      </c>
      <c r="H2117" t="inlineStr">
        <is>
          <t>Demo Completed</t>
        </is>
      </c>
      <c r="I2117" t="inlineStr">
        <is>
          <t>Lost</t>
        </is>
      </c>
      <c r="J2117" t="inlineStr">
        <is>
          <t>Bad Timing</t>
        </is>
      </c>
      <c r="K2117" t="n">
        <v>660.45</v>
      </c>
      <c r="L2117" t="inlineStr">
        <is>
          <t>2026-03-19 07:21:30.275805</t>
        </is>
      </c>
      <c r="M2117">
        <f>VLOOKUP(H2117,'Stage Order'!$A$2:$B$8,2,FALSE)</f>
        <v/>
      </c>
      <c r="N2117">
        <f>IF(G2117&lt;=1,"1. Under 1 hour",IF(G2117&lt;=24,"2. 1-24 hours",IF(G2117&lt;=72,"3. 1-3 days","4. Over 3 days")))</f>
        <v/>
      </c>
      <c r="O2117">
        <f>TEXT(B2117,"YYYY-MM")</f>
        <v/>
      </c>
    </row>
    <row r="2118">
      <c r="A2118" t="inlineStr">
        <is>
          <t>LD-302116</t>
        </is>
      </c>
      <c r="B2118" t="inlineStr">
        <is>
          <t>2025-04-09 19:09:00</t>
        </is>
      </c>
      <c r="C2118" t="inlineStr">
        <is>
          <t>Organic Search</t>
        </is>
      </c>
      <c r="D2118" t="inlineStr">
        <is>
          <t>Language Learning</t>
        </is>
      </c>
      <c r="E2118" t="inlineStr">
        <is>
          <t>South Region</t>
        </is>
      </c>
      <c r="F2118" t="inlineStr">
        <is>
          <t>Rep_07</t>
        </is>
      </c>
      <c r="G2118" t="n">
        <v>7.86</v>
      </c>
      <c r="H2118" t="inlineStr">
        <is>
          <t>Negotiation</t>
        </is>
      </c>
      <c r="I2118" t="inlineStr">
        <is>
          <t>Lost</t>
        </is>
      </c>
      <c r="J2118" t="inlineStr">
        <is>
          <t>Price Objection</t>
        </is>
      </c>
      <c r="K2118" t="n">
        <v>423.4</v>
      </c>
      <c r="L2118" t="inlineStr">
        <is>
          <t>2025-05-24 00:07:33.250374</t>
        </is>
      </c>
      <c r="M2118">
        <f>VLOOKUP(H2118,'Stage Order'!$A$2:$B$8,2,FALSE)</f>
        <v/>
      </c>
      <c r="N2118">
        <f>IF(G2118&lt;=1,"1. Under 1 hour",IF(G2118&lt;=24,"2. 1-24 hours",IF(G2118&lt;=72,"3. 1-3 days","4. Over 3 days")))</f>
        <v/>
      </c>
      <c r="O2118">
        <f>TEXT(B2118,"YYYY-MM")</f>
        <v/>
      </c>
    </row>
    <row r="2119">
      <c r="A2119" t="inlineStr">
        <is>
          <t>LD-302117</t>
        </is>
      </c>
      <c r="B2119" t="inlineStr">
        <is>
          <t>2025-04-08 08:54:00</t>
        </is>
      </c>
      <c r="C2119" t="inlineStr">
        <is>
          <t>Cold Outreach</t>
        </is>
      </c>
      <c r="D2119" t="inlineStr">
        <is>
          <t>Language Learning</t>
        </is>
      </c>
      <c r="E2119" t="inlineStr">
        <is>
          <t>International</t>
        </is>
      </c>
      <c r="F2119" t="inlineStr">
        <is>
          <t>Rep_05</t>
        </is>
      </c>
      <c r="G2119" t="n">
        <v>3.64</v>
      </c>
      <c r="H2119" t="inlineStr">
        <is>
          <t>Lead</t>
        </is>
      </c>
      <c r="I2119" t="inlineStr">
        <is>
          <t>Open</t>
        </is>
      </c>
      <c r="M2119">
        <f>VLOOKUP(H2119,'Stage Order'!$A$2:$B$8,2,FALSE)</f>
        <v/>
      </c>
      <c r="N2119">
        <f>IF(G2119&lt;=1,"1. Under 1 hour",IF(G2119&lt;=24,"2. 1-24 hours",IF(G2119&lt;=72,"3. 1-3 days","4. Over 3 days")))</f>
        <v/>
      </c>
      <c r="O2119">
        <f>TEXT(B2119,"YYYY-MM")</f>
        <v/>
      </c>
    </row>
    <row r="2120">
      <c r="A2120" t="inlineStr">
        <is>
          <t>LD-302118</t>
        </is>
      </c>
      <c r="B2120" t="inlineStr">
        <is>
          <t>2025-11-28 14:49:00</t>
        </is>
      </c>
      <c r="C2120" t="inlineStr">
        <is>
          <t>Organic Search</t>
        </is>
      </c>
      <c r="D2120" t="inlineStr">
        <is>
          <t>Coding for Kids</t>
        </is>
      </c>
      <c r="E2120" t="inlineStr">
        <is>
          <t>International</t>
        </is>
      </c>
      <c r="F2120" t="inlineStr">
        <is>
          <t>Rep_10</t>
        </is>
      </c>
      <c r="G2120" t="n">
        <v>1.38</v>
      </c>
      <c r="H2120" t="inlineStr">
        <is>
          <t>Lead</t>
        </is>
      </c>
      <c r="I2120" t="inlineStr">
        <is>
          <t>Open</t>
        </is>
      </c>
      <c r="M2120">
        <f>VLOOKUP(H2120,'Stage Order'!$A$2:$B$8,2,FALSE)</f>
        <v/>
      </c>
      <c r="N2120">
        <f>IF(G2120&lt;=1,"1. Under 1 hour",IF(G2120&lt;=24,"2. 1-24 hours",IF(G2120&lt;=72,"3. 1-3 days","4. Over 3 days")))</f>
        <v/>
      </c>
      <c r="O2120">
        <f>TEXT(B2120,"YYYY-MM")</f>
        <v/>
      </c>
    </row>
    <row r="2121">
      <c r="A2121" t="inlineStr">
        <is>
          <t>LD-302119</t>
        </is>
      </c>
      <c r="B2121" t="inlineStr">
        <is>
          <t>2025-05-19 14:50:00</t>
        </is>
      </c>
      <c r="C2121" t="inlineStr">
        <is>
          <t>Webinar</t>
        </is>
      </c>
      <c r="D2121" t="inlineStr">
        <is>
          <t>Language Learning</t>
        </is>
      </c>
      <c r="E2121" t="inlineStr">
        <is>
          <t>East Region</t>
        </is>
      </c>
      <c r="F2121" t="inlineStr">
        <is>
          <t>Rep_14</t>
        </is>
      </c>
      <c r="G2121" t="n">
        <v>3.05</v>
      </c>
      <c r="H2121" t="inlineStr">
        <is>
          <t>Demo Scheduled</t>
        </is>
      </c>
      <c r="I2121" t="inlineStr">
        <is>
          <t>Open</t>
        </is>
      </c>
      <c r="M2121">
        <f>VLOOKUP(H2121,'Stage Order'!$A$2:$B$8,2,FALSE)</f>
        <v/>
      </c>
      <c r="N2121">
        <f>IF(G2121&lt;=1,"1. Under 1 hour",IF(G2121&lt;=24,"2. 1-24 hours",IF(G2121&lt;=72,"3. 1-3 days","4. Over 3 days")))</f>
        <v/>
      </c>
      <c r="O2121">
        <f>TEXT(B2121,"YYYY-MM")</f>
        <v/>
      </c>
    </row>
    <row r="2122">
      <c r="A2122" t="inlineStr">
        <is>
          <t>LD-302120</t>
        </is>
      </c>
      <c r="B2122" t="inlineStr">
        <is>
          <t>2026-02-05 16:10:00</t>
        </is>
      </c>
      <c r="C2122" t="inlineStr">
        <is>
          <t>Paid Search</t>
        </is>
      </c>
      <c r="D2122" t="inlineStr">
        <is>
          <t>K-12 Math</t>
        </is>
      </c>
      <c r="E2122" t="inlineStr">
        <is>
          <t>International</t>
        </is>
      </c>
      <c r="F2122" t="inlineStr">
        <is>
          <t>Rep_05</t>
        </is>
      </c>
      <c r="G2122" t="n">
        <v>1.4</v>
      </c>
      <c r="H2122" t="inlineStr">
        <is>
          <t>Proposal Sent</t>
        </is>
      </c>
      <c r="I2122" t="inlineStr">
        <is>
          <t>Lost</t>
        </is>
      </c>
      <c r="J2122" t="inlineStr">
        <is>
          <t>Price Objection</t>
        </is>
      </c>
      <c r="K2122" t="n">
        <v>543.4</v>
      </c>
      <c r="L2122" t="inlineStr">
        <is>
          <t>2026-03-27 22:08:00.413830</t>
        </is>
      </c>
      <c r="M2122">
        <f>VLOOKUP(H2122,'Stage Order'!$A$2:$B$8,2,FALSE)</f>
        <v/>
      </c>
      <c r="N2122">
        <f>IF(G2122&lt;=1,"1. Under 1 hour",IF(G2122&lt;=24,"2. 1-24 hours",IF(G2122&lt;=72,"3. 1-3 days","4. Over 3 days")))</f>
        <v/>
      </c>
      <c r="O2122">
        <f>TEXT(B2122,"YYYY-MM")</f>
        <v/>
      </c>
    </row>
    <row r="2123">
      <c r="A2123" t="inlineStr">
        <is>
          <t>LD-302121</t>
        </is>
      </c>
      <c r="B2123" t="inlineStr">
        <is>
          <t>2025-12-24 19:30:00</t>
        </is>
      </c>
      <c r="C2123" t="inlineStr">
        <is>
          <t>Organic Search</t>
        </is>
      </c>
      <c r="D2123" t="inlineStr">
        <is>
          <t>K-12 Math</t>
        </is>
      </c>
      <c r="E2123" t="inlineStr">
        <is>
          <t>South Region</t>
        </is>
      </c>
      <c r="F2123" t="inlineStr">
        <is>
          <t>Rep_12</t>
        </is>
      </c>
      <c r="G2123" t="n">
        <v>4.1</v>
      </c>
      <c r="H2123" t="inlineStr">
        <is>
          <t>Contacted</t>
        </is>
      </c>
      <c r="I2123" t="inlineStr">
        <is>
          <t>Open</t>
        </is>
      </c>
      <c r="M2123">
        <f>VLOOKUP(H2123,'Stage Order'!$A$2:$B$8,2,FALSE)</f>
        <v/>
      </c>
      <c r="N2123">
        <f>IF(G2123&lt;=1,"1. Under 1 hour",IF(G2123&lt;=24,"2. 1-24 hours",IF(G2123&lt;=72,"3. 1-3 days","4. Over 3 days")))</f>
        <v/>
      </c>
      <c r="O2123">
        <f>TEXT(B2123,"YYYY-MM")</f>
        <v/>
      </c>
    </row>
    <row r="2124">
      <c r="A2124" t="inlineStr">
        <is>
          <t>LD-302122</t>
        </is>
      </c>
      <c r="B2124" t="inlineStr">
        <is>
          <t>2025-01-31 10:12:00</t>
        </is>
      </c>
      <c r="C2124" t="inlineStr">
        <is>
          <t>Partner Channel</t>
        </is>
      </c>
      <c r="D2124" t="inlineStr">
        <is>
          <t>Coding for Kids</t>
        </is>
      </c>
      <c r="E2124" t="inlineStr">
        <is>
          <t>East Region</t>
        </is>
      </c>
      <c r="F2124" t="inlineStr">
        <is>
          <t>Rep_09</t>
        </is>
      </c>
      <c r="G2124" t="n">
        <v>2.31</v>
      </c>
      <c r="H2124" t="inlineStr">
        <is>
          <t>Demo Scheduled</t>
        </is>
      </c>
      <c r="I2124" t="inlineStr">
        <is>
          <t>Open</t>
        </is>
      </c>
      <c r="M2124">
        <f>VLOOKUP(H2124,'Stage Order'!$A$2:$B$8,2,FALSE)</f>
        <v/>
      </c>
      <c r="N2124">
        <f>IF(G2124&lt;=1,"1. Under 1 hour",IF(G2124&lt;=24,"2. 1-24 hours",IF(G2124&lt;=72,"3. 1-3 days","4. Over 3 days")))</f>
        <v/>
      </c>
      <c r="O2124">
        <f>TEXT(B2124,"YYYY-MM")</f>
        <v/>
      </c>
    </row>
    <row r="2125">
      <c r="A2125" t="inlineStr">
        <is>
          <t>LD-302123</t>
        </is>
      </c>
      <c r="B2125" t="inlineStr">
        <is>
          <t>2026-01-06 11:39:00</t>
        </is>
      </c>
      <c r="C2125" t="inlineStr">
        <is>
          <t>Referral</t>
        </is>
      </c>
      <c r="D2125" t="inlineStr">
        <is>
          <t>K-12 Math</t>
        </is>
      </c>
      <c r="E2125" t="inlineStr">
        <is>
          <t>North Region</t>
        </is>
      </c>
      <c r="F2125" t="inlineStr">
        <is>
          <t>Rep_11</t>
        </is>
      </c>
      <c r="G2125" t="n">
        <v>2.89</v>
      </c>
      <c r="H2125" t="inlineStr">
        <is>
          <t>Closed</t>
        </is>
      </c>
      <c r="I2125" t="inlineStr">
        <is>
          <t>Won</t>
        </is>
      </c>
      <c r="K2125" t="n">
        <v>543.24</v>
      </c>
      <c r="L2125" t="inlineStr">
        <is>
          <t>2026-02-18 01:07:48.430368</t>
        </is>
      </c>
      <c r="M2125">
        <f>VLOOKUP(H2125,'Stage Order'!$A$2:$B$8,2,FALSE)</f>
        <v/>
      </c>
      <c r="N2125">
        <f>IF(G2125&lt;=1,"1. Under 1 hour",IF(G2125&lt;=24,"2. 1-24 hours",IF(G2125&lt;=72,"3. 1-3 days","4. Over 3 days")))</f>
        <v/>
      </c>
      <c r="O2125">
        <f>TEXT(B2125,"YYYY-MM")</f>
        <v/>
      </c>
    </row>
    <row r="2126">
      <c r="A2126" t="inlineStr">
        <is>
          <t>LD-302124</t>
        </is>
      </c>
      <c r="B2126" t="inlineStr">
        <is>
          <t>2025-07-18 15:05:00</t>
        </is>
      </c>
      <c r="C2126" t="inlineStr">
        <is>
          <t>Organic Search</t>
        </is>
      </c>
      <c r="D2126" t="inlineStr">
        <is>
          <t>K-12 Math</t>
        </is>
      </c>
      <c r="E2126" t="inlineStr">
        <is>
          <t>East Region</t>
        </is>
      </c>
      <c r="F2126" t="inlineStr">
        <is>
          <t>Rep_04</t>
        </is>
      </c>
      <c r="G2126" t="n">
        <v>4.27</v>
      </c>
      <c r="H2126" t="inlineStr">
        <is>
          <t>Negotiation</t>
        </is>
      </c>
      <c r="I2126" t="inlineStr">
        <is>
          <t>Lost</t>
        </is>
      </c>
      <c r="J2126" t="inlineStr">
        <is>
          <t>No Response / Ghosted</t>
        </is>
      </c>
      <c r="K2126" t="n">
        <v>594.3099999999999</v>
      </c>
      <c r="L2126" t="inlineStr">
        <is>
          <t>2025-08-22 19:27:55.779797</t>
        </is>
      </c>
      <c r="M2126">
        <f>VLOOKUP(H2126,'Stage Order'!$A$2:$B$8,2,FALSE)</f>
        <v/>
      </c>
      <c r="N2126">
        <f>IF(G2126&lt;=1,"1. Under 1 hour",IF(G2126&lt;=24,"2. 1-24 hours",IF(G2126&lt;=72,"3. 1-3 days","4. Over 3 days")))</f>
        <v/>
      </c>
      <c r="O2126">
        <f>TEXT(B2126,"YYYY-MM")</f>
        <v/>
      </c>
    </row>
    <row r="2127">
      <c r="A2127" t="inlineStr">
        <is>
          <t>LD-302125</t>
        </is>
      </c>
      <c r="B2127" t="inlineStr">
        <is>
          <t>2025-06-06 12:03:00</t>
        </is>
      </c>
      <c r="C2127" t="inlineStr">
        <is>
          <t>Organic Search</t>
        </is>
      </c>
      <c r="D2127" t="inlineStr">
        <is>
          <t>Coding for Kids</t>
        </is>
      </c>
      <c r="E2127" t="inlineStr">
        <is>
          <t>West Region</t>
        </is>
      </c>
      <c r="F2127" t="inlineStr">
        <is>
          <t>Rep_03</t>
        </is>
      </c>
      <c r="G2127" t="n">
        <v>0.73</v>
      </c>
      <c r="H2127" t="inlineStr">
        <is>
          <t>Contacted</t>
        </is>
      </c>
      <c r="I2127" t="inlineStr">
        <is>
          <t>Open</t>
        </is>
      </c>
      <c r="M2127">
        <f>VLOOKUP(H2127,'Stage Order'!$A$2:$B$8,2,FALSE)</f>
        <v/>
      </c>
      <c r="N2127">
        <f>IF(G2127&lt;=1,"1. Under 1 hour",IF(G2127&lt;=24,"2. 1-24 hours",IF(G2127&lt;=72,"3. 1-3 days","4. Over 3 days")))</f>
        <v/>
      </c>
      <c r="O2127">
        <f>TEXT(B2127,"YYYY-MM")</f>
        <v/>
      </c>
    </row>
    <row r="2128">
      <c r="A2128" t="inlineStr">
        <is>
          <t>LD-302126</t>
        </is>
      </c>
      <c r="B2128" t="inlineStr">
        <is>
          <t>2025-04-04 15:58:00</t>
        </is>
      </c>
      <c r="C2128" t="inlineStr">
        <is>
          <t>Webinar</t>
        </is>
      </c>
      <c r="D2128" t="inlineStr">
        <is>
          <t>K-12 Math</t>
        </is>
      </c>
      <c r="E2128" t="inlineStr">
        <is>
          <t>South Region</t>
        </is>
      </c>
      <c r="F2128" t="inlineStr">
        <is>
          <t>Rep_12</t>
        </is>
      </c>
      <c r="G2128" t="n">
        <v>1.5</v>
      </c>
      <c r="H2128" t="inlineStr">
        <is>
          <t>Contacted</t>
        </is>
      </c>
      <c r="I2128" t="inlineStr">
        <is>
          <t>Open</t>
        </is>
      </c>
      <c r="M2128">
        <f>VLOOKUP(H2128,'Stage Order'!$A$2:$B$8,2,FALSE)</f>
        <v/>
      </c>
      <c r="N2128">
        <f>IF(G2128&lt;=1,"1. Under 1 hour",IF(G2128&lt;=24,"2. 1-24 hours",IF(G2128&lt;=72,"3. 1-3 days","4. Over 3 days")))</f>
        <v/>
      </c>
      <c r="O2128">
        <f>TEXT(B2128,"YYYY-MM")</f>
        <v/>
      </c>
    </row>
    <row r="2129">
      <c r="A2129" t="inlineStr">
        <is>
          <t>LD-302127</t>
        </is>
      </c>
      <c r="B2129" t="inlineStr">
        <is>
          <t>2026-05-20 15:53:00</t>
        </is>
      </c>
      <c r="C2129" t="inlineStr">
        <is>
          <t>Referral</t>
        </is>
      </c>
      <c r="D2129" t="inlineStr">
        <is>
          <t>Language Learning</t>
        </is>
      </c>
      <c r="E2129" t="inlineStr">
        <is>
          <t>West Region</t>
        </is>
      </c>
      <c r="F2129" t="inlineStr">
        <is>
          <t>Rep_03</t>
        </is>
      </c>
      <c r="G2129" t="n">
        <v>3.12</v>
      </c>
      <c r="H2129" t="inlineStr">
        <is>
          <t>Lead</t>
        </is>
      </c>
      <c r="I2129" t="inlineStr">
        <is>
          <t>Open</t>
        </is>
      </c>
      <c r="M2129">
        <f>VLOOKUP(H2129,'Stage Order'!$A$2:$B$8,2,FALSE)</f>
        <v/>
      </c>
      <c r="N2129">
        <f>IF(G2129&lt;=1,"1. Under 1 hour",IF(G2129&lt;=24,"2. 1-24 hours",IF(G2129&lt;=72,"3. 1-3 days","4. Over 3 days")))</f>
        <v/>
      </c>
      <c r="O2129">
        <f>TEXT(B2129,"YYYY-MM")</f>
        <v/>
      </c>
    </row>
    <row r="2130">
      <c r="A2130" t="inlineStr">
        <is>
          <t>LD-302128</t>
        </is>
      </c>
      <c r="B2130" t="inlineStr">
        <is>
          <t>2025-10-06 14:51:00</t>
        </is>
      </c>
      <c r="C2130" t="inlineStr">
        <is>
          <t>Webinar</t>
        </is>
      </c>
      <c r="D2130" t="inlineStr">
        <is>
          <t>Language Learning</t>
        </is>
      </c>
      <c r="E2130" t="inlineStr">
        <is>
          <t>South Region</t>
        </is>
      </c>
      <c r="F2130" t="inlineStr">
        <is>
          <t>Rep_12</t>
        </is>
      </c>
      <c r="G2130" t="n">
        <v>2.37</v>
      </c>
      <c r="H2130" t="inlineStr">
        <is>
          <t>Closed</t>
        </is>
      </c>
      <c r="I2130" t="inlineStr">
        <is>
          <t>Won</t>
        </is>
      </c>
      <c r="K2130" t="n">
        <v>371.82</v>
      </c>
      <c r="L2130" t="inlineStr">
        <is>
          <t>2025-11-29 16:49:00.125466</t>
        </is>
      </c>
      <c r="M2130">
        <f>VLOOKUP(H2130,'Stage Order'!$A$2:$B$8,2,FALSE)</f>
        <v/>
      </c>
      <c r="N2130">
        <f>IF(G2130&lt;=1,"1. Under 1 hour",IF(G2130&lt;=24,"2. 1-24 hours",IF(G2130&lt;=72,"3. 1-3 days","4. Over 3 days")))</f>
        <v/>
      </c>
      <c r="O2130">
        <f>TEXT(B2130,"YYYY-MM")</f>
        <v/>
      </c>
    </row>
    <row r="2131">
      <c r="A2131" t="inlineStr">
        <is>
          <t>LD-302129</t>
        </is>
      </c>
      <c r="B2131" t="inlineStr">
        <is>
          <t>2025-10-03 19:54:00</t>
        </is>
      </c>
      <c r="C2131" t="inlineStr">
        <is>
          <t>Referral</t>
        </is>
      </c>
      <c r="D2131" t="inlineStr">
        <is>
          <t>Language Learning</t>
        </is>
      </c>
      <c r="E2131" t="inlineStr">
        <is>
          <t>South Region</t>
        </is>
      </c>
      <c r="F2131" t="inlineStr">
        <is>
          <t>Rep_12</t>
        </is>
      </c>
      <c r="G2131" t="n">
        <v>5.48</v>
      </c>
      <c r="H2131" t="inlineStr">
        <is>
          <t>Negotiation</t>
        </is>
      </c>
      <c r="I2131" t="inlineStr">
        <is>
          <t>Lost</t>
        </is>
      </c>
      <c r="J2131" t="inlineStr">
        <is>
          <t>Bad Timing</t>
        </is>
      </c>
      <c r="K2131" t="n">
        <v>315.79</v>
      </c>
      <c r="L2131" t="inlineStr">
        <is>
          <t>2025-11-04 06:00:12.845026</t>
        </is>
      </c>
      <c r="M2131">
        <f>VLOOKUP(H2131,'Stage Order'!$A$2:$B$8,2,FALSE)</f>
        <v/>
      </c>
      <c r="N2131">
        <f>IF(G2131&lt;=1,"1. Under 1 hour",IF(G2131&lt;=24,"2. 1-24 hours",IF(G2131&lt;=72,"3. 1-3 days","4. Over 3 days")))</f>
        <v/>
      </c>
      <c r="O2131">
        <f>TEXT(B2131,"YYYY-MM")</f>
        <v/>
      </c>
    </row>
    <row r="2132">
      <c r="A2132" t="inlineStr">
        <is>
          <t>LD-302130</t>
        </is>
      </c>
      <c r="B2132" t="inlineStr">
        <is>
          <t>2026-06-27 17:00:00</t>
        </is>
      </c>
      <c r="C2132" t="inlineStr">
        <is>
          <t>Cold Outreach</t>
        </is>
      </c>
      <c r="D2132" t="inlineStr">
        <is>
          <t>K-12 Math</t>
        </is>
      </c>
      <c r="E2132" t="inlineStr">
        <is>
          <t>South Region</t>
        </is>
      </c>
      <c r="F2132" t="inlineStr">
        <is>
          <t>Rep_02</t>
        </is>
      </c>
      <c r="G2132" t="n">
        <v>1</v>
      </c>
      <c r="H2132" t="inlineStr">
        <is>
          <t>Lead</t>
        </is>
      </c>
      <c r="I2132" t="inlineStr">
        <is>
          <t>Open</t>
        </is>
      </c>
      <c r="M2132">
        <f>VLOOKUP(H2132,'Stage Order'!$A$2:$B$8,2,FALSE)</f>
        <v/>
      </c>
      <c r="N2132">
        <f>IF(G2132&lt;=1,"1. Under 1 hour",IF(G2132&lt;=24,"2. 1-24 hours",IF(G2132&lt;=72,"3. 1-3 days","4. Over 3 days")))</f>
        <v/>
      </c>
      <c r="O2132">
        <f>TEXT(B2132,"YYYY-MM")</f>
        <v/>
      </c>
    </row>
    <row r="2133">
      <c r="A2133" t="inlineStr">
        <is>
          <t>LD-302131</t>
        </is>
      </c>
      <c r="B2133" t="inlineStr">
        <is>
          <t>2025-05-12 20:27:00</t>
        </is>
      </c>
      <c r="C2133" t="inlineStr">
        <is>
          <t>Social Media</t>
        </is>
      </c>
      <c r="D2133" t="inlineStr">
        <is>
          <t>Competitive Exam Prep</t>
        </is>
      </c>
      <c r="E2133" t="inlineStr">
        <is>
          <t>North Region</t>
        </is>
      </c>
      <c r="F2133" t="inlineStr">
        <is>
          <t>Rep_11</t>
        </is>
      </c>
      <c r="G2133" t="n">
        <v>6.4</v>
      </c>
      <c r="H2133" t="inlineStr">
        <is>
          <t>Proposal Sent</t>
        </is>
      </c>
      <c r="I2133" t="inlineStr">
        <is>
          <t>Lost</t>
        </is>
      </c>
      <c r="J2133" t="inlineStr">
        <is>
          <t>Bad Timing</t>
        </is>
      </c>
      <c r="K2133" t="n">
        <v>1042.8</v>
      </c>
      <c r="L2133" t="inlineStr">
        <is>
          <t>2025-06-20 18:57:35.786857</t>
        </is>
      </c>
      <c r="M2133">
        <f>VLOOKUP(H2133,'Stage Order'!$A$2:$B$8,2,FALSE)</f>
        <v/>
      </c>
      <c r="N2133">
        <f>IF(G2133&lt;=1,"1. Under 1 hour",IF(G2133&lt;=24,"2. 1-24 hours",IF(G2133&lt;=72,"3. 1-3 days","4. Over 3 days")))</f>
        <v/>
      </c>
      <c r="O2133">
        <f>TEXT(B2133,"YYYY-MM")</f>
        <v/>
      </c>
    </row>
    <row r="2134">
      <c r="A2134" t="inlineStr">
        <is>
          <t>LD-302132</t>
        </is>
      </c>
      <c r="B2134" t="inlineStr">
        <is>
          <t>2025-10-19 14:09:00</t>
        </is>
      </c>
      <c r="C2134" t="inlineStr">
        <is>
          <t>Cold Outreach</t>
        </is>
      </c>
      <c r="D2134" t="inlineStr">
        <is>
          <t>Study Abroad Prep</t>
        </is>
      </c>
      <c r="E2134" t="inlineStr">
        <is>
          <t>North Region</t>
        </is>
      </c>
      <c r="F2134" t="inlineStr">
        <is>
          <t>Rep_06</t>
        </is>
      </c>
      <c r="G2134" t="n">
        <v>11.05</v>
      </c>
      <c r="H2134" t="inlineStr">
        <is>
          <t>Demo Completed</t>
        </is>
      </c>
      <c r="I2134" t="inlineStr">
        <is>
          <t>Lost</t>
        </is>
      </c>
      <c r="J2134" t="inlineStr">
        <is>
          <t>Bad Timing</t>
        </is>
      </c>
      <c r="K2134" t="n">
        <v>1492.03</v>
      </c>
      <c r="L2134" t="inlineStr">
        <is>
          <t>2025-11-19 19:51:05.509432</t>
        </is>
      </c>
      <c r="M2134">
        <f>VLOOKUP(H2134,'Stage Order'!$A$2:$B$8,2,FALSE)</f>
        <v/>
      </c>
      <c r="N2134">
        <f>IF(G2134&lt;=1,"1. Under 1 hour",IF(G2134&lt;=24,"2. 1-24 hours",IF(G2134&lt;=72,"3. 1-3 days","4. Over 3 days")))</f>
        <v/>
      </c>
      <c r="O2134">
        <f>TEXT(B2134,"YYYY-MM")</f>
        <v/>
      </c>
    </row>
    <row r="2135">
      <c r="A2135" t="inlineStr">
        <is>
          <t>LD-302133</t>
        </is>
      </c>
      <c r="B2135" t="inlineStr">
        <is>
          <t>2026-01-09 15:52:00</t>
        </is>
      </c>
      <c r="C2135" t="inlineStr">
        <is>
          <t>Referral</t>
        </is>
      </c>
      <c r="D2135" t="inlineStr">
        <is>
          <t>Language Learning</t>
        </is>
      </c>
      <c r="E2135" t="inlineStr">
        <is>
          <t>South Region</t>
        </is>
      </c>
      <c r="F2135" t="inlineStr">
        <is>
          <t>Rep_12</t>
        </is>
      </c>
      <c r="G2135" t="n">
        <v>2.71</v>
      </c>
      <c r="H2135" t="inlineStr">
        <is>
          <t>Closed</t>
        </is>
      </c>
      <c r="I2135" t="inlineStr">
        <is>
          <t>Won</t>
        </is>
      </c>
      <c r="K2135" t="n">
        <v>378.6</v>
      </c>
      <c r="L2135" t="inlineStr">
        <is>
          <t>2026-02-20 02:36:44.201520</t>
        </is>
      </c>
      <c r="M2135">
        <f>VLOOKUP(H2135,'Stage Order'!$A$2:$B$8,2,FALSE)</f>
        <v/>
      </c>
      <c r="N2135">
        <f>IF(G2135&lt;=1,"1. Under 1 hour",IF(G2135&lt;=24,"2. 1-24 hours",IF(G2135&lt;=72,"3. 1-3 days","4. Over 3 days")))</f>
        <v/>
      </c>
      <c r="O2135">
        <f>TEXT(B2135,"YYYY-MM")</f>
        <v/>
      </c>
    </row>
    <row r="2136">
      <c r="A2136" t="inlineStr">
        <is>
          <t>LD-302134</t>
        </is>
      </c>
      <c r="B2136" t="inlineStr">
        <is>
          <t>2025-06-01 07:34:00</t>
        </is>
      </c>
      <c r="C2136" t="inlineStr">
        <is>
          <t>Cold Outreach</t>
        </is>
      </c>
      <c r="D2136" t="inlineStr">
        <is>
          <t>Study Abroad Prep</t>
        </is>
      </c>
      <c r="E2136" t="inlineStr">
        <is>
          <t>South Region</t>
        </is>
      </c>
      <c r="F2136" t="inlineStr">
        <is>
          <t>Rep_07</t>
        </is>
      </c>
      <c r="G2136" t="n">
        <v>1.12</v>
      </c>
      <c r="H2136" t="inlineStr">
        <is>
          <t>Lead</t>
        </is>
      </c>
      <c r="I2136" t="inlineStr">
        <is>
          <t>Open</t>
        </is>
      </c>
      <c r="M2136">
        <f>VLOOKUP(H2136,'Stage Order'!$A$2:$B$8,2,FALSE)</f>
        <v/>
      </c>
      <c r="N2136">
        <f>IF(G2136&lt;=1,"1. Under 1 hour",IF(G2136&lt;=24,"2. 1-24 hours",IF(G2136&lt;=72,"3. 1-3 days","4. Over 3 days")))</f>
        <v/>
      </c>
      <c r="O2136">
        <f>TEXT(B2136,"YYYY-MM")</f>
        <v/>
      </c>
    </row>
    <row r="2137">
      <c r="A2137" t="inlineStr">
        <is>
          <t>LD-302135</t>
        </is>
      </c>
      <c r="B2137" t="inlineStr">
        <is>
          <t>2025-01-07 20:02:00</t>
        </is>
      </c>
      <c r="C2137" t="inlineStr">
        <is>
          <t>Paid Search</t>
        </is>
      </c>
      <c r="D2137" t="inlineStr">
        <is>
          <t>Competitive Exam Prep</t>
        </is>
      </c>
      <c r="E2137" t="inlineStr">
        <is>
          <t>South Region</t>
        </is>
      </c>
      <c r="F2137" t="inlineStr">
        <is>
          <t>Rep_02</t>
        </is>
      </c>
      <c r="G2137" t="n">
        <v>0.53</v>
      </c>
      <c r="H2137" t="inlineStr">
        <is>
          <t>Contacted</t>
        </is>
      </c>
      <c r="I2137" t="inlineStr">
        <is>
          <t>Open</t>
        </is>
      </c>
      <c r="M2137">
        <f>VLOOKUP(H2137,'Stage Order'!$A$2:$B$8,2,FALSE)</f>
        <v/>
      </c>
      <c r="N2137">
        <f>IF(G2137&lt;=1,"1. Under 1 hour",IF(G2137&lt;=24,"2. 1-24 hours",IF(G2137&lt;=72,"3. 1-3 days","4. Over 3 days")))</f>
        <v/>
      </c>
      <c r="O2137">
        <f>TEXT(B2137,"YYYY-MM")</f>
        <v/>
      </c>
    </row>
    <row r="2138">
      <c r="A2138" t="inlineStr">
        <is>
          <t>LD-302136</t>
        </is>
      </c>
      <c r="B2138" t="inlineStr">
        <is>
          <t>2026-05-03 14:15:00</t>
        </is>
      </c>
      <c r="C2138" t="inlineStr">
        <is>
          <t>Partner Channel</t>
        </is>
      </c>
      <c r="D2138" t="inlineStr">
        <is>
          <t>Competitive Exam Prep</t>
        </is>
      </c>
      <c r="E2138" t="inlineStr">
        <is>
          <t>South Region</t>
        </is>
      </c>
      <c r="F2138" t="inlineStr">
        <is>
          <t>Rep_12</t>
        </is>
      </c>
      <c r="G2138" t="n">
        <v>7.56</v>
      </c>
      <c r="H2138" t="inlineStr">
        <is>
          <t>Contacted</t>
        </is>
      </c>
      <c r="I2138" t="inlineStr">
        <is>
          <t>Open</t>
        </is>
      </c>
      <c r="M2138">
        <f>VLOOKUP(H2138,'Stage Order'!$A$2:$B$8,2,FALSE)</f>
        <v/>
      </c>
      <c r="N2138">
        <f>IF(G2138&lt;=1,"1. Under 1 hour",IF(G2138&lt;=24,"2. 1-24 hours",IF(G2138&lt;=72,"3. 1-3 days","4. Over 3 days")))</f>
        <v/>
      </c>
      <c r="O2138">
        <f>TEXT(B2138,"YYYY-MM")</f>
        <v/>
      </c>
    </row>
    <row r="2139">
      <c r="A2139" t="inlineStr">
        <is>
          <t>LD-302137</t>
        </is>
      </c>
      <c r="B2139" t="inlineStr">
        <is>
          <t>2025-03-19 20:04:00</t>
        </is>
      </c>
      <c r="C2139" t="inlineStr">
        <is>
          <t>Referral</t>
        </is>
      </c>
      <c r="D2139" t="inlineStr">
        <is>
          <t>Language Learning</t>
        </is>
      </c>
      <c r="E2139" t="inlineStr">
        <is>
          <t>East Region</t>
        </is>
      </c>
      <c r="F2139" t="inlineStr">
        <is>
          <t>Rep_14</t>
        </is>
      </c>
      <c r="G2139" t="n">
        <v>2.74</v>
      </c>
      <c r="H2139" t="inlineStr">
        <is>
          <t>Demo Completed</t>
        </is>
      </c>
      <c r="I2139" t="inlineStr">
        <is>
          <t>Lost</t>
        </is>
      </c>
      <c r="J2139" t="inlineStr">
        <is>
          <t>Price Objection</t>
        </is>
      </c>
      <c r="K2139" t="n">
        <v>314.54</v>
      </c>
      <c r="L2139" t="inlineStr">
        <is>
          <t>2025-04-14 21:28:41.641964</t>
        </is>
      </c>
      <c r="M2139">
        <f>VLOOKUP(H2139,'Stage Order'!$A$2:$B$8,2,FALSE)</f>
        <v/>
      </c>
      <c r="N2139">
        <f>IF(G2139&lt;=1,"1. Under 1 hour",IF(G2139&lt;=24,"2. 1-24 hours",IF(G2139&lt;=72,"3. 1-3 days","4. Over 3 days")))</f>
        <v/>
      </c>
      <c r="O2139">
        <f>TEXT(B2139,"YYYY-MM")</f>
        <v/>
      </c>
    </row>
    <row r="2140">
      <c r="A2140" t="inlineStr">
        <is>
          <t>LD-302138</t>
        </is>
      </c>
      <c r="B2140" t="inlineStr">
        <is>
          <t>2025-05-26 18:57:00</t>
        </is>
      </c>
      <c r="C2140" t="inlineStr">
        <is>
          <t>Organic Search</t>
        </is>
      </c>
      <c r="D2140" t="inlineStr">
        <is>
          <t>Competitive Exam Prep</t>
        </is>
      </c>
      <c r="E2140" t="inlineStr">
        <is>
          <t>South Region</t>
        </is>
      </c>
      <c r="F2140" t="inlineStr">
        <is>
          <t>Rep_12</t>
        </is>
      </c>
      <c r="G2140" t="n">
        <v>1.06</v>
      </c>
      <c r="H2140" t="inlineStr">
        <is>
          <t>Contacted</t>
        </is>
      </c>
      <c r="I2140" t="inlineStr">
        <is>
          <t>Open</t>
        </is>
      </c>
      <c r="M2140">
        <f>VLOOKUP(H2140,'Stage Order'!$A$2:$B$8,2,FALSE)</f>
        <v/>
      </c>
      <c r="N2140">
        <f>IF(G2140&lt;=1,"1. Under 1 hour",IF(G2140&lt;=24,"2. 1-24 hours",IF(G2140&lt;=72,"3. 1-3 days","4. Over 3 days")))</f>
        <v/>
      </c>
      <c r="O2140">
        <f>TEXT(B2140,"YYYY-MM")</f>
        <v/>
      </c>
    </row>
    <row r="2141">
      <c r="A2141" t="inlineStr">
        <is>
          <t>LD-302139</t>
        </is>
      </c>
      <c r="B2141" t="inlineStr">
        <is>
          <t>2026-02-22 15:01:00</t>
        </is>
      </c>
      <c r="C2141" t="inlineStr">
        <is>
          <t>Social Media</t>
        </is>
      </c>
      <c r="D2141" t="inlineStr">
        <is>
          <t>K-12 Math</t>
        </is>
      </c>
      <c r="E2141" t="inlineStr">
        <is>
          <t>South Region</t>
        </is>
      </c>
      <c r="F2141" t="inlineStr">
        <is>
          <t>Rep_07</t>
        </is>
      </c>
      <c r="G2141" t="n">
        <v>1.95</v>
      </c>
      <c r="H2141" t="inlineStr">
        <is>
          <t>Proposal Sent</t>
        </is>
      </c>
      <c r="I2141" t="inlineStr">
        <is>
          <t>Lost</t>
        </is>
      </c>
      <c r="J2141" t="inlineStr">
        <is>
          <t>Bad Timing</t>
        </is>
      </c>
      <c r="K2141" t="n">
        <v>495.08</v>
      </c>
      <c r="L2141" t="inlineStr">
        <is>
          <t>2026-04-09 01:33:44.547112</t>
        </is>
      </c>
      <c r="M2141">
        <f>VLOOKUP(H2141,'Stage Order'!$A$2:$B$8,2,FALSE)</f>
        <v/>
      </c>
      <c r="N2141">
        <f>IF(G2141&lt;=1,"1. Under 1 hour",IF(G2141&lt;=24,"2. 1-24 hours",IF(G2141&lt;=72,"3. 1-3 days","4. Over 3 days")))</f>
        <v/>
      </c>
      <c r="O2141">
        <f>TEXT(B2141,"YYYY-MM")</f>
        <v/>
      </c>
    </row>
    <row r="2142">
      <c r="A2142" t="inlineStr">
        <is>
          <t>LD-302140</t>
        </is>
      </c>
      <c r="B2142" t="inlineStr">
        <is>
          <t>2025-04-29 07:41:00</t>
        </is>
      </c>
      <c r="C2142" t="inlineStr">
        <is>
          <t>Webinar</t>
        </is>
      </c>
      <c r="D2142" t="inlineStr">
        <is>
          <t>Study Abroad Prep</t>
        </is>
      </c>
      <c r="E2142" t="inlineStr">
        <is>
          <t>South Region</t>
        </is>
      </c>
      <c r="F2142" t="inlineStr">
        <is>
          <t>Rep_02</t>
        </is>
      </c>
      <c r="G2142" t="n">
        <v>1.2</v>
      </c>
      <c r="H2142" t="inlineStr">
        <is>
          <t>Closed</t>
        </is>
      </c>
      <c r="I2142" t="inlineStr">
        <is>
          <t>Won</t>
        </is>
      </c>
      <c r="K2142" t="n">
        <v>1707.56</v>
      </c>
      <c r="L2142" t="inlineStr">
        <is>
          <t>2025-05-28 12:37:00.094919</t>
        </is>
      </c>
      <c r="M2142">
        <f>VLOOKUP(H2142,'Stage Order'!$A$2:$B$8,2,FALSE)</f>
        <v/>
      </c>
      <c r="N2142">
        <f>IF(G2142&lt;=1,"1. Under 1 hour",IF(G2142&lt;=24,"2. 1-24 hours",IF(G2142&lt;=72,"3. 1-3 days","4. Over 3 days")))</f>
        <v/>
      </c>
      <c r="O2142">
        <f>TEXT(B2142,"YYYY-MM")</f>
        <v/>
      </c>
    </row>
    <row r="2143">
      <c r="A2143" t="inlineStr">
        <is>
          <t>LD-302141</t>
        </is>
      </c>
      <c r="B2143" t="inlineStr">
        <is>
          <t>2026-04-10 18:34:00</t>
        </is>
      </c>
      <c r="C2143" t="inlineStr">
        <is>
          <t>Referral</t>
        </is>
      </c>
      <c r="D2143" t="inlineStr">
        <is>
          <t>Competitive Exam Prep</t>
        </is>
      </c>
      <c r="E2143" t="inlineStr">
        <is>
          <t>South Region</t>
        </is>
      </c>
      <c r="F2143" t="inlineStr">
        <is>
          <t>Rep_12</t>
        </is>
      </c>
      <c r="G2143" t="n">
        <v>4.14</v>
      </c>
      <c r="H2143" t="inlineStr">
        <is>
          <t>Demo Scheduled</t>
        </is>
      </c>
      <c r="I2143" t="inlineStr">
        <is>
          <t>Open</t>
        </is>
      </c>
      <c r="M2143">
        <f>VLOOKUP(H2143,'Stage Order'!$A$2:$B$8,2,FALSE)</f>
        <v/>
      </c>
      <c r="N2143">
        <f>IF(G2143&lt;=1,"1. Under 1 hour",IF(G2143&lt;=24,"2. 1-24 hours",IF(G2143&lt;=72,"3. 1-3 days","4. Over 3 days")))</f>
        <v/>
      </c>
      <c r="O2143">
        <f>TEXT(B2143,"YYYY-MM")</f>
        <v/>
      </c>
    </row>
    <row r="2144">
      <c r="A2144" t="inlineStr">
        <is>
          <t>LD-302142</t>
        </is>
      </c>
      <c r="B2144" t="inlineStr">
        <is>
          <t>2025-04-25 15:08:00</t>
        </is>
      </c>
      <c r="C2144" t="inlineStr">
        <is>
          <t>Partner Channel</t>
        </is>
      </c>
      <c r="D2144" t="inlineStr">
        <is>
          <t>K-12 Math</t>
        </is>
      </c>
      <c r="E2144" t="inlineStr">
        <is>
          <t>North Region</t>
        </is>
      </c>
      <c r="F2144" t="inlineStr">
        <is>
          <t>Rep_01</t>
        </is>
      </c>
      <c r="G2144" t="n">
        <v>9.4</v>
      </c>
      <c r="H2144" t="inlineStr">
        <is>
          <t>Demo Completed</t>
        </is>
      </c>
      <c r="I2144" t="inlineStr">
        <is>
          <t>Lost</t>
        </is>
      </c>
      <c r="J2144" t="inlineStr">
        <is>
          <t>No Response / Ghosted</t>
        </is>
      </c>
      <c r="K2144" t="n">
        <v>460.1</v>
      </c>
      <c r="L2144" t="inlineStr">
        <is>
          <t>2025-05-28 16:01:34.951673</t>
        </is>
      </c>
      <c r="M2144">
        <f>VLOOKUP(H2144,'Stage Order'!$A$2:$B$8,2,FALSE)</f>
        <v/>
      </c>
      <c r="N2144">
        <f>IF(G2144&lt;=1,"1. Under 1 hour",IF(G2144&lt;=24,"2. 1-24 hours",IF(G2144&lt;=72,"3. 1-3 days","4. Over 3 days")))</f>
        <v/>
      </c>
      <c r="O2144">
        <f>TEXT(B2144,"YYYY-MM")</f>
        <v/>
      </c>
    </row>
    <row r="2145">
      <c r="A2145" t="inlineStr">
        <is>
          <t>LD-302143</t>
        </is>
      </c>
      <c r="B2145" t="inlineStr">
        <is>
          <t>2025-12-23 11:27:00</t>
        </is>
      </c>
      <c r="C2145" t="inlineStr">
        <is>
          <t>Paid Search</t>
        </is>
      </c>
      <c r="D2145" t="inlineStr">
        <is>
          <t>Competitive Exam Prep</t>
        </is>
      </c>
      <c r="E2145" t="inlineStr">
        <is>
          <t>South Region</t>
        </is>
      </c>
      <c r="F2145" t="inlineStr">
        <is>
          <t>Rep_02</t>
        </is>
      </c>
      <c r="G2145" t="n">
        <v>27.67</v>
      </c>
      <c r="H2145" t="inlineStr">
        <is>
          <t>Contacted</t>
        </is>
      </c>
      <c r="I2145" t="inlineStr">
        <is>
          <t>Open</t>
        </is>
      </c>
      <c r="M2145">
        <f>VLOOKUP(H2145,'Stage Order'!$A$2:$B$8,2,FALSE)</f>
        <v/>
      </c>
      <c r="N2145">
        <f>IF(G2145&lt;=1,"1. Under 1 hour",IF(G2145&lt;=24,"2. 1-24 hours",IF(G2145&lt;=72,"3. 1-3 days","4. Over 3 days")))</f>
        <v/>
      </c>
      <c r="O2145">
        <f>TEXT(B2145,"YYYY-MM")</f>
        <v/>
      </c>
    </row>
    <row r="2146">
      <c r="A2146" t="inlineStr">
        <is>
          <t>LD-302144</t>
        </is>
      </c>
      <c r="B2146" t="inlineStr">
        <is>
          <t>2026-06-26 12:05:00</t>
        </is>
      </c>
      <c r="C2146" t="inlineStr">
        <is>
          <t>Paid Search</t>
        </is>
      </c>
      <c r="D2146" t="inlineStr">
        <is>
          <t>Competitive Exam Prep</t>
        </is>
      </c>
      <c r="E2146" t="inlineStr">
        <is>
          <t>South Region</t>
        </is>
      </c>
      <c r="F2146" t="inlineStr">
        <is>
          <t>Rep_12</t>
        </is>
      </c>
      <c r="G2146" t="n">
        <v>3.06</v>
      </c>
      <c r="H2146" t="inlineStr">
        <is>
          <t>Proposal Sent</t>
        </is>
      </c>
      <c r="I2146" t="inlineStr">
        <is>
          <t>Lost</t>
        </is>
      </c>
      <c r="J2146" t="inlineStr">
        <is>
          <t>No Response / Ghosted</t>
        </is>
      </c>
      <c r="K2146" t="n">
        <v>1007.78</v>
      </c>
      <c r="L2146" t="inlineStr">
        <is>
          <t>2026-08-18 19:55:13.615434</t>
        </is>
      </c>
      <c r="M2146">
        <f>VLOOKUP(H2146,'Stage Order'!$A$2:$B$8,2,FALSE)</f>
        <v/>
      </c>
      <c r="N2146">
        <f>IF(G2146&lt;=1,"1. Under 1 hour",IF(G2146&lt;=24,"2. 1-24 hours",IF(G2146&lt;=72,"3. 1-3 days","4. Over 3 days")))</f>
        <v/>
      </c>
      <c r="O2146">
        <f>TEXT(B2146,"YYYY-MM")</f>
        <v/>
      </c>
    </row>
    <row r="2147">
      <c r="A2147" t="inlineStr">
        <is>
          <t>LD-302145</t>
        </is>
      </c>
      <c r="B2147" t="inlineStr">
        <is>
          <t>2026-02-02 18:08:00</t>
        </is>
      </c>
      <c r="C2147" t="inlineStr">
        <is>
          <t>Organic Search</t>
        </is>
      </c>
      <c r="D2147" t="inlineStr">
        <is>
          <t>K-12 Math</t>
        </is>
      </c>
      <c r="E2147" t="inlineStr">
        <is>
          <t>East Region</t>
        </is>
      </c>
      <c r="F2147" t="inlineStr">
        <is>
          <t>Rep_04</t>
        </is>
      </c>
      <c r="G2147" t="n">
        <v>3.23</v>
      </c>
      <c r="H2147" t="inlineStr">
        <is>
          <t>Contacted</t>
        </is>
      </c>
      <c r="I2147" t="inlineStr">
        <is>
          <t>Open</t>
        </is>
      </c>
      <c r="M2147">
        <f>VLOOKUP(H2147,'Stage Order'!$A$2:$B$8,2,FALSE)</f>
        <v/>
      </c>
      <c r="N2147">
        <f>IF(G2147&lt;=1,"1. Under 1 hour",IF(G2147&lt;=24,"2. 1-24 hours",IF(G2147&lt;=72,"3. 1-3 days","4. Over 3 days")))</f>
        <v/>
      </c>
      <c r="O2147">
        <f>TEXT(B2147,"YYYY-MM")</f>
        <v/>
      </c>
    </row>
    <row r="2148">
      <c r="A2148" t="inlineStr">
        <is>
          <t>LD-302146</t>
        </is>
      </c>
      <c r="B2148" t="inlineStr">
        <is>
          <t>2026-02-02 19:53:00</t>
        </is>
      </c>
      <c r="C2148" t="inlineStr">
        <is>
          <t>Paid Search</t>
        </is>
      </c>
      <c r="D2148" t="inlineStr">
        <is>
          <t>K-12 Math</t>
        </is>
      </c>
      <c r="E2148" t="inlineStr">
        <is>
          <t>International</t>
        </is>
      </c>
      <c r="F2148" t="inlineStr">
        <is>
          <t>Rep_15</t>
        </is>
      </c>
      <c r="G2148" t="n">
        <v>2.93</v>
      </c>
      <c r="H2148" t="inlineStr">
        <is>
          <t>Contacted</t>
        </is>
      </c>
      <c r="I2148" t="inlineStr">
        <is>
          <t>Open</t>
        </is>
      </c>
      <c r="M2148">
        <f>VLOOKUP(H2148,'Stage Order'!$A$2:$B$8,2,FALSE)</f>
        <v/>
      </c>
      <c r="N2148">
        <f>IF(G2148&lt;=1,"1. Under 1 hour",IF(G2148&lt;=24,"2. 1-24 hours",IF(G2148&lt;=72,"3. 1-3 days","4. Over 3 days")))</f>
        <v/>
      </c>
      <c r="O2148">
        <f>TEXT(B2148,"YYYY-MM")</f>
        <v/>
      </c>
    </row>
    <row r="2149">
      <c r="A2149" t="inlineStr">
        <is>
          <t>LD-302147</t>
        </is>
      </c>
      <c r="B2149" t="inlineStr">
        <is>
          <t>2025-07-17 09:47:00</t>
        </is>
      </c>
      <c r="C2149" t="inlineStr">
        <is>
          <t>Partner Channel</t>
        </is>
      </c>
      <c r="D2149" t="inlineStr">
        <is>
          <t>K-12 Math</t>
        </is>
      </c>
      <c r="E2149" t="inlineStr">
        <is>
          <t>North Region</t>
        </is>
      </c>
      <c r="F2149" t="inlineStr">
        <is>
          <t>Rep_01</t>
        </is>
      </c>
      <c r="G2149" t="n">
        <v>2.37</v>
      </c>
      <c r="H2149" t="inlineStr">
        <is>
          <t>Negotiation</t>
        </is>
      </c>
      <c r="I2149" t="inlineStr">
        <is>
          <t>Lost</t>
        </is>
      </c>
      <c r="J2149" t="inlineStr">
        <is>
          <t>Price Objection</t>
        </is>
      </c>
      <c r="K2149" t="n">
        <v>428.55</v>
      </c>
      <c r="L2149" t="inlineStr">
        <is>
          <t>2025-08-27 15:22:20.997339</t>
        </is>
      </c>
      <c r="M2149">
        <f>VLOOKUP(H2149,'Stage Order'!$A$2:$B$8,2,FALSE)</f>
        <v/>
      </c>
      <c r="N2149">
        <f>IF(G2149&lt;=1,"1. Under 1 hour",IF(G2149&lt;=24,"2. 1-24 hours",IF(G2149&lt;=72,"3. 1-3 days","4. Over 3 days")))</f>
        <v/>
      </c>
      <c r="O2149">
        <f>TEXT(B2149,"YYYY-MM")</f>
        <v/>
      </c>
    </row>
    <row r="2150">
      <c r="A2150" t="inlineStr">
        <is>
          <t>LD-302148</t>
        </is>
      </c>
      <c r="B2150" t="inlineStr">
        <is>
          <t>2025-10-27 07:17:00</t>
        </is>
      </c>
      <c r="C2150" t="inlineStr">
        <is>
          <t>Organic Search</t>
        </is>
      </c>
      <c r="D2150" t="inlineStr">
        <is>
          <t>K-12 Math</t>
        </is>
      </c>
      <c r="E2150" t="inlineStr">
        <is>
          <t>West Region</t>
        </is>
      </c>
      <c r="F2150" t="inlineStr">
        <is>
          <t>Rep_03</t>
        </is>
      </c>
      <c r="G2150" t="n">
        <v>2.06</v>
      </c>
      <c r="H2150" t="inlineStr">
        <is>
          <t>Contacted</t>
        </is>
      </c>
      <c r="I2150" t="inlineStr">
        <is>
          <t>Open</t>
        </is>
      </c>
      <c r="M2150">
        <f>VLOOKUP(H2150,'Stage Order'!$A$2:$B$8,2,FALSE)</f>
        <v/>
      </c>
      <c r="N2150">
        <f>IF(G2150&lt;=1,"1. Under 1 hour",IF(G2150&lt;=24,"2. 1-24 hours",IF(G2150&lt;=72,"3. 1-3 days","4. Over 3 days")))</f>
        <v/>
      </c>
      <c r="O2150">
        <f>TEXT(B2150,"YYYY-MM")</f>
        <v/>
      </c>
    </row>
    <row r="2151">
      <c r="A2151" t="inlineStr">
        <is>
          <t>LD-302149</t>
        </is>
      </c>
      <c r="B2151" t="inlineStr">
        <is>
          <t>2026-02-02 20:54:00</t>
        </is>
      </c>
      <c r="C2151" t="inlineStr">
        <is>
          <t>Referral</t>
        </is>
      </c>
      <c r="D2151" t="inlineStr">
        <is>
          <t>K-12 Math</t>
        </is>
      </c>
      <c r="E2151" t="inlineStr">
        <is>
          <t>West Region</t>
        </is>
      </c>
      <c r="F2151" t="inlineStr">
        <is>
          <t>Rep_08</t>
        </is>
      </c>
      <c r="G2151" t="n">
        <v>0.66</v>
      </c>
      <c r="H2151" t="inlineStr">
        <is>
          <t>Closed</t>
        </is>
      </c>
      <c r="I2151" t="inlineStr">
        <is>
          <t>Won</t>
        </is>
      </c>
      <c r="K2151" t="n">
        <v>416.28</v>
      </c>
      <c r="L2151" t="inlineStr">
        <is>
          <t>2026-03-08 22:38:59.681990</t>
        </is>
      </c>
      <c r="M2151">
        <f>VLOOKUP(H2151,'Stage Order'!$A$2:$B$8,2,FALSE)</f>
        <v/>
      </c>
      <c r="N2151">
        <f>IF(G2151&lt;=1,"1. Under 1 hour",IF(G2151&lt;=24,"2. 1-24 hours",IF(G2151&lt;=72,"3. 1-3 days","4. Over 3 days")))</f>
        <v/>
      </c>
      <c r="O2151">
        <f>TEXT(B2151,"YYYY-MM")</f>
        <v/>
      </c>
    </row>
    <row r="2152">
      <c r="A2152" t="inlineStr">
        <is>
          <t>LD-302150</t>
        </is>
      </c>
      <c r="B2152" t="inlineStr">
        <is>
          <t>2025-07-17 17:07:00</t>
        </is>
      </c>
      <c r="C2152" t="inlineStr">
        <is>
          <t>Cold Outreach</t>
        </is>
      </c>
      <c r="D2152" t="inlineStr">
        <is>
          <t>Competitive Exam Prep</t>
        </is>
      </c>
      <c r="E2152" t="inlineStr">
        <is>
          <t>West Region</t>
        </is>
      </c>
      <c r="F2152" t="inlineStr">
        <is>
          <t>Rep_03</t>
        </is>
      </c>
      <c r="G2152" t="n">
        <v>3.74</v>
      </c>
      <c r="H2152" t="inlineStr">
        <is>
          <t>Lead</t>
        </is>
      </c>
      <c r="I2152" t="inlineStr">
        <is>
          <t>Open</t>
        </is>
      </c>
      <c r="M2152">
        <f>VLOOKUP(H2152,'Stage Order'!$A$2:$B$8,2,FALSE)</f>
        <v/>
      </c>
      <c r="N2152">
        <f>IF(G2152&lt;=1,"1. Under 1 hour",IF(G2152&lt;=24,"2. 1-24 hours",IF(G2152&lt;=72,"3. 1-3 days","4. Over 3 days")))</f>
        <v/>
      </c>
      <c r="O2152">
        <f>TEXT(B2152,"YYYY-MM")</f>
        <v/>
      </c>
    </row>
    <row r="2153">
      <c r="A2153" t="inlineStr">
        <is>
          <t>LD-302151</t>
        </is>
      </c>
      <c r="B2153" t="inlineStr">
        <is>
          <t>2025-03-28 11:46:00</t>
        </is>
      </c>
      <c r="C2153" t="inlineStr">
        <is>
          <t>Cold Outreach</t>
        </is>
      </c>
      <c r="D2153" t="inlineStr">
        <is>
          <t>K-12 Math</t>
        </is>
      </c>
      <c r="E2153" t="inlineStr">
        <is>
          <t>East Region</t>
        </is>
      </c>
      <c r="F2153" t="inlineStr">
        <is>
          <t>Rep_04</t>
        </is>
      </c>
      <c r="G2153" t="n">
        <v>12.91</v>
      </c>
      <c r="H2153" t="inlineStr">
        <is>
          <t>Contacted</t>
        </is>
      </c>
      <c r="I2153" t="inlineStr">
        <is>
          <t>Open</t>
        </is>
      </c>
      <c r="M2153">
        <f>VLOOKUP(H2153,'Stage Order'!$A$2:$B$8,2,FALSE)</f>
        <v/>
      </c>
      <c r="N2153">
        <f>IF(G2153&lt;=1,"1. Under 1 hour",IF(G2153&lt;=24,"2. 1-24 hours",IF(G2153&lt;=72,"3. 1-3 days","4. Over 3 days")))</f>
        <v/>
      </c>
      <c r="O2153">
        <f>TEXT(B2153,"YYYY-MM")</f>
        <v/>
      </c>
    </row>
    <row r="2154">
      <c r="A2154" t="inlineStr">
        <is>
          <t>LD-302152</t>
        </is>
      </c>
      <c r="B2154" t="inlineStr">
        <is>
          <t>2025-05-16 09:49:00</t>
        </is>
      </c>
      <c r="C2154" t="inlineStr">
        <is>
          <t>Social Media</t>
        </is>
      </c>
      <c r="D2154" t="inlineStr">
        <is>
          <t>Language Learning</t>
        </is>
      </c>
      <c r="E2154" t="inlineStr">
        <is>
          <t>North Region</t>
        </is>
      </c>
      <c r="F2154" t="inlineStr">
        <is>
          <t>Rep_11</t>
        </is>
      </c>
      <c r="G2154" t="n">
        <v>4.38</v>
      </c>
      <c r="H2154" t="inlineStr">
        <is>
          <t>Proposal Sent</t>
        </is>
      </c>
      <c r="I2154" t="inlineStr">
        <is>
          <t>Lost</t>
        </is>
      </c>
      <c r="J2154" t="inlineStr">
        <is>
          <t>Budget Not Approved</t>
        </is>
      </c>
      <c r="K2154" t="n">
        <v>422.66</v>
      </c>
      <c r="L2154" t="inlineStr">
        <is>
          <t>2025-06-23 05:58:11.030651</t>
        </is>
      </c>
      <c r="M2154">
        <f>VLOOKUP(H2154,'Stage Order'!$A$2:$B$8,2,FALSE)</f>
        <v/>
      </c>
      <c r="N2154">
        <f>IF(G2154&lt;=1,"1. Under 1 hour",IF(G2154&lt;=24,"2. 1-24 hours",IF(G2154&lt;=72,"3. 1-3 days","4. Over 3 days")))</f>
        <v/>
      </c>
      <c r="O2154">
        <f>TEXT(B2154,"YYYY-MM")</f>
        <v/>
      </c>
    </row>
    <row r="2155">
      <c r="A2155" t="inlineStr">
        <is>
          <t>LD-302153</t>
        </is>
      </c>
      <c r="B2155" t="inlineStr">
        <is>
          <t>2025-05-26 11:23:00</t>
        </is>
      </c>
      <c r="C2155" t="inlineStr">
        <is>
          <t>Social Media</t>
        </is>
      </c>
      <c r="D2155" t="inlineStr">
        <is>
          <t>K-12 Math</t>
        </is>
      </c>
      <c r="E2155" t="inlineStr">
        <is>
          <t>South Region</t>
        </is>
      </c>
      <c r="F2155" t="inlineStr">
        <is>
          <t>Rep_07</t>
        </is>
      </c>
      <c r="G2155" t="n">
        <v>0.79</v>
      </c>
      <c r="H2155" t="inlineStr">
        <is>
          <t>Contacted</t>
        </is>
      </c>
      <c r="I2155" t="inlineStr">
        <is>
          <t>Open</t>
        </is>
      </c>
      <c r="M2155">
        <f>VLOOKUP(H2155,'Stage Order'!$A$2:$B$8,2,FALSE)</f>
        <v/>
      </c>
      <c r="N2155">
        <f>IF(G2155&lt;=1,"1. Under 1 hour",IF(G2155&lt;=24,"2. 1-24 hours",IF(G2155&lt;=72,"3. 1-3 days","4. Over 3 days")))</f>
        <v/>
      </c>
      <c r="O2155">
        <f>TEXT(B2155,"YYYY-MM")</f>
        <v/>
      </c>
    </row>
    <row r="2156">
      <c r="A2156" t="inlineStr">
        <is>
          <t>LD-302154</t>
        </is>
      </c>
      <c r="B2156" t="inlineStr">
        <is>
          <t>2025-01-03 19:05:00</t>
        </is>
      </c>
      <c r="C2156" t="inlineStr">
        <is>
          <t>Organic Search</t>
        </is>
      </c>
      <c r="D2156" t="inlineStr">
        <is>
          <t>Coding for Kids</t>
        </is>
      </c>
      <c r="E2156" t="inlineStr">
        <is>
          <t>South Region</t>
        </is>
      </c>
      <c r="F2156" t="inlineStr">
        <is>
          <t>Rep_02</t>
        </is>
      </c>
      <c r="G2156" t="n">
        <v>0.45</v>
      </c>
      <c r="H2156" t="inlineStr">
        <is>
          <t>Contacted</t>
        </is>
      </c>
      <c r="I2156" t="inlineStr">
        <is>
          <t>Open</t>
        </is>
      </c>
      <c r="M2156">
        <f>VLOOKUP(H2156,'Stage Order'!$A$2:$B$8,2,FALSE)</f>
        <v/>
      </c>
      <c r="N2156">
        <f>IF(G2156&lt;=1,"1. Under 1 hour",IF(G2156&lt;=24,"2. 1-24 hours",IF(G2156&lt;=72,"3. 1-3 days","4. Over 3 days")))</f>
        <v/>
      </c>
      <c r="O2156">
        <f>TEXT(B2156,"YYYY-MM")</f>
        <v/>
      </c>
    </row>
    <row r="2157">
      <c r="A2157" t="inlineStr">
        <is>
          <t>LD-302155</t>
        </is>
      </c>
      <c r="B2157" t="inlineStr">
        <is>
          <t>2026-03-02 08:57:00</t>
        </is>
      </c>
      <c r="C2157" t="inlineStr">
        <is>
          <t>Referral</t>
        </is>
      </c>
      <c r="D2157" t="inlineStr">
        <is>
          <t>Competitive Exam Prep</t>
        </is>
      </c>
      <c r="E2157" t="inlineStr">
        <is>
          <t>East Region</t>
        </is>
      </c>
      <c r="F2157" t="inlineStr">
        <is>
          <t>Rep_09</t>
        </is>
      </c>
      <c r="G2157" t="n">
        <v>0.99</v>
      </c>
      <c r="H2157" t="inlineStr">
        <is>
          <t>Closed</t>
        </is>
      </c>
      <c r="I2157" t="inlineStr">
        <is>
          <t>Won</t>
        </is>
      </c>
      <c r="K2157" t="n">
        <v>1078.04</v>
      </c>
      <c r="L2157" t="inlineStr">
        <is>
          <t>2026-04-03 15:32:27.609591</t>
        </is>
      </c>
      <c r="M2157">
        <f>VLOOKUP(H2157,'Stage Order'!$A$2:$B$8,2,FALSE)</f>
        <v/>
      </c>
      <c r="N2157">
        <f>IF(G2157&lt;=1,"1. Under 1 hour",IF(G2157&lt;=24,"2. 1-24 hours",IF(G2157&lt;=72,"3. 1-3 days","4. Over 3 days")))</f>
        <v/>
      </c>
      <c r="O2157">
        <f>TEXT(B2157,"YYYY-MM")</f>
        <v/>
      </c>
    </row>
    <row r="2158">
      <c r="A2158" t="inlineStr">
        <is>
          <t>LD-302156</t>
        </is>
      </c>
      <c r="B2158" t="inlineStr">
        <is>
          <t>2026-06-02 10:05:00</t>
        </is>
      </c>
      <c r="C2158" t="inlineStr">
        <is>
          <t>Cold Outreach</t>
        </is>
      </c>
      <c r="D2158" t="inlineStr">
        <is>
          <t>Coding for Kids</t>
        </is>
      </c>
      <c r="E2158" t="inlineStr">
        <is>
          <t>South Region</t>
        </is>
      </c>
      <c r="F2158" t="inlineStr">
        <is>
          <t>Rep_07</t>
        </is>
      </c>
      <c r="G2158" t="n">
        <v>2.12</v>
      </c>
      <c r="H2158" t="inlineStr">
        <is>
          <t>Contacted</t>
        </is>
      </c>
      <c r="I2158" t="inlineStr">
        <is>
          <t>Open</t>
        </is>
      </c>
      <c r="M2158">
        <f>VLOOKUP(H2158,'Stage Order'!$A$2:$B$8,2,FALSE)</f>
        <v/>
      </c>
      <c r="N2158">
        <f>IF(G2158&lt;=1,"1. Under 1 hour",IF(G2158&lt;=24,"2. 1-24 hours",IF(G2158&lt;=72,"3. 1-3 days","4. Over 3 days")))</f>
        <v/>
      </c>
      <c r="O2158">
        <f>TEXT(B2158,"YYYY-MM")</f>
        <v/>
      </c>
    </row>
    <row r="2159">
      <c r="A2159" t="inlineStr">
        <is>
          <t>LD-302157</t>
        </is>
      </c>
      <c r="B2159" t="inlineStr">
        <is>
          <t>2025-08-11 12:56:00</t>
        </is>
      </c>
      <c r="C2159" t="inlineStr">
        <is>
          <t>Organic Search</t>
        </is>
      </c>
      <c r="D2159" t="inlineStr">
        <is>
          <t>K-12 Math</t>
        </is>
      </c>
      <c r="E2159" t="inlineStr">
        <is>
          <t>South Region</t>
        </is>
      </c>
      <c r="F2159" t="inlineStr">
        <is>
          <t>Rep_12</t>
        </is>
      </c>
      <c r="G2159" t="n">
        <v>2.29</v>
      </c>
      <c r="H2159" t="inlineStr">
        <is>
          <t>Contacted</t>
        </is>
      </c>
      <c r="I2159" t="inlineStr">
        <is>
          <t>Open</t>
        </is>
      </c>
      <c r="M2159">
        <f>VLOOKUP(H2159,'Stage Order'!$A$2:$B$8,2,FALSE)</f>
        <v/>
      </c>
      <c r="N2159">
        <f>IF(G2159&lt;=1,"1. Under 1 hour",IF(G2159&lt;=24,"2. 1-24 hours",IF(G2159&lt;=72,"3. 1-3 days","4. Over 3 days")))</f>
        <v/>
      </c>
      <c r="O2159">
        <f>TEXT(B2159,"YYYY-MM")</f>
        <v/>
      </c>
    </row>
    <row r="2160">
      <c r="A2160" t="inlineStr">
        <is>
          <t>LD-302158</t>
        </is>
      </c>
      <c r="B2160" t="inlineStr">
        <is>
          <t>2025-06-12 07:47:00</t>
        </is>
      </c>
      <c r="C2160" t="inlineStr">
        <is>
          <t>Referral</t>
        </is>
      </c>
      <c r="D2160" t="inlineStr">
        <is>
          <t>K-12 Math</t>
        </is>
      </c>
      <c r="E2160" t="inlineStr">
        <is>
          <t>East Region</t>
        </is>
      </c>
      <c r="F2160" t="inlineStr">
        <is>
          <t>Rep_09</t>
        </is>
      </c>
      <c r="G2160" t="n">
        <v>15.11</v>
      </c>
      <c r="H2160" t="inlineStr">
        <is>
          <t>Negotiation</t>
        </is>
      </c>
      <c r="I2160" t="inlineStr">
        <is>
          <t>Lost</t>
        </is>
      </c>
      <c r="J2160" t="inlineStr">
        <is>
          <t>Price Objection</t>
        </is>
      </c>
      <c r="K2160" t="n">
        <v>492.75</v>
      </c>
      <c r="L2160" t="inlineStr">
        <is>
          <t>2025-07-31 14:31:30.445283</t>
        </is>
      </c>
      <c r="M2160">
        <f>VLOOKUP(H2160,'Stage Order'!$A$2:$B$8,2,FALSE)</f>
        <v/>
      </c>
      <c r="N2160">
        <f>IF(G2160&lt;=1,"1. Under 1 hour",IF(G2160&lt;=24,"2. 1-24 hours",IF(G2160&lt;=72,"3. 1-3 days","4. Over 3 days")))</f>
        <v/>
      </c>
      <c r="O2160">
        <f>TEXT(B2160,"YYYY-MM")</f>
        <v/>
      </c>
    </row>
    <row r="2161">
      <c r="A2161" t="inlineStr">
        <is>
          <t>LD-302159</t>
        </is>
      </c>
      <c r="B2161" t="inlineStr">
        <is>
          <t>2025-11-25 15:20:00</t>
        </is>
      </c>
      <c r="C2161" t="inlineStr">
        <is>
          <t>Webinar</t>
        </is>
      </c>
      <c r="D2161" t="inlineStr">
        <is>
          <t>Language Learning</t>
        </is>
      </c>
      <c r="E2161" t="inlineStr">
        <is>
          <t>North Region</t>
        </is>
      </c>
      <c r="F2161" t="inlineStr">
        <is>
          <t>Rep_11</t>
        </is>
      </c>
      <c r="G2161" t="n">
        <v>0.92</v>
      </c>
      <c r="H2161" t="inlineStr">
        <is>
          <t>Lead</t>
        </is>
      </c>
      <c r="I2161" t="inlineStr">
        <is>
          <t>Open</t>
        </is>
      </c>
      <c r="M2161">
        <f>VLOOKUP(H2161,'Stage Order'!$A$2:$B$8,2,FALSE)</f>
        <v/>
      </c>
      <c r="N2161">
        <f>IF(G2161&lt;=1,"1. Under 1 hour",IF(G2161&lt;=24,"2. 1-24 hours",IF(G2161&lt;=72,"3. 1-3 days","4. Over 3 days")))</f>
        <v/>
      </c>
      <c r="O2161">
        <f>TEXT(B2161,"YYYY-MM")</f>
        <v/>
      </c>
    </row>
    <row r="2162">
      <c r="A2162" t="inlineStr">
        <is>
          <t>LD-302160</t>
        </is>
      </c>
      <c r="B2162" t="inlineStr">
        <is>
          <t>2025-11-03 20:16:00</t>
        </is>
      </c>
      <c r="C2162" t="inlineStr">
        <is>
          <t>Cold Outreach</t>
        </is>
      </c>
      <c r="D2162" t="inlineStr">
        <is>
          <t>Coding for Kids</t>
        </is>
      </c>
      <c r="E2162" t="inlineStr">
        <is>
          <t>International</t>
        </is>
      </c>
      <c r="F2162" t="inlineStr">
        <is>
          <t>Rep_15</t>
        </is>
      </c>
      <c r="G2162" t="n">
        <v>0.74</v>
      </c>
      <c r="H2162" t="inlineStr">
        <is>
          <t>Demo Completed</t>
        </is>
      </c>
      <c r="I2162" t="inlineStr">
        <is>
          <t>Lost</t>
        </is>
      </c>
      <c r="J2162" t="inlineStr">
        <is>
          <t>Went With Competitor</t>
        </is>
      </c>
      <c r="K2162" t="n">
        <v>612.0599999999999</v>
      </c>
      <c r="L2162" t="inlineStr">
        <is>
          <t>2025-12-15 01:15:57.411831</t>
        </is>
      </c>
      <c r="M2162">
        <f>VLOOKUP(H2162,'Stage Order'!$A$2:$B$8,2,FALSE)</f>
        <v/>
      </c>
      <c r="N2162">
        <f>IF(G2162&lt;=1,"1. Under 1 hour",IF(G2162&lt;=24,"2. 1-24 hours",IF(G2162&lt;=72,"3. 1-3 days","4. Over 3 days")))</f>
        <v/>
      </c>
      <c r="O2162">
        <f>TEXT(B2162,"YYYY-MM")</f>
        <v/>
      </c>
    </row>
    <row r="2163">
      <c r="A2163" t="inlineStr">
        <is>
          <t>LD-302161</t>
        </is>
      </c>
      <c r="B2163" t="inlineStr">
        <is>
          <t>2025-11-11 12:52:00</t>
        </is>
      </c>
      <c r="C2163" t="inlineStr">
        <is>
          <t>Cold Outreach</t>
        </is>
      </c>
      <c r="D2163" t="inlineStr">
        <is>
          <t>Coding for Kids</t>
        </is>
      </c>
      <c r="E2163" t="inlineStr">
        <is>
          <t>West Region</t>
        </is>
      </c>
      <c r="F2163" t="inlineStr">
        <is>
          <t>Rep_03</t>
        </is>
      </c>
      <c r="G2163" t="n">
        <v>0.96</v>
      </c>
      <c r="H2163" t="inlineStr">
        <is>
          <t>Contacted</t>
        </is>
      </c>
      <c r="I2163" t="inlineStr">
        <is>
          <t>Open</t>
        </is>
      </c>
      <c r="M2163">
        <f>VLOOKUP(H2163,'Stage Order'!$A$2:$B$8,2,FALSE)</f>
        <v/>
      </c>
      <c r="N2163">
        <f>IF(G2163&lt;=1,"1. Under 1 hour",IF(G2163&lt;=24,"2. 1-24 hours",IF(G2163&lt;=72,"3. 1-3 days","4. Over 3 days")))</f>
        <v/>
      </c>
      <c r="O2163">
        <f>TEXT(B2163,"YYYY-MM")</f>
        <v/>
      </c>
    </row>
    <row r="2164">
      <c r="A2164" t="inlineStr">
        <is>
          <t>LD-302162</t>
        </is>
      </c>
      <c r="B2164" t="inlineStr">
        <is>
          <t>2025-04-26 20:52:00</t>
        </is>
      </c>
      <c r="C2164" t="inlineStr">
        <is>
          <t>Referral</t>
        </is>
      </c>
      <c r="D2164" t="inlineStr">
        <is>
          <t>K-12 Math</t>
        </is>
      </c>
      <c r="E2164" t="inlineStr">
        <is>
          <t>West Region</t>
        </is>
      </c>
      <c r="F2164" t="inlineStr">
        <is>
          <t>Rep_03</t>
        </is>
      </c>
      <c r="G2164" t="n">
        <v>2.08</v>
      </c>
      <c r="H2164" t="inlineStr">
        <is>
          <t>Closed</t>
        </is>
      </c>
      <c r="I2164" t="inlineStr">
        <is>
          <t>Won</t>
        </is>
      </c>
      <c r="K2164" t="n">
        <v>468.08</v>
      </c>
      <c r="L2164" t="inlineStr">
        <is>
          <t>2025-06-03 03:38:55.814271</t>
        </is>
      </c>
      <c r="M2164">
        <f>VLOOKUP(H2164,'Stage Order'!$A$2:$B$8,2,FALSE)</f>
        <v/>
      </c>
      <c r="N2164">
        <f>IF(G2164&lt;=1,"1. Under 1 hour",IF(G2164&lt;=24,"2. 1-24 hours",IF(G2164&lt;=72,"3. 1-3 days","4. Over 3 days")))</f>
        <v/>
      </c>
      <c r="O2164">
        <f>TEXT(B2164,"YYYY-MM")</f>
        <v/>
      </c>
    </row>
    <row r="2165">
      <c r="A2165" t="inlineStr">
        <is>
          <t>LD-302163</t>
        </is>
      </c>
      <c r="B2165" t="inlineStr">
        <is>
          <t>2026-06-12 19:42:00</t>
        </is>
      </c>
      <c r="C2165" t="inlineStr">
        <is>
          <t>Partner Channel</t>
        </is>
      </c>
      <c r="D2165" t="inlineStr">
        <is>
          <t>K-12 Math</t>
        </is>
      </c>
      <c r="E2165" t="inlineStr">
        <is>
          <t>South Region</t>
        </is>
      </c>
      <c r="F2165" t="inlineStr">
        <is>
          <t>Rep_02</t>
        </is>
      </c>
      <c r="G2165" t="n">
        <v>3.28</v>
      </c>
      <c r="H2165" t="inlineStr">
        <is>
          <t>Closed</t>
        </is>
      </c>
      <c r="I2165" t="inlineStr">
        <is>
          <t>Won</t>
        </is>
      </c>
      <c r="K2165" t="n">
        <v>593.7</v>
      </c>
      <c r="L2165" t="inlineStr">
        <is>
          <t>2026-07-18 21:32:24.835942</t>
        </is>
      </c>
      <c r="M2165">
        <f>VLOOKUP(H2165,'Stage Order'!$A$2:$B$8,2,FALSE)</f>
        <v/>
      </c>
      <c r="N2165">
        <f>IF(G2165&lt;=1,"1. Under 1 hour",IF(G2165&lt;=24,"2. 1-24 hours",IF(G2165&lt;=72,"3. 1-3 days","4. Over 3 days")))</f>
        <v/>
      </c>
      <c r="O2165">
        <f>TEXT(B2165,"YYYY-MM")</f>
        <v/>
      </c>
    </row>
    <row r="2166">
      <c r="A2166" t="inlineStr">
        <is>
          <t>LD-302164</t>
        </is>
      </c>
      <c r="B2166" t="inlineStr">
        <is>
          <t>2025-06-04 18:51:00</t>
        </is>
      </c>
      <c r="C2166" t="inlineStr">
        <is>
          <t>Organic Search</t>
        </is>
      </c>
      <c r="D2166" t="inlineStr">
        <is>
          <t>Competitive Exam Prep</t>
        </is>
      </c>
      <c r="E2166" t="inlineStr">
        <is>
          <t>South Region</t>
        </is>
      </c>
      <c r="F2166" t="inlineStr">
        <is>
          <t>Rep_07</t>
        </is>
      </c>
      <c r="G2166" t="n">
        <v>0.9</v>
      </c>
      <c r="H2166" t="inlineStr">
        <is>
          <t>Contacted</t>
        </is>
      </c>
      <c r="I2166" t="inlineStr">
        <is>
          <t>Open</t>
        </is>
      </c>
      <c r="M2166">
        <f>VLOOKUP(H2166,'Stage Order'!$A$2:$B$8,2,FALSE)</f>
        <v/>
      </c>
      <c r="N2166">
        <f>IF(G2166&lt;=1,"1. Under 1 hour",IF(G2166&lt;=24,"2. 1-24 hours",IF(G2166&lt;=72,"3. 1-3 days","4. Over 3 days")))</f>
        <v/>
      </c>
      <c r="O2166">
        <f>TEXT(B2166,"YYYY-MM")</f>
        <v/>
      </c>
    </row>
    <row r="2167">
      <c r="A2167" t="inlineStr">
        <is>
          <t>LD-302165</t>
        </is>
      </c>
      <c r="B2167" t="inlineStr">
        <is>
          <t>2025-04-18 07:45:00</t>
        </is>
      </c>
      <c r="C2167" t="inlineStr">
        <is>
          <t>Referral</t>
        </is>
      </c>
      <c r="D2167" t="inlineStr">
        <is>
          <t>Coding for Kids</t>
        </is>
      </c>
      <c r="E2167" t="inlineStr">
        <is>
          <t>North Region</t>
        </is>
      </c>
      <c r="F2167" t="inlineStr">
        <is>
          <t>Rep_01</t>
        </is>
      </c>
      <c r="G2167" t="n">
        <v>7.64</v>
      </c>
      <c r="H2167" t="inlineStr">
        <is>
          <t>Contacted</t>
        </is>
      </c>
      <c r="I2167" t="inlineStr">
        <is>
          <t>Open</t>
        </is>
      </c>
      <c r="M2167">
        <f>VLOOKUP(H2167,'Stage Order'!$A$2:$B$8,2,FALSE)</f>
        <v/>
      </c>
      <c r="N2167">
        <f>IF(G2167&lt;=1,"1. Under 1 hour",IF(G2167&lt;=24,"2. 1-24 hours",IF(G2167&lt;=72,"3. 1-3 days","4. Over 3 days")))</f>
        <v/>
      </c>
      <c r="O2167">
        <f>TEXT(B2167,"YYYY-MM")</f>
        <v/>
      </c>
    </row>
    <row r="2168">
      <c r="A2168" t="inlineStr">
        <is>
          <t>LD-302166</t>
        </is>
      </c>
      <c r="B2168" t="inlineStr">
        <is>
          <t>2025-01-03 18:24:00</t>
        </is>
      </c>
      <c r="C2168" t="inlineStr">
        <is>
          <t>Partner Channel</t>
        </is>
      </c>
      <c r="D2168" t="inlineStr">
        <is>
          <t>Coding for Kids</t>
        </is>
      </c>
      <c r="E2168" t="inlineStr">
        <is>
          <t>West Region</t>
        </is>
      </c>
      <c r="F2168" t="inlineStr">
        <is>
          <t>Rep_13</t>
        </is>
      </c>
      <c r="G2168" t="n">
        <v>1.82</v>
      </c>
      <c r="H2168" t="inlineStr">
        <is>
          <t>Contacted</t>
        </is>
      </c>
      <c r="I2168" t="inlineStr">
        <is>
          <t>Open</t>
        </is>
      </c>
      <c r="M2168">
        <f>VLOOKUP(H2168,'Stage Order'!$A$2:$B$8,2,FALSE)</f>
        <v/>
      </c>
      <c r="N2168">
        <f>IF(G2168&lt;=1,"1. Under 1 hour",IF(G2168&lt;=24,"2. 1-24 hours",IF(G2168&lt;=72,"3. 1-3 days","4. Over 3 days")))</f>
        <v/>
      </c>
      <c r="O2168">
        <f>TEXT(B2168,"YYYY-MM")</f>
        <v/>
      </c>
    </row>
    <row r="2169">
      <c r="A2169" t="inlineStr">
        <is>
          <t>LD-302167</t>
        </is>
      </c>
      <c r="B2169" t="inlineStr">
        <is>
          <t>2025-01-03 08:32:00</t>
        </is>
      </c>
      <c r="C2169" t="inlineStr">
        <is>
          <t>Organic Search</t>
        </is>
      </c>
      <c r="D2169" t="inlineStr">
        <is>
          <t>K-12 Math</t>
        </is>
      </c>
      <c r="E2169" t="inlineStr">
        <is>
          <t>South Region</t>
        </is>
      </c>
      <c r="F2169" t="inlineStr">
        <is>
          <t>Rep_12</t>
        </is>
      </c>
      <c r="G2169" t="n">
        <v>1.23</v>
      </c>
      <c r="H2169" t="inlineStr">
        <is>
          <t>Negotiation</t>
        </is>
      </c>
      <c r="I2169" t="inlineStr">
        <is>
          <t>Lost</t>
        </is>
      </c>
      <c r="J2169" t="inlineStr">
        <is>
          <t>Bad Timing</t>
        </is>
      </c>
      <c r="K2169" t="n">
        <v>527.15</v>
      </c>
      <c r="L2169" t="inlineStr">
        <is>
          <t>2025-02-16 01:46:44.985913</t>
        </is>
      </c>
      <c r="M2169">
        <f>VLOOKUP(H2169,'Stage Order'!$A$2:$B$8,2,FALSE)</f>
        <v/>
      </c>
      <c r="N2169">
        <f>IF(G2169&lt;=1,"1. Under 1 hour",IF(G2169&lt;=24,"2. 1-24 hours",IF(G2169&lt;=72,"3. 1-3 days","4. Over 3 days")))</f>
        <v/>
      </c>
      <c r="O2169">
        <f>TEXT(B2169,"YYYY-MM")</f>
        <v/>
      </c>
    </row>
    <row r="2170">
      <c r="A2170" t="inlineStr">
        <is>
          <t>LD-302168</t>
        </is>
      </c>
      <c r="B2170" t="inlineStr">
        <is>
          <t>2025-07-22 18:39:00</t>
        </is>
      </c>
      <c r="C2170" t="inlineStr">
        <is>
          <t>Referral</t>
        </is>
      </c>
      <c r="D2170" t="inlineStr">
        <is>
          <t>K-12 Math</t>
        </is>
      </c>
      <c r="E2170" t="inlineStr">
        <is>
          <t>West Region</t>
        </is>
      </c>
      <c r="F2170" t="inlineStr">
        <is>
          <t>Rep_08</t>
        </is>
      </c>
      <c r="G2170" t="n">
        <v>2.76</v>
      </c>
      <c r="H2170" t="inlineStr">
        <is>
          <t>Closed</t>
        </is>
      </c>
      <c r="I2170" t="inlineStr">
        <is>
          <t>Won</t>
        </is>
      </c>
      <c r="K2170" t="n">
        <v>567.47</v>
      </c>
      <c r="L2170" t="inlineStr">
        <is>
          <t>2025-09-08 06:26:33.820995</t>
        </is>
      </c>
      <c r="M2170">
        <f>VLOOKUP(H2170,'Stage Order'!$A$2:$B$8,2,FALSE)</f>
        <v/>
      </c>
      <c r="N2170">
        <f>IF(G2170&lt;=1,"1. Under 1 hour",IF(G2170&lt;=24,"2. 1-24 hours",IF(G2170&lt;=72,"3. 1-3 days","4. Over 3 days")))</f>
        <v/>
      </c>
      <c r="O2170">
        <f>TEXT(B2170,"YYYY-MM")</f>
        <v/>
      </c>
    </row>
    <row r="2171">
      <c r="A2171" t="inlineStr">
        <is>
          <t>LD-302169</t>
        </is>
      </c>
      <c r="B2171" t="inlineStr">
        <is>
          <t>2025-06-30 08:18:00</t>
        </is>
      </c>
      <c r="C2171" t="inlineStr">
        <is>
          <t>Organic Search</t>
        </is>
      </c>
      <c r="D2171" t="inlineStr">
        <is>
          <t>Study Abroad Prep</t>
        </is>
      </c>
      <c r="E2171" t="inlineStr">
        <is>
          <t>West Region</t>
        </is>
      </c>
      <c r="F2171" t="inlineStr">
        <is>
          <t>Rep_03</t>
        </is>
      </c>
      <c r="G2171" t="n">
        <v>3.66</v>
      </c>
      <c r="H2171" t="inlineStr">
        <is>
          <t>Closed</t>
        </is>
      </c>
      <c r="I2171" t="inlineStr">
        <is>
          <t>Won</t>
        </is>
      </c>
      <c r="K2171" t="n">
        <v>1461.92</v>
      </c>
      <c r="L2171" t="inlineStr">
        <is>
          <t>2025-08-03 14:31:48.075893</t>
        </is>
      </c>
      <c r="M2171">
        <f>VLOOKUP(H2171,'Stage Order'!$A$2:$B$8,2,FALSE)</f>
        <v/>
      </c>
      <c r="N2171">
        <f>IF(G2171&lt;=1,"1. Under 1 hour",IF(G2171&lt;=24,"2. 1-24 hours",IF(G2171&lt;=72,"3. 1-3 days","4. Over 3 days")))</f>
        <v/>
      </c>
      <c r="O2171">
        <f>TEXT(B2171,"YYYY-MM")</f>
        <v/>
      </c>
    </row>
    <row r="2172">
      <c r="A2172" t="inlineStr">
        <is>
          <t>LD-302170</t>
        </is>
      </c>
      <c r="B2172" t="inlineStr">
        <is>
          <t>2026-03-22 19:39:00</t>
        </is>
      </c>
      <c r="C2172" t="inlineStr">
        <is>
          <t>Social Media</t>
        </is>
      </c>
      <c r="D2172" t="inlineStr">
        <is>
          <t>K-12 Math</t>
        </is>
      </c>
      <c r="E2172" t="inlineStr">
        <is>
          <t>North Region</t>
        </is>
      </c>
      <c r="F2172" t="inlineStr">
        <is>
          <t>Rep_11</t>
        </is>
      </c>
      <c r="G2172" t="n">
        <v>3.77</v>
      </c>
      <c r="H2172" t="inlineStr">
        <is>
          <t>Contacted</t>
        </is>
      </c>
      <c r="I2172" t="inlineStr">
        <is>
          <t>Open</t>
        </is>
      </c>
      <c r="M2172">
        <f>VLOOKUP(H2172,'Stage Order'!$A$2:$B$8,2,FALSE)</f>
        <v/>
      </c>
      <c r="N2172">
        <f>IF(G2172&lt;=1,"1. Under 1 hour",IF(G2172&lt;=24,"2. 1-24 hours",IF(G2172&lt;=72,"3. 1-3 days","4. Over 3 days")))</f>
        <v/>
      </c>
      <c r="O2172">
        <f>TEXT(B2172,"YYYY-MM")</f>
        <v/>
      </c>
    </row>
    <row r="2173">
      <c r="A2173" t="inlineStr">
        <is>
          <t>LD-302171</t>
        </is>
      </c>
      <c r="B2173" t="inlineStr">
        <is>
          <t>2025-08-15 16:46:00</t>
        </is>
      </c>
      <c r="C2173" t="inlineStr">
        <is>
          <t>Social Media</t>
        </is>
      </c>
      <c r="D2173" t="inlineStr">
        <is>
          <t>Study Abroad Prep</t>
        </is>
      </c>
      <c r="E2173" t="inlineStr">
        <is>
          <t>South Region</t>
        </is>
      </c>
      <c r="F2173" t="inlineStr">
        <is>
          <t>Rep_12</t>
        </is>
      </c>
      <c r="G2173" t="n">
        <v>10.01</v>
      </c>
      <c r="H2173" t="inlineStr">
        <is>
          <t>Lead</t>
        </is>
      </c>
      <c r="I2173" t="inlineStr">
        <is>
          <t>Open</t>
        </is>
      </c>
      <c r="M2173">
        <f>VLOOKUP(H2173,'Stage Order'!$A$2:$B$8,2,FALSE)</f>
        <v/>
      </c>
      <c r="N2173">
        <f>IF(G2173&lt;=1,"1. Under 1 hour",IF(G2173&lt;=24,"2. 1-24 hours",IF(G2173&lt;=72,"3. 1-3 days","4. Over 3 days")))</f>
        <v/>
      </c>
      <c r="O2173">
        <f>TEXT(B2173,"YYYY-MM")</f>
        <v/>
      </c>
    </row>
    <row r="2174">
      <c r="A2174" t="inlineStr">
        <is>
          <t>LD-302172</t>
        </is>
      </c>
      <c r="B2174" t="inlineStr">
        <is>
          <t>2025-06-10 18:40:00</t>
        </is>
      </c>
      <c r="C2174" t="inlineStr">
        <is>
          <t>Organic Search</t>
        </is>
      </c>
      <c r="D2174" t="inlineStr">
        <is>
          <t>K-12 Math</t>
        </is>
      </c>
      <c r="E2174" t="inlineStr">
        <is>
          <t>East Region</t>
        </is>
      </c>
      <c r="F2174" t="inlineStr">
        <is>
          <t>Rep_09</t>
        </is>
      </c>
      <c r="G2174" t="n">
        <v>3.33</v>
      </c>
      <c r="H2174" t="inlineStr">
        <is>
          <t>Negotiation</t>
        </is>
      </c>
      <c r="I2174" t="inlineStr">
        <is>
          <t>Lost</t>
        </is>
      </c>
      <c r="J2174" t="inlineStr">
        <is>
          <t>No Response / Ghosted</t>
        </is>
      </c>
      <c r="K2174" t="n">
        <v>575.12</v>
      </c>
      <c r="L2174" t="inlineStr">
        <is>
          <t>2025-07-27 13:56:39.727101</t>
        </is>
      </c>
      <c r="M2174">
        <f>VLOOKUP(H2174,'Stage Order'!$A$2:$B$8,2,FALSE)</f>
        <v/>
      </c>
      <c r="N2174">
        <f>IF(G2174&lt;=1,"1. Under 1 hour",IF(G2174&lt;=24,"2. 1-24 hours",IF(G2174&lt;=72,"3. 1-3 days","4. Over 3 days")))</f>
        <v/>
      </c>
      <c r="O2174">
        <f>TEXT(B2174,"YYYY-MM")</f>
        <v/>
      </c>
    </row>
    <row r="2175">
      <c r="A2175" t="inlineStr">
        <is>
          <t>LD-302173</t>
        </is>
      </c>
      <c r="B2175" t="inlineStr">
        <is>
          <t>2025-07-10 20:57:00</t>
        </is>
      </c>
      <c r="C2175" t="inlineStr">
        <is>
          <t>Paid Search</t>
        </is>
      </c>
      <c r="D2175" t="inlineStr">
        <is>
          <t>Coding for Kids</t>
        </is>
      </c>
      <c r="E2175" t="inlineStr">
        <is>
          <t>West Region</t>
        </is>
      </c>
      <c r="F2175" t="inlineStr">
        <is>
          <t>Rep_03</t>
        </is>
      </c>
      <c r="G2175" t="n">
        <v>2.72</v>
      </c>
      <c r="H2175" t="inlineStr">
        <is>
          <t>Demo Scheduled</t>
        </is>
      </c>
      <c r="I2175" t="inlineStr">
        <is>
          <t>Open</t>
        </is>
      </c>
      <c r="M2175">
        <f>VLOOKUP(H2175,'Stage Order'!$A$2:$B$8,2,FALSE)</f>
        <v/>
      </c>
      <c r="N2175">
        <f>IF(G2175&lt;=1,"1. Under 1 hour",IF(G2175&lt;=24,"2. 1-24 hours",IF(G2175&lt;=72,"3. 1-3 days","4. Over 3 days")))</f>
        <v/>
      </c>
      <c r="O2175">
        <f>TEXT(B2175,"YYYY-MM")</f>
        <v/>
      </c>
    </row>
    <row r="2176">
      <c r="A2176" t="inlineStr">
        <is>
          <t>LD-302174</t>
        </is>
      </c>
      <c r="B2176" t="inlineStr">
        <is>
          <t>2026-05-05 11:10:00</t>
        </is>
      </c>
      <c r="C2176" t="inlineStr">
        <is>
          <t>Social Media</t>
        </is>
      </c>
      <c r="D2176" t="inlineStr">
        <is>
          <t>Study Abroad Prep</t>
        </is>
      </c>
      <c r="E2176" t="inlineStr">
        <is>
          <t>South Region</t>
        </is>
      </c>
      <c r="F2176" t="inlineStr">
        <is>
          <t>Rep_07</t>
        </is>
      </c>
      <c r="G2176" t="n">
        <v>1.59</v>
      </c>
      <c r="H2176" t="inlineStr">
        <is>
          <t>Contacted</t>
        </is>
      </c>
      <c r="I2176" t="inlineStr">
        <is>
          <t>Open</t>
        </is>
      </c>
      <c r="M2176">
        <f>VLOOKUP(H2176,'Stage Order'!$A$2:$B$8,2,FALSE)</f>
        <v/>
      </c>
      <c r="N2176">
        <f>IF(G2176&lt;=1,"1. Under 1 hour",IF(G2176&lt;=24,"2. 1-24 hours",IF(G2176&lt;=72,"3. 1-3 days","4. Over 3 days")))</f>
        <v/>
      </c>
      <c r="O2176">
        <f>TEXT(B2176,"YYYY-MM")</f>
        <v/>
      </c>
    </row>
    <row r="2177">
      <c r="A2177" t="inlineStr">
        <is>
          <t>LD-302175</t>
        </is>
      </c>
      <c r="B2177" t="inlineStr">
        <is>
          <t>2025-09-09 09:35:00</t>
        </is>
      </c>
      <c r="C2177" t="inlineStr">
        <is>
          <t>Social Media</t>
        </is>
      </c>
      <c r="D2177" t="inlineStr">
        <is>
          <t>K-12 Math</t>
        </is>
      </c>
      <c r="E2177" t="inlineStr">
        <is>
          <t>South Region</t>
        </is>
      </c>
      <c r="F2177" t="inlineStr">
        <is>
          <t>Rep_07</t>
        </is>
      </c>
      <c r="G2177" t="n">
        <v>2.02</v>
      </c>
      <c r="H2177" t="inlineStr">
        <is>
          <t>Demo Completed</t>
        </is>
      </c>
      <c r="I2177" t="inlineStr">
        <is>
          <t>Lost</t>
        </is>
      </c>
      <c r="J2177" t="inlineStr">
        <is>
          <t>Budget Not Approved</t>
        </is>
      </c>
      <c r="K2177" t="n">
        <v>555.59</v>
      </c>
      <c r="L2177" t="inlineStr">
        <is>
          <t>2025-10-04 22:04:16.000090</t>
        </is>
      </c>
      <c r="M2177">
        <f>VLOOKUP(H2177,'Stage Order'!$A$2:$B$8,2,FALSE)</f>
        <v/>
      </c>
      <c r="N2177">
        <f>IF(G2177&lt;=1,"1. Under 1 hour",IF(G2177&lt;=24,"2. 1-24 hours",IF(G2177&lt;=72,"3. 1-3 days","4. Over 3 days")))</f>
        <v/>
      </c>
      <c r="O2177">
        <f>TEXT(B2177,"YYYY-MM")</f>
        <v/>
      </c>
    </row>
    <row r="2178">
      <c r="A2178" t="inlineStr">
        <is>
          <t>LD-302176</t>
        </is>
      </c>
      <c r="B2178" t="inlineStr">
        <is>
          <t>2026-06-24 09:47:00</t>
        </is>
      </c>
      <c r="C2178" t="inlineStr">
        <is>
          <t>Organic Search</t>
        </is>
      </c>
      <c r="D2178" t="inlineStr">
        <is>
          <t>K-12 Math</t>
        </is>
      </c>
      <c r="E2178" t="inlineStr">
        <is>
          <t>North Region</t>
        </is>
      </c>
      <c r="F2178" t="inlineStr">
        <is>
          <t>Rep_06</t>
        </is>
      </c>
      <c r="G2178" t="n">
        <v>1.95</v>
      </c>
      <c r="H2178" t="inlineStr">
        <is>
          <t>Lead</t>
        </is>
      </c>
      <c r="I2178" t="inlineStr">
        <is>
          <t>Open</t>
        </is>
      </c>
      <c r="M2178">
        <f>VLOOKUP(H2178,'Stage Order'!$A$2:$B$8,2,FALSE)</f>
        <v/>
      </c>
      <c r="N2178">
        <f>IF(G2178&lt;=1,"1. Under 1 hour",IF(G2178&lt;=24,"2. 1-24 hours",IF(G2178&lt;=72,"3. 1-3 days","4. Over 3 days")))</f>
        <v/>
      </c>
      <c r="O2178">
        <f>TEXT(B2178,"YYYY-MM")</f>
        <v/>
      </c>
    </row>
    <row r="2179">
      <c r="A2179" t="inlineStr">
        <is>
          <t>LD-302177</t>
        </is>
      </c>
      <c r="B2179" t="inlineStr">
        <is>
          <t>2025-05-15 09:37:00</t>
        </is>
      </c>
      <c r="C2179" t="inlineStr">
        <is>
          <t>Organic Search</t>
        </is>
      </c>
      <c r="D2179" t="inlineStr">
        <is>
          <t>Study Abroad Prep</t>
        </is>
      </c>
      <c r="E2179" t="inlineStr">
        <is>
          <t>South Region</t>
        </is>
      </c>
      <c r="F2179" t="inlineStr">
        <is>
          <t>Rep_02</t>
        </is>
      </c>
      <c r="G2179" t="n">
        <v>7.1</v>
      </c>
      <c r="H2179" t="inlineStr">
        <is>
          <t>Contacted</t>
        </is>
      </c>
      <c r="I2179" t="inlineStr">
        <is>
          <t>Open</t>
        </is>
      </c>
      <c r="M2179">
        <f>VLOOKUP(H2179,'Stage Order'!$A$2:$B$8,2,FALSE)</f>
        <v/>
      </c>
      <c r="N2179">
        <f>IF(G2179&lt;=1,"1. Under 1 hour",IF(G2179&lt;=24,"2. 1-24 hours",IF(G2179&lt;=72,"3. 1-3 days","4. Over 3 days")))</f>
        <v/>
      </c>
      <c r="O2179">
        <f>TEXT(B2179,"YYYY-MM")</f>
        <v/>
      </c>
    </row>
    <row r="2180">
      <c r="A2180" t="inlineStr">
        <is>
          <t>LD-302178</t>
        </is>
      </c>
      <c r="B2180" t="inlineStr">
        <is>
          <t>2025-02-18 14:24:00</t>
        </is>
      </c>
      <c r="C2180" t="inlineStr">
        <is>
          <t>Referral</t>
        </is>
      </c>
      <c r="D2180" t="inlineStr">
        <is>
          <t>Language Learning</t>
        </is>
      </c>
      <c r="E2180" t="inlineStr">
        <is>
          <t>North Region</t>
        </is>
      </c>
      <c r="F2180" t="inlineStr">
        <is>
          <t>Rep_01</t>
        </is>
      </c>
      <c r="G2180" t="n">
        <v>2.13</v>
      </c>
      <c r="H2180" t="inlineStr">
        <is>
          <t>Contacted</t>
        </is>
      </c>
      <c r="I2180" t="inlineStr">
        <is>
          <t>Open</t>
        </is>
      </c>
      <c r="M2180">
        <f>VLOOKUP(H2180,'Stage Order'!$A$2:$B$8,2,FALSE)</f>
        <v/>
      </c>
      <c r="N2180">
        <f>IF(G2180&lt;=1,"1. Under 1 hour",IF(G2180&lt;=24,"2. 1-24 hours",IF(G2180&lt;=72,"3. 1-3 days","4. Over 3 days")))</f>
        <v/>
      </c>
      <c r="O2180">
        <f>TEXT(B2180,"YYYY-MM")</f>
        <v/>
      </c>
    </row>
    <row r="2181">
      <c r="A2181" t="inlineStr">
        <is>
          <t>LD-302179</t>
        </is>
      </c>
      <c r="B2181" t="inlineStr">
        <is>
          <t>2026-05-20 20:28:00</t>
        </is>
      </c>
      <c r="C2181" t="inlineStr">
        <is>
          <t>Social Media</t>
        </is>
      </c>
      <c r="D2181" t="inlineStr">
        <is>
          <t>Competitive Exam Prep</t>
        </is>
      </c>
      <c r="E2181" t="inlineStr">
        <is>
          <t>West Region</t>
        </is>
      </c>
      <c r="F2181" t="inlineStr">
        <is>
          <t>Rep_13</t>
        </is>
      </c>
      <c r="G2181" t="n">
        <v>4.44</v>
      </c>
      <c r="H2181" t="inlineStr">
        <is>
          <t>Lead</t>
        </is>
      </c>
      <c r="I2181" t="inlineStr">
        <is>
          <t>Open</t>
        </is>
      </c>
      <c r="M2181">
        <f>VLOOKUP(H2181,'Stage Order'!$A$2:$B$8,2,FALSE)</f>
        <v/>
      </c>
      <c r="N2181">
        <f>IF(G2181&lt;=1,"1. Under 1 hour",IF(G2181&lt;=24,"2. 1-24 hours",IF(G2181&lt;=72,"3. 1-3 days","4. Over 3 days")))</f>
        <v/>
      </c>
      <c r="O2181">
        <f>TEXT(B2181,"YYYY-MM")</f>
        <v/>
      </c>
    </row>
    <row r="2182">
      <c r="A2182" t="inlineStr">
        <is>
          <t>LD-302180</t>
        </is>
      </c>
      <c r="B2182" t="inlineStr">
        <is>
          <t>2025-02-20 08:36:00</t>
        </is>
      </c>
      <c r="C2182" t="inlineStr">
        <is>
          <t>Organic Search</t>
        </is>
      </c>
      <c r="D2182" t="inlineStr">
        <is>
          <t>K-12 Math</t>
        </is>
      </c>
      <c r="E2182" t="inlineStr">
        <is>
          <t>South Region</t>
        </is>
      </c>
      <c r="F2182" t="inlineStr">
        <is>
          <t>Rep_12</t>
        </is>
      </c>
      <c r="G2182" t="n">
        <v>3.87</v>
      </c>
      <c r="H2182" t="inlineStr">
        <is>
          <t>Contacted</t>
        </is>
      </c>
      <c r="I2182" t="inlineStr">
        <is>
          <t>Open</t>
        </is>
      </c>
      <c r="M2182">
        <f>VLOOKUP(H2182,'Stage Order'!$A$2:$B$8,2,FALSE)</f>
        <v/>
      </c>
      <c r="N2182">
        <f>IF(G2182&lt;=1,"1. Under 1 hour",IF(G2182&lt;=24,"2. 1-24 hours",IF(G2182&lt;=72,"3. 1-3 days","4. Over 3 days")))</f>
        <v/>
      </c>
      <c r="O2182">
        <f>TEXT(B2182,"YYYY-MM")</f>
        <v/>
      </c>
    </row>
    <row r="2183">
      <c r="A2183" t="inlineStr">
        <is>
          <t>LD-302181</t>
        </is>
      </c>
      <c r="B2183" t="inlineStr">
        <is>
          <t>2025-10-06 16:54:00</t>
        </is>
      </c>
      <c r="C2183" t="inlineStr">
        <is>
          <t>Referral</t>
        </is>
      </c>
      <c r="D2183" t="inlineStr">
        <is>
          <t>Language Learning</t>
        </is>
      </c>
      <c r="E2183" t="inlineStr">
        <is>
          <t>West Region</t>
        </is>
      </c>
      <c r="F2183" t="inlineStr">
        <is>
          <t>Rep_03</t>
        </is>
      </c>
      <c r="G2183" t="n">
        <v>0.51</v>
      </c>
      <c r="H2183" t="inlineStr">
        <is>
          <t>Closed</t>
        </is>
      </c>
      <c r="I2183" t="inlineStr">
        <is>
          <t>Won</t>
        </is>
      </c>
      <c r="K2183" t="n">
        <v>385.9</v>
      </c>
      <c r="L2183" t="inlineStr">
        <is>
          <t>2025-11-20 15:20:07.353660</t>
        </is>
      </c>
      <c r="M2183">
        <f>VLOOKUP(H2183,'Stage Order'!$A$2:$B$8,2,FALSE)</f>
        <v/>
      </c>
      <c r="N2183">
        <f>IF(G2183&lt;=1,"1. Under 1 hour",IF(G2183&lt;=24,"2. 1-24 hours",IF(G2183&lt;=72,"3. 1-3 days","4. Over 3 days")))</f>
        <v/>
      </c>
      <c r="O2183">
        <f>TEXT(B2183,"YYYY-MM")</f>
        <v/>
      </c>
    </row>
    <row r="2184">
      <c r="A2184" t="inlineStr">
        <is>
          <t>LD-302182</t>
        </is>
      </c>
      <c r="B2184" t="inlineStr">
        <is>
          <t>2025-03-21 07:03:00</t>
        </is>
      </c>
      <c r="C2184" t="inlineStr">
        <is>
          <t>Referral</t>
        </is>
      </c>
      <c r="D2184" t="inlineStr">
        <is>
          <t>Coding for Kids</t>
        </is>
      </c>
      <c r="E2184" t="inlineStr">
        <is>
          <t>West Region</t>
        </is>
      </c>
      <c r="F2184" t="inlineStr">
        <is>
          <t>Rep_03</t>
        </is>
      </c>
      <c r="G2184" t="n">
        <v>11.66</v>
      </c>
      <c r="H2184" t="inlineStr">
        <is>
          <t>Contacted</t>
        </is>
      </c>
      <c r="I2184" t="inlineStr">
        <is>
          <t>Open</t>
        </is>
      </c>
      <c r="M2184">
        <f>VLOOKUP(H2184,'Stage Order'!$A$2:$B$8,2,FALSE)</f>
        <v/>
      </c>
      <c r="N2184">
        <f>IF(G2184&lt;=1,"1. Under 1 hour",IF(G2184&lt;=24,"2. 1-24 hours",IF(G2184&lt;=72,"3. 1-3 days","4. Over 3 days")))</f>
        <v/>
      </c>
      <c r="O2184">
        <f>TEXT(B2184,"YYYY-MM")</f>
        <v/>
      </c>
    </row>
    <row r="2185">
      <c r="A2185" t="inlineStr">
        <is>
          <t>LD-302183</t>
        </is>
      </c>
      <c r="B2185" t="inlineStr">
        <is>
          <t>2025-06-13 14:56:00</t>
        </is>
      </c>
      <c r="C2185" t="inlineStr">
        <is>
          <t>Organic Search</t>
        </is>
      </c>
      <c r="D2185" t="inlineStr">
        <is>
          <t>Coding for Kids</t>
        </is>
      </c>
      <c r="E2185" t="inlineStr">
        <is>
          <t>North Region</t>
        </is>
      </c>
      <c r="F2185" t="inlineStr">
        <is>
          <t>Rep_11</t>
        </is>
      </c>
      <c r="G2185" t="n">
        <v>2.3</v>
      </c>
      <c r="H2185" t="inlineStr">
        <is>
          <t>Contacted</t>
        </is>
      </c>
      <c r="I2185" t="inlineStr">
        <is>
          <t>Open</t>
        </is>
      </c>
      <c r="M2185">
        <f>VLOOKUP(H2185,'Stage Order'!$A$2:$B$8,2,FALSE)</f>
        <v/>
      </c>
      <c r="N2185">
        <f>IF(G2185&lt;=1,"1. Under 1 hour",IF(G2185&lt;=24,"2. 1-24 hours",IF(G2185&lt;=72,"3. 1-3 days","4. Over 3 days")))</f>
        <v/>
      </c>
      <c r="O2185">
        <f>TEXT(B2185,"YYYY-MM")</f>
        <v/>
      </c>
    </row>
    <row r="2186">
      <c r="A2186" t="inlineStr">
        <is>
          <t>LD-302184</t>
        </is>
      </c>
      <c r="B2186" t="inlineStr">
        <is>
          <t>2025-08-04 07:39:00</t>
        </is>
      </c>
      <c r="C2186" t="inlineStr">
        <is>
          <t>Social Media</t>
        </is>
      </c>
      <c r="D2186" t="inlineStr">
        <is>
          <t>Coding for Kids</t>
        </is>
      </c>
      <c r="E2186" t="inlineStr">
        <is>
          <t>South Region</t>
        </is>
      </c>
      <c r="F2186" t="inlineStr">
        <is>
          <t>Rep_02</t>
        </is>
      </c>
      <c r="G2186" t="n">
        <v>0.7</v>
      </c>
      <c r="H2186" t="inlineStr">
        <is>
          <t>Closed</t>
        </is>
      </c>
      <c r="I2186" t="inlineStr">
        <is>
          <t>Won</t>
        </is>
      </c>
      <c r="K2186" t="n">
        <v>713.1</v>
      </c>
      <c r="L2186" t="inlineStr">
        <is>
          <t>2025-09-25 16:09:22.592271</t>
        </is>
      </c>
      <c r="M2186">
        <f>VLOOKUP(H2186,'Stage Order'!$A$2:$B$8,2,FALSE)</f>
        <v/>
      </c>
      <c r="N2186">
        <f>IF(G2186&lt;=1,"1. Under 1 hour",IF(G2186&lt;=24,"2. 1-24 hours",IF(G2186&lt;=72,"3. 1-3 days","4. Over 3 days")))</f>
        <v/>
      </c>
      <c r="O2186">
        <f>TEXT(B2186,"YYYY-MM")</f>
        <v/>
      </c>
    </row>
    <row r="2187">
      <c r="A2187" t="inlineStr">
        <is>
          <t>LD-302185</t>
        </is>
      </c>
      <c r="B2187" t="inlineStr">
        <is>
          <t>2025-07-04 10:11:00</t>
        </is>
      </c>
      <c r="C2187" t="inlineStr">
        <is>
          <t>Paid Search</t>
        </is>
      </c>
      <c r="D2187" t="inlineStr">
        <is>
          <t>Coding for Kids</t>
        </is>
      </c>
      <c r="E2187" t="inlineStr">
        <is>
          <t>West Region</t>
        </is>
      </c>
      <c r="F2187" t="inlineStr">
        <is>
          <t>Rep_13</t>
        </is>
      </c>
      <c r="G2187" t="n">
        <v>7.1</v>
      </c>
      <c r="H2187" t="inlineStr">
        <is>
          <t>Demo Completed</t>
        </is>
      </c>
      <c r="I2187" t="inlineStr">
        <is>
          <t>Lost</t>
        </is>
      </c>
      <c r="J2187" t="inlineStr">
        <is>
          <t>Bad Timing</t>
        </is>
      </c>
      <c r="K2187" t="n">
        <v>698.71</v>
      </c>
      <c r="L2187" t="inlineStr">
        <is>
          <t>2025-07-28 03:14:45.607022</t>
        </is>
      </c>
      <c r="M2187">
        <f>VLOOKUP(H2187,'Stage Order'!$A$2:$B$8,2,FALSE)</f>
        <v/>
      </c>
      <c r="N2187">
        <f>IF(G2187&lt;=1,"1. Under 1 hour",IF(G2187&lt;=24,"2. 1-24 hours",IF(G2187&lt;=72,"3. 1-3 days","4. Over 3 days")))</f>
        <v/>
      </c>
      <c r="O2187">
        <f>TEXT(B2187,"YYYY-MM")</f>
        <v/>
      </c>
    </row>
    <row r="2188">
      <c r="A2188" t="inlineStr">
        <is>
          <t>LD-302186</t>
        </is>
      </c>
      <c r="B2188" t="inlineStr">
        <is>
          <t>2025-05-08 10:55:00</t>
        </is>
      </c>
      <c r="C2188" t="inlineStr">
        <is>
          <t>Referral</t>
        </is>
      </c>
      <c r="D2188" t="inlineStr">
        <is>
          <t>Competitive Exam Prep</t>
        </is>
      </c>
      <c r="E2188" t="inlineStr">
        <is>
          <t>West Region</t>
        </is>
      </c>
      <c r="F2188" t="inlineStr">
        <is>
          <t>Rep_08</t>
        </is>
      </c>
      <c r="G2188" t="n">
        <v>1.95</v>
      </c>
      <c r="H2188" t="inlineStr">
        <is>
          <t>Closed</t>
        </is>
      </c>
      <c r="I2188" t="inlineStr">
        <is>
          <t>Won</t>
        </is>
      </c>
      <c r="K2188" t="n">
        <v>903.4400000000001</v>
      </c>
      <c r="L2188" t="inlineStr">
        <is>
          <t>2025-06-25 23:42:58.241264</t>
        </is>
      </c>
      <c r="M2188">
        <f>VLOOKUP(H2188,'Stage Order'!$A$2:$B$8,2,FALSE)</f>
        <v/>
      </c>
      <c r="N2188">
        <f>IF(G2188&lt;=1,"1. Under 1 hour",IF(G2188&lt;=24,"2. 1-24 hours",IF(G2188&lt;=72,"3. 1-3 days","4. Over 3 days")))</f>
        <v/>
      </c>
      <c r="O2188">
        <f>TEXT(B2188,"YYYY-MM")</f>
        <v/>
      </c>
    </row>
    <row r="2189">
      <c r="A2189" t="inlineStr">
        <is>
          <t>LD-302187</t>
        </is>
      </c>
      <c r="B2189" t="inlineStr">
        <is>
          <t>2025-04-17 08:44:00</t>
        </is>
      </c>
      <c r="C2189" t="inlineStr">
        <is>
          <t>Paid Search</t>
        </is>
      </c>
      <c r="D2189" t="inlineStr">
        <is>
          <t>K-12 Math</t>
        </is>
      </c>
      <c r="E2189" t="inlineStr">
        <is>
          <t>East Region</t>
        </is>
      </c>
      <c r="F2189" t="inlineStr">
        <is>
          <t>Rep_04</t>
        </is>
      </c>
      <c r="G2189" t="n">
        <v>2.22</v>
      </c>
      <c r="H2189" t="inlineStr">
        <is>
          <t>Contacted</t>
        </is>
      </c>
      <c r="I2189" t="inlineStr">
        <is>
          <t>Open</t>
        </is>
      </c>
      <c r="M2189">
        <f>VLOOKUP(H2189,'Stage Order'!$A$2:$B$8,2,FALSE)</f>
        <v/>
      </c>
      <c r="N2189">
        <f>IF(G2189&lt;=1,"1. Under 1 hour",IF(G2189&lt;=24,"2. 1-24 hours",IF(G2189&lt;=72,"3. 1-3 days","4. Over 3 days")))</f>
        <v/>
      </c>
      <c r="O2189">
        <f>TEXT(B2189,"YYYY-MM")</f>
        <v/>
      </c>
    </row>
    <row r="2190">
      <c r="A2190" t="inlineStr">
        <is>
          <t>LD-302188</t>
        </is>
      </c>
      <c r="B2190" t="inlineStr">
        <is>
          <t>2025-03-10 17:55:00</t>
        </is>
      </c>
      <c r="C2190" t="inlineStr">
        <is>
          <t>Referral</t>
        </is>
      </c>
      <c r="D2190" t="inlineStr">
        <is>
          <t>Competitive Exam Prep</t>
        </is>
      </c>
      <c r="E2190" t="inlineStr">
        <is>
          <t>International</t>
        </is>
      </c>
      <c r="F2190" t="inlineStr">
        <is>
          <t>Rep_10</t>
        </is>
      </c>
      <c r="G2190" t="n">
        <v>6.14</v>
      </c>
      <c r="H2190" t="inlineStr">
        <is>
          <t>Demo Scheduled</t>
        </is>
      </c>
      <c r="I2190" t="inlineStr">
        <is>
          <t>Open</t>
        </is>
      </c>
      <c r="M2190">
        <f>VLOOKUP(H2190,'Stage Order'!$A$2:$B$8,2,FALSE)</f>
        <v/>
      </c>
      <c r="N2190">
        <f>IF(G2190&lt;=1,"1. Under 1 hour",IF(G2190&lt;=24,"2. 1-24 hours",IF(G2190&lt;=72,"3. 1-3 days","4. Over 3 days")))</f>
        <v/>
      </c>
      <c r="O2190">
        <f>TEXT(B2190,"YYYY-MM")</f>
        <v/>
      </c>
    </row>
    <row r="2191">
      <c r="A2191" t="inlineStr">
        <is>
          <t>LD-302189</t>
        </is>
      </c>
      <c r="B2191" t="inlineStr">
        <is>
          <t>2025-06-06 16:20:00</t>
        </is>
      </c>
      <c r="C2191" t="inlineStr">
        <is>
          <t>Social Media</t>
        </is>
      </c>
      <c r="D2191" t="inlineStr">
        <is>
          <t>Competitive Exam Prep</t>
        </is>
      </c>
      <c r="E2191" t="inlineStr">
        <is>
          <t>West Region</t>
        </is>
      </c>
      <c r="F2191" t="inlineStr">
        <is>
          <t>Rep_13</t>
        </is>
      </c>
      <c r="G2191" t="n">
        <v>0.65</v>
      </c>
      <c r="H2191" t="inlineStr">
        <is>
          <t>Contacted</t>
        </is>
      </c>
      <c r="I2191" t="inlineStr">
        <is>
          <t>Open</t>
        </is>
      </c>
      <c r="M2191">
        <f>VLOOKUP(H2191,'Stage Order'!$A$2:$B$8,2,FALSE)</f>
        <v/>
      </c>
      <c r="N2191">
        <f>IF(G2191&lt;=1,"1. Under 1 hour",IF(G2191&lt;=24,"2. 1-24 hours",IF(G2191&lt;=72,"3. 1-3 days","4. Over 3 days")))</f>
        <v/>
      </c>
      <c r="O2191">
        <f>TEXT(B2191,"YYYY-MM")</f>
        <v/>
      </c>
    </row>
    <row r="2192">
      <c r="A2192" t="inlineStr">
        <is>
          <t>LD-302190</t>
        </is>
      </c>
      <c r="B2192" t="inlineStr">
        <is>
          <t>2026-03-10 11:28:00</t>
        </is>
      </c>
      <c r="C2192" t="inlineStr">
        <is>
          <t>Cold Outreach</t>
        </is>
      </c>
      <c r="D2192" t="inlineStr">
        <is>
          <t>Study Abroad Prep</t>
        </is>
      </c>
      <c r="E2192" t="inlineStr">
        <is>
          <t>North Region</t>
        </is>
      </c>
      <c r="F2192" t="inlineStr">
        <is>
          <t>Rep_11</t>
        </is>
      </c>
      <c r="G2192" t="n">
        <v>3.91</v>
      </c>
      <c r="H2192" t="inlineStr">
        <is>
          <t>Lead</t>
        </is>
      </c>
      <c r="I2192" t="inlineStr">
        <is>
          <t>Open</t>
        </is>
      </c>
      <c r="M2192">
        <f>VLOOKUP(H2192,'Stage Order'!$A$2:$B$8,2,FALSE)</f>
        <v/>
      </c>
      <c r="N2192">
        <f>IF(G2192&lt;=1,"1. Under 1 hour",IF(G2192&lt;=24,"2. 1-24 hours",IF(G2192&lt;=72,"3. 1-3 days","4. Over 3 days")))</f>
        <v/>
      </c>
      <c r="O2192">
        <f>TEXT(B2192,"YYYY-MM")</f>
        <v/>
      </c>
    </row>
    <row r="2193">
      <c r="A2193" t="inlineStr">
        <is>
          <t>LD-302191</t>
        </is>
      </c>
      <c r="B2193" t="inlineStr">
        <is>
          <t>2025-05-01 08:46:00</t>
        </is>
      </c>
      <c r="C2193" t="inlineStr">
        <is>
          <t>Cold Outreach</t>
        </is>
      </c>
      <c r="D2193" t="inlineStr">
        <is>
          <t>Language Learning</t>
        </is>
      </c>
      <c r="E2193" t="inlineStr">
        <is>
          <t>International</t>
        </is>
      </c>
      <c r="F2193" t="inlineStr">
        <is>
          <t>Rep_10</t>
        </is>
      </c>
      <c r="G2193" t="n">
        <v>8.41</v>
      </c>
      <c r="H2193" t="inlineStr">
        <is>
          <t>Contacted</t>
        </is>
      </c>
      <c r="I2193" t="inlineStr">
        <is>
          <t>Open</t>
        </is>
      </c>
      <c r="M2193">
        <f>VLOOKUP(H2193,'Stage Order'!$A$2:$B$8,2,FALSE)</f>
        <v/>
      </c>
      <c r="N2193">
        <f>IF(G2193&lt;=1,"1. Under 1 hour",IF(G2193&lt;=24,"2. 1-24 hours",IF(G2193&lt;=72,"3. 1-3 days","4. Over 3 days")))</f>
        <v/>
      </c>
      <c r="O2193">
        <f>TEXT(B2193,"YYYY-MM")</f>
        <v/>
      </c>
    </row>
    <row r="2194">
      <c r="A2194" t="inlineStr">
        <is>
          <t>LD-302192</t>
        </is>
      </c>
      <c r="B2194" t="inlineStr">
        <is>
          <t>2025-09-19 16:42:00</t>
        </is>
      </c>
      <c r="C2194" t="inlineStr">
        <is>
          <t>Webinar</t>
        </is>
      </c>
      <c r="D2194" t="inlineStr">
        <is>
          <t>Study Abroad Prep</t>
        </is>
      </c>
      <c r="E2194" t="inlineStr">
        <is>
          <t>West Region</t>
        </is>
      </c>
      <c r="F2194" t="inlineStr">
        <is>
          <t>Rep_13</t>
        </is>
      </c>
      <c r="G2194" t="n">
        <v>21.32</v>
      </c>
      <c r="H2194" t="inlineStr">
        <is>
          <t>Negotiation</t>
        </is>
      </c>
      <c r="I2194" t="inlineStr">
        <is>
          <t>Lost</t>
        </is>
      </c>
      <c r="J2194" t="inlineStr">
        <is>
          <t>Price Objection</t>
        </is>
      </c>
      <c r="K2194" t="n">
        <v>1557.17</v>
      </c>
      <c r="L2194" t="inlineStr">
        <is>
          <t>2025-11-03 23:07:44.298046</t>
        </is>
      </c>
      <c r="M2194">
        <f>VLOOKUP(H2194,'Stage Order'!$A$2:$B$8,2,FALSE)</f>
        <v/>
      </c>
      <c r="N2194">
        <f>IF(G2194&lt;=1,"1. Under 1 hour",IF(G2194&lt;=24,"2. 1-24 hours",IF(G2194&lt;=72,"3. 1-3 days","4. Over 3 days")))</f>
        <v/>
      </c>
      <c r="O2194">
        <f>TEXT(B2194,"YYYY-MM")</f>
        <v/>
      </c>
    </row>
    <row r="2195">
      <c r="A2195" t="inlineStr">
        <is>
          <t>LD-302193</t>
        </is>
      </c>
      <c r="B2195" t="inlineStr">
        <is>
          <t>2025-10-10 16:18:00</t>
        </is>
      </c>
      <c r="C2195" t="inlineStr">
        <is>
          <t>Referral</t>
        </is>
      </c>
      <c r="D2195" t="inlineStr">
        <is>
          <t>Coding for Kids</t>
        </is>
      </c>
      <c r="E2195" t="inlineStr">
        <is>
          <t>East Region</t>
        </is>
      </c>
      <c r="F2195" t="inlineStr">
        <is>
          <t>Rep_04</t>
        </is>
      </c>
      <c r="G2195" t="n">
        <v>3.08</v>
      </c>
      <c r="H2195" t="inlineStr">
        <is>
          <t>Contacted</t>
        </is>
      </c>
      <c r="I2195" t="inlineStr">
        <is>
          <t>Open</t>
        </is>
      </c>
      <c r="M2195">
        <f>VLOOKUP(H2195,'Stage Order'!$A$2:$B$8,2,FALSE)</f>
        <v/>
      </c>
      <c r="N2195">
        <f>IF(G2195&lt;=1,"1. Under 1 hour",IF(G2195&lt;=24,"2. 1-24 hours",IF(G2195&lt;=72,"3. 1-3 days","4. Over 3 days")))</f>
        <v/>
      </c>
      <c r="O2195">
        <f>TEXT(B2195,"YYYY-MM")</f>
        <v/>
      </c>
    </row>
    <row r="2196">
      <c r="A2196" t="inlineStr">
        <is>
          <t>LD-302194</t>
        </is>
      </c>
      <c r="B2196" t="inlineStr">
        <is>
          <t>2025-05-07 17:56:00</t>
        </is>
      </c>
      <c r="C2196" t="inlineStr">
        <is>
          <t>Organic Search</t>
        </is>
      </c>
      <c r="D2196" t="inlineStr">
        <is>
          <t>Language Learning</t>
        </is>
      </c>
      <c r="E2196" t="inlineStr">
        <is>
          <t>West Region</t>
        </is>
      </c>
      <c r="F2196" t="inlineStr">
        <is>
          <t>Rep_08</t>
        </is>
      </c>
      <c r="G2196" t="n">
        <v>4.44</v>
      </c>
      <c r="H2196" t="inlineStr">
        <is>
          <t>Closed</t>
        </is>
      </c>
      <c r="I2196" t="inlineStr">
        <is>
          <t>Won</t>
        </is>
      </c>
      <c r="K2196" t="n">
        <v>391.74</v>
      </c>
      <c r="L2196" t="inlineStr">
        <is>
          <t>2025-06-28 13:12:43.812986</t>
        </is>
      </c>
      <c r="M2196">
        <f>VLOOKUP(H2196,'Stage Order'!$A$2:$B$8,2,FALSE)</f>
        <v/>
      </c>
      <c r="N2196">
        <f>IF(G2196&lt;=1,"1. Under 1 hour",IF(G2196&lt;=24,"2. 1-24 hours",IF(G2196&lt;=72,"3. 1-3 days","4. Over 3 days")))</f>
        <v/>
      </c>
      <c r="O2196">
        <f>TEXT(B2196,"YYYY-MM")</f>
        <v/>
      </c>
    </row>
    <row r="2197">
      <c r="A2197" t="inlineStr">
        <is>
          <t>LD-302195</t>
        </is>
      </c>
      <c r="B2197" t="inlineStr">
        <is>
          <t>2026-04-08 08:24:00</t>
        </is>
      </c>
      <c r="C2197" t="inlineStr">
        <is>
          <t>Paid Search</t>
        </is>
      </c>
      <c r="D2197" t="inlineStr">
        <is>
          <t>Language Learning</t>
        </is>
      </c>
      <c r="E2197" t="inlineStr">
        <is>
          <t>West Region</t>
        </is>
      </c>
      <c r="F2197" t="inlineStr">
        <is>
          <t>Rep_08</t>
        </is>
      </c>
      <c r="G2197" t="n">
        <v>1.53</v>
      </c>
      <c r="H2197" t="inlineStr">
        <is>
          <t>Contacted</t>
        </is>
      </c>
      <c r="I2197" t="inlineStr">
        <is>
          <t>Open</t>
        </is>
      </c>
      <c r="M2197">
        <f>VLOOKUP(H2197,'Stage Order'!$A$2:$B$8,2,FALSE)</f>
        <v/>
      </c>
      <c r="N2197">
        <f>IF(G2197&lt;=1,"1. Under 1 hour",IF(G2197&lt;=24,"2. 1-24 hours",IF(G2197&lt;=72,"3. 1-3 days","4. Over 3 days")))</f>
        <v/>
      </c>
      <c r="O2197">
        <f>TEXT(B2197,"YYYY-MM")</f>
        <v/>
      </c>
    </row>
    <row r="2198">
      <c r="A2198" t="inlineStr">
        <is>
          <t>LD-302196</t>
        </is>
      </c>
      <c r="B2198" t="inlineStr">
        <is>
          <t>2025-10-03 10:49:00</t>
        </is>
      </c>
      <c r="C2198" t="inlineStr">
        <is>
          <t>Paid Search</t>
        </is>
      </c>
      <c r="D2198" t="inlineStr">
        <is>
          <t>Coding for Kids</t>
        </is>
      </c>
      <c r="E2198" t="inlineStr">
        <is>
          <t>South Region</t>
        </is>
      </c>
      <c r="F2198" t="inlineStr">
        <is>
          <t>Rep_02</t>
        </is>
      </c>
      <c r="G2198" t="n">
        <v>0.41</v>
      </c>
      <c r="H2198" t="inlineStr">
        <is>
          <t>Contacted</t>
        </is>
      </c>
      <c r="I2198" t="inlineStr">
        <is>
          <t>Open</t>
        </is>
      </c>
      <c r="M2198">
        <f>VLOOKUP(H2198,'Stage Order'!$A$2:$B$8,2,FALSE)</f>
        <v/>
      </c>
      <c r="N2198">
        <f>IF(G2198&lt;=1,"1. Under 1 hour",IF(G2198&lt;=24,"2. 1-24 hours",IF(G2198&lt;=72,"3. 1-3 days","4. Over 3 days")))</f>
        <v/>
      </c>
      <c r="O2198">
        <f>TEXT(B2198,"YYYY-MM")</f>
        <v/>
      </c>
    </row>
    <row r="2199">
      <c r="A2199" t="inlineStr">
        <is>
          <t>LD-302197</t>
        </is>
      </c>
      <c r="B2199" t="inlineStr">
        <is>
          <t>2026-03-09 10:07:00</t>
        </is>
      </c>
      <c r="C2199" t="inlineStr">
        <is>
          <t>Webinar</t>
        </is>
      </c>
      <c r="D2199" t="inlineStr">
        <is>
          <t>Language Learning</t>
        </is>
      </c>
      <c r="E2199" t="inlineStr">
        <is>
          <t>West Region</t>
        </is>
      </c>
      <c r="F2199" t="inlineStr">
        <is>
          <t>Rep_03</t>
        </is>
      </c>
      <c r="G2199" t="n">
        <v>8.220000000000001</v>
      </c>
      <c r="H2199" t="inlineStr">
        <is>
          <t>Lead</t>
        </is>
      </c>
      <c r="I2199" t="inlineStr">
        <is>
          <t>Open</t>
        </is>
      </c>
      <c r="M2199">
        <f>VLOOKUP(H2199,'Stage Order'!$A$2:$B$8,2,FALSE)</f>
        <v/>
      </c>
      <c r="N2199">
        <f>IF(G2199&lt;=1,"1. Under 1 hour",IF(G2199&lt;=24,"2. 1-24 hours",IF(G2199&lt;=72,"3. 1-3 days","4. Over 3 days")))</f>
        <v/>
      </c>
      <c r="O2199">
        <f>TEXT(B2199,"YYYY-MM")</f>
        <v/>
      </c>
    </row>
    <row r="2200">
      <c r="A2200" t="inlineStr">
        <is>
          <t>LD-302198</t>
        </is>
      </c>
      <c r="B2200" t="inlineStr">
        <is>
          <t>2025-10-15 07:15:00</t>
        </is>
      </c>
      <c r="C2200" t="inlineStr">
        <is>
          <t>Organic Search</t>
        </is>
      </c>
      <c r="D2200" t="inlineStr">
        <is>
          <t>Competitive Exam Prep</t>
        </is>
      </c>
      <c r="E2200" t="inlineStr">
        <is>
          <t>South Region</t>
        </is>
      </c>
      <c r="F2200" t="inlineStr">
        <is>
          <t>Rep_07</t>
        </is>
      </c>
      <c r="G2200" t="n">
        <v>5.51</v>
      </c>
      <c r="H2200" t="inlineStr">
        <is>
          <t>Contacted</t>
        </is>
      </c>
      <c r="I2200" t="inlineStr">
        <is>
          <t>Open</t>
        </is>
      </c>
      <c r="M2200">
        <f>VLOOKUP(H2200,'Stage Order'!$A$2:$B$8,2,FALSE)</f>
        <v/>
      </c>
      <c r="N2200">
        <f>IF(G2200&lt;=1,"1. Under 1 hour",IF(G2200&lt;=24,"2. 1-24 hours",IF(G2200&lt;=72,"3. 1-3 days","4. Over 3 days")))</f>
        <v/>
      </c>
      <c r="O2200">
        <f>TEXT(B2200,"YYYY-MM")</f>
        <v/>
      </c>
    </row>
    <row r="2201">
      <c r="A2201" t="inlineStr">
        <is>
          <t>LD-302199</t>
        </is>
      </c>
      <c r="B2201" t="inlineStr">
        <is>
          <t>2026-05-12 19:32:00</t>
        </is>
      </c>
      <c r="C2201" t="inlineStr">
        <is>
          <t>Social Media</t>
        </is>
      </c>
      <c r="D2201" t="inlineStr">
        <is>
          <t>Coding for Kids</t>
        </is>
      </c>
      <c r="E2201" t="inlineStr">
        <is>
          <t>East Region</t>
        </is>
      </c>
      <c r="F2201" t="inlineStr">
        <is>
          <t>Rep_14</t>
        </is>
      </c>
      <c r="G2201" t="n">
        <v>3.25</v>
      </c>
      <c r="H2201" t="inlineStr">
        <is>
          <t>Contacted</t>
        </is>
      </c>
      <c r="I2201" t="inlineStr">
        <is>
          <t>Open</t>
        </is>
      </c>
      <c r="M2201">
        <f>VLOOKUP(H2201,'Stage Order'!$A$2:$B$8,2,FALSE)</f>
        <v/>
      </c>
      <c r="N2201">
        <f>IF(G2201&lt;=1,"1. Under 1 hour",IF(G2201&lt;=24,"2. 1-24 hours",IF(G2201&lt;=72,"3. 1-3 days","4. Over 3 days")))</f>
        <v/>
      </c>
      <c r="O2201">
        <f>TEXT(B2201,"YYYY-MM")</f>
        <v/>
      </c>
    </row>
    <row r="2202">
      <c r="A2202" t="inlineStr">
        <is>
          <t>LD-302200</t>
        </is>
      </c>
      <c r="B2202" t="inlineStr">
        <is>
          <t>2025-05-21 15:31:00</t>
        </is>
      </c>
      <c r="C2202" t="inlineStr">
        <is>
          <t>Organic Search</t>
        </is>
      </c>
      <c r="D2202" t="inlineStr">
        <is>
          <t>Study Abroad Prep</t>
        </is>
      </c>
      <c r="E2202" t="inlineStr">
        <is>
          <t>International</t>
        </is>
      </c>
      <c r="F2202" t="inlineStr">
        <is>
          <t>Rep_10</t>
        </is>
      </c>
      <c r="G2202" t="n">
        <v>1.03</v>
      </c>
      <c r="H2202" t="inlineStr">
        <is>
          <t>Contacted</t>
        </is>
      </c>
      <c r="I2202" t="inlineStr">
        <is>
          <t>Open</t>
        </is>
      </c>
      <c r="M2202">
        <f>VLOOKUP(H2202,'Stage Order'!$A$2:$B$8,2,FALSE)</f>
        <v/>
      </c>
      <c r="N2202">
        <f>IF(G2202&lt;=1,"1. Under 1 hour",IF(G2202&lt;=24,"2. 1-24 hours",IF(G2202&lt;=72,"3. 1-3 days","4. Over 3 days")))</f>
        <v/>
      </c>
      <c r="O2202">
        <f>TEXT(B2202,"YYYY-MM")</f>
        <v/>
      </c>
    </row>
    <row r="2203">
      <c r="A2203" t="inlineStr">
        <is>
          <t>LD-302201</t>
        </is>
      </c>
      <c r="B2203" t="inlineStr">
        <is>
          <t>2025-04-09 15:22:00</t>
        </is>
      </c>
      <c r="C2203" t="inlineStr">
        <is>
          <t>Organic Search</t>
        </is>
      </c>
      <c r="D2203" t="inlineStr">
        <is>
          <t>K-12 Math</t>
        </is>
      </c>
      <c r="E2203" t="inlineStr">
        <is>
          <t>West Region</t>
        </is>
      </c>
      <c r="F2203" t="inlineStr">
        <is>
          <t>Rep_13</t>
        </is>
      </c>
      <c r="G2203" t="n">
        <v>3.58</v>
      </c>
      <c r="H2203" t="inlineStr">
        <is>
          <t>Proposal Sent</t>
        </is>
      </c>
      <c r="I2203" t="inlineStr">
        <is>
          <t>Lost</t>
        </is>
      </c>
      <c r="J2203" t="inlineStr">
        <is>
          <t>Price Objection</t>
        </is>
      </c>
      <c r="K2203" t="n">
        <v>484.04</v>
      </c>
      <c r="L2203" t="inlineStr">
        <is>
          <t>2025-05-07 14:14:58.099567</t>
        </is>
      </c>
      <c r="M2203">
        <f>VLOOKUP(H2203,'Stage Order'!$A$2:$B$8,2,FALSE)</f>
        <v/>
      </c>
      <c r="N2203">
        <f>IF(G2203&lt;=1,"1. Under 1 hour",IF(G2203&lt;=24,"2. 1-24 hours",IF(G2203&lt;=72,"3. 1-3 days","4. Over 3 days")))</f>
        <v/>
      </c>
      <c r="O2203">
        <f>TEXT(B2203,"YYYY-MM")</f>
        <v/>
      </c>
    </row>
    <row r="2204">
      <c r="A2204" t="inlineStr">
        <is>
          <t>LD-302202</t>
        </is>
      </c>
      <c r="B2204" t="inlineStr">
        <is>
          <t>2025-12-15 07:08:00</t>
        </is>
      </c>
      <c r="C2204" t="inlineStr">
        <is>
          <t>Paid Search</t>
        </is>
      </c>
      <c r="D2204" t="inlineStr">
        <is>
          <t>Language Learning</t>
        </is>
      </c>
      <c r="E2204" t="inlineStr">
        <is>
          <t>South Region</t>
        </is>
      </c>
      <c r="F2204" t="inlineStr">
        <is>
          <t>Rep_07</t>
        </is>
      </c>
      <c r="G2204" t="n">
        <v>6.63</v>
      </c>
      <c r="H2204" t="inlineStr">
        <is>
          <t>Contacted</t>
        </is>
      </c>
      <c r="I2204" t="inlineStr">
        <is>
          <t>Open</t>
        </is>
      </c>
      <c r="M2204">
        <f>VLOOKUP(H2204,'Stage Order'!$A$2:$B$8,2,FALSE)</f>
        <v/>
      </c>
      <c r="N2204">
        <f>IF(G2204&lt;=1,"1. Under 1 hour",IF(G2204&lt;=24,"2. 1-24 hours",IF(G2204&lt;=72,"3. 1-3 days","4. Over 3 days")))</f>
        <v/>
      </c>
      <c r="O2204">
        <f>TEXT(B2204,"YYYY-MM")</f>
        <v/>
      </c>
    </row>
    <row r="2205">
      <c r="A2205" t="inlineStr">
        <is>
          <t>LD-302203</t>
        </is>
      </c>
      <c r="B2205" t="inlineStr">
        <is>
          <t>2025-08-12 20:40:00</t>
        </is>
      </c>
      <c r="C2205" t="inlineStr">
        <is>
          <t>Webinar</t>
        </is>
      </c>
      <c r="D2205" t="inlineStr">
        <is>
          <t>K-12 Math</t>
        </is>
      </c>
      <c r="E2205" t="inlineStr">
        <is>
          <t>East Region</t>
        </is>
      </c>
      <c r="F2205" t="inlineStr">
        <is>
          <t>Rep_09</t>
        </is>
      </c>
      <c r="G2205" t="n">
        <v>0.96</v>
      </c>
      <c r="H2205" t="inlineStr">
        <is>
          <t>Closed</t>
        </is>
      </c>
      <c r="I2205" t="inlineStr">
        <is>
          <t>Won</t>
        </is>
      </c>
      <c r="K2205" t="n">
        <v>485.24</v>
      </c>
      <c r="L2205" t="inlineStr">
        <is>
          <t>2025-09-24 19:51:02.824355</t>
        </is>
      </c>
      <c r="M2205">
        <f>VLOOKUP(H2205,'Stage Order'!$A$2:$B$8,2,FALSE)</f>
        <v/>
      </c>
      <c r="N2205">
        <f>IF(G2205&lt;=1,"1. Under 1 hour",IF(G2205&lt;=24,"2. 1-24 hours",IF(G2205&lt;=72,"3. 1-3 days","4. Over 3 days")))</f>
        <v/>
      </c>
      <c r="O2205">
        <f>TEXT(B2205,"YYYY-MM")</f>
        <v/>
      </c>
    </row>
    <row r="2206">
      <c r="A2206" t="inlineStr">
        <is>
          <t>LD-302204</t>
        </is>
      </c>
      <c r="B2206" t="inlineStr">
        <is>
          <t>2025-11-07 11:02:00</t>
        </is>
      </c>
      <c r="C2206" t="inlineStr">
        <is>
          <t>Paid Search</t>
        </is>
      </c>
      <c r="D2206" t="inlineStr">
        <is>
          <t>Study Abroad Prep</t>
        </is>
      </c>
      <c r="E2206" t="inlineStr">
        <is>
          <t>West Region</t>
        </is>
      </c>
      <c r="F2206" t="inlineStr">
        <is>
          <t>Rep_03</t>
        </is>
      </c>
      <c r="G2206" t="n">
        <v>1.74</v>
      </c>
      <c r="H2206" t="inlineStr">
        <is>
          <t>Contacted</t>
        </is>
      </c>
      <c r="I2206" t="inlineStr">
        <is>
          <t>Open</t>
        </is>
      </c>
      <c r="M2206">
        <f>VLOOKUP(H2206,'Stage Order'!$A$2:$B$8,2,FALSE)</f>
        <v/>
      </c>
      <c r="N2206">
        <f>IF(G2206&lt;=1,"1. Under 1 hour",IF(G2206&lt;=24,"2. 1-24 hours",IF(G2206&lt;=72,"3. 1-3 days","4. Over 3 days")))</f>
        <v/>
      </c>
      <c r="O2206">
        <f>TEXT(B2206,"YYYY-MM")</f>
        <v/>
      </c>
    </row>
    <row r="2207">
      <c r="A2207" t="inlineStr">
        <is>
          <t>LD-302205</t>
        </is>
      </c>
      <c r="B2207" t="inlineStr">
        <is>
          <t>2025-05-15 17:16:00</t>
        </is>
      </c>
      <c r="C2207" t="inlineStr">
        <is>
          <t>Organic Search</t>
        </is>
      </c>
      <c r="D2207" t="inlineStr">
        <is>
          <t>Competitive Exam Prep</t>
        </is>
      </c>
      <c r="E2207" t="inlineStr">
        <is>
          <t>West Region</t>
        </is>
      </c>
      <c r="F2207" t="inlineStr">
        <is>
          <t>Rep_08</t>
        </is>
      </c>
      <c r="G2207" t="n">
        <v>2.67</v>
      </c>
      <c r="H2207" t="inlineStr">
        <is>
          <t>Contacted</t>
        </is>
      </c>
      <c r="I2207" t="inlineStr">
        <is>
          <t>Open</t>
        </is>
      </c>
      <c r="M2207">
        <f>VLOOKUP(H2207,'Stage Order'!$A$2:$B$8,2,FALSE)</f>
        <v/>
      </c>
      <c r="N2207">
        <f>IF(G2207&lt;=1,"1. Under 1 hour",IF(G2207&lt;=24,"2. 1-24 hours",IF(G2207&lt;=72,"3. 1-3 days","4. Over 3 days")))</f>
        <v/>
      </c>
      <c r="O2207">
        <f>TEXT(B2207,"YYYY-MM")</f>
        <v/>
      </c>
    </row>
    <row r="2208">
      <c r="A2208" t="inlineStr">
        <is>
          <t>LD-302206</t>
        </is>
      </c>
      <c r="B2208" t="inlineStr">
        <is>
          <t>2025-06-25 12:48:00</t>
        </is>
      </c>
      <c r="C2208" t="inlineStr">
        <is>
          <t>Paid Search</t>
        </is>
      </c>
      <c r="D2208" t="inlineStr">
        <is>
          <t>Coding for Kids</t>
        </is>
      </c>
      <c r="E2208" t="inlineStr">
        <is>
          <t>North Region</t>
        </is>
      </c>
      <c r="F2208" t="inlineStr">
        <is>
          <t>Rep_11</t>
        </is>
      </c>
      <c r="G2208" t="n">
        <v>2.45</v>
      </c>
      <c r="H2208" t="inlineStr">
        <is>
          <t>Contacted</t>
        </is>
      </c>
      <c r="I2208" t="inlineStr">
        <is>
          <t>Open</t>
        </is>
      </c>
      <c r="M2208">
        <f>VLOOKUP(H2208,'Stage Order'!$A$2:$B$8,2,FALSE)</f>
        <v/>
      </c>
      <c r="N2208">
        <f>IF(G2208&lt;=1,"1. Under 1 hour",IF(G2208&lt;=24,"2. 1-24 hours",IF(G2208&lt;=72,"3. 1-3 days","4. Over 3 days")))</f>
        <v/>
      </c>
      <c r="O2208">
        <f>TEXT(B2208,"YYYY-MM")</f>
        <v/>
      </c>
    </row>
    <row r="2209">
      <c r="A2209" t="inlineStr">
        <is>
          <t>LD-302207</t>
        </is>
      </c>
      <c r="B2209" t="inlineStr">
        <is>
          <t>2025-05-09 14:05:00</t>
        </is>
      </c>
      <c r="C2209" t="inlineStr">
        <is>
          <t>Cold Outreach</t>
        </is>
      </c>
      <c r="D2209" t="inlineStr">
        <is>
          <t>K-12 Math</t>
        </is>
      </c>
      <c r="E2209" t="inlineStr">
        <is>
          <t>South Region</t>
        </is>
      </c>
      <c r="F2209" t="inlineStr">
        <is>
          <t>Rep_02</t>
        </is>
      </c>
      <c r="G2209" t="n">
        <v>0.97</v>
      </c>
      <c r="H2209" t="inlineStr">
        <is>
          <t>Contacted</t>
        </is>
      </c>
      <c r="I2209" t="inlineStr">
        <is>
          <t>Open</t>
        </is>
      </c>
      <c r="M2209">
        <f>VLOOKUP(H2209,'Stage Order'!$A$2:$B$8,2,FALSE)</f>
        <v/>
      </c>
      <c r="N2209">
        <f>IF(G2209&lt;=1,"1. Under 1 hour",IF(G2209&lt;=24,"2. 1-24 hours",IF(G2209&lt;=72,"3. 1-3 days","4. Over 3 days")))</f>
        <v/>
      </c>
      <c r="O2209">
        <f>TEXT(B2209,"YYYY-MM")</f>
        <v/>
      </c>
    </row>
    <row r="2210">
      <c r="A2210" t="inlineStr">
        <is>
          <t>LD-302208</t>
        </is>
      </c>
      <c r="B2210" t="inlineStr">
        <is>
          <t>2025-02-16 08:53:00</t>
        </is>
      </c>
      <c r="C2210" t="inlineStr">
        <is>
          <t>Partner Channel</t>
        </is>
      </c>
      <c r="D2210" t="inlineStr">
        <is>
          <t>Study Abroad Prep</t>
        </is>
      </c>
      <c r="E2210" t="inlineStr">
        <is>
          <t>North Region</t>
        </is>
      </c>
      <c r="F2210" t="inlineStr">
        <is>
          <t>Rep_11</t>
        </is>
      </c>
      <c r="G2210" t="n">
        <v>0.42</v>
      </c>
      <c r="H2210" t="inlineStr">
        <is>
          <t>Closed</t>
        </is>
      </c>
      <c r="I2210" t="inlineStr">
        <is>
          <t>Won</t>
        </is>
      </c>
      <c r="K2210" t="n">
        <v>1383.98</v>
      </c>
      <c r="L2210" t="inlineStr">
        <is>
          <t>2025-04-03 15:02:52.327243</t>
        </is>
      </c>
      <c r="M2210">
        <f>VLOOKUP(H2210,'Stage Order'!$A$2:$B$8,2,FALSE)</f>
        <v/>
      </c>
      <c r="N2210">
        <f>IF(G2210&lt;=1,"1. Under 1 hour",IF(G2210&lt;=24,"2. 1-24 hours",IF(G2210&lt;=72,"3. 1-3 days","4. Over 3 days")))</f>
        <v/>
      </c>
      <c r="O2210">
        <f>TEXT(B2210,"YYYY-MM")</f>
        <v/>
      </c>
    </row>
    <row r="2211">
      <c r="A2211" t="inlineStr">
        <is>
          <t>LD-302209</t>
        </is>
      </c>
      <c r="B2211" t="inlineStr">
        <is>
          <t>2025-01-03 18:42:00</t>
        </is>
      </c>
      <c r="C2211" t="inlineStr">
        <is>
          <t>Webinar</t>
        </is>
      </c>
      <c r="D2211" t="inlineStr">
        <is>
          <t>Study Abroad Prep</t>
        </is>
      </c>
      <c r="E2211" t="inlineStr">
        <is>
          <t>South Region</t>
        </is>
      </c>
      <c r="F2211" t="inlineStr">
        <is>
          <t>Rep_12</t>
        </is>
      </c>
      <c r="G2211" t="n">
        <v>10.04</v>
      </c>
      <c r="H2211" t="inlineStr">
        <is>
          <t>Closed</t>
        </is>
      </c>
      <c r="I2211" t="inlineStr">
        <is>
          <t>Won</t>
        </is>
      </c>
      <c r="K2211" t="n">
        <v>1435.53</v>
      </c>
      <c r="L2211" t="inlineStr">
        <is>
          <t>2025-02-09 21:33:52.958407</t>
        </is>
      </c>
      <c r="M2211">
        <f>VLOOKUP(H2211,'Stage Order'!$A$2:$B$8,2,FALSE)</f>
        <v/>
      </c>
      <c r="N2211">
        <f>IF(G2211&lt;=1,"1. Under 1 hour",IF(G2211&lt;=24,"2. 1-24 hours",IF(G2211&lt;=72,"3. 1-3 days","4. Over 3 days")))</f>
        <v/>
      </c>
      <c r="O2211">
        <f>TEXT(B2211,"YYYY-MM")</f>
        <v/>
      </c>
    </row>
    <row r="2212">
      <c r="A2212" t="inlineStr">
        <is>
          <t>LD-302210</t>
        </is>
      </c>
      <c r="B2212" t="inlineStr">
        <is>
          <t>2026-03-14 15:30:00</t>
        </is>
      </c>
      <c r="C2212" t="inlineStr">
        <is>
          <t>Organic Search</t>
        </is>
      </c>
      <c r="D2212" t="inlineStr">
        <is>
          <t>Coding for Kids</t>
        </is>
      </c>
      <c r="E2212" t="inlineStr">
        <is>
          <t>North Region</t>
        </is>
      </c>
      <c r="F2212" t="inlineStr">
        <is>
          <t>Rep_01</t>
        </is>
      </c>
      <c r="G2212" t="n">
        <v>1.8</v>
      </c>
      <c r="H2212" t="inlineStr">
        <is>
          <t>Contacted</t>
        </is>
      </c>
      <c r="I2212" t="inlineStr">
        <is>
          <t>Open</t>
        </is>
      </c>
      <c r="M2212">
        <f>VLOOKUP(H2212,'Stage Order'!$A$2:$B$8,2,FALSE)</f>
        <v/>
      </c>
      <c r="N2212">
        <f>IF(G2212&lt;=1,"1. Under 1 hour",IF(G2212&lt;=24,"2. 1-24 hours",IF(G2212&lt;=72,"3. 1-3 days","4. Over 3 days")))</f>
        <v/>
      </c>
      <c r="O2212">
        <f>TEXT(B2212,"YYYY-MM")</f>
        <v/>
      </c>
    </row>
    <row r="2213">
      <c r="A2213" t="inlineStr">
        <is>
          <t>LD-302211</t>
        </is>
      </c>
      <c r="B2213" t="inlineStr">
        <is>
          <t>2025-12-24 19:58:00</t>
        </is>
      </c>
      <c r="C2213" t="inlineStr">
        <is>
          <t>Cold Outreach</t>
        </is>
      </c>
      <c r="D2213" t="inlineStr">
        <is>
          <t>Coding for Kids</t>
        </is>
      </c>
      <c r="E2213" t="inlineStr">
        <is>
          <t>East Region</t>
        </is>
      </c>
      <c r="F2213" t="inlineStr">
        <is>
          <t>Rep_14</t>
        </is>
      </c>
      <c r="G2213" t="n">
        <v>1.69</v>
      </c>
      <c r="H2213" t="inlineStr">
        <is>
          <t>Contacted</t>
        </is>
      </c>
      <c r="I2213" t="inlineStr">
        <is>
          <t>Open</t>
        </is>
      </c>
      <c r="M2213">
        <f>VLOOKUP(H2213,'Stage Order'!$A$2:$B$8,2,FALSE)</f>
        <v/>
      </c>
      <c r="N2213">
        <f>IF(G2213&lt;=1,"1. Under 1 hour",IF(G2213&lt;=24,"2. 1-24 hours",IF(G2213&lt;=72,"3. 1-3 days","4. Over 3 days")))</f>
        <v/>
      </c>
      <c r="O2213">
        <f>TEXT(B2213,"YYYY-MM")</f>
        <v/>
      </c>
    </row>
    <row r="2214">
      <c r="A2214" t="inlineStr">
        <is>
          <t>LD-302212</t>
        </is>
      </c>
      <c r="B2214" t="inlineStr">
        <is>
          <t>2026-03-27 10:15:00</t>
        </is>
      </c>
      <c r="C2214" t="inlineStr">
        <is>
          <t>Social Media</t>
        </is>
      </c>
      <c r="D2214" t="inlineStr">
        <is>
          <t>Language Learning</t>
        </is>
      </c>
      <c r="E2214" t="inlineStr">
        <is>
          <t>North Region</t>
        </is>
      </c>
      <c r="F2214" t="inlineStr">
        <is>
          <t>Rep_01</t>
        </is>
      </c>
      <c r="G2214" t="n">
        <v>4.72</v>
      </c>
      <c r="H2214" t="inlineStr">
        <is>
          <t>Proposal Sent</t>
        </is>
      </c>
      <c r="I2214" t="inlineStr">
        <is>
          <t>Lost</t>
        </is>
      </c>
      <c r="J2214" t="inlineStr">
        <is>
          <t>Went With Competitor</t>
        </is>
      </c>
      <c r="K2214" t="n">
        <v>416.07</v>
      </c>
      <c r="L2214" t="inlineStr">
        <is>
          <t>2026-05-15 02:58:23.342429</t>
        </is>
      </c>
      <c r="M2214">
        <f>VLOOKUP(H2214,'Stage Order'!$A$2:$B$8,2,FALSE)</f>
        <v/>
      </c>
      <c r="N2214">
        <f>IF(G2214&lt;=1,"1. Under 1 hour",IF(G2214&lt;=24,"2. 1-24 hours",IF(G2214&lt;=72,"3. 1-3 days","4. Over 3 days")))</f>
        <v/>
      </c>
      <c r="O2214">
        <f>TEXT(B2214,"YYYY-MM")</f>
        <v/>
      </c>
    </row>
    <row r="2215">
      <c r="A2215" t="inlineStr">
        <is>
          <t>LD-302213</t>
        </is>
      </c>
      <c r="B2215" t="inlineStr">
        <is>
          <t>2025-09-05 17:01:00</t>
        </is>
      </c>
      <c r="C2215" t="inlineStr">
        <is>
          <t>Paid Search</t>
        </is>
      </c>
      <c r="D2215" t="inlineStr">
        <is>
          <t>Coding for Kids</t>
        </is>
      </c>
      <c r="E2215" t="inlineStr">
        <is>
          <t>East Region</t>
        </is>
      </c>
      <c r="F2215" t="inlineStr">
        <is>
          <t>Rep_09</t>
        </is>
      </c>
      <c r="G2215" t="n">
        <v>4.04</v>
      </c>
      <c r="H2215" t="inlineStr">
        <is>
          <t>Contacted</t>
        </is>
      </c>
      <c r="I2215" t="inlineStr">
        <is>
          <t>Open</t>
        </is>
      </c>
      <c r="M2215">
        <f>VLOOKUP(H2215,'Stage Order'!$A$2:$B$8,2,FALSE)</f>
        <v/>
      </c>
      <c r="N2215">
        <f>IF(G2215&lt;=1,"1. Under 1 hour",IF(G2215&lt;=24,"2. 1-24 hours",IF(G2215&lt;=72,"3. 1-3 days","4. Over 3 days")))</f>
        <v/>
      </c>
      <c r="O2215">
        <f>TEXT(B2215,"YYYY-MM")</f>
        <v/>
      </c>
    </row>
    <row r="2216">
      <c r="A2216" t="inlineStr">
        <is>
          <t>LD-302214</t>
        </is>
      </c>
      <c r="B2216" t="inlineStr">
        <is>
          <t>2025-05-12 08:00:00</t>
        </is>
      </c>
      <c r="C2216" t="inlineStr">
        <is>
          <t>Webinar</t>
        </is>
      </c>
      <c r="D2216" t="inlineStr">
        <is>
          <t>K-12 Math</t>
        </is>
      </c>
      <c r="E2216" t="inlineStr">
        <is>
          <t>East Region</t>
        </is>
      </c>
      <c r="F2216" t="inlineStr">
        <is>
          <t>Rep_04</t>
        </is>
      </c>
      <c r="G2216" t="n">
        <v>1.33</v>
      </c>
      <c r="H2216" t="inlineStr">
        <is>
          <t>Contacted</t>
        </is>
      </c>
      <c r="I2216" t="inlineStr">
        <is>
          <t>Open</t>
        </is>
      </c>
      <c r="M2216">
        <f>VLOOKUP(H2216,'Stage Order'!$A$2:$B$8,2,FALSE)</f>
        <v/>
      </c>
      <c r="N2216">
        <f>IF(G2216&lt;=1,"1. Under 1 hour",IF(G2216&lt;=24,"2. 1-24 hours",IF(G2216&lt;=72,"3. 1-3 days","4. Over 3 days")))</f>
        <v/>
      </c>
      <c r="O2216">
        <f>TEXT(B2216,"YYYY-MM")</f>
        <v/>
      </c>
    </row>
    <row r="2217">
      <c r="A2217" t="inlineStr">
        <is>
          <t>LD-302215</t>
        </is>
      </c>
      <c r="B2217" t="inlineStr">
        <is>
          <t>2025-09-30 20:00:00</t>
        </is>
      </c>
      <c r="C2217" t="inlineStr">
        <is>
          <t>Organic Search</t>
        </is>
      </c>
      <c r="D2217" t="inlineStr">
        <is>
          <t>K-12 Math</t>
        </is>
      </c>
      <c r="E2217" t="inlineStr">
        <is>
          <t>North Region</t>
        </is>
      </c>
      <c r="F2217" t="inlineStr">
        <is>
          <t>Rep_11</t>
        </is>
      </c>
      <c r="G2217" t="n">
        <v>1.19</v>
      </c>
      <c r="H2217" t="inlineStr">
        <is>
          <t>Lead</t>
        </is>
      </c>
      <c r="I2217" t="inlineStr">
        <is>
          <t>Open</t>
        </is>
      </c>
      <c r="M2217">
        <f>VLOOKUP(H2217,'Stage Order'!$A$2:$B$8,2,FALSE)</f>
        <v/>
      </c>
      <c r="N2217">
        <f>IF(G2217&lt;=1,"1. Under 1 hour",IF(G2217&lt;=24,"2. 1-24 hours",IF(G2217&lt;=72,"3. 1-3 days","4. Over 3 days")))</f>
        <v/>
      </c>
      <c r="O2217">
        <f>TEXT(B2217,"YYYY-MM")</f>
        <v/>
      </c>
    </row>
    <row r="2218">
      <c r="A2218" t="inlineStr">
        <is>
          <t>LD-302216</t>
        </is>
      </c>
      <c r="B2218" t="inlineStr">
        <is>
          <t>2025-07-29 19:02:00</t>
        </is>
      </c>
      <c r="C2218" t="inlineStr">
        <is>
          <t>Partner Channel</t>
        </is>
      </c>
      <c r="D2218" t="inlineStr">
        <is>
          <t>Language Learning</t>
        </is>
      </c>
      <c r="E2218" t="inlineStr">
        <is>
          <t>North Region</t>
        </is>
      </c>
      <c r="F2218" t="inlineStr">
        <is>
          <t>Rep_01</t>
        </is>
      </c>
      <c r="G2218" t="n">
        <v>0.63</v>
      </c>
      <c r="H2218" t="inlineStr">
        <is>
          <t>Contacted</t>
        </is>
      </c>
      <c r="I2218" t="inlineStr">
        <is>
          <t>Open</t>
        </is>
      </c>
      <c r="M2218">
        <f>VLOOKUP(H2218,'Stage Order'!$A$2:$B$8,2,FALSE)</f>
        <v/>
      </c>
      <c r="N2218">
        <f>IF(G2218&lt;=1,"1. Under 1 hour",IF(G2218&lt;=24,"2. 1-24 hours",IF(G2218&lt;=72,"3. 1-3 days","4. Over 3 days")))</f>
        <v/>
      </c>
      <c r="O2218">
        <f>TEXT(B2218,"YYYY-MM")</f>
        <v/>
      </c>
    </row>
    <row r="2219">
      <c r="A2219" t="inlineStr">
        <is>
          <t>LD-302217</t>
        </is>
      </c>
      <c r="B2219" t="inlineStr">
        <is>
          <t>2025-05-16 10:52:00</t>
        </is>
      </c>
      <c r="C2219" t="inlineStr">
        <is>
          <t>Webinar</t>
        </is>
      </c>
      <c r="D2219" t="inlineStr">
        <is>
          <t>Coding for Kids</t>
        </is>
      </c>
      <c r="E2219" t="inlineStr">
        <is>
          <t>South Region</t>
        </is>
      </c>
      <c r="F2219" t="inlineStr">
        <is>
          <t>Rep_12</t>
        </is>
      </c>
      <c r="G2219" t="n">
        <v>2.3</v>
      </c>
      <c r="H2219" t="inlineStr">
        <is>
          <t>Closed</t>
        </is>
      </c>
      <c r="I2219" t="inlineStr">
        <is>
          <t>Won</t>
        </is>
      </c>
      <c r="K2219" t="n">
        <v>544.61</v>
      </c>
      <c r="L2219" t="inlineStr">
        <is>
          <t>2025-07-01 07:16:22.077333</t>
        </is>
      </c>
      <c r="M2219">
        <f>VLOOKUP(H2219,'Stage Order'!$A$2:$B$8,2,FALSE)</f>
        <v/>
      </c>
      <c r="N2219">
        <f>IF(G2219&lt;=1,"1. Under 1 hour",IF(G2219&lt;=24,"2. 1-24 hours",IF(G2219&lt;=72,"3. 1-3 days","4. Over 3 days")))</f>
        <v/>
      </c>
      <c r="O2219">
        <f>TEXT(B2219,"YYYY-MM")</f>
        <v/>
      </c>
    </row>
    <row r="2220">
      <c r="A2220" t="inlineStr">
        <is>
          <t>LD-302218</t>
        </is>
      </c>
      <c r="B2220" t="inlineStr">
        <is>
          <t>2026-02-13 19:38:00</t>
        </is>
      </c>
      <c r="C2220" t="inlineStr">
        <is>
          <t>Paid Search</t>
        </is>
      </c>
      <c r="D2220" t="inlineStr">
        <is>
          <t>K-12 Math</t>
        </is>
      </c>
      <c r="E2220" t="inlineStr">
        <is>
          <t>South Region</t>
        </is>
      </c>
      <c r="F2220" t="inlineStr">
        <is>
          <t>Rep_02</t>
        </is>
      </c>
      <c r="G2220" t="n">
        <v>15.46</v>
      </c>
      <c r="H2220" t="inlineStr">
        <is>
          <t>Contacted</t>
        </is>
      </c>
      <c r="I2220" t="inlineStr">
        <is>
          <t>Open</t>
        </is>
      </c>
      <c r="M2220">
        <f>VLOOKUP(H2220,'Stage Order'!$A$2:$B$8,2,FALSE)</f>
        <v/>
      </c>
      <c r="N2220">
        <f>IF(G2220&lt;=1,"1. Under 1 hour",IF(G2220&lt;=24,"2. 1-24 hours",IF(G2220&lt;=72,"3. 1-3 days","4. Over 3 days")))</f>
        <v/>
      </c>
      <c r="O2220">
        <f>TEXT(B2220,"YYYY-MM")</f>
        <v/>
      </c>
    </row>
    <row r="2221">
      <c r="A2221" t="inlineStr">
        <is>
          <t>LD-302219</t>
        </is>
      </c>
      <c r="B2221" t="inlineStr">
        <is>
          <t>2026-01-26 13:53:00</t>
        </is>
      </c>
      <c r="C2221" t="inlineStr">
        <is>
          <t>Referral</t>
        </is>
      </c>
      <c r="D2221" t="inlineStr">
        <is>
          <t>K-12 Math</t>
        </is>
      </c>
      <c r="E2221" t="inlineStr">
        <is>
          <t>West Region</t>
        </is>
      </c>
      <c r="F2221" t="inlineStr">
        <is>
          <t>Rep_13</t>
        </is>
      </c>
      <c r="G2221" t="n">
        <v>1.52</v>
      </c>
      <c r="H2221" t="inlineStr">
        <is>
          <t>Negotiation</t>
        </is>
      </c>
      <c r="I2221" t="inlineStr">
        <is>
          <t>Lost</t>
        </is>
      </c>
      <c r="J2221" t="inlineStr">
        <is>
          <t>Budget Not Approved</t>
        </is>
      </c>
      <c r="K2221" t="n">
        <v>590.3</v>
      </c>
      <c r="L2221" t="inlineStr">
        <is>
          <t>2026-03-20 00:32:29.618409</t>
        </is>
      </c>
      <c r="M2221">
        <f>VLOOKUP(H2221,'Stage Order'!$A$2:$B$8,2,FALSE)</f>
        <v/>
      </c>
      <c r="N2221">
        <f>IF(G2221&lt;=1,"1. Under 1 hour",IF(G2221&lt;=24,"2. 1-24 hours",IF(G2221&lt;=72,"3. 1-3 days","4. Over 3 days")))</f>
        <v/>
      </c>
      <c r="O2221">
        <f>TEXT(B2221,"YYYY-MM")</f>
        <v/>
      </c>
    </row>
    <row r="2222">
      <c r="A2222" t="inlineStr">
        <is>
          <t>LD-302220</t>
        </is>
      </c>
      <c r="B2222" t="inlineStr">
        <is>
          <t>2026-03-06 12:46:00</t>
        </is>
      </c>
      <c r="C2222" t="inlineStr">
        <is>
          <t>Webinar</t>
        </is>
      </c>
      <c r="D2222" t="inlineStr">
        <is>
          <t>K-12 Math</t>
        </is>
      </c>
      <c r="E2222" t="inlineStr">
        <is>
          <t>East Region</t>
        </is>
      </c>
      <c r="F2222" t="inlineStr">
        <is>
          <t>Rep_14</t>
        </is>
      </c>
      <c r="G2222" t="n">
        <v>4.44</v>
      </c>
      <c r="H2222" t="inlineStr">
        <is>
          <t>Contacted</t>
        </is>
      </c>
      <c r="I2222" t="inlineStr">
        <is>
          <t>Open</t>
        </is>
      </c>
      <c r="M2222">
        <f>VLOOKUP(H2222,'Stage Order'!$A$2:$B$8,2,FALSE)</f>
        <v/>
      </c>
      <c r="N2222">
        <f>IF(G2222&lt;=1,"1. Under 1 hour",IF(G2222&lt;=24,"2. 1-24 hours",IF(G2222&lt;=72,"3. 1-3 days","4. Over 3 days")))</f>
        <v/>
      </c>
      <c r="O2222">
        <f>TEXT(B2222,"YYYY-MM")</f>
        <v/>
      </c>
    </row>
    <row r="2223">
      <c r="A2223" t="inlineStr">
        <is>
          <t>LD-302221</t>
        </is>
      </c>
      <c r="B2223" t="inlineStr">
        <is>
          <t>2026-03-26 13:19:00</t>
        </is>
      </c>
      <c r="C2223" t="inlineStr">
        <is>
          <t>Cold Outreach</t>
        </is>
      </c>
      <c r="D2223" t="inlineStr">
        <is>
          <t>Coding for Kids</t>
        </is>
      </c>
      <c r="E2223" t="inlineStr">
        <is>
          <t>West Region</t>
        </is>
      </c>
      <c r="F2223" t="inlineStr">
        <is>
          <t>Rep_13</t>
        </is>
      </c>
      <c r="G2223" t="n">
        <v>2.39</v>
      </c>
      <c r="H2223" t="inlineStr">
        <is>
          <t>Lead</t>
        </is>
      </c>
      <c r="I2223" t="inlineStr">
        <is>
          <t>Open</t>
        </is>
      </c>
      <c r="M2223">
        <f>VLOOKUP(H2223,'Stage Order'!$A$2:$B$8,2,FALSE)</f>
        <v/>
      </c>
      <c r="N2223">
        <f>IF(G2223&lt;=1,"1. Under 1 hour",IF(G2223&lt;=24,"2. 1-24 hours",IF(G2223&lt;=72,"3. 1-3 days","4. Over 3 days")))</f>
        <v/>
      </c>
      <c r="O2223">
        <f>TEXT(B2223,"YYYY-MM")</f>
        <v/>
      </c>
    </row>
    <row r="2224">
      <c r="A2224" t="inlineStr">
        <is>
          <t>LD-302222</t>
        </is>
      </c>
      <c r="B2224" t="inlineStr">
        <is>
          <t>2025-07-05 13:38:00</t>
        </is>
      </c>
      <c r="C2224" t="inlineStr">
        <is>
          <t>Social Media</t>
        </is>
      </c>
      <c r="D2224" t="inlineStr">
        <is>
          <t>K-12 Math</t>
        </is>
      </c>
      <c r="E2224" t="inlineStr">
        <is>
          <t>North Region</t>
        </is>
      </c>
      <c r="F2224" t="inlineStr">
        <is>
          <t>Rep_01</t>
        </is>
      </c>
      <c r="G2224" t="n">
        <v>1.57</v>
      </c>
      <c r="H2224" t="inlineStr">
        <is>
          <t>Contacted</t>
        </is>
      </c>
      <c r="I2224" t="inlineStr">
        <is>
          <t>Open</t>
        </is>
      </c>
      <c r="M2224">
        <f>VLOOKUP(H2224,'Stage Order'!$A$2:$B$8,2,FALSE)</f>
        <v/>
      </c>
      <c r="N2224">
        <f>IF(G2224&lt;=1,"1. Under 1 hour",IF(G2224&lt;=24,"2. 1-24 hours",IF(G2224&lt;=72,"3. 1-3 days","4. Over 3 days")))</f>
        <v/>
      </c>
      <c r="O2224">
        <f>TEXT(B2224,"YYYY-MM")</f>
        <v/>
      </c>
    </row>
    <row r="2225">
      <c r="A2225" t="inlineStr">
        <is>
          <t>LD-302223</t>
        </is>
      </c>
      <c r="B2225" t="inlineStr">
        <is>
          <t>2025-09-12 20:42:00</t>
        </is>
      </c>
      <c r="C2225" t="inlineStr">
        <is>
          <t>Organic Search</t>
        </is>
      </c>
      <c r="D2225" t="inlineStr">
        <is>
          <t>K-12 Math</t>
        </is>
      </c>
      <c r="E2225" t="inlineStr">
        <is>
          <t>North Region</t>
        </is>
      </c>
      <c r="F2225" t="inlineStr">
        <is>
          <t>Rep_01</t>
        </is>
      </c>
      <c r="G2225" t="n">
        <v>4.74</v>
      </c>
      <c r="H2225" t="inlineStr">
        <is>
          <t>Proposal Sent</t>
        </is>
      </c>
      <c r="I2225" t="inlineStr">
        <is>
          <t>Lost</t>
        </is>
      </c>
      <c r="J2225" t="inlineStr">
        <is>
          <t>Bad Timing</t>
        </is>
      </c>
      <c r="K2225" t="n">
        <v>442.25</v>
      </c>
      <c r="L2225" t="inlineStr">
        <is>
          <t>2025-10-17 06:56:33.690419</t>
        </is>
      </c>
      <c r="M2225">
        <f>VLOOKUP(H2225,'Stage Order'!$A$2:$B$8,2,FALSE)</f>
        <v/>
      </c>
      <c r="N2225">
        <f>IF(G2225&lt;=1,"1. Under 1 hour",IF(G2225&lt;=24,"2. 1-24 hours",IF(G2225&lt;=72,"3. 1-3 days","4. Over 3 days")))</f>
        <v/>
      </c>
      <c r="O2225">
        <f>TEXT(B2225,"YYYY-MM")</f>
        <v/>
      </c>
    </row>
    <row r="2226">
      <c r="A2226" t="inlineStr">
        <is>
          <t>LD-302224</t>
        </is>
      </c>
      <c r="B2226" t="inlineStr">
        <is>
          <t>2025-11-20 12:52:00</t>
        </is>
      </c>
      <c r="C2226" t="inlineStr">
        <is>
          <t>Webinar</t>
        </is>
      </c>
      <c r="D2226" t="inlineStr">
        <is>
          <t>K-12 Math</t>
        </is>
      </c>
      <c r="E2226" t="inlineStr">
        <is>
          <t>West Region</t>
        </is>
      </c>
      <c r="F2226" t="inlineStr">
        <is>
          <t>Rep_03</t>
        </is>
      </c>
      <c r="G2226" t="n">
        <v>5.17</v>
      </c>
      <c r="H2226" t="inlineStr">
        <is>
          <t>Contacted</t>
        </is>
      </c>
      <c r="I2226" t="inlineStr">
        <is>
          <t>Open</t>
        </is>
      </c>
      <c r="M2226">
        <f>VLOOKUP(H2226,'Stage Order'!$A$2:$B$8,2,FALSE)</f>
        <v/>
      </c>
      <c r="N2226">
        <f>IF(G2226&lt;=1,"1. Under 1 hour",IF(G2226&lt;=24,"2. 1-24 hours",IF(G2226&lt;=72,"3. 1-3 days","4. Over 3 days")))</f>
        <v/>
      </c>
      <c r="O2226">
        <f>TEXT(B2226,"YYYY-MM")</f>
        <v/>
      </c>
    </row>
    <row r="2227">
      <c r="A2227" t="inlineStr">
        <is>
          <t>LD-302225</t>
        </is>
      </c>
      <c r="B2227" t="inlineStr">
        <is>
          <t>2025-01-08 18:39:00</t>
        </is>
      </c>
      <c r="C2227" t="inlineStr">
        <is>
          <t>Referral</t>
        </is>
      </c>
      <c r="D2227" t="inlineStr">
        <is>
          <t>Coding for Kids</t>
        </is>
      </c>
      <c r="E2227" t="inlineStr">
        <is>
          <t>South Region</t>
        </is>
      </c>
      <c r="F2227" t="inlineStr">
        <is>
          <t>Rep_07</t>
        </is>
      </c>
      <c r="G2227" t="n">
        <v>3.67</v>
      </c>
      <c r="H2227" t="inlineStr">
        <is>
          <t>Closed</t>
        </is>
      </c>
      <c r="I2227" t="inlineStr">
        <is>
          <t>Won</t>
        </is>
      </c>
      <c r="K2227" t="n">
        <v>603.85</v>
      </c>
      <c r="L2227" t="inlineStr">
        <is>
          <t>2025-03-01 18:49:04.054880</t>
        </is>
      </c>
      <c r="M2227">
        <f>VLOOKUP(H2227,'Stage Order'!$A$2:$B$8,2,FALSE)</f>
        <v/>
      </c>
      <c r="N2227">
        <f>IF(G2227&lt;=1,"1. Under 1 hour",IF(G2227&lt;=24,"2. 1-24 hours",IF(G2227&lt;=72,"3. 1-3 days","4. Over 3 days")))</f>
        <v/>
      </c>
      <c r="O2227">
        <f>TEXT(B2227,"YYYY-MM")</f>
        <v/>
      </c>
    </row>
    <row r="2228">
      <c r="A2228" t="inlineStr">
        <is>
          <t>LD-302226</t>
        </is>
      </c>
      <c r="B2228" t="inlineStr">
        <is>
          <t>2025-02-07 15:42:00</t>
        </is>
      </c>
      <c r="C2228" t="inlineStr">
        <is>
          <t>Paid Search</t>
        </is>
      </c>
      <c r="D2228" t="inlineStr">
        <is>
          <t>Coding for Kids</t>
        </is>
      </c>
      <c r="E2228" t="inlineStr">
        <is>
          <t>South Region</t>
        </is>
      </c>
      <c r="F2228" t="inlineStr">
        <is>
          <t>Rep_02</t>
        </is>
      </c>
      <c r="G2228" t="n">
        <v>3.48</v>
      </c>
      <c r="H2228" t="inlineStr">
        <is>
          <t>Closed</t>
        </is>
      </c>
      <c r="I2228" t="inlineStr">
        <is>
          <t>Won</t>
        </is>
      </c>
      <c r="K2228" t="n">
        <v>705.14</v>
      </c>
      <c r="L2228" t="inlineStr">
        <is>
          <t>2025-03-15 10:52:12.145977</t>
        </is>
      </c>
      <c r="M2228">
        <f>VLOOKUP(H2228,'Stage Order'!$A$2:$B$8,2,FALSE)</f>
        <v/>
      </c>
      <c r="N2228">
        <f>IF(G2228&lt;=1,"1. Under 1 hour",IF(G2228&lt;=24,"2. 1-24 hours",IF(G2228&lt;=72,"3. 1-3 days","4. Over 3 days")))</f>
        <v/>
      </c>
      <c r="O2228">
        <f>TEXT(B2228,"YYYY-MM")</f>
        <v/>
      </c>
    </row>
    <row r="2229">
      <c r="A2229" t="inlineStr">
        <is>
          <t>LD-302227</t>
        </is>
      </c>
      <c r="B2229" t="inlineStr">
        <is>
          <t>2025-06-01 09:28:00</t>
        </is>
      </c>
      <c r="C2229" t="inlineStr">
        <is>
          <t>Webinar</t>
        </is>
      </c>
      <c r="D2229" t="inlineStr">
        <is>
          <t>Competitive Exam Prep</t>
        </is>
      </c>
      <c r="E2229" t="inlineStr">
        <is>
          <t>West Region</t>
        </is>
      </c>
      <c r="F2229" t="inlineStr">
        <is>
          <t>Rep_03</t>
        </is>
      </c>
      <c r="G2229" t="n">
        <v>10.26</v>
      </c>
      <c r="H2229" t="inlineStr">
        <is>
          <t>Demo Scheduled</t>
        </is>
      </c>
      <c r="I2229" t="inlineStr">
        <is>
          <t>Open</t>
        </is>
      </c>
      <c r="M2229">
        <f>VLOOKUP(H2229,'Stage Order'!$A$2:$B$8,2,FALSE)</f>
        <v/>
      </c>
      <c r="N2229">
        <f>IF(G2229&lt;=1,"1. Under 1 hour",IF(G2229&lt;=24,"2. 1-24 hours",IF(G2229&lt;=72,"3. 1-3 days","4. Over 3 days")))</f>
        <v/>
      </c>
      <c r="O2229">
        <f>TEXT(B2229,"YYYY-MM")</f>
        <v/>
      </c>
    </row>
    <row r="2230">
      <c r="A2230" t="inlineStr">
        <is>
          <t>LD-302228</t>
        </is>
      </c>
      <c r="B2230" t="inlineStr">
        <is>
          <t>2025-11-22 13:28:00</t>
        </is>
      </c>
      <c r="C2230" t="inlineStr">
        <is>
          <t>Organic Search</t>
        </is>
      </c>
      <c r="D2230" t="inlineStr">
        <is>
          <t>K-12 Math</t>
        </is>
      </c>
      <c r="E2230" t="inlineStr">
        <is>
          <t>West Region</t>
        </is>
      </c>
      <c r="F2230" t="inlineStr">
        <is>
          <t>Rep_03</t>
        </is>
      </c>
      <c r="G2230" t="n">
        <v>1.09</v>
      </c>
      <c r="H2230" t="inlineStr">
        <is>
          <t>Demo Completed</t>
        </is>
      </c>
      <c r="I2230" t="inlineStr">
        <is>
          <t>Lost</t>
        </is>
      </c>
      <c r="J2230" t="inlineStr">
        <is>
          <t>Price Objection</t>
        </is>
      </c>
      <c r="K2230" t="n">
        <v>464.78</v>
      </c>
      <c r="L2230" t="inlineStr">
        <is>
          <t>2025-12-21 02:21:45.328080</t>
        </is>
      </c>
      <c r="M2230">
        <f>VLOOKUP(H2230,'Stage Order'!$A$2:$B$8,2,FALSE)</f>
        <v/>
      </c>
      <c r="N2230">
        <f>IF(G2230&lt;=1,"1. Under 1 hour",IF(G2230&lt;=24,"2. 1-24 hours",IF(G2230&lt;=72,"3. 1-3 days","4. Over 3 days")))</f>
        <v/>
      </c>
      <c r="O2230">
        <f>TEXT(B2230,"YYYY-MM")</f>
        <v/>
      </c>
    </row>
    <row r="2231">
      <c r="A2231" t="inlineStr">
        <is>
          <t>LD-302229</t>
        </is>
      </c>
      <c r="B2231" t="inlineStr">
        <is>
          <t>2026-06-10 15:09:00</t>
        </is>
      </c>
      <c r="C2231" t="inlineStr">
        <is>
          <t>Organic Search</t>
        </is>
      </c>
      <c r="D2231" t="inlineStr">
        <is>
          <t>Competitive Exam Prep</t>
        </is>
      </c>
      <c r="E2231" t="inlineStr">
        <is>
          <t>West Region</t>
        </is>
      </c>
      <c r="F2231" t="inlineStr">
        <is>
          <t>Rep_03</t>
        </is>
      </c>
      <c r="G2231" t="n">
        <v>1.76</v>
      </c>
      <c r="H2231" t="inlineStr">
        <is>
          <t>Contacted</t>
        </is>
      </c>
      <c r="I2231" t="inlineStr">
        <is>
          <t>Open</t>
        </is>
      </c>
      <c r="M2231">
        <f>VLOOKUP(H2231,'Stage Order'!$A$2:$B$8,2,FALSE)</f>
        <v/>
      </c>
      <c r="N2231">
        <f>IF(G2231&lt;=1,"1. Under 1 hour",IF(G2231&lt;=24,"2. 1-24 hours",IF(G2231&lt;=72,"3. 1-3 days","4. Over 3 days")))</f>
        <v/>
      </c>
      <c r="O2231">
        <f>TEXT(B2231,"YYYY-MM")</f>
        <v/>
      </c>
    </row>
    <row r="2232">
      <c r="A2232" t="inlineStr">
        <is>
          <t>LD-302230</t>
        </is>
      </c>
      <c r="B2232" t="inlineStr">
        <is>
          <t>2026-05-11 12:54:00</t>
        </is>
      </c>
      <c r="C2232" t="inlineStr">
        <is>
          <t>Organic Search</t>
        </is>
      </c>
      <c r="D2232" t="inlineStr">
        <is>
          <t>K-12 Math</t>
        </is>
      </c>
      <c r="E2232" t="inlineStr">
        <is>
          <t>South Region</t>
        </is>
      </c>
      <c r="F2232" t="inlineStr">
        <is>
          <t>Rep_02</t>
        </is>
      </c>
      <c r="G2232" t="n">
        <v>1.03</v>
      </c>
      <c r="H2232" t="inlineStr">
        <is>
          <t>Proposal Sent</t>
        </is>
      </c>
      <c r="I2232" t="inlineStr">
        <is>
          <t>Lost</t>
        </is>
      </c>
      <c r="J2232" t="inlineStr">
        <is>
          <t>Budget Not Approved</t>
        </is>
      </c>
      <c r="K2232" t="n">
        <v>433.21</v>
      </c>
      <c r="L2232" t="inlineStr">
        <is>
          <t>2026-06-12 23:14:43.590127</t>
        </is>
      </c>
      <c r="M2232">
        <f>VLOOKUP(H2232,'Stage Order'!$A$2:$B$8,2,FALSE)</f>
        <v/>
      </c>
      <c r="N2232">
        <f>IF(G2232&lt;=1,"1. Under 1 hour",IF(G2232&lt;=24,"2. 1-24 hours",IF(G2232&lt;=72,"3. 1-3 days","4. Over 3 days")))</f>
        <v/>
      </c>
      <c r="O2232">
        <f>TEXT(B2232,"YYYY-MM")</f>
        <v/>
      </c>
    </row>
    <row r="2233">
      <c r="A2233" t="inlineStr">
        <is>
          <t>LD-302231</t>
        </is>
      </c>
      <c r="B2233" t="inlineStr">
        <is>
          <t>2026-01-24 20:32:00</t>
        </is>
      </c>
      <c r="C2233" t="inlineStr">
        <is>
          <t>Paid Search</t>
        </is>
      </c>
      <c r="D2233" t="inlineStr">
        <is>
          <t>Language Learning</t>
        </is>
      </c>
      <c r="E2233" t="inlineStr">
        <is>
          <t>North Region</t>
        </is>
      </c>
      <c r="F2233" t="inlineStr">
        <is>
          <t>Rep_06</t>
        </is>
      </c>
      <c r="G2233" t="n">
        <v>2.13</v>
      </c>
      <c r="H2233" t="inlineStr">
        <is>
          <t>Lead</t>
        </is>
      </c>
      <c r="I2233" t="inlineStr">
        <is>
          <t>Open</t>
        </is>
      </c>
      <c r="M2233">
        <f>VLOOKUP(H2233,'Stage Order'!$A$2:$B$8,2,FALSE)</f>
        <v/>
      </c>
      <c r="N2233">
        <f>IF(G2233&lt;=1,"1. Under 1 hour",IF(G2233&lt;=24,"2. 1-24 hours",IF(G2233&lt;=72,"3. 1-3 days","4. Over 3 days")))</f>
        <v/>
      </c>
      <c r="O2233">
        <f>TEXT(B2233,"YYYY-MM")</f>
        <v/>
      </c>
    </row>
    <row r="2234">
      <c r="A2234" t="inlineStr">
        <is>
          <t>LD-302232</t>
        </is>
      </c>
      <c r="B2234" t="inlineStr">
        <is>
          <t>2025-04-25 20:54:00</t>
        </is>
      </c>
      <c r="C2234" t="inlineStr">
        <is>
          <t>Paid Search</t>
        </is>
      </c>
      <c r="D2234" t="inlineStr">
        <is>
          <t>Language Learning</t>
        </is>
      </c>
      <c r="E2234" t="inlineStr">
        <is>
          <t>South Region</t>
        </is>
      </c>
      <c r="F2234" t="inlineStr">
        <is>
          <t>Rep_07</t>
        </is>
      </c>
      <c r="G2234" t="n">
        <v>8.81</v>
      </c>
      <c r="H2234" t="inlineStr">
        <is>
          <t>Demo Completed</t>
        </is>
      </c>
      <c r="I2234" t="inlineStr">
        <is>
          <t>Lost</t>
        </is>
      </c>
      <c r="J2234" t="inlineStr">
        <is>
          <t>Price Objection</t>
        </is>
      </c>
      <c r="K2234" t="n">
        <v>326.75</v>
      </c>
      <c r="L2234" t="inlineStr">
        <is>
          <t>2025-05-28 22:57:57.294101</t>
        </is>
      </c>
      <c r="M2234">
        <f>VLOOKUP(H2234,'Stage Order'!$A$2:$B$8,2,FALSE)</f>
        <v/>
      </c>
      <c r="N2234">
        <f>IF(G2234&lt;=1,"1. Under 1 hour",IF(G2234&lt;=24,"2. 1-24 hours",IF(G2234&lt;=72,"3. 1-3 days","4. Over 3 days")))</f>
        <v/>
      </c>
      <c r="O2234">
        <f>TEXT(B2234,"YYYY-MM")</f>
        <v/>
      </c>
    </row>
    <row r="2235">
      <c r="A2235" t="inlineStr">
        <is>
          <t>LD-302233</t>
        </is>
      </c>
      <c r="B2235" t="inlineStr">
        <is>
          <t>2026-03-19 13:52:00</t>
        </is>
      </c>
      <c r="C2235" t="inlineStr">
        <is>
          <t>Partner Channel</t>
        </is>
      </c>
      <c r="D2235" t="inlineStr">
        <is>
          <t>Coding for Kids</t>
        </is>
      </c>
      <c r="E2235" t="inlineStr">
        <is>
          <t>International</t>
        </is>
      </c>
      <c r="F2235" t="inlineStr">
        <is>
          <t>Rep_10</t>
        </is>
      </c>
      <c r="G2235" t="n">
        <v>2.75</v>
      </c>
      <c r="H2235" t="inlineStr">
        <is>
          <t>Contacted</t>
        </is>
      </c>
      <c r="I2235" t="inlineStr">
        <is>
          <t>Open</t>
        </is>
      </c>
      <c r="M2235">
        <f>VLOOKUP(H2235,'Stage Order'!$A$2:$B$8,2,FALSE)</f>
        <v/>
      </c>
      <c r="N2235">
        <f>IF(G2235&lt;=1,"1. Under 1 hour",IF(G2235&lt;=24,"2. 1-24 hours",IF(G2235&lt;=72,"3. 1-3 days","4. Over 3 days")))</f>
        <v/>
      </c>
      <c r="O2235">
        <f>TEXT(B2235,"YYYY-MM")</f>
        <v/>
      </c>
    </row>
    <row r="2236">
      <c r="A2236" t="inlineStr">
        <is>
          <t>LD-302234</t>
        </is>
      </c>
      <c r="B2236" t="inlineStr">
        <is>
          <t>2025-01-27 17:13:00</t>
        </is>
      </c>
      <c r="C2236" t="inlineStr">
        <is>
          <t>Referral</t>
        </is>
      </c>
      <c r="D2236" t="inlineStr">
        <is>
          <t>Competitive Exam Prep</t>
        </is>
      </c>
      <c r="E2236" t="inlineStr">
        <is>
          <t>South Region</t>
        </is>
      </c>
      <c r="F2236" t="inlineStr">
        <is>
          <t>Rep_02</t>
        </is>
      </c>
      <c r="G2236" t="n">
        <v>3.83</v>
      </c>
      <c r="H2236" t="inlineStr">
        <is>
          <t>Contacted</t>
        </is>
      </c>
      <c r="I2236" t="inlineStr">
        <is>
          <t>Open</t>
        </is>
      </c>
      <c r="M2236">
        <f>VLOOKUP(H2236,'Stage Order'!$A$2:$B$8,2,FALSE)</f>
        <v/>
      </c>
      <c r="N2236">
        <f>IF(G2236&lt;=1,"1. Under 1 hour",IF(G2236&lt;=24,"2. 1-24 hours",IF(G2236&lt;=72,"3. 1-3 days","4. Over 3 days")))</f>
        <v/>
      </c>
      <c r="O2236">
        <f>TEXT(B2236,"YYYY-MM")</f>
        <v/>
      </c>
    </row>
    <row r="2237">
      <c r="A2237" t="inlineStr">
        <is>
          <t>LD-302235</t>
        </is>
      </c>
      <c r="B2237" t="inlineStr">
        <is>
          <t>2025-05-17 09:54:00</t>
        </is>
      </c>
      <c r="C2237" t="inlineStr">
        <is>
          <t>Organic Search</t>
        </is>
      </c>
      <c r="D2237" t="inlineStr">
        <is>
          <t>K-12 Math</t>
        </is>
      </c>
      <c r="E2237" t="inlineStr">
        <is>
          <t>South Region</t>
        </is>
      </c>
      <c r="F2237" t="inlineStr">
        <is>
          <t>Rep_02</t>
        </is>
      </c>
      <c r="G2237" t="n">
        <v>0.99</v>
      </c>
      <c r="H2237" t="inlineStr">
        <is>
          <t>Closed</t>
        </is>
      </c>
      <c r="I2237" t="inlineStr">
        <is>
          <t>Won</t>
        </is>
      </c>
      <c r="K2237" t="n">
        <v>596.1799999999999</v>
      </c>
      <c r="L2237" t="inlineStr">
        <is>
          <t>2025-06-22 23:27:39.077584</t>
        </is>
      </c>
      <c r="M2237">
        <f>VLOOKUP(H2237,'Stage Order'!$A$2:$B$8,2,FALSE)</f>
        <v/>
      </c>
      <c r="N2237">
        <f>IF(G2237&lt;=1,"1. Under 1 hour",IF(G2237&lt;=24,"2. 1-24 hours",IF(G2237&lt;=72,"3. 1-3 days","4. Over 3 days")))</f>
        <v/>
      </c>
      <c r="O2237">
        <f>TEXT(B2237,"YYYY-MM")</f>
        <v/>
      </c>
    </row>
    <row r="2238">
      <c r="A2238" t="inlineStr">
        <is>
          <t>LD-302236</t>
        </is>
      </c>
      <c r="B2238" t="inlineStr">
        <is>
          <t>2026-03-13 09:28:00</t>
        </is>
      </c>
      <c r="C2238" t="inlineStr">
        <is>
          <t>Referral</t>
        </is>
      </c>
      <c r="D2238" t="inlineStr">
        <is>
          <t>Language Learning</t>
        </is>
      </c>
      <c r="E2238" t="inlineStr">
        <is>
          <t>East Region</t>
        </is>
      </c>
      <c r="F2238" t="inlineStr">
        <is>
          <t>Rep_09</t>
        </is>
      </c>
      <c r="G2238" t="n">
        <v>4.5</v>
      </c>
      <c r="H2238" t="inlineStr">
        <is>
          <t>Negotiation</t>
        </is>
      </c>
      <c r="I2238" t="inlineStr">
        <is>
          <t>Lost</t>
        </is>
      </c>
      <c r="J2238" t="inlineStr">
        <is>
          <t>Bad Timing</t>
        </is>
      </c>
      <c r="K2238" t="n">
        <v>420.35</v>
      </c>
      <c r="L2238" t="inlineStr">
        <is>
          <t>2026-04-25 15:02:14.822175</t>
        </is>
      </c>
      <c r="M2238">
        <f>VLOOKUP(H2238,'Stage Order'!$A$2:$B$8,2,FALSE)</f>
        <v/>
      </c>
      <c r="N2238">
        <f>IF(G2238&lt;=1,"1. Under 1 hour",IF(G2238&lt;=24,"2. 1-24 hours",IF(G2238&lt;=72,"3. 1-3 days","4. Over 3 days")))</f>
        <v/>
      </c>
      <c r="O2238">
        <f>TEXT(B2238,"YYYY-MM")</f>
        <v/>
      </c>
    </row>
    <row r="2239">
      <c r="A2239" t="inlineStr">
        <is>
          <t>LD-302237</t>
        </is>
      </c>
      <c r="B2239" t="inlineStr">
        <is>
          <t>2025-11-26 17:43:00</t>
        </is>
      </c>
      <c r="C2239" t="inlineStr">
        <is>
          <t>Social Media</t>
        </is>
      </c>
      <c r="D2239" t="inlineStr">
        <is>
          <t>K-12 Math</t>
        </is>
      </c>
      <c r="E2239" t="inlineStr">
        <is>
          <t>East Region</t>
        </is>
      </c>
      <c r="F2239" t="inlineStr">
        <is>
          <t>Rep_14</t>
        </is>
      </c>
      <c r="G2239" t="n">
        <v>2.39</v>
      </c>
      <c r="H2239" t="inlineStr">
        <is>
          <t>Lead</t>
        </is>
      </c>
      <c r="I2239" t="inlineStr">
        <is>
          <t>Open</t>
        </is>
      </c>
      <c r="M2239">
        <f>VLOOKUP(H2239,'Stage Order'!$A$2:$B$8,2,FALSE)</f>
        <v/>
      </c>
      <c r="N2239">
        <f>IF(G2239&lt;=1,"1. Under 1 hour",IF(G2239&lt;=24,"2. 1-24 hours",IF(G2239&lt;=72,"3. 1-3 days","4. Over 3 days")))</f>
        <v/>
      </c>
      <c r="O2239">
        <f>TEXT(B2239,"YYYY-MM")</f>
        <v/>
      </c>
    </row>
    <row r="2240">
      <c r="A2240" t="inlineStr">
        <is>
          <t>LD-302238</t>
        </is>
      </c>
      <c r="B2240" t="inlineStr">
        <is>
          <t>2025-01-03 10:06:00</t>
        </is>
      </c>
      <c r="C2240" t="inlineStr">
        <is>
          <t>Organic Search</t>
        </is>
      </c>
      <c r="D2240" t="inlineStr">
        <is>
          <t>Language Learning</t>
        </is>
      </c>
      <c r="E2240" t="inlineStr">
        <is>
          <t>West Region</t>
        </is>
      </c>
      <c r="F2240" t="inlineStr">
        <is>
          <t>Rep_13</t>
        </is>
      </c>
      <c r="G2240" t="n">
        <v>3.14</v>
      </c>
      <c r="H2240" t="inlineStr">
        <is>
          <t>Contacted</t>
        </is>
      </c>
      <c r="I2240" t="inlineStr">
        <is>
          <t>Open</t>
        </is>
      </c>
      <c r="M2240">
        <f>VLOOKUP(H2240,'Stage Order'!$A$2:$B$8,2,FALSE)</f>
        <v/>
      </c>
      <c r="N2240">
        <f>IF(G2240&lt;=1,"1. Under 1 hour",IF(G2240&lt;=24,"2. 1-24 hours",IF(G2240&lt;=72,"3. 1-3 days","4. Over 3 days")))</f>
        <v/>
      </c>
      <c r="O2240">
        <f>TEXT(B2240,"YYYY-MM")</f>
        <v/>
      </c>
    </row>
    <row r="2241">
      <c r="A2241" t="inlineStr">
        <is>
          <t>LD-302239</t>
        </is>
      </c>
      <c r="B2241" t="inlineStr">
        <is>
          <t>2026-02-20 11:41:00</t>
        </is>
      </c>
      <c r="C2241" t="inlineStr">
        <is>
          <t>Organic Search</t>
        </is>
      </c>
      <c r="D2241" t="inlineStr">
        <is>
          <t>K-12 Math</t>
        </is>
      </c>
      <c r="E2241" t="inlineStr">
        <is>
          <t>East Region</t>
        </is>
      </c>
      <c r="F2241" t="inlineStr">
        <is>
          <t>Rep_14</t>
        </is>
      </c>
      <c r="G2241" t="n">
        <v>1.9</v>
      </c>
      <c r="H2241" t="inlineStr">
        <is>
          <t>Negotiation</t>
        </is>
      </c>
      <c r="I2241" t="inlineStr">
        <is>
          <t>Lost</t>
        </is>
      </c>
      <c r="J2241" t="inlineStr">
        <is>
          <t>Went With Competitor</t>
        </is>
      </c>
      <c r="K2241" t="n">
        <v>515.3</v>
      </c>
      <c r="L2241" t="inlineStr">
        <is>
          <t>2026-04-19 12:34:16.265924</t>
        </is>
      </c>
      <c r="M2241">
        <f>VLOOKUP(H2241,'Stage Order'!$A$2:$B$8,2,FALSE)</f>
        <v/>
      </c>
      <c r="N2241">
        <f>IF(G2241&lt;=1,"1. Under 1 hour",IF(G2241&lt;=24,"2. 1-24 hours",IF(G2241&lt;=72,"3. 1-3 days","4. Over 3 days")))</f>
        <v/>
      </c>
      <c r="O2241">
        <f>TEXT(B2241,"YYYY-MM")</f>
        <v/>
      </c>
    </row>
    <row r="2242">
      <c r="A2242" t="inlineStr">
        <is>
          <t>LD-302240</t>
        </is>
      </c>
      <c r="B2242" t="inlineStr">
        <is>
          <t>2025-03-07 07:38:00</t>
        </is>
      </c>
      <c r="C2242" t="inlineStr">
        <is>
          <t>Referral</t>
        </is>
      </c>
      <c r="D2242" t="inlineStr">
        <is>
          <t>K-12 Math</t>
        </is>
      </c>
      <c r="E2242" t="inlineStr">
        <is>
          <t>International</t>
        </is>
      </c>
      <c r="F2242" t="inlineStr">
        <is>
          <t>Rep_05</t>
        </is>
      </c>
      <c r="G2242" t="n">
        <v>1.63</v>
      </c>
      <c r="H2242" t="inlineStr">
        <is>
          <t>Negotiation</t>
        </is>
      </c>
      <c r="I2242" t="inlineStr">
        <is>
          <t>Lost</t>
        </is>
      </c>
      <c r="J2242" t="inlineStr">
        <is>
          <t>Went With Competitor</t>
        </is>
      </c>
      <c r="K2242" t="n">
        <v>524.3200000000001</v>
      </c>
      <c r="L2242" t="inlineStr">
        <is>
          <t>2025-04-18 08:44:34.582037</t>
        </is>
      </c>
      <c r="M2242">
        <f>VLOOKUP(H2242,'Stage Order'!$A$2:$B$8,2,FALSE)</f>
        <v/>
      </c>
      <c r="N2242">
        <f>IF(G2242&lt;=1,"1. Under 1 hour",IF(G2242&lt;=24,"2. 1-24 hours",IF(G2242&lt;=72,"3. 1-3 days","4. Over 3 days")))</f>
        <v/>
      </c>
      <c r="O2242">
        <f>TEXT(B2242,"YYYY-MM")</f>
        <v/>
      </c>
    </row>
    <row r="2243">
      <c r="A2243" t="inlineStr">
        <is>
          <t>LD-302241</t>
        </is>
      </c>
      <c r="B2243" t="inlineStr">
        <is>
          <t>2025-12-18 16:25:00</t>
        </is>
      </c>
      <c r="C2243" t="inlineStr">
        <is>
          <t>Organic Search</t>
        </is>
      </c>
      <c r="D2243" t="inlineStr">
        <is>
          <t>Competitive Exam Prep</t>
        </is>
      </c>
      <c r="E2243" t="inlineStr">
        <is>
          <t>North Region</t>
        </is>
      </c>
      <c r="F2243" t="inlineStr">
        <is>
          <t>Rep_11</t>
        </is>
      </c>
      <c r="G2243" t="n">
        <v>4.84</v>
      </c>
      <c r="H2243" t="inlineStr">
        <is>
          <t>Contacted</t>
        </is>
      </c>
      <c r="I2243" t="inlineStr">
        <is>
          <t>Open</t>
        </is>
      </c>
      <c r="M2243">
        <f>VLOOKUP(H2243,'Stage Order'!$A$2:$B$8,2,FALSE)</f>
        <v/>
      </c>
      <c r="N2243">
        <f>IF(G2243&lt;=1,"1. Under 1 hour",IF(G2243&lt;=24,"2. 1-24 hours",IF(G2243&lt;=72,"3. 1-3 days","4. Over 3 days")))</f>
        <v/>
      </c>
      <c r="O2243">
        <f>TEXT(B2243,"YYYY-MM")</f>
        <v/>
      </c>
    </row>
    <row r="2244">
      <c r="A2244" t="inlineStr">
        <is>
          <t>LD-302242</t>
        </is>
      </c>
      <c r="B2244" t="inlineStr">
        <is>
          <t>2025-03-06 18:06:00</t>
        </is>
      </c>
      <c r="C2244" t="inlineStr">
        <is>
          <t>Referral</t>
        </is>
      </c>
      <c r="D2244" t="inlineStr">
        <is>
          <t>K-12 Math</t>
        </is>
      </c>
      <c r="E2244" t="inlineStr">
        <is>
          <t>South Region</t>
        </is>
      </c>
      <c r="F2244" t="inlineStr">
        <is>
          <t>Rep_07</t>
        </is>
      </c>
      <c r="G2244" t="n">
        <v>1.45</v>
      </c>
      <c r="H2244" t="inlineStr">
        <is>
          <t>Closed</t>
        </is>
      </c>
      <c r="I2244" t="inlineStr">
        <is>
          <t>Won</t>
        </is>
      </c>
      <c r="K2244" t="n">
        <v>569.86</v>
      </c>
      <c r="L2244" t="inlineStr">
        <is>
          <t>2025-04-18 00:51:54.332510</t>
        </is>
      </c>
      <c r="M2244">
        <f>VLOOKUP(H2244,'Stage Order'!$A$2:$B$8,2,FALSE)</f>
        <v/>
      </c>
      <c r="N2244">
        <f>IF(G2244&lt;=1,"1. Under 1 hour",IF(G2244&lt;=24,"2. 1-24 hours",IF(G2244&lt;=72,"3. 1-3 days","4. Over 3 days")))</f>
        <v/>
      </c>
      <c r="O2244">
        <f>TEXT(B2244,"YYYY-MM")</f>
        <v/>
      </c>
    </row>
    <row r="2245">
      <c r="A2245" t="inlineStr">
        <is>
          <t>LD-302243</t>
        </is>
      </c>
      <c r="B2245" t="inlineStr">
        <is>
          <t>2026-04-20 17:09:00</t>
        </is>
      </c>
      <c r="C2245" t="inlineStr">
        <is>
          <t>Organic Search</t>
        </is>
      </c>
      <c r="D2245" t="inlineStr">
        <is>
          <t>Coding for Kids</t>
        </is>
      </c>
      <c r="E2245" t="inlineStr">
        <is>
          <t>International</t>
        </is>
      </c>
      <c r="F2245" t="inlineStr">
        <is>
          <t>Rep_05</t>
        </is>
      </c>
      <c r="G2245" t="n">
        <v>5.71</v>
      </c>
      <c r="H2245" t="inlineStr">
        <is>
          <t>Contacted</t>
        </is>
      </c>
      <c r="I2245" t="inlineStr">
        <is>
          <t>Open</t>
        </is>
      </c>
      <c r="M2245">
        <f>VLOOKUP(H2245,'Stage Order'!$A$2:$B$8,2,FALSE)</f>
        <v/>
      </c>
      <c r="N2245">
        <f>IF(G2245&lt;=1,"1. Under 1 hour",IF(G2245&lt;=24,"2. 1-24 hours",IF(G2245&lt;=72,"3. 1-3 days","4. Over 3 days")))</f>
        <v/>
      </c>
      <c r="O2245">
        <f>TEXT(B2245,"YYYY-MM")</f>
        <v/>
      </c>
    </row>
    <row r="2246">
      <c r="A2246" t="inlineStr">
        <is>
          <t>LD-302244</t>
        </is>
      </c>
      <c r="B2246" t="inlineStr">
        <is>
          <t>2025-09-08 19:25:00</t>
        </is>
      </c>
      <c r="C2246" t="inlineStr">
        <is>
          <t>Partner Channel</t>
        </is>
      </c>
      <c r="D2246" t="inlineStr">
        <is>
          <t>Study Abroad Prep</t>
        </is>
      </c>
      <c r="E2246" t="inlineStr">
        <is>
          <t>International</t>
        </is>
      </c>
      <c r="F2246" t="inlineStr">
        <is>
          <t>Rep_05</t>
        </is>
      </c>
      <c r="G2246" t="n">
        <v>0.87</v>
      </c>
      <c r="H2246" t="inlineStr">
        <is>
          <t>Proposal Sent</t>
        </is>
      </c>
      <c r="I2246" t="inlineStr">
        <is>
          <t>Lost</t>
        </is>
      </c>
      <c r="J2246" t="inlineStr">
        <is>
          <t>Price Objection</t>
        </is>
      </c>
      <c r="K2246" t="n">
        <v>1306.23</v>
      </c>
      <c r="L2246" t="inlineStr">
        <is>
          <t>2025-11-02 15:54:02.811688</t>
        </is>
      </c>
      <c r="M2246">
        <f>VLOOKUP(H2246,'Stage Order'!$A$2:$B$8,2,FALSE)</f>
        <v/>
      </c>
      <c r="N2246">
        <f>IF(G2246&lt;=1,"1. Under 1 hour",IF(G2246&lt;=24,"2. 1-24 hours",IF(G2246&lt;=72,"3. 1-3 days","4. Over 3 days")))</f>
        <v/>
      </c>
      <c r="O2246">
        <f>TEXT(B2246,"YYYY-MM")</f>
        <v/>
      </c>
    </row>
    <row r="2247">
      <c r="A2247" t="inlineStr">
        <is>
          <t>LD-302245</t>
        </is>
      </c>
      <c r="B2247" t="inlineStr">
        <is>
          <t>2026-02-26 14:16:00</t>
        </is>
      </c>
      <c r="C2247" t="inlineStr">
        <is>
          <t>Paid Search</t>
        </is>
      </c>
      <c r="D2247" t="inlineStr">
        <is>
          <t>Competitive Exam Prep</t>
        </is>
      </c>
      <c r="E2247" t="inlineStr">
        <is>
          <t>East Region</t>
        </is>
      </c>
      <c r="F2247" t="inlineStr">
        <is>
          <t>Rep_09</t>
        </is>
      </c>
      <c r="G2247" t="n">
        <v>25.87</v>
      </c>
      <c r="H2247" t="inlineStr">
        <is>
          <t>Contacted</t>
        </is>
      </c>
      <c r="I2247" t="inlineStr">
        <is>
          <t>Open</t>
        </is>
      </c>
      <c r="M2247">
        <f>VLOOKUP(H2247,'Stage Order'!$A$2:$B$8,2,FALSE)</f>
        <v/>
      </c>
      <c r="N2247">
        <f>IF(G2247&lt;=1,"1. Under 1 hour",IF(G2247&lt;=24,"2. 1-24 hours",IF(G2247&lt;=72,"3. 1-3 days","4. Over 3 days")))</f>
        <v/>
      </c>
      <c r="O2247">
        <f>TEXT(B2247,"YYYY-MM")</f>
        <v/>
      </c>
    </row>
    <row r="2248">
      <c r="A2248" t="inlineStr">
        <is>
          <t>LD-302246</t>
        </is>
      </c>
      <c r="B2248" t="inlineStr">
        <is>
          <t>2025-03-07 18:34:00</t>
        </is>
      </c>
      <c r="C2248" t="inlineStr">
        <is>
          <t>Organic Search</t>
        </is>
      </c>
      <c r="D2248" t="inlineStr">
        <is>
          <t>Coding for Kids</t>
        </is>
      </c>
      <c r="E2248" t="inlineStr">
        <is>
          <t>South Region</t>
        </is>
      </c>
      <c r="F2248" t="inlineStr">
        <is>
          <t>Rep_07</t>
        </is>
      </c>
      <c r="G2248" t="n">
        <v>6.58</v>
      </c>
      <c r="H2248" t="inlineStr">
        <is>
          <t>Negotiation</t>
        </is>
      </c>
      <c r="I2248" t="inlineStr">
        <is>
          <t>Lost</t>
        </is>
      </c>
      <c r="J2248" t="inlineStr">
        <is>
          <t>Price Objection</t>
        </is>
      </c>
      <c r="K2248" t="n">
        <v>588.1</v>
      </c>
      <c r="L2248" t="inlineStr">
        <is>
          <t>2025-04-01 12:26:22.743861</t>
        </is>
      </c>
      <c r="M2248">
        <f>VLOOKUP(H2248,'Stage Order'!$A$2:$B$8,2,FALSE)</f>
        <v/>
      </c>
      <c r="N2248">
        <f>IF(G2248&lt;=1,"1. Under 1 hour",IF(G2248&lt;=24,"2. 1-24 hours",IF(G2248&lt;=72,"3. 1-3 days","4. Over 3 days")))</f>
        <v/>
      </c>
      <c r="O2248">
        <f>TEXT(B2248,"YYYY-MM")</f>
        <v/>
      </c>
    </row>
    <row r="2249">
      <c r="A2249" t="inlineStr">
        <is>
          <t>LD-302247</t>
        </is>
      </c>
      <c r="B2249" t="inlineStr">
        <is>
          <t>2026-03-13 16:42:00</t>
        </is>
      </c>
      <c r="C2249" t="inlineStr">
        <is>
          <t>Organic Search</t>
        </is>
      </c>
      <c r="D2249" t="inlineStr">
        <is>
          <t>Coding for Kids</t>
        </is>
      </c>
      <c r="E2249" t="inlineStr">
        <is>
          <t>North Region</t>
        </is>
      </c>
      <c r="F2249" t="inlineStr">
        <is>
          <t>Rep_01</t>
        </is>
      </c>
      <c r="G2249" t="n">
        <v>2.69</v>
      </c>
      <c r="H2249" t="inlineStr">
        <is>
          <t>Proposal Sent</t>
        </is>
      </c>
      <c r="I2249" t="inlineStr">
        <is>
          <t>Lost</t>
        </is>
      </c>
      <c r="J2249" t="inlineStr">
        <is>
          <t>No Response / Ghosted</t>
        </is>
      </c>
      <c r="K2249" t="n">
        <v>552.11</v>
      </c>
      <c r="L2249" t="inlineStr">
        <is>
          <t>2026-04-14 17:42:03.986974</t>
        </is>
      </c>
      <c r="M2249">
        <f>VLOOKUP(H2249,'Stage Order'!$A$2:$B$8,2,FALSE)</f>
        <v/>
      </c>
      <c r="N2249">
        <f>IF(G2249&lt;=1,"1. Under 1 hour",IF(G2249&lt;=24,"2. 1-24 hours",IF(G2249&lt;=72,"3. 1-3 days","4. Over 3 days")))</f>
        <v/>
      </c>
      <c r="O2249">
        <f>TEXT(B2249,"YYYY-MM")</f>
        <v/>
      </c>
    </row>
    <row r="2250">
      <c r="A2250" t="inlineStr">
        <is>
          <t>LD-302248</t>
        </is>
      </c>
      <c r="B2250" t="inlineStr">
        <is>
          <t>2026-04-08 10:30:00</t>
        </is>
      </c>
      <c r="C2250" t="inlineStr">
        <is>
          <t>Social Media</t>
        </is>
      </c>
      <c r="D2250" t="inlineStr">
        <is>
          <t>Study Abroad Prep</t>
        </is>
      </c>
      <c r="E2250" t="inlineStr">
        <is>
          <t>West Region</t>
        </is>
      </c>
      <c r="F2250" t="inlineStr">
        <is>
          <t>Rep_08</t>
        </is>
      </c>
      <c r="G2250" t="n">
        <v>0.79</v>
      </c>
      <c r="H2250" t="inlineStr">
        <is>
          <t>Contacted</t>
        </is>
      </c>
      <c r="I2250" t="inlineStr">
        <is>
          <t>Open</t>
        </is>
      </c>
      <c r="M2250">
        <f>VLOOKUP(H2250,'Stage Order'!$A$2:$B$8,2,FALSE)</f>
        <v/>
      </c>
      <c r="N2250">
        <f>IF(G2250&lt;=1,"1. Under 1 hour",IF(G2250&lt;=24,"2. 1-24 hours",IF(G2250&lt;=72,"3. 1-3 days","4. Over 3 days")))</f>
        <v/>
      </c>
      <c r="O2250">
        <f>TEXT(B2250,"YYYY-MM")</f>
        <v/>
      </c>
    </row>
    <row r="2251">
      <c r="A2251" t="inlineStr">
        <is>
          <t>LD-302249</t>
        </is>
      </c>
      <c r="B2251" t="inlineStr">
        <is>
          <t>2026-01-21 11:12:00</t>
        </is>
      </c>
      <c r="C2251" t="inlineStr">
        <is>
          <t>Webinar</t>
        </is>
      </c>
      <c r="D2251" t="inlineStr">
        <is>
          <t>Competitive Exam Prep</t>
        </is>
      </c>
      <c r="E2251" t="inlineStr">
        <is>
          <t>North Region</t>
        </is>
      </c>
      <c r="F2251" t="inlineStr">
        <is>
          <t>Rep_01</t>
        </is>
      </c>
      <c r="G2251" t="n">
        <v>5.05</v>
      </c>
      <c r="H2251" t="inlineStr">
        <is>
          <t>Contacted</t>
        </is>
      </c>
      <c r="I2251" t="inlineStr">
        <is>
          <t>Open</t>
        </is>
      </c>
      <c r="M2251">
        <f>VLOOKUP(H2251,'Stage Order'!$A$2:$B$8,2,FALSE)</f>
        <v/>
      </c>
      <c r="N2251">
        <f>IF(G2251&lt;=1,"1. Under 1 hour",IF(G2251&lt;=24,"2. 1-24 hours",IF(G2251&lt;=72,"3. 1-3 days","4. Over 3 days")))</f>
        <v/>
      </c>
      <c r="O2251">
        <f>TEXT(B2251,"YYYY-MM")</f>
        <v/>
      </c>
    </row>
    <row r="2252">
      <c r="A2252" t="inlineStr">
        <is>
          <t>LD-302250</t>
        </is>
      </c>
      <c r="B2252" t="inlineStr">
        <is>
          <t>2026-03-07 11:05:00</t>
        </is>
      </c>
      <c r="C2252" t="inlineStr">
        <is>
          <t>Paid Search</t>
        </is>
      </c>
      <c r="D2252" t="inlineStr">
        <is>
          <t>Coding for Kids</t>
        </is>
      </c>
      <c r="E2252" t="inlineStr">
        <is>
          <t>South Region</t>
        </is>
      </c>
      <c r="F2252" t="inlineStr">
        <is>
          <t>Rep_12</t>
        </is>
      </c>
      <c r="G2252" t="n">
        <v>2.2</v>
      </c>
      <c r="H2252" t="inlineStr">
        <is>
          <t>Negotiation</t>
        </is>
      </c>
      <c r="I2252" t="inlineStr">
        <is>
          <t>Lost</t>
        </is>
      </c>
      <c r="J2252" t="inlineStr">
        <is>
          <t>Bad Timing</t>
        </is>
      </c>
      <c r="K2252" t="n">
        <v>583.52</v>
      </c>
      <c r="L2252" t="inlineStr">
        <is>
          <t>2026-04-22 07:58:05.906124</t>
        </is>
      </c>
      <c r="M2252">
        <f>VLOOKUP(H2252,'Stage Order'!$A$2:$B$8,2,FALSE)</f>
        <v/>
      </c>
      <c r="N2252">
        <f>IF(G2252&lt;=1,"1. Under 1 hour",IF(G2252&lt;=24,"2. 1-24 hours",IF(G2252&lt;=72,"3. 1-3 days","4. Over 3 days")))</f>
        <v/>
      </c>
      <c r="O2252">
        <f>TEXT(B2252,"YYYY-MM")</f>
        <v/>
      </c>
    </row>
    <row r="2253">
      <c r="A2253" t="inlineStr">
        <is>
          <t>LD-302251</t>
        </is>
      </c>
      <c r="B2253" t="inlineStr">
        <is>
          <t>2025-05-22 20:30:00</t>
        </is>
      </c>
      <c r="C2253" t="inlineStr">
        <is>
          <t>Webinar</t>
        </is>
      </c>
      <c r="D2253" t="inlineStr">
        <is>
          <t>K-12 Math</t>
        </is>
      </c>
      <c r="E2253" t="inlineStr">
        <is>
          <t>South Region</t>
        </is>
      </c>
      <c r="F2253" t="inlineStr">
        <is>
          <t>Rep_12</t>
        </is>
      </c>
      <c r="G2253" t="n">
        <v>2.13</v>
      </c>
      <c r="H2253" t="inlineStr">
        <is>
          <t>Closed</t>
        </is>
      </c>
      <c r="I2253" t="inlineStr">
        <is>
          <t>Won</t>
        </is>
      </c>
      <c r="K2253" t="n">
        <v>410.29</v>
      </c>
      <c r="L2253" t="inlineStr">
        <is>
          <t>2025-06-26 01:04:26.911909</t>
        </is>
      </c>
      <c r="M2253">
        <f>VLOOKUP(H2253,'Stage Order'!$A$2:$B$8,2,FALSE)</f>
        <v/>
      </c>
      <c r="N2253">
        <f>IF(G2253&lt;=1,"1. Under 1 hour",IF(G2253&lt;=24,"2. 1-24 hours",IF(G2253&lt;=72,"3. 1-3 days","4. Over 3 days")))</f>
        <v/>
      </c>
      <c r="O2253">
        <f>TEXT(B2253,"YYYY-MM")</f>
        <v/>
      </c>
    </row>
    <row r="2254">
      <c r="A2254" t="inlineStr">
        <is>
          <t>LD-302252</t>
        </is>
      </c>
      <c r="B2254" t="inlineStr">
        <is>
          <t>2025-07-22 19:31:00</t>
        </is>
      </c>
      <c r="C2254" t="inlineStr">
        <is>
          <t>Organic Search</t>
        </is>
      </c>
      <c r="D2254" t="inlineStr">
        <is>
          <t>K-12 Math</t>
        </is>
      </c>
      <c r="E2254" t="inlineStr">
        <is>
          <t>West Region</t>
        </is>
      </c>
      <c r="F2254" t="inlineStr">
        <is>
          <t>Rep_08</t>
        </is>
      </c>
      <c r="G2254" t="n">
        <v>4.46</v>
      </c>
      <c r="H2254" t="inlineStr">
        <is>
          <t>Contacted</t>
        </is>
      </c>
      <c r="I2254" t="inlineStr">
        <is>
          <t>Open</t>
        </is>
      </c>
      <c r="M2254">
        <f>VLOOKUP(H2254,'Stage Order'!$A$2:$B$8,2,FALSE)</f>
        <v/>
      </c>
      <c r="N2254">
        <f>IF(G2254&lt;=1,"1. Under 1 hour",IF(G2254&lt;=24,"2. 1-24 hours",IF(G2254&lt;=72,"3. 1-3 days","4. Over 3 days")))</f>
        <v/>
      </c>
      <c r="O2254">
        <f>TEXT(B2254,"YYYY-MM")</f>
        <v/>
      </c>
    </row>
    <row r="2255">
      <c r="A2255" t="inlineStr">
        <is>
          <t>LD-302253</t>
        </is>
      </c>
      <c r="B2255" t="inlineStr">
        <is>
          <t>2025-06-20 13:41:00</t>
        </is>
      </c>
      <c r="C2255" t="inlineStr">
        <is>
          <t>Cold Outreach</t>
        </is>
      </c>
      <c r="D2255" t="inlineStr">
        <is>
          <t>Language Learning</t>
        </is>
      </c>
      <c r="E2255" t="inlineStr">
        <is>
          <t>North Region</t>
        </is>
      </c>
      <c r="F2255" t="inlineStr">
        <is>
          <t>Rep_01</t>
        </is>
      </c>
      <c r="G2255" t="n">
        <v>0.51</v>
      </c>
      <c r="H2255" t="inlineStr">
        <is>
          <t>Lead</t>
        </is>
      </c>
      <c r="I2255" t="inlineStr">
        <is>
          <t>Open</t>
        </is>
      </c>
      <c r="M2255">
        <f>VLOOKUP(H2255,'Stage Order'!$A$2:$B$8,2,FALSE)</f>
        <v/>
      </c>
      <c r="N2255">
        <f>IF(G2255&lt;=1,"1. Under 1 hour",IF(G2255&lt;=24,"2. 1-24 hours",IF(G2255&lt;=72,"3. 1-3 days","4. Over 3 days")))</f>
        <v/>
      </c>
      <c r="O2255">
        <f>TEXT(B2255,"YYYY-MM")</f>
        <v/>
      </c>
    </row>
    <row r="2256">
      <c r="A2256" t="inlineStr">
        <is>
          <t>LD-302254</t>
        </is>
      </c>
      <c r="B2256" t="inlineStr">
        <is>
          <t>2026-03-13 12:40:00</t>
        </is>
      </c>
      <c r="C2256" t="inlineStr">
        <is>
          <t>Social Media</t>
        </is>
      </c>
      <c r="D2256" t="inlineStr">
        <is>
          <t>K-12 Math</t>
        </is>
      </c>
      <c r="E2256" t="inlineStr">
        <is>
          <t>East Region</t>
        </is>
      </c>
      <c r="F2256" t="inlineStr">
        <is>
          <t>Rep_09</t>
        </is>
      </c>
      <c r="G2256" t="n">
        <v>4.39</v>
      </c>
      <c r="H2256" t="inlineStr">
        <is>
          <t>Contacted</t>
        </is>
      </c>
      <c r="I2256" t="inlineStr">
        <is>
          <t>Open</t>
        </is>
      </c>
      <c r="M2256">
        <f>VLOOKUP(H2256,'Stage Order'!$A$2:$B$8,2,FALSE)</f>
        <v/>
      </c>
      <c r="N2256">
        <f>IF(G2256&lt;=1,"1. Under 1 hour",IF(G2256&lt;=24,"2. 1-24 hours",IF(G2256&lt;=72,"3. 1-3 days","4. Over 3 days")))</f>
        <v/>
      </c>
      <c r="O2256">
        <f>TEXT(B2256,"YYYY-MM")</f>
        <v/>
      </c>
    </row>
    <row r="2257">
      <c r="A2257" t="inlineStr">
        <is>
          <t>LD-302255</t>
        </is>
      </c>
      <c r="B2257" t="inlineStr">
        <is>
          <t>2025-08-31 19:32:00</t>
        </is>
      </c>
      <c r="C2257" t="inlineStr">
        <is>
          <t>Organic Search</t>
        </is>
      </c>
      <c r="D2257" t="inlineStr">
        <is>
          <t>Coding for Kids</t>
        </is>
      </c>
      <c r="E2257" t="inlineStr">
        <is>
          <t>South Region</t>
        </is>
      </c>
      <c r="F2257" t="inlineStr">
        <is>
          <t>Rep_12</t>
        </is>
      </c>
      <c r="G2257" t="n">
        <v>0.8</v>
      </c>
      <c r="H2257" t="inlineStr">
        <is>
          <t>Contacted</t>
        </is>
      </c>
      <c r="I2257" t="inlineStr">
        <is>
          <t>Open</t>
        </is>
      </c>
      <c r="M2257">
        <f>VLOOKUP(H2257,'Stage Order'!$A$2:$B$8,2,FALSE)</f>
        <v/>
      </c>
      <c r="N2257">
        <f>IF(G2257&lt;=1,"1. Under 1 hour",IF(G2257&lt;=24,"2. 1-24 hours",IF(G2257&lt;=72,"3. 1-3 days","4. Over 3 days")))</f>
        <v/>
      </c>
      <c r="O2257">
        <f>TEXT(B2257,"YYYY-MM")</f>
        <v/>
      </c>
    </row>
    <row r="2258">
      <c r="A2258" t="inlineStr">
        <is>
          <t>LD-302256</t>
        </is>
      </c>
      <c r="B2258" t="inlineStr">
        <is>
          <t>2026-03-07 13:38:00</t>
        </is>
      </c>
      <c r="C2258" t="inlineStr">
        <is>
          <t>Organic Search</t>
        </is>
      </c>
      <c r="D2258" t="inlineStr">
        <is>
          <t>Coding for Kids</t>
        </is>
      </c>
      <c r="E2258" t="inlineStr">
        <is>
          <t>International</t>
        </is>
      </c>
      <c r="F2258" t="inlineStr">
        <is>
          <t>Rep_10</t>
        </is>
      </c>
      <c r="G2258" t="n">
        <v>1.58</v>
      </c>
      <c r="H2258" t="inlineStr">
        <is>
          <t>Contacted</t>
        </is>
      </c>
      <c r="I2258" t="inlineStr">
        <is>
          <t>Open</t>
        </is>
      </c>
      <c r="M2258">
        <f>VLOOKUP(H2258,'Stage Order'!$A$2:$B$8,2,FALSE)</f>
        <v/>
      </c>
      <c r="N2258">
        <f>IF(G2258&lt;=1,"1. Under 1 hour",IF(G2258&lt;=24,"2. 1-24 hours",IF(G2258&lt;=72,"3. 1-3 days","4. Over 3 days")))</f>
        <v/>
      </c>
      <c r="O2258">
        <f>TEXT(B2258,"YYYY-MM")</f>
        <v/>
      </c>
    </row>
    <row r="2259">
      <c r="A2259" t="inlineStr">
        <is>
          <t>LD-302257</t>
        </is>
      </c>
      <c r="B2259" t="inlineStr">
        <is>
          <t>2025-05-15 19:43:00</t>
        </is>
      </c>
      <c r="C2259" t="inlineStr">
        <is>
          <t>Social Media</t>
        </is>
      </c>
      <c r="D2259" t="inlineStr">
        <is>
          <t>Competitive Exam Prep</t>
        </is>
      </c>
      <c r="E2259" t="inlineStr">
        <is>
          <t>East Region</t>
        </is>
      </c>
      <c r="F2259" t="inlineStr">
        <is>
          <t>Rep_04</t>
        </is>
      </c>
      <c r="G2259" t="n">
        <v>2.95</v>
      </c>
      <c r="H2259" t="inlineStr">
        <is>
          <t>Contacted</t>
        </is>
      </c>
      <c r="I2259" t="inlineStr">
        <is>
          <t>Open</t>
        </is>
      </c>
      <c r="M2259">
        <f>VLOOKUP(H2259,'Stage Order'!$A$2:$B$8,2,FALSE)</f>
        <v/>
      </c>
      <c r="N2259">
        <f>IF(G2259&lt;=1,"1. Under 1 hour",IF(G2259&lt;=24,"2. 1-24 hours",IF(G2259&lt;=72,"3. 1-3 days","4. Over 3 days")))</f>
        <v/>
      </c>
      <c r="O2259">
        <f>TEXT(B2259,"YYYY-MM")</f>
        <v/>
      </c>
    </row>
    <row r="2260">
      <c r="A2260" t="inlineStr">
        <is>
          <t>LD-302258</t>
        </is>
      </c>
      <c r="B2260" t="inlineStr">
        <is>
          <t>2025-09-23 09:28:00</t>
        </is>
      </c>
      <c r="C2260" t="inlineStr">
        <is>
          <t>Paid Search</t>
        </is>
      </c>
      <c r="D2260" t="inlineStr">
        <is>
          <t>Coding for Kids</t>
        </is>
      </c>
      <c r="E2260" t="inlineStr">
        <is>
          <t>International</t>
        </is>
      </c>
      <c r="F2260" t="inlineStr">
        <is>
          <t>Rep_10</t>
        </is>
      </c>
      <c r="G2260" t="n">
        <v>1.83</v>
      </c>
      <c r="H2260" t="inlineStr">
        <is>
          <t>Demo Completed</t>
        </is>
      </c>
      <c r="I2260" t="inlineStr">
        <is>
          <t>Lost</t>
        </is>
      </c>
      <c r="J2260" t="inlineStr">
        <is>
          <t>Bad Timing</t>
        </is>
      </c>
      <c r="K2260" t="n">
        <v>713.1</v>
      </c>
      <c r="L2260" t="inlineStr">
        <is>
          <t>2025-10-30 15:21:57.322451</t>
        </is>
      </c>
      <c r="M2260">
        <f>VLOOKUP(H2260,'Stage Order'!$A$2:$B$8,2,FALSE)</f>
        <v/>
      </c>
      <c r="N2260">
        <f>IF(G2260&lt;=1,"1. Under 1 hour",IF(G2260&lt;=24,"2. 1-24 hours",IF(G2260&lt;=72,"3. 1-3 days","4. Over 3 days")))</f>
        <v/>
      </c>
      <c r="O2260">
        <f>TEXT(B2260,"YYYY-MM")</f>
        <v/>
      </c>
    </row>
    <row r="2261">
      <c r="A2261" t="inlineStr">
        <is>
          <t>LD-302259</t>
        </is>
      </c>
      <c r="B2261" t="inlineStr">
        <is>
          <t>2025-09-02 14:14:00</t>
        </is>
      </c>
      <c r="C2261" t="inlineStr">
        <is>
          <t>Social Media</t>
        </is>
      </c>
      <c r="D2261" t="inlineStr">
        <is>
          <t>Language Learning</t>
        </is>
      </c>
      <c r="E2261" t="inlineStr">
        <is>
          <t>North Region</t>
        </is>
      </c>
      <c r="F2261" t="inlineStr">
        <is>
          <t>Rep_01</t>
        </is>
      </c>
      <c r="G2261" t="n">
        <v>14.92</v>
      </c>
      <c r="H2261" t="inlineStr">
        <is>
          <t>Lead</t>
        </is>
      </c>
      <c r="I2261" t="inlineStr">
        <is>
          <t>Open</t>
        </is>
      </c>
      <c r="M2261">
        <f>VLOOKUP(H2261,'Stage Order'!$A$2:$B$8,2,FALSE)</f>
        <v/>
      </c>
      <c r="N2261">
        <f>IF(G2261&lt;=1,"1. Under 1 hour",IF(G2261&lt;=24,"2. 1-24 hours",IF(G2261&lt;=72,"3. 1-3 days","4. Over 3 days")))</f>
        <v/>
      </c>
      <c r="O2261">
        <f>TEXT(B2261,"YYYY-MM")</f>
        <v/>
      </c>
    </row>
    <row r="2262">
      <c r="A2262" t="inlineStr">
        <is>
          <t>LD-302260</t>
        </is>
      </c>
      <c r="B2262" t="inlineStr">
        <is>
          <t>2025-01-03 13:03:00</t>
        </is>
      </c>
      <c r="C2262" t="inlineStr">
        <is>
          <t>Organic Search</t>
        </is>
      </c>
      <c r="D2262" t="inlineStr">
        <is>
          <t>K-12 Math</t>
        </is>
      </c>
      <c r="E2262" t="inlineStr">
        <is>
          <t>West Region</t>
        </is>
      </c>
      <c r="F2262" t="inlineStr">
        <is>
          <t>Rep_08</t>
        </is>
      </c>
      <c r="G2262" t="n">
        <v>2.71</v>
      </c>
      <c r="H2262" t="inlineStr">
        <is>
          <t>Lead</t>
        </is>
      </c>
      <c r="I2262" t="inlineStr">
        <is>
          <t>Open</t>
        </is>
      </c>
      <c r="M2262">
        <f>VLOOKUP(H2262,'Stage Order'!$A$2:$B$8,2,FALSE)</f>
        <v/>
      </c>
      <c r="N2262">
        <f>IF(G2262&lt;=1,"1. Under 1 hour",IF(G2262&lt;=24,"2. 1-24 hours",IF(G2262&lt;=72,"3. 1-3 days","4. Over 3 days")))</f>
        <v/>
      </c>
      <c r="O2262">
        <f>TEXT(B2262,"YYYY-MM")</f>
        <v/>
      </c>
    </row>
    <row r="2263">
      <c r="A2263" t="inlineStr">
        <is>
          <t>LD-302261</t>
        </is>
      </c>
      <c r="B2263" t="inlineStr">
        <is>
          <t>2025-03-07 19:36:00</t>
        </is>
      </c>
      <c r="C2263" t="inlineStr">
        <is>
          <t>Partner Channel</t>
        </is>
      </c>
      <c r="D2263" t="inlineStr">
        <is>
          <t>K-12 Math</t>
        </is>
      </c>
      <c r="E2263" t="inlineStr">
        <is>
          <t>South Region</t>
        </is>
      </c>
      <c r="F2263" t="inlineStr">
        <is>
          <t>Rep_07</t>
        </is>
      </c>
      <c r="G2263" t="n">
        <v>5.54</v>
      </c>
      <c r="H2263" t="inlineStr">
        <is>
          <t>Contacted</t>
        </is>
      </c>
      <c r="I2263" t="inlineStr">
        <is>
          <t>Open</t>
        </is>
      </c>
      <c r="M2263">
        <f>VLOOKUP(H2263,'Stage Order'!$A$2:$B$8,2,FALSE)</f>
        <v/>
      </c>
      <c r="N2263">
        <f>IF(G2263&lt;=1,"1. Under 1 hour",IF(G2263&lt;=24,"2. 1-24 hours",IF(G2263&lt;=72,"3. 1-3 days","4. Over 3 days")))</f>
        <v/>
      </c>
      <c r="O2263">
        <f>TEXT(B2263,"YYYY-MM")</f>
        <v/>
      </c>
    </row>
    <row r="2264">
      <c r="A2264" t="inlineStr">
        <is>
          <t>LD-302262</t>
        </is>
      </c>
      <c r="B2264" t="inlineStr">
        <is>
          <t>2025-02-28 17:58:00</t>
        </is>
      </c>
      <c r="C2264" t="inlineStr">
        <is>
          <t>Organic Search</t>
        </is>
      </c>
      <c r="D2264" t="inlineStr">
        <is>
          <t>K-12 Math</t>
        </is>
      </c>
      <c r="E2264" t="inlineStr">
        <is>
          <t>North Region</t>
        </is>
      </c>
      <c r="F2264" t="inlineStr">
        <is>
          <t>Rep_01</t>
        </is>
      </c>
      <c r="G2264" t="n">
        <v>2.03</v>
      </c>
      <c r="H2264" t="inlineStr">
        <is>
          <t>Closed</t>
        </is>
      </c>
      <c r="I2264" t="inlineStr">
        <is>
          <t>Won</t>
        </is>
      </c>
      <c r="K2264" t="n">
        <v>530.85</v>
      </c>
      <c r="L2264" t="inlineStr">
        <is>
          <t>2025-04-14 02:35:13.965060</t>
        </is>
      </c>
      <c r="M2264">
        <f>VLOOKUP(H2264,'Stage Order'!$A$2:$B$8,2,FALSE)</f>
        <v/>
      </c>
      <c r="N2264">
        <f>IF(G2264&lt;=1,"1. Under 1 hour",IF(G2264&lt;=24,"2. 1-24 hours",IF(G2264&lt;=72,"3. 1-3 days","4. Over 3 days")))</f>
        <v/>
      </c>
      <c r="O2264">
        <f>TEXT(B2264,"YYYY-MM")</f>
        <v/>
      </c>
    </row>
    <row r="2265">
      <c r="A2265" t="inlineStr">
        <is>
          <t>LD-302263</t>
        </is>
      </c>
      <c r="B2265" t="inlineStr">
        <is>
          <t>2025-02-19 11:30:00</t>
        </is>
      </c>
      <c r="C2265" t="inlineStr">
        <is>
          <t>Social Media</t>
        </is>
      </c>
      <c r="D2265" t="inlineStr">
        <is>
          <t>Competitive Exam Prep</t>
        </is>
      </c>
      <c r="E2265" t="inlineStr">
        <is>
          <t>North Region</t>
        </is>
      </c>
      <c r="F2265" t="inlineStr">
        <is>
          <t>Rep_01</t>
        </is>
      </c>
      <c r="G2265" t="n">
        <v>1.95</v>
      </c>
      <c r="H2265" t="inlineStr">
        <is>
          <t>Lead</t>
        </is>
      </c>
      <c r="I2265" t="inlineStr">
        <is>
          <t>Open</t>
        </is>
      </c>
      <c r="M2265">
        <f>VLOOKUP(H2265,'Stage Order'!$A$2:$B$8,2,FALSE)</f>
        <v/>
      </c>
      <c r="N2265">
        <f>IF(G2265&lt;=1,"1. Under 1 hour",IF(G2265&lt;=24,"2. 1-24 hours",IF(G2265&lt;=72,"3. 1-3 days","4. Over 3 days")))</f>
        <v/>
      </c>
      <c r="O2265">
        <f>TEXT(B2265,"YYYY-MM")</f>
        <v/>
      </c>
    </row>
    <row r="2266">
      <c r="A2266" t="inlineStr">
        <is>
          <t>LD-302264</t>
        </is>
      </c>
      <c r="B2266" t="inlineStr">
        <is>
          <t>2026-03-17 08:27:00</t>
        </is>
      </c>
      <c r="C2266" t="inlineStr">
        <is>
          <t>Social Media</t>
        </is>
      </c>
      <c r="D2266" t="inlineStr">
        <is>
          <t>Coding for Kids</t>
        </is>
      </c>
      <c r="E2266" t="inlineStr">
        <is>
          <t>International</t>
        </is>
      </c>
      <c r="F2266" t="inlineStr">
        <is>
          <t>Rep_05</t>
        </is>
      </c>
      <c r="G2266" t="n">
        <v>3.95</v>
      </c>
      <c r="H2266" t="inlineStr">
        <is>
          <t>Contacted</t>
        </is>
      </c>
      <c r="I2266" t="inlineStr">
        <is>
          <t>Open</t>
        </is>
      </c>
      <c r="M2266">
        <f>VLOOKUP(H2266,'Stage Order'!$A$2:$B$8,2,FALSE)</f>
        <v/>
      </c>
      <c r="N2266">
        <f>IF(G2266&lt;=1,"1. Under 1 hour",IF(G2266&lt;=24,"2. 1-24 hours",IF(G2266&lt;=72,"3. 1-3 days","4. Over 3 days")))</f>
        <v/>
      </c>
      <c r="O2266">
        <f>TEXT(B2266,"YYYY-MM")</f>
        <v/>
      </c>
    </row>
    <row r="2267">
      <c r="A2267" t="inlineStr">
        <is>
          <t>LD-302265</t>
        </is>
      </c>
      <c r="B2267" t="inlineStr">
        <is>
          <t>2025-01-05 08:22:00</t>
        </is>
      </c>
      <c r="C2267" t="inlineStr">
        <is>
          <t>Cold Outreach</t>
        </is>
      </c>
      <c r="D2267" t="inlineStr">
        <is>
          <t>K-12 Math</t>
        </is>
      </c>
      <c r="E2267" t="inlineStr">
        <is>
          <t>East Region</t>
        </is>
      </c>
      <c r="F2267" t="inlineStr">
        <is>
          <t>Rep_14</t>
        </is>
      </c>
      <c r="G2267" t="n">
        <v>4.86</v>
      </c>
      <c r="H2267" t="inlineStr">
        <is>
          <t>Contacted</t>
        </is>
      </c>
      <c r="I2267" t="inlineStr">
        <is>
          <t>Open</t>
        </is>
      </c>
      <c r="M2267">
        <f>VLOOKUP(H2267,'Stage Order'!$A$2:$B$8,2,FALSE)</f>
        <v/>
      </c>
      <c r="N2267">
        <f>IF(G2267&lt;=1,"1. Under 1 hour",IF(G2267&lt;=24,"2. 1-24 hours",IF(G2267&lt;=72,"3. 1-3 days","4. Over 3 days")))</f>
        <v/>
      </c>
      <c r="O2267">
        <f>TEXT(B2267,"YYYY-MM")</f>
        <v/>
      </c>
    </row>
    <row r="2268">
      <c r="A2268" t="inlineStr">
        <is>
          <t>LD-302266</t>
        </is>
      </c>
      <c r="B2268" t="inlineStr">
        <is>
          <t>2025-02-12 16:27:00</t>
        </is>
      </c>
      <c r="C2268" t="inlineStr">
        <is>
          <t>Paid Search</t>
        </is>
      </c>
      <c r="D2268" t="inlineStr">
        <is>
          <t>Language Learning</t>
        </is>
      </c>
      <c r="E2268" t="inlineStr">
        <is>
          <t>International</t>
        </is>
      </c>
      <c r="F2268" t="inlineStr">
        <is>
          <t>Rep_05</t>
        </is>
      </c>
      <c r="G2268" t="n">
        <v>2.37</v>
      </c>
      <c r="H2268" t="inlineStr">
        <is>
          <t>Demo Completed</t>
        </is>
      </c>
      <c r="I2268" t="inlineStr">
        <is>
          <t>Lost</t>
        </is>
      </c>
      <c r="J2268" t="inlineStr">
        <is>
          <t>No Response / Ghosted</t>
        </is>
      </c>
      <c r="K2268" t="n">
        <v>386.22</v>
      </c>
      <c r="L2268" t="inlineStr">
        <is>
          <t>2025-03-25 11:59:23.522087</t>
        </is>
      </c>
      <c r="M2268">
        <f>VLOOKUP(H2268,'Stage Order'!$A$2:$B$8,2,FALSE)</f>
        <v/>
      </c>
      <c r="N2268">
        <f>IF(G2268&lt;=1,"1. Under 1 hour",IF(G2268&lt;=24,"2. 1-24 hours",IF(G2268&lt;=72,"3. 1-3 days","4. Over 3 days")))</f>
        <v/>
      </c>
      <c r="O2268">
        <f>TEXT(B2268,"YYYY-MM")</f>
        <v/>
      </c>
    </row>
    <row r="2269">
      <c r="A2269" t="inlineStr">
        <is>
          <t>LD-302267</t>
        </is>
      </c>
      <c r="B2269" t="inlineStr">
        <is>
          <t>2025-06-17 11:15:00</t>
        </is>
      </c>
      <c r="C2269" t="inlineStr">
        <is>
          <t>Webinar</t>
        </is>
      </c>
      <c r="D2269" t="inlineStr">
        <is>
          <t>K-12 Math</t>
        </is>
      </c>
      <c r="E2269" t="inlineStr">
        <is>
          <t>International</t>
        </is>
      </c>
      <c r="F2269" t="inlineStr">
        <is>
          <t>Rep_05</t>
        </is>
      </c>
      <c r="G2269" t="n">
        <v>4.99</v>
      </c>
      <c r="H2269" t="inlineStr">
        <is>
          <t>Contacted</t>
        </is>
      </c>
      <c r="I2269" t="inlineStr">
        <is>
          <t>Open</t>
        </is>
      </c>
      <c r="M2269">
        <f>VLOOKUP(H2269,'Stage Order'!$A$2:$B$8,2,FALSE)</f>
        <v/>
      </c>
      <c r="N2269">
        <f>IF(G2269&lt;=1,"1. Under 1 hour",IF(G2269&lt;=24,"2. 1-24 hours",IF(G2269&lt;=72,"3. 1-3 days","4. Over 3 days")))</f>
        <v/>
      </c>
      <c r="O2269">
        <f>TEXT(B2269,"YYYY-MM")</f>
        <v/>
      </c>
    </row>
    <row r="2270">
      <c r="A2270" t="inlineStr">
        <is>
          <t>LD-302268</t>
        </is>
      </c>
      <c r="B2270" t="inlineStr">
        <is>
          <t>2026-02-21 20:48:00</t>
        </is>
      </c>
      <c r="C2270" t="inlineStr">
        <is>
          <t>Social Media</t>
        </is>
      </c>
      <c r="D2270" t="inlineStr">
        <is>
          <t>Language Learning</t>
        </is>
      </c>
      <c r="E2270" t="inlineStr">
        <is>
          <t>West Region</t>
        </is>
      </c>
      <c r="F2270" t="inlineStr">
        <is>
          <t>Rep_13</t>
        </is>
      </c>
      <c r="G2270" t="n">
        <v>2.83</v>
      </c>
      <c r="H2270" t="inlineStr">
        <is>
          <t>Contacted</t>
        </is>
      </c>
      <c r="I2270" t="inlineStr">
        <is>
          <t>Open</t>
        </is>
      </c>
      <c r="M2270">
        <f>VLOOKUP(H2270,'Stage Order'!$A$2:$B$8,2,FALSE)</f>
        <v/>
      </c>
      <c r="N2270">
        <f>IF(G2270&lt;=1,"1. Under 1 hour",IF(G2270&lt;=24,"2. 1-24 hours",IF(G2270&lt;=72,"3. 1-3 days","4. Over 3 days")))</f>
        <v/>
      </c>
      <c r="O2270">
        <f>TEXT(B2270,"YYYY-MM")</f>
        <v/>
      </c>
    </row>
    <row r="2271">
      <c r="A2271" t="inlineStr">
        <is>
          <t>LD-302269</t>
        </is>
      </c>
      <c r="B2271" t="inlineStr">
        <is>
          <t>2025-01-29 12:32:00</t>
        </is>
      </c>
      <c r="C2271" t="inlineStr">
        <is>
          <t>Social Media</t>
        </is>
      </c>
      <c r="D2271" t="inlineStr">
        <is>
          <t>K-12 Math</t>
        </is>
      </c>
      <c r="E2271" t="inlineStr">
        <is>
          <t>South Region</t>
        </is>
      </c>
      <c r="F2271" t="inlineStr">
        <is>
          <t>Rep_02</t>
        </is>
      </c>
      <c r="G2271" t="n">
        <v>10.98</v>
      </c>
      <c r="H2271" t="inlineStr">
        <is>
          <t>Lead</t>
        </is>
      </c>
      <c r="I2271" t="inlineStr">
        <is>
          <t>Open</t>
        </is>
      </c>
      <c r="M2271">
        <f>VLOOKUP(H2271,'Stage Order'!$A$2:$B$8,2,FALSE)</f>
        <v/>
      </c>
      <c r="N2271">
        <f>IF(G2271&lt;=1,"1. Under 1 hour",IF(G2271&lt;=24,"2. 1-24 hours",IF(G2271&lt;=72,"3. 1-3 days","4. Over 3 days")))</f>
        <v/>
      </c>
      <c r="O2271">
        <f>TEXT(B2271,"YYYY-MM")</f>
        <v/>
      </c>
    </row>
    <row r="2272">
      <c r="A2272" t="inlineStr">
        <is>
          <t>LD-302270</t>
        </is>
      </c>
      <c r="B2272" t="inlineStr">
        <is>
          <t>2025-07-23 15:49:00</t>
        </is>
      </c>
      <c r="C2272" t="inlineStr">
        <is>
          <t>Social Media</t>
        </is>
      </c>
      <c r="D2272" t="inlineStr">
        <is>
          <t>Study Abroad Prep</t>
        </is>
      </c>
      <c r="E2272" t="inlineStr">
        <is>
          <t>North Region</t>
        </is>
      </c>
      <c r="F2272" t="inlineStr">
        <is>
          <t>Rep_06</t>
        </is>
      </c>
      <c r="G2272" t="n">
        <v>0.79</v>
      </c>
      <c r="H2272" t="inlineStr">
        <is>
          <t>Demo Completed</t>
        </is>
      </c>
      <c r="I2272" t="inlineStr">
        <is>
          <t>Lost</t>
        </is>
      </c>
      <c r="J2272" t="inlineStr">
        <is>
          <t>Budget Not Approved</t>
        </is>
      </c>
      <c r="K2272" t="n">
        <v>1349.75</v>
      </c>
      <c r="L2272" t="inlineStr">
        <is>
          <t>2025-08-31 08:07:51.715512</t>
        </is>
      </c>
      <c r="M2272">
        <f>VLOOKUP(H2272,'Stage Order'!$A$2:$B$8,2,FALSE)</f>
        <v/>
      </c>
      <c r="N2272">
        <f>IF(G2272&lt;=1,"1. Under 1 hour",IF(G2272&lt;=24,"2. 1-24 hours",IF(G2272&lt;=72,"3. 1-3 days","4. Over 3 days")))</f>
        <v/>
      </c>
      <c r="O2272">
        <f>TEXT(B2272,"YYYY-MM")</f>
        <v/>
      </c>
    </row>
    <row r="2273">
      <c r="A2273" t="inlineStr">
        <is>
          <t>LD-302271</t>
        </is>
      </c>
      <c r="B2273" t="inlineStr">
        <is>
          <t>2026-06-21 09:22:00</t>
        </is>
      </c>
      <c r="C2273" t="inlineStr">
        <is>
          <t>Paid Search</t>
        </is>
      </c>
      <c r="D2273" t="inlineStr">
        <is>
          <t>Study Abroad Prep</t>
        </is>
      </c>
      <c r="E2273" t="inlineStr">
        <is>
          <t>South Region</t>
        </is>
      </c>
      <c r="F2273" t="inlineStr">
        <is>
          <t>Rep_12</t>
        </is>
      </c>
      <c r="G2273" t="n">
        <v>0.5600000000000001</v>
      </c>
      <c r="H2273" t="inlineStr">
        <is>
          <t>Contacted</t>
        </is>
      </c>
      <c r="I2273" t="inlineStr">
        <is>
          <t>Open</t>
        </is>
      </c>
      <c r="M2273">
        <f>VLOOKUP(H2273,'Stage Order'!$A$2:$B$8,2,FALSE)</f>
        <v/>
      </c>
      <c r="N2273">
        <f>IF(G2273&lt;=1,"1. Under 1 hour",IF(G2273&lt;=24,"2. 1-24 hours",IF(G2273&lt;=72,"3. 1-3 days","4. Over 3 days")))</f>
        <v/>
      </c>
      <c r="O2273">
        <f>TEXT(B2273,"YYYY-MM")</f>
        <v/>
      </c>
    </row>
    <row r="2274">
      <c r="A2274" t="inlineStr">
        <is>
          <t>LD-302272</t>
        </is>
      </c>
      <c r="B2274" t="inlineStr">
        <is>
          <t>2026-03-30 11:44:00</t>
        </is>
      </c>
      <c r="C2274" t="inlineStr">
        <is>
          <t>Cold Outreach</t>
        </is>
      </c>
      <c r="D2274" t="inlineStr">
        <is>
          <t>Language Learning</t>
        </is>
      </c>
      <c r="E2274" t="inlineStr">
        <is>
          <t>South Region</t>
        </is>
      </c>
      <c r="F2274" t="inlineStr">
        <is>
          <t>Rep_02</t>
        </is>
      </c>
      <c r="G2274" t="n">
        <v>1.66</v>
      </c>
      <c r="H2274" t="inlineStr">
        <is>
          <t>Contacted</t>
        </is>
      </c>
      <c r="I2274" t="inlineStr">
        <is>
          <t>Open</t>
        </is>
      </c>
      <c r="M2274">
        <f>VLOOKUP(H2274,'Stage Order'!$A$2:$B$8,2,FALSE)</f>
        <v/>
      </c>
      <c r="N2274">
        <f>IF(G2274&lt;=1,"1. Under 1 hour",IF(G2274&lt;=24,"2. 1-24 hours",IF(G2274&lt;=72,"3. 1-3 days","4. Over 3 days")))</f>
        <v/>
      </c>
      <c r="O2274">
        <f>TEXT(B2274,"YYYY-MM")</f>
        <v/>
      </c>
    </row>
    <row r="2275">
      <c r="A2275" t="inlineStr">
        <is>
          <t>LD-302273</t>
        </is>
      </c>
      <c r="B2275" t="inlineStr">
        <is>
          <t>2026-01-23 14:59:00</t>
        </is>
      </c>
      <c r="C2275" t="inlineStr">
        <is>
          <t>Partner Channel</t>
        </is>
      </c>
      <c r="D2275" t="inlineStr">
        <is>
          <t>Coding for Kids</t>
        </is>
      </c>
      <c r="E2275" t="inlineStr">
        <is>
          <t>International</t>
        </is>
      </c>
      <c r="F2275" t="inlineStr">
        <is>
          <t>Rep_15</t>
        </is>
      </c>
      <c r="G2275" t="n">
        <v>0.93</v>
      </c>
      <c r="H2275" t="inlineStr">
        <is>
          <t>Contacted</t>
        </is>
      </c>
      <c r="I2275" t="inlineStr">
        <is>
          <t>Open</t>
        </is>
      </c>
      <c r="M2275">
        <f>VLOOKUP(H2275,'Stage Order'!$A$2:$B$8,2,FALSE)</f>
        <v/>
      </c>
      <c r="N2275">
        <f>IF(G2275&lt;=1,"1. Under 1 hour",IF(G2275&lt;=24,"2. 1-24 hours",IF(G2275&lt;=72,"3. 1-3 days","4. Over 3 days")))</f>
        <v/>
      </c>
      <c r="O2275">
        <f>TEXT(B2275,"YYYY-MM")</f>
        <v/>
      </c>
    </row>
    <row r="2276">
      <c r="A2276" t="inlineStr">
        <is>
          <t>LD-302274</t>
        </is>
      </c>
      <c r="B2276" t="inlineStr">
        <is>
          <t>2025-11-14 19:13:00</t>
        </is>
      </c>
      <c r="C2276" t="inlineStr">
        <is>
          <t>Organic Search</t>
        </is>
      </c>
      <c r="D2276" t="inlineStr">
        <is>
          <t>Competitive Exam Prep</t>
        </is>
      </c>
      <c r="E2276" t="inlineStr">
        <is>
          <t>East Region</t>
        </is>
      </c>
      <c r="F2276" t="inlineStr">
        <is>
          <t>Rep_04</t>
        </is>
      </c>
      <c r="G2276" t="n">
        <v>4.68</v>
      </c>
      <c r="H2276" t="inlineStr">
        <is>
          <t>Contacted</t>
        </is>
      </c>
      <c r="I2276" t="inlineStr">
        <is>
          <t>Open</t>
        </is>
      </c>
      <c r="M2276">
        <f>VLOOKUP(H2276,'Stage Order'!$A$2:$B$8,2,FALSE)</f>
        <v/>
      </c>
      <c r="N2276">
        <f>IF(G2276&lt;=1,"1. Under 1 hour",IF(G2276&lt;=24,"2. 1-24 hours",IF(G2276&lt;=72,"3. 1-3 days","4. Over 3 days")))</f>
        <v/>
      </c>
      <c r="O2276">
        <f>TEXT(B2276,"YYYY-MM")</f>
        <v/>
      </c>
    </row>
    <row r="2277">
      <c r="A2277" t="inlineStr">
        <is>
          <t>LD-302275</t>
        </is>
      </c>
      <c r="B2277" t="inlineStr">
        <is>
          <t>2025-01-21 11:04:00</t>
        </is>
      </c>
      <c r="C2277" t="inlineStr">
        <is>
          <t>Paid Search</t>
        </is>
      </c>
      <c r="D2277" t="inlineStr">
        <is>
          <t>K-12 Math</t>
        </is>
      </c>
      <c r="E2277" t="inlineStr">
        <is>
          <t>South Region</t>
        </is>
      </c>
      <c r="F2277" t="inlineStr">
        <is>
          <t>Rep_12</t>
        </is>
      </c>
      <c r="G2277" t="n">
        <v>6.68</v>
      </c>
      <c r="H2277" t="inlineStr">
        <is>
          <t>Closed</t>
        </is>
      </c>
      <c r="I2277" t="inlineStr">
        <is>
          <t>Won</t>
        </is>
      </c>
      <c r="K2277" t="n">
        <v>568.8200000000001</v>
      </c>
      <c r="L2277" t="inlineStr">
        <is>
          <t>2025-02-28 00:07:30.574311</t>
        </is>
      </c>
      <c r="M2277">
        <f>VLOOKUP(H2277,'Stage Order'!$A$2:$B$8,2,FALSE)</f>
        <v/>
      </c>
      <c r="N2277">
        <f>IF(G2277&lt;=1,"1. Under 1 hour",IF(G2277&lt;=24,"2. 1-24 hours",IF(G2277&lt;=72,"3. 1-3 days","4. Over 3 days")))</f>
        <v/>
      </c>
      <c r="O2277">
        <f>TEXT(B2277,"YYYY-MM")</f>
        <v/>
      </c>
    </row>
    <row r="2278">
      <c r="A2278" t="inlineStr">
        <is>
          <t>LD-302276</t>
        </is>
      </c>
      <c r="B2278" t="inlineStr">
        <is>
          <t>2025-07-15 19:41:00</t>
        </is>
      </c>
      <c r="C2278" t="inlineStr">
        <is>
          <t>Paid Search</t>
        </is>
      </c>
      <c r="D2278" t="inlineStr">
        <is>
          <t>Language Learning</t>
        </is>
      </c>
      <c r="E2278" t="inlineStr">
        <is>
          <t>North Region</t>
        </is>
      </c>
      <c r="F2278" t="inlineStr">
        <is>
          <t>Rep_06</t>
        </is>
      </c>
      <c r="G2278" t="n">
        <v>13.53</v>
      </c>
      <c r="H2278" t="inlineStr">
        <is>
          <t>Contacted</t>
        </is>
      </c>
      <c r="I2278" t="inlineStr">
        <is>
          <t>Open</t>
        </is>
      </c>
      <c r="M2278">
        <f>VLOOKUP(H2278,'Stage Order'!$A$2:$B$8,2,FALSE)</f>
        <v/>
      </c>
      <c r="N2278">
        <f>IF(G2278&lt;=1,"1. Under 1 hour",IF(G2278&lt;=24,"2. 1-24 hours",IF(G2278&lt;=72,"3. 1-3 days","4. Over 3 days")))</f>
        <v/>
      </c>
      <c r="O2278">
        <f>TEXT(B2278,"YYYY-MM")</f>
        <v/>
      </c>
    </row>
    <row r="2279">
      <c r="A2279" t="inlineStr">
        <is>
          <t>LD-302277</t>
        </is>
      </c>
      <c r="B2279" t="inlineStr">
        <is>
          <t>2025-08-28 12:25:00</t>
        </is>
      </c>
      <c r="C2279" t="inlineStr">
        <is>
          <t>Social Media</t>
        </is>
      </c>
      <c r="D2279" t="inlineStr">
        <is>
          <t>Study Abroad Prep</t>
        </is>
      </c>
      <c r="E2279" t="inlineStr">
        <is>
          <t>North Region</t>
        </is>
      </c>
      <c r="F2279" t="inlineStr">
        <is>
          <t>Rep_06</t>
        </is>
      </c>
      <c r="G2279" t="n">
        <v>10.15</v>
      </c>
      <c r="H2279" t="inlineStr">
        <is>
          <t>Lead</t>
        </is>
      </c>
      <c r="I2279" t="inlineStr">
        <is>
          <t>Open</t>
        </is>
      </c>
      <c r="M2279">
        <f>VLOOKUP(H2279,'Stage Order'!$A$2:$B$8,2,FALSE)</f>
        <v/>
      </c>
      <c r="N2279">
        <f>IF(G2279&lt;=1,"1. Under 1 hour",IF(G2279&lt;=24,"2. 1-24 hours",IF(G2279&lt;=72,"3. 1-3 days","4. Over 3 days")))</f>
        <v/>
      </c>
      <c r="O2279">
        <f>TEXT(B2279,"YYYY-MM")</f>
        <v/>
      </c>
    </row>
    <row r="2280">
      <c r="A2280" t="inlineStr">
        <is>
          <t>LD-302278</t>
        </is>
      </c>
      <c r="B2280" t="inlineStr">
        <is>
          <t>2026-06-19 11:18:00</t>
        </is>
      </c>
      <c r="C2280" t="inlineStr">
        <is>
          <t>Paid Search</t>
        </is>
      </c>
      <c r="D2280" t="inlineStr">
        <is>
          <t>K-12 Math</t>
        </is>
      </c>
      <c r="E2280" t="inlineStr">
        <is>
          <t>East Region</t>
        </is>
      </c>
      <c r="F2280" t="inlineStr">
        <is>
          <t>Rep_09</t>
        </is>
      </c>
      <c r="G2280" t="n">
        <v>3.92</v>
      </c>
      <c r="H2280" t="inlineStr">
        <is>
          <t>Lead</t>
        </is>
      </c>
      <c r="I2280" t="inlineStr">
        <is>
          <t>Open</t>
        </is>
      </c>
      <c r="M2280">
        <f>VLOOKUP(H2280,'Stage Order'!$A$2:$B$8,2,FALSE)</f>
        <v/>
      </c>
      <c r="N2280">
        <f>IF(G2280&lt;=1,"1. Under 1 hour",IF(G2280&lt;=24,"2. 1-24 hours",IF(G2280&lt;=72,"3. 1-3 days","4. Over 3 days")))</f>
        <v/>
      </c>
      <c r="O2280">
        <f>TEXT(B2280,"YYYY-MM")</f>
        <v/>
      </c>
    </row>
    <row r="2281">
      <c r="A2281" t="inlineStr">
        <is>
          <t>LD-302279</t>
        </is>
      </c>
      <c r="B2281" t="inlineStr">
        <is>
          <t>2026-04-24 10:32:00</t>
        </is>
      </c>
      <c r="C2281" t="inlineStr">
        <is>
          <t>Paid Search</t>
        </is>
      </c>
      <c r="D2281" t="inlineStr">
        <is>
          <t>Language Learning</t>
        </is>
      </c>
      <c r="E2281" t="inlineStr">
        <is>
          <t>South Region</t>
        </is>
      </c>
      <c r="F2281" t="inlineStr">
        <is>
          <t>Rep_07</t>
        </is>
      </c>
      <c r="G2281" t="n">
        <v>2.72</v>
      </c>
      <c r="H2281" t="inlineStr">
        <is>
          <t>Demo Scheduled</t>
        </is>
      </c>
      <c r="I2281" t="inlineStr">
        <is>
          <t>Open</t>
        </is>
      </c>
      <c r="M2281">
        <f>VLOOKUP(H2281,'Stage Order'!$A$2:$B$8,2,FALSE)</f>
        <v/>
      </c>
      <c r="N2281">
        <f>IF(G2281&lt;=1,"1. Under 1 hour",IF(G2281&lt;=24,"2. 1-24 hours",IF(G2281&lt;=72,"3. 1-3 days","4. Over 3 days")))</f>
        <v/>
      </c>
      <c r="O2281">
        <f>TEXT(B2281,"YYYY-MM")</f>
        <v/>
      </c>
    </row>
    <row r="2282">
      <c r="A2282" t="inlineStr">
        <is>
          <t>LD-302280</t>
        </is>
      </c>
      <c r="B2282" t="inlineStr">
        <is>
          <t>2025-03-12 10:12:00</t>
        </is>
      </c>
      <c r="C2282" t="inlineStr">
        <is>
          <t>Organic Search</t>
        </is>
      </c>
      <c r="D2282" t="inlineStr">
        <is>
          <t>Coding for Kids</t>
        </is>
      </c>
      <c r="E2282" t="inlineStr">
        <is>
          <t>International</t>
        </is>
      </c>
      <c r="F2282" t="inlineStr">
        <is>
          <t>Rep_05</t>
        </is>
      </c>
      <c r="G2282" t="n">
        <v>2.64</v>
      </c>
      <c r="H2282" t="inlineStr">
        <is>
          <t>Contacted</t>
        </is>
      </c>
      <c r="I2282" t="inlineStr">
        <is>
          <t>Open</t>
        </is>
      </c>
      <c r="M2282">
        <f>VLOOKUP(H2282,'Stage Order'!$A$2:$B$8,2,FALSE)</f>
        <v/>
      </c>
      <c r="N2282">
        <f>IF(G2282&lt;=1,"1. Under 1 hour",IF(G2282&lt;=24,"2. 1-24 hours",IF(G2282&lt;=72,"3. 1-3 days","4. Over 3 days")))</f>
        <v/>
      </c>
      <c r="O2282">
        <f>TEXT(B2282,"YYYY-MM")</f>
        <v/>
      </c>
    </row>
    <row r="2283">
      <c r="A2283" t="inlineStr">
        <is>
          <t>LD-302281</t>
        </is>
      </c>
      <c r="B2283" t="inlineStr">
        <is>
          <t>2025-03-07 18:50:00</t>
        </is>
      </c>
      <c r="C2283" t="inlineStr">
        <is>
          <t>Organic Search</t>
        </is>
      </c>
      <c r="D2283" t="inlineStr">
        <is>
          <t>Study Abroad Prep</t>
        </is>
      </c>
      <c r="E2283" t="inlineStr">
        <is>
          <t>West Region</t>
        </is>
      </c>
      <c r="F2283" t="inlineStr">
        <is>
          <t>Rep_08</t>
        </is>
      </c>
      <c r="G2283" t="n">
        <v>6.42</v>
      </c>
      <c r="H2283" t="inlineStr">
        <is>
          <t>Closed</t>
        </is>
      </c>
      <c r="I2283" t="inlineStr">
        <is>
          <t>Won</t>
        </is>
      </c>
      <c r="K2283" t="n">
        <v>1206.47</v>
      </c>
      <c r="L2283" t="inlineStr">
        <is>
          <t>2025-04-05 20:12:24.697599</t>
        </is>
      </c>
      <c r="M2283">
        <f>VLOOKUP(H2283,'Stage Order'!$A$2:$B$8,2,FALSE)</f>
        <v/>
      </c>
      <c r="N2283">
        <f>IF(G2283&lt;=1,"1. Under 1 hour",IF(G2283&lt;=24,"2. 1-24 hours",IF(G2283&lt;=72,"3. 1-3 days","4. Over 3 days")))</f>
        <v/>
      </c>
      <c r="O2283">
        <f>TEXT(B2283,"YYYY-MM")</f>
        <v/>
      </c>
    </row>
    <row r="2284">
      <c r="A2284" t="inlineStr">
        <is>
          <t>LD-302282</t>
        </is>
      </c>
      <c r="B2284" t="inlineStr">
        <is>
          <t>2025-01-21 12:28:00</t>
        </is>
      </c>
      <c r="C2284" t="inlineStr">
        <is>
          <t>Organic Search</t>
        </is>
      </c>
      <c r="D2284" t="inlineStr">
        <is>
          <t>K-12 Math</t>
        </is>
      </c>
      <c r="E2284" t="inlineStr">
        <is>
          <t>South Region</t>
        </is>
      </c>
      <c r="F2284" t="inlineStr">
        <is>
          <t>Rep_12</t>
        </is>
      </c>
      <c r="G2284" t="n">
        <v>1.04</v>
      </c>
      <c r="H2284" t="inlineStr">
        <is>
          <t>Negotiation</t>
        </is>
      </c>
      <c r="I2284" t="inlineStr">
        <is>
          <t>Lost</t>
        </is>
      </c>
      <c r="J2284" t="inlineStr">
        <is>
          <t>No Response / Ghosted</t>
        </is>
      </c>
      <c r="K2284" t="n">
        <v>591.95</v>
      </c>
      <c r="L2284" t="inlineStr">
        <is>
          <t>2025-03-03 03:35:27.193337</t>
        </is>
      </c>
      <c r="M2284">
        <f>VLOOKUP(H2284,'Stage Order'!$A$2:$B$8,2,FALSE)</f>
        <v/>
      </c>
      <c r="N2284">
        <f>IF(G2284&lt;=1,"1. Under 1 hour",IF(G2284&lt;=24,"2. 1-24 hours",IF(G2284&lt;=72,"3. 1-3 days","4. Over 3 days")))</f>
        <v/>
      </c>
      <c r="O2284">
        <f>TEXT(B2284,"YYYY-MM")</f>
        <v/>
      </c>
    </row>
    <row r="2285">
      <c r="A2285" t="inlineStr">
        <is>
          <t>LD-302283</t>
        </is>
      </c>
      <c r="B2285" t="inlineStr">
        <is>
          <t>2026-04-08 08:45:00</t>
        </is>
      </c>
      <c r="C2285" t="inlineStr">
        <is>
          <t>Referral</t>
        </is>
      </c>
      <c r="D2285" t="inlineStr">
        <is>
          <t>Competitive Exam Prep</t>
        </is>
      </c>
      <c r="E2285" t="inlineStr">
        <is>
          <t>East Region</t>
        </is>
      </c>
      <c r="F2285" t="inlineStr">
        <is>
          <t>Rep_09</t>
        </is>
      </c>
      <c r="G2285" t="n">
        <v>22.53</v>
      </c>
      <c r="H2285" t="inlineStr">
        <is>
          <t>Contacted</t>
        </is>
      </c>
      <c r="I2285" t="inlineStr">
        <is>
          <t>Open</t>
        </is>
      </c>
      <c r="M2285">
        <f>VLOOKUP(H2285,'Stage Order'!$A$2:$B$8,2,FALSE)</f>
        <v/>
      </c>
      <c r="N2285">
        <f>IF(G2285&lt;=1,"1. Under 1 hour",IF(G2285&lt;=24,"2. 1-24 hours",IF(G2285&lt;=72,"3. 1-3 days","4. Over 3 days")))</f>
        <v/>
      </c>
      <c r="O2285">
        <f>TEXT(B2285,"YYYY-MM")</f>
        <v/>
      </c>
    </row>
    <row r="2286">
      <c r="A2286" t="inlineStr">
        <is>
          <t>LD-302284</t>
        </is>
      </c>
      <c r="B2286" t="inlineStr">
        <is>
          <t>2025-11-21 20:14:00</t>
        </is>
      </c>
      <c r="C2286" t="inlineStr">
        <is>
          <t>Paid Search</t>
        </is>
      </c>
      <c r="D2286" t="inlineStr">
        <is>
          <t>Study Abroad Prep</t>
        </is>
      </c>
      <c r="E2286" t="inlineStr">
        <is>
          <t>West Region</t>
        </is>
      </c>
      <c r="F2286" t="inlineStr">
        <is>
          <t>Rep_08</t>
        </is>
      </c>
      <c r="G2286" t="n">
        <v>0.23</v>
      </c>
      <c r="H2286" t="inlineStr">
        <is>
          <t>Closed</t>
        </is>
      </c>
      <c r="I2286" t="inlineStr">
        <is>
          <t>Won</t>
        </is>
      </c>
      <c r="K2286" t="n">
        <v>1193.11</v>
      </c>
      <c r="L2286" t="inlineStr">
        <is>
          <t>2026-01-21 00:40:31.556739</t>
        </is>
      </c>
      <c r="M2286">
        <f>VLOOKUP(H2286,'Stage Order'!$A$2:$B$8,2,FALSE)</f>
        <v/>
      </c>
      <c r="N2286">
        <f>IF(G2286&lt;=1,"1. Under 1 hour",IF(G2286&lt;=24,"2. 1-24 hours",IF(G2286&lt;=72,"3. 1-3 days","4. Over 3 days")))</f>
        <v/>
      </c>
      <c r="O2286">
        <f>TEXT(B2286,"YYYY-MM")</f>
        <v/>
      </c>
    </row>
    <row r="2287">
      <c r="A2287" t="inlineStr">
        <is>
          <t>LD-302285</t>
        </is>
      </c>
      <c r="B2287" t="inlineStr">
        <is>
          <t>2025-10-30 11:06:00</t>
        </is>
      </c>
      <c r="C2287" t="inlineStr">
        <is>
          <t>Organic Search</t>
        </is>
      </c>
      <c r="D2287" t="inlineStr">
        <is>
          <t>Language Learning</t>
        </is>
      </c>
      <c r="E2287" t="inlineStr">
        <is>
          <t>South Region</t>
        </is>
      </c>
      <c r="F2287" t="inlineStr">
        <is>
          <t>Rep_02</t>
        </is>
      </c>
      <c r="G2287" t="n">
        <v>11.06</v>
      </c>
      <c r="H2287" t="inlineStr">
        <is>
          <t>Closed</t>
        </is>
      </c>
      <c r="I2287" t="inlineStr">
        <is>
          <t>Won</t>
        </is>
      </c>
      <c r="K2287" t="n">
        <v>322.47</v>
      </c>
      <c r="L2287" t="inlineStr">
        <is>
          <t>2025-11-25 23:14:36.842794</t>
        </is>
      </c>
      <c r="M2287">
        <f>VLOOKUP(H2287,'Stage Order'!$A$2:$B$8,2,FALSE)</f>
        <v/>
      </c>
      <c r="N2287">
        <f>IF(G2287&lt;=1,"1. Under 1 hour",IF(G2287&lt;=24,"2. 1-24 hours",IF(G2287&lt;=72,"3. 1-3 days","4. Over 3 days")))</f>
        <v/>
      </c>
      <c r="O2287">
        <f>TEXT(B2287,"YYYY-MM")</f>
        <v/>
      </c>
    </row>
    <row r="2288">
      <c r="A2288" t="inlineStr">
        <is>
          <t>LD-302286</t>
        </is>
      </c>
      <c r="B2288" t="inlineStr">
        <is>
          <t>2026-02-06 07:18:00</t>
        </is>
      </c>
      <c r="C2288" t="inlineStr">
        <is>
          <t>Referral</t>
        </is>
      </c>
      <c r="D2288" t="inlineStr">
        <is>
          <t>Competitive Exam Prep</t>
        </is>
      </c>
      <c r="E2288" t="inlineStr">
        <is>
          <t>East Region</t>
        </is>
      </c>
      <c r="F2288" t="inlineStr">
        <is>
          <t>Rep_14</t>
        </is>
      </c>
      <c r="G2288" t="n">
        <v>4.36</v>
      </c>
      <c r="H2288" t="inlineStr">
        <is>
          <t>Negotiation</t>
        </is>
      </c>
      <c r="I2288" t="inlineStr">
        <is>
          <t>Lost</t>
        </is>
      </c>
      <c r="J2288" t="inlineStr">
        <is>
          <t>Price Objection</t>
        </is>
      </c>
      <c r="K2288" t="n">
        <v>1045.11</v>
      </c>
      <c r="L2288" t="inlineStr">
        <is>
          <t>2026-04-06 09:44:37.086238</t>
        </is>
      </c>
      <c r="M2288">
        <f>VLOOKUP(H2288,'Stage Order'!$A$2:$B$8,2,FALSE)</f>
        <v/>
      </c>
      <c r="N2288">
        <f>IF(G2288&lt;=1,"1. Under 1 hour",IF(G2288&lt;=24,"2. 1-24 hours",IF(G2288&lt;=72,"3. 1-3 days","4. Over 3 days")))</f>
        <v/>
      </c>
      <c r="O2288">
        <f>TEXT(B2288,"YYYY-MM")</f>
        <v/>
      </c>
    </row>
    <row r="2289">
      <c r="A2289" t="inlineStr">
        <is>
          <t>LD-302287</t>
        </is>
      </c>
      <c r="B2289" t="inlineStr">
        <is>
          <t>2026-02-22 07:05:00</t>
        </is>
      </c>
      <c r="C2289" t="inlineStr">
        <is>
          <t>Cold Outreach</t>
        </is>
      </c>
      <c r="D2289" t="inlineStr">
        <is>
          <t>K-12 Math</t>
        </is>
      </c>
      <c r="E2289" t="inlineStr">
        <is>
          <t>International</t>
        </is>
      </c>
      <c r="F2289" t="inlineStr">
        <is>
          <t>Rep_10</t>
        </is>
      </c>
      <c r="G2289" t="n">
        <v>14.81</v>
      </c>
      <c r="H2289" t="inlineStr">
        <is>
          <t>Lead</t>
        </is>
      </c>
      <c r="I2289" t="inlineStr">
        <is>
          <t>Open</t>
        </is>
      </c>
      <c r="M2289">
        <f>VLOOKUP(H2289,'Stage Order'!$A$2:$B$8,2,FALSE)</f>
        <v/>
      </c>
      <c r="N2289">
        <f>IF(G2289&lt;=1,"1. Under 1 hour",IF(G2289&lt;=24,"2. 1-24 hours",IF(G2289&lt;=72,"3. 1-3 days","4. Over 3 days")))</f>
        <v/>
      </c>
      <c r="O2289">
        <f>TEXT(B2289,"YYYY-MM")</f>
        <v/>
      </c>
    </row>
    <row r="2290">
      <c r="A2290" t="inlineStr">
        <is>
          <t>LD-302288</t>
        </is>
      </c>
      <c r="B2290" t="inlineStr">
        <is>
          <t>2025-11-10 15:49:00</t>
        </is>
      </c>
      <c r="C2290" t="inlineStr">
        <is>
          <t>Social Media</t>
        </is>
      </c>
      <c r="D2290" t="inlineStr">
        <is>
          <t>K-12 Math</t>
        </is>
      </c>
      <c r="E2290" t="inlineStr">
        <is>
          <t>West Region</t>
        </is>
      </c>
      <c r="F2290" t="inlineStr">
        <is>
          <t>Rep_08</t>
        </is>
      </c>
      <c r="G2290" t="n">
        <v>0.67</v>
      </c>
      <c r="H2290" t="inlineStr">
        <is>
          <t>Closed</t>
        </is>
      </c>
      <c r="I2290" t="inlineStr">
        <is>
          <t>Won</t>
        </is>
      </c>
      <c r="K2290" t="n">
        <v>531.55</v>
      </c>
      <c r="L2290" t="inlineStr">
        <is>
          <t>2025-12-29 03:05:03.781265</t>
        </is>
      </c>
      <c r="M2290">
        <f>VLOOKUP(H2290,'Stage Order'!$A$2:$B$8,2,FALSE)</f>
        <v/>
      </c>
      <c r="N2290">
        <f>IF(G2290&lt;=1,"1. Under 1 hour",IF(G2290&lt;=24,"2. 1-24 hours",IF(G2290&lt;=72,"3. 1-3 days","4. Over 3 days")))</f>
        <v/>
      </c>
      <c r="O2290">
        <f>TEXT(B2290,"YYYY-MM")</f>
        <v/>
      </c>
    </row>
    <row r="2291">
      <c r="A2291" t="inlineStr">
        <is>
          <t>LD-302289</t>
        </is>
      </c>
      <c r="B2291" t="inlineStr">
        <is>
          <t>2025-07-22 14:01:00</t>
        </is>
      </c>
      <c r="C2291" t="inlineStr">
        <is>
          <t>Webinar</t>
        </is>
      </c>
      <c r="D2291" t="inlineStr">
        <is>
          <t>Language Learning</t>
        </is>
      </c>
      <c r="E2291" t="inlineStr">
        <is>
          <t>North Region</t>
        </is>
      </c>
      <c r="F2291" t="inlineStr">
        <is>
          <t>Rep_01</t>
        </is>
      </c>
      <c r="G2291" t="n">
        <v>24.98</v>
      </c>
      <c r="H2291" t="inlineStr">
        <is>
          <t>Demo Completed</t>
        </is>
      </c>
      <c r="I2291" t="inlineStr">
        <is>
          <t>Lost</t>
        </is>
      </c>
      <c r="J2291" t="inlineStr">
        <is>
          <t>Bad Timing</t>
        </is>
      </c>
      <c r="K2291" t="n">
        <v>392.83</v>
      </c>
      <c r="L2291" t="inlineStr">
        <is>
          <t>2025-08-27 15:53:16.945835</t>
        </is>
      </c>
      <c r="M2291">
        <f>VLOOKUP(H2291,'Stage Order'!$A$2:$B$8,2,FALSE)</f>
        <v/>
      </c>
      <c r="N2291">
        <f>IF(G2291&lt;=1,"1. Under 1 hour",IF(G2291&lt;=24,"2. 1-24 hours",IF(G2291&lt;=72,"3. 1-3 days","4. Over 3 days")))</f>
        <v/>
      </c>
      <c r="O2291">
        <f>TEXT(B2291,"YYYY-MM")</f>
        <v/>
      </c>
    </row>
    <row r="2292">
      <c r="A2292" t="inlineStr">
        <is>
          <t>LD-302290</t>
        </is>
      </c>
      <c r="B2292" t="inlineStr">
        <is>
          <t>2026-02-27 19:19:00</t>
        </is>
      </c>
      <c r="C2292" t="inlineStr">
        <is>
          <t>Paid Search</t>
        </is>
      </c>
      <c r="D2292" t="inlineStr">
        <is>
          <t>Competitive Exam Prep</t>
        </is>
      </c>
      <c r="E2292" t="inlineStr">
        <is>
          <t>East Region</t>
        </is>
      </c>
      <c r="F2292" t="inlineStr">
        <is>
          <t>Rep_14</t>
        </is>
      </c>
      <c r="G2292" t="n">
        <v>5.26</v>
      </c>
      <c r="H2292" t="inlineStr">
        <is>
          <t>Lead</t>
        </is>
      </c>
      <c r="I2292" t="inlineStr">
        <is>
          <t>Open</t>
        </is>
      </c>
      <c r="M2292">
        <f>VLOOKUP(H2292,'Stage Order'!$A$2:$B$8,2,FALSE)</f>
        <v/>
      </c>
      <c r="N2292">
        <f>IF(G2292&lt;=1,"1. Under 1 hour",IF(G2292&lt;=24,"2. 1-24 hours",IF(G2292&lt;=72,"3. 1-3 days","4. Over 3 days")))</f>
        <v/>
      </c>
      <c r="O2292">
        <f>TEXT(B2292,"YYYY-MM")</f>
        <v/>
      </c>
    </row>
    <row r="2293">
      <c r="A2293" t="inlineStr">
        <is>
          <t>LD-302291</t>
        </is>
      </c>
      <c r="B2293" t="inlineStr">
        <is>
          <t>2026-03-05 20:51:00</t>
        </is>
      </c>
      <c r="C2293" t="inlineStr">
        <is>
          <t>Referral</t>
        </is>
      </c>
      <c r="D2293" t="inlineStr">
        <is>
          <t>Competitive Exam Prep</t>
        </is>
      </c>
      <c r="E2293" t="inlineStr">
        <is>
          <t>East Region</t>
        </is>
      </c>
      <c r="F2293" t="inlineStr">
        <is>
          <t>Rep_09</t>
        </is>
      </c>
      <c r="G2293" t="n">
        <v>4.76</v>
      </c>
      <c r="H2293" t="inlineStr">
        <is>
          <t>Demo Completed</t>
        </is>
      </c>
      <c r="I2293" t="inlineStr">
        <is>
          <t>Lost</t>
        </is>
      </c>
      <c r="J2293" t="inlineStr">
        <is>
          <t>Price Objection</t>
        </is>
      </c>
      <c r="K2293" t="n">
        <v>1027.13</v>
      </c>
      <c r="L2293" t="inlineStr">
        <is>
          <t>2026-04-08 08:22:36.077622</t>
        </is>
      </c>
      <c r="M2293">
        <f>VLOOKUP(H2293,'Stage Order'!$A$2:$B$8,2,FALSE)</f>
        <v/>
      </c>
      <c r="N2293">
        <f>IF(G2293&lt;=1,"1. Under 1 hour",IF(G2293&lt;=24,"2. 1-24 hours",IF(G2293&lt;=72,"3. 1-3 days","4. Over 3 days")))</f>
        <v/>
      </c>
      <c r="O2293">
        <f>TEXT(B2293,"YYYY-MM")</f>
        <v/>
      </c>
    </row>
    <row r="2294">
      <c r="A2294" t="inlineStr">
        <is>
          <t>LD-302292</t>
        </is>
      </c>
      <c r="B2294" t="inlineStr">
        <is>
          <t>2025-10-05 13:54:00</t>
        </is>
      </c>
      <c r="C2294" t="inlineStr">
        <is>
          <t>Webinar</t>
        </is>
      </c>
      <c r="D2294" t="inlineStr">
        <is>
          <t>Language Learning</t>
        </is>
      </c>
      <c r="E2294" t="inlineStr">
        <is>
          <t>West Region</t>
        </is>
      </c>
      <c r="F2294" t="inlineStr">
        <is>
          <t>Rep_03</t>
        </is>
      </c>
      <c r="G2294" t="n">
        <v>15.08</v>
      </c>
      <c r="H2294" t="inlineStr">
        <is>
          <t>Negotiation</t>
        </is>
      </c>
      <c r="I2294" t="inlineStr">
        <is>
          <t>Lost</t>
        </is>
      </c>
      <c r="J2294" t="inlineStr">
        <is>
          <t>Budget Not Approved</t>
        </is>
      </c>
      <c r="K2294" t="n">
        <v>315.22</v>
      </c>
      <c r="L2294" t="inlineStr">
        <is>
          <t>2025-11-27 12:25:29.578962</t>
        </is>
      </c>
      <c r="M2294">
        <f>VLOOKUP(H2294,'Stage Order'!$A$2:$B$8,2,FALSE)</f>
        <v/>
      </c>
      <c r="N2294">
        <f>IF(G2294&lt;=1,"1. Under 1 hour",IF(G2294&lt;=24,"2. 1-24 hours",IF(G2294&lt;=72,"3. 1-3 days","4. Over 3 days")))</f>
        <v/>
      </c>
      <c r="O2294">
        <f>TEXT(B2294,"YYYY-MM")</f>
        <v/>
      </c>
    </row>
    <row r="2295">
      <c r="A2295" t="inlineStr">
        <is>
          <t>LD-302293</t>
        </is>
      </c>
      <c r="B2295" t="inlineStr">
        <is>
          <t>2025-03-20 20:54:00</t>
        </is>
      </c>
      <c r="C2295" t="inlineStr">
        <is>
          <t>Paid Search</t>
        </is>
      </c>
      <c r="D2295" t="inlineStr">
        <is>
          <t>Study Abroad Prep</t>
        </is>
      </c>
      <c r="E2295" t="inlineStr">
        <is>
          <t>South Region</t>
        </is>
      </c>
      <c r="F2295" t="inlineStr">
        <is>
          <t>Rep_02</t>
        </is>
      </c>
      <c r="G2295" t="n">
        <v>1.38</v>
      </c>
      <c r="H2295" t="inlineStr">
        <is>
          <t>Proposal Sent</t>
        </is>
      </c>
      <c r="I2295" t="inlineStr">
        <is>
          <t>Lost</t>
        </is>
      </c>
      <c r="J2295" t="inlineStr">
        <is>
          <t>Price Objection</t>
        </is>
      </c>
      <c r="K2295" t="n">
        <v>1619.48</v>
      </c>
      <c r="L2295" t="inlineStr">
        <is>
          <t>2025-04-28 14:27:49.543668</t>
        </is>
      </c>
      <c r="M2295">
        <f>VLOOKUP(H2295,'Stage Order'!$A$2:$B$8,2,FALSE)</f>
        <v/>
      </c>
      <c r="N2295">
        <f>IF(G2295&lt;=1,"1. Under 1 hour",IF(G2295&lt;=24,"2. 1-24 hours",IF(G2295&lt;=72,"3. 1-3 days","4. Over 3 days")))</f>
        <v/>
      </c>
      <c r="O2295">
        <f>TEXT(B2295,"YYYY-MM")</f>
        <v/>
      </c>
    </row>
    <row r="2296">
      <c r="A2296" t="inlineStr">
        <is>
          <t>LD-302294</t>
        </is>
      </c>
      <c r="B2296" t="inlineStr">
        <is>
          <t>2025-01-22 11:01:00</t>
        </is>
      </c>
      <c r="C2296" t="inlineStr">
        <is>
          <t>Referral</t>
        </is>
      </c>
      <c r="D2296" t="inlineStr">
        <is>
          <t>Language Learning</t>
        </is>
      </c>
      <c r="E2296" t="inlineStr">
        <is>
          <t>International</t>
        </is>
      </c>
      <c r="F2296" t="inlineStr">
        <is>
          <t>Rep_05</t>
        </is>
      </c>
      <c r="G2296" t="n">
        <v>4.02</v>
      </c>
      <c r="H2296" t="inlineStr">
        <is>
          <t>Demo Completed</t>
        </is>
      </c>
      <c r="I2296" t="inlineStr">
        <is>
          <t>Lost</t>
        </is>
      </c>
      <c r="J2296" t="inlineStr">
        <is>
          <t>Bad Timing</t>
        </is>
      </c>
      <c r="K2296" t="n">
        <v>344.57</v>
      </c>
      <c r="L2296" t="inlineStr">
        <is>
          <t>2025-02-14 15:59:16.023812</t>
        </is>
      </c>
      <c r="M2296">
        <f>VLOOKUP(H2296,'Stage Order'!$A$2:$B$8,2,FALSE)</f>
        <v/>
      </c>
      <c r="N2296">
        <f>IF(G2296&lt;=1,"1. Under 1 hour",IF(G2296&lt;=24,"2. 1-24 hours",IF(G2296&lt;=72,"3. 1-3 days","4. Over 3 days")))</f>
        <v/>
      </c>
      <c r="O2296">
        <f>TEXT(B2296,"YYYY-MM")</f>
        <v/>
      </c>
    </row>
    <row r="2297">
      <c r="A2297" t="inlineStr">
        <is>
          <t>LD-302295</t>
        </is>
      </c>
      <c r="B2297" t="inlineStr">
        <is>
          <t>2025-09-05 13:15:00</t>
        </is>
      </c>
      <c r="C2297" t="inlineStr">
        <is>
          <t>Social Media</t>
        </is>
      </c>
      <c r="D2297" t="inlineStr">
        <is>
          <t>K-12 Math</t>
        </is>
      </c>
      <c r="E2297" t="inlineStr">
        <is>
          <t>West Region</t>
        </is>
      </c>
      <c r="F2297" t="inlineStr">
        <is>
          <t>Rep_08</t>
        </is>
      </c>
      <c r="G2297" t="n">
        <v>1.9</v>
      </c>
      <c r="H2297" t="inlineStr">
        <is>
          <t>Contacted</t>
        </is>
      </c>
      <c r="I2297" t="inlineStr">
        <is>
          <t>Open</t>
        </is>
      </c>
      <c r="M2297">
        <f>VLOOKUP(H2297,'Stage Order'!$A$2:$B$8,2,FALSE)</f>
        <v/>
      </c>
      <c r="N2297">
        <f>IF(G2297&lt;=1,"1. Under 1 hour",IF(G2297&lt;=24,"2. 1-24 hours",IF(G2297&lt;=72,"3. 1-3 days","4. Over 3 days")))</f>
        <v/>
      </c>
      <c r="O2297">
        <f>TEXT(B2297,"YYYY-MM")</f>
        <v/>
      </c>
    </row>
    <row r="2298">
      <c r="A2298" t="inlineStr">
        <is>
          <t>LD-302296</t>
        </is>
      </c>
      <c r="B2298" t="inlineStr">
        <is>
          <t>2025-06-17 11:06:00</t>
        </is>
      </c>
      <c r="C2298" t="inlineStr">
        <is>
          <t>Paid Search</t>
        </is>
      </c>
      <c r="D2298" t="inlineStr">
        <is>
          <t>Study Abroad Prep</t>
        </is>
      </c>
      <c r="E2298" t="inlineStr">
        <is>
          <t>East Region</t>
        </is>
      </c>
      <c r="F2298" t="inlineStr">
        <is>
          <t>Rep_04</t>
        </is>
      </c>
      <c r="G2298" t="n">
        <v>0.8</v>
      </c>
      <c r="H2298" t="inlineStr">
        <is>
          <t>Demo Scheduled</t>
        </is>
      </c>
      <c r="I2298" t="inlineStr">
        <is>
          <t>Open</t>
        </is>
      </c>
      <c r="M2298">
        <f>VLOOKUP(H2298,'Stage Order'!$A$2:$B$8,2,FALSE)</f>
        <v/>
      </c>
      <c r="N2298">
        <f>IF(G2298&lt;=1,"1. Under 1 hour",IF(G2298&lt;=24,"2. 1-24 hours",IF(G2298&lt;=72,"3. 1-3 days","4. Over 3 days")))</f>
        <v/>
      </c>
      <c r="O2298">
        <f>TEXT(B2298,"YYYY-MM")</f>
        <v/>
      </c>
    </row>
    <row r="2299">
      <c r="A2299" t="inlineStr">
        <is>
          <t>LD-302297</t>
        </is>
      </c>
      <c r="B2299" t="inlineStr">
        <is>
          <t>2025-08-01 15:20:00</t>
        </is>
      </c>
      <c r="C2299" t="inlineStr">
        <is>
          <t>Organic Search</t>
        </is>
      </c>
      <c r="D2299" t="inlineStr">
        <is>
          <t>Language Learning</t>
        </is>
      </c>
      <c r="E2299" t="inlineStr">
        <is>
          <t>South Region</t>
        </is>
      </c>
      <c r="F2299" t="inlineStr">
        <is>
          <t>Rep_07</t>
        </is>
      </c>
      <c r="G2299" t="n">
        <v>0.74</v>
      </c>
      <c r="H2299" t="inlineStr">
        <is>
          <t>Negotiation</t>
        </is>
      </c>
      <c r="I2299" t="inlineStr">
        <is>
          <t>Lost</t>
        </is>
      </c>
      <c r="J2299" t="inlineStr">
        <is>
          <t>Bad Timing</t>
        </is>
      </c>
      <c r="K2299" t="n">
        <v>303.94</v>
      </c>
      <c r="L2299" t="inlineStr">
        <is>
          <t>2025-09-27 13:00:29.909236</t>
        </is>
      </c>
      <c r="M2299">
        <f>VLOOKUP(H2299,'Stage Order'!$A$2:$B$8,2,FALSE)</f>
        <v/>
      </c>
      <c r="N2299">
        <f>IF(G2299&lt;=1,"1. Under 1 hour",IF(G2299&lt;=24,"2. 1-24 hours",IF(G2299&lt;=72,"3. 1-3 days","4. Over 3 days")))</f>
        <v/>
      </c>
      <c r="O2299">
        <f>TEXT(B2299,"YYYY-MM")</f>
        <v/>
      </c>
    </row>
    <row r="2300">
      <c r="A2300" t="inlineStr">
        <is>
          <t>LD-302298</t>
        </is>
      </c>
      <c r="B2300" t="inlineStr">
        <is>
          <t>2025-01-02 11:44:00</t>
        </is>
      </c>
      <c r="C2300" t="inlineStr">
        <is>
          <t>Social Media</t>
        </is>
      </c>
      <c r="D2300" t="inlineStr">
        <is>
          <t>Competitive Exam Prep</t>
        </is>
      </c>
      <c r="E2300" t="inlineStr">
        <is>
          <t>East Region</t>
        </is>
      </c>
      <c r="F2300" t="inlineStr">
        <is>
          <t>Rep_09</t>
        </is>
      </c>
      <c r="G2300" t="n">
        <v>3.19</v>
      </c>
      <c r="H2300" t="inlineStr">
        <is>
          <t>Lead</t>
        </is>
      </c>
      <c r="I2300" t="inlineStr">
        <is>
          <t>Open</t>
        </is>
      </c>
      <c r="M2300">
        <f>VLOOKUP(H2300,'Stage Order'!$A$2:$B$8,2,FALSE)</f>
        <v/>
      </c>
      <c r="N2300">
        <f>IF(G2300&lt;=1,"1. Under 1 hour",IF(G2300&lt;=24,"2. 1-24 hours",IF(G2300&lt;=72,"3. 1-3 days","4. Over 3 days")))</f>
        <v/>
      </c>
      <c r="O2300">
        <f>TEXT(B2300,"YYYY-MM")</f>
        <v/>
      </c>
    </row>
    <row r="2301">
      <c r="A2301" t="inlineStr">
        <is>
          <t>LD-302299</t>
        </is>
      </c>
      <c r="B2301" t="inlineStr">
        <is>
          <t>2025-12-31 11:12:00</t>
        </is>
      </c>
      <c r="C2301" t="inlineStr">
        <is>
          <t>Organic Search</t>
        </is>
      </c>
      <c r="D2301" t="inlineStr">
        <is>
          <t>Competitive Exam Prep</t>
        </is>
      </c>
      <c r="E2301" t="inlineStr">
        <is>
          <t>South Region</t>
        </is>
      </c>
      <c r="F2301" t="inlineStr">
        <is>
          <t>Rep_02</t>
        </is>
      </c>
      <c r="G2301" t="n">
        <v>4.98</v>
      </c>
      <c r="H2301" t="inlineStr">
        <is>
          <t>Closed</t>
        </is>
      </c>
      <c r="I2301" t="inlineStr">
        <is>
          <t>Won</t>
        </is>
      </c>
      <c r="K2301" t="n">
        <v>1138.09</v>
      </c>
      <c r="L2301" t="inlineStr">
        <is>
          <t>2026-01-30 12:54:31.238325</t>
        </is>
      </c>
      <c r="M2301">
        <f>VLOOKUP(H2301,'Stage Order'!$A$2:$B$8,2,FALSE)</f>
        <v/>
      </c>
      <c r="N2301">
        <f>IF(G2301&lt;=1,"1. Under 1 hour",IF(G2301&lt;=24,"2. 1-24 hours",IF(G2301&lt;=72,"3. 1-3 days","4. Over 3 days")))</f>
        <v/>
      </c>
      <c r="O2301">
        <f>TEXT(B2301,"YYYY-MM")</f>
        <v/>
      </c>
    </row>
    <row r="2302">
      <c r="A2302" t="inlineStr">
        <is>
          <t>LD-302300</t>
        </is>
      </c>
      <c r="B2302" t="inlineStr">
        <is>
          <t>2025-02-21 17:40:00</t>
        </is>
      </c>
      <c r="C2302" t="inlineStr">
        <is>
          <t>Cold Outreach</t>
        </is>
      </c>
      <c r="D2302" t="inlineStr">
        <is>
          <t>Language Learning</t>
        </is>
      </c>
      <c r="E2302" t="inlineStr">
        <is>
          <t>East Region</t>
        </is>
      </c>
      <c r="F2302" t="inlineStr">
        <is>
          <t>Rep_09</t>
        </is>
      </c>
      <c r="G2302" t="n">
        <v>6</v>
      </c>
      <c r="H2302" t="inlineStr">
        <is>
          <t>Lead</t>
        </is>
      </c>
      <c r="I2302" t="inlineStr">
        <is>
          <t>Open</t>
        </is>
      </c>
      <c r="M2302">
        <f>VLOOKUP(H2302,'Stage Order'!$A$2:$B$8,2,FALSE)</f>
        <v/>
      </c>
      <c r="N2302">
        <f>IF(G2302&lt;=1,"1. Under 1 hour",IF(G2302&lt;=24,"2. 1-24 hours",IF(G2302&lt;=72,"3. 1-3 days","4. Over 3 days")))</f>
        <v/>
      </c>
      <c r="O2302">
        <f>TEXT(B2302,"YYYY-MM")</f>
        <v/>
      </c>
    </row>
    <row r="2303">
      <c r="A2303" t="inlineStr">
        <is>
          <t>LD-302301</t>
        </is>
      </c>
      <c r="B2303" t="inlineStr">
        <is>
          <t>2025-07-17 15:13:00</t>
        </is>
      </c>
      <c r="C2303" t="inlineStr">
        <is>
          <t>Organic Search</t>
        </is>
      </c>
      <c r="D2303" t="inlineStr">
        <is>
          <t>Study Abroad Prep</t>
        </is>
      </c>
      <c r="E2303" t="inlineStr">
        <is>
          <t>International</t>
        </is>
      </c>
      <c r="F2303" t="inlineStr">
        <is>
          <t>Rep_15</t>
        </is>
      </c>
      <c r="G2303" t="n">
        <v>2.3</v>
      </c>
      <c r="H2303" t="inlineStr">
        <is>
          <t>Contacted</t>
        </is>
      </c>
      <c r="I2303" t="inlineStr">
        <is>
          <t>Open</t>
        </is>
      </c>
      <c r="M2303">
        <f>VLOOKUP(H2303,'Stage Order'!$A$2:$B$8,2,FALSE)</f>
        <v/>
      </c>
      <c r="N2303">
        <f>IF(G2303&lt;=1,"1. Under 1 hour",IF(G2303&lt;=24,"2. 1-24 hours",IF(G2303&lt;=72,"3. 1-3 days","4. Over 3 days")))</f>
        <v/>
      </c>
      <c r="O2303">
        <f>TEXT(B2303,"YYYY-MM")</f>
        <v/>
      </c>
    </row>
    <row r="2304">
      <c r="A2304" t="inlineStr">
        <is>
          <t>LD-302302</t>
        </is>
      </c>
      <c r="B2304" t="inlineStr">
        <is>
          <t>2026-06-12 07:25:00</t>
        </is>
      </c>
      <c r="C2304" t="inlineStr">
        <is>
          <t>Social Media</t>
        </is>
      </c>
      <c r="D2304" t="inlineStr">
        <is>
          <t>K-12 Math</t>
        </is>
      </c>
      <c r="E2304" t="inlineStr">
        <is>
          <t>South Region</t>
        </is>
      </c>
      <c r="F2304" t="inlineStr">
        <is>
          <t>Rep_07</t>
        </is>
      </c>
      <c r="G2304" t="n">
        <v>5.1</v>
      </c>
      <c r="H2304" t="inlineStr">
        <is>
          <t>Lead</t>
        </is>
      </c>
      <c r="I2304" t="inlineStr">
        <is>
          <t>Open</t>
        </is>
      </c>
      <c r="M2304">
        <f>VLOOKUP(H2304,'Stage Order'!$A$2:$B$8,2,FALSE)</f>
        <v/>
      </c>
      <c r="N2304">
        <f>IF(G2304&lt;=1,"1. Under 1 hour",IF(G2304&lt;=24,"2. 1-24 hours",IF(G2304&lt;=72,"3. 1-3 days","4. Over 3 days")))</f>
        <v/>
      </c>
      <c r="O2304">
        <f>TEXT(B2304,"YYYY-MM")</f>
        <v/>
      </c>
    </row>
    <row r="2305">
      <c r="A2305" t="inlineStr">
        <is>
          <t>LD-302303</t>
        </is>
      </c>
      <c r="B2305" t="inlineStr">
        <is>
          <t>2025-07-13 17:13:00</t>
        </is>
      </c>
      <c r="C2305" t="inlineStr">
        <is>
          <t>Organic Search</t>
        </is>
      </c>
      <c r="D2305" t="inlineStr">
        <is>
          <t>Language Learning</t>
        </is>
      </c>
      <c r="E2305" t="inlineStr">
        <is>
          <t>East Region</t>
        </is>
      </c>
      <c r="F2305" t="inlineStr">
        <is>
          <t>Rep_04</t>
        </is>
      </c>
      <c r="G2305" t="n">
        <v>10.27</v>
      </c>
      <c r="H2305" t="inlineStr">
        <is>
          <t>Contacted</t>
        </is>
      </c>
      <c r="I2305" t="inlineStr">
        <is>
          <t>Open</t>
        </is>
      </c>
      <c r="M2305">
        <f>VLOOKUP(H2305,'Stage Order'!$A$2:$B$8,2,FALSE)</f>
        <v/>
      </c>
      <c r="N2305">
        <f>IF(G2305&lt;=1,"1. Under 1 hour",IF(G2305&lt;=24,"2. 1-24 hours",IF(G2305&lt;=72,"3. 1-3 days","4. Over 3 days")))</f>
        <v/>
      </c>
      <c r="O2305">
        <f>TEXT(B2305,"YYYY-MM")</f>
        <v/>
      </c>
    </row>
    <row r="2306">
      <c r="A2306" t="inlineStr">
        <is>
          <t>LD-302304</t>
        </is>
      </c>
      <c r="B2306" t="inlineStr">
        <is>
          <t>2025-06-12 08:06:00</t>
        </is>
      </c>
      <c r="C2306" t="inlineStr">
        <is>
          <t>Paid Search</t>
        </is>
      </c>
      <c r="D2306" t="inlineStr">
        <is>
          <t>K-12 Math</t>
        </is>
      </c>
      <c r="E2306" t="inlineStr">
        <is>
          <t>West Region</t>
        </is>
      </c>
      <c r="F2306" t="inlineStr">
        <is>
          <t>Rep_13</t>
        </is>
      </c>
      <c r="G2306" t="n">
        <v>5.04</v>
      </c>
      <c r="H2306" t="inlineStr">
        <is>
          <t>Lead</t>
        </is>
      </c>
      <c r="I2306" t="inlineStr">
        <is>
          <t>Open</t>
        </is>
      </c>
      <c r="M2306">
        <f>VLOOKUP(H2306,'Stage Order'!$A$2:$B$8,2,FALSE)</f>
        <v/>
      </c>
      <c r="N2306">
        <f>IF(G2306&lt;=1,"1. Under 1 hour",IF(G2306&lt;=24,"2. 1-24 hours",IF(G2306&lt;=72,"3. 1-3 days","4. Over 3 days")))</f>
        <v/>
      </c>
      <c r="O2306">
        <f>TEXT(B2306,"YYYY-MM")</f>
        <v/>
      </c>
    </row>
    <row r="2307">
      <c r="A2307" t="inlineStr">
        <is>
          <t>LD-302305</t>
        </is>
      </c>
      <c r="B2307" t="inlineStr">
        <is>
          <t>2026-05-02 17:10:00</t>
        </is>
      </c>
      <c r="C2307" t="inlineStr">
        <is>
          <t>Paid Search</t>
        </is>
      </c>
      <c r="D2307" t="inlineStr">
        <is>
          <t>Language Learning</t>
        </is>
      </c>
      <c r="E2307" t="inlineStr">
        <is>
          <t>West Region</t>
        </is>
      </c>
      <c r="F2307" t="inlineStr">
        <is>
          <t>Rep_13</t>
        </is>
      </c>
      <c r="G2307" t="n">
        <v>16.24</v>
      </c>
      <c r="H2307" t="inlineStr">
        <is>
          <t>Negotiation</t>
        </is>
      </c>
      <c r="I2307" t="inlineStr">
        <is>
          <t>Lost</t>
        </is>
      </c>
      <c r="J2307" t="inlineStr">
        <is>
          <t>Bad Timing</t>
        </is>
      </c>
      <c r="K2307" t="n">
        <v>392.57</v>
      </c>
      <c r="L2307" t="inlineStr">
        <is>
          <t>2026-06-19 20:02:49.397014</t>
        </is>
      </c>
      <c r="M2307">
        <f>VLOOKUP(H2307,'Stage Order'!$A$2:$B$8,2,FALSE)</f>
        <v/>
      </c>
      <c r="N2307">
        <f>IF(G2307&lt;=1,"1. Under 1 hour",IF(G2307&lt;=24,"2. 1-24 hours",IF(G2307&lt;=72,"3. 1-3 days","4. Over 3 days")))</f>
        <v/>
      </c>
      <c r="O2307">
        <f>TEXT(B2307,"YYYY-MM")</f>
        <v/>
      </c>
    </row>
    <row r="2308">
      <c r="A2308" t="inlineStr">
        <is>
          <t>LD-302306</t>
        </is>
      </c>
      <c r="B2308" t="inlineStr">
        <is>
          <t>2026-04-07 20:58:00</t>
        </is>
      </c>
      <c r="C2308" t="inlineStr">
        <is>
          <t>Cold Outreach</t>
        </is>
      </c>
      <c r="D2308" t="inlineStr">
        <is>
          <t>Competitive Exam Prep</t>
        </is>
      </c>
      <c r="E2308" t="inlineStr">
        <is>
          <t>North Region</t>
        </is>
      </c>
      <c r="F2308" t="inlineStr">
        <is>
          <t>Rep_06</t>
        </is>
      </c>
      <c r="G2308" t="n">
        <v>0.36</v>
      </c>
      <c r="H2308" t="inlineStr">
        <is>
          <t>Lead</t>
        </is>
      </c>
      <c r="I2308" t="inlineStr">
        <is>
          <t>Open</t>
        </is>
      </c>
      <c r="M2308">
        <f>VLOOKUP(H2308,'Stage Order'!$A$2:$B$8,2,FALSE)</f>
        <v/>
      </c>
      <c r="N2308">
        <f>IF(G2308&lt;=1,"1. Under 1 hour",IF(G2308&lt;=24,"2. 1-24 hours",IF(G2308&lt;=72,"3. 1-3 days","4. Over 3 days")))</f>
        <v/>
      </c>
      <c r="O2308">
        <f>TEXT(B2308,"YYYY-MM")</f>
        <v/>
      </c>
    </row>
    <row r="2309">
      <c r="A2309" t="inlineStr">
        <is>
          <t>LD-302307</t>
        </is>
      </c>
      <c r="B2309" t="inlineStr">
        <is>
          <t>2026-03-13 15:43:00</t>
        </is>
      </c>
      <c r="C2309" t="inlineStr">
        <is>
          <t>Organic Search</t>
        </is>
      </c>
      <c r="D2309" t="inlineStr">
        <is>
          <t>K-12 Math</t>
        </is>
      </c>
      <c r="E2309" t="inlineStr">
        <is>
          <t>International</t>
        </is>
      </c>
      <c r="F2309" t="inlineStr">
        <is>
          <t>Rep_10</t>
        </is>
      </c>
      <c r="G2309" t="n">
        <v>2.9</v>
      </c>
      <c r="H2309" t="inlineStr">
        <is>
          <t>Contacted</t>
        </is>
      </c>
      <c r="I2309" t="inlineStr">
        <is>
          <t>Open</t>
        </is>
      </c>
      <c r="M2309">
        <f>VLOOKUP(H2309,'Stage Order'!$A$2:$B$8,2,FALSE)</f>
        <v/>
      </c>
      <c r="N2309">
        <f>IF(G2309&lt;=1,"1. Under 1 hour",IF(G2309&lt;=24,"2. 1-24 hours",IF(G2309&lt;=72,"3. 1-3 days","4. Over 3 days")))</f>
        <v/>
      </c>
      <c r="O2309">
        <f>TEXT(B2309,"YYYY-MM")</f>
        <v/>
      </c>
    </row>
    <row r="2310">
      <c r="A2310" t="inlineStr">
        <is>
          <t>LD-302308</t>
        </is>
      </c>
      <c r="B2310" t="inlineStr">
        <is>
          <t>2025-09-10 17:58:00</t>
        </is>
      </c>
      <c r="C2310" t="inlineStr">
        <is>
          <t>Webinar</t>
        </is>
      </c>
      <c r="D2310" t="inlineStr">
        <is>
          <t>Coding for Kids</t>
        </is>
      </c>
      <c r="E2310" t="inlineStr">
        <is>
          <t>West Region</t>
        </is>
      </c>
      <c r="F2310" t="inlineStr">
        <is>
          <t>Rep_03</t>
        </is>
      </c>
      <c r="G2310" t="n">
        <v>2.34</v>
      </c>
      <c r="H2310" t="inlineStr">
        <is>
          <t>Contacted</t>
        </is>
      </c>
      <c r="I2310" t="inlineStr">
        <is>
          <t>Open</t>
        </is>
      </c>
      <c r="M2310">
        <f>VLOOKUP(H2310,'Stage Order'!$A$2:$B$8,2,FALSE)</f>
        <v/>
      </c>
      <c r="N2310">
        <f>IF(G2310&lt;=1,"1. Under 1 hour",IF(G2310&lt;=24,"2. 1-24 hours",IF(G2310&lt;=72,"3. 1-3 days","4. Over 3 days")))</f>
        <v/>
      </c>
      <c r="O2310">
        <f>TEXT(B2310,"YYYY-MM")</f>
        <v/>
      </c>
    </row>
    <row r="2311">
      <c r="A2311" t="inlineStr">
        <is>
          <t>LD-302309</t>
        </is>
      </c>
      <c r="B2311" t="inlineStr">
        <is>
          <t>2025-09-26 19:48:00</t>
        </is>
      </c>
      <c r="C2311" t="inlineStr">
        <is>
          <t>Partner Channel</t>
        </is>
      </c>
      <c r="D2311" t="inlineStr">
        <is>
          <t>Competitive Exam Prep</t>
        </is>
      </c>
      <c r="E2311" t="inlineStr">
        <is>
          <t>North Region</t>
        </is>
      </c>
      <c r="F2311" t="inlineStr">
        <is>
          <t>Rep_06</t>
        </is>
      </c>
      <c r="G2311" t="n">
        <v>1.83</v>
      </c>
      <c r="H2311" t="inlineStr">
        <is>
          <t>Negotiation</t>
        </is>
      </c>
      <c r="I2311" t="inlineStr">
        <is>
          <t>Lost</t>
        </is>
      </c>
      <c r="J2311" t="inlineStr">
        <is>
          <t>Price Objection</t>
        </is>
      </c>
      <c r="K2311" t="n">
        <v>857.63</v>
      </c>
      <c r="L2311" t="inlineStr">
        <is>
          <t>2025-11-06 19:39:32.662099</t>
        </is>
      </c>
      <c r="M2311">
        <f>VLOOKUP(H2311,'Stage Order'!$A$2:$B$8,2,FALSE)</f>
        <v/>
      </c>
      <c r="N2311">
        <f>IF(G2311&lt;=1,"1. Under 1 hour",IF(G2311&lt;=24,"2. 1-24 hours",IF(G2311&lt;=72,"3. 1-3 days","4. Over 3 days")))</f>
        <v/>
      </c>
      <c r="O2311">
        <f>TEXT(B2311,"YYYY-MM")</f>
        <v/>
      </c>
    </row>
    <row r="2312">
      <c r="A2312" t="inlineStr">
        <is>
          <t>LD-302310</t>
        </is>
      </c>
      <c r="B2312" t="inlineStr">
        <is>
          <t>2026-01-11 10:34:00</t>
        </is>
      </c>
      <c r="C2312" t="inlineStr">
        <is>
          <t>Social Media</t>
        </is>
      </c>
      <c r="D2312" t="inlineStr">
        <is>
          <t>K-12 Math</t>
        </is>
      </c>
      <c r="E2312" t="inlineStr">
        <is>
          <t>West Region</t>
        </is>
      </c>
      <c r="F2312" t="inlineStr">
        <is>
          <t>Rep_13</t>
        </is>
      </c>
      <c r="G2312" t="n">
        <v>3.45</v>
      </c>
      <c r="H2312" t="inlineStr">
        <is>
          <t>Demo Scheduled</t>
        </is>
      </c>
      <c r="I2312" t="inlineStr">
        <is>
          <t>Open</t>
        </is>
      </c>
      <c r="M2312">
        <f>VLOOKUP(H2312,'Stage Order'!$A$2:$B$8,2,FALSE)</f>
        <v/>
      </c>
      <c r="N2312">
        <f>IF(G2312&lt;=1,"1. Under 1 hour",IF(G2312&lt;=24,"2. 1-24 hours",IF(G2312&lt;=72,"3. 1-3 days","4. Over 3 days")))</f>
        <v/>
      </c>
      <c r="O2312">
        <f>TEXT(B2312,"YYYY-MM")</f>
        <v/>
      </c>
    </row>
    <row r="2313">
      <c r="A2313" t="inlineStr">
        <is>
          <t>LD-302311</t>
        </is>
      </c>
      <c r="B2313" t="inlineStr">
        <is>
          <t>2025-05-02 14:40:00</t>
        </is>
      </c>
      <c r="C2313" t="inlineStr">
        <is>
          <t>Referral</t>
        </is>
      </c>
      <c r="D2313" t="inlineStr">
        <is>
          <t>Study Abroad Prep</t>
        </is>
      </c>
      <c r="E2313" t="inlineStr">
        <is>
          <t>North Region</t>
        </is>
      </c>
      <c r="F2313" t="inlineStr">
        <is>
          <t>Rep_11</t>
        </is>
      </c>
      <c r="G2313" t="n">
        <v>1.01</v>
      </c>
      <c r="H2313" t="inlineStr">
        <is>
          <t>Closed</t>
        </is>
      </c>
      <c r="I2313" t="inlineStr">
        <is>
          <t>Won</t>
        </is>
      </c>
      <c r="K2313" t="n">
        <v>1414.67</v>
      </c>
      <c r="L2313" t="inlineStr">
        <is>
          <t>2025-06-08 00:07:04.821129</t>
        </is>
      </c>
      <c r="M2313">
        <f>VLOOKUP(H2313,'Stage Order'!$A$2:$B$8,2,FALSE)</f>
        <v/>
      </c>
      <c r="N2313">
        <f>IF(G2313&lt;=1,"1. Under 1 hour",IF(G2313&lt;=24,"2. 1-24 hours",IF(G2313&lt;=72,"3. 1-3 days","4. Over 3 days")))</f>
        <v/>
      </c>
      <c r="O2313">
        <f>TEXT(B2313,"YYYY-MM")</f>
        <v/>
      </c>
    </row>
    <row r="2314">
      <c r="A2314" t="inlineStr">
        <is>
          <t>LD-302312</t>
        </is>
      </c>
      <c r="B2314" t="inlineStr">
        <is>
          <t>2025-11-13 08:50:00</t>
        </is>
      </c>
      <c r="C2314" t="inlineStr">
        <is>
          <t>Organic Search</t>
        </is>
      </c>
      <c r="D2314" t="inlineStr">
        <is>
          <t>Competitive Exam Prep</t>
        </is>
      </c>
      <c r="E2314" t="inlineStr">
        <is>
          <t>East Region</t>
        </is>
      </c>
      <c r="F2314" t="inlineStr">
        <is>
          <t>Rep_04</t>
        </is>
      </c>
      <c r="G2314" t="n">
        <v>2.19</v>
      </c>
      <c r="H2314" t="inlineStr">
        <is>
          <t>Contacted</t>
        </is>
      </c>
      <c r="I2314" t="inlineStr">
        <is>
          <t>Open</t>
        </is>
      </c>
      <c r="M2314">
        <f>VLOOKUP(H2314,'Stage Order'!$A$2:$B$8,2,FALSE)</f>
        <v/>
      </c>
      <c r="N2314">
        <f>IF(G2314&lt;=1,"1. Under 1 hour",IF(G2314&lt;=24,"2. 1-24 hours",IF(G2314&lt;=72,"3. 1-3 days","4. Over 3 days")))</f>
        <v/>
      </c>
      <c r="O2314">
        <f>TEXT(B2314,"YYYY-MM")</f>
        <v/>
      </c>
    </row>
    <row r="2315">
      <c r="A2315" t="inlineStr">
        <is>
          <t>LD-302313</t>
        </is>
      </c>
      <c r="B2315" t="inlineStr">
        <is>
          <t>2026-01-11 18:09:00</t>
        </is>
      </c>
      <c r="C2315" t="inlineStr">
        <is>
          <t>Organic Search</t>
        </is>
      </c>
      <c r="D2315" t="inlineStr">
        <is>
          <t>Coding for Kids</t>
        </is>
      </c>
      <c r="E2315" t="inlineStr">
        <is>
          <t>International</t>
        </is>
      </c>
      <c r="F2315" t="inlineStr">
        <is>
          <t>Rep_15</t>
        </is>
      </c>
      <c r="G2315" t="n">
        <v>7.53</v>
      </c>
      <c r="H2315" t="inlineStr">
        <is>
          <t>Closed</t>
        </is>
      </c>
      <c r="I2315" t="inlineStr">
        <is>
          <t>Won</t>
        </is>
      </c>
      <c r="K2315" t="n">
        <v>577.47</v>
      </c>
      <c r="L2315" t="inlineStr">
        <is>
          <t>2026-02-20 04:23:14.207961</t>
        </is>
      </c>
      <c r="M2315">
        <f>VLOOKUP(H2315,'Stage Order'!$A$2:$B$8,2,FALSE)</f>
        <v/>
      </c>
      <c r="N2315">
        <f>IF(G2315&lt;=1,"1. Under 1 hour",IF(G2315&lt;=24,"2. 1-24 hours",IF(G2315&lt;=72,"3. 1-3 days","4. Over 3 days")))</f>
        <v/>
      </c>
      <c r="O2315">
        <f>TEXT(B2315,"YYYY-MM")</f>
        <v/>
      </c>
    </row>
    <row r="2316">
      <c r="A2316" t="inlineStr">
        <is>
          <t>LD-302314</t>
        </is>
      </c>
      <c r="B2316" t="inlineStr">
        <is>
          <t>2025-05-16 07:31:00</t>
        </is>
      </c>
      <c r="C2316" t="inlineStr">
        <is>
          <t>Referral</t>
        </is>
      </c>
      <c r="D2316" t="inlineStr">
        <is>
          <t>Coding for Kids</t>
        </is>
      </c>
      <c r="E2316" t="inlineStr">
        <is>
          <t>South Region</t>
        </is>
      </c>
      <c r="F2316" t="inlineStr">
        <is>
          <t>Rep_12</t>
        </is>
      </c>
      <c r="G2316" t="n">
        <v>4.76</v>
      </c>
      <c r="H2316" t="inlineStr">
        <is>
          <t>Closed</t>
        </is>
      </c>
      <c r="I2316" t="inlineStr">
        <is>
          <t>Won</t>
        </is>
      </c>
      <c r="K2316" t="n">
        <v>552.64</v>
      </c>
      <c r="L2316" t="inlineStr">
        <is>
          <t>2025-06-20 21:36:08.894473</t>
        </is>
      </c>
      <c r="M2316">
        <f>VLOOKUP(H2316,'Stage Order'!$A$2:$B$8,2,FALSE)</f>
        <v/>
      </c>
      <c r="N2316">
        <f>IF(G2316&lt;=1,"1. Under 1 hour",IF(G2316&lt;=24,"2. 1-24 hours",IF(G2316&lt;=72,"3. 1-3 days","4. Over 3 days")))</f>
        <v/>
      </c>
      <c r="O2316">
        <f>TEXT(B2316,"YYYY-MM")</f>
        <v/>
      </c>
    </row>
    <row r="2317">
      <c r="A2317" t="inlineStr">
        <is>
          <t>LD-302315</t>
        </is>
      </c>
      <c r="B2317" t="inlineStr">
        <is>
          <t>2026-04-25 16:51:00</t>
        </is>
      </c>
      <c r="C2317" t="inlineStr">
        <is>
          <t>Paid Search</t>
        </is>
      </c>
      <c r="D2317" t="inlineStr">
        <is>
          <t>Coding for Kids</t>
        </is>
      </c>
      <c r="E2317" t="inlineStr">
        <is>
          <t>North Region</t>
        </is>
      </c>
      <c r="F2317" t="inlineStr">
        <is>
          <t>Rep_11</t>
        </is>
      </c>
      <c r="G2317" t="n">
        <v>3.91</v>
      </c>
      <c r="H2317" t="inlineStr">
        <is>
          <t>Contacted</t>
        </is>
      </c>
      <c r="I2317" t="inlineStr">
        <is>
          <t>Open</t>
        </is>
      </c>
      <c r="M2317">
        <f>VLOOKUP(H2317,'Stage Order'!$A$2:$B$8,2,FALSE)</f>
        <v/>
      </c>
      <c r="N2317">
        <f>IF(G2317&lt;=1,"1. Under 1 hour",IF(G2317&lt;=24,"2. 1-24 hours",IF(G2317&lt;=72,"3. 1-3 days","4. Over 3 days")))</f>
        <v/>
      </c>
      <c r="O2317">
        <f>TEXT(B2317,"YYYY-MM")</f>
        <v/>
      </c>
    </row>
    <row r="2318">
      <c r="A2318" t="inlineStr">
        <is>
          <t>LD-302316</t>
        </is>
      </c>
      <c r="B2318" t="inlineStr">
        <is>
          <t>2025-02-22 13:39:00</t>
        </is>
      </c>
      <c r="C2318" t="inlineStr">
        <is>
          <t>Referral</t>
        </is>
      </c>
      <c r="D2318" t="inlineStr">
        <is>
          <t>Competitive Exam Prep</t>
        </is>
      </c>
      <c r="E2318" t="inlineStr">
        <is>
          <t>West Region</t>
        </is>
      </c>
      <c r="F2318" t="inlineStr">
        <is>
          <t>Rep_08</t>
        </is>
      </c>
      <c r="G2318" t="n">
        <v>1.17</v>
      </c>
      <c r="H2318" t="inlineStr">
        <is>
          <t>Closed</t>
        </is>
      </c>
      <c r="I2318" t="inlineStr">
        <is>
          <t>Won</t>
        </is>
      </c>
      <c r="K2318" t="n">
        <v>1157.52</v>
      </c>
      <c r="L2318" t="inlineStr">
        <is>
          <t>2025-03-28 01:00:52.774816</t>
        </is>
      </c>
      <c r="M2318">
        <f>VLOOKUP(H2318,'Stage Order'!$A$2:$B$8,2,FALSE)</f>
        <v/>
      </c>
      <c r="N2318">
        <f>IF(G2318&lt;=1,"1. Under 1 hour",IF(G2318&lt;=24,"2. 1-24 hours",IF(G2318&lt;=72,"3. 1-3 days","4. Over 3 days")))</f>
        <v/>
      </c>
      <c r="O2318">
        <f>TEXT(B2318,"YYYY-MM")</f>
        <v/>
      </c>
    </row>
    <row r="2319">
      <c r="A2319" t="inlineStr">
        <is>
          <t>LD-302317</t>
        </is>
      </c>
      <c r="B2319" t="inlineStr">
        <is>
          <t>2025-07-18 17:08:00</t>
        </is>
      </c>
      <c r="C2319" t="inlineStr">
        <is>
          <t>Cold Outreach</t>
        </is>
      </c>
      <c r="D2319" t="inlineStr">
        <is>
          <t>K-12 Math</t>
        </is>
      </c>
      <c r="E2319" t="inlineStr">
        <is>
          <t>West Region</t>
        </is>
      </c>
      <c r="F2319" t="inlineStr">
        <is>
          <t>Rep_08</t>
        </is>
      </c>
      <c r="G2319" t="n">
        <v>30.96</v>
      </c>
      <c r="H2319" t="inlineStr">
        <is>
          <t>Negotiation</t>
        </is>
      </c>
      <c r="I2319" t="inlineStr">
        <is>
          <t>Lost</t>
        </is>
      </c>
      <c r="J2319" t="inlineStr">
        <is>
          <t>Price Objection</t>
        </is>
      </c>
      <c r="K2319" t="n">
        <v>449.45</v>
      </c>
      <c r="L2319" t="inlineStr">
        <is>
          <t>2025-09-10 23:56:40.819101</t>
        </is>
      </c>
      <c r="M2319">
        <f>VLOOKUP(H2319,'Stage Order'!$A$2:$B$8,2,FALSE)</f>
        <v/>
      </c>
      <c r="N2319">
        <f>IF(G2319&lt;=1,"1. Under 1 hour",IF(G2319&lt;=24,"2. 1-24 hours",IF(G2319&lt;=72,"3. 1-3 days","4. Over 3 days")))</f>
        <v/>
      </c>
      <c r="O2319">
        <f>TEXT(B2319,"YYYY-MM")</f>
        <v/>
      </c>
    </row>
    <row r="2320">
      <c r="A2320" t="inlineStr">
        <is>
          <t>LD-302318</t>
        </is>
      </c>
      <c r="B2320" t="inlineStr">
        <is>
          <t>2025-08-08 07:15:00</t>
        </is>
      </c>
      <c r="C2320" t="inlineStr">
        <is>
          <t>Referral</t>
        </is>
      </c>
      <c r="D2320" t="inlineStr">
        <is>
          <t>Study Abroad Prep</t>
        </is>
      </c>
      <c r="E2320" t="inlineStr">
        <is>
          <t>International</t>
        </is>
      </c>
      <c r="F2320" t="inlineStr">
        <is>
          <t>Rep_05</t>
        </is>
      </c>
      <c r="G2320" t="n">
        <v>4.75</v>
      </c>
      <c r="H2320" t="inlineStr">
        <is>
          <t>Closed</t>
        </is>
      </c>
      <c r="I2320" t="inlineStr">
        <is>
          <t>Won</t>
        </is>
      </c>
      <c r="K2320" t="n">
        <v>1358.09</v>
      </c>
      <c r="L2320" t="inlineStr">
        <is>
          <t>2025-09-20 15:22:10.811013</t>
        </is>
      </c>
      <c r="M2320">
        <f>VLOOKUP(H2320,'Stage Order'!$A$2:$B$8,2,FALSE)</f>
        <v/>
      </c>
      <c r="N2320">
        <f>IF(G2320&lt;=1,"1. Under 1 hour",IF(G2320&lt;=24,"2. 1-24 hours",IF(G2320&lt;=72,"3. 1-3 days","4. Over 3 days")))</f>
        <v/>
      </c>
      <c r="O2320">
        <f>TEXT(B2320,"YYYY-MM")</f>
        <v/>
      </c>
    </row>
    <row r="2321">
      <c r="A2321" t="inlineStr">
        <is>
          <t>LD-302319</t>
        </is>
      </c>
      <c r="B2321" t="inlineStr">
        <is>
          <t>2025-08-08 08:03:00</t>
        </is>
      </c>
      <c r="C2321" t="inlineStr">
        <is>
          <t>Organic Search</t>
        </is>
      </c>
      <c r="D2321" t="inlineStr">
        <is>
          <t>K-12 Math</t>
        </is>
      </c>
      <c r="E2321" t="inlineStr">
        <is>
          <t>South Region</t>
        </is>
      </c>
      <c r="F2321" t="inlineStr">
        <is>
          <t>Rep_07</t>
        </is>
      </c>
      <c r="G2321" t="n">
        <v>9.42</v>
      </c>
      <c r="H2321" t="inlineStr">
        <is>
          <t>Closed</t>
        </is>
      </c>
      <c r="I2321" t="inlineStr">
        <is>
          <t>Won</t>
        </is>
      </c>
      <c r="K2321" t="n">
        <v>493.16</v>
      </c>
      <c r="L2321" t="inlineStr">
        <is>
          <t>2025-09-06 04:04:27.932095</t>
        </is>
      </c>
      <c r="M2321">
        <f>VLOOKUP(H2321,'Stage Order'!$A$2:$B$8,2,FALSE)</f>
        <v/>
      </c>
      <c r="N2321">
        <f>IF(G2321&lt;=1,"1. Under 1 hour",IF(G2321&lt;=24,"2. 1-24 hours",IF(G2321&lt;=72,"3. 1-3 days","4. Over 3 days")))</f>
        <v/>
      </c>
      <c r="O2321">
        <f>TEXT(B2321,"YYYY-MM")</f>
        <v/>
      </c>
    </row>
    <row r="2322">
      <c r="A2322" t="inlineStr">
        <is>
          <t>LD-302320</t>
        </is>
      </c>
      <c r="B2322" t="inlineStr">
        <is>
          <t>2026-01-07 12:41:00</t>
        </is>
      </c>
      <c r="C2322" t="inlineStr">
        <is>
          <t>Webinar</t>
        </is>
      </c>
      <c r="D2322" t="inlineStr">
        <is>
          <t>K-12 Math</t>
        </is>
      </c>
      <c r="E2322" t="inlineStr">
        <is>
          <t>East Region</t>
        </is>
      </c>
      <c r="F2322" t="inlineStr">
        <is>
          <t>Rep_14</t>
        </is>
      </c>
      <c r="G2322" t="n">
        <v>1.22</v>
      </c>
      <c r="H2322" t="inlineStr">
        <is>
          <t>Closed</t>
        </is>
      </c>
      <c r="I2322" t="inlineStr">
        <is>
          <t>Won</t>
        </is>
      </c>
      <c r="K2322" t="n">
        <v>444.31</v>
      </c>
      <c r="L2322" t="inlineStr">
        <is>
          <t>2026-02-09 08:50:28.602896</t>
        </is>
      </c>
      <c r="M2322">
        <f>VLOOKUP(H2322,'Stage Order'!$A$2:$B$8,2,FALSE)</f>
        <v/>
      </c>
      <c r="N2322">
        <f>IF(G2322&lt;=1,"1. Under 1 hour",IF(G2322&lt;=24,"2. 1-24 hours",IF(G2322&lt;=72,"3. 1-3 days","4. Over 3 days")))</f>
        <v/>
      </c>
      <c r="O2322">
        <f>TEXT(B2322,"YYYY-MM")</f>
        <v/>
      </c>
    </row>
    <row r="2323">
      <c r="A2323" t="inlineStr">
        <is>
          <t>LD-302321</t>
        </is>
      </c>
      <c r="B2323" t="inlineStr">
        <is>
          <t>2025-12-04 20:04:00</t>
        </is>
      </c>
      <c r="C2323" t="inlineStr">
        <is>
          <t>Referral</t>
        </is>
      </c>
      <c r="D2323" t="inlineStr">
        <is>
          <t>Study Abroad Prep</t>
        </is>
      </c>
      <c r="E2323" t="inlineStr">
        <is>
          <t>West Region</t>
        </is>
      </c>
      <c r="F2323" t="inlineStr">
        <is>
          <t>Rep_13</t>
        </is>
      </c>
      <c r="G2323" t="n">
        <v>12.18</v>
      </c>
      <c r="H2323" t="inlineStr">
        <is>
          <t>Contacted</t>
        </is>
      </c>
      <c r="I2323" t="inlineStr">
        <is>
          <t>Open</t>
        </is>
      </c>
      <c r="M2323">
        <f>VLOOKUP(H2323,'Stage Order'!$A$2:$B$8,2,FALSE)</f>
        <v/>
      </c>
      <c r="N2323">
        <f>IF(G2323&lt;=1,"1. Under 1 hour",IF(G2323&lt;=24,"2. 1-24 hours",IF(G2323&lt;=72,"3. 1-3 days","4. Over 3 days")))</f>
        <v/>
      </c>
      <c r="O2323">
        <f>TEXT(B2323,"YYYY-MM")</f>
        <v/>
      </c>
    </row>
    <row r="2324">
      <c r="A2324" t="inlineStr">
        <is>
          <t>LD-302322</t>
        </is>
      </c>
      <c r="B2324" t="inlineStr">
        <is>
          <t>2026-05-21 17:20:00</t>
        </is>
      </c>
      <c r="C2324" t="inlineStr">
        <is>
          <t>Social Media</t>
        </is>
      </c>
      <c r="D2324" t="inlineStr">
        <is>
          <t>K-12 Math</t>
        </is>
      </c>
      <c r="E2324" t="inlineStr">
        <is>
          <t>West Region</t>
        </is>
      </c>
      <c r="F2324" t="inlineStr">
        <is>
          <t>Rep_13</t>
        </is>
      </c>
      <c r="G2324" t="n">
        <v>0.6899999999999999</v>
      </c>
      <c r="H2324" t="inlineStr">
        <is>
          <t>Proposal Sent</t>
        </is>
      </c>
      <c r="I2324" t="inlineStr">
        <is>
          <t>Lost</t>
        </is>
      </c>
      <c r="J2324" t="inlineStr">
        <is>
          <t>Price Objection</t>
        </is>
      </c>
      <c r="K2324" t="n">
        <v>456.08</v>
      </c>
      <c r="L2324" t="inlineStr">
        <is>
          <t>2026-07-05 17:53:40.962124</t>
        </is>
      </c>
      <c r="M2324">
        <f>VLOOKUP(H2324,'Stage Order'!$A$2:$B$8,2,FALSE)</f>
        <v/>
      </c>
      <c r="N2324">
        <f>IF(G2324&lt;=1,"1. Under 1 hour",IF(G2324&lt;=24,"2. 1-24 hours",IF(G2324&lt;=72,"3. 1-3 days","4. Over 3 days")))</f>
        <v/>
      </c>
      <c r="O2324">
        <f>TEXT(B2324,"YYYY-MM")</f>
        <v/>
      </c>
    </row>
    <row r="2325">
      <c r="A2325" t="inlineStr">
        <is>
          <t>LD-302323</t>
        </is>
      </c>
      <c r="B2325" t="inlineStr">
        <is>
          <t>2025-12-05 16:48:00</t>
        </is>
      </c>
      <c r="C2325" t="inlineStr">
        <is>
          <t>Organic Search</t>
        </is>
      </c>
      <c r="D2325" t="inlineStr">
        <is>
          <t>Coding for Kids</t>
        </is>
      </c>
      <c r="E2325" t="inlineStr">
        <is>
          <t>East Region</t>
        </is>
      </c>
      <c r="F2325" t="inlineStr">
        <is>
          <t>Rep_09</t>
        </is>
      </c>
      <c r="G2325" t="n">
        <v>1.95</v>
      </c>
      <c r="H2325" t="inlineStr">
        <is>
          <t>Proposal Sent</t>
        </is>
      </c>
      <c r="I2325" t="inlineStr">
        <is>
          <t>Lost</t>
        </is>
      </c>
      <c r="J2325" t="inlineStr">
        <is>
          <t>Budget Not Approved</t>
        </is>
      </c>
      <c r="K2325" t="n">
        <v>605.8</v>
      </c>
      <c r="L2325" t="inlineStr">
        <is>
          <t>2025-12-29 10:24:49.947250</t>
        </is>
      </c>
      <c r="M2325">
        <f>VLOOKUP(H2325,'Stage Order'!$A$2:$B$8,2,FALSE)</f>
        <v/>
      </c>
      <c r="N2325">
        <f>IF(G2325&lt;=1,"1. Under 1 hour",IF(G2325&lt;=24,"2. 1-24 hours",IF(G2325&lt;=72,"3. 1-3 days","4. Over 3 days")))</f>
        <v/>
      </c>
      <c r="O2325">
        <f>TEXT(B2325,"YYYY-MM")</f>
        <v/>
      </c>
    </row>
    <row r="2326">
      <c r="A2326" t="inlineStr">
        <is>
          <t>LD-302324</t>
        </is>
      </c>
      <c r="B2326" t="inlineStr">
        <is>
          <t>2025-03-13 13:41:00</t>
        </is>
      </c>
      <c r="C2326" t="inlineStr">
        <is>
          <t>Webinar</t>
        </is>
      </c>
      <c r="D2326" t="inlineStr">
        <is>
          <t>Study Abroad Prep</t>
        </is>
      </c>
      <c r="E2326" t="inlineStr">
        <is>
          <t>North Region</t>
        </is>
      </c>
      <c r="F2326" t="inlineStr">
        <is>
          <t>Rep_11</t>
        </is>
      </c>
      <c r="G2326" t="n">
        <v>4.11</v>
      </c>
      <c r="H2326" t="inlineStr">
        <is>
          <t>Closed</t>
        </is>
      </c>
      <c r="I2326" t="inlineStr">
        <is>
          <t>Won</t>
        </is>
      </c>
      <c r="K2326" t="n">
        <v>1532.81</v>
      </c>
      <c r="L2326" t="inlineStr">
        <is>
          <t>2025-04-19 11:44:48.758535</t>
        </is>
      </c>
      <c r="M2326">
        <f>VLOOKUP(H2326,'Stage Order'!$A$2:$B$8,2,FALSE)</f>
        <v/>
      </c>
      <c r="N2326">
        <f>IF(G2326&lt;=1,"1. Under 1 hour",IF(G2326&lt;=24,"2. 1-24 hours",IF(G2326&lt;=72,"3. 1-3 days","4. Over 3 days")))</f>
        <v/>
      </c>
      <c r="O2326">
        <f>TEXT(B2326,"YYYY-MM")</f>
        <v/>
      </c>
    </row>
    <row r="2327">
      <c r="A2327" t="inlineStr">
        <is>
          <t>LD-302325</t>
        </is>
      </c>
      <c r="B2327" t="inlineStr">
        <is>
          <t>2026-01-11 18:00:00</t>
        </is>
      </c>
      <c r="C2327" t="inlineStr">
        <is>
          <t>Social Media</t>
        </is>
      </c>
      <c r="D2327" t="inlineStr">
        <is>
          <t>Competitive Exam Prep</t>
        </is>
      </c>
      <c r="E2327" t="inlineStr">
        <is>
          <t>South Region</t>
        </is>
      </c>
      <c r="F2327" t="inlineStr">
        <is>
          <t>Rep_02</t>
        </is>
      </c>
      <c r="G2327" t="n">
        <v>14.59</v>
      </c>
      <c r="H2327" t="inlineStr">
        <is>
          <t>Contacted</t>
        </is>
      </c>
      <c r="I2327" t="inlineStr">
        <is>
          <t>Open</t>
        </is>
      </c>
      <c r="M2327">
        <f>VLOOKUP(H2327,'Stage Order'!$A$2:$B$8,2,FALSE)</f>
        <v/>
      </c>
      <c r="N2327">
        <f>IF(G2327&lt;=1,"1. Under 1 hour",IF(G2327&lt;=24,"2. 1-24 hours",IF(G2327&lt;=72,"3. 1-3 days","4. Over 3 days")))</f>
        <v/>
      </c>
      <c r="O2327">
        <f>TEXT(B2327,"YYYY-MM")</f>
        <v/>
      </c>
    </row>
    <row r="2328">
      <c r="A2328" t="inlineStr">
        <is>
          <t>LD-302326</t>
        </is>
      </c>
      <c r="B2328" t="inlineStr">
        <is>
          <t>2025-12-25 15:17:00</t>
        </is>
      </c>
      <c r="C2328" t="inlineStr">
        <is>
          <t>Social Media</t>
        </is>
      </c>
      <c r="D2328" t="inlineStr">
        <is>
          <t>Competitive Exam Prep</t>
        </is>
      </c>
      <c r="E2328" t="inlineStr">
        <is>
          <t>South Region</t>
        </is>
      </c>
      <c r="F2328" t="inlineStr">
        <is>
          <t>Rep_12</t>
        </is>
      </c>
      <c r="G2328" t="n">
        <v>1.33</v>
      </c>
      <c r="H2328" t="inlineStr">
        <is>
          <t>Contacted</t>
        </is>
      </c>
      <c r="I2328" t="inlineStr">
        <is>
          <t>Open</t>
        </is>
      </c>
      <c r="M2328">
        <f>VLOOKUP(H2328,'Stage Order'!$A$2:$B$8,2,FALSE)</f>
        <v/>
      </c>
      <c r="N2328">
        <f>IF(G2328&lt;=1,"1. Under 1 hour",IF(G2328&lt;=24,"2. 1-24 hours",IF(G2328&lt;=72,"3. 1-3 days","4. Over 3 days")))</f>
        <v/>
      </c>
      <c r="O2328">
        <f>TEXT(B2328,"YYYY-MM")</f>
        <v/>
      </c>
    </row>
    <row r="2329">
      <c r="A2329" t="inlineStr">
        <is>
          <t>LD-302327</t>
        </is>
      </c>
      <c r="B2329" t="inlineStr">
        <is>
          <t>2026-06-07 19:49:00</t>
        </is>
      </c>
      <c r="C2329" t="inlineStr">
        <is>
          <t>Partner Channel</t>
        </is>
      </c>
      <c r="D2329" t="inlineStr">
        <is>
          <t>Language Learning</t>
        </is>
      </c>
      <c r="E2329" t="inlineStr">
        <is>
          <t>International</t>
        </is>
      </c>
      <c r="F2329" t="inlineStr">
        <is>
          <t>Rep_15</t>
        </is>
      </c>
      <c r="G2329" t="n">
        <v>3.63</v>
      </c>
      <c r="H2329" t="inlineStr">
        <is>
          <t>Contacted</t>
        </is>
      </c>
      <c r="I2329" t="inlineStr">
        <is>
          <t>Open</t>
        </is>
      </c>
      <c r="M2329">
        <f>VLOOKUP(H2329,'Stage Order'!$A$2:$B$8,2,FALSE)</f>
        <v/>
      </c>
      <c r="N2329">
        <f>IF(G2329&lt;=1,"1. Under 1 hour",IF(G2329&lt;=24,"2. 1-24 hours",IF(G2329&lt;=72,"3. 1-3 days","4. Over 3 days")))</f>
        <v/>
      </c>
      <c r="O2329">
        <f>TEXT(B2329,"YYYY-MM")</f>
        <v/>
      </c>
    </row>
    <row r="2330">
      <c r="A2330" t="inlineStr">
        <is>
          <t>LD-302328</t>
        </is>
      </c>
      <c r="B2330" t="inlineStr">
        <is>
          <t>2025-08-08 07:33:00</t>
        </is>
      </c>
      <c r="C2330" t="inlineStr">
        <is>
          <t>Organic Search</t>
        </is>
      </c>
      <c r="D2330" t="inlineStr">
        <is>
          <t>Coding for Kids</t>
        </is>
      </c>
      <c r="E2330" t="inlineStr">
        <is>
          <t>North Region</t>
        </is>
      </c>
      <c r="F2330" t="inlineStr">
        <is>
          <t>Rep_06</t>
        </is>
      </c>
      <c r="G2330" t="n">
        <v>3.63</v>
      </c>
      <c r="H2330" t="inlineStr">
        <is>
          <t>Contacted</t>
        </is>
      </c>
      <c r="I2330" t="inlineStr">
        <is>
          <t>Open</t>
        </is>
      </c>
      <c r="M2330">
        <f>VLOOKUP(H2330,'Stage Order'!$A$2:$B$8,2,FALSE)</f>
        <v/>
      </c>
      <c r="N2330">
        <f>IF(G2330&lt;=1,"1. Under 1 hour",IF(G2330&lt;=24,"2. 1-24 hours",IF(G2330&lt;=72,"3. 1-3 days","4. Over 3 days")))</f>
        <v/>
      </c>
      <c r="O2330">
        <f>TEXT(B2330,"YYYY-MM")</f>
        <v/>
      </c>
    </row>
    <row r="2331">
      <c r="A2331" t="inlineStr">
        <is>
          <t>LD-302329</t>
        </is>
      </c>
      <c r="B2331" t="inlineStr">
        <is>
          <t>2026-02-16 15:19:00</t>
        </is>
      </c>
      <c r="C2331" t="inlineStr">
        <is>
          <t>Organic Search</t>
        </is>
      </c>
      <c r="D2331" t="inlineStr">
        <is>
          <t>K-12 Math</t>
        </is>
      </c>
      <c r="E2331" t="inlineStr">
        <is>
          <t>East Region</t>
        </is>
      </c>
      <c r="F2331" t="inlineStr">
        <is>
          <t>Rep_04</t>
        </is>
      </c>
      <c r="G2331" t="n">
        <v>2.26</v>
      </c>
      <c r="H2331" t="inlineStr">
        <is>
          <t>Demo Completed</t>
        </is>
      </c>
      <c r="I2331" t="inlineStr">
        <is>
          <t>Lost</t>
        </is>
      </c>
      <c r="J2331" t="inlineStr">
        <is>
          <t>Budget Not Approved</t>
        </is>
      </c>
      <c r="K2331" t="n">
        <v>478.42</v>
      </c>
      <c r="L2331" t="inlineStr">
        <is>
          <t>2026-03-20 20:19:26.588936</t>
        </is>
      </c>
      <c r="M2331">
        <f>VLOOKUP(H2331,'Stage Order'!$A$2:$B$8,2,FALSE)</f>
        <v/>
      </c>
      <c r="N2331">
        <f>IF(G2331&lt;=1,"1. Under 1 hour",IF(G2331&lt;=24,"2. 1-24 hours",IF(G2331&lt;=72,"3. 1-3 days","4. Over 3 days")))</f>
        <v/>
      </c>
      <c r="O2331">
        <f>TEXT(B2331,"YYYY-MM")</f>
        <v/>
      </c>
    </row>
    <row r="2332">
      <c r="A2332" t="inlineStr">
        <is>
          <t>LD-302330</t>
        </is>
      </c>
      <c r="B2332" t="inlineStr">
        <is>
          <t>2025-03-11 17:17:00</t>
        </is>
      </c>
      <c r="C2332" t="inlineStr">
        <is>
          <t>Organic Search</t>
        </is>
      </c>
      <c r="D2332" t="inlineStr">
        <is>
          <t>Competitive Exam Prep</t>
        </is>
      </c>
      <c r="E2332" t="inlineStr">
        <is>
          <t>South Region</t>
        </is>
      </c>
      <c r="F2332" t="inlineStr">
        <is>
          <t>Rep_07</t>
        </is>
      </c>
      <c r="G2332" t="n">
        <v>3.54</v>
      </c>
      <c r="H2332" t="inlineStr">
        <is>
          <t>Contacted</t>
        </is>
      </c>
      <c r="I2332" t="inlineStr">
        <is>
          <t>Open</t>
        </is>
      </c>
      <c r="M2332">
        <f>VLOOKUP(H2332,'Stage Order'!$A$2:$B$8,2,FALSE)</f>
        <v/>
      </c>
      <c r="N2332">
        <f>IF(G2332&lt;=1,"1. Under 1 hour",IF(G2332&lt;=24,"2. 1-24 hours",IF(G2332&lt;=72,"3. 1-3 days","4. Over 3 days")))</f>
        <v/>
      </c>
      <c r="O2332">
        <f>TEXT(B2332,"YYYY-MM")</f>
        <v/>
      </c>
    </row>
    <row r="2333">
      <c r="A2333" t="inlineStr">
        <is>
          <t>LD-302331</t>
        </is>
      </c>
      <c r="B2333" t="inlineStr">
        <is>
          <t>2026-01-05 17:20:00</t>
        </is>
      </c>
      <c r="C2333" t="inlineStr">
        <is>
          <t>Partner Channel</t>
        </is>
      </c>
      <c r="D2333" t="inlineStr">
        <is>
          <t>Competitive Exam Prep</t>
        </is>
      </c>
      <c r="E2333" t="inlineStr">
        <is>
          <t>West Region</t>
        </is>
      </c>
      <c r="F2333" t="inlineStr">
        <is>
          <t>Rep_03</t>
        </is>
      </c>
      <c r="G2333" t="n">
        <v>7.71</v>
      </c>
      <c r="H2333" t="inlineStr">
        <is>
          <t>Contacted</t>
        </is>
      </c>
      <c r="I2333" t="inlineStr">
        <is>
          <t>Open</t>
        </is>
      </c>
      <c r="M2333">
        <f>VLOOKUP(H2333,'Stage Order'!$A$2:$B$8,2,FALSE)</f>
        <v/>
      </c>
      <c r="N2333">
        <f>IF(G2333&lt;=1,"1. Under 1 hour",IF(G2333&lt;=24,"2. 1-24 hours",IF(G2333&lt;=72,"3. 1-3 days","4. Over 3 days")))</f>
        <v/>
      </c>
      <c r="O2333">
        <f>TEXT(B2333,"YYYY-MM")</f>
        <v/>
      </c>
    </row>
    <row r="2334">
      <c r="A2334" t="inlineStr">
        <is>
          <t>LD-302332</t>
        </is>
      </c>
      <c r="B2334" t="inlineStr">
        <is>
          <t>2025-07-12 19:22:00</t>
        </is>
      </c>
      <c r="C2334" t="inlineStr">
        <is>
          <t>Paid Search</t>
        </is>
      </c>
      <c r="D2334" t="inlineStr">
        <is>
          <t>Language Learning</t>
        </is>
      </c>
      <c r="E2334" t="inlineStr">
        <is>
          <t>West Region</t>
        </is>
      </c>
      <c r="F2334" t="inlineStr">
        <is>
          <t>Rep_13</t>
        </is>
      </c>
      <c r="G2334" t="n">
        <v>1.54</v>
      </c>
      <c r="H2334" t="inlineStr">
        <is>
          <t>Lead</t>
        </is>
      </c>
      <c r="I2334" t="inlineStr">
        <is>
          <t>Open</t>
        </is>
      </c>
      <c r="M2334">
        <f>VLOOKUP(H2334,'Stage Order'!$A$2:$B$8,2,FALSE)</f>
        <v/>
      </c>
      <c r="N2334">
        <f>IF(G2334&lt;=1,"1. Under 1 hour",IF(G2334&lt;=24,"2. 1-24 hours",IF(G2334&lt;=72,"3. 1-3 days","4. Over 3 days")))</f>
        <v/>
      </c>
      <c r="O2334">
        <f>TEXT(B2334,"YYYY-MM")</f>
        <v/>
      </c>
    </row>
    <row r="2335">
      <c r="A2335" t="inlineStr">
        <is>
          <t>LD-302333</t>
        </is>
      </c>
      <c r="B2335" t="inlineStr">
        <is>
          <t>2026-01-27 12:48:00</t>
        </is>
      </c>
      <c r="C2335" t="inlineStr">
        <is>
          <t>Organic Search</t>
        </is>
      </c>
      <c r="D2335" t="inlineStr">
        <is>
          <t>K-12 Math</t>
        </is>
      </c>
      <c r="E2335" t="inlineStr">
        <is>
          <t>West Region</t>
        </is>
      </c>
      <c r="F2335" t="inlineStr">
        <is>
          <t>Rep_08</t>
        </is>
      </c>
      <c r="G2335" t="n">
        <v>4.28</v>
      </c>
      <c r="H2335" t="inlineStr">
        <is>
          <t>Negotiation</t>
        </is>
      </c>
      <c r="I2335" t="inlineStr">
        <is>
          <t>Lost</t>
        </is>
      </c>
      <c r="J2335" t="inlineStr">
        <is>
          <t>Budget Not Approved</t>
        </is>
      </c>
      <c r="K2335" t="n">
        <v>438.7</v>
      </c>
      <c r="L2335" t="inlineStr">
        <is>
          <t>2026-03-19 18:35:22.503935</t>
        </is>
      </c>
      <c r="M2335">
        <f>VLOOKUP(H2335,'Stage Order'!$A$2:$B$8,2,FALSE)</f>
        <v/>
      </c>
      <c r="N2335">
        <f>IF(G2335&lt;=1,"1. Under 1 hour",IF(G2335&lt;=24,"2. 1-24 hours",IF(G2335&lt;=72,"3. 1-3 days","4. Over 3 days")))</f>
        <v/>
      </c>
      <c r="O2335">
        <f>TEXT(B2335,"YYYY-MM")</f>
        <v/>
      </c>
    </row>
    <row r="2336">
      <c r="A2336" t="inlineStr">
        <is>
          <t>LD-302334</t>
        </is>
      </c>
      <c r="B2336" t="inlineStr">
        <is>
          <t>2025-07-18 14:17:00</t>
        </is>
      </c>
      <c r="C2336" t="inlineStr">
        <is>
          <t>Social Media</t>
        </is>
      </c>
      <c r="D2336" t="inlineStr">
        <is>
          <t>Language Learning</t>
        </is>
      </c>
      <c r="E2336" t="inlineStr">
        <is>
          <t>International</t>
        </is>
      </c>
      <c r="F2336" t="inlineStr">
        <is>
          <t>Rep_05</t>
        </is>
      </c>
      <c r="G2336" t="n">
        <v>3.78</v>
      </c>
      <c r="H2336" t="inlineStr">
        <is>
          <t>Demo Completed</t>
        </is>
      </c>
      <c r="I2336" t="inlineStr">
        <is>
          <t>Lost</t>
        </is>
      </c>
      <c r="J2336" t="inlineStr">
        <is>
          <t>Went With Competitor</t>
        </is>
      </c>
      <c r="K2336" t="n">
        <v>339.41</v>
      </c>
      <c r="L2336" t="inlineStr">
        <is>
          <t>2025-08-29 19:31:12.940405</t>
        </is>
      </c>
      <c r="M2336">
        <f>VLOOKUP(H2336,'Stage Order'!$A$2:$B$8,2,FALSE)</f>
        <v/>
      </c>
      <c r="N2336">
        <f>IF(G2336&lt;=1,"1. Under 1 hour",IF(G2336&lt;=24,"2. 1-24 hours",IF(G2336&lt;=72,"3. 1-3 days","4. Over 3 days")))</f>
        <v/>
      </c>
      <c r="O2336">
        <f>TEXT(B2336,"YYYY-MM")</f>
        <v/>
      </c>
    </row>
    <row r="2337">
      <c r="A2337" t="inlineStr">
        <is>
          <t>LD-302335</t>
        </is>
      </c>
      <c r="B2337" t="inlineStr">
        <is>
          <t>2025-04-11 09:54:00</t>
        </is>
      </c>
      <c r="C2337" t="inlineStr">
        <is>
          <t>Organic Search</t>
        </is>
      </c>
      <c r="D2337" t="inlineStr">
        <is>
          <t>Coding for Kids</t>
        </is>
      </c>
      <c r="E2337" t="inlineStr">
        <is>
          <t>West Region</t>
        </is>
      </c>
      <c r="F2337" t="inlineStr">
        <is>
          <t>Rep_03</t>
        </is>
      </c>
      <c r="G2337" t="n">
        <v>3.16</v>
      </c>
      <c r="H2337" t="inlineStr">
        <is>
          <t>Negotiation</t>
        </is>
      </c>
      <c r="I2337" t="inlineStr">
        <is>
          <t>Lost</t>
        </is>
      </c>
      <c r="J2337" t="inlineStr">
        <is>
          <t>Bad Timing</t>
        </is>
      </c>
      <c r="K2337" t="n">
        <v>718.42</v>
      </c>
      <c r="L2337" t="inlineStr">
        <is>
          <t>2025-05-21 01:17:21.994434</t>
        </is>
      </c>
      <c r="M2337">
        <f>VLOOKUP(H2337,'Stage Order'!$A$2:$B$8,2,FALSE)</f>
        <v/>
      </c>
      <c r="N2337">
        <f>IF(G2337&lt;=1,"1. Under 1 hour",IF(G2337&lt;=24,"2. 1-24 hours",IF(G2337&lt;=72,"3. 1-3 days","4. Over 3 days")))</f>
        <v/>
      </c>
      <c r="O2337">
        <f>TEXT(B2337,"YYYY-MM")</f>
        <v/>
      </c>
    </row>
    <row r="2338">
      <c r="A2338" t="inlineStr">
        <is>
          <t>LD-302336</t>
        </is>
      </c>
      <c r="B2338" t="inlineStr">
        <is>
          <t>2025-05-16 13:16:00</t>
        </is>
      </c>
      <c r="C2338" t="inlineStr">
        <is>
          <t>Organic Search</t>
        </is>
      </c>
      <c r="D2338" t="inlineStr">
        <is>
          <t>K-12 Math</t>
        </is>
      </c>
      <c r="E2338" t="inlineStr">
        <is>
          <t>North Region</t>
        </is>
      </c>
      <c r="F2338" t="inlineStr">
        <is>
          <t>Rep_01</t>
        </is>
      </c>
      <c r="G2338" t="n">
        <v>2.74</v>
      </c>
      <c r="H2338" t="inlineStr">
        <is>
          <t>Closed</t>
        </is>
      </c>
      <c r="I2338" t="inlineStr">
        <is>
          <t>Won</t>
        </is>
      </c>
      <c r="K2338" t="n">
        <v>597.15</v>
      </c>
      <c r="L2338" t="inlineStr">
        <is>
          <t>2025-06-13 08:29:46.992585</t>
        </is>
      </c>
      <c r="M2338">
        <f>VLOOKUP(H2338,'Stage Order'!$A$2:$B$8,2,FALSE)</f>
        <v/>
      </c>
      <c r="N2338">
        <f>IF(G2338&lt;=1,"1. Under 1 hour",IF(G2338&lt;=24,"2. 1-24 hours",IF(G2338&lt;=72,"3. 1-3 days","4. Over 3 days")))</f>
        <v/>
      </c>
      <c r="O2338">
        <f>TEXT(B2338,"YYYY-MM")</f>
        <v/>
      </c>
    </row>
    <row r="2339">
      <c r="A2339" t="inlineStr">
        <is>
          <t>LD-302337</t>
        </is>
      </c>
      <c r="B2339" t="inlineStr">
        <is>
          <t>2026-02-06 20:09:00</t>
        </is>
      </c>
      <c r="C2339" t="inlineStr">
        <is>
          <t>Referral</t>
        </is>
      </c>
      <c r="D2339" t="inlineStr">
        <is>
          <t>K-12 Math</t>
        </is>
      </c>
      <c r="E2339" t="inlineStr">
        <is>
          <t>West Region</t>
        </is>
      </c>
      <c r="F2339" t="inlineStr">
        <is>
          <t>Rep_03</t>
        </is>
      </c>
      <c r="G2339" t="n">
        <v>3</v>
      </c>
      <c r="H2339" t="inlineStr">
        <is>
          <t>Closed</t>
        </is>
      </c>
      <c r="I2339" t="inlineStr">
        <is>
          <t>Won</t>
        </is>
      </c>
      <c r="K2339" t="n">
        <v>562.47</v>
      </c>
      <c r="L2339" t="inlineStr">
        <is>
          <t>2026-03-13 16:28:18.984967</t>
        </is>
      </c>
      <c r="M2339">
        <f>VLOOKUP(H2339,'Stage Order'!$A$2:$B$8,2,FALSE)</f>
        <v/>
      </c>
      <c r="N2339">
        <f>IF(G2339&lt;=1,"1. Under 1 hour",IF(G2339&lt;=24,"2. 1-24 hours",IF(G2339&lt;=72,"3. 1-3 days","4. Over 3 days")))</f>
        <v/>
      </c>
      <c r="O2339">
        <f>TEXT(B2339,"YYYY-MM")</f>
        <v/>
      </c>
    </row>
    <row r="2340">
      <c r="A2340" t="inlineStr">
        <is>
          <t>LD-302338</t>
        </is>
      </c>
      <c r="B2340" t="inlineStr">
        <is>
          <t>2026-05-20 10:05:00</t>
        </is>
      </c>
      <c r="C2340" t="inlineStr">
        <is>
          <t>Paid Search</t>
        </is>
      </c>
      <c r="D2340" t="inlineStr">
        <is>
          <t>K-12 Math</t>
        </is>
      </c>
      <c r="E2340" t="inlineStr">
        <is>
          <t>East Region</t>
        </is>
      </c>
      <c r="F2340" t="inlineStr">
        <is>
          <t>Rep_04</t>
        </is>
      </c>
      <c r="G2340" t="n">
        <v>1.4</v>
      </c>
      <c r="H2340" t="inlineStr">
        <is>
          <t>Demo Completed</t>
        </is>
      </c>
      <c r="I2340" t="inlineStr">
        <is>
          <t>Lost</t>
        </is>
      </c>
      <c r="J2340" t="inlineStr">
        <is>
          <t>Price Objection</t>
        </is>
      </c>
      <c r="K2340" t="n">
        <v>455.5</v>
      </c>
      <c r="L2340" t="inlineStr">
        <is>
          <t>2026-06-10 19:59:16.122283</t>
        </is>
      </c>
      <c r="M2340">
        <f>VLOOKUP(H2340,'Stage Order'!$A$2:$B$8,2,FALSE)</f>
        <v/>
      </c>
      <c r="N2340">
        <f>IF(G2340&lt;=1,"1. Under 1 hour",IF(G2340&lt;=24,"2. 1-24 hours",IF(G2340&lt;=72,"3. 1-3 days","4. Over 3 days")))</f>
        <v/>
      </c>
      <c r="O2340">
        <f>TEXT(B2340,"YYYY-MM")</f>
        <v/>
      </c>
    </row>
    <row r="2341">
      <c r="A2341" t="inlineStr">
        <is>
          <t>LD-302339</t>
        </is>
      </c>
      <c r="B2341" t="inlineStr">
        <is>
          <t>2025-07-24 15:58:00</t>
        </is>
      </c>
      <c r="C2341" t="inlineStr">
        <is>
          <t>Organic Search</t>
        </is>
      </c>
      <c r="D2341" t="inlineStr">
        <is>
          <t>Study Abroad Prep</t>
        </is>
      </c>
      <c r="E2341" t="inlineStr">
        <is>
          <t>North Region</t>
        </is>
      </c>
      <c r="F2341" t="inlineStr">
        <is>
          <t>Rep_01</t>
        </is>
      </c>
      <c r="G2341" t="n">
        <v>1.23</v>
      </c>
      <c r="H2341" t="inlineStr">
        <is>
          <t>Contacted</t>
        </is>
      </c>
      <c r="I2341" t="inlineStr">
        <is>
          <t>Open</t>
        </is>
      </c>
      <c r="M2341">
        <f>VLOOKUP(H2341,'Stage Order'!$A$2:$B$8,2,FALSE)</f>
        <v/>
      </c>
      <c r="N2341">
        <f>IF(G2341&lt;=1,"1. Under 1 hour",IF(G2341&lt;=24,"2. 1-24 hours",IF(G2341&lt;=72,"3. 1-3 days","4. Over 3 days")))</f>
        <v/>
      </c>
      <c r="O2341">
        <f>TEXT(B2341,"YYYY-MM")</f>
        <v/>
      </c>
    </row>
    <row r="2342">
      <c r="A2342" t="inlineStr">
        <is>
          <t>LD-302340</t>
        </is>
      </c>
      <c r="B2342" t="inlineStr">
        <is>
          <t>2025-08-29 11:43:00</t>
        </is>
      </c>
      <c r="C2342" t="inlineStr">
        <is>
          <t>Paid Search</t>
        </is>
      </c>
      <c r="D2342" t="inlineStr">
        <is>
          <t>Coding for Kids</t>
        </is>
      </c>
      <c r="E2342" t="inlineStr">
        <is>
          <t>South Region</t>
        </is>
      </c>
      <c r="F2342" t="inlineStr">
        <is>
          <t>Rep_07</t>
        </is>
      </c>
      <c r="G2342" t="n">
        <v>4.09</v>
      </c>
      <c r="H2342" t="inlineStr">
        <is>
          <t>Proposal Sent</t>
        </is>
      </c>
      <c r="I2342" t="inlineStr">
        <is>
          <t>Lost</t>
        </is>
      </c>
      <c r="J2342" t="inlineStr">
        <is>
          <t>Price Objection</t>
        </is>
      </c>
      <c r="K2342" t="n">
        <v>664.5599999999999</v>
      </c>
      <c r="L2342" t="inlineStr">
        <is>
          <t>2025-10-11 03:19:43.929392</t>
        </is>
      </c>
      <c r="M2342">
        <f>VLOOKUP(H2342,'Stage Order'!$A$2:$B$8,2,FALSE)</f>
        <v/>
      </c>
      <c r="N2342">
        <f>IF(G2342&lt;=1,"1. Under 1 hour",IF(G2342&lt;=24,"2. 1-24 hours",IF(G2342&lt;=72,"3. 1-3 days","4. Over 3 days")))</f>
        <v/>
      </c>
      <c r="O2342">
        <f>TEXT(B2342,"YYYY-MM")</f>
        <v/>
      </c>
    </row>
    <row r="2343">
      <c r="A2343" t="inlineStr">
        <is>
          <t>LD-302341</t>
        </is>
      </c>
      <c r="B2343" t="inlineStr">
        <is>
          <t>2026-02-13 08:28:00</t>
        </is>
      </c>
      <c r="C2343" t="inlineStr">
        <is>
          <t>Referral</t>
        </is>
      </c>
      <c r="D2343" t="inlineStr">
        <is>
          <t>Coding for Kids</t>
        </is>
      </c>
      <c r="E2343" t="inlineStr">
        <is>
          <t>North Region</t>
        </is>
      </c>
      <c r="F2343" t="inlineStr">
        <is>
          <t>Rep_11</t>
        </is>
      </c>
      <c r="G2343" t="n">
        <v>2.92</v>
      </c>
      <c r="H2343" t="inlineStr">
        <is>
          <t>Closed</t>
        </is>
      </c>
      <c r="I2343" t="inlineStr">
        <is>
          <t>Won</t>
        </is>
      </c>
      <c r="K2343" t="n">
        <v>544.91</v>
      </c>
      <c r="L2343" t="inlineStr">
        <is>
          <t>2026-03-28 02:37:52.766825</t>
        </is>
      </c>
      <c r="M2343">
        <f>VLOOKUP(H2343,'Stage Order'!$A$2:$B$8,2,FALSE)</f>
        <v/>
      </c>
      <c r="N2343">
        <f>IF(G2343&lt;=1,"1. Under 1 hour",IF(G2343&lt;=24,"2. 1-24 hours",IF(G2343&lt;=72,"3. 1-3 days","4. Over 3 days")))</f>
        <v/>
      </c>
      <c r="O2343">
        <f>TEXT(B2343,"YYYY-MM")</f>
        <v/>
      </c>
    </row>
    <row r="2344">
      <c r="A2344" t="inlineStr">
        <is>
          <t>LD-302342</t>
        </is>
      </c>
      <c r="B2344" t="inlineStr">
        <is>
          <t>2025-01-03 07:11:00</t>
        </is>
      </c>
      <c r="C2344" t="inlineStr">
        <is>
          <t>Organic Search</t>
        </is>
      </c>
      <c r="D2344" t="inlineStr">
        <is>
          <t>Language Learning</t>
        </is>
      </c>
      <c r="E2344" t="inlineStr">
        <is>
          <t>International</t>
        </is>
      </c>
      <c r="F2344" t="inlineStr">
        <is>
          <t>Rep_15</t>
        </is>
      </c>
      <c r="G2344" t="n">
        <v>1.46</v>
      </c>
      <c r="H2344" t="inlineStr">
        <is>
          <t>Contacted</t>
        </is>
      </c>
      <c r="I2344" t="inlineStr">
        <is>
          <t>Open</t>
        </is>
      </c>
      <c r="M2344">
        <f>VLOOKUP(H2344,'Stage Order'!$A$2:$B$8,2,FALSE)</f>
        <v/>
      </c>
      <c r="N2344">
        <f>IF(G2344&lt;=1,"1. Under 1 hour",IF(G2344&lt;=24,"2. 1-24 hours",IF(G2344&lt;=72,"3. 1-3 days","4. Over 3 days")))</f>
        <v/>
      </c>
      <c r="O2344">
        <f>TEXT(B2344,"YYYY-MM")</f>
        <v/>
      </c>
    </row>
    <row r="2345">
      <c r="A2345" t="inlineStr">
        <is>
          <t>LD-302343</t>
        </is>
      </c>
      <c r="B2345" t="inlineStr">
        <is>
          <t>2025-10-10 15:24:00</t>
        </is>
      </c>
      <c r="C2345" t="inlineStr">
        <is>
          <t>Partner Channel</t>
        </is>
      </c>
      <c r="D2345" t="inlineStr">
        <is>
          <t>Language Learning</t>
        </is>
      </c>
      <c r="E2345" t="inlineStr">
        <is>
          <t>East Region</t>
        </is>
      </c>
      <c r="F2345" t="inlineStr">
        <is>
          <t>Rep_09</t>
        </is>
      </c>
      <c r="G2345" t="n">
        <v>3.75</v>
      </c>
      <c r="H2345" t="inlineStr">
        <is>
          <t>Closed</t>
        </is>
      </c>
      <c r="I2345" t="inlineStr">
        <is>
          <t>Won</t>
        </is>
      </c>
      <c r="K2345" t="n">
        <v>314.32</v>
      </c>
      <c r="L2345" t="inlineStr">
        <is>
          <t>2025-11-20 04:11:26.035728</t>
        </is>
      </c>
      <c r="M2345">
        <f>VLOOKUP(H2345,'Stage Order'!$A$2:$B$8,2,FALSE)</f>
        <v/>
      </c>
      <c r="N2345">
        <f>IF(G2345&lt;=1,"1. Under 1 hour",IF(G2345&lt;=24,"2. 1-24 hours",IF(G2345&lt;=72,"3. 1-3 days","4. Over 3 days")))</f>
        <v/>
      </c>
      <c r="O2345">
        <f>TEXT(B2345,"YYYY-MM")</f>
        <v/>
      </c>
    </row>
    <row r="2346">
      <c r="A2346" t="inlineStr">
        <is>
          <t>LD-302344</t>
        </is>
      </c>
      <c r="B2346" t="inlineStr">
        <is>
          <t>2025-07-04 14:09:00</t>
        </is>
      </c>
      <c r="C2346" t="inlineStr">
        <is>
          <t>Social Media</t>
        </is>
      </c>
      <c r="D2346" t="inlineStr">
        <is>
          <t>K-12 Math</t>
        </is>
      </c>
      <c r="E2346" t="inlineStr">
        <is>
          <t>South Region</t>
        </is>
      </c>
      <c r="F2346" t="inlineStr">
        <is>
          <t>Rep_12</t>
        </is>
      </c>
      <c r="G2346" t="n">
        <v>2.94</v>
      </c>
      <c r="H2346" t="inlineStr">
        <is>
          <t>Demo Scheduled</t>
        </is>
      </c>
      <c r="I2346" t="inlineStr">
        <is>
          <t>Open</t>
        </is>
      </c>
      <c r="M2346">
        <f>VLOOKUP(H2346,'Stage Order'!$A$2:$B$8,2,FALSE)</f>
        <v/>
      </c>
      <c r="N2346">
        <f>IF(G2346&lt;=1,"1. Under 1 hour",IF(G2346&lt;=24,"2. 1-24 hours",IF(G2346&lt;=72,"3. 1-3 days","4. Over 3 days")))</f>
        <v/>
      </c>
      <c r="O2346">
        <f>TEXT(B2346,"YYYY-MM")</f>
        <v/>
      </c>
    </row>
    <row r="2347">
      <c r="A2347" t="inlineStr">
        <is>
          <t>LD-302345</t>
        </is>
      </c>
      <c r="B2347" t="inlineStr">
        <is>
          <t>2025-09-02 16:13:00</t>
        </is>
      </c>
      <c r="C2347" t="inlineStr">
        <is>
          <t>Webinar</t>
        </is>
      </c>
      <c r="D2347" t="inlineStr">
        <is>
          <t>Coding for Kids</t>
        </is>
      </c>
      <c r="E2347" t="inlineStr">
        <is>
          <t>North Region</t>
        </is>
      </c>
      <c r="F2347" t="inlineStr">
        <is>
          <t>Rep_11</t>
        </is>
      </c>
      <c r="G2347" t="n">
        <v>7.52</v>
      </c>
      <c r="H2347" t="inlineStr">
        <is>
          <t>Negotiation</t>
        </is>
      </c>
      <c r="I2347" t="inlineStr">
        <is>
          <t>Lost</t>
        </is>
      </c>
      <c r="J2347" t="inlineStr">
        <is>
          <t>No Response / Ghosted</t>
        </is>
      </c>
      <c r="K2347" t="n">
        <v>773.42</v>
      </c>
      <c r="L2347" t="inlineStr">
        <is>
          <t>2025-10-13 00:14:14.566850</t>
        </is>
      </c>
      <c r="M2347">
        <f>VLOOKUP(H2347,'Stage Order'!$A$2:$B$8,2,FALSE)</f>
        <v/>
      </c>
      <c r="N2347">
        <f>IF(G2347&lt;=1,"1. Under 1 hour",IF(G2347&lt;=24,"2. 1-24 hours",IF(G2347&lt;=72,"3. 1-3 days","4. Over 3 days")))</f>
        <v/>
      </c>
      <c r="O2347">
        <f>TEXT(B2347,"YYYY-MM")</f>
        <v/>
      </c>
    </row>
    <row r="2348">
      <c r="A2348" t="inlineStr">
        <is>
          <t>LD-302346</t>
        </is>
      </c>
      <c r="B2348" t="inlineStr">
        <is>
          <t>2025-01-17 13:39:00</t>
        </is>
      </c>
      <c r="C2348" t="inlineStr">
        <is>
          <t>Organic Search</t>
        </is>
      </c>
      <c r="D2348" t="inlineStr">
        <is>
          <t>K-12 Math</t>
        </is>
      </c>
      <c r="E2348" t="inlineStr">
        <is>
          <t>South Region</t>
        </is>
      </c>
      <c r="F2348" t="inlineStr">
        <is>
          <t>Rep_07</t>
        </is>
      </c>
      <c r="G2348" t="n">
        <v>1.99</v>
      </c>
      <c r="H2348" t="inlineStr">
        <is>
          <t>Closed</t>
        </is>
      </c>
      <c r="I2348" t="inlineStr">
        <is>
          <t>Won</t>
        </is>
      </c>
      <c r="K2348" t="n">
        <v>585.0599999999999</v>
      </c>
      <c r="L2348" t="inlineStr">
        <is>
          <t>2025-02-28 14:20:37.942005</t>
        </is>
      </c>
      <c r="M2348">
        <f>VLOOKUP(H2348,'Stage Order'!$A$2:$B$8,2,FALSE)</f>
        <v/>
      </c>
      <c r="N2348">
        <f>IF(G2348&lt;=1,"1. Under 1 hour",IF(G2348&lt;=24,"2. 1-24 hours",IF(G2348&lt;=72,"3. 1-3 days","4. Over 3 days")))</f>
        <v/>
      </c>
      <c r="O2348">
        <f>TEXT(B2348,"YYYY-MM")</f>
        <v/>
      </c>
    </row>
    <row r="2349">
      <c r="A2349" t="inlineStr">
        <is>
          <t>LD-302347</t>
        </is>
      </c>
      <c r="B2349" t="inlineStr">
        <is>
          <t>2026-03-06 15:11:00</t>
        </is>
      </c>
      <c r="C2349" t="inlineStr">
        <is>
          <t>Webinar</t>
        </is>
      </c>
      <c r="D2349" t="inlineStr">
        <is>
          <t>K-12 Math</t>
        </is>
      </c>
      <c r="E2349" t="inlineStr">
        <is>
          <t>International</t>
        </is>
      </c>
      <c r="F2349" t="inlineStr">
        <is>
          <t>Rep_05</t>
        </is>
      </c>
      <c r="G2349" t="n">
        <v>3.46</v>
      </c>
      <c r="H2349" t="inlineStr">
        <is>
          <t>Contacted</t>
        </is>
      </c>
      <c r="I2349" t="inlineStr">
        <is>
          <t>Open</t>
        </is>
      </c>
      <c r="M2349">
        <f>VLOOKUP(H2349,'Stage Order'!$A$2:$B$8,2,FALSE)</f>
        <v/>
      </c>
      <c r="N2349">
        <f>IF(G2349&lt;=1,"1. Under 1 hour",IF(G2349&lt;=24,"2. 1-24 hours",IF(G2349&lt;=72,"3. 1-3 days","4. Over 3 days")))</f>
        <v/>
      </c>
      <c r="O2349">
        <f>TEXT(B2349,"YYYY-MM")</f>
        <v/>
      </c>
    </row>
    <row r="2350">
      <c r="A2350" t="inlineStr">
        <is>
          <t>LD-302348</t>
        </is>
      </c>
      <c r="B2350" t="inlineStr">
        <is>
          <t>2025-12-24 09:41:00</t>
        </is>
      </c>
      <c r="C2350" t="inlineStr">
        <is>
          <t>Referral</t>
        </is>
      </c>
      <c r="D2350" t="inlineStr">
        <is>
          <t>Coding for Kids</t>
        </is>
      </c>
      <c r="E2350" t="inlineStr">
        <is>
          <t>International</t>
        </is>
      </c>
      <c r="F2350" t="inlineStr">
        <is>
          <t>Rep_15</t>
        </is>
      </c>
      <c r="G2350" t="n">
        <v>9.01</v>
      </c>
      <c r="H2350" t="inlineStr">
        <is>
          <t>Closed</t>
        </is>
      </c>
      <c r="I2350" t="inlineStr">
        <is>
          <t>Won</t>
        </is>
      </c>
      <c r="K2350" t="n">
        <v>548.42</v>
      </c>
      <c r="L2350" t="inlineStr">
        <is>
          <t>2026-01-29 05:27:34.695077</t>
        </is>
      </c>
      <c r="M2350">
        <f>VLOOKUP(H2350,'Stage Order'!$A$2:$B$8,2,FALSE)</f>
        <v/>
      </c>
      <c r="N2350">
        <f>IF(G2350&lt;=1,"1. Under 1 hour",IF(G2350&lt;=24,"2. 1-24 hours",IF(G2350&lt;=72,"3. 1-3 days","4. Over 3 days")))</f>
        <v/>
      </c>
      <c r="O2350">
        <f>TEXT(B2350,"YYYY-MM")</f>
        <v/>
      </c>
    </row>
    <row r="2351">
      <c r="A2351" t="inlineStr">
        <is>
          <t>LD-302349</t>
        </is>
      </c>
      <c r="B2351" t="inlineStr">
        <is>
          <t>2026-03-31 18:58:00</t>
        </is>
      </c>
      <c r="C2351" t="inlineStr">
        <is>
          <t>Referral</t>
        </is>
      </c>
      <c r="D2351" t="inlineStr">
        <is>
          <t>Coding for Kids</t>
        </is>
      </c>
      <c r="E2351" t="inlineStr">
        <is>
          <t>East Region</t>
        </is>
      </c>
      <c r="F2351" t="inlineStr">
        <is>
          <t>Rep_04</t>
        </is>
      </c>
      <c r="G2351" t="n">
        <v>6.02</v>
      </c>
      <c r="H2351" t="inlineStr">
        <is>
          <t>Demo Completed</t>
        </is>
      </c>
      <c r="I2351" t="inlineStr">
        <is>
          <t>Lost</t>
        </is>
      </c>
      <c r="J2351" t="inlineStr">
        <is>
          <t>Bad Timing</t>
        </is>
      </c>
      <c r="K2351" t="n">
        <v>726.71</v>
      </c>
      <c r="L2351" t="inlineStr">
        <is>
          <t>2026-05-05 06:45:50.116539</t>
        </is>
      </c>
      <c r="M2351">
        <f>VLOOKUP(H2351,'Stage Order'!$A$2:$B$8,2,FALSE)</f>
        <v/>
      </c>
      <c r="N2351">
        <f>IF(G2351&lt;=1,"1. Under 1 hour",IF(G2351&lt;=24,"2. 1-24 hours",IF(G2351&lt;=72,"3. 1-3 days","4. Over 3 days")))</f>
        <v/>
      </c>
      <c r="O2351">
        <f>TEXT(B2351,"YYYY-MM")</f>
        <v/>
      </c>
    </row>
    <row r="2352">
      <c r="A2352" t="inlineStr">
        <is>
          <t>LD-302350</t>
        </is>
      </c>
      <c r="B2352" t="inlineStr">
        <is>
          <t>2025-06-08 11:13:00</t>
        </is>
      </c>
      <c r="C2352" t="inlineStr">
        <is>
          <t>Paid Search</t>
        </is>
      </c>
      <c r="D2352" t="inlineStr">
        <is>
          <t>Study Abroad Prep</t>
        </is>
      </c>
      <c r="E2352" t="inlineStr">
        <is>
          <t>International</t>
        </is>
      </c>
      <c r="F2352" t="inlineStr">
        <is>
          <t>Rep_15</t>
        </is>
      </c>
      <c r="G2352" t="n">
        <v>22.91</v>
      </c>
      <c r="H2352" t="inlineStr">
        <is>
          <t>Demo Completed</t>
        </is>
      </c>
      <c r="I2352" t="inlineStr">
        <is>
          <t>Lost</t>
        </is>
      </c>
      <c r="J2352" t="inlineStr">
        <is>
          <t>Bad Timing</t>
        </is>
      </c>
      <c r="K2352" t="n">
        <v>1546.71</v>
      </c>
      <c r="L2352" t="inlineStr">
        <is>
          <t>2025-07-07 08:00:09.508973</t>
        </is>
      </c>
      <c r="M2352">
        <f>VLOOKUP(H2352,'Stage Order'!$A$2:$B$8,2,FALSE)</f>
        <v/>
      </c>
      <c r="N2352">
        <f>IF(G2352&lt;=1,"1. Under 1 hour",IF(G2352&lt;=24,"2. 1-24 hours",IF(G2352&lt;=72,"3. 1-3 days","4. Over 3 days")))</f>
        <v/>
      </c>
      <c r="O2352">
        <f>TEXT(B2352,"YYYY-MM")</f>
        <v/>
      </c>
    </row>
    <row r="2353">
      <c r="A2353" t="inlineStr">
        <is>
          <t>LD-302351</t>
        </is>
      </c>
      <c r="B2353" t="inlineStr">
        <is>
          <t>2026-02-06 10:17:00</t>
        </is>
      </c>
      <c r="C2353" t="inlineStr">
        <is>
          <t>Organic Search</t>
        </is>
      </c>
      <c r="D2353" t="inlineStr">
        <is>
          <t>Coding for Kids</t>
        </is>
      </c>
      <c r="E2353" t="inlineStr">
        <is>
          <t>North Region</t>
        </is>
      </c>
      <c r="F2353" t="inlineStr">
        <is>
          <t>Rep_01</t>
        </is>
      </c>
      <c r="G2353" t="n">
        <v>5.49</v>
      </c>
      <c r="H2353" t="inlineStr">
        <is>
          <t>Contacted</t>
        </is>
      </c>
      <c r="I2353" t="inlineStr">
        <is>
          <t>Open</t>
        </is>
      </c>
      <c r="M2353">
        <f>VLOOKUP(H2353,'Stage Order'!$A$2:$B$8,2,FALSE)</f>
        <v/>
      </c>
      <c r="N2353">
        <f>IF(G2353&lt;=1,"1. Under 1 hour",IF(G2353&lt;=24,"2. 1-24 hours",IF(G2353&lt;=72,"3. 1-3 days","4. Over 3 days")))</f>
        <v/>
      </c>
      <c r="O2353">
        <f>TEXT(B2353,"YYYY-MM")</f>
        <v/>
      </c>
    </row>
    <row r="2354">
      <c r="A2354" t="inlineStr">
        <is>
          <t>LD-302352</t>
        </is>
      </c>
      <c r="B2354" t="inlineStr">
        <is>
          <t>2025-09-26 09:38:00</t>
        </is>
      </c>
      <c r="C2354" t="inlineStr">
        <is>
          <t>Referral</t>
        </is>
      </c>
      <c r="D2354" t="inlineStr">
        <is>
          <t>Competitive Exam Prep</t>
        </is>
      </c>
      <c r="E2354" t="inlineStr">
        <is>
          <t>West Region</t>
        </is>
      </c>
      <c r="F2354" t="inlineStr">
        <is>
          <t>Rep_03</t>
        </is>
      </c>
      <c r="G2354" t="n">
        <v>2.85</v>
      </c>
      <c r="H2354" t="inlineStr">
        <is>
          <t>Contacted</t>
        </is>
      </c>
      <c r="I2354" t="inlineStr">
        <is>
          <t>Open</t>
        </is>
      </c>
      <c r="M2354">
        <f>VLOOKUP(H2354,'Stage Order'!$A$2:$B$8,2,FALSE)</f>
        <v/>
      </c>
      <c r="N2354">
        <f>IF(G2354&lt;=1,"1. Under 1 hour",IF(G2354&lt;=24,"2. 1-24 hours",IF(G2354&lt;=72,"3. 1-3 days","4. Over 3 days")))</f>
        <v/>
      </c>
      <c r="O2354">
        <f>TEXT(B2354,"YYYY-MM")</f>
        <v/>
      </c>
    </row>
    <row r="2355">
      <c r="A2355" t="inlineStr">
        <is>
          <t>LD-302353</t>
        </is>
      </c>
      <c r="B2355" t="inlineStr">
        <is>
          <t>2025-11-13 20:35:00</t>
        </is>
      </c>
      <c r="C2355" t="inlineStr">
        <is>
          <t>Paid Search</t>
        </is>
      </c>
      <c r="D2355" t="inlineStr">
        <is>
          <t>K-12 Math</t>
        </is>
      </c>
      <c r="E2355" t="inlineStr">
        <is>
          <t>South Region</t>
        </is>
      </c>
      <c r="F2355" t="inlineStr">
        <is>
          <t>Rep_07</t>
        </is>
      </c>
      <c r="G2355" t="n">
        <v>3.26</v>
      </c>
      <c r="H2355" t="inlineStr">
        <is>
          <t>Lead</t>
        </is>
      </c>
      <c r="I2355" t="inlineStr">
        <is>
          <t>Open</t>
        </is>
      </c>
      <c r="M2355">
        <f>VLOOKUP(H2355,'Stage Order'!$A$2:$B$8,2,FALSE)</f>
        <v/>
      </c>
      <c r="N2355">
        <f>IF(G2355&lt;=1,"1. Under 1 hour",IF(G2355&lt;=24,"2. 1-24 hours",IF(G2355&lt;=72,"3. 1-3 days","4. Over 3 days")))</f>
        <v/>
      </c>
      <c r="O2355">
        <f>TEXT(B2355,"YYYY-MM")</f>
        <v/>
      </c>
    </row>
    <row r="2356">
      <c r="A2356" t="inlineStr">
        <is>
          <t>LD-302354</t>
        </is>
      </c>
      <c r="B2356" t="inlineStr">
        <is>
          <t>2025-05-20 11:59:00</t>
        </is>
      </c>
      <c r="C2356" t="inlineStr">
        <is>
          <t>Referral</t>
        </is>
      </c>
      <c r="D2356" t="inlineStr">
        <is>
          <t>Competitive Exam Prep</t>
        </is>
      </c>
      <c r="E2356" t="inlineStr">
        <is>
          <t>West Region</t>
        </is>
      </c>
      <c r="F2356" t="inlineStr">
        <is>
          <t>Rep_13</t>
        </is>
      </c>
      <c r="G2356" t="n">
        <v>1.58</v>
      </c>
      <c r="H2356" t="inlineStr">
        <is>
          <t>Contacted</t>
        </is>
      </c>
      <c r="I2356" t="inlineStr">
        <is>
          <t>Open</t>
        </is>
      </c>
      <c r="M2356">
        <f>VLOOKUP(H2356,'Stage Order'!$A$2:$B$8,2,FALSE)</f>
        <v/>
      </c>
      <c r="N2356">
        <f>IF(G2356&lt;=1,"1. Under 1 hour",IF(G2356&lt;=24,"2. 1-24 hours",IF(G2356&lt;=72,"3. 1-3 days","4. Over 3 days")))</f>
        <v/>
      </c>
      <c r="O2356">
        <f>TEXT(B2356,"YYYY-MM")</f>
        <v/>
      </c>
    </row>
    <row r="2357">
      <c r="A2357" t="inlineStr">
        <is>
          <t>LD-302355</t>
        </is>
      </c>
      <c r="B2357" t="inlineStr">
        <is>
          <t>2025-02-07 11:35:00</t>
        </is>
      </c>
      <c r="C2357" t="inlineStr">
        <is>
          <t>Organic Search</t>
        </is>
      </c>
      <c r="D2357" t="inlineStr">
        <is>
          <t>K-12 Math</t>
        </is>
      </c>
      <c r="E2357" t="inlineStr">
        <is>
          <t>South Region</t>
        </is>
      </c>
      <c r="F2357" t="inlineStr">
        <is>
          <t>Rep_07</t>
        </is>
      </c>
      <c r="G2357" t="n">
        <v>6.01</v>
      </c>
      <c r="H2357" t="inlineStr">
        <is>
          <t>Contacted</t>
        </is>
      </c>
      <c r="I2357" t="inlineStr">
        <is>
          <t>Open</t>
        </is>
      </c>
      <c r="M2357">
        <f>VLOOKUP(H2357,'Stage Order'!$A$2:$B$8,2,FALSE)</f>
        <v/>
      </c>
      <c r="N2357">
        <f>IF(G2357&lt;=1,"1. Under 1 hour",IF(G2357&lt;=24,"2. 1-24 hours",IF(G2357&lt;=72,"3. 1-3 days","4. Over 3 days")))</f>
        <v/>
      </c>
      <c r="O2357">
        <f>TEXT(B2357,"YYYY-MM")</f>
        <v/>
      </c>
    </row>
    <row r="2358">
      <c r="A2358" t="inlineStr">
        <is>
          <t>LD-302356</t>
        </is>
      </c>
      <c r="B2358" t="inlineStr">
        <is>
          <t>2025-06-27 13:30:00</t>
        </is>
      </c>
      <c r="C2358" t="inlineStr">
        <is>
          <t>Paid Search</t>
        </is>
      </c>
      <c r="D2358" t="inlineStr">
        <is>
          <t>Coding for Kids</t>
        </is>
      </c>
      <c r="E2358" t="inlineStr">
        <is>
          <t>South Region</t>
        </is>
      </c>
      <c r="F2358" t="inlineStr">
        <is>
          <t>Rep_02</t>
        </is>
      </c>
      <c r="G2358" t="n">
        <v>4.35</v>
      </c>
      <c r="H2358" t="inlineStr">
        <is>
          <t>Lead</t>
        </is>
      </c>
      <c r="I2358" t="inlineStr">
        <is>
          <t>Open</t>
        </is>
      </c>
      <c r="M2358">
        <f>VLOOKUP(H2358,'Stage Order'!$A$2:$B$8,2,FALSE)</f>
        <v/>
      </c>
      <c r="N2358">
        <f>IF(G2358&lt;=1,"1. Under 1 hour",IF(G2358&lt;=24,"2. 1-24 hours",IF(G2358&lt;=72,"3. 1-3 days","4. Over 3 days")))</f>
        <v/>
      </c>
      <c r="O2358">
        <f>TEXT(B2358,"YYYY-MM")</f>
        <v/>
      </c>
    </row>
    <row r="2359">
      <c r="A2359" t="inlineStr">
        <is>
          <t>LD-302357</t>
        </is>
      </c>
      <c r="B2359" t="inlineStr">
        <is>
          <t>2025-01-01 16:21:00</t>
        </is>
      </c>
      <c r="C2359" t="inlineStr">
        <is>
          <t>Referral</t>
        </is>
      </c>
      <c r="D2359" t="inlineStr">
        <is>
          <t>Competitive Exam Prep</t>
        </is>
      </c>
      <c r="E2359" t="inlineStr">
        <is>
          <t>North Region</t>
        </is>
      </c>
      <c r="F2359" t="inlineStr">
        <is>
          <t>Rep_01</t>
        </is>
      </c>
      <c r="G2359" t="n">
        <v>2.77</v>
      </c>
      <c r="H2359" t="inlineStr">
        <is>
          <t>Closed</t>
        </is>
      </c>
      <c r="I2359" t="inlineStr">
        <is>
          <t>Won</t>
        </is>
      </c>
      <c r="K2359" t="n">
        <v>877.01</v>
      </c>
      <c r="L2359" t="inlineStr">
        <is>
          <t>2025-02-02 16:54:45.794130</t>
        </is>
      </c>
      <c r="M2359">
        <f>VLOOKUP(H2359,'Stage Order'!$A$2:$B$8,2,FALSE)</f>
        <v/>
      </c>
      <c r="N2359">
        <f>IF(G2359&lt;=1,"1. Under 1 hour",IF(G2359&lt;=24,"2. 1-24 hours",IF(G2359&lt;=72,"3. 1-3 days","4. Over 3 days")))</f>
        <v/>
      </c>
      <c r="O2359">
        <f>TEXT(B2359,"YYYY-MM")</f>
        <v/>
      </c>
    </row>
    <row r="2360">
      <c r="A2360" t="inlineStr">
        <is>
          <t>LD-302358</t>
        </is>
      </c>
      <c r="B2360" t="inlineStr">
        <is>
          <t>2025-05-07 16:57:00</t>
        </is>
      </c>
      <c r="C2360" t="inlineStr">
        <is>
          <t>Social Media</t>
        </is>
      </c>
      <c r="D2360" t="inlineStr">
        <is>
          <t>Competitive Exam Prep</t>
        </is>
      </c>
      <c r="E2360" t="inlineStr">
        <is>
          <t>South Region</t>
        </is>
      </c>
      <c r="F2360" t="inlineStr">
        <is>
          <t>Rep_12</t>
        </is>
      </c>
      <c r="G2360" t="n">
        <v>2.36</v>
      </c>
      <c r="H2360" t="inlineStr">
        <is>
          <t>Contacted</t>
        </is>
      </c>
      <c r="I2360" t="inlineStr">
        <is>
          <t>Open</t>
        </is>
      </c>
      <c r="M2360">
        <f>VLOOKUP(H2360,'Stage Order'!$A$2:$B$8,2,FALSE)</f>
        <v/>
      </c>
      <c r="N2360">
        <f>IF(G2360&lt;=1,"1. Under 1 hour",IF(G2360&lt;=24,"2. 1-24 hours",IF(G2360&lt;=72,"3. 1-3 days","4. Over 3 days")))</f>
        <v/>
      </c>
      <c r="O2360">
        <f>TEXT(B2360,"YYYY-MM")</f>
        <v/>
      </c>
    </row>
    <row r="2361">
      <c r="A2361" t="inlineStr">
        <is>
          <t>LD-302359</t>
        </is>
      </c>
      <c r="B2361" t="inlineStr">
        <is>
          <t>2026-04-20 11:22:00</t>
        </is>
      </c>
      <c r="C2361" t="inlineStr">
        <is>
          <t>Social Media</t>
        </is>
      </c>
      <c r="D2361" t="inlineStr">
        <is>
          <t>K-12 Math</t>
        </is>
      </c>
      <c r="E2361" t="inlineStr">
        <is>
          <t>South Region</t>
        </is>
      </c>
      <c r="F2361" t="inlineStr">
        <is>
          <t>Rep_07</t>
        </is>
      </c>
      <c r="G2361" t="n">
        <v>1.31</v>
      </c>
      <c r="H2361" t="inlineStr">
        <is>
          <t>Contacted</t>
        </is>
      </c>
      <c r="I2361" t="inlineStr">
        <is>
          <t>Open</t>
        </is>
      </c>
      <c r="M2361">
        <f>VLOOKUP(H2361,'Stage Order'!$A$2:$B$8,2,FALSE)</f>
        <v/>
      </c>
      <c r="N2361">
        <f>IF(G2361&lt;=1,"1. Under 1 hour",IF(G2361&lt;=24,"2. 1-24 hours",IF(G2361&lt;=72,"3. 1-3 days","4. Over 3 days")))</f>
        <v/>
      </c>
      <c r="O2361">
        <f>TEXT(B2361,"YYYY-MM")</f>
        <v/>
      </c>
    </row>
    <row r="2362">
      <c r="A2362" t="inlineStr">
        <is>
          <t>LD-302360</t>
        </is>
      </c>
      <c r="B2362" t="inlineStr">
        <is>
          <t>2025-01-17 11:56:00</t>
        </is>
      </c>
      <c r="C2362" t="inlineStr">
        <is>
          <t>Social Media</t>
        </is>
      </c>
      <c r="D2362" t="inlineStr">
        <is>
          <t>K-12 Math</t>
        </is>
      </c>
      <c r="E2362" t="inlineStr">
        <is>
          <t>South Region</t>
        </is>
      </c>
      <c r="F2362" t="inlineStr">
        <is>
          <t>Rep_07</t>
        </is>
      </c>
      <c r="G2362" t="n">
        <v>0.52</v>
      </c>
      <c r="H2362" t="inlineStr">
        <is>
          <t>Proposal Sent</t>
        </is>
      </c>
      <c r="I2362" t="inlineStr">
        <is>
          <t>Lost</t>
        </is>
      </c>
      <c r="J2362" t="inlineStr">
        <is>
          <t>Price Objection</t>
        </is>
      </c>
      <c r="K2362" t="n">
        <v>466.88</v>
      </c>
      <c r="L2362" t="inlineStr">
        <is>
          <t>2025-02-13 16:53:44.581265</t>
        </is>
      </c>
      <c r="M2362">
        <f>VLOOKUP(H2362,'Stage Order'!$A$2:$B$8,2,FALSE)</f>
        <v/>
      </c>
      <c r="N2362">
        <f>IF(G2362&lt;=1,"1. Under 1 hour",IF(G2362&lt;=24,"2. 1-24 hours",IF(G2362&lt;=72,"3. 1-3 days","4. Over 3 days")))</f>
        <v/>
      </c>
      <c r="O2362">
        <f>TEXT(B2362,"YYYY-MM")</f>
        <v/>
      </c>
    </row>
    <row r="2363">
      <c r="A2363" t="inlineStr">
        <is>
          <t>LD-302361</t>
        </is>
      </c>
      <c r="B2363" t="inlineStr">
        <is>
          <t>2025-11-30 12:55:00</t>
        </is>
      </c>
      <c r="C2363" t="inlineStr">
        <is>
          <t>Social Media</t>
        </is>
      </c>
      <c r="D2363" t="inlineStr">
        <is>
          <t>Language Learning</t>
        </is>
      </c>
      <c r="E2363" t="inlineStr">
        <is>
          <t>North Region</t>
        </is>
      </c>
      <c r="F2363" t="inlineStr">
        <is>
          <t>Rep_01</t>
        </is>
      </c>
      <c r="G2363" t="n">
        <v>5.7</v>
      </c>
      <c r="H2363" t="inlineStr">
        <is>
          <t>Contacted</t>
        </is>
      </c>
      <c r="I2363" t="inlineStr">
        <is>
          <t>Open</t>
        </is>
      </c>
      <c r="M2363">
        <f>VLOOKUP(H2363,'Stage Order'!$A$2:$B$8,2,FALSE)</f>
        <v/>
      </c>
      <c r="N2363">
        <f>IF(G2363&lt;=1,"1. Under 1 hour",IF(G2363&lt;=24,"2. 1-24 hours",IF(G2363&lt;=72,"3. 1-3 days","4. Over 3 days")))</f>
        <v/>
      </c>
      <c r="O2363">
        <f>TEXT(B2363,"YYYY-MM")</f>
        <v/>
      </c>
    </row>
    <row r="2364">
      <c r="A2364" t="inlineStr">
        <is>
          <t>LD-302362</t>
        </is>
      </c>
      <c r="B2364" t="inlineStr">
        <is>
          <t>2025-04-17 07:59:00</t>
        </is>
      </c>
      <c r="C2364" t="inlineStr">
        <is>
          <t>Referral</t>
        </is>
      </c>
      <c r="D2364" t="inlineStr">
        <is>
          <t>Language Learning</t>
        </is>
      </c>
      <c r="E2364" t="inlineStr">
        <is>
          <t>North Region</t>
        </is>
      </c>
      <c r="F2364" t="inlineStr">
        <is>
          <t>Rep_01</t>
        </is>
      </c>
      <c r="G2364" t="n">
        <v>3.25</v>
      </c>
      <c r="H2364" t="inlineStr">
        <is>
          <t>Contacted</t>
        </is>
      </c>
      <c r="I2364" t="inlineStr">
        <is>
          <t>Open</t>
        </is>
      </c>
      <c r="M2364">
        <f>VLOOKUP(H2364,'Stage Order'!$A$2:$B$8,2,FALSE)</f>
        <v/>
      </c>
      <c r="N2364">
        <f>IF(G2364&lt;=1,"1. Under 1 hour",IF(G2364&lt;=24,"2. 1-24 hours",IF(G2364&lt;=72,"3. 1-3 days","4. Over 3 days")))</f>
        <v/>
      </c>
      <c r="O2364">
        <f>TEXT(B2364,"YYYY-MM")</f>
        <v/>
      </c>
    </row>
    <row r="2365">
      <c r="A2365" t="inlineStr">
        <is>
          <t>LD-302363</t>
        </is>
      </c>
      <c r="B2365" t="inlineStr">
        <is>
          <t>2025-10-15 13:11:00</t>
        </is>
      </c>
      <c r="C2365" t="inlineStr">
        <is>
          <t>Referral</t>
        </is>
      </c>
      <c r="D2365" t="inlineStr">
        <is>
          <t>Competitive Exam Prep</t>
        </is>
      </c>
      <c r="E2365" t="inlineStr">
        <is>
          <t>East Region</t>
        </is>
      </c>
      <c r="F2365" t="inlineStr">
        <is>
          <t>Rep_14</t>
        </is>
      </c>
      <c r="G2365" t="n">
        <v>2.75</v>
      </c>
      <c r="H2365" t="inlineStr">
        <is>
          <t>Contacted</t>
        </is>
      </c>
      <c r="I2365" t="inlineStr">
        <is>
          <t>Open</t>
        </is>
      </c>
      <c r="M2365">
        <f>VLOOKUP(H2365,'Stage Order'!$A$2:$B$8,2,FALSE)</f>
        <v/>
      </c>
      <c r="N2365">
        <f>IF(G2365&lt;=1,"1. Under 1 hour",IF(G2365&lt;=24,"2. 1-24 hours",IF(G2365&lt;=72,"3. 1-3 days","4. Over 3 days")))</f>
        <v/>
      </c>
      <c r="O2365">
        <f>TEXT(B2365,"YYYY-MM")</f>
        <v/>
      </c>
    </row>
    <row r="2366">
      <c r="A2366" t="inlineStr">
        <is>
          <t>LD-302364</t>
        </is>
      </c>
      <c r="B2366" t="inlineStr">
        <is>
          <t>2025-06-20 07:46:00</t>
        </is>
      </c>
      <c r="C2366" t="inlineStr">
        <is>
          <t>Paid Search</t>
        </is>
      </c>
      <c r="D2366" t="inlineStr">
        <is>
          <t>Study Abroad Prep</t>
        </is>
      </c>
      <c r="E2366" t="inlineStr">
        <is>
          <t>South Region</t>
        </is>
      </c>
      <c r="F2366" t="inlineStr">
        <is>
          <t>Rep_02</t>
        </is>
      </c>
      <c r="G2366" t="n">
        <v>0.82</v>
      </c>
      <c r="H2366" t="inlineStr">
        <is>
          <t>Contacted</t>
        </is>
      </c>
      <c r="I2366" t="inlineStr">
        <is>
          <t>Open</t>
        </is>
      </c>
      <c r="M2366">
        <f>VLOOKUP(H2366,'Stage Order'!$A$2:$B$8,2,FALSE)</f>
        <v/>
      </c>
      <c r="N2366">
        <f>IF(G2366&lt;=1,"1. Under 1 hour",IF(G2366&lt;=24,"2. 1-24 hours",IF(G2366&lt;=72,"3. 1-3 days","4. Over 3 days")))</f>
        <v/>
      </c>
      <c r="O2366">
        <f>TEXT(B2366,"YYYY-MM")</f>
        <v/>
      </c>
    </row>
    <row r="2367">
      <c r="A2367" t="inlineStr">
        <is>
          <t>LD-302365</t>
        </is>
      </c>
      <c r="B2367" t="inlineStr">
        <is>
          <t>2026-02-14 17:19:00</t>
        </is>
      </c>
      <c r="C2367" t="inlineStr">
        <is>
          <t>Organic Search</t>
        </is>
      </c>
      <c r="D2367" t="inlineStr">
        <is>
          <t>K-12 Math</t>
        </is>
      </c>
      <c r="E2367" t="inlineStr">
        <is>
          <t>North Region</t>
        </is>
      </c>
      <c r="F2367" t="inlineStr">
        <is>
          <t>Rep_06</t>
        </is>
      </c>
      <c r="G2367" t="n">
        <v>3.42</v>
      </c>
      <c r="H2367" t="inlineStr">
        <is>
          <t>Contacted</t>
        </is>
      </c>
      <c r="I2367" t="inlineStr">
        <is>
          <t>Open</t>
        </is>
      </c>
      <c r="M2367">
        <f>VLOOKUP(H2367,'Stage Order'!$A$2:$B$8,2,FALSE)</f>
        <v/>
      </c>
      <c r="N2367">
        <f>IF(G2367&lt;=1,"1. Under 1 hour",IF(G2367&lt;=24,"2. 1-24 hours",IF(G2367&lt;=72,"3. 1-3 days","4. Over 3 days")))</f>
        <v/>
      </c>
      <c r="O2367">
        <f>TEXT(B2367,"YYYY-MM")</f>
        <v/>
      </c>
    </row>
    <row r="2368">
      <c r="A2368" t="inlineStr">
        <is>
          <t>LD-302366</t>
        </is>
      </c>
      <c r="B2368" t="inlineStr">
        <is>
          <t>2026-01-20 17:39:00</t>
        </is>
      </c>
      <c r="C2368" t="inlineStr">
        <is>
          <t>Referral</t>
        </is>
      </c>
      <c r="D2368" t="inlineStr">
        <is>
          <t>Language Learning</t>
        </is>
      </c>
      <c r="E2368" t="inlineStr">
        <is>
          <t>East Region</t>
        </is>
      </c>
      <c r="F2368" t="inlineStr">
        <is>
          <t>Rep_09</t>
        </is>
      </c>
      <c r="G2368" t="n">
        <v>1.3</v>
      </c>
      <c r="H2368" t="inlineStr">
        <is>
          <t>Contacted</t>
        </is>
      </c>
      <c r="I2368" t="inlineStr">
        <is>
          <t>Open</t>
        </is>
      </c>
      <c r="M2368">
        <f>VLOOKUP(H2368,'Stage Order'!$A$2:$B$8,2,FALSE)</f>
        <v/>
      </c>
      <c r="N2368">
        <f>IF(G2368&lt;=1,"1. Under 1 hour",IF(G2368&lt;=24,"2. 1-24 hours",IF(G2368&lt;=72,"3. 1-3 days","4. Over 3 days")))</f>
        <v/>
      </c>
      <c r="O2368">
        <f>TEXT(B2368,"YYYY-MM")</f>
        <v/>
      </c>
    </row>
    <row r="2369">
      <c r="A2369" t="inlineStr">
        <is>
          <t>LD-302367</t>
        </is>
      </c>
      <c r="B2369" t="inlineStr">
        <is>
          <t>2025-12-31 11:30:00</t>
        </is>
      </c>
      <c r="C2369" t="inlineStr">
        <is>
          <t>Social Media</t>
        </is>
      </c>
      <c r="D2369" t="inlineStr">
        <is>
          <t>Coding for Kids</t>
        </is>
      </c>
      <c r="E2369" t="inlineStr">
        <is>
          <t>East Region</t>
        </is>
      </c>
      <c r="F2369" t="inlineStr">
        <is>
          <t>Rep_14</t>
        </is>
      </c>
      <c r="G2369" t="n">
        <v>1.95</v>
      </c>
      <c r="H2369" t="inlineStr">
        <is>
          <t>Lead</t>
        </is>
      </c>
      <c r="I2369" t="inlineStr">
        <is>
          <t>Open</t>
        </is>
      </c>
      <c r="M2369">
        <f>VLOOKUP(H2369,'Stage Order'!$A$2:$B$8,2,FALSE)</f>
        <v/>
      </c>
      <c r="N2369">
        <f>IF(G2369&lt;=1,"1. Under 1 hour",IF(G2369&lt;=24,"2. 1-24 hours",IF(G2369&lt;=72,"3. 1-3 days","4. Over 3 days")))</f>
        <v/>
      </c>
      <c r="O2369">
        <f>TEXT(B2369,"YYYY-MM")</f>
        <v/>
      </c>
    </row>
    <row r="2370">
      <c r="A2370" t="inlineStr">
        <is>
          <t>LD-302368</t>
        </is>
      </c>
      <c r="B2370" t="inlineStr">
        <is>
          <t>2025-07-11 11:29:00</t>
        </is>
      </c>
      <c r="C2370" t="inlineStr">
        <is>
          <t>Partner Channel</t>
        </is>
      </c>
      <c r="D2370" t="inlineStr">
        <is>
          <t>K-12 Math</t>
        </is>
      </c>
      <c r="E2370" t="inlineStr">
        <is>
          <t>South Region</t>
        </is>
      </c>
      <c r="F2370" t="inlineStr">
        <is>
          <t>Rep_12</t>
        </is>
      </c>
      <c r="G2370" t="n">
        <v>7.42</v>
      </c>
      <c r="H2370" t="inlineStr">
        <is>
          <t>Negotiation</t>
        </is>
      </c>
      <c r="I2370" t="inlineStr">
        <is>
          <t>Lost</t>
        </is>
      </c>
      <c r="J2370" t="inlineStr">
        <is>
          <t>Bad Timing</t>
        </is>
      </c>
      <c r="K2370" t="n">
        <v>558.5700000000001</v>
      </c>
      <c r="L2370" t="inlineStr">
        <is>
          <t>2025-08-22 19:37:56.180762</t>
        </is>
      </c>
      <c r="M2370">
        <f>VLOOKUP(H2370,'Stage Order'!$A$2:$B$8,2,FALSE)</f>
        <v/>
      </c>
      <c r="N2370">
        <f>IF(G2370&lt;=1,"1. Under 1 hour",IF(G2370&lt;=24,"2. 1-24 hours",IF(G2370&lt;=72,"3. 1-3 days","4. Over 3 days")))</f>
        <v/>
      </c>
      <c r="O2370">
        <f>TEXT(B2370,"YYYY-MM")</f>
        <v/>
      </c>
    </row>
    <row r="2371">
      <c r="A2371" t="inlineStr">
        <is>
          <t>LD-302369</t>
        </is>
      </c>
      <c r="B2371" t="inlineStr">
        <is>
          <t>2026-02-05 20:51:00</t>
        </is>
      </c>
      <c r="C2371" t="inlineStr">
        <is>
          <t>Partner Channel</t>
        </is>
      </c>
      <c r="D2371" t="inlineStr">
        <is>
          <t>K-12 Math</t>
        </is>
      </c>
      <c r="E2371" t="inlineStr">
        <is>
          <t>West Region</t>
        </is>
      </c>
      <c r="F2371" t="inlineStr">
        <is>
          <t>Rep_13</t>
        </is>
      </c>
      <c r="G2371" t="n">
        <v>4.22</v>
      </c>
      <c r="H2371" t="inlineStr">
        <is>
          <t>Negotiation</t>
        </is>
      </c>
      <c r="I2371" t="inlineStr">
        <is>
          <t>Lost</t>
        </is>
      </c>
      <c r="J2371" t="inlineStr">
        <is>
          <t>No Response / Ghosted</t>
        </is>
      </c>
      <c r="K2371" t="n">
        <v>578.46</v>
      </c>
      <c r="L2371" t="inlineStr">
        <is>
          <t>2026-03-20 21:30:02.619986</t>
        </is>
      </c>
      <c r="M2371">
        <f>VLOOKUP(H2371,'Stage Order'!$A$2:$B$8,2,FALSE)</f>
        <v/>
      </c>
      <c r="N2371">
        <f>IF(G2371&lt;=1,"1. Under 1 hour",IF(G2371&lt;=24,"2. 1-24 hours",IF(G2371&lt;=72,"3. 1-3 days","4. Over 3 days")))</f>
        <v/>
      </c>
      <c r="O2371">
        <f>TEXT(B2371,"YYYY-MM")</f>
        <v/>
      </c>
    </row>
    <row r="2372">
      <c r="A2372" t="inlineStr">
        <is>
          <t>LD-302370</t>
        </is>
      </c>
      <c r="B2372" t="inlineStr">
        <is>
          <t>2025-11-29 12:49:00</t>
        </is>
      </c>
      <c r="C2372" t="inlineStr">
        <is>
          <t>Paid Search</t>
        </is>
      </c>
      <c r="D2372" t="inlineStr">
        <is>
          <t>K-12 Math</t>
        </is>
      </c>
      <c r="E2372" t="inlineStr">
        <is>
          <t>West Region</t>
        </is>
      </c>
      <c r="F2372" t="inlineStr">
        <is>
          <t>Rep_03</t>
        </is>
      </c>
      <c r="G2372" t="n">
        <v>1.92</v>
      </c>
      <c r="H2372" t="inlineStr">
        <is>
          <t>Contacted</t>
        </is>
      </c>
      <c r="I2372" t="inlineStr">
        <is>
          <t>Open</t>
        </is>
      </c>
      <c r="M2372">
        <f>VLOOKUP(H2372,'Stage Order'!$A$2:$B$8,2,FALSE)</f>
        <v/>
      </c>
      <c r="N2372">
        <f>IF(G2372&lt;=1,"1. Under 1 hour",IF(G2372&lt;=24,"2. 1-24 hours",IF(G2372&lt;=72,"3. 1-3 days","4. Over 3 days")))</f>
        <v/>
      </c>
      <c r="O2372">
        <f>TEXT(B2372,"YYYY-MM")</f>
        <v/>
      </c>
    </row>
    <row r="2373">
      <c r="A2373" t="inlineStr">
        <is>
          <t>LD-302371</t>
        </is>
      </c>
      <c r="B2373" t="inlineStr">
        <is>
          <t>2025-09-30 20:26:00</t>
        </is>
      </c>
      <c r="C2373" t="inlineStr">
        <is>
          <t>Paid Search</t>
        </is>
      </c>
      <c r="D2373" t="inlineStr">
        <is>
          <t>K-12 Math</t>
        </is>
      </c>
      <c r="E2373" t="inlineStr">
        <is>
          <t>South Region</t>
        </is>
      </c>
      <c r="F2373" t="inlineStr">
        <is>
          <t>Rep_07</t>
        </is>
      </c>
      <c r="G2373" t="n">
        <v>3.76</v>
      </c>
      <c r="H2373" t="inlineStr">
        <is>
          <t>Contacted</t>
        </is>
      </c>
      <c r="I2373" t="inlineStr">
        <is>
          <t>Open</t>
        </is>
      </c>
      <c r="M2373">
        <f>VLOOKUP(H2373,'Stage Order'!$A$2:$B$8,2,FALSE)</f>
        <v/>
      </c>
      <c r="N2373">
        <f>IF(G2373&lt;=1,"1. Under 1 hour",IF(G2373&lt;=24,"2. 1-24 hours",IF(G2373&lt;=72,"3. 1-3 days","4. Over 3 days")))</f>
        <v/>
      </c>
      <c r="O2373">
        <f>TEXT(B2373,"YYYY-MM")</f>
        <v/>
      </c>
    </row>
    <row r="2374">
      <c r="A2374" t="inlineStr">
        <is>
          <t>LD-302372</t>
        </is>
      </c>
      <c r="B2374" t="inlineStr">
        <is>
          <t>2026-05-20 12:32:00</t>
        </is>
      </c>
      <c r="C2374" t="inlineStr">
        <is>
          <t>Webinar</t>
        </is>
      </c>
      <c r="D2374" t="inlineStr">
        <is>
          <t>K-12 Math</t>
        </is>
      </c>
      <c r="E2374" t="inlineStr">
        <is>
          <t>West Region</t>
        </is>
      </c>
      <c r="F2374" t="inlineStr">
        <is>
          <t>Rep_13</t>
        </is>
      </c>
      <c r="G2374" t="n">
        <v>1.94</v>
      </c>
      <c r="H2374" t="inlineStr">
        <is>
          <t>Closed</t>
        </is>
      </c>
      <c r="I2374" t="inlineStr">
        <is>
          <t>Won</t>
        </is>
      </c>
      <c r="K2374" t="n">
        <v>467.3</v>
      </c>
      <c r="L2374" t="inlineStr">
        <is>
          <t>2026-07-03 19:19:18.701312</t>
        </is>
      </c>
      <c r="M2374">
        <f>VLOOKUP(H2374,'Stage Order'!$A$2:$B$8,2,FALSE)</f>
        <v/>
      </c>
      <c r="N2374">
        <f>IF(G2374&lt;=1,"1. Under 1 hour",IF(G2374&lt;=24,"2. 1-24 hours",IF(G2374&lt;=72,"3. 1-3 days","4. Over 3 days")))</f>
        <v/>
      </c>
      <c r="O2374">
        <f>TEXT(B2374,"YYYY-MM")</f>
        <v/>
      </c>
    </row>
    <row r="2375">
      <c r="A2375" t="inlineStr">
        <is>
          <t>LD-302373</t>
        </is>
      </c>
      <c r="B2375" t="inlineStr">
        <is>
          <t>2025-05-01 09:54:00</t>
        </is>
      </c>
      <c r="C2375" t="inlineStr">
        <is>
          <t>Paid Search</t>
        </is>
      </c>
      <c r="D2375" t="inlineStr">
        <is>
          <t>K-12 Math</t>
        </is>
      </c>
      <c r="E2375" t="inlineStr">
        <is>
          <t>North Region</t>
        </is>
      </c>
      <c r="F2375" t="inlineStr">
        <is>
          <t>Rep_11</t>
        </is>
      </c>
      <c r="G2375" t="n">
        <v>4.12</v>
      </c>
      <c r="H2375" t="inlineStr">
        <is>
          <t>Demo Completed</t>
        </is>
      </c>
      <c r="I2375" t="inlineStr">
        <is>
          <t>Lost</t>
        </is>
      </c>
      <c r="J2375" t="inlineStr">
        <is>
          <t>Price Objection</t>
        </is>
      </c>
      <c r="K2375" t="n">
        <v>581.86</v>
      </c>
      <c r="L2375" t="inlineStr">
        <is>
          <t>2025-06-03 21:03:02.462017</t>
        </is>
      </c>
      <c r="M2375">
        <f>VLOOKUP(H2375,'Stage Order'!$A$2:$B$8,2,FALSE)</f>
        <v/>
      </c>
      <c r="N2375">
        <f>IF(G2375&lt;=1,"1. Under 1 hour",IF(G2375&lt;=24,"2. 1-24 hours",IF(G2375&lt;=72,"3. 1-3 days","4. Over 3 days")))</f>
        <v/>
      </c>
      <c r="O2375">
        <f>TEXT(B2375,"YYYY-MM")</f>
        <v/>
      </c>
    </row>
    <row r="2376">
      <c r="A2376" t="inlineStr">
        <is>
          <t>LD-302374</t>
        </is>
      </c>
      <c r="B2376" t="inlineStr">
        <is>
          <t>2025-01-24 18:13:00</t>
        </is>
      </c>
      <c r="C2376" t="inlineStr">
        <is>
          <t>Paid Search</t>
        </is>
      </c>
      <c r="D2376" t="inlineStr">
        <is>
          <t>K-12 Math</t>
        </is>
      </c>
      <c r="E2376" t="inlineStr">
        <is>
          <t>International</t>
        </is>
      </c>
      <c r="F2376" t="inlineStr">
        <is>
          <t>Rep_15</t>
        </is>
      </c>
      <c r="G2376" t="n">
        <v>2.61</v>
      </c>
      <c r="H2376" t="inlineStr">
        <is>
          <t>Proposal Sent</t>
        </is>
      </c>
      <c r="I2376" t="inlineStr">
        <is>
          <t>Lost</t>
        </is>
      </c>
      <c r="J2376" t="inlineStr">
        <is>
          <t>Price Objection</t>
        </is>
      </c>
      <c r="K2376" t="n">
        <v>495.42</v>
      </c>
      <c r="L2376" t="inlineStr">
        <is>
          <t>2025-03-10 17:43:25.790034</t>
        </is>
      </c>
      <c r="M2376">
        <f>VLOOKUP(H2376,'Stage Order'!$A$2:$B$8,2,FALSE)</f>
        <v/>
      </c>
      <c r="N2376">
        <f>IF(G2376&lt;=1,"1. Under 1 hour",IF(G2376&lt;=24,"2. 1-24 hours",IF(G2376&lt;=72,"3. 1-3 days","4. Over 3 days")))</f>
        <v/>
      </c>
      <c r="O2376">
        <f>TEXT(B2376,"YYYY-MM")</f>
        <v/>
      </c>
    </row>
    <row r="2377">
      <c r="A2377" t="inlineStr">
        <is>
          <t>LD-302375</t>
        </is>
      </c>
      <c r="B2377" t="inlineStr">
        <is>
          <t>2026-01-20 11:20:00</t>
        </is>
      </c>
      <c r="C2377" t="inlineStr">
        <is>
          <t>Organic Search</t>
        </is>
      </c>
      <c r="D2377" t="inlineStr">
        <is>
          <t>Competitive Exam Prep</t>
        </is>
      </c>
      <c r="E2377" t="inlineStr">
        <is>
          <t>West Region</t>
        </is>
      </c>
      <c r="F2377" t="inlineStr">
        <is>
          <t>Rep_13</t>
        </is>
      </c>
      <c r="G2377" t="n">
        <v>0.8</v>
      </c>
      <c r="H2377" t="inlineStr">
        <is>
          <t>Negotiation</t>
        </is>
      </c>
      <c r="I2377" t="inlineStr">
        <is>
          <t>Lost</t>
        </is>
      </c>
      <c r="J2377" t="inlineStr">
        <is>
          <t>Bad Timing</t>
        </is>
      </c>
      <c r="K2377" t="n">
        <v>1136.33</v>
      </c>
      <c r="L2377" t="inlineStr">
        <is>
          <t>2026-03-13 04:08:14.943566</t>
        </is>
      </c>
      <c r="M2377">
        <f>VLOOKUP(H2377,'Stage Order'!$A$2:$B$8,2,FALSE)</f>
        <v/>
      </c>
      <c r="N2377">
        <f>IF(G2377&lt;=1,"1. Under 1 hour",IF(G2377&lt;=24,"2. 1-24 hours",IF(G2377&lt;=72,"3. 1-3 days","4. Over 3 days")))</f>
        <v/>
      </c>
      <c r="O2377">
        <f>TEXT(B2377,"YYYY-MM")</f>
        <v/>
      </c>
    </row>
    <row r="2378">
      <c r="A2378" t="inlineStr">
        <is>
          <t>LD-302376</t>
        </is>
      </c>
      <c r="B2378" t="inlineStr">
        <is>
          <t>2025-02-22 13:48:00</t>
        </is>
      </c>
      <c r="C2378" t="inlineStr">
        <is>
          <t>Social Media</t>
        </is>
      </c>
      <c r="D2378" t="inlineStr">
        <is>
          <t>Study Abroad Prep</t>
        </is>
      </c>
      <c r="E2378" t="inlineStr">
        <is>
          <t>North Region</t>
        </is>
      </c>
      <c r="F2378" t="inlineStr">
        <is>
          <t>Rep_11</t>
        </is>
      </c>
      <c r="G2378" t="n">
        <v>1.34</v>
      </c>
      <c r="H2378" t="inlineStr">
        <is>
          <t>Demo Completed</t>
        </is>
      </c>
      <c r="I2378" t="inlineStr">
        <is>
          <t>Lost</t>
        </is>
      </c>
      <c r="J2378" t="inlineStr">
        <is>
          <t>Price Objection</t>
        </is>
      </c>
      <c r="K2378" t="n">
        <v>1659.86</v>
      </c>
      <c r="L2378" t="inlineStr">
        <is>
          <t>2025-03-21 05:49:23.723376</t>
        </is>
      </c>
      <c r="M2378">
        <f>VLOOKUP(H2378,'Stage Order'!$A$2:$B$8,2,FALSE)</f>
        <v/>
      </c>
      <c r="N2378">
        <f>IF(G2378&lt;=1,"1. Under 1 hour",IF(G2378&lt;=24,"2. 1-24 hours",IF(G2378&lt;=72,"3. 1-3 days","4. Over 3 days")))</f>
        <v/>
      </c>
      <c r="O2378">
        <f>TEXT(B2378,"YYYY-MM")</f>
        <v/>
      </c>
    </row>
    <row r="2379">
      <c r="A2379" t="inlineStr">
        <is>
          <t>LD-302377</t>
        </is>
      </c>
      <c r="B2379" t="inlineStr">
        <is>
          <t>2026-02-20 19:22:00</t>
        </is>
      </c>
      <c r="C2379" t="inlineStr">
        <is>
          <t>Webinar</t>
        </is>
      </c>
      <c r="D2379" t="inlineStr">
        <is>
          <t>Competitive Exam Prep</t>
        </is>
      </c>
      <c r="E2379" t="inlineStr">
        <is>
          <t>West Region</t>
        </is>
      </c>
      <c r="F2379" t="inlineStr">
        <is>
          <t>Rep_08</t>
        </is>
      </c>
      <c r="G2379" t="n">
        <v>1.43</v>
      </c>
      <c r="H2379" t="inlineStr">
        <is>
          <t>Closed</t>
        </is>
      </c>
      <c r="I2379" t="inlineStr">
        <is>
          <t>Won</t>
        </is>
      </c>
      <c r="K2379" t="n">
        <v>1079.56</v>
      </c>
      <c r="L2379" t="inlineStr">
        <is>
          <t>2026-04-07 21:23:28.497592</t>
        </is>
      </c>
      <c r="M2379">
        <f>VLOOKUP(H2379,'Stage Order'!$A$2:$B$8,2,FALSE)</f>
        <v/>
      </c>
      <c r="N2379">
        <f>IF(G2379&lt;=1,"1. Under 1 hour",IF(G2379&lt;=24,"2. 1-24 hours",IF(G2379&lt;=72,"3. 1-3 days","4. Over 3 days")))</f>
        <v/>
      </c>
      <c r="O2379">
        <f>TEXT(B2379,"YYYY-MM")</f>
        <v/>
      </c>
    </row>
    <row r="2380">
      <c r="A2380" t="inlineStr">
        <is>
          <t>LD-302378</t>
        </is>
      </c>
      <c r="B2380" t="inlineStr">
        <is>
          <t>2025-11-07 13:15:00</t>
        </is>
      </c>
      <c r="C2380" t="inlineStr">
        <is>
          <t>Webinar</t>
        </is>
      </c>
      <c r="D2380" t="inlineStr">
        <is>
          <t>Coding for Kids</t>
        </is>
      </c>
      <c r="E2380" t="inlineStr">
        <is>
          <t>North Region</t>
        </is>
      </c>
      <c r="F2380" t="inlineStr">
        <is>
          <t>Rep_06</t>
        </is>
      </c>
      <c r="G2380" t="n">
        <v>10.03</v>
      </c>
      <c r="H2380" t="inlineStr">
        <is>
          <t>Demo Completed</t>
        </is>
      </c>
      <c r="I2380" t="inlineStr">
        <is>
          <t>Lost</t>
        </is>
      </c>
      <c r="J2380" t="inlineStr">
        <is>
          <t>Bad Timing</t>
        </is>
      </c>
      <c r="K2380" t="n">
        <v>631.37</v>
      </c>
      <c r="L2380" t="inlineStr">
        <is>
          <t>2025-12-11 12:59:57.956155</t>
        </is>
      </c>
      <c r="M2380">
        <f>VLOOKUP(H2380,'Stage Order'!$A$2:$B$8,2,FALSE)</f>
        <v/>
      </c>
      <c r="N2380">
        <f>IF(G2380&lt;=1,"1. Under 1 hour",IF(G2380&lt;=24,"2. 1-24 hours",IF(G2380&lt;=72,"3. 1-3 days","4. Over 3 days")))</f>
        <v/>
      </c>
      <c r="O2380">
        <f>TEXT(B2380,"YYYY-MM")</f>
        <v/>
      </c>
    </row>
    <row r="2381">
      <c r="A2381" t="inlineStr">
        <is>
          <t>LD-302379</t>
        </is>
      </c>
      <c r="B2381" t="inlineStr">
        <is>
          <t>2025-07-08 13:52:00</t>
        </is>
      </c>
      <c r="C2381" t="inlineStr">
        <is>
          <t>Partner Channel</t>
        </is>
      </c>
      <c r="D2381" t="inlineStr">
        <is>
          <t>Language Learning</t>
        </is>
      </c>
      <c r="E2381" t="inlineStr">
        <is>
          <t>North Region</t>
        </is>
      </c>
      <c r="F2381" t="inlineStr">
        <is>
          <t>Rep_06</t>
        </is>
      </c>
      <c r="G2381" t="n">
        <v>1.06</v>
      </c>
      <c r="H2381" t="inlineStr">
        <is>
          <t>Lead</t>
        </is>
      </c>
      <c r="I2381" t="inlineStr">
        <is>
          <t>Open</t>
        </is>
      </c>
      <c r="M2381">
        <f>VLOOKUP(H2381,'Stage Order'!$A$2:$B$8,2,FALSE)</f>
        <v/>
      </c>
      <c r="N2381">
        <f>IF(G2381&lt;=1,"1. Under 1 hour",IF(G2381&lt;=24,"2. 1-24 hours",IF(G2381&lt;=72,"3. 1-3 days","4. Over 3 days")))</f>
        <v/>
      </c>
      <c r="O2381">
        <f>TEXT(B2381,"YYYY-MM")</f>
        <v/>
      </c>
    </row>
    <row r="2382">
      <c r="A2382" t="inlineStr">
        <is>
          <t>LD-302380</t>
        </is>
      </c>
      <c r="B2382" t="inlineStr">
        <is>
          <t>2025-04-25 17:53:00</t>
        </is>
      </c>
      <c r="C2382" t="inlineStr">
        <is>
          <t>Organic Search</t>
        </is>
      </c>
      <c r="D2382" t="inlineStr">
        <is>
          <t>Coding for Kids</t>
        </is>
      </c>
      <c r="E2382" t="inlineStr">
        <is>
          <t>International</t>
        </is>
      </c>
      <c r="F2382" t="inlineStr">
        <is>
          <t>Rep_05</t>
        </is>
      </c>
      <c r="G2382" t="n">
        <v>1.5</v>
      </c>
      <c r="H2382" t="inlineStr">
        <is>
          <t>Contacted</t>
        </is>
      </c>
      <c r="I2382" t="inlineStr">
        <is>
          <t>Open</t>
        </is>
      </c>
      <c r="M2382">
        <f>VLOOKUP(H2382,'Stage Order'!$A$2:$B$8,2,FALSE)</f>
        <v/>
      </c>
      <c r="N2382">
        <f>IF(G2382&lt;=1,"1. Under 1 hour",IF(G2382&lt;=24,"2. 1-24 hours",IF(G2382&lt;=72,"3. 1-3 days","4. Over 3 days")))</f>
        <v/>
      </c>
      <c r="O2382">
        <f>TEXT(B2382,"YYYY-MM")</f>
        <v/>
      </c>
    </row>
    <row r="2383">
      <c r="A2383" t="inlineStr">
        <is>
          <t>LD-302381</t>
        </is>
      </c>
      <c r="B2383" t="inlineStr">
        <is>
          <t>2026-04-09 12:25:00</t>
        </is>
      </c>
      <c r="C2383" t="inlineStr">
        <is>
          <t>Partner Channel</t>
        </is>
      </c>
      <c r="D2383" t="inlineStr">
        <is>
          <t>Competitive Exam Prep</t>
        </is>
      </c>
      <c r="E2383" t="inlineStr">
        <is>
          <t>North Region</t>
        </is>
      </c>
      <c r="F2383" t="inlineStr">
        <is>
          <t>Rep_06</t>
        </is>
      </c>
      <c r="G2383" t="n">
        <v>3.47</v>
      </c>
      <c r="H2383" t="inlineStr">
        <is>
          <t>Lead</t>
        </is>
      </c>
      <c r="I2383" t="inlineStr">
        <is>
          <t>Open</t>
        </is>
      </c>
      <c r="M2383">
        <f>VLOOKUP(H2383,'Stage Order'!$A$2:$B$8,2,FALSE)</f>
        <v/>
      </c>
      <c r="N2383">
        <f>IF(G2383&lt;=1,"1. Under 1 hour",IF(G2383&lt;=24,"2. 1-24 hours",IF(G2383&lt;=72,"3. 1-3 days","4. Over 3 days")))</f>
        <v/>
      </c>
      <c r="O2383">
        <f>TEXT(B2383,"YYYY-MM")</f>
        <v/>
      </c>
    </row>
    <row r="2384">
      <c r="A2384" t="inlineStr">
        <is>
          <t>LD-302382</t>
        </is>
      </c>
      <c r="B2384" t="inlineStr">
        <is>
          <t>2025-06-29 14:11:00</t>
        </is>
      </c>
      <c r="C2384" t="inlineStr">
        <is>
          <t>Referral</t>
        </is>
      </c>
      <c r="D2384" t="inlineStr">
        <is>
          <t>K-12 Math</t>
        </is>
      </c>
      <c r="E2384" t="inlineStr">
        <is>
          <t>North Region</t>
        </is>
      </c>
      <c r="F2384" t="inlineStr">
        <is>
          <t>Rep_06</t>
        </is>
      </c>
      <c r="G2384" t="n">
        <v>7.31</v>
      </c>
      <c r="H2384" t="inlineStr">
        <is>
          <t>Contacted</t>
        </is>
      </c>
      <c r="I2384" t="inlineStr">
        <is>
          <t>Open</t>
        </is>
      </c>
      <c r="M2384">
        <f>VLOOKUP(H2384,'Stage Order'!$A$2:$B$8,2,FALSE)</f>
        <v/>
      </c>
      <c r="N2384">
        <f>IF(G2384&lt;=1,"1. Under 1 hour",IF(G2384&lt;=24,"2. 1-24 hours",IF(G2384&lt;=72,"3. 1-3 days","4. Over 3 days")))</f>
        <v/>
      </c>
      <c r="O2384">
        <f>TEXT(B2384,"YYYY-MM")</f>
        <v/>
      </c>
    </row>
    <row r="2385">
      <c r="A2385" t="inlineStr">
        <is>
          <t>LD-302383</t>
        </is>
      </c>
      <c r="B2385" t="inlineStr">
        <is>
          <t>2025-10-17 14:05:00</t>
        </is>
      </c>
      <c r="C2385" t="inlineStr">
        <is>
          <t>Paid Search</t>
        </is>
      </c>
      <c r="D2385" t="inlineStr">
        <is>
          <t>Language Learning</t>
        </is>
      </c>
      <c r="E2385" t="inlineStr">
        <is>
          <t>West Region</t>
        </is>
      </c>
      <c r="F2385" t="inlineStr">
        <is>
          <t>Rep_03</t>
        </is>
      </c>
      <c r="G2385" t="n">
        <v>2.88</v>
      </c>
      <c r="H2385" t="inlineStr">
        <is>
          <t>Contacted</t>
        </is>
      </c>
      <c r="I2385" t="inlineStr">
        <is>
          <t>Open</t>
        </is>
      </c>
      <c r="M2385">
        <f>VLOOKUP(H2385,'Stage Order'!$A$2:$B$8,2,FALSE)</f>
        <v/>
      </c>
      <c r="N2385">
        <f>IF(G2385&lt;=1,"1. Under 1 hour",IF(G2385&lt;=24,"2. 1-24 hours",IF(G2385&lt;=72,"3. 1-3 days","4. Over 3 days")))</f>
        <v/>
      </c>
      <c r="O2385">
        <f>TEXT(B2385,"YYYY-MM")</f>
        <v/>
      </c>
    </row>
    <row r="2386">
      <c r="A2386" t="inlineStr">
        <is>
          <t>LD-302384</t>
        </is>
      </c>
      <c r="B2386" t="inlineStr">
        <is>
          <t>2026-01-07 09:16:00</t>
        </is>
      </c>
      <c r="C2386" t="inlineStr">
        <is>
          <t>Organic Search</t>
        </is>
      </c>
      <c r="D2386" t="inlineStr">
        <is>
          <t>Language Learning</t>
        </is>
      </c>
      <c r="E2386" t="inlineStr">
        <is>
          <t>West Region</t>
        </is>
      </c>
      <c r="F2386" t="inlineStr">
        <is>
          <t>Rep_08</t>
        </is>
      </c>
      <c r="G2386" t="n">
        <v>1.18</v>
      </c>
      <c r="H2386" t="inlineStr">
        <is>
          <t>Negotiation</t>
        </is>
      </c>
      <c r="I2386" t="inlineStr">
        <is>
          <t>Lost</t>
        </is>
      </c>
      <c r="J2386" t="inlineStr">
        <is>
          <t>No Response / Ghosted</t>
        </is>
      </c>
      <c r="K2386" t="n">
        <v>385.58</v>
      </c>
      <c r="L2386" t="inlineStr">
        <is>
          <t>2026-03-01 20:28:53.596462</t>
        </is>
      </c>
      <c r="M2386">
        <f>VLOOKUP(H2386,'Stage Order'!$A$2:$B$8,2,FALSE)</f>
        <v/>
      </c>
      <c r="N2386">
        <f>IF(G2386&lt;=1,"1. Under 1 hour",IF(G2386&lt;=24,"2. 1-24 hours",IF(G2386&lt;=72,"3. 1-3 days","4. Over 3 days")))</f>
        <v/>
      </c>
      <c r="O2386">
        <f>TEXT(B2386,"YYYY-MM")</f>
        <v/>
      </c>
    </row>
    <row r="2387">
      <c r="A2387" t="inlineStr">
        <is>
          <t>LD-302385</t>
        </is>
      </c>
      <c r="B2387" t="inlineStr">
        <is>
          <t>2025-06-19 16:45:00</t>
        </is>
      </c>
      <c r="C2387" t="inlineStr">
        <is>
          <t>Referral</t>
        </is>
      </c>
      <c r="D2387" t="inlineStr">
        <is>
          <t>Coding for Kids</t>
        </is>
      </c>
      <c r="E2387" t="inlineStr">
        <is>
          <t>South Region</t>
        </is>
      </c>
      <c r="F2387" t="inlineStr">
        <is>
          <t>Rep_07</t>
        </is>
      </c>
      <c r="G2387" t="n">
        <v>1.06</v>
      </c>
      <c r="H2387" t="inlineStr">
        <is>
          <t>Contacted</t>
        </is>
      </c>
      <c r="I2387" t="inlineStr">
        <is>
          <t>Open</t>
        </is>
      </c>
      <c r="M2387">
        <f>VLOOKUP(H2387,'Stage Order'!$A$2:$B$8,2,FALSE)</f>
        <v/>
      </c>
      <c r="N2387">
        <f>IF(G2387&lt;=1,"1. Under 1 hour",IF(G2387&lt;=24,"2. 1-24 hours",IF(G2387&lt;=72,"3. 1-3 days","4. Over 3 days")))</f>
        <v/>
      </c>
      <c r="O2387">
        <f>TEXT(B2387,"YYYY-MM")</f>
        <v/>
      </c>
    </row>
    <row r="2388">
      <c r="A2388" t="inlineStr">
        <is>
          <t>LD-302386</t>
        </is>
      </c>
      <c r="B2388" t="inlineStr">
        <is>
          <t>2025-08-29 07:52:00</t>
        </is>
      </c>
      <c r="C2388" t="inlineStr">
        <is>
          <t>Paid Search</t>
        </is>
      </c>
      <c r="D2388" t="inlineStr">
        <is>
          <t>Study Abroad Prep</t>
        </is>
      </c>
      <c r="E2388" t="inlineStr">
        <is>
          <t>South Region</t>
        </is>
      </c>
      <c r="F2388" t="inlineStr">
        <is>
          <t>Rep_07</t>
        </is>
      </c>
      <c r="G2388" t="n">
        <v>5.88</v>
      </c>
      <c r="H2388" t="inlineStr">
        <is>
          <t>Contacted</t>
        </is>
      </c>
      <c r="I2388" t="inlineStr">
        <is>
          <t>Open</t>
        </is>
      </c>
      <c r="M2388">
        <f>VLOOKUP(H2388,'Stage Order'!$A$2:$B$8,2,FALSE)</f>
        <v/>
      </c>
      <c r="N2388">
        <f>IF(G2388&lt;=1,"1. Under 1 hour",IF(G2388&lt;=24,"2. 1-24 hours",IF(G2388&lt;=72,"3. 1-3 days","4. Over 3 days")))</f>
        <v/>
      </c>
      <c r="O2388">
        <f>TEXT(B2388,"YYYY-MM")</f>
        <v/>
      </c>
    </row>
    <row r="2389">
      <c r="A2389" t="inlineStr">
        <is>
          <t>LD-302387</t>
        </is>
      </c>
      <c r="B2389" t="inlineStr">
        <is>
          <t>2025-11-13 07:46:00</t>
        </is>
      </c>
      <c r="C2389" t="inlineStr">
        <is>
          <t>Organic Search</t>
        </is>
      </c>
      <c r="D2389" t="inlineStr">
        <is>
          <t>Language Learning</t>
        </is>
      </c>
      <c r="E2389" t="inlineStr">
        <is>
          <t>South Region</t>
        </is>
      </c>
      <c r="F2389" t="inlineStr">
        <is>
          <t>Rep_12</t>
        </is>
      </c>
      <c r="G2389" t="n">
        <v>4.59</v>
      </c>
      <c r="H2389" t="inlineStr">
        <is>
          <t>Negotiation</t>
        </is>
      </c>
      <c r="I2389" t="inlineStr">
        <is>
          <t>Lost</t>
        </is>
      </c>
      <c r="J2389" t="inlineStr">
        <is>
          <t>No Response / Ghosted</t>
        </is>
      </c>
      <c r="K2389" t="n">
        <v>328.67</v>
      </c>
      <c r="L2389" t="inlineStr">
        <is>
          <t>2026-01-03 18:10:10.599169</t>
        </is>
      </c>
      <c r="M2389">
        <f>VLOOKUP(H2389,'Stage Order'!$A$2:$B$8,2,FALSE)</f>
        <v/>
      </c>
      <c r="N2389">
        <f>IF(G2389&lt;=1,"1. Under 1 hour",IF(G2389&lt;=24,"2. 1-24 hours",IF(G2389&lt;=72,"3. 1-3 days","4. Over 3 days")))</f>
        <v/>
      </c>
      <c r="O2389">
        <f>TEXT(B2389,"YYYY-MM")</f>
        <v/>
      </c>
    </row>
    <row r="2390">
      <c r="A2390" t="inlineStr">
        <is>
          <t>LD-302388</t>
        </is>
      </c>
      <c r="B2390" t="inlineStr">
        <is>
          <t>2025-08-15 11:08:00</t>
        </is>
      </c>
      <c r="C2390" t="inlineStr">
        <is>
          <t>Webinar</t>
        </is>
      </c>
      <c r="D2390" t="inlineStr">
        <is>
          <t>Study Abroad Prep</t>
        </is>
      </c>
      <c r="E2390" t="inlineStr">
        <is>
          <t>South Region</t>
        </is>
      </c>
      <c r="F2390" t="inlineStr">
        <is>
          <t>Rep_07</t>
        </is>
      </c>
      <c r="G2390" t="n">
        <v>0.62</v>
      </c>
      <c r="H2390" t="inlineStr">
        <is>
          <t>Contacted</t>
        </is>
      </c>
      <c r="I2390" t="inlineStr">
        <is>
          <t>Open</t>
        </is>
      </c>
      <c r="M2390">
        <f>VLOOKUP(H2390,'Stage Order'!$A$2:$B$8,2,FALSE)</f>
        <v/>
      </c>
      <c r="N2390">
        <f>IF(G2390&lt;=1,"1. Under 1 hour",IF(G2390&lt;=24,"2. 1-24 hours",IF(G2390&lt;=72,"3. 1-3 days","4. Over 3 days")))</f>
        <v/>
      </c>
      <c r="O2390">
        <f>TEXT(B2390,"YYYY-MM")</f>
        <v/>
      </c>
    </row>
    <row r="2391">
      <c r="A2391" t="inlineStr">
        <is>
          <t>LD-302389</t>
        </is>
      </c>
      <c r="B2391" t="inlineStr">
        <is>
          <t>2025-05-02 09:45:00</t>
        </is>
      </c>
      <c r="C2391" t="inlineStr">
        <is>
          <t>Organic Search</t>
        </is>
      </c>
      <c r="D2391" t="inlineStr">
        <is>
          <t>Competitive Exam Prep</t>
        </is>
      </c>
      <c r="E2391" t="inlineStr">
        <is>
          <t>International</t>
        </is>
      </c>
      <c r="F2391" t="inlineStr">
        <is>
          <t>Rep_15</t>
        </is>
      </c>
      <c r="G2391" t="n">
        <v>8.029999999999999</v>
      </c>
      <c r="H2391" t="inlineStr">
        <is>
          <t>Contacted</t>
        </is>
      </c>
      <c r="I2391" t="inlineStr">
        <is>
          <t>Open</t>
        </is>
      </c>
      <c r="M2391">
        <f>VLOOKUP(H2391,'Stage Order'!$A$2:$B$8,2,FALSE)</f>
        <v/>
      </c>
      <c r="N2391">
        <f>IF(G2391&lt;=1,"1. Under 1 hour",IF(G2391&lt;=24,"2. 1-24 hours",IF(G2391&lt;=72,"3. 1-3 days","4. Over 3 days")))</f>
        <v/>
      </c>
      <c r="O2391">
        <f>TEXT(B2391,"YYYY-MM")</f>
        <v/>
      </c>
    </row>
    <row r="2392">
      <c r="A2392" t="inlineStr">
        <is>
          <t>LD-302390</t>
        </is>
      </c>
      <c r="B2392" t="inlineStr">
        <is>
          <t>2025-04-25 16:41:00</t>
        </is>
      </c>
      <c r="C2392" t="inlineStr">
        <is>
          <t>Paid Search</t>
        </is>
      </c>
      <c r="D2392" t="inlineStr">
        <is>
          <t>Language Learning</t>
        </is>
      </c>
      <c r="E2392" t="inlineStr">
        <is>
          <t>South Region</t>
        </is>
      </c>
      <c r="F2392" t="inlineStr">
        <is>
          <t>Rep_12</t>
        </is>
      </c>
      <c r="G2392" t="n">
        <v>7.81</v>
      </c>
      <c r="H2392" t="inlineStr">
        <is>
          <t>Contacted</t>
        </is>
      </c>
      <c r="I2392" t="inlineStr">
        <is>
          <t>Open</t>
        </is>
      </c>
      <c r="M2392">
        <f>VLOOKUP(H2392,'Stage Order'!$A$2:$B$8,2,FALSE)</f>
        <v/>
      </c>
      <c r="N2392">
        <f>IF(G2392&lt;=1,"1. Under 1 hour",IF(G2392&lt;=24,"2. 1-24 hours",IF(G2392&lt;=72,"3. 1-3 days","4. Over 3 days")))</f>
        <v/>
      </c>
      <c r="O2392">
        <f>TEXT(B2392,"YYYY-MM")</f>
        <v/>
      </c>
    </row>
    <row r="2393">
      <c r="A2393" t="inlineStr">
        <is>
          <t>LD-302391</t>
        </is>
      </c>
      <c r="B2393" t="inlineStr">
        <is>
          <t>2026-02-27 20:45:00</t>
        </is>
      </c>
      <c r="C2393" t="inlineStr">
        <is>
          <t>Referral</t>
        </is>
      </c>
      <c r="D2393" t="inlineStr">
        <is>
          <t>K-12 Math</t>
        </is>
      </c>
      <c r="E2393" t="inlineStr">
        <is>
          <t>East Region</t>
        </is>
      </c>
      <c r="F2393" t="inlineStr">
        <is>
          <t>Rep_04</t>
        </is>
      </c>
      <c r="G2393" t="n">
        <v>2.58</v>
      </c>
      <c r="H2393" t="inlineStr">
        <is>
          <t>Contacted</t>
        </is>
      </c>
      <c r="I2393" t="inlineStr">
        <is>
          <t>Open</t>
        </is>
      </c>
      <c r="M2393">
        <f>VLOOKUP(H2393,'Stage Order'!$A$2:$B$8,2,FALSE)</f>
        <v/>
      </c>
      <c r="N2393">
        <f>IF(G2393&lt;=1,"1. Under 1 hour",IF(G2393&lt;=24,"2. 1-24 hours",IF(G2393&lt;=72,"3. 1-3 days","4. Over 3 days")))</f>
        <v/>
      </c>
      <c r="O2393">
        <f>TEXT(B2393,"YYYY-MM")</f>
        <v/>
      </c>
    </row>
    <row r="2394">
      <c r="A2394" t="inlineStr">
        <is>
          <t>LD-302392</t>
        </is>
      </c>
      <c r="B2394" t="inlineStr">
        <is>
          <t>2025-08-08 12:55:00</t>
        </is>
      </c>
      <c r="C2394" t="inlineStr">
        <is>
          <t>Social Media</t>
        </is>
      </c>
      <c r="D2394" t="inlineStr">
        <is>
          <t>K-12 Math</t>
        </is>
      </c>
      <c r="E2394" t="inlineStr">
        <is>
          <t>East Region</t>
        </is>
      </c>
      <c r="F2394" t="inlineStr">
        <is>
          <t>Rep_04</t>
        </is>
      </c>
      <c r="G2394" t="n">
        <v>15</v>
      </c>
      <c r="H2394" t="inlineStr">
        <is>
          <t>Lead</t>
        </is>
      </c>
      <c r="I2394" t="inlineStr">
        <is>
          <t>Open</t>
        </is>
      </c>
      <c r="M2394">
        <f>VLOOKUP(H2394,'Stage Order'!$A$2:$B$8,2,FALSE)</f>
        <v/>
      </c>
      <c r="N2394">
        <f>IF(G2394&lt;=1,"1. Under 1 hour",IF(G2394&lt;=24,"2. 1-24 hours",IF(G2394&lt;=72,"3. 1-3 days","4. Over 3 days")))</f>
        <v/>
      </c>
      <c r="O2394">
        <f>TEXT(B2394,"YYYY-MM")</f>
        <v/>
      </c>
    </row>
    <row r="2395">
      <c r="A2395" t="inlineStr">
        <is>
          <t>LD-302393</t>
        </is>
      </c>
      <c r="B2395" t="inlineStr">
        <is>
          <t>2025-06-18 19:02:00</t>
        </is>
      </c>
      <c r="C2395" t="inlineStr">
        <is>
          <t>Cold Outreach</t>
        </is>
      </c>
      <c r="D2395" t="inlineStr">
        <is>
          <t>K-12 Math</t>
        </is>
      </c>
      <c r="E2395" t="inlineStr">
        <is>
          <t>East Region</t>
        </is>
      </c>
      <c r="F2395" t="inlineStr">
        <is>
          <t>Rep_14</t>
        </is>
      </c>
      <c r="G2395" t="n">
        <v>3.62</v>
      </c>
      <c r="H2395" t="inlineStr">
        <is>
          <t>Contacted</t>
        </is>
      </c>
      <c r="I2395" t="inlineStr">
        <is>
          <t>Open</t>
        </is>
      </c>
      <c r="M2395">
        <f>VLOOKUP(H2395,'Stage Order'!$A$2:$B$8,2,FALSE)</f>
        <v/>
      </c>
      <c r="N2395">
        <f>IF(G2395&lt;=1,"1. Under 1 hour",IF(G2395&lt;=24,"2. 1-24 hours",IF(G2395&lt;=72,"3. 1-3 days","4. Over 3 days")))</f>
        <v/>
      </c>
      <c r="O2395">
        <f>TEXT(B2395,"YYYY-MM")</f>
        <v/>
      </c>
    </row>
    <row r="2396">
      <c r="A2396" t="inlineStr">
        <is>
          <t>LD-302394</t>
        </is>
      </c>
      <c r="B2396" t="inlineStr">
        <is>
          <t>2026-05-06 20:02:00</t>
        </is>
      </c>
      <c r="C2396" t="inlineStr">
        <is>
          <t>Cold Outreach</t>
        </is>
      </c>
      <c r="D2396" t="inlineStr">
        <is>
          <t>K-12 Math</t>
        </is>
      </c>
      <c r="E2396" t="inlineStr">
        <is>
          <t>South Region</t>
        </is>
      </c>
      <c r="F2396" t="inlineStr">
        <is>
          <t>Rep_07</t>
        </is>
      </c>
      <c r="G2396" t="n">
        <v>9.9</v>
      </c>
      <c r="H2396" t="inlineStr">
        <is>
          <t>Negotiation</t>
        </is>
      </c>
      <c r="I2396" t="inlineStr">
        <is>
          <t>Lost</t>
        </is>
      </c>
      <c r="J2396" t="inlineStr">
        <is>
          <t>Bad Timing</t>
        </is>
      </c>
      <c r="K2396" t="n">
        <v>557.65</v>
      </c>
      <c r="L2396" t="inlineStr">
        <is>
          <t>2026-06-22 01:45:29.186710</t>
        </is>
      </c>
      <c r="M2396">
        <f>VLOOKUP(H2396,'Stage Order'!$A$2:$B$8,2,FALSE)</f>
        <v/>
      </c>
      <c r="N2396">
        <f>IF(G2396&lt;=1,"1. Under 1 hour",IF(G2396&lt;=24,"2. 1-24 hours",IF(G2396&lt;=72,"3. 1-3 days","4. Over 3 days")))</f>
        <v/>
      </c>
      <c r="O2396">
        <f>TEXT(B2396,"YYYY-MM")</f>
        <v/>
      </c>
    </row>
    <row r="2397">
      <c r="A2397" t="inlineStr">
        <is>
          <t>LD-302395</t>
        </is>
      </c>
      <c r="B2397" t="inlineStr">
        <is>
          <t>2025-02-05 17:28:00</t>
        </is>
      </c>
      <c r="C2397" t="inlineStr">
        <is>
          <t>Referral</t>
        </is>
      </c>
      <c r="D2397" t="inlineStr">
        <is>
          <t>K-12 Math</t>
        </is>
      </c>
      <c r="E2397" t="inlineStr">
        <is>
          <t>South Region</t>
        </is>
      </c>
      <c r="F2397" t="inlineStr">
        <is>
          <t>Rep_12</t>
        </is>
      </c>
      <c r="G2397" t="n">
        <v>10.15</v>
      </c>
      <c r="H2397" t="inlineStr">
        <is>
          <t>Closed</t>
        </is>
      </c>
      <c r="I2397" t="inlineStr">
        <is>
          <t>Won</t>
        </is>
      </c>
      <c r="K2397" t="n">
        <v>507</v>
      </c>
      <c r="L2397" t="inlineStr">
        <is>
          <t>2025-04-05 12:23:07.192577</t>
        </is>
      </c>
      <c r="M2397">
        <f>VLOOKUP(H2397,'Stage Order'!$A$2:$B$8,2,FALSE)</f>
        <v/>
      </c>
      <c r="N2397">
        <f>IF(G2397&lt;=1,"1. Under 1 hour",IF(G2397&lt;=24,"2. 1-24 hours",IF(G2397&lt;=72,"3. 1-3 days","4. Over 3 days")))</f>
        <v/>
      </c>
      <c r="O2397">
        <f>TEXT(B2397,"YYYY-MM")</f>
        <v/>
      </c>
    </row>
    <row r="2398">
      <c r="A2398" t="inlineStr">
        <is>
          <t>LD-302396</t>
        </is>
      </c>
      <c r="B2398" t="inlineStr">
        <is>
          <t>2026-02-06 13:39:00</t>
        </is>
      </c>
      <c r="C2398" t="inlineStr">
        <is>
          <t>Paid Search</t>
        </is>
      </c>
      <c r="D2398" t="inlineStr">
        <is>
          <t>Language Learning</t>
        </is>
      </c>
      <c r="E2398" t="inlineStr">
        <is>
          <t>South Region</t>
        </is>
      </c>
      <c r="F2398" t="inlineStr">
        <is>
          <t>Rep_07</t>
        </is>
      </c>
      <c r="G2398" t="n">
        <v>1.66</v>
      </c>
      <c r="H2398" t="inlineStr">
        <is>
          <t>Contacted</t>
        </is>
      </c>
      <c r="I2398" t="inlineStr">
        <is>
          <t>Open</t>
        </is>
      </c>
      <c r="M2398">
        <f>VLOOKUP(H2398,'Stage Order'!$A$2:$B$8,2,FALSE)</f>
        <v/>
      </c>
      <c r="N2398">
        <f>IF(G2398&lt;=1,"1. Under 1 hour",IF(G2398&lt;=24,"2. 1-24 hours",IF(G2398&lt;=72,"3. 1-3 days","4. Over 3 days")))</f>
        <v/>
      </c>
      <c r="O2398">
        <f>TEXT(B2398,"YYYY-MM")</f>
        <v/>
      </c>
    </row>
    <row r="2399">
      <c r="A2399" t="inlineStr">
        <is>
          <t>LD-302397</t>
        </is>
      </c>
      <c r="B2399" t="inlineStr">
        <is>
          <t>2025-07-11 11:18:00</t>
        </is>
      </c>
      <c r="C2399" t="inlineStr">
        <is>
          <t>Paid Search</t>
        </is>
      </c>
      <c r="D2399" t="inlineStr">
        <is>
          <t>Competitive Exam Prep</t>
        </is>
      </c>
      <c r="E2399" t="inlineStr">
        <is>
          <t>South Region</t>
        </is>
      </c>
      <c r="F2399" t="inlineStr">
        <is>
          <t>Rep_02</t>
        </is>
      </c>
      <c r="G2399" t="n">
        <v>1.11</v>
      </c>
      <c r="H2399" t="inlineStr">
        <is>
          <t>Contacted</t>
        </is>
      </c>
      <c r="I2399" t="inlineStr">
        <is>
          <t>Open</t>
        </is>
      </c>
      <c r="M2399">
        <f>VLOOKUP(H2399,'Stage Order'!$A$2:$B$8,2,FALSE)</f>
        <v/>
      </c>
      <c r="N2399">
        <f>IF(G2399&lt;=1,"1. Under 1 hour",IF(G2399&lt;=24,"2. 1-24 hours",IF(G2399&lt;=72,"3. 1-3 days","4. Over 3 days")))</f>
        <v/>
      </c>
      <c r="O2399">
        <f>TEXT(B2399,"YYYY-MM")</f>
        <v/>
      </c>
    </row>
    <row r="2400">
      <c r="A2400" t="inlineStr">
        <is>
          <t>LD-302398</t>
        </is>
      </c>
      <c r="B2400" t="inlineStr">
        <is>
          <t>2025-07-10 15:38:00</t>
        </is>
      </c>
      <c r="C2400" t="inlineStr">
        <is>
          <t>Webinar</t>
        </is>
      </c>
      <c r="D2400" t="inlineStr">
        <is>
          <t>Language Learning</t>
        </is>
      </c>
      <c r="E2400" t="inlineStr">
        <is>
          <t>South Region</t>
        </is>
      </c>
      <c r="F2400" t="inlineStr">
        <is>
          <t>Rep_07</t>
        </is>
      </c>
      <c r="G2400" t="n">
        <v>2.77</v>
      </c>
      <c r="H2400" t="inlineStr">
        <is>
          <t>Contacted</t>
        </is>
      </c>
      <c r="I2400" t="inlineStr">
        <is>
          <t>Open</t>
        </is>
      </c>
      <c r="M2400">
        <f>VLOOKUP(H2400,'Stage Order'!$A$2:$B$8,2,FALSE)</f>
        <v/>
      </c>
      <c r="N2400">
        <f>IF(G2400&lt;=1,"1. Under 1 hour",IF(G2400&lt;=24,"2. 1-24 hours",IF(G2400&lt;=72,"3. 1-3 days","4. Over 3 days")))</f>
        <v/>
      </c>
      <c r="O2400">
        <f>TEXT(B2400,"YYYY-MM")</f>
        <v/>
      </c>
    </row>
    <row r="2401">
      <c r="A2401" t="inlineStr">
        <is>
          <t>LD-302399</t>
        </is>
      </c>
      <c r="B2401" t="inlineStr">
        <is>
          <t>2026-05-09 18:27:00</t>
        </is>
      </c>
      <c r="C2401" t="inlineStr">
        <is>
          <t>Social Media</t>
        </is>
      </c>
      <c r="D2401" t="inlineStr">
        <is>
          <t>Study Abroad Prep</t>
        </is>
      </c>
      <c r="E2401" t="inlineStr">
        <is>
          <t>South Region</t>
        </is>
      </c>
      <c r="F2401" t="inlineStr">
        <is>
          <t>Rep_12</t>
        </is>
      </c>
      <c r="G2401" t="n">
        <v>1.8</v>
      </c>
      <c r="H2401" t="inlineStr">
        <is>
          <t>Lead</t>
        </is>
      </c>
      <c r="I2401" t="inlineStr">
        <is>
          <t>Open</t>
        </is>
      </c>
      <c r="M2401">
        <f>VLOOKUP(H2401,'Stage Order'!$A$2:$B$8,2,FALSE)</f>
        <v/>
      </c>
      <c r="N2401">
        <f>IF(G2401&lt;=1,"1. Under 1 hour",IF(G2401&lt;=24,"2. 1-24 hours",IF(G2401&lt;=72,"3. 1-3 days","4. Over 3 days")))</f>
        <v/>
      </c>
      <c r="O2401">
        <f>TEXT(B2401,"YYYY-MM")</f>
        <v/>
      </c>
    </row>
    <row r="2402">
      <c r="A2402" t="inlineStr">
        <is>
          <t>LD-302400</t>
        </is>
      </c>
      <c r="B2402" t="inlineStr">
        <is>
          <t>2025-10-24 20:25:00</t>
        </is>
      </c>
      <c r="C2402" t="inlineStr">
        <is>
          <t>Partner Channel</t>
        </is>
      </c>
      <c r="D2402" t="inlineStr">
        <is>
          <t>Competitive Exam Prep</t>
        </is>
      </c>
      <c r="E2402" t="inlineStr">
        <is>
          <t>South Region</t>
        </is>
      </c>
      <c r="F2402" t="inlineStr">
        <is>
          <t>Rep_02</t>
        </is>
      </c>
      <c r="G2402" t="n">
        <v>0.85</v>
      </c>
      <c r="H2402" t="inlineStr">
        <is>
          <t>Closed</t>
        </is>
      </c>
      <c r="I2402" t="inlineStr">
        <is>
          <t>Won</t>
        </is>
      </c>
      <c r="K2402" t="n">
        <v>976.77</v>
      </c>
      <c r="L2402" t="inlineStr">
        <is>
          <t>2025-11-26 02:15:00.093979</t>
        </is>
      </c>
      <c r="M2402">
        <f>VLOOKUP(H2402,'Stage Order'!$A$2:$B$8,2,FALSE)</f>
        <v/>
      </c>
      <c r="N2402">
        <f>IF(G2402&lt;=1,"1. Under 1 hour",IF(G2402&lt;=24,"2. 1-24 hours",IF(G2402&lt;=72,"3. 1-3 days","4. Over 3 days")))</f>
        <v/>
      </c>
      <c r="O2402">
        <f>TEXT(B2402,"YYYY-MM")</f>
        <v/>
      </c>
    </row>
    <row r="2403">
      <c r="A2403" t="inlineStr">
        <is>
          <t>LD-302401</t>
        </is>
      </c>
      <c r="B2403" t="inlineStr">
        <is>
          <t>2025-05-30 19:06:00</t>
        </is>
      </c>
      <c r="C2403" t="inlineStr">
        <is>
          <t>Paid Search</t>
        </is>
      </c>
      <c r="D2403" t="inlineStr">
        <is>
          <t>Competitive Exam Prep</t>
        </is>
      </c>
      <c r="E2403" t="inlineStr">
        <is>
          <t>East Region</t>
        </is>
      </c>
      <c r="F2403" t="inlineStr">
        <is>
          <t>Rep_04</t>
        </is>
      </c>
      <c r="G2403" t="n">
        <v>8.66</v>
      </c>
      <c r="H2403" t="inlineStr">
        <is>
          <t>Demo Scheduled</t>
        </is>
      </c>
      <c r="I2403" t="inlineStr">
        <is>
          <t>Open</t>
        </is>
      </c>
      <c r="M2403">
        <f>VLOOKUP(H2403,'Stage Order'!$A$2:$B$8,2,FALSE)</f>
        <v/>
      </c>
      <c r="N2403">
        <f>IF(G2403&lt;=1,"1. Under 1 hour",IF(G2403&lt;=24,"2. 1-24 hours",IF(G2403&lt;=72,"3. 1-3 days","4. Over 3 days")))</f>
        <v/>
      </c>
      <c r="O2403">
        <f>TEXT(B2403,"YYYY-MM")</f>
        <v/>
      </c>
    </row>
    <row r="2404">
      <c r="A2404" t="inlineStr">
        <is>
          <t>LD-302402</t>
        </is>
      </c>
      <c r="B2404" t="inlineStr">
        <is>
          <t>2025-01-09 10:54:00</t>
        </is>
      </c>
      <c r="C2404" t="inlineStr">
        <is>
          <t>Partner Channel</t>
        </is>
      </c>
      <c r="D2404" t="inlineStr">
        <is>
          <t>K-12 Math</t>
        </is>
      </c>
      <c r="E2404" t="inlineStr">
        <is>
          <t>West Region</t>
        </is>
      </c>
      <c r="F2404" t="inlineStr">
        <is>
          <t>Rep_13</t>
        </is>
      </c>
      <c r="G2404" t="n">
        <v>17.05</v>
      </c>
      <c r="H2404" t="inlineStr">
        <is>
          <t>Contacted</t>
        </is>
      </c>
      <c r="I2404" t="inlineStr">
        <is>
          <t>Open</t>
        </is>
      </c>
      <c r="M2404">
        <f>VLOOKUP(H2404,'Stage Order'!$A$2:$B$8,2,FALSE)</f>
        <v/>
      </c>
      <c r="N2404">
        <f>IF(G2404&lt;=1,"1. Under 1 hour",IF(G2404&lt;=24,"2. 1-24 hours",IF(G2404&lt;=72,"3. 1-3 days","4. Over 3 days")))</f>
        <v/>
      </c>
      <c r="O2404">
        <f>TEXT(B2404,"YYYY-MM")</f>
        <v/>
      </c>
    </row>
    <row r="2405">
      <c r="A2405" t="inlineStr">
        <is>
          <t>LD-302403</t>
        </is>
      </c>
      <c r="B2405" t="inlineStr">
        <is>
          <t>2025-05-02 11:27:00</t>
        </is>
      </c>
      <c r="C2405" t="inlineStr">
        <is>
          <t>Organic Search</t>
        </is>
      </c>
      <c r="D2405" t="inlineStr">
        <is>
          <t>K-12 Math</t>
        </is>
      </c>
      <c r="E2405" t="inlineStr">
        <is>
          <t>South Region</t>
        </is>
      </c>
      <c r="F2405" t="inlineStr">
        <is>
          <t>Rep_07</t>
        </is>
      </c>
      <c r="G2405" t="n">
        <v>1.01</v>
      </c>
      <c r="H2405" t="inlineStr">
        <is>
          <t>Negotiation</t>
        </is>
      </c>
      <c r="I2405" t="inlineStr">
        <is>
          <t>Lost</t>
        </is>
      </c>
      <c r="J2405" t="inlineStr">
        <is>
          <t>No Response / Ghosted</t>
        </is>
      </c>
      <c r="K2405" t="n">
        <v>582.12</v>
      </c>
      <c r="L2405" t="inlineStr">
        <is>
          <t>2025-06-18 21:01:37.416142</t>
        </is>
      </c>
      <c r="M2405">
        <f>VLOOKUP(H2405,'Stage Order'!$A$2:$B$8,2,FALSE)</f>
        <v/>
      </c>
      <c r="N2405">
        <f>IF(G2405&lt;=1,"1. Under 1 hour",IF(G2405&lt;=24,"2. 1-24 hours",IF(G2405&lt;=72,"3. 1-3 days","4. Over 3 days")))</f>
        <v/>
      </c>
      <c r="O2405">
        <f>TEXT(B2405,"YYYY-MM")</f>
        <v/>
      </c>
    </row>
    <row r="2406">
      <c r="A2406" t="inlineStr">
        <is>
          <t>LD-302404</t>
        </is>
      </c>
      <c r="B2406" t="inlineStr">
        <is>
          <t>2025-03-14 11:08:00</t>
        </is>
      </c>
      <c r="C2406" t="inlineStr">
        <is>
          <t>Organic Search</t>
        </is>
      </c>
      <c r="D2406" t="inlineStr">
        <is>
          <t>Competitive Exam Prep</t>
        </is>
      </c>
      <c r="E2406" t="inlineStr">
        <is>
          <t>West Region</t>
        </is>
      </c>
      <c r="F2406" t="inlineStr">
        <is>
          <t>Rep_08</t>
        </is>
      </c>
      <c r="G2406" t="n">
        <v>2.75</v>
      </c>
      <c r="H2406" t="inlineStr">
        <is>
          <t>Contacted</t>
        </is>
      </c>
      <c r="I2406" t="inlineStr">
        <is>
          <t>Open</t>
        </is>
      </c>
      <c r="M2406">
        <f>VLOOKUP(H2406,'Stage Order'!$A$2:$B$8,2,FALSE)</f>
        <v/>
      </c>
      <c r="N2406">
        <f>IF(G2406&lt;=1,"1. Under 1 hour",IF(G2406&lt;=24,"2. 1-24 hours",IF(G2406&lt;=72,"3. 1-3 days","4. Over 3 days")))</f>
        <v/>
      </c>
      <c r="O2406">
        <f>TEXT(B2406,"YYYY-MM")</f>
        <v/>
      </c>
    </row>
    <row r="2407">
      <c r="A2407" t="inlineStr">
        <is>
          <t>LD-302405</t>
        </is>
      </c>
      <c r="B2407" t="inlineStr">
        <is>
          <t>2025-03-05 19:15:00</t>
        </is>
      </c>
      <c r="C2407" t="inlineStr">
        <is>
          <t>Paid Search</t>
        </is>
      </c>
      <c r="D2407" t="inlineStr">
        <is>
          <t>Competitive Exam Prep</t>
        </is>
      </c>
      <c r="E2407" t="inlineStr">
        <is>
          <t>South Region</t>
        </is>
      </c>
      <c r="F2407" t="inlineStr">
        <is>
          <t>Rep_02</t>
        </is>
      </c>
      <c r="G2407" t="n">
        <v>10.2</v>
      </c>
      <c r="H2407" t="inlineStr">
        <is>
          <t>Contacted</t>
        </is>
      </c>
      <c r="I2407" t="inlineStr">
        <is>
          <t>Open</t>
        </is>
      </c>
      <c r="M2407">
        <f>VLOOKUP(H2407,'Stage Order'!$A$2:$B$8,2,FALSE)</f>
        <v/>
      </c>
      <c r="N2407">
        <f>IF(G2407&lt;=1,"1. Under 1 hour",IF(G2407&lt;=24,"2. 1-24 hours",IF(G2407&lt;=72,"3. 1-3 days","4. Over 3 days")))</f>
        <v/>
      </c>
      <c r="O2407">
        <f>TEXT(B2407,"YYYY-MM")</f>
        <v/>
      </c>
    </row>
    <row r="2408">
      <c r="A2408" t="inlineStr">
        <is>
          <t>LD-302406</t>
        </is>
      </c>
      <c r="B2408" t="inlineStr">
        <is>
          <t>2026-06-19 20:56:00</t>
        </is>
      </c>
      <c r="C2408" t="inlineStr">
        <is>
          <t>Organic Search</t>
        </is>
      </c>
      <c r="D2408" t="inlineStr">
        <is>
          <t>Coding for Kids</t>
        </is>
      </c>
      <c r="E2408" t="inlineStr">
        <is>
          <t>East Region</t>
        </is>
      </c>
      <c r="F2408" t="inlineStr">
        <is>
          <t>Rep_14</t>
        </is>
      </c>
      <c r="G2408" t="n">
        <v>4.1</v>
      </c>
      <c r="H2408" t="inlineStr">
        <is>
          <t>Contacted</t>
        </is>
      </c>
      <c r="I2408" t="inlineStr">
        <is>
          <t>Open</t>
        </is>
      </c>
      <c r="M2408">
        <f>VLOOKUP(H2408,'Stage Order'!$A$2:$B$8,2,FALSE)</f>
        <v/>
      </c>
      <c r="N2408">
        <f>IF(G2408&lt;=1,"1. Under 1 hour",IF(G2408&lt;=24,"2. 1-24 hours",IF(G2408&lt;=72,"3. 1-3 days","4. Over 3 days")))</f>
        <v/>
      </c>
      <c r="O2408">
        <f>TEXT(B2408,"YYYY-MM")</f>
        <v/>
      </c>
    </row>
    <row r="2409">
      <c r="A2409" t="inlineStr">
        <is>
          <t>LD-302407</t>
        </is>
      </c>
      <c r="B2409" t="inlineStr">
        <is>
          <t>2025-11-14 08:13:00</t>
        </is>
      </c>
      <c r="C2409" t="inlineStr">
        <is>
          <t>Referral</t>
        </is>
      </c>
      <c r="D2409" t="inlineStr">
        <is>
          <t>Coding for Kids</t>
        </is>
      </c>
      <c r="E2409" t="inlineStr">
        <is>
          <t>North Region</t>
        </is>
      </c>
      <c r="F2409" t="inlineStr">
        <is>
          <t>Rep_11</t>
        </is>
      </c>
      <c r="G2409" t="n">
        <v>5.21</v>
      </c>
      <c r="H2409" t="inlineStr">
        <is>
          <t>Contacted</t>
        </is>
      </c>
      <c r="I2409" t="inlineStr">
        <is>
          <t>Open</t>
        </is>
      </c>
      <c r="M2409">
        <f>VLOOKUP(H2409,'Stage Order'!$A$2:$B$8,2,FALSE)</f>
        <v/>
      </c>
      <c r="N2409">
        <f>IF(G2409&lt;=1,"1. Under 1 hour",IF(G2409&lt;=24,"2. 1-24 hours",IF(G2409&lt;=72,"3. 1-3 days","4. Over 3 days")))</f>
        <v/>
      </c>
      <c r="O2409">
        <f>TEXT(B2409,"YYYY-MM")</f>
        <v/>
      </c>
    </row>
    <row r="2410">
      <c r="A2410" t="inlineStr">
        <is>
          <t>LD-302408</t>
        </is>
      </c>
      <c r="B2410" t="inlineStr">
        <is>
          <t>2026-04-10 15:16:00</t>
        </is>
      </c>
      <c r="C2410" t="inlineStr">
        <is>
          <t>Social Media</t>
        </is>
      </c>
      <c r="D2410" t="inlineStr">
        <is>
          <t>Study Abroad Prep</t>
        </is>
      </c>
      <c r="E2410" t="inlineStr">
        <is>
          <t>North Region</t>
        </is>
      </c>
      <c r="F2410" t="inlineStr">
        <is>
          <t>Rep_06</t>
        </is>
      </c>
      <c r="G2410" t="n">
        <v>7.05</v>
      </c>
      <c r="H2410" t="inlineStr">
        <is>
          <t>Contacted</t>
        </is>
      </c>
      <c r="I2410" t="inlineStr">
        <is>
          <t>Open</t>
        </is>
      </c>
      <c r="M2410">
        <f>VLOOKUP(H2410,'Stage Order'!$A$2:$B$8,2,FALSE)</f>
        <v/>
      </c>
      <c r="N2410">
        <f>IF(G2410&lt;=1,"1. Under 1 hour",IF(G2410&lt;=24,"2. 1-24 hours",IF(G2410&lt;=72,"3. 1-3 days","4. Over 3 days")))</f>
        <v/>
      </c>
      <c r="O2410">
        <f>TEXT(B2410,"YYYY-MM")</f>
        <v/>
      </c>
    </row>
    <row r="2411">
      <c r="A2411" t="inlineStr">
        <is>
          <t>LD-302409</t>
        </is>
      </c>
      <c r="B2411" t="inlineStr">
        <is>
          <t>2026-03-06 07:03:00</t>
        </is>
      </c>
      <c r="C2411" t="inlineStr">
        <is>
          <t>Paid Search</t>
        </is>
      </c>
      <c r="D2411" t="inlineStr">
        <is>
          <t>Coding for Kids</t>
        </is>
      </c>
      <c r="E2411" t="inlineStr">
        <is>
          <t>International</t>
        </is>
      </c>
      <c r="F2411" t="inlineStr">
        <is>
          <t>Rep_05</t>
        </is>
      </c>
      <c r="G2411" t="n">
        <v>4.16</v>
      </c>
      <c r="H2411" t="inlineStr">
        <is>
          <t>Contacted</t>
        </is>
      </c>
      <c r="I2411" t="inlineStr">
        <is>
          <t>Open</t>
        </is>
      </c>
      <c r="M2411">
        <f>VLOOKUP(H2411,'Stage Order'!$A$2:$B$8,2,FALSE)</f>
        <v/>
      </c>
      <c r="N2411">
        <f>IF(G2411&lt;=1,"1. Under 1 hour",IF(G2411&lt;=24,"2. 1-24 hours",IF(G2411&lt;=72,"3. 1-3 days","4. Over 3 days")))</f>
        <v/>
      </c>
      <c r="O2411">
        <f>TEXT(B2411,"YYYY-MM")</f>
        <v/>
      </c>
    </row>
    <row r="2412">
      <c r="A2412" t="inlineStr">
        <is>
          <t>LD-302410</t>
        </is>
      </c>
      <c r="B2412" t="inlineStr">
        <is>
          <t>2026-03-18 07:39:00</t>
        </is>
      </c>
      <c r="C2412" t="inlineStr">
        <is>
          <t>Paid Search</t>
        </is>
      </c>
      <c r="D2412" t="inlineStr">
        <is>
          <t>K-12 Math</t>
        </is>
      </c>
      <c r="E2412" t="inlineStr">
        <is>
          <t>South Region</t>
        </is>
      </c>
      <c r="F2412" t="inlineStr">
        <is>
          <t>Rep_02</t>
        </is>
      </c>
      <c r="G2412" t="n">
        <v>19.26</v>
      </c>
      <c r="H2412" t="inlineStr">
        <is>
          <t>Contacted</t>
        </is>
      </c>
      <c r="I2412" t="inlineStr">
        <is>
          <t>Open</t>
        </is>
      </c>
      <c r="M2412">
        <f>VLOOKUP(H2412,'Stage Order'!$A$2:$B$8,2,FALSE)</f>
        <v/>
      </c>
      <c r="N2412">
        <f>IF(G2412&lt;=1,"1. Under 1 hour",IF(G2412&lt;=24,"2. 1-24 hours",IF(G2412&lt;=72,"3. 1-3 days","4. Over 3 days")))</f>
        <v/>
      </c>
      <c r="O2412">
        <f>TEXT(B2412,"YYYY-MM")</f>
        <v/>
      </c>
    </row>
    <row r="2413">
      <c r="A2413" t="inlineStr">
        <is>
          <t>LD-302411</t>
        </is>
      </c>
      <c r="B2413" t="inlineStr">
        <is>
          <t>2025-11-03 18:16:00</t>
        </is>
      </c>
      <c r="C2413" t="inlineStr">
        <is>
          <t>Partner Channel</t>
        </is>
      </c>
      <c r="D2413" t="inlineStr">
        <is>
          <t>Competitive Exam Prep</t>
        </is>
      </c>
      <c r="E2413" t="inlineStr">
        <is>
          <t>North Region</t>
        </is>
      </c>
      <c r="F2413" t="inlineStr">
        <is>
          <t>Rep_06</t>
        </is>
      </c>
      <c r="G2413" t="n">
        <v>2.51</v>
      </c>
      <c r="H2413" t="inlineStr">
        <is>
          <t>Contacted</t>
        </is>
      </c>
      <c r="I2413" t="inlineStr">
        <is>
          <t>Open</t>
        </is>
      </c>
      <c r="M2413">
        <f>VLOOKUP(H2413,'Stage Order'!$A$2:$B$8,2,FALSE)</f>
        <v/>
      </c>
      <c r="N2413">
        <f>IF(G2413&lt;=1,"1. Under 1 hour",IF(G2413&lt;=24,"2. 1-24 hours",IF(G2413&lt;=72,"3. 1-3 days","4. Over 3 days")))</f>
        <v/>
      </c>
      <c r="O2413">
        <f>TEXT(B2413,"YYYY-MM")</f>
        <v/>
      </c>
    </row>
    <row r="2414">
      <c r="A2414" t="inlineStr">
        <is>
          <t>LD-302412</t>
        </is>
      </c>
      <c r="B2414" t="inlineStr">
        <is>
          <t>2025-09-24 12:54:00</t>
        </is>
      </c>
      <c r="C2414" t="inlineStr">
        <is>
          <t>Webinar</t>
        </is>
      </c>
      <c r="D2414" t="inlineStr">
        <is>
          <t>Coding for Kids</t>
        </is>
      </c>
      <c r="E2414" t="inlineStr">
        <is>
          <t>East Region</t>
        </is>
      </c>
      <c r="F2414" t="inlineStr">
        <is>
          <t>Rep_09</t>
        </is>
      </c>
      <c r="G2414" t="n">
        <v>5.46</v>
      </c>
      <c r="H2414" t="inlineStr">
        <is>
          <t>Negotiation</t>
        </is>
      </c>
      <c r="I2414" t="inlineStr">
        <is>
          <t>Lost</t>
        </is>
      </c>
      <c r="J2414" t="inlineStr">
        <is>
          <t>Price Objection</t>
        </is>
      </c>
      <c r="K2414" t="n">
        <v>640.33</v>
      </c>
      <c r="L2414" t="inlineStr">
        <is>
          <t>2025-10-24 23:04:32.977691</t>
        </is>
      </c>
      <c r="M2414">
        <f>VLOOKUP(H2414,'Stage Order'!$A$2:$B$8,2,FALSE)</f>
        <v/>
      </c>
      <c r="N2414">
        <f>IF(G2414&lt;=1,"1. Under 1 hour",IF(G2414&lt;=24,"2. 1-24 hours",IF(G2414&lt;=72,"3. 1-3 days","4. Over 3 days")))</f>
        <v/>
      </c>
      <c r="O2414">
        <f>TEXT(B2414,"YYYY-MM")</f>
        <v/>
      </c>
    </row>
    <row r="2415">
      <c r="A2415" t="inlineStr">
        <is>
          <t>LD-302413</t>
        </is>
      </c>
      <c r="B2415" t="inlineStr">
        <is>
          <t>2025-06-18 16:07:00</t>
        </is>
      </c>
      <c r="C2415" t="inlineStr">
        <is>
          <t>Organic Search</t>
        </is>
      </c>
      <c r="D2415" t="inlineStr">
        <is>
          <t>Coding for Kids</t>
        </is>
      </c>
      <c r="E2415" t="inlineStr">
        <is>
          <t>International</t>
        </is>
      </c>
      <c r="F2415" t="inlineStr">
        <is>
          <t>Rep_15</t>
        </is>
      </c>
      <c r="G2415" t="n">
        <v>3.13</v>
      </c>
      <c r="H2415" t="inlineStr">
        <is>
          <t>Contacted</t>
        </is>
      </c>
      <c r="I2415" t="inlineStr">
        <is>
          <t>Open</t>
        </is>
      </c>
      <c r="M2415">
        <f>VLOOKUP(H2415,'Stage Order'!$A$2:$B$8,2,FALSE)</f>
        <v/>
      </c>
      <c r="N2415">
        <f>IF(G2415&lt;=1,"1. Under 1 hour",IF(G2415&lt;=24,"2. 1-24 hours",IF(G2415&lt;=72,"3. 1-3 days","4. Over 3 days")))</f>
        <v/>
      </c>
      <c r="O2415">
        <f>TEXT(B2415,"YYYY-MM")</f>
        <v/>
      </c>
    </row>
    <row r="2416">
      <c r="A2416" t="inlineStr">
        <is>
          <t>LD-302414</t>
        </is>
      </c>
      <c r="B2416" t="inlineStr">
        <is>
          <t>2025-06-21 20:17:00</t>
        </is>
      </c>
      <c r="C2416" t="inlineStr">
        <is>
          <t>Referral</t>
        </is>
      </c>
      <c r="D2416" t="inlineStr">
        <is>
          <t>Coding for Kids</t>
        </is>
      </c>
      <c r="E2416" t="inlineStr">
        <is>
          <t>North Region</t>
        </is>
      </c>
      <c r="F2416" t="inlineStr">
        <is>
          <t>Rep_06</t>
        </is>
      </c>
      <c r="G2416" t="n">
        <v>6.97</v>
      </c>
      <c r="H2416" t="inlineStr">
        <is>
          <t>Contacted</t>
        </is>
      </c>
      <c r="I2416" t="inlineStr">
        <is>
          <t>Open</t>
        </is>
      </c>
      <c r="M2416">
        <f>VLOOKUP(H2416,'Stage Order'!$A$2:$B$8,2,FALSE)</f>
        <v/>
      </c>
      <c r="N2416">
        <f>IF(G2416&lt;=1,"1. Under 1 hour",IF(G2416&lt;=24,"2. 1-24 hours",IF(G2416&lt;=72,"3. 1-3 days","4. Over 3 days")))</f>
        <v/>
      </c>
      <c r="O2416">
        <f>TEXT(B2416,"YYYY-MM")</f>
        <v/>
      </c>
    </row>
    <row r="2417">
      <c r="A2417" t="inlineStr">
        <is>
          <t>LD-302415</t>
        </is>
      </c>
      <c r="B2417" t="inlineStr">
        <is>
          <t>2025-07-18 16:08:00</t>
        </is>
      </c>
      <c r="C2417" t="inlineStr">
        <is>
          <t>Paid Search</t>
        </is>
      </c>
      <c r="D2417" t="inlineStr">
        <is>
          <t>Coding for Kids</t>
        </is>
      </c>
      <c r="E2417" t="inlineStr">
        <is>
          <t>North Region</t>
        </is>
      </c>
      <c r="F2417" t="inlineStr">
        <is>
          <t>Rep_06</t>
        </is>
      </c>
      <c r="G2417" t="n">
        <v>4.15</v>
      </c>
      <c r="H2417" t="inlineStr">
        <is>
          <t>Lead</t>
        </is>
      </c>
      <c r="I2417" t="inlineStr">
        <is>
          <t>Open</t>
        </is>
      </c>
      <c r="M2417">
        <f>VLOOKUP(H2417,'Stage Order'!$A$2:$B$8,2,FALSE)</f>
        <v/>
      </c>
      <c r="N2417">
        <f>IF(G2417&lt;=1,"1. Under 1 hour",IF(G2417&lt;=24,"2. 1-24 hours",IF(G2417&lt;=72,"3. 1-3 days","4. Over 3 days")))</f>
        <v/>
      </c>
      <c r="O2417">
        <f>TEXT(B2417,"YYYY-MM")</f>
        <v/>
      </c>
    </row>
    <row r="2418">
      <c r="A2418" t="inlineStr">
        <is>
          <t>LD-302416</t>
        </is>
      </c>
      <c r="B2418" t="inlineStr">
        <is>
          <t>2026-01-16 07:31:00</t>
        </is>
      </c>
      <c r="C2418" t="inlineStr">
        <is>
          <t>Paid Search</t>
        </is>
      </c>
      <c r="D2418" t="inlineStr">
        <is>
          <t>Competitive Exam Prep</t>
        </is>
      </c>
      <c r="E2418" t="inlineStr">
        <is>
          <t>International</t>
        </is>
      </c>
      <c r="F2418" t="inlineStr">
        <is>
          <t>Rep_05</t>
        </is>
      </c>
      <c r="G2418" t="n">
        <v>2.8</v>
      </c>
      <c r="H2418" t="inlineStr">
        <is>
          <t>Demo Completed</t>
        </is>
      </c>
      <c r="I2418" t="inlineStr">
        <is>
          <t>Lost</t>
        </is>
      </c>
      <c r="J2418" t="inlineStr">
        <is>
          <t>Went With Competitor</t>
        </is>
      </c>
      <c r="K2418" t="n">
        <v>929.64</v>
      </c>
      <c r="L2418" t="inlineStr">
        <is>
          <t>2026-03-01 08:20:51.091182</t>
        </is>
      </c>
      <c r="M2418">
        <f>VLOOKUP(H2418,'Stage Order'!$A$2:$B$8,2,FALSE)</f>
        <v/>
      </c>
      <c r="N2418">
        <f>IF(G2418&lt;=1,"1. Under 1 hour",IF(G2418&lt;=24,"2. 1-24 hours",IF(G2418&lt;=72,"3. 1-3 days","4. Over 3 days")))</f>
        <v/>
      </c>
      <c r="O2418">
        <f>TEXT(B2418,"YYYY-MM")</f>
        <v/>
      </c>
    </row>
    <row r="2419">
      <c r="A2419" t="inlineStr">
        <is>
          <t>LD-302417</t>
        </is>
      </c>
      <c r="B2419" t="inlineStr">
        <is>
          <t>2026-03-27 16:57:00</t>
        </is>
      </c>
      <c r="C2419" t="inlineStr">
        <is>
          <t>Webinar</t>
        </is>
      </c>
      <c r="D2419" t="inlineStr">
        <is>
          <t>Language Learning</t>
        </is>
      </c>
      <c r="E2419" t="inlineStr">
        <is>
          <t>West Region</t>
        </is>
      </c>
      <c r="F2419" t="inlineStr">
        <is>
          <t>Rep_13</t>
        </is>
      </c>
      <c r="G2419" t="n">
        <v>2.68</v>
      </c>
      <c r="H2419" t="inlineStr">
        <is>
          <t>Closed</t>
        </is>
      </c>
      <c r="I2419" t="inlineStr">
        <is>
          <t>Won</t>
        </is>
      </c>
      <c r="K2419" t="n">
        <v>385.68</v>
      </c>
      <c r="L2419" t="inlineStr">
        <is>
          <t>2026-05-01 15:14:10.604303</t>
        </is>
      </c>
      <c r="M2419">
        <f>VLOOKUP(H2419,'Stage Order'!$A$2:$B$8,2,FALSE)</f>
        <v/>
      </c>
      <c r="N2419">
        <f>IF(G2419&lt;=1,"1. Under 1 hour",IF(G2419&lt;=24,"2. 1-24 hours",IF(G2419&lt;=72,"3. 1-3 days","4. Over 3 days")))</f>
        <v/>
      </c>
      <c r="O2419">
        <f>TEXT(B2419,"YYYY-MM")</f>
        <v/>
      </c>
    </row>
    <row r="2420">
      <c r="A2420" t="inlineStr">
        <is>
          <t>LD-302418</t>
        </is>
      </c>
      <c r="B2420" t="inlineStr">
        <is>
          <t>2025-06-02 11:29:00</t>
        </is>
      </c>
      <c r="C2420" t="inlineStr">
        <is>
          <t>Webinar</t>
        </is>
      </c>
      <c r="D2420" t="inlineStr">
        <is>
          <t>Language Learning</t>
        </is>
      </c>
      <c r="E2420" t="inlineStr">
        <is>
          <t>North Region</t>
        </is>
      </c>
      <c r="F2420" t="inlineStr">
        <is>
          <t>Rep_11</t>
        </is>
      </c>
      <c r="G2420" t="n">
        <v>1.38</v>
      </c>
      <c r="H2420" t="inlineStr">
        <is>
          <t>Contacted</t>
        </is>
      </c>
      <c r="I2420" t="inlineStr">
        <is>
          <t>Open</t>
        </is>
      </c>
      <c r="M2420">
        <f>VLOOKUP(H2420,'Stage Order'!$A$2:$B$8,2,FALSE)</f>
        <v/>
      </c>
      <c r="N2420">
        <f>IF(G2420&lt;=1,"1. Under 1 hour",IF(G2420&lt;=24,"2. 1-24 hours",IF(G2420&lt;=72,"3. 1-3 days","4. Over 3 days")))</f>
        <v/>
      </c>
      <c r="O2420">
        <f>TEXT(B2420,"YYYY-MM")</f>
        <v/>
      </c>
    </row>
    <row r="2421">
      <c r="A2421" t="inlineStr">
        <is>
          <t>LD-302419</t>
        </is>
      </c>
      <c r="B2421" t="inlineStr">
        <is>
          <t>2025-11-05 20:08:00</t>
        </is>
      </c>
      <c r="C2421" t="inlineStr">
        <is>
          <t>Social Media</t>
        </is>
      </c>
      <c r="D2421" t="inlineStr">
        <is>
          <t>Coding for Kids</t>
        </is>
      </c>
      <c r="E2421" t="inlineStr">
        <is>
          <t>North Region</t>
        </is>
      </c>
      <c r="F2421" t="inlineStr">
        <is>
          <t>Rep_11</t>
        </is>
      </c>
      <c r="G2421" t="n">
        <v>4.22</v>
      </c>
      <c r="H2421" t="inlineStr">
        <is>
          <t>Proposal Sent</t>
        </is>
      </c>
      <c r="I2421" t="inlineStr">
        <is>
          <t>Lost</t>
        </is>
      </c>
      <c r="J2421" t="inlineStr">
        <is>
          <t>Price Objection</t>
        </is>
      </c>
      <c r="K2421" t="n">
        <v>594.51</v>
      </c>
      <c r="L2421" t="inlineStr">
        <is>
          <t>2025-12-17 01:28:22.869166</t>
        </is>
      </c>
      <c r="M2421">
        <f>VLOOKUP(H2421,'Stage Order'!$A$2:$B$8,2,FALSE)</f>
        <v/>
      </c>
      <c r="N2421">
        <f>IF(G2421&lt;=1,"1. Under 1 hour",IF(G2421&lt;=24,"2. 1-24 hours",IF(G2421&lt;=72,"3. 1-3 days","4. Over 3 days")))</f>
        <v/>
      </c>
      <c r="O2421">
        <f>TEXT(B2421,"YYYY-MM")</f>
        <v/>
      </c>
    </row>
    <row r="2422">
      <c r="A2422" t="inlineStr">
        <is>
          <t>LD-302420</t>
        </is>
      </c>
      <c r="B2422" t="inlineStr">
        <is>
          <t>2026-03-06 20:11:00</t>
        </is>
      </c>
      <c r="C2422" t="inlineStr">
        <is>
          <t>Paid Search</t>
        </is>
      </c>
      <c r="D2422" t="inlineStr">
        <is>
          <t>K-12 Math</t>
        </is>
      </c>
      <c r="E2422" t="inlineStr">
        <is>
          <t>West Region</t>
        </is>
      </c>
      <c r="F2422" t="inlineStr">
        <is>
          <t>Rep_13</t>
        </is>
      </c>
      <c r="G2422" t="n">
        <v>1.73</v>
      </c>
      <c r="H2422" t="inlineStr">
        <is>
          <t>Lead</t>
        </is>
      </c>
      <c r="I2422" t="inlineStr">
        <is>
          <t>Open</t>
        </is>
      </c>
      <c r="M2422">
        <f>VLOOKUP(H2422,'Stage Order'!$A$2:$B$8,2,FALSE)</f>
        <v/>
      </c>
      <c r="N2422">
        <f>IF(G2422&lt;=1,"1. Under 1 hour",IF(G2422&lt;=24,"2. 1-24 hours",IF(G2422&lt;=72,"3. 1-3 days","4. Over 3 days")))</f>
        <v/>
      </c>
      <c r="O2422">
        <f>TEXT(B2422,"YYYY-MM")</f>
        <v/>
      </c>
    </row>
    <row r="2423">
      <c r="A2423" t="inlineStr">
        <is>
          <t>LD-302421</t>
        </is>
      </c>
      <c r="B2423" t="inlineStr">
        <is>
          <t>2026-05-27 17:24:00</t>
        </is>
      </c>
      <c r="C2423" t="inlineStr">
        <is>
          <t>Webinar</t>
        </is>
      </c>
      <c r="D2423" t="inlineStr">
        <is>
          <t>Language Learning</t>
        </is>
      </c>
      <c r="E2423" t="inlineStr">
        <is>
          <t>International</t>
        </is>
      </c>
      <c r="F2423" t="inlineStr">
        <is>
          <t>Rep_10</t>
        </is>
      </c>
      <c r="G2423" t="n">
        <v>1.82</v>
      </c>
      <c r="H2423" t="inlineStr">
        <is>
          <t>Proposal Sent</t>
        </is>
      </c>
      <c r="I2423" t="inlineStr">
        <is>
          <t>Lost</t>
        </is>
      </c>
      <c r="J2423" t="inlineStr">
        <is>
          <t>Price Objection</t>
        </is>
      </c>
      <c r="K2423" t="n">
        <v>421.33</v>
      </c>
      <c r="L2423" t="inlineStr">
        <is>
          <t>2026-06-24 09:14:20.691633</t>
        </is>
      </c>
      <c r="M2423">
        <f>VLOOKUP(H2423,'Stage Order'!$A$2:$B$8,2,FALSE)</f>
        <v/>
      </c>
      <c r="N2423">
        <f>IF(G2423&lt;=1,"1. Under 1 hour",IF(G2423&lt;=24,"2. 1-24 hours",IF(G2423&lt;=72,"3. 1-3 days","4. Over 3 days")))</f>
        <v/>
      </c>
      <c r="O2423">
        <f>TEXT(B2423,"YYYY-MM")</f>
        <v/>
      </c>
    </row>
    <row r="2424">
      <c r="A2424" t="inlineStr">
        <is>
          <t>LD-302422</t>
        </is>
      </c>
      <c r="B2424" t="inlineStr">
        <is>
          <t>2025-08-20 08:26:00</t>
        </is>
      </c>
      <c r="C2424" t="inlineStr">
        <is>
          <t>Paid Search</t>
        </is>
      </c>
      <c r="D2424" t="inlineStr">
        <is>
          <t>K-12 Math</t>
        </is>
      </c>
      <c r="E2424" t="inlineStr">
        <is>
          <t>West Region</t>
        </is>
      </c>
      <c r="F2424" t="inlineStr">
        <is>
          <t>Rep_08</t>
        </is>
      </c>
      <c r="G2424" t="n">
        <v>2.1</v>
      </c>
      <c r="H2424" t="inlineStr">
        <is>
          <t>Contacted</t>
        </is>
      </c>
      <c r="I2424" t="inlineStr">
        <is>
          <t>Open</t>
        </is>
      </c>
      <c r="M2424">
        <f>VLOOKUP(H2424,'Stage Order'!$A$2:$B$8,2,FALSE)</f>
        <v/>
      </c>
      <c r="N2424">
        <f>IF(G2424&lt;=1,"1. Under 1 hour",IF(G2424&lt;=24,"2. 1-24 hours",IF(G2424&lt;=72,"3. 1-3 days","4. Over 3 days")))</f>
        <v/>
      </c>
      <c r="O2424">
        <f>TEXT(B2424,"YYYY-MM")</f>
        <v/>
      </c>
    </row>
    <row r="2425">
      <c r="A2425" t="inlineStr">
        <is>
          <t>LD-302423</t>
        </is>
      </c>
      <c r="B2425" t="inlineStr">
        <is>
          <t>2025-10-17 13:19:00</t>
        </is>
      </c>
      <c r="C2425" t="inlineStr">
        <is>
          <t>Paid Search</t>
        </is>
      </c>
      <c r="D2425" t="inlineStr">
        <is>
          <t>Study Abroad Prep</t>
        </is>
      </c>
      <c r="E2425" t="inlineStr">
        <is>
          <t>West Region</t>
        </is>
      </c>
      <c r="F2425" t="inlineStr">
        <is>
          <t>Rep_03</t>
        </is>
      </c>
      <c r="G2425" t="n">
        <v>5.31</v>
      </c>
      <c r="H2425" t="inlineStr">
        <is>
          <t>Contacted</t>
        </is>
      </c>
      <c r="I2425" t="inlineStr">
        <is>
          <t>Open</t>
        </is>
      </c>
      <c r="M2425">
        <f>VLOOKUP(H2425,'Stage Order'!$A$2:$B$8,2,FALSE)</f>
        <v/>
      </c>
      <c r="N2425">
        <f>IF(G2425&lt;=1,"1. Under 1 hour",IF(G2425&lt;=24,"2. 1-24 hours",IF(G2425&lt;=72,"3. 1-3 days","4. Over 3 days")))</f>
        <v/>
      </c>
      <c r="O2425">
        <f>TEXT(B2425,"YYYY-MM")</f>
        <v/>
      </c>
    </row>
    <row r="2426">
      <c r="A2426" t="inlineStr">
        <is>
          <t>LD-302424</t>
        </is>
      </c>
      <c r="B2426" t="inlineStr">
        <is>
          <t>2025-05-23 09:30:00</t>
        </is>
      </c>
      <c r="C2426" t="inlineStr">
        <is>
          <t>Referral</t>
        </is>
      </c>
      <c r="D2426" t="inlineStr">
        <is>
          <t>K-12 Math</t>
        </is>
      </c>
      <c r="E2426" t="inlineStr">
        <is>
          <t>South Region</t>
        </is>
      </c>
      <c r="F2426" t="inlineStr">
        <is>
          <t>Rep_02</t>
        </is>
      </c>
      <c r="G2426" t="n">
        <v>1.99</v>
      </c>
      <c r="H2426" t="inlineStr">
        <is>
          <t>Closed</t>
        </is>
      </c>
      <c r="I2426" t="inlineStr">
        <is>
          <t>Won</t>
        </is>
      </c>
      <c r="K2426" t="n">
        <v>457.17</v>
      </c>
      <c r="L2426" t="inlineStr">
        <is>
          <t>2025-07-06 10:59:07.718300</t>
        </is>
      </c>
      <c r="M2426">
        <f>VLOOKUP(H2426,'Stage Order'!$A$2:$B$8,2,FALSE)</f>
        <v/>
      </c>
      <c r="N2426">
        <f>IF(G2426&lt;=1,"1. Under 1 hour",IF(G2426&lt;=24,"2. 1-24 hours",IF(G2426&lt;=72,"3. 1-3 days","4. Over 3 days")))</f>
        <v/>
      </c>
      <c r="O2426">
        <f>TEXT(B2426,"YYYY-MM")</f>
        <v/>
      </c>
    </row>
    <row r="2427">
      <c r="A2427" t="inlineStr">
        <is>
          <t>LD-302425</t>
        </is>
      </c>
      <c r="B2427" t="inlineStr">
        <is>
          <t>2026-04-02 15:51:00</t>
        </is>
      </c>
      <c r="C2427" t="inlineStr">
        <is>
          <t>Webinar</t>
        </is>
      </c>
      <c r="D2427" t="inlineStr">
        <is>
          <t>Study Abroad Prep</t>
        </is>
      </c>
      <c r="E2427" t="inlineStr">
        <is>
          <t>North Region</t>
        </is>
      </c>
      <c r="F2427" t="inlineStr">
        <is>
          <t>Rep_11</t>
        </is>
      </c>
      <c r="G2427" t="n">
        <v>2.73</v>
      </c>
      <c r="H2427" t="inlineStr">
        <is>
          <t>Closed</t>
        </is>
      </c>
      <c r="I2427" t="inlineStr">
        <is>
          <t>Won</t>
        </is>
      </c>
      <c r="K2427" t="n">
        <v>1321.22</v>
      </c>
      <c r="L2427" t="inlineStr">
        <is>
          <t>2026-05-20 19:23:06.911450</t>
        </is>
      </c>
      <c r="M2427">
        <f>VLOOKUP(H2427,'Stage Order'!$A$2:$B$8,2,FALSE)</f>
        <v/>
      </c>
      <c r="N2427">
        <f>IF(G2427&lt;=1,"1. Under 1 hour",IF(G2427&lt;=24,"2. 1-24 hours",IF(G2427&lt;=72,"3. 1-3 days","4. Over 3 days")))</f>
        <v/>
      </c>
      <c r="O2427">
        <f>TEXT(B2427,"YYYY-MM")</f>
        <v/>
      </c>
    </row>
    <row r="2428">
      <c r="A2428" t="inlineStr">
        <is>
          <t>LD-302426</t>
        </is>
      </c>
      <c r="B2428" t="inlineStr">
        <is>
          <t>2025-07-18 11:30:00</t>
        </is>
      </c>
      <c r="C2428" t="inlineStr">
        <is>
          <t>Paid Search</t>
        </is>
      </c>
      <c r="D2428" t="inlineStr">
        <is>
          <t>Competitive Exam Prep</t>
        </is>
      </c>
      <c r="E2428" t="inlineStr">
        <is>
          <t>South Region</t>
        </is>
      </c>
      <c r="F2428" t="inlineStr">
        <is>
          <t>Rep_02</t>
        </is>
      </c>
      <c r="G2428" t="n">
        <v>2.33</v>
      </c>
      <c r="H2428" t="inlineStr">
        <is>
          <t>Contacted</t>
        </is>
      </c>
      <c r="I2428" t="inlineStr">
        <is>
          <t>Open</t>
        </is>
      </c>
      <c r="M2428">
        <f>VLOOKUP(H2428,'Stage Order'!$A$2:$B$8,2,FALSE)</f>
        <v/>
      </c>
      <c r="N2428">
        <f>IF(G2428&lt;=1,"1. Under 1 hour",IF(G2428&lt;=24,"2. 1-24 hours",IF(G2428&lt;=72,"3. 1-3 days","4. Over 3 days")))</f>
        <v/>
      </c>
      <c r="O2428">
        <f>TEXT(B2428,"YYYY-MM")</f>
        <v/>
      </c>
    </row>
    <row r="2429">
      <c r="A2429" t="inlineStr">
        <is>
          <t>LD-302427</t>
        </is>
      </c>
      <c r="B2429" t="inlineStr">
        <is>
          <t>2025-11-19 15:37:00</t>
        </is>
      </c>
      <c r="C2429" t="inlineStr">
        <is>
          <t>Partner Channel</t>
        </is>
      </c>
      <c r="D2429" t="inlineStr">
        <is>
          <t>Coding for Kids</t>
        </is>
      </c>
      <c r="E2429" t="inlineStr">
        <is>
          <t>North Region</t>
        </is>
      </c>
      <c r="F2429" t="inlineStr">
        <is>
          <t>Rep_06</t>
        </is>
      </c>
      <c r="G2429" t="n">
        <v>1.78</v>
      </c>
      <c r="H2429" t="inlineStr">
        <is>
          <t>Contacted</t>
        </is>
      </c>
      <c r="I2429" t="inlineStr">
        <is>
          <t>Open</t>
        </is>
      </c>
      <c r="M2429">
        <f>VLOOKUP(H2429,'Stage Order'!$A$2:$B$8,2,FALSE)</f>
        <v/>
      </c>
      <c r="N2429">
        <f>IF(G2429&lt;=1,"1. Under 1 hour",IF(G2429&lt;=24,"2. 1-24 hours",IF(G2429&lt;=72,"3. 1-3 days","4. Over 3 days")))</f>
        <v/>
      </c>
      <c r="O2429">
        <f>TEXT(B2429,"YYYY-MM")</f>
        <v/>
      </c>
    </row>
    <row r="2430">
      <c r="A2430" t="inlineStr">
        <is>
          <t>LD-302428</t>
        </is>
      </c>
      <c r="B2430" t="inlineStr">
        <is>
          <t>2025-01-17 07:55:00</t>
        </is>
      </c>
      <c r="C2430" t="inlineStr">
        <is>
          <t>Webinar</t>
        </is>
      </c>
      <c r="D2430" t="inlineStr">
        <is>
          <t>K-12 Math</t>
        </is>
      </c>
      <c r="E2430" t="inlineStr">
        <is>
          <t>North Region</t>
        </is>
      </c>
      <c r="F2430" t="inlineStr">
        <is>
          <t>Rep_01</t>
        </is>
      </c>
      <c r="G2430" t="n">
        <v>4.57</v>
      </c>
      <c r="H2430" t="inlineStr">
        <is>
          <t>Contacted</t>
        </is>
      </c>
      <c r="I2430" t="inlineStr">
        <is>
          <t>Open</t>
        </is>
      </c>
      <c r="M2430">
        <f>VLOOKUP(H2430,'Stage Order'!$A$2:$B$8,2,FALSE)</f>
        <v/>
      </c>
      <c r="N2430">
        <f>IF(G2430&lt;=1,"1. Under 1 hour",IF(G2430&lt;=24,"2. 1-24 hours",IF(G2430&lt;=72,"3. 1-3 days","4. Over 3 days")))</f>
        <v/>
      </c>
      <c r="O2430">
        <f>TEXT(B2430,"YYYY-MM")</f>
        <v/>
      </c>
    </row>
    <row r="2431">
      <c r="A2431" t="inlineStr">
        <is>
          <t>LD-302429</t>
        </is>
      </c>
      <c r="B2431" t="inlineStr">
        <is>
          <t>2025-08-09 17:22:00</t>
        </is>
      </c>
      <c r="C2431" t="inlineStr">
        <is>
          <t>Organic Search</t>
        </is>
      </c>
      <c r="D2431" t="inlineStr">
        <is>
          <t>K-12 Math</t>
        </is>
      </c>
      <c r="E2431" t="inlineStr">
        <is>
          <t>East Region</t>
        </is>
      </c>
      <c r="F2431" t="inlineStr">
        <is>
          <t>Rep_09</t>
        </is>
      </c>
      <c r="G2431" t="n">
        <v>5.9</v>
      </c>
      <c r="H2431" t="inlineStr">
        <is>
          <t>Contacted</t>
        </is>
      </c>
      <c r="I2431" t="inlineStr">
        <is>
          <t>Open</t>
        </is>
      </c>
      <c r="M2431">
        <f>VLOOKUP(H2431,'Stage Order'!$A$2:$B$8,2,FALSE)</f>
        <v/>
      </c>
      <c r="N2431">
        <f>IF(G2431&lt;=1,"1. Under 1 hour",IF(G2431&lt;=24,"2. 1-24 hours",IF(G2431&lt;=72,"3. 1-3 days","4. Over 3 days")))</f>
        <v/>
      </c>
      <c r="O2431">
        <f>TEXT(B2431,"YYYY-MM")</f>
        <v/>
      </c>
    </row>
    <row r="2432">
      <c r="A2432" t="inlineStr">
        <is>
          <t>LD-302430</t>
        </is>
      </c>
      <c r="B2432" t="inlineStr">
        <is>
          <t>2025-05-02 15:06:00</t>
        </is>
      </c>
      <c r="C2432" t="inlineStr">
        <is>
          <t>Partner Channel</t>
        </is>
      </c>
      <c r="D2432" t="inlineStr">
        <is>
          <t>Competitive Exam Prep</t>
        </is>
      </c>
      <c r="E2432" t="inlineStr">
        <is>
          <t>North Region</t>
        </is>
      </c>
      <c r="F2432" t="inlineStr">
        <is>
          <t>Rep_06</t>
        </is>
      </c>
      <c r="G2432" t="n">
        <v>4.79</v>
      </c>
      <c r="H2432" t="inlineStr">
        <is>
          <t>Contacted</t>
        </is>
      </c>
      <c r="I2432" t="inlineStr">
        <is>
          <t>Open</t>
        </is>
      </c>
      <c r="M2432">
        <f>VLOOKUP(H2432,'Stage Order'!$A$2:$B$8,2,FALSE)</f>
        <v/>
      </c>
      <c r="N2432">
        <f>IF(G2432&lt;=1,"1. Under 1 hour",IF(G2432&lt;=24,"2. 1-24 hours",IF(G2432&lt;=72,"3. 1-3 days","4. Over 3 days")))</f>
        <v/>
      </c>
      <c r="O2432">
        <f>TEXT(B2432,"YYYY-MM")</f>
        <v/>
      </c>
    </row>
    <row r="2433">
      <c r="A2433" t="inlineStr">
        <is>
          <t>LD-302431</t>
        </is>
      </c>
      <c r="B2433" t="inlineStr">
        <is>
          <t>2025-05-26 11:41:00</t>
        </is>
      </c>
      <c r="C2433" t="inlineStr">
        <is>
          <t>Webinar</t>
        </is>
      </c>
      <c r="D2433" t="inlineStr">
        <is>
          <t>K-12 Math</t>
        </is>
      </c>
      <c r="E2433" t="inlineStr">
        <is>
          <t>East Region</t>
        </is>
      </c>
      <c r="F2433" t="inlineStr">
        <is>
          <t>Rep_04</t>
        </is>
      </c>
      <c r="G2433" t="n">
        <v>4.43</v>
      </c>
      <c r="H2433" t="inlineStr">
        <is>
          <t>Contacted</t>
        </is>
      </c>
      <c r="I2433" t="inlineStr">
        <is>
          <t>Open</t>
        </is>
      </c>
      <c r="M2433">
        <f>VLOOKUP(H2433,'Stage Order'!$A$2:$B$8,2,FALSE)</f>
        <v/>
      </c>
      <c r="N2433">
        <f>IF(G2433&lt;=1,"1. Under 1 hour",IF(G2433&lt;=24,"2. 1-24 hours",IF(G2433&lt;=72,"3. 1-3 days","4. Over 3 days")))</f>
        <v/>
      </c>
      <c r="O2433">
        <f>TEXT(B2433,"YYYY-MM")</f>
        <v/>
      </c>
    </row>
    <row r="2434">
      <c r="A2434" t="inlineStr">
        <is>
          <t>LD-302432</t>
        </is>
      </c>
      <c r="B2434" t="inlineStr">
        <is>
          <t>2026-04-13 11:48:00</t>
        </is>
      </c>
      <c r="C2434" t="inlineStr">
        <is>
          <t>Social Media</t>
        </is>
      </c>
      <c r="D2434" t="inlineStr">
        <is>
          <t>K-12 Math</t>
        </is>
      </c>
      <c r="E2434" t="inlineStr">
        <is>
          <t>West Region</t>
        </is>
      </c>
      <c r="F2434" t="inlineStr">
        <is>
          <t>Rep_13</t>
        </is>
      </c>
      <c r="G2434" t="n">
        <v>3.77</v>
      </c>
      <c r="H2434" t="inlineStr">
        <is>
          <t>Negotiation</t>
        </is>
      </c>
      <c r="I2434" t="inlineStr">
        <is>
          <t>Lost</t>
        </is>
      </c>
      <c r="J2434" t="inlineStr">
        <is>
          <t>Price Objection</t>
        </is>
      </c>
      <c r="K2434" t="n">
        <v>408.89</v>
      </c>
      <c r="L2434" t="inlineStr">
        <is>
          <t>2026-05-28 09:23:46.181027</t>
        </is>
      </c>
      <c r="M2434">
        <f>VLOOKUP(H2434,'Stage Order'!$A$2:$B$8,2,FALSE)</f>
        <v/>
      </c>
      <c r="N2434">
        <f>IF(G2434&lt;=1,"1. Under 1 hour",IF(G2434&lt;=24,"2. 1-24 hours",IF(G2434&lt;=72,"3. 1-3 days","4. Over 3 days")))</f>
        <v/>
      </c>
      <c r="O2434">
        <f>TEXT(B2434,"YYYY-MM")</f>
        <v/>
      </c>
    </row>
    <row r="2435">
      <c r="A2435" t="inlineStr">
        <is>
          <t>LD-302433</t>
        </is>
      </c>
      <c r="B2435" t="inlineStr">
        <is>
          <t>2025-05-02 11:36:00</t>
        </is>
      </c>
      <c r="C2435" t="inlineStr">
        <is>
          <t>Social Media</t>
        </is>
      </c>
      <c r="D2435" t="inlineStr">
        <is>
          <t>Language Learning</t>
        </is>
      </c>
      <c r="E2435" t="inlineStr">
        <is>
          <t>East Region</t>
        </is>
      </c>
      <c r="F2435" t="inlineStr">
        <is>
          <t>Rep_14</t>
        </is>
      </c>
      <c r="G2435" t="n">
        <v>16.52</v>
      </c>
      <c r="H2435" t="inlineStr">
        <is>
          <t>Contacted</t>
        </is>
      </c>
      <c r="I2435" t="inlineStr">
        <is>
          <t>Open</t>
        </is>
      </c>
      <c r="M2435">
        <f>VLOOKUP(H2435,'Stage Order'!$A$2:$B$8,2,FALSE)</f>
        <v/>
      </c>
      <c r="N2435">
        <f>IF(G2435&lt;=1,"1. Under 1 hour",IF(G2435&lt;=24,"2. 1-24 hours",IF(G2435&lt;=72,"3. 1-3 days","4. Over 3 days")))</f>
        <v/>
      </c>
      <c r="O2435">
        <f>TEXT(B2435,"YYYY-MM")</f>
        <v/>
      </c>
    </row>
    <row r="2436">
      <c r="A2436" t="inlineStr">
        <is>
          <t>LD-302434</t>
        </is>
      </c>
      <c r="B2436" t="inlineStr">
        <is>
          <t>2025-08-17 20:15:00</t>
        </is>
      </c>
      <c r="C2436" t="inlineStr">
        <is>
          <t>Social Media</t>
        </is>
      </c>
      <c r="D2436" t="inlineStr">
        <is>
          <t>Study Abroad Prep</t>
        </is>
      </c>
      <c r="E2436" t="inlineStr">
        <is>
          <t>East Region</t>
        </is>
      </c>
      <c r="F2436" t="inlineStr">
        <is>
          <t>Rep_04</t>
        </is>
      </c>
      <c r="G2436" t="n">
        <v>7.62</v>
      </c>
      <c r="H2436" t="inlineStr">
        <is>
          <t>Contacted</t>
        </is>
      </c>
      <c r="I2436" t="inlineStr">
        <is>
          <t>Open</t>
        </is>
      </c>
      <c r="M2436">
        <f>VLOOKUP(H2436,'Stage Order'!$A$2:$B$8,2,FALSE)</f>
        <v/>
      </c>
      <c r="N2436">
        <f>IF(G2436&lt;=1,"1. Under 1 hour",IF(G2436&lt;=24,"2. 1-24 hours",IF(G2436&lt;=72,"3. 1-3 days","4. Over 3 days")))</f>
        <v/>
      </c>
      <c r="O2436">
        <f>TEXT(B2436,"YYYY-MM")</f>
        <v/>
      </c>
    </row>
    <row r="2437">
      <c r="A2437" t="inlineStr">
        <is>
          <t>LD-302435</t>
        </is>
      </c>
      <c r="B2437" t="inlineStr">
        <is>
          <t>2025-07-11 11:02:00</t>
        </is>
      </c>
      <c r="C2437" t="inlineStr">
        <is>
          <t>Partner Channel</t>
        </is>
      </c>
      <c r="D2437" t="inlineStr">
        <is>
          <t>Study Abroad Prep</t>
        </is>
      </c>
      <c r="E2437" t="inlineStr">
        <is>
          <t>North Region</t>
        </is>
      </c>
      <c r="F2437" t="inlineStr">
        <is>
          <t>Rep_01</t>
        </is>
      </c>
      <c r="G2437" t="n">
        <v>5.12</v>
      </c>
      <c r="H2437" t="inlineStr">
        <is>
          <t>Closed</t>
        </is>
      </c>
      <c r="I2437" t="inlineStr">
        <is>
          <t>Won</t>
        </is>
      </c>
      <c r="K2437" t="n">
        <v>1236.69</v>
      </c>
      <c r="L2437" t="inlineStr">
        <is>
          <t>2025-08-16 19:58:30.599482</t>
        </is>
      </c>
      <c r="M2437">
        <f>VLOOKUP(H2437,'Stage Order'!$A$2:$B$8,2,FALSE)</f>
        <v/>
      </c>
      <c r="N2437">
        <f>IF(G2437&lt;=1,"1. Under 1 hour",IF(G2437&lt;=24,"2. 1-24 hours",IF(G2437&lt;=72,"3. 1-3 days","4. Over 3 days")))</f>
        <v/>
      </c>
      <c r="O2437">
        <f>TEXT(B2437,"YYYY-MM")</f>
        <v/>
      </c>
    </row>
    <row r="2438">
      <c r="A2438" t="inlineStr">
        <is>
          <t>LD-302436</t>
        </is>
      </c>
      <c r="B2438" t="inlineStr">
        <is>
          <t>2025-01-29 20:48:00</t>
        </is>
      </c>
      <c r="C2438" t="inlineStr">
        <is>
          <t>Webinar</t>
        </is>
      </c>
      <c r="D2438" t="inlineStr">
        <is>
          <t>K-12 Math</t>
        </is>
      </c>
      <c r="E2438" t="inlineStr">
        <is>
          <t>North Region</t>
        </is>
      </c>
      <c r="F2438" t="inlineStr">
        <is>
          <t>Rep_01</t>
        </is>
      </c>
      <c r="G2438" t="n">
        <v>7.29</v>
      </c>
      <c r="H2438" t="inlineStr">
        <is>
          <t>Closed</t>
        </is>
      </c>
      <c r="I2438" t="inlineStr">
        <is>
          <t>Won</t>
        </is>
      </c>
      <c r="K2438" t="n">
        <v>541.8200000000001</v>
      </c>
      <c r="L2438" t="inlineStr">
        <is>
          <t>2025-03-28 02:24:10.760090</t>
        </is>
      </c>
      <c r="M2438">
        <f>VLOOKUP(H2438,'Stage Order'!$A$2:$B$8,2,FALSE)</f>
        <v/>
      </c>
      <c r="N2438">
        <f>IF(G2438&lt;=1,"1. Under 1 hour",IF(G2438&lt;=24,"2. 1-24 hours",IF(G2438&lt;=72,"3. 1-3 days","4. Over 3 days")))</f>
        <v/>
      </c>
      <c r="O2438">
        <f>TEXT(B2438,"YYYY-MM")</f>
        <v/>
      </c>
    </row>
    <row r="2439">
      <c r="A2439" t="inlineStr">
        <is>
          <t>LD-302437</t>
        </is>
      </c>
      <c r="B2439" t="inlineStr">
        <is>
          <t>2026-02-02 13:18:00</t>
        </is>
      </c>
      <c r="C2439" t="inlineStr">
        <is>
          <t>Organic Search</t>
        </is>
      </c>
      <c r="D2439" t="inlineStr">
        <is>
          <t>Competitive Exam Prep</t>
        </is>
      </c>
      <c r="E2439" t="inlineStr">
        <is>
          <t>South Region</t>
        </is>
      </c>
      <c r="F2439" t="inlineStr">
        <is>
          <t>Rep_12</t>
        </is>
      </c>
      <c r="G2439" t="n">
        <v>4.7</v>
      </c>
      <c r="H2439" t="inlineStr">
        <is>
          <t>Contacted</t>
        </is>
      </c>
      <c r="I2439" t="inlineStr">
        <is>
          <t>Open</t>
        </is>
      </c>
      <c r="M2439">
        <f>VLOOKUP(H2439,'Stage Order'!$A$2:$B$8,2,FALSE)</f>
        <v/>
      </c>
      <c r="N2439">
        <f>IF(G2439&lt;=1,"1. Under 1 hour",IF(G2439&lt;=24,"2. 1-24 hours",IF(G2439&lt;=72,"3. 1-3 days","4. Over 3 days")))</f>
        <v/>
      </c>
      <c r="O2439">
        <f>TEXT(B2439,"YYYY-MM")</f>
        <v/>
      </c>
    </row>
    <row r="2440">
      <c r="A2440" t="inlineStr">
        <is>
          <t>LD-302438</t>
        </is>
      </c>
      <c r="B2440" t="inlineStr">
        <is>
          <t>2026-05-06 10:59:00</t>
        </is>
      </c>
      <c r="C2440" t="inlineStr">
        <is>
          <t>Cold Outreach</t>
        </is>
      </c>
      <c r="D2440" t="inlineStr">
        <is>
          <t>Study Abroad Prep</t>
        </is>
      </c>
      <c r="E2440" t="inlineStr">
        <is>
          <t>West Region</t>
        </is>
      </c>
      <c r="F2440" t="inlineStr">
        <is>
          <t>Rep_08</t>
        </is>
      </c>
      <c r="G2440" t="n">
        <v>1.43</v>
      </c>
      <c r="H2440" t="inlineStr">
        <is>
          <t>Lead</t>
        </is>
      </c>
      <c r="I2440" t="inlineStr">
        <is>
          <t>Open</t>
        </is>
      </c>
      <c r="M2440">
        <f>VLOOKUP(H2440,'Stage Order'!$A$2:$B$8,2,FALSE)</f>
        <v/>
      </c>
      <c r="N2440">
        <f>IF(G2440&lt;=1,"1. Under 1 hour",IF(G2440&lt;=24,"2. 1-24 hours",IF(G2440&lt;=72,"3. 1-3 days","4. Over 3 days")))</f>
        <v/>
      </c>
      <c r="O2440">
        <f>TEXT(B2440,"YYYY-MM")</f>
        <v/>
      </c>
    </row>
    <row r="2441">
      <c r="A2441" t="inlineStr">
        <is>
          <t>LD-302439</t>
        </is>
      </c>
      <c r="B2441" t="inlineStr">
        <is>
          <t>2025-04-10 18:48:00</t>
        </is>
      </c>
      <c r="C2441" t="inlineStr">
        <is>
          <t>Webinar</t>
        </is>
      </c>
      <c r="D2441" t="inlineStr">
        <is>
          <t>Language Learning</t>
        </is>
      </c>
      <c r="E2441" t="inlineStr">
        <is>
          <t>North Region</t>
        </is>
      </c>
      <c r="F2441" t="inlineStr">
        <is>
          <t>Rep_06</t>
        </is>
      </c>
      <c r="G2441" t="n">
        <v>9.9</v>
      </c>
      <c r="H2441" t="inlineStr">
        <is>
          <t>Contacted</t>
        </is>
      </c>
      <c r="I2441" t="inlineStr">
        <is>
          <t>Open</t>
        </is>
      </c>
      <c r="M2441">
        <f>VLOOKUP(H2441,'Stage Order'!$A$2:$B$8,2,FALSE)</f>
        <v/>
      </c>
      <c r="N2441">
        <f>IF(G2441&lt;=1,"1. Under 1 hour",IF(G2441&lt;=24,"2. 1-24 hours",IF(G2441&lt;=72,"3. 1-3 days","4. Over 3 days")))</f>
        <v/>
      </c>
      <c r="O2441">
        <f>TEXT(B2441,"YYYY-MM")</f>
        <v/>
      </c>
    </row>
    <row r="2442">
      <c r="A2442" t="inlineStr">
        <is>
          <t>LD-302440</t>
        </is>
      </c>
      <c r="B2442" t="inlineStr">
        <is>
          <t>2026-04-12 19:23:00</t>
        </is>
      </c>
      <c r="C2442" t="inlineStr">
        <is>
          <t>Organic Search</t>
        </is>
      </c>
      <c r="D2442" t="inlineStr">
        <is>
          <t>K-12 Math</t>
        </is>
      </c>
      <c r="E2442" t="inlineStr">
        <is>
          <t>West Region</t>
        </is>
      </c>
      <c r="F2442" t="inlineStr">
        <is>
          <t>Rep_03</t>
        </is>
      </c>
      <c r="G2442" t="n">
        <v>7.86</v>
      </c>
      <c r="H2442" t="inlineStr">
        <is>
          <t>Contacted</t>
        </is>
      </c>
      <c r="I2442" t="inlineStr">
        <is>
          <t>Open</t>
        </is>
      </c>
      <c r="M2442">
        <f>VLOOKUP(H2442,'Stage Order'!$A$2:$B$8,2,FALSE)</f>
        <v/>
      </c>
      <c r="N2442">
        <f>IF(G2442&lt;=1,"1. Under 1 hour",IF(G2442&lt;=24,"2. 1-24 hours",IF(G2442&lt;=72,"3. 1-3 days","4. Over 3 days")))</f>
        <v/>
      </c>
      <c r="O2442">
        <f>TEXT(B2442,"YYYY-MM")</f>
        <v/>
      </c>
    </row>
    <row r="2443">
      <c r="A2443" t="inlineStr">
        <is>
          <t>LD-302441</t>
        </is>
      </c>
      <c r="B2443" t="inlineStr">
        <is>
          <t>2025-04-18 14:21:00</t>
        </is>
      </c>
      <c r="C2443" t="inlineStr">
        <is>
          <t>Cold Outreach</t>
        </is>
      </c>
      <c r="D2443" t="inlineStr">
        <is>
          <t>K-12 Math</t>
        </is>
      </c>
      <c r="E2443" t="inlineStr">
        <is>
          <t>North Region</t>
        </is>
      </c>
      <c r="F2443" t="inlineStr">
        <is>
          <t>Rep_11</t>
        </is>
      </c>
      <c r="G2443" t="n">
        <v>0.44</v>
      </c>
      <c r="H2443" t="inlineStr">
        <is>
          <t>Demo Completed</t>
        </is>
      </c>
      <c r="I2443" t="inlineStr">
        <is>
          <t>Lost</t>
        </is>
      </c>
      <c r="J2443" t="inlineStr">
        <is>
          <t>Bad Timing</t>
        </is>
      </c>
      <c r="K2443" t="n">
        <v>470.49</v>
      </c>
      <c r="L2443" t="inlineStr">
        <is>
          <t>2025-05-06 08:22:19.846478</t>
        </is>
      </c>
      <c r="M2443">
        <f>VLOOKUP(H2443,'Stage Order'!$A$2:$B$8,2,FALSE)</f>
        <v/>
      </c>
      <c r="N2443">
        <f>IF(G2443&lt;=1,"1. Under 1 hour",IF(G2443&lt;=24,"2. 1-24 hours",IF(G2443&lt;=72,"3. 1-3 days","4. Over 3 days")))</f>
        <v/>
      </c>
      <c r="O2443">
        <f>TEXT(B2443,"YYYY-MM")</f>
        <v/>
      </c>
    </row>
    <row r="2444">
      <c r="A2444" t="inlineStr">
        <is>
          <t>LD-302442</t>
        </is>
      </c>
      <c r="B2444" t="inlineStr">
        <is>
          <t>2025-06-12 10:10:00</t>
        </is>
      </c>
      <c r="C2444" t="inlineStr">
        <is>
          <t>Organic Search</t>
        </is>
      </c>
      <c r="D2444" t="inlineStr">
        <is>
          <t>Study Abroad Prep</t>
        </is>
      </c>
      <c r="E2444" t="inlineStr">
        <is>
          <t>East Region</t>
        </is>
      </c>
      <c r="F2444" t="inlineStr">
        <is>
          <t>Rep_09</t>
        </is>
      </c>
      <c r="G2444" t="n">
        <v>3.81</v>
      </c>
      <c r="H2444" t="inlineStr">
        <is>
          <t>Closed</t>
        </is>
      </c>
      <c r="I2444" t="inlineStr">
        <is>
          <t>Won</t>
        </is>
      </c>
      <c r="K2444" t="n">
        <v>1268.98</v>
      </c>
      <c r="L2444" t="inlineStr">
        <is>
          <t>2025-07-26 17:57:22.425005</t>
        </is>
      </c>
      <c r="M2444">
        <f>VLOOKUP(H2444,'Stage Order'!$A$2:$B$8,2,FALSE)</f>
        <v/>
      </c>
      <c r="N2444">
        <f>IF(G2444&lt;=1,"1. Under 1 hour",IF(G2444&lt;=24,"2. 1-24 hours",IF(G2444&lt;=72,"3. 1-3 days","4. Over 3 days")))</f>
        <v/>
      </c>
      <c r="O2444">
        <f>TEXT(B2444,"YYYY-MM")</f>
        <v/>
      </c>
    </row>
    <row r="2445">
      <c r="A2445" t="inlineStr">
        <is>
          <t>LD-302443</t>
        </is>
      </c>
      <c r="B2445" t="inlineStr">
        <is>
          <t>2025-01-29 13:10:00</t>
        </is>
      </c>
      <c r="C2445" t="inlineStr">
        <is>
          <t>Paid Search</t>
        </is>
      </c>
      <c r="D2445" t="inlineStr">
        <is>
          <t>Language Learning</t>
        </is>
      </c>
      <c r="E2445" t="inlineStr">
        <is>
          <t>West Region</t>
        </is>
      </c>
      <c r="F2445" t="inlineStr">
        <is>
          <t>Rep_03</t>
        </is>
      </c>
      <c r="G2445" t="n">
        <v>5.7</v>
      </c>
      <c r="H2445" t="inlineStr">
        <is>
          <t>Lead</t>
        </is>
      </c>
      <c r="I2445" t="inlineStr">
        <is>
          <t>Open</t>
        </is>
      </c>
      <c r="M2445">
        <f>VLOOKUP(H2445,'Stage Order'!$A$2:$B$8,2,FALSE)</f>
        <v/>
      </c>
      <c r="N2445">
        <f>IF(G2445&lt;=1,"1. Under 1 hour",IF(G2445&lt;=24,"2. 1-24 hours",IF(G2445&lt;=72,"3. 1-3 days","4. Over 3 days")))</f>
        <v/>
      </c>
      <c r="O2445">
        <f>TEXT(B2445,"YYYY-MM")</f>
        <v/>
      </c>
    </row>
    <row r="2446">
      <c r="A2446" t="inlineStr">
        <is>
          <t>LD-302444</t>
        </is>
      </c>
      <c r="B2446" t="inlineStr">
        <is>
          <t>2025-07-03 12:18:00</t>
        </is>
      </c>
      <c r="C2446" t="inlineStr">
        <is>
          <t>Paid Search</t>
        </is>
      </c>
      <c r="D2446" t="inlineStr">
        <is>
          <t>Coding for Kids</t>
        </is>
      </c>
      <c r="E2446" t="inlineStr">
        <is>
          <t>South Region</t>
        </is>
      </c>
      <c r="F2446" t="inlineStr">
        <is>
          <t>Rep_07</t>
        </is>
      </c>
      <c r="G2446" t="n">
        <v>8.68</v>
      </c>
      <c r="H2446" t="inlineStr">
        <is>
          <t>Closed</t>
        </is>
      </c>
      <c r="I2446" t="inlineStr">
        <is>
          <t>Won</t>
        </is>
      </c>
      <c r="K2446" t="n">
        <v>762.0599999999999</v>
      </c>
      <c r="L2446" t="inlineStr">
        <is>
          <t>2025-08-12 08:58:26.833427</t>
        </is>
      </c>
      <c r="M2446">
        <f>VLOOKUP(H2446,'Stage Order'!$A$2:$B$8,2,FALSE)</f>
        <v/>
      </c>
      <c r="N2446">
        <f>IF(G2446&lt;=1,"1. Under 1 hour",IF(G2446&lt;=24,"2. 1-24 hours",IF(G2446&lt;=72,"3. 1-3 days","4. Over 3 days")))</f>
        <v/>
      </c>
      <c r="O2446">
        <f>TEXT(B2446,"YYYY-MM")</f>
        <v/>
      </c>
    </row>
    <row r="2447">
      <c r="A2447" t="inlineStr">
        <is>
          <t>LD-302445</t>
        </is>
      </c>
      <c r="B2447" t="inlineStr">
        <is>
          <t>2026-03-10 20:28:00</t>
        </is>
      </c>
      <c r="C2447" t="inlineStr">
        <is>
          <t>Cold Outreach</t>
        </is>
      </c>
      <c r="D2447" t="inlineStr">
        <is>
          <t>Coding for Kids</t>
        </is>
      </c>
      <c r="E2447" t="inlineStr">
        <is>
          <t>South Region</t>
        </is>
      </c>
      <c r="F2447" t="inlineStr">
        <is>
          <t>Rep_07</t>
        </is>
      </c>
      <c r="G2447" t="n">
        <v>2.74</v>
      </c>
      <c r="H2447" t="inlineStr">
        <is>
          <t>Proposal Sent</t>
        </is>
      </c>
      <c r="I2447" t="inlineStr">
        <is>
          <t>Lost</t>
        </is>
      </c>
      <c r="J2447" t="inlineStr">
        <is>
          <t>Budget Not Approved</t>
        </is>
      </c>
      <c r="K2447" t="n">
        <v>681.6</v>
      </c>
      <c r="L2447" t="inlineStr">
        <is>
          <t>2026-04-19 01:25:57.194328</t>
        </is>
      </c>
      <c r="M2447">
        <f>VLOOKUP(H2447,'Stage Order'!$A$2:$B$8,2,FALSE)</f>
        <v/>
      </c>
      <c r="N2447">
        <f>IF(G2447&lt;=1,"1. Under 1 hour",IF(G2447&lt;=24,"2. 1-24 hours",IF(G2447&lt;=72,"3. 1-3 days","4. Over 3 days")))</f>
        <v/>
      </c>
      <c r="O2447">
        <f>TEXT(B2447,"YYYY-MM")</f>
        <v/>
      </c>
    </row>
    <row r="2448">
      <c r="A2448" t="inlineStr">
        <is>
          <t>LD-302446</t>
        </is>
      </c>
      <c r="B2448" t="inlineStr">
        <is>
          <t>2025-04-21 08:45:00</t>
        </is>
      </c>
      <c r="C2448" t="inlineStr">
        <is>
          <t>Referral</t>
        </is>
      </c>
      <c r="D2448" t="inlineStr">
        <is>
          <t>Language Learning</t>
        </is>
      </c>
      <c r="E2448" t="inlineStr">
        <is>
          <t>East Region</t>
        </is>
      </c>
      <c r="F2448" t="inlineStr">
        <is>
          <t>Rep_09</t>
        </is>
      </c>
      <c r="G2448" t="n">
        <v>13.96</v>
      </c>
      <c r="H2448" t="inlineStr">
        <is>
          <t>Closed</t>
        </is>
      </c>
      <c r="I2448" t="inlineStr">
        <is>
          <t>Won</t>
        </is>
      </c>
      <c r="K2448" t="n">
        <v>329.25</v>
      </c>
      <c r="L2448" t="inlineStr">
        <is>
          <t>2025-06-04 19:56:18.588870</t>
        </is>
      </c>
      <c r="M2448">
        <f>VLOOKUP(H2448,'Stage Order'!$A$2:$B$8,2,FALSE)</f>
        <v/>
      </c>
      <c r="N2448">
        <f>IF(G2448&lt;=1,"1. Under 1 hour",IF(G2448&lt;=24,"2. 1-24 hours",IF(G2448&lt;=72,"3. 1-3 days","4. Over 3 days")))</f>
        <v/>
      </c>
      <c r="O2448">
        <f>TEXT(B2448,"YYYY-MM")</f>
        <v/>
      </c>
    </row>
    <row r="2449">
      <c r="A2449" t="inlineStr">
        <is>
          <t>LD-302447</t>
        </is>
      </c>
      <c r="B2449" t="inlineStr">
        <is>
          <t>2025-02-09 10:34:00</t>
        </is>
      </c>
      <c r="C2449" t="inlineStr">
        <is>
          <t>Webinar</t>
        </is>
      </c>
      <c r="D2449" t="inlineStr">
        <is>
          <t>K-12 Math</t>
        </is>
      </c>
      <c r="E2449" t="inlineStr">
        <is>
          <t>East Region</t>
        </is>
      </c>
      <c r="F2449" t="inlineStr">
        <is>
          <t>Rep_09</t>
        </is>
      </c>
      <c r="G2449" t="n">
        <v>2.05</v>
      </c>
      <c r="H2449" t="inlineStr">
        <is>
          <t>Proposal Sent</t>
        </is>
      </c>
      <c r="I2449" t="inlineStr">
        <is>
          <t>Lost</t>
        </is>
      </c>
      <c r="J2449" t="inlineStr">
        <is>
          <t>Bad Timing</t>
        </is>
      </c>
      <c r="K2449" t="n">
        <v>473.1</v>
      </c>
      <c r="L2449" t="inlineStr">
        <is>
          <t>2025-04-03 01:24:56.833135</t>
        </is>
      </c>
      <c r="M2449">
        <f>VLOOKUP(H2449,'Stage Order'!$A$2:$B$8,2,FALSE)</f>
        <v/>
      </c>
      <c r="N2449">
        <f>IF(G2449&lt;=1,"1. Under 1 hour",IF(G2449&lt;=24,"2. 1-24 hours",IF(G2449&lt;=72,"3. 1-3 days","4. Over 3 days")))</f>
        <v/>
      </c>
      <c r="O2449">
        <f>TEXT(B2449,"YYYY-MM")</f>
        <v/>
      </c>
    </row>
    <row r="2450">
      <c r="A2450" t="inlineStr">
        <is>
          <t>LD-302448</t>
        </is>
      </c>
      <c r="B2450" t="inlineStr">
        <is>
          <t>2026-01-09 08:43:00</t>
        </is>
      </c>
      <c r="C2450" t="inlineStr">
        <is>
          <t>Paid Search</t>
        </is>
      </c>
      <c r="D2450" t="inlineStr">
        <is>
          <t>Coding for Kids</t>
        </is>
      </c>
      <c r="E2450" t="inlineStr">
        <is>
          <t>South Region</t>
        </is>
      </c>
      <c r="F2450" t="inlineStr">
        <is>
          <t>Rep_07</t>
        </is>
      </c>
      <c r="G2450" t="n">
        <v>0.71</v>
      </c>
      <c r="H2450" t="inlineStr">
        <is>
          <t>Contacted</t>
        </is>
      </c>
      <c r="I2450" t="inlineStr">
        <is>
          <t>Open</t>
        </is>
      </c>
      <c r="M2450">
        <f>VLOOKUP(H2450,'Stage Order'!$A$2:$B$8,2,FALSE)</f>
        <v/>
      </c>
      <c r="N2450">
        <f>IF(G2450&lt;=1,"1. Under 1 hour",IF(G2450&lt;=24,"2. 1-24 hours",IF(G2450&lt;=72,"3. 1-3 days","4. Over 3 days")))</f>
        <v/>
      </c>
      <c r="O2450">
        <f>TEXT(B2450,"YYYY-MM")</f>
        <v/>
      </c>
    </row>
    <row r="2451">
      <c r="A2451" t="inlineStr">
        <is>
          <t>LD-302449</t>
        </is>
      </c>
      <c r="B2451" t="inlineStr">
        <is>
          <t>2026-06-24 18:51:00</t>
        </is>
      </c>
      <c r="C2451" t="inlineStr">
        <is>
          <t>Webinar</t>
        </is>
      </c>
      <c r="D2451" t="inlineStr">
        <is>
          <t>Language Learning</t>
        </is>
      </c>
      <c r="E2451" t="inlineStr">
        <is>
          <t>East Region</t>
        </is>
      </c>
      <c r="F2451" t="inlineStr">
        <is>
          <t>Rep_14</t>
        </is>
      </c>
      <c r="G2451" t="n">
        <v>5.05</v>
      </c>
      <c r="H2451" t="inlineStr">
        <is>
          <t>Demo Completed</t>
        </is>
      </c>
      <c r="I2451" t="inlineStr">
        <is>
          <t>Lost</t>
        </is>
      </c>
      <c r="J2451" t="inlineStr">
        <is>
          <t>Went With Competitor</t>
        </is>
      </c>
      <c r="K2451" t="n">
        <v>306.53</v>
      </c>
      <c r="L2451" t="inlineStr">
        <is>
          <t>2026-07-20 12:41:24.998296</t>
        </is>
      </c>
      <c r="M2451">
        <f>VLOOKUP(H2451,'Stage Order'!$A$2:$B$8,2,FALSE)</f>
        <v/>
      </c>
      <c r="N2451">
        <f>IF(G2451&lt;=1,"1. Under 1 hour",IF(G2451&lt;=24,"2. 1-24 hours",IF(G2451&lt;=72,"3. 1-3 days","4. Over 3 days")))</f>
        <v/>
      </c>
      <c r="O2451">
        <f>TEXT(B2451,"YYYY-MM")</f>
        <v/>
      </c>
    </row>
    <row r="2452">
      <c r="A2452" t="inlineStr">
        <is>
          <t>LD-302450</t>
        </is>
      </c>
      <c r="B2452" t="inlineStr">
        <is>
          <t>2025-10-21 17:02:00</t>
        </is>
      </c>
      <c r="C2452" t="inlineStr">
        <is>
          <t>Organic Search</t>
        </is>
      </c>
      <c r="D2452" t="inlineStr">
        <is>
          <t>K-12 Math</t>
        </is>
      </c>
      <c r="E2452" t="inlineStr">
        <is>
          <t>West Region</t>
        </is>
      </c>
      <c r="F2452" t="inlineStr">
        <is>
          <t>Rep_08</t>
        </is>
      </c>
      <c r="G2452" t="n">
        <v>0.27</v>
      </c>
      <c r="H2452" t="inlineStr">
        <is>
          <t>Contacted</t>
        </is>
      </c>
      <c r="I2452" t="inlineStr">
        <is>
          <t>Open</t>
        </is>
      </c>
      <c r="M2452">
        <f>VLOOKUP(H2452,'Stage Order'!$A$2:$B$8,2,FALSE)</f>
        <v/>
      </c>
      <c r="N2452">
        <f>IF(G2452&lt;=1,"1. Under 1 hour",IF(G2452&lt;=24,"2. 1-24 hours",IF(G2452&lt;=72,"3. 1-3 days","4. Over 3 days")))</f>
        <v/>
      </c>
      <c r="O2452">
        <f>TEXT(B2452,"YYYY-MM")</f>
        <v/>
      </c>
    </row>
    <row r="2453">
      <c r="A2453" t="inlineStr">
        <is>
          <t>LD-302451</t>
        </is>
      </c>
      <c r="B2453" t="inlineStr">
        <is>
          <t>2025-07-30 09:12:00</t>
        </is>
      </c>
      <c r="C2453" t="inlineStr">
        <is>
          <t>Partner Channel</t>
        </is>
      </c>
      <c r="D2453" t="inlineStr">
        <is>
          <t>K-12 Math</t>
        </is>
      </c>
      <c r="E2453" t="inlineStr">
        <is>
          <t>International</t>
        </is>
      </c>
      <c r="F2453" t="inlineStr">
        <is>
          <t>Rep_10</t>
        </is>
      </c>
      <c r="G2453" t="n">
        <v>3.9</v>
      </c>
      <c r="H2453" t="inlineStr">
        <is>
          <t>Demo Completed</t>
        </is>
      </c>
      <c r="I2453" t="inlineStr">
        <is>
          <t>Lost</t>
        </is>
      </c>
      <c r="J2453" t="inlineStr">
        <is>
          <t>No Response / Ghosted</t>
        </is>
      </c>
      <c r="K2453" t="n">
        <v>424.16</v>
      </c>
      <c r="L2453" t="inlineStr">
        <is>
          <t>2025-08-30 08:12:55.296079</t>
        </is>
      </c>
      <c r="M2453">
        <f>VLOOKUP(H2453,'Stage Order'!$A$2:$B$8,2,FALSE)</f>
        <v/>
      </c>
      <c r="N2453">
        <f>IF(G2453&lt;=1,"1. Under 1 hour",IF(G2453&lt;=24,"2. 1-24 hours",IF(G2453&lt;=72,"3. 1-3 days","4. Over 3 days")))</f>
        <v/>
      </c>
      <c r="O2453">
        <f>TEXT(B2453,"YYYY-MM")</f>
        <v/>
      </c>
    </row>
    <row r="2454">
      <c r="A2454" t="inlineStr">
        <is>
          <t>LD-302452</t>
        </is>
      </c>
      <c r="B2454" t="inlineStr">
        <is>
          <t>2026-03-13 15:02:00</t>
        </is>
      </c>
      <c r="C2454" t="inlineStr">
        <is>
          <t>Social Media</t>
        </is>
      </c>
      <c r="D2454" t="inlineStr">
        <is>
          <t>Study Abroad Prep</t>
        </is>
      </c>
      <c r="E2454" t="inlineStr">
        <is>
          <t>East Region</t>
        </is>
      </c>
      <c r="F2454" t="inlineStr">
        <is>
          <t>Rep_04</t>
        </is>
      </c>
      <c r="G2454" t="n">
        <v>2.36</v>
      </c>
      <c r="H2454" t="inlineStr">
        <is>
          <t>Lead</t>
        </is>
      </c>
      <c r="I2454" t="inlineStr">
        <is>
          <t>Open</t>
        </is>
      </c>
      <c r="M2454">
        <f>VLOOKUP(H2454,'Stage Order'!$A$2:$B$8,2,FALSE)</f>
        <v/>
      </c>
      <c r="N2454">
        <f>IF(G2454&lt;=1,"1. Under 1 hour",IF(G2454&lt;=24,"2. 1-24 hours",IF(G2454&lt;=72,"3. 1-3 days","4. Over 3 days")))</f>
        <v/>
      </c>
      <c r="O2454">
        <f>TEXT(B2454,"YYYY-MM")</f>
        <v/>
      </c>
    </row>
    <row r="2455">
      <c r="A2455" t="inlineStr">
        <is>
          <t>LD-302453</t>
        </is>
      </c>
      <c r="B2455" t="inlineStr">
        <is>
          <t>2025-03-25 14:15:00</t>
        </is>
      </c>
      <c r="C2455" t="inlineStr">
        <is>
          <t>Webinar</t>
        </is>
      </c>
      <c r="D2455" t="inlineStr">
        <is>
          <t>Coding for Kids</t>
        </is>
      </c>
      <c r="E2455" t="inlineStr">
        <is>
          <t>East Region</t>
        </is>
      </c>
      <c r="F2455" t="inlineStr">
        <is>
          <t>Rep_04</t>
        </is>
      </c>
      <c r="G2455" t="n">
        <v>2.86</v>
      </c>
      <c r="H2455" t="inlineStr">
        <is>
          <t>Demo Completed</t>
        </is>
      </c>
      <c r="I2455" t="inlineStr">
        <is>
          <t>Lost</t>
        </is>
      </c>
      <c r="J2455" t="inlineStr">
        <is>
          <t>Price Objection</t>
        </is>
      </c>
      <c r="K2455" t="n">
        <v>618.5700000000001</v>
      </c>
      <c r="L2455" t="inlineStr">
        <is>
          <t>2025-05-08 02:00:47.136362</t>
        </is>
      </c>
      <c r="M2455">
        <f>VLOOKUP(H2455,'Stage Order'!$A$2:$B$8,2,FALSE)</f>
        <v/>
      </c>
      <c r="N2455">
        <f>IF(G2455&lt;=1,"1. Under 1 hour",IF(G2455&lt;=24,"2. 1-24 hours",IF(G2455&lt;=72,"3. 1-3 days","4. Over 3 days")))</f>
        <v/>
      </c>
      <c r="O2455">
        <f>TEXT(B2455,"YYYY-MM")</f>
        <v/>
      </c>
    </row>
    <row r="2456">
      <c r="A2456" t="inlineStr">
        <is>
          <t>LD-302454</t>
        </is>
      </c>
      <c r="B2456" t="inlineStr">
        <is>
          <t>2026-06-26 12:28:00</t>
        </is>
      </c>
      <c r="C2456" t="inlineStr">
        <is>
          <t>Organic Search</t>
        </is>
      </c>
      <c r="D2456" t="inlineStr">
        <is>
          <t>Coding for Kids</t>
        </is>
      </c>
      <c r="E2456" t="inlineStr">
        <is>
          <t>South Region</t>
        </is>
      </c>
      <c r="F2456" t="inlineStr">
        <is>
          <t>Rep_07</t>
        </is>
      </c>
      <c r="G2456" t="n">
        <v>0.79</v>
      </c>
      <c r="H2456" t="inlineStr">
        <is>
          <t>Proposal Sent</t>
        </is>
      </c>
      <c r="I2456" t="inlineStr">
        <is>
          <t>Lost</t>
        </is>
      </c>
      <c r="J2456" t="inlineStr">
        <is>
          <t>No Response / Ghosted</t>
        </is>
      </c>
      <c r="K2456" t="n">
        <v>702.17</v>
      </c>
      <c r="L2456" t="inlineStr">
        <is>
          <t>2026-08-06 10:31:16.961591</t>
        </is>
      </c>
      <c r="M2456">
        <f>VLOOKUP(H2456,'Stage Order'!$A$2:$B$8,2,FALSE)</f>
        <v/>
      </c>
      <c r="N2456">
        <f>IF(G2456&lt;=1,"1. Under 1 hour",IF(G2456&lt;=24,"2. 1-24 hours",IF(G2456&lt;=72,"3. 1-3 days","4. Over 3 days")))</f>
        <v/>
      </c>
      <c r="O2456">
        <f>TEXT(B2456,"YYYY-MM")</f>
        <v/>
      </c>
    </row>
    <row r="2457">
      <c r="A2457" t="inlineStr">
        <is>
          <t>LD-302455</t>
        </is>
      </c>
      <c r="B2457" t="inlineStr">
        <is>
          <t>2026-01-12 14:43:00</t>
        </is>
      </c>
      <c r="C2457" t="inlineStr">
        <is>
          <t>Referral</t>
        </is>
      </c>
      <c r="D2457" t="inlineStr">
        <is>
          <t>Coding for Kids</t>
        </is>
      </c>
      <c r="E2457" t="inlineStr">
        <is>
          <t>West Region</t>
        </is>
      </c>
      <c r="F2457" t="inlineStr">
        <is>
          <t>Rep_13</t>
        </is>
      </c>
      <c r="G2457" t="n">
        <v>1.44</v>
      </c>
      <c r="H2457" t="inlineStr">
        <is>
          <t>Negotiation</t>
        </is>
      </c>
      <c r="I2457" t="inlineStr">
        <is>
          <t>Lost</t>
        </is>
      </c>
      <c r="J2457" t="inlineStr">
        <is>
          <t>Budget Not Approved</t>
        </is>
      </c>
      <c r="K2457" t="n">
        <v>771.12</v>
      </c>
      <c r="L2457" t="inlineStr">
        <is>
          <t>2026-02-26 06:49:02.747960</t>
        </is>
      </c>
      <c r="M2457">
        <f>VLOOKUP(H2457,'Stage Order'!$A$2:$B$8,2,FALSE)</f>
        <v/>
      </c>
      <c r="N2457">
        <f>IF(G2457&lt;=1,"1. Under 1 hour",IF(G2457&lt;=24,"2. 1-24 hours",IF(G2457&lt;=72,"3. 1-3 days","4. Over 3 days")))</f>
        <v/>
      </c>
      <c r="O2457">
        <f>TEXT(B2457,"YYYY-MM")</f>
        <v/>
      </c>
    </row>
    <row r="2458">
      <c r="A2458" t="inlineStr">
        <is>
          <t>LD-302456</t>
        </is>
      </c>
      <c r="B2458" t="inlineStr">
        <is>
          <t>2026-01-09 15:02:00</t>
        </is>
      </c>
      <c r="C2458" t="inlineStr">
        <is>
          <t>Referral</t>
        </is>
      </c>
      <c r="D2458" t="inlineStr">
        <is>
          <t>Competitive Exam Prep</t>
        </is>
      </c>
      <c r="E2458" t="inlineStr">
        <is>
          <t>North Region</t>
        </is>
      </c>
      <c r="F2458" t="inlineStr">
        <is>
          <t>Rep_06</t>
        </is>
      </c>
      <c r="G2458" t="n">
        <v>5.87</v>
      </c>
      <c r="H2458" t="inlineStr">
        <is>
          <t>Closed</t>
        </is>
      </c>
      <c r="I2458" t="inlineStr">
        <is>
          <t>Won</t>
        </is>
      </c>
      <c r="K2458" t="n">
        <v>1011.89</v>
      </c>
      <c r="L2458" t="inlineStr">
        <is>
          <t>2026-02-28 11:00:34.676239</t>
        </is>
      </c>
      <c r="M2458">
        <f>VLOOKUP(H2458,'Stage Order'!$A$2:$B$8,2,FALSE)</f>
        <v/>
      </c>
      <c r="N2458">
        <f>IF(G2458&lt;=1,"1. Under 1 hour",IF(G2458&lt;=24,"2. 1-24 hours",IF(G2458&lt;=72,"3. 1-3 days","4. Over 3 days")))</f>
        <v/>
      </c>
      <c r="O2458">
        <f>TEXT(B2458,"YYYY-MM")</f>
        <v/>
      </c>
    </row>
    <row r="2459">
      <c r="A2459" t="inlineStr">
        <is>
          <t>LD-302457</t>
        </is>
      </c>
      <c r="B2459" t="inlineStr">
        <is>
          <t>2026-04-03 19:56:00</t>
        </is>
      </c>
      <c r="C2459" t="inlineStr">
        <is>
          <t>Referral</t>
        </is>
      </c>
      <c r="D2459" t="inlineStr">
        <is>
          <t>Coding for Kids</t>
        </is>
      </c>
      <c r="E2459" t="inlineStr">
        <is>
          <t>South Region</t>
        </is>
      </c>
      <c r="F2459" t="inlineStr">
        <is>
          <t>Rep_12</t>
        </is>
      </c>
      <c r="G2459" t="n">
        <v>7.88</v>
      </c>
      <c r="H2459" t="inlineStr">
        <is>
          <t>Negotiation</t>
        </is>
      </c>
      <c r="I2459" t="inlineStr">
        <is>
          <t>Lost</t>
        </is>
      </c>
      <c r="J2459" t="inlineStr">
        <is>
          <t>Went With Competitor</t>
        </is>
      </c>
      <c r="K2459" t="n">
        <v>661.16</v>
      </c>
      <c r="L2459" t="inlineStr">
        <is>
          <t>2026-05-22 12:19:26.449760</t>
        </is>
      </c>
      <c r="M2459">
        <f>VLOOKUP(H2459,'Stage Order'!$A$2:$B$8,2,FALSE)</f>
        <v/>
      </c>
      <c r="N2459">
        <f>IF(G2459&lt;=1,"1. Under 1 hour",IF(G2459&lt;=24,"2. 1-24 hours",IF(G2459&lt;=72,"3. 1-3 days","4. Over 3 days")))</f>
        <v/>
      </c>
      <c r="O2459">
        <f>TEXT(B2459,"YYYY-MM")</f>
        <v/>
      </c>
    </row>
    <row r="2460">
      <c r="A2460" t="inlineStr">
        <is>
          <t>LD-302458</t>
        </is>
      </c>
      <c r="B2460" t="inlineStr">
        <is>
          <t>2025-10-02 17:27:00</t>
        </is>
      </c>
      <c r="C2460" t="inlineStr">
        <is>
          <t>Paid Search</t>
        </is>
      </c>
      <c r="D2460" t="inlineStr">
        <is>
          <t>K-12 Math</t>
        </is>
      </c>
      <c r="E2460" t="inlineStr">
        <is>
          <t>South Region</t>
        </is>
      </c>
      <c r="F2460" t="inlineStr">
        <is>
          <t>Rep_07</t>
        </is>
      </c>
      <c r="G2460" t="n">
        <v>2.98</v>
      </c>
      <c r="H2460" t="inlineStr">
        <is>
          <t>Demo Scheduled</t>
        </is>
      </c>
      <c r="I2460" t="inlineStr">
        <is>
          <t>Open</t>
        </is>
      </c>
      <c r="M2460">
        <f>VLOOKUP(H2460,'Stage Order'!$A$2:$B$8,2,FALSE)</f>
        <v/>
      </c>
      <c r="N2460">
        <f>IF(G2460&lt;=1,"1. Under 1 hour",IF(G2460&lt;=24,"2. 1-24 hours",IF(G2460&lt;=72,"3. 1-3 days","4. Over 3 days")))</f>
        <v/>
      </c>
      <c r="O2460">
        <f>TEXT(B2460,"YYYY-MM")</f>
        <v/>
      </c>
    </row>
    <row r="2461">
      <c r="A2461" t="inlineStr">
        <is>
          <t>LD-302459</t>
        </is>
      </c>
      <c r="B2461" t="inlineStr">
        <is>
          <t>2025-12-06 12:07:00</t>
        </is>
      </c>
      <c r="C2461" t="inlineStr">
        <is>
          <t>Webinar</t>
        </is>
      </c>
      <c r="D2461" t="inlineStr">
        <is>
          <t>Language Learning</t>
        </is>
      </c>
      <c r="E2461" t="inlineStr">
        <is>
          <t>North Region</t>
        </is>
      </c>
      <c r="F2461" t="inlineStr">
        <is>
          <t>Rep_06</t>
        </is>
      </c>
      <c r="G2461" t="n">
        <v>2.88</v>
      </c>
      <c r="H2461" t="inlineStr">
        <is>
          <t>Demo Completed</t>
        </is>
      </c>
      <c r="I2461" t="inlineStr">
        <is>
          <t>Lost</t>
        </is>
      </c>
      <c r="J2461" t="inlineStr">
        <is>
          <t>Went With Competitor</t>
        </is>
      </c>
      <c r="K2461" t="n">
        <v>398.96</v>
      </c>
      <c r="L2461" t="inlineStr">
        <is>
          <t>2025-12-28 13:00:13.876212</t>
        </is>
      </c>
      <c r="M2461">
        <f>VLOOKUP(H2461,'Stage Order'!$A$2:$B$8,2,FALSE)</f>
        <v/>
      </c>
      <c r="N2461">
        <f>IF(G2461&lt;=1,"1. Under 1 hour",IF(G2461&lt;=24,"2. 1-24 hours",IF(G2461&lt;=72,"3. 1-3 days","4. Over 3 days")))</f>
        <v/>
      </c>
      <c r="O2461">
        <f>TEXT(B2461,"YYYY-MM")</f>
        <v/>
      </c>
    </row>
    <row r="2462">
      <c r="A2462" t="inlineStr">
        <is>
          <t>LD-302460</t>
        </is>
      </c>
      <c r="B2462" t="inlineStr">
        <is>
          <t>2025-05-07 07:27:00</t>
        </is>
      </c>
      <c r="C2462" t="inlineStr">
        <is>
          <t>Paid Search</t>
        </is>
      </c>
      <c r="D2462" t="inlineStr">
        <is>
          <t>K-12 Math</t>
        </is>
      </c>
      <c r="E2462" t="inlineStr">
        <is>
          <t>East Region</t>
        </is>
      </c>
      <c r="F2462" t="inlineStr">
        <is>
          <t>Rep_14</t>
        </is>
      </c>
      <c r="G2462" t="n">
        <v>4.3</v>
      </c>
      <c r="H2462" t="inlineStr">
        <is>
          <t>Contacted</t>
        </is>
      </c>
      <c r="I2462" t="inlineStr">
        <is>
          <t>Open</t>
        </is>
      </c>
      <c r="M2462">
        <f>VLOOKUP(H2462,'Stage Order'!$A$2:$B$8,2,FALSE)</f>
        <v/>
      </c>
      <c r="N2462">
        <f>IF(G2462&lt;=1,"1. Under 1 hour",IF(G2462&lt;=24,"2. 1-24 hours",IF(G2462&lt;=72,"3. 1-3 days","4. Over 3 days")))</f>
        <v/>
      </c>
      <c r="O2462">
        <f>TEXT(B2462,"YYYY-MM")</f>
        <v/>
      </c>
    </row>
    <row r="2463">
      <c r="A2463" t="inlineStr">
        <is>
          <t>LD-302461</t>
        </is>
      </c>
      <c r="B2463" t="inlineStr">
        <is>
          <t>2025-03-10 18:51:00</t>
        </is>
      </c>
      <c r="C2463" t="inlineStr">
        <is>
          <t>Organic Search</t>
        </is>
      </c>
      <c r="D2463" t="inlineStr">
        <is>
          <t>Study Abroad Prep</t>
        </is>
      </c>
      <c r="E2463" t="inlineStr">
        <is>
          <t>South Region</t>
        </is>
      </c>
      <c r="F2463" t="inlineStr">
        <is>
          <t>Rep_07</t>
        </is>
      </c>
      <c r="G2463" t="n">
        <v>4.85</v>
      </c>
      <c r="H2463" t="inlineStr">
        <is>
          <t>Negotiation</t>
        </is>
      </c>
      <c r="I2463" t="inlineStr">
        <is>
          <t>Lost</t>
        </is>
      </c>
      <c r="J2463" t="inlineStr">
        <is>
          <t>Budget Not Approved</t>
        </is>
      </c>
      <c r="K2463" t="n">
        <v>1588.18</v>
      </c>
      <c r="L2463" t="inlineStr">
        <is>
          <t>2025-05-01 18:52:12.182299</t>
        </is>
      </c>
      <c r="M2463">
        <f>VLOOKUP(H2463,'Stage Order'!$A$2:$B$8,2,FALSE)</f>
        <v/>
      </c>
      <c r="N2463">
        <f>IF(G2463&lt;=1,"1. Under 1 hour",IF(G2463&lt;=24,"2. 1-24 hours",IF(G2463&lt;=72,"3. 1-3 days","4. Over 3 days")))</f>
        <v/>
      </c>
      <c r="O2463">
        <f>TEXT(B2463,"YYYY-MM")</f>
        <v/>
      </c>
    </row>
    <row r="2464">
      <c r="A2464" t="inlineStr">
        <is>
          <t>LD-302462</t>
        </is>
      </c>
      <c r="B2464" t="inlineStr">
        <is>
          <t>2025-06-09 12:58:00</t>
        </is>
      </c>
      <c r="C2464" t="inlineStr">
        <is>
          <t>Organic Search</t>
        </is>
      </c>
      <c r="D2464" t="inlineStr">
        <is>
          <t>K-12 Math</t>
        </is>
      </c>
      <c r="E2464" t="inlineStr">
        <is>
          <t>North Region</t>
        </is>
      </c>
      <c r="F2464" t="inlineStr">
        <is>
          <t>Rep_06</t>
        </is>
      </c>
      <c r="G2464" t="n">
        <v>13.23</v>
      </c>
      <c r="H2464" t="inlineStr">
        <is>
          <t>Contacted</t>
        </is>
      </c>
      <c r="I2464" t="inlineStr">
        <is>
          <t>Open</t>
        </is>
      </c>
      <c r="M2464">
        <f>VLOOKUP(H2464,'Stage Order'!$A$2:$B$8,2,FALSE)</f>
        <v/>
      </c>
      <c r="N2464">
        <f>IF(G2464&lt;=1,"1. Under 1 hour",IF(G2464&lt;=24,"2. 1-24 hours",IF(G2464&lt;=72,"3. 1-3 days","4. Over 3 days")))</f>
        <v/>
      </c>
      <c r="O2464">
        <f>TEXT(B2464,"YYYY-MM")</f>
        <v/>
      </c>
    </row>
    <row r="2465">
      <c r="A2465" t="inlineStr">
        <is>
          <t>LD-302463</t>
        </is>
      </c>
      <c r="B2465" t="inlineStr">
        <is>
          <t>2025-02-14 07:46:00</t>
        </is>
      </c>
      <c r="C2465" t="inlineStr">
        <is>
          <t>Organic Search</t>
        </is>
      </c>
      <c r="D2465" t="inlineStr">
        <is>
          <t>Competitive Exam Prep</t>
        </is>
      </c>
      <c r="E2465" t="inlineStr">
        <is>
          <t>West Region</t>
        </is>
      </c>
      <c r="F2465" t="inlineStr">
        <is>
          <t>Rep_13</t>
        </is>
      </c>
      <c r="G2465" t="n">
        <v>2.58</v>
      </c>
      <c r="H2465" t="inlineStr">
        <is>
          <t>Contacted</t>
        </is>
      </c>
      <c r="I2465" t="inlineStr">
        <is>
          <t>Open</t>
        </is>
      </c>
      <c r="M2465">
        <f>VLOOKUP(H2465,'Stage Order'!$A$2:$B$8,2,FALSE)</f>
        <v/>
      </c>
      <c r="N2465">
        <f>IF(G2465&lt;=1,"1. Under 1 hour",IF(G2465&lt;=24,"2. 1-24 hours",IF(G2465&lt;=72,"3. 1-3 days","4. Over 3 days")))</f>
        <v/>
      </c>
      <c r="O2465">
        <f>TEXT(B2465,"YYYY-MM")</f>
        <v/>
      </c>
    </row>
    <row r="2466">
      <c r="A2466" t="inlineStr">
        <is>
          <t>LD-302464</t>
        </is>
      </c>
      <c r="B2466" t="inlineStr">
        <is>
          <t>2026-02-16 14:56:00</t>
        </is>
      </c>
      <c r="C2466" t="inlineStr">
        <is>
          <t>Referral</t>
        </is>
      </c>
      <c r="D2466" t="inlineStr">
        <is>
          <t>Study Abroad Prep</t>
        </is>
      </c>
      <c r="E2466" t="inlineStr">
        <is>
          <t>North Region</t>
        </is>
      </c>
      <c r="F2466" t="inlineStr">
        <is>
          <t>Rep_11</t>
        </is>
      </c>
      <c r="G2466" t="n">
        <v>7.74</v>
      </c>
      <c r="H2466" t="inlineStr">
        <is>
          <t>Closed</t>
        </is>
      </c>
      <c r="I2466" t="inlineStr">
        <is>
          <t>Won</t>
        </is>
      </c>
      <c r="K2466" t="n">
        <v>1420.01</v>
      </c>
      <c r="L2466" t="inlineStr">
        <is>
          <t>2026-04-09 01:45:11.523530</t>
        </is>
      </c>
      <c r="M2466">
        <f>VLOOKUP(H2466,'Stage Order'!$A$2:$B$8,2,FALSE)</f>
        <v/>
      </c>
      <c r="N2466">
        <f>IF(G2466&lt;=1,"1. Under 1 hour",IF(G2466&lt;=24,"2. 1-24 hours",IF(G2466&lt;=72,"3. 1-3 days","4. Over 3 days")))</f>
        <v/>
      </c>
      <c r="O2466">
        <f>TEXT(B2466,"YYYY-MM")</f>
        <v/>
      </c>
    </row>
    <row r="2467">
      <c r="A2467" t="inlineStr">
        <is>
          <t>LD-302465</t>
        </is>
      </c>
      <c r="B2467" t="inlineStr">
        <is>
          <t>2025-02-20 08:53:00</t>
        </is>
      </c>
      <c r="C2467" t="inlineStr">
        <is>
          <t>Paid Search</t>
        </is>
      </c>
      <c r="D2467" t="inlineStr">
        <is>
          <t>Language Learning</t>
        </is>
      </c>
      <c r="E2467" t="inlineStr">
        <is>
          <t>South Region</t>
        </is>
      </c>
      <c r="F2467" t="inlineStr">
        <is>
          <t>Rep_12</t>
        </is>
      </c>
      <c r="G2467" t="n">
        <v>24.77</v>
      </c>
      <c r="H2467" t="inlineStr">
        <is>
          <t>Proposal Sent</t>
        </is>
      </c>
      <c r="I2467" t="inlineStr">
        <is>
          <t>Lost</t>
        </is>
      </c>
      <c r="J2467" t="inlineStr">
        <is>
          <t>Budget Not Approved</t>
        </is>
      </c>
      <c r="K2467" t="n">
        <v>388.29</v>
      </c>
      <c r="L2467" t="inlineStr">
        <is>
          <t>2025-03-28 13:22:28.063689</t>
        </is>
      </c>
      <c r="M2467">
        <f>VLOOKUP(H2467,'Stage Order'!$A$2:$B$8,2,FALSE)</f>
        <v/>
      </c>
      <c r="N2467">
        <f>IF(G2467&lt;=1,"1. Under 1 hour",IF(G2467&lt;=24,"2. 1-24 hours",IF(G2467&lt;=72,"3. 1-3 days","4. Over 3 days")))</f>
        <v/>
      </c>
      <c r="O2467">
        <f>TEXT(B2467,"YYYY-MM")</f>
        <v/>
      </c>
    </row>
    <row r="2468">
      <c r="A2468" t="inlineStr">
        <is>
          <t>LD-302466</t>
        </is>
      </c>
      <c r="B2468" t="inlineStr">
        <is>
          <t>2025-10-23 07:29:00</t>
        </is>
      </c>
      <c r="C2468" t="inlineStr">
        <is>
          <t>Referral</t>
        </is>
      </c>
      <c r="D2468" t="inlineStr">
        <is>
          <t>Competitive Exam Prep</t>
        </is>
      </c>
      <c r="E2468" t="inlineStr">
        <is>
          <t>North Region</t>
        </is>
      </c>
      <c r="F2468" t="inlineStr">
        <is>
          <t>Rep_11</t>
        </is>
      </c>
      <c r="G2468" t="n">
        <v>3.1</v>
      </c>
      <c r="H2468" t="inlineStr">
        <is>
          <t>Closed</t>
        </is>
      </c>
      <c r="I2468" t="inlineStr">
        <is>
          <t>Won</t>
        </is>
      </c>
      <c r="K2468" t="n">
        <v>1037.41</v>
      </c>
      <c r="L2468" t="inlineStr">
        <is>
          <t>2025-11-24 08:37:15.588802</t>
        </is>
      </c>
      <c r="M2468">
        <f>VLOOKUP(H2468,'Stage Order'!$A$2:$B$8,2,FALSE)</f>
        <v/>
      </c>
      <c r="N2468">
        <f>IF(G2468&lt;=1,"1. Under 1 hour",IF(G2468&lt;=24,"2. 1-24 hours",IF(G2468&lt;=72,"3. 1-3 days","4. Over 3 days")))</f>
        <v/>
      </c>
      <c r="O2468">
        <f>TEXT(B2468,"YYYY-MM")</f>
        <v/>
      </c>
    </row>
    <row r="2469">
      <c r="A2469" t="inlineStr">
        <is>
          <t>LD-302467</t>
        </is>
      </c>
      <c r="B2469" t="inlineStr">
        <is>
          <t>2026-02-26 08:27:00</t>
        </is>
      </c>
      <c r="C2469" t="inlineStr">
        <is>
          <t>Referral</t>
        </is>
      </c>
      <c r="D2469" t="inlineStr">
        <is>
          <t>Language Learning</t>
        </is>
      </c>
      <c r="E2469" t="inlineStr">
        <is>
          <t>South Region</t>
        </is>
      </c>
      <c r="F2469" t="inlineStr">
        <is>
          <t>Rep_12</t>
        </is>
      </c>
      <c r="G2469" t="n">
        <v>2.76</v>
      </c>
      <c r="H2469" t="inlineStr">
        <is>
          <t>Closed</t>
        </is>
      </c>
      <c r="I2469" t="inlineStr">
        <is>
          <t>Won</t>
        </is>
      </c>
      <c r="K2469" t="n">
        <v>307.42</v>
      </c>
      <c r="L2469" t="inlineStr">
        <is>
          <t>2026-04-07 17:43:53.918389</t>
        </is>
      </c>
      <c r="M2469">
        <f>VLOOKUP(H2469,'Stage Order'!$A$2:$B$8,2,FALSE)</f>
        <v/>
      </c>
      <c r="N2469">
        <f>IF(G2469&lt;=1,"1. Under 1 hour",IF(G2469&lt;=24,"2. 1-24 hours",IF(G2469&lt;=72,"3. 1-3 days","4. Over 3 days")))</f>
        <v/>
      </c>
      <c r="O2469">
        <f>TEXT(B2469,"YYYY-MM")</f>
        <v/>
      </c>
    </row>
    <row r="2470">
      <c r="A2470" t="inlineStr">
        <is>
          <t>LD-302468</t>
        </is>
      </c>
      <c r="B2470" t="inlineStr">
        <is>
          <t>2025-05-30 13:55:00</t>
        </is>
      </c>
      <c r="C2470" t="inlineStr">
        <is>
          <t>Cold Outreach</t>
        </is>
      </c>
      <c r="D2470" t="inlineStr">
        <is>
          <t>Coding for Kids</t>
        </is>
      </c>
      <c r="E2470" t="inlineStr">
        <is>
          <t>West Region</t>
        </is>
      </c>
      <c r="F2470" t="inlineStr">
        <is>
          <t>Rep_13</t>
        </is>
      </c>
      <c r="G2470" t="n">
        <v>1.67</v>
      </c>
      <c r="H2470" t="inlineStr">
        <is>
          <t>Contacted</t>
        </is>
      </c>
      <c r="I2470" t="inlineStr">
        <is>
          <t>Open</t>
        </is>
      </c>
      <c r="M2470">
        <f>VLOOKUP(H2470,'Stage Order'!$A$2:$B$8,2,FALSE)</f>
        <v/>
      </c>
      <c r="N2470">
        <f>IF(G2470&lt;=1,"1. Under 1 hour",IF(G2470&lt;=24,"2. 1-24 hours",IF(G2470&lt;=72,"3. 1-3 days","4. Over 3 days")))</f>
        <v/>
      </c>
      <c r="O2470">
        <f>TEXT(B2470,"YYYY-MM")</f>
        <v/>
      </c>
    </row>
    <row r="2471">
      <c r="A2471" t="inlineStr">
        <is>
          <t>LD-302469</t>
        </is>
      </c>
      <c r="B2471" t="inlineStr">
        <is>
          <t>2025-05-28 20:21:00</t>
        </is>
      </c>
      <c r="C2471" t="inlineStr">
        <is>
          <t>Webinar</t>
        </is>
      </c>
      <c r="D2471" t="inlineStr">
        <is>
          <t>K-12 Math</t>
        </is>
      </c>
      <c r="E2471" t="inlineStr">
        <is>
          <t>North Region</t>
        </is>
      </c>
      <c r="F2471" t="inlineStr">
        <is>
          <t>Rep_11</t>
        </is>
      </c>
      <c r="G2471" t="n">
        <v>1.74</v>
      </c>
      <c r="H2471" t="inlineStr">
        <is>
          <t>Contacted</t>
        </is>
      </c>
      <c r="I2471" t="inlineStr">
        <is>
          <t>Open</t>
        </is>
      </c>
      <c r="M2471">
        <f>VLOOKUP(H2471,'Stage Order'!$A$2:$B$8,2,FALSE)</f>
        <v/>
      </c>
      <c r="N2471">
        <f>IF(G2471&lt;=1,"1. Under 1 hour",IF(G2471&lt;=24,"2. 1-24 hours",IF(G2471&lt;=72,"3. 1-3 days","4. Over 3 days")))</f>
        <v/>
      </c>
      <c r="O2471">
        <f>TEXT(B2471,"YYYY-MM")</f>
        <v/>
      </c>
    </row>
    <row r="2472">
      <c r="A2472" t="inlineStr">
        <is>
          <t>LD-302470</t>
        </is>
      </c>
      <c r="B2472" t="inlineStr">
        <is>
          <t>2026-03-13 14:37:00</t>
        </is>
      </c>
      <c r="C2472" t="inlineStr">
        <is>
          <t>Organic Search</t>
        </is>
      </c>
      <c r="D2472" t="inlineStr">
        <is>
          <t>Study Abroad Prep</t>
        </is>
      </c>
      <c r="E2472" t="inlineStr">
        <is>
          <t>South Region</t>
        </is>
      </c>
      <c r="F2472" t="inlineStr">
        <is>
          <t>Rep_07</t>
        </is>
      </c>
      <c r="G2472" t="n">
        <v>1.36</v>
      </c>
      <c r="H2472" t="inlineStr">
        <is>
          <t>Contacted</t>
        </is>
      </c>
      <c r="I2472" t="inlineStr">
        <is>
          <t>Open</t>
        </is>
      </c>
      <c r="M2472">
        <f>VLOOKUP(H2472,'Stage Order'!$A$2:$B$8,2,FALSE)</f>
        <v/>
      </c>
      <c r="N2472">
        <f>IF(G2472&lt;=1,"1. Under 1 hour",IF(G2472&lt;=24,"2. 1-24 hours",IF(G2472&lt;=72,"3. 1-3 days","4. Over 3 days")))</f>
        <v/>
      </c>
      <c r="O2472">
        <f>TEXT(B2472,"YYYY-MM")</f>
        <v/>
      </c>
    </row>
    <row r="2473">
      <c r="A2473" t="inlineStr">
        <is>
          <t>LD-302471</t>
        </is>
      </c>
      <c r="B2473" t="inlineStr">
        <is>
          <t>2026-06-26 14:17:00</t>
        </is>
      </c>
      <c r="C2473" t="inlineStr">
        <is>
          <t>Cold Outreach</t>
        </is>
      </c>
      <c r="D2473" t="inlineStr">
        <is>
          <t>Coding for Kids</t>
        </is>
      </c>
      <c r="E2473" t="inlineStr">
        <is>
          <t>South Region</t>
        </is>
      </c>
      <c r="F2473" t="inlineStr">
        <is>
          <t>Rep_07</t>
        </is>
      </c>
      <c r="G2473" t="n">
        <v>4.14</v>
      </c>
      <c r="H2473" t="inlineStr">
        <is>
          <t>Lead</t>
        </is>
      </c>
      <c r="I2473" t="inlineStr">
        <is>
          <t>Open</t>
        </is>
      </c>
      <c r="M2473">
        <f>VLOOKUP(H2473,'Stage Order'!$A$2:$B$8,2,FALSE)</f>
        <v/>
      </c>
      <c r="N2473">
        <f>IF(G2473&lt;=1,"1. Under 1 hour",IF(G2473&lt;=24,"2. 1-24 hours",IF(G2473&lt;=72,"3. 1-3 days","4. Over 3 days")))</f>
        <v/>
      </c>
      <c r="O2473">
        <f>TEXT(B2473,"YYYY-MM")</f>
        <v/>
      </c>
    </row>
    <row r="2474">
      <c r="A2474" t="inlineStr">
        <is>
          <t>LD-302472</t>
        </is>
      </c>
      <c r="B2474" t="inlineStr">
        <is>
          <t>2025-01-03 07:37:00</t>
        </is>
      </c>
      <c r="C2474" t="inlineStr">
        <is>
          <t>Partner Channel</t>
        </is>
      </c>
      <c r="D2474" t="inlineStr">
        <is>
          <t>K-12 Math</t>
        </is>
      </c>
      <c r="E2474" t="inlineStr">
        <is>
          <t>South Region</t>
        </is>
      </c>
      <c r="F2474" t="inlineStr">
        <is>
          <t>Rep_07</t>
        </is>
      </c>
      <c r="G2474" t="n">
        <v>4.31</v>
      </c>
      <c r="H2474" t="inlineStr">
        <is>
          <t>Negotiation</t>
        </is>
      </c>
      <c r="I2474" t="inlineStr">
        <is>
          <t>Lost</t>
        </is>
      </c>
      <c r="J2474" t="inlineStr">
        <is>
          <t>Price Objection</t>
        </is>
      </c>
      <c r="K2474" t="n">
        <v>437.98</v>
      </c>
      <c r="L2474" t="inlineStr">
        <is>
          <t>2025-02-26 06:07:46.713640</t>
        </is>
      </c>
      <c r="M2474">
        <f>VLOOKUP(H2474,'Stage Order'!$A$2:$B$8,2,FALSE)</f>
        <v/>
      </c>
      <c r="N2474">
        <f>IF(G2474&lt;=1,"1. Under 1 hour",IF(G2474&lt;=24,"2. 1-24 hours",IF(G2474&lt;=72,"3. 1-3 days","4. Over 3 days")))</f>
        <v/>
      </c>
      <c r="O2474">
        <f>TEXT(B2474,"YYYY-MM")</f>
        <v/>
      </c>
    </row>
    <row r="2475">
      <c r="A2475" t="inlineStr">
        <is>
          <t>LD-302473</t>
        </is>
      </c>
      <c r="B2475" t="inlineStr">
        <is>
          <t>2025-12-07 16:37:00</t>
        </is>
      </c>
      <c r="C2475" t="inlineStr">
        <is>
          <t>Partner Channel</t>
        </is>
      </c>
      <c r="D2475" t="inlineStr">
        <is>
          <t>Competitive Exam Prep</t>
        </is>
      </c>
      <c r="E2475" t="inlineStr">
        <is>
          <t>East Region</t>
        </is>
      </c>
      <c r="F2475" t="inlineStr">
        <is>
          <t>Rep_04</t>
        </is>
      </c>
      <c r="G2475" t="n">
        <v>10.14</v>
      </c>
      <c r="H2475" t="inlineStr">
        <is>
          <t>Contacted</t>
        </is>
      </c>
      <c r="I2475" t="inlineStr">
        <is>
          <t>Open</t>
        </is>
      </c>
      <c r="M2475">
        <f>VLOOKUP(H2475,'Stage Order'!$A$2:$B$8,2,FALSE)</f>
        <v/>
      </c>
      <c r="N2475">
        <f>IF(G2475&lt;=1,"1. Under 1 hour",IF(G2475&lt;=24,"2. 1-24 hours",IF(G2475&lt;=72,"3. 1-3 days","4. Over 3 days")))</f>
        <v/>
      </c>
      <c r="O2475">
        <f>TEXT(B2475,"YYYY-MM")</f>
        <v/>
      </c>
    </row>
    <row r="2476">
      <c r="A2476" t="inlineStr">
        <is>
          <t>LD-302474</t>
        </is>
      </c>
      <c r="B2476" t="inlineStr">
        <is>
          <t>2025-09-10 12:25:00</t>
        </is>
      </c>
      <c r="C2476" t="inlineStr">
        <is>
          <t>Referral</t>
        </is>
      </c>
      <c r="D2476" t="inlineStr">
        <is>
          <t>Study Abroad Prep</t>
        </is>
      </c>
      <c r="E2476" t="inlineStr">
        <is>
          <t>North Region</t>
        </is>
      </c>
      <c r="F2476" t="inlineStr">
        <is>
          <t>Rep_11</t>
        </is>
      </c>
      <c r="G2476" t="n">
        <v>3.95</v>
      </c>
      <c r="H2476" t="inlineStr">
        <is>
          <t>Closed</t>
        </is>
      </c>
      <c r="I2476" t="inlineStr">
        <is>
          <t>Won</t>
        </is>
      </c>
      <c r="K2476" t="n">
        <v>1529.89</v>
      </c>
      <c r="L2476" t="inlineStr">
        <is>
          <t>2025-10-19 14:06:21.715375</t>
        </is>
      </c>
      <c r="M2476">
        <f>VLOOKUP(H2476,'Stage Order'!$A$2:$B$8,2,FALSE)</f>
        <v/>
      </c>
      <c r="N2476">
        <f>IF(G2476&lt;=1,"1. Under 1 hour",IF(G2476&lt;=24,"2. 1-24 hours",IF(G2476&lt;=72,"3. 1-3 days","4. Over 3 days")))</f>
        <v/>
      </c>
      <c r="O2476">
        <f>TEXT(B2476,"YYYY-MM")</f>
        <v/>
      </c>
    </row>
    <row r="2477">
      <c r="A2477" t="inlineStr">
        <is>
          <t>LD-302475</t>
        </is>
      </c>
      <c r="B2477" t="inlineStr">
        <is>
          <t>2026-01-02 10:48:00</t>
        </is>
      </c>
      <c r="C2477" t="inlineStr">
        <is>
          <t>Cold Outreach</t>
        </is>
      </c>
      <c r="D2477" t="inlineStr">
        <is>
          <t>Competitive Exam Prep</t>
        </is>
      </c>
      <c r="E2477" t="inlineStr">
        <is>
          <t>South Region</t>
        </is>
      </c>
      <c r="F2477" t="inlineStr">
        <is>
          <t>Rep_02</t>
        </is>
      </c>
      <c r="G2477" t="n">
        <v>0.72</v>
      </c>
      <c r="H2477" t="inlineStr">
        <is>
          <t>Contacted</t>
        </is>
      </c>
      <c r="I2477" t="inlineStr">
        <is>
          <t>Open</t>
        </is>
      </c>
      <c r="M2477">
        <f>VLOOKUP(H2477,'Stage Order'!$A$2:$B$8,2,FALSE)</f>
        <v/>
      </c>
      <c r="N2477">
        <f>IF(G2477&lt;=1,"1. Under 1 hour",IF(G2477&lt;=24,"2. 1-24 hours",IF(G2477&lt;=72,"3. 1-3 days","4. Over 3 days")))</f>
        <v/>
      </c>
      <c r="O2477">
        <f>TEXT(B2477,"YYYY-MM")</f>
        <v/>
      </c>
    </row>
    <row r="2478">
      <c r="A2478" t="inlineStr">
        <is>
          <t>LD-302476</t>
        </is>
      </c>
      <c r="B2478" t="inlineStr">
        <is>
          <t>2025-03-01 16:09:00</t>
        </is>
      </c>
      <c r="C2478" t="inlineStr">
        <is>
          <t>Referral</t>
        </is>
      </c>
      <c r="D2478" t="inlineStr">
        <is>
          <t>Competitive Exam Prep</t>
        </is>
      </c>
      <c r="E2478" t="inlineStr">
        <is>
          <t>West Region</t>
        </is>
      </c>
      <c r="F2478" t="inlineStr">
        <is>
          <t>Rep_03</t>
        </is>
      </c>
      <c r="G2478" t="n">
        <v>13.68</v>
      </c>
      <c r="H2478" t="inlineStr">
        <is>
          <t>Contacted</t>
        </is>
      </c>
      <c r="I2478" t="inlineStr">
        <is>
          <t>Open</t>
        </is>
      </c>
      <c r="M2478">
        <f>VLOOKUP(H2478,'Stage Order'!$A$2:$B$8,2,FALSE)</f>
        <v/>
      </c>
      <c r="N2478">
        <f>IF(G2478&lt;=1,"1. Under 1 hour",IF(G2478&lt;=24,"2. 1-24 hours",IF(G2478&lt;=72,"3. 1-3 days","4. Over 3 days")))</f>
        <v/>
      </c>
      <c r="O2478">
        <f>TEXT(B2478,"YYYY-MM")</f>
        <v/>
      </c>
    </row>
    <row r="2479">
      <c r="A2479" t="inlineStr">
        <is>
          <t>LD-302477</t>
        </is>
      </c>
      <c r="B2479" t="inlineStr">
        <is>
          <t>2026-01-23 17:54:00</t>
        </is>
      </c>
      <c r="C2479" t="inlineStr">
        <is>
          <t>Webinar</t>
        </is>
      </c>
      <c r="D2479" t="inlineStr">
        <is>
          <t>K-12 Math</t>
        </is>
      </c>
      <c r="E2479" t="inlineStr">
        <is>
          <t>International</t>
        </is>
      </c>
      <c r="F2479" t="inlineStr">
        <is>
          <t>Rep_15</t>
        </is>
      </c>
      <c r="G2479" t="n">
        <v>2.93</v>
      </c>
      <c r="H2479" t="inlineStr">
        <is>
          <t>Contacted</t>
        </is>
      </c>
      <c r="I2479" t="inlineStr">
        <is>
          <t>Open</t>
        </is>
      </c>
      <c r="M2479">
        <f>VLOOKUP(H2479,'Stage Order'!$A$2:$B$8,2,FALSE)</f>
        <v/>
      </c>
      <c r="N2479">
        <f>IF(G2479&lt;=1,"1. Under 1 hour",IF(G2479&lt;=24,"2. 1-24 hours",IF(G2479&lt;=72,"3. 1-3 days","4. Over 3 days")))</f>
        <v/>
      </c>
      <c r="O2479">
        <f>TEXT(B2479,"YYYY-MM")</f>
        <v/>
      </c>
    </row>
    <row r="2480">
      <c r="A2480" t="inlineStr">
        <is>
          <t>LD-302478</t>
        </is>
      </c>
      <c r="B2480" t="inlineStr">
        <is>
          <t>2025-07-24 07:39:00</t>
        </is>
      </c>
      <c r="C2480" t="inlineStr">
        <is>
          <t>Paid Search</t>
        </is>
      </c>
      <c r="D2480" t="inlineStr">
        <is>
          <t>K-12 Math</t>
        </is>
      </c>
      <c r="E2480" t="inlineStr">
        <is>
          <t>North Region</t>
        </is>
      </c>
      <c r="F2480" t="inlineStr">
        <is>
          <t>Rep_06</t>
        </is>
      </c>
      <c r="G2480" t="n">
        <v>3.67</v>
      </c>
      <c r="H2480" t="inlineStr">
        <is>
          <t>Contacted</t>
        </is>
      </c>
      <c r="I2480" t="inlineStr">
        <is>
          <t>Open</t>
        </is>
      </c>
      <c r="M2480">
        <f>VLOOKUP(H2480,'Stage Order'!$A$2:$B$8,2,FALSE)</f>
        <v/>
      </c>
      <c r="N2480">
        <f>IF(G2480&lt;=1,"1. Under 1 hour",IF(G2480&lt;=24,"2. 1-24 hours",IF(G2480&lt;=72,"3. 1-3 days","4. Over 3 days")))</f>
        <v/>
      </c>
      <c r="O2480">
        <f>TEXT(B2480,"YYYY-MM")</f>
        <v/>
      </c>
    </row>
    <row r="2481">
      <c r="A2481" t="inlineStr">
        <is>
          <t>LD-302479</t>
        </is>
      </c>
      <c r="B2481" t="inlineStr">
        <is>
          <t>2025-10-15 11:44:00</t>
        </is>
      </c>
      <c r="C2481" t="inlineStr">
        <is>
          <t>Organic Search</t>
        </is>
      </c>
      <c r="D2481" t="inlineStr">
        <is>
          <t>Study Abroad Prep</t>
        </is>
      </c>
      <c r="E2481" t="inlineStr">
        <is>
          <t>West Region</t>
        </is>
      </c>
      <c r="F2481" t="inlineStr">
        <is>
          <t>Rep_03</t>
        </is>
      </c>
      <c r="G2481" t="n">
        <v>3.67</v>
      </c>
      <c r="H2481" t="inlineStr">
        <is>
          <t>Closed</t>
        </is>
      </c>
      <c r="I2481" t="inlineStr">
        <is>
          <t>Won</t>
        </is>
      </c>
      <c r="K2481" t="n">
        <v>1348.35</v>
      </c>
      <c r="L2481" t="inlineStr">
        <is>
          <t>2025-11-19 01:04:08.145548</t>
        </is>
      </c>
      <c r="M2481">
        <f>VLOOKUP(H2481,'Stage Order'!$A$2:$B$8,2,FALSE)</f>
        <v/>
      </c>
      <c r="N2481">
        <f>IF(G2481&lt;=1,"1. Under 1 hour",IF(G2481&lt;=24,"2. 1-24 hours",IF(G2481&lt;=72,"3. 1-3 days","4. Over 3 days")))</f>
        <v/>
      </c>
      <c r="O2481">
        <f>TEXT(B2481,"YYYY-MM")</f>
        <v/>
      </c>
    </row>
    <row r="2482">
      <c r="A2482" t="inlineStr">
        <is>
          <t>LD-302480</t>
        </is>
      </c>
      <c r="B2482" t="inlineStr">
        <is>
          <t>2025-07-08 14:17:00</t>
        </is>
      </c>
      <c r="C2482" t="inlineStr">
        <is>
          <t>Cold Outreach</t>
        </is>
      </c>
      <c r="D2482" t="inlineStr">
        <is>
          <t>Study Abroad Prep</t>
        </is>
      </c>
      <c r="E2482" t="inlineStr">
        <is>
          <t>West Region</t>
        </is>
      </c>
      <c r="F2482" t="inlineStr">
        <is>
          <t>Rep_08</t>
        </is>
      </c>
      <c r="G2482" t="n">
        <v>1.6</v>
      </c>
      <c r="H2482" t="inlineStr">
        <is>
          <t>Lead</t>
        </is>
      </c>
      <c r="I2482" t="inlineStr">
        <is>
          <t>Open</t>
        </is>
      </c>
      <c r="M2482">
        <f>VLOOKUP(H2482,'Stage Order'!$A$2:$B$8,2,FALSE)</f>
        <v/>
      </c>
      <c r="N2482">
        <f>IF(G2482&lt;=1,"1. Under 1 hour",IF(G2482&lt;=24,"2. 1-24 hours",IF(G2482&lt;=72,"3. 1-3 days","4. Over 3 days")))</f>
        <v/>
      </c>
      <c r="O2482">
        <f>TEXT(B2482,"YYYY-MM")</f>
        <v/>
      </c>
    </row>
    <row r="2483">
      <c r="A2483" t="inlineStr">
        <is>
          <t>LD-302481</t>
        </is>
      </c>
      <c r="B2483" t="inlineStr">
        <is>
          <t>2025-11-10 11:49:00</t>
        </is>
      </c>
      <c r="C2483" t="inlineStr">
        <is>
          <t>Social Media</t>
        </is>
      </c>
      <c r="D2483" t="inlineStr">
        <is>
          <t>K-12 Math</t>
        </is>
      </c>
      <c r="E2483" t="inlineStr">
        <is>
          <t>South Region</t>
        </is>
      </c>
      <c r="F2483" t="inlineStr">
        <is>
          <t>Rep_12</t>
        </is>
      </c>
      <c r="G2483" t="n">
        <v>3.27</v>
      </c>
      <c r="H2483" t="inlineStr">
        <is>
          <t>Demo Completed</t>
        </is>
      </c>
      <c r="I2483" t="inlineStr">
        <is>
          <t>Lost</t>
        </is>
      </c>
      <c r="J2483" t="inlineStr">
        <is>
          <t>No Response / Ghosted</t>
        </is>
      </c>
      <c r="K2483" t="n">
        <v>595.64</v>
      </c>
      <c r="L2483" t="inlineStr">
        <is>
          <t>2025-12-20 15:53:39.080179</t>
        </is>
      </c>
      <c r="M2483">
        <f>VLOOKUP(H2483,'Stage Order'!$A$2:$B$8,2,FALSE)</f>
        <v/>
      </c>
      <c r="N2483">
        <f>IF(G2483&lt;=1,"1. Under 1 hour",IF(G2483&lt;=24,"2. 1-24 hours",IF(G2483&lt;=72,"3. 1-3 days","4. Over 3 days")))</f>
        <v/>
      </c>
      <c r="O2483">
        <f>TEXT(B2483,"YYYY-MM")</f>
        <v/>
      </c>
    </row>
    <row r="2484">
      <c r="A2484" t="inlineStr">
        <is>
          <t>LD-302482</t>
        </is>
      </c>
      <c r="B2484" t="inlineStr">
        <is>
          <t>2025-05-07 13:43:00</t>
        </is>
      </c>
      <c r="C2484" t="inlineStr">
        <is>
          <t>Social Media</t>
        </is>
      </c>
      <c r="D2484" t="inlineStr">
        <is>
          <t>Language Learning</t>
        </is>
      </c>
      <c r="E2484" t="inlineStr">
        <is>
          <t>South Region</t>
        </is>
      </c>
      <c r="F2484" t="inlineStr">
        <is>
          <t>Rep_12</t>
        </is>
      </c>
      <c r="G2484" t="n">
        <v>8.56</v>
      </c>
      <c r="H2484" t="inlineStr">
        <is>
          <t>Proposal Sent</t>
        </is>
      </c>
      <c r="I2484" t="inlineStr">
        <is>
          <t>Lost</t>
        </is>
      </c>
      <c r="J2484" t="inlineStr">
        <is>
          <t>Bad Timing</t>
        </is>
      </c>
      <c r="K2484" t="n">
        <v>393.19</v>
      </c>
      <c r="L2484" t="inlineStr">
        <is>
          <t>2025-06-07 21:23:47.079729</t>
        </is>
      </c>
      <c r="M2484">
        <f>VLOOKUP(H2484,'Stage Order'!$A$2:$B$8,2,FALSE)</f>
        <v/>
      </c>
      <c r="N2484">
        <f>IF(G2484&lt;=1,"1. Under 1 hour",IF(G2484&lt;=24,"2. 1-24 hours",IF(G2484&lt;=72,"3. 1-3 days","4. Over 3 days")))</f>
        <v/>
      </c>
      <c r="O2484">
        <f>TEXT(B2484,"YYYY-MM")</f>
        <v/>
      </c>
    </row>
    <row r="2485">
      <c r="A2485" t="inlineStr">
        <is>
          <t>LD-302483</t>
        </is>
      </c>
      <c r="B2485" t="inlineStr">
        <is>
          <t>2025-07-24 12:39:00</t>
        </is>
      </c>
      <c r="C2485" t="inlineStr">
        <is>
          <t>Organic Search</t>
        </is>
      </c>
      <c r="D2485" t="inlineStr">
        <is>
          <t>Language Learning</t>
        </is>
      </c>
      <c r="E2485" t="inlineStr">
        <is>
          <t>North Region</t>
        </is>
      </c>
      <c r="F2485" t="inlineStr">
        <is>
          <t>Rep_01</t>
        </is>
      </c>
      <c r="G2485" t="n">
        <v>0.62</v>
      </c>
      <c r="H2485" t="inlineStr">
        <is>
          <t>Contacted</t>
        </is>
      </c>
      <c r="I2485" t="inlineStr">
        <is>
          <t>Open</t>
        </is>
      </c>
      <c r="M2485">
        <f>VLOOKUP(H2485,'Stage Order'!$A$2:$B$8,2,FALSE)</f>
        <v/>
      </c>
      <c r="N2485">
        <f>IF(G2485&lt;=1,"1. Under 1 hour",IF(G2485&lt;=24,"2. 1-24 hours",IF(G2485&lt;=72,"3. 1-3 days","4. Over 3 days")))</f>
        <v/>
      </c>
      <c r="O2485">
        <f>TEXT(B2485,"YYYY-MM")</f>
        <v/>
      </c>
    </row>
    <row r="2486">
      <c r="A2486" t="inlineStr">
        <is>
          <t>LD-302484</t>
        </is>
      </c>
      <c r="B2486" t="inlineStr">
        <is>
          <t>2025-06-11 08:37:00</t>
        </is>
      </c>
      <c r="C2486" t="inlineStr">
        <is>
          <t>Referral</t>
        </is>
      </c>
      <c r="D2486" t="inlineStr">
        <is>
          <t>Coding for Kids</t>
        </is>
      </c>
      <c r="E2486" t="inlineStr">
        <is>
          <t>North Region</t>
        </is>
      </c>
      <c r="F2486" t="inlineStr">
        <is>
          <t>Rep_01</t>
        </is>
      </c>
      <c r="G2486" t="n">
        <v>9.01</v>
      </c>
      <c r="H2486" t="inlineStr">
        <is>
          <t>Negotiation</t>
        </is>
      </c>
      <c r="I2486" t="inlineStr">
        <is>
          <t>Lost</t>
        </is>
      </c>
      <c r="J2486" t="inlineStr">
        <is>
          <t>Bad Timing</t>
        </is>
      </c>
      <c r="K2486" t="n">
        <v>575.36</v>
      </c>
      <c r="L2486" t="inlineStr">
        <is>
          <t>2025-08-05 11:43:15.047336</t>
        </is>
      </c>
      <c r="M2486">
        <f>VLOOKUP(H2486,'Stage Order'!$A$2:$B$8,2,FALSE)</f>
        <v/>
      </c>
      <c r="N2486">
        <f>IF(G2486&lt;=1,"1. Under 1 hour",IF(G2486&lt;=24,"2. 1-24 hours",IF(G2486&lt;=72,"3. 1-3 days","4. Over 3 days")))</f>
        <v/>
      </c>
      <c r="O2486">
        <f>TEXT(B2486,"YYYY-MM")</f>
        <v/>
      </c>
    </row>
    <row r="2487">
      <c r="A2487" t="inlineStr">
        <is>
          <t>LD-302485</t>
        </is>
      </c>
      <c r="B2487" t="inlineStr">
        <is>
          <t>2026-03-10 15:30:00</t>
        </is>
      </c>
      <c r="C2487" t="inlineStr">
        <is>
          <t>Social Media</t>
        </is>
      </c>
      <c r="D2487" t="inlineStr">
        <is>
          <t>Competitive Exam Prep</t>
        </is>
      </c>
      <c r="E2487" t="inlineStr">
        <is>
          <t>West Region</t>
        </is>
      </c>
      <c r="F2487" t="inlineStr">
        <is>
          <t>Rep_03</t>
        </is>
      </c>
      <c r="G2487" t="n">
        <v>2.6</v>
      </c>
      <c r="H2487" t="inlineStr">
        <is>
          <t>Negotiation</t>
        </is>
      </c>
      <c r="I2487" t="inlineStr">
        <is>
          <t>Lost</t>
        </is>
      </c>
      <c r="J2487" t="inlineStr">
        <is>
          <t>Went With Competitor</t>
        </is>
      </c>
      <c r="K2487" t="n">
        <v>961.91</v>
      </c>
      <c r="L2487" t="inlineStr">
        <is>
          <t>2026-05-02 20:32:50.217059</t>
        </is>
      </c>
      <c r="M2487">
        <f>VLOOKUP(H2487,'Stage Order'!$A$2:$B$8,2,FALSE)</f>
        <v/>
      </c>
      <c r="N2487">
        <f>IF(G2487&lt;=1,"1. Under 1 hour",IF(G2487&lt;=24,"2. 1-24 hours",IF(G2487&lt;=72,"3. 1-3 days","4. Over 3 days")))</f>
        <v/>
      </c>
      <c r="O2487">
        <f>TEXT(B2487,"YYYY-MM")</f>
        <v/>
      </c>
    </row>
    <row r="2488">
      <c r="A2488" t="inlineStr">
        <is>
          <t>LD-302486</t>
        </is>
      </c>
      <c r="B2488" t="inlineStr">
        <is>
          <t>2026-04-17 18:32:00</t>
        </is>
      </c>
      <c r="C2488" t="inlineStr">
        <is>
          <t>Organic Search</t>
        </is>
      </c>
      <c r="D2488" t="inlineStr">
        <is>
          <t>Coding for Kids</t>
        </is>
      </c>
      <c r="E2488" t="inlineStr">
        <is>
          <t>North Region</t>
        </is>
      </c>
      <c r="F2488" t="inlineStr">
        <is>
          <t>Rep_01</t>
        </is>
      </c>
      <c r="G2488" t="n">
        <v>3.47</v>
      </c>
      <c r="H2488" t="inlineStr">
        <is>
          <t>Contacted</t>
        </is>
      </c>
      <c r="I2488" t="inlineStr">
        <is>
          <t>Open</t>
        </is>
      </c>
      <c r="M2488">
        <f>VLOOKUP(H2488,'Stage Order'!$A$2:$B$8,2,FALSE)</f>
        <v/>
      </c>
      <c r="N2488">
        <f>IF(G2488&lt;=1,"1. Under 1 hour",IF(G2488&lt;=24,"2. 1-24 hours",IF(G2488&lt;=72,"3. 1-3 days","4. Over 3 days")))</f>
        <v/>
      </c>
      <c r="O2488">
        <f>TEXT(B2488,"YYYY-MM")</f>
        <v/>
      </c>
    </row>
    <row r="2489">
      <c r="A2489" t="inlineStr">
        <is>
          <t>LD-302487</t>
        </is>
      </c>
      <c r="B2489" t="inlineStr">
        <is>
          <t>2025-02-02 12:29:00</t>
        </is>
      </c>
      <c r="C2489" t="inlineStr">
        <is>
          <t>Paid Search</t>
        </is>
      </c>
      <c r="D2489" t="inlineStr">
        <is>
          <t>Language Learning</t>
        </is>
      </c>
      <c r="E2489" t="inlineStr">
        <is>
          <t>West Region</t>
        </is>
      </c>
      <c r="F2489" t="inlineStr">
        <is>
          <t>Rep_13</t>
        </is>
      </c>
      <c r="G2489" t="n">
        <v>7.57</v>
      </c>
      <c r="H2489" t="inlineStr">
        <is>
          <t>Proposal Sent</t>
        </is>
      </c>
      <c r="I2489" t="inlineStr">
        <is>
          <t>Lost</t>
        </is>
      </c>
      <c r="J2489" t="inlineStr">
        <is>
          <t>Bad Timing</t>
        </is>
      </c>
      <c r="K2489" t="n">
        <v>308.93</v>
      </c>
      <c r="L2489" t="inlineStr">
        <is>
          <t>2025-03-03 22:34:19.902562</t>
        </is>
      </c>
      <c r="M2489">
        <f>VLOOKUP(H2489,'Stage Order'!$A$2:$B$8,2,FALSE)</f>
        <v/>
      </c>
      <c r="N2489">
        <f>IF(G2489&lt;=1,"1. Under 1 hour",IF(G2489&lt;=24,"2. 1-24 hours",IF(G2489&lt;=72,"3. 1-3 days","4. Over 3 days")))</f>
        <v/>
      </c>
      <c r="O2489">
        <f>TEXT(B2489,"YYYY-MM")</f>
        <v/>
      </c>
    </row>
    <row r="2490">
      <c r="A2490" t="inlineStr">
        <is>
          <t>LD-302488</t>
        </is>
      </c>
      <c r="B2490" t="inlineStr">
        <is>
          <t>2025-11-24 16:33:00</t>
        </is>
      </c>
      <c r="C2490" t="inlineStr">
        <is>
          <t>Cold Outreach</t>
        </is>
      </c>
      <c r="D2490" t="inlineStr">
        <is>
          <t>K-12 Math</t>
        </is>
      </c>
      <c r="E2490" t="inlineStr">
        <is>
          <t>East Region</t>
        </is>
      </c>
      <c r="F2490" t="inlineStr">
        <is>
          <t>Rep_04</t>
        </is>
      </c>
      <c r="G2490" t="n">
        <v>4.46</v>
      </c>
      <c r="H2490" t="inlineStr">
        <is>
          <t>Lead</t>
        </is>
      </c>
      <c r="I2490" t="inlineStr">
        <is>
          <t>Open</t>
        </is>
      </c>
      <c r="M2490">
        <f>VLOOKUP(H2490,'Stage Order'!$A$2:$B$8,2,FALSE)</f>
        <v/>
      </c>
      <c r="N2490">
        <f>IF(G2490&lt;=1,"1. Under 1 hour",IF(G2490&lt;=24,"2. 1-24 hours",IF(G2490&lt;=72,"3. 1-3 days","4. Over 3 days")))</f>
        <v/>
      </c>
      <c r="O2490">
        <f>TEXT(B2490,"YYYY-MM")</f>
        <v/>
      </c>
    </row>
    <row r="2491">
      <c r="A2491" t="inlineStr">
        <is>
          <t>LD-302489</t>
        </is>
      </c>
      <c r="B2491" t="inlineStr">
        <is>
          <t>2026-05-08 09:35:00</t>
        </is>
      </c>
      <c r="C2491" t="inlineStr">
        <is>
          <t>Referral</t>
        </is>
      </c>
      <c r="D2491" t="inlineStr">
        <is>
          <t>K-12 Math</t>
        </is>
      </c>
      <c r="E2491" t="inlineStr">
        <is>
          <t>South Region</t>
        </is>
      </c>
      <c r="F2491" t="inlineStr">
        <is>
          <t>Rep_07</t>
        </is>
      </c>
      <c r="G2491" t="n">
        <v>2.9</v>
      </c>
      <c r="H2491" t="inlineStr">
        <is>
          <t>Negotiation</t>
        </is>
      </c>
      <c r="I2491" t="inlineStr">
        <is>
          <t>Lost</t>
        </is>
      </c>
      <c r="J2491" t="inlineStr">
        <is>
          <t>Bad Timing</t>
        </is>
      </c>
      <c r="K2491" t="n">
        <v>468.6</v>
      </c>
      <c r="L2491" t="inlineStr">
        <is>
          <t>2026-06-21 20:21:56.778650</t>
        </is>
      </c>
      <c r="M2491">
        <f>VLOOKUP(H2491,'Stage Order'!$A$2:$B$8,2,FALSE)</f>
        <v/>
      </c>
      <c r="N2491">
        <f>IF(G2491&lt;=1,"1. Under 1 hour",IF(G2491&lt;=24,"2. 1-24 hours",IF(G2491&lt;=72,"3. 1-3 days","4. Over 3 days")))</f>
        <v/>
      </c>
      <c r="O2491">
        <f>TEXT(B2491,"YYYY-MM")</f>
        <v/>
      </c>
    </row>
    <row r="2492">
      <c r="A2492" t="inlineStr">
        <is>
          <t>LD-302490</t>
        </is>
      </c>
      <c r="B2492" t="inlineStr">
        <is>
          <t>2025-03-07 07:59:00</t>
        </is>
      </c>
      <c r="C2492" t="inlineStr">
        <is>
          <t>Webinar</t>
        </is>
      </c>
      <c r="D2492" t="inlineStr">
        <is>
          <t>K-12 Math</t>
        </is>
      </c>
      <c r="E2492" t="inlineStr">
        <is>
          <t>West Region</t>
        </is>
      </c>
      <c r="F2492" t="inlineStr">
        <is>
          <t>Rep_13</t>
        </is>
      </c>
      <c r="G2492" t="n">
        <v>5.89</v>
      </c>
      <c r="H2492" t="inlineStr">
        <is>
          <t>Contacted</t>
        </is>
      </c>
      <c r="I2492" t="inlineStr">
        <is>
          <t>Open</t>
        </is>
      </c>
      <c r="M2492">
        <f>VLOOKUP(H2492,'Stage Order'!$A$2:$B$8,2,FALSE)</f>
        <v/>
      </c>
      <c r="N2492">
        <f>IF(G2492&lt;=1,"1. Under 1 hour",IF(G2492&lt;=24,"2. 1-24 hours",IF(G2492&lt;=72,"3. 1-3 days","4. Over 3 days")))</f>
        <v/>
      </c>
      <c r="O2492">
        <f>TEXT(B2492,"YYYY-MM")</f>
        <v/>
      </c>
    </row>
    <row r="2493">
      <c r="A2493" t="inlineStr">
        <is>
          <t>LD-302491</t>
        </is>
      </c>
      <c r="B2493" t="inlineStr">
        <is>
          <t>2025-09-03 09:25:00</t>
        </is>
      </c>
      <c r="C2493" t="inlineStr">
        <is>
          <t>Organic Search</t>
        </is>
      </c>
      <c r="D2493" t="inlineStr">
        <is>
          <t>Study Abroad Prep</t>
        </is>
      </c>
      <c r="E2493" t="inlineStr">
        <is>
          <t>South Region</t>
        </is>
      </c>
      <c r="F2493" t="inlineStr">
        <is>
          <t>Rep_12</t>
        </is>
      </c>
      <c r="G2493" t="n">
        <v>0.72</v>
      </c>
      <c r="H2493" t="inlineStr">
        <is>
          <t>Contacted</t>
        </is>
      </c>
      <c r="I2493" t="inlineStr">
        <is>
          <t>Open</t>
        </is>
      </c>
      <c r="M2493">
        <f>VLOOKUP(H2493,'Stage Order'!$A$2:$B$8,2,FALSE)</f>
        <v/>
      </c>
      <c r="N2493">
        <f>IF(G2493&lt;=1,"1. Under 1 hour",IF(G2493&lt;=24,"2. 1-24 hours",IF(G2493&lt;=72,"3. 1-3 days","4. Over 3 days")))</f>
        <v/>
      </c>
      <c r="O2493">
        <f>TEXT(B2493,"YYYY-MM")</f>
        <v/>
      </c>
    </row>
    <row r="2494">
      <c r="A2494" t="inlineStr">
        <is>
          <t>LD-302492</t>
        </is>
      </c>
      <c r="B2494" t="inlineStr">
        <is>
          <t>2026-01-20 17:28:00</t>
        </is>
      </c>
      <c r="C2494" t="inlineStr">
        <is>
          <t>Paid Search</t>
        </is>
      </c>
      <c r="D2494" t="inlineStr">
        <is>
          <t>Coding for Kids</t>
        </is>
      </c>
      <c r="E2494" t="inlineStr">
        <is>
          <t>South Region</t>
        </is>
      </c>
      <c r="F2494" t="inlineStr">
        <is>
          <t>Rep_07</t>
        </is>
      </c>
      <c r="G2494" t="n">
        <v>3.78</v>
      </c>
      <c r="H2494" t="inlineStr">
        <is>
          <t>Contacted</t>
        </is>
      </c>
      <c r="I2494" t="inlineStr">
        <is>
          <t>Open</t>
        </is>
      </c>
      <c r="M2494">
        <f>VLOOKUP(H2494,'Stage Order'!$A$2:$B$8,2,FALSE)</f>
        <v/>
      </c>
      <c r="N2494">
        <f>IF(G2494&lt;=1,"1. Under 1 hour",IF(G2494&lt;=24,"2. 1-24 hours",IF(G2494&lt;=72,"3. 1-3 days","4. Over 3 days")))</f>
        <v/>
      </c>
      <c r="O2494">
        <f>TEXT(B2494,"YYYY-MM")</f>
        <v/>
      </c>
    </row>
    <row r="2495">
      <c r="A2495" t="inlineStr">
        <is>
          <t>LD-302493</t>
        </is>
      </c>
      <c r="B2495" t="inlineStr">
        <is>
          <t>2025-11-22 15:15:00</t>
        </is>
      </c>
      <c r="C2495" t="inlineStr">
        <is>
          <t>Partner Channel</t>
        </is>
      </c>
      <c r="D2495" t="inlineStr">
        <is>
          <t>Coding for Kids</t>
        </is>
      </c>
      <c r="E2495" t="inlineStr">
        <is>
          <t>West Region</t>
        </is>
      </c>
      <c r="F2495" t="inlineStr">
        <is>
          <t>Rep_03</t>
        </is>
      </c>
      <c r="G2495" t="n">
        <v>3.68</v>
      </c>
      <c r="H2495" t="inlineStr">
        <is>
          <t>Closed</t>
        </is>
      </c>
      <c r="I2495" t="inlineStr">
        <is>
          <t>Won</t>
        </is>
      </c>
      <c r="K2495" t="n">
        <v>729.91</v>
      </c>
      <c r="L2495" t="inlineStr">
        <is>
          <t>2025-12-27 12:41:17.082177</t>
        </is>
      </c>
      <c r="M2495">
        <f>VLOOKUP(H2495,'Stage Order'!$A$2:$B$8,2,FALSE)</f>
        <v/>
      </c>
      <c r="N2495">
        <f>IF(G2495&lt;=1,"1. Under 1 hour",IF(G2495&lt;=24,"2. 1-24 hours",IF(G2495&lt;=72,"3. 1-3 days","4. Over 3 days")))</f>
        <v/>
      </c>
      <c r="O2495">
        <f>TEXT(B2495,"YYYY-MM")</f>
        <v/>
      </c>
    </row>
    <row r="2496">
      <c r="A2496" t="inlineStr">
        <is>
          <t>LD-302494</t>
        </is>
      </c>
      <c r="B2496" t="inlineStr">
        <is>
          <t>2025-05-16 08:23:00</t>
        </is>
      </c>
      <c r="C2496" t="inlineStr">
        <is>
          <t>Referral</t>
        </is>
      </c>
      <c r="D2496" t="inlineStr">
        <is>
          <t>K-12 Math</t>
        </is>
      </c>
      <c r="E2496" t="inlineStr">
        <is>
          <t>South Region</t>
        </is>
      </c>
      <c r="F2496" t="inlineStr">
        <is>
          <t>Rep_12</t>
        </is>
      </c>
      <c r="G2496" t="n">
        <v>2.44</v>
      </c>
      <c r="H2496" t="inlineStr">
        <is>
          <t>Contacted</t>
        </is>
      </c>
      <c r="I2496" t="inlineStr">
        <is>
          <t>Open</t>
        </is>
      </c>
      <c r="M2496">
        <f>VLOOKUP(H2496,'Stage Order'!$A$2:$B$8,2,FALSE)</f>
        <v/>
      </c>
      <c r="N2496">
        <f>IF(G2496&lt;=1,"1. Under 1 hour",IF(G2496&lt;=24,"2. 1-24 hours",IF(G2496&lt;=72,"3. 1-3 days","4. Over 3 days")))</f>
        <v/>
      </c>
      <c r="O2496">
        <f>TEXT(B2496,"YYYY-MM")</f>
        <v/>
      </c>
    </row>
    <row r="2497">
      <c r="A2497" t="inlineStr">
        <is>
          <t>LD-302495</t>
        </is>
      </c>
      <c r="B2497" t="inlineStr">
        <is>
          <t>2025-10-22 18:20:00</t>
        </is>
      </c>
      <c r="C2497" t="inlineStr">
        <is>
          <t>Paid Search</t>
        </is>
      </c>
      <c r="D2497" t="inlineStr">
        <is>
          <t>K-12 Math</t>
        </is>
      </c>
      <c r="E2497" t="inlineStr">
        <is>
          <t>South Region</t>
        </is>
      </c>
      <c r="F2497" t="inlineStr">
        <is>
          <t>Rep_07</t>
        </is>
      </c>
      <c r="G2497" t="n">
        <v>2.69</v>
      </c>
      <c r="H2497" t="inlineStr">
        <is>
          <t>Contacted</t>
        </is>
      </c>
      <c r="I2497" t="inlineStr">
        <is>
          <t>Open</t>
        </is>
      </c>
      <c r="M2497">
        <f>VLOOKUP(H2497,'Stage Order'!$A$2:$B$8,2,FALSE)</f>
        <v/>
      </c>
      <c r="N2497">
        <f>IF(G2497&lt;=1,"1. Under 1 hour",IF(G2497&lt;=24,"2. 1-24 hours",IF(G2497&lt;=72,"3. 1-3 days","4. Over 3 days")))</f>
        <v/>
      </c>
      <c r="O2497">
        <f>TEXT(B2497,"YYYY-MM")</f>
        <v/>
      </c>
    </row>
    <row r="2498">
      <c r="A2498" t="inlineStr">
        <is>
          <t>LD-302496</t>
        </is>
      </c>
      <c r="B2498" t="inlineStr">
        <is>
          <t>2026-03-23 20:16:00</t>
        </is>
      </c>
      <c r="C2498" t="inlineStr">
        <is>
          <t>Organic Search</t>
        </is>
      </c>
      <c r="D2498" t="inlineStr">
        <is>
          <t>Competitive Exam Prep</t>
        </is>
      </c>
      <c r="E2498" t="inlineStr">
        <is>
          <t>International</t>
        </is>
      </c>
      <c r="F2498" t="inlineStr">
        <is>
          <t>Rep_10</t>
        </is>
      </c>
      <c r="G2498" t="n">
        <v>14.14</v>
      </c>
      <c r="H2498" t="inlineStr">
        <is>
          <t>Contacted</t>
        </is>
      </c>
      <c r="I2498" t="inlineStr">
        <is>
          <t>Open</t>
        </is>
      </c>
      <c r="M2498">
        <f>VLOOKUP(H2498,'Stage Order'!$A$2:$B$8,2,FALSE)</f>
        <v/>
      </c>
      <c r="N2498">
        <f>IF(G2498&lt;=1,"1. Under 1 hour",IF(G2498&lt;=24,"2. 1-24 hours",IF(G2498&lt;=72,"3. 1-3 days","4. Over 3 days")))</f>
        <v/>
      </c>
      <c r="O2498">
        <f>TEXT(B2498,"YYYY-MM")</f>
        <v/>
      </c>
    </row>
    <row r="2499">
      <c r="A2499" t="inlineStr">
        <is>
          <t>LD-302497</t>
        </is>
      </c>
      <c r="B2499" t="inlineStr">
        <is>
          <t>2025-09-26 12:59:00</t>
        </is>
      </c>
      <c r="C2499" t="inlineStr">
        <is>
          <t>Webinar</t>
        </is>
      </c>
      <c r="D2499" t="inlineStr">
        <is>
          <t>Competitive Exam Prep</t>
        </is>
      </c>
      <c r="E2499" t="inlineStr">
        <is>
          <t>West Region</t>
        </is>
      </c>
      <c r="F2499" t="inlineStr">
        <is>
          <t>Rep_03</t>
        </is>
      </c>
      <c r="G2499" t="n">
        <v>5.87</v>
      </c>
      <c r="H2499" t="inlineStr">
        <is>
          <t>Proposal Sent</t>
        </is>
      </c>
      <c r="I2499" t="inlineStr">
        <is>
          <t>Lost</t>
        </is>
      </c>
      <c r="J2499" t="inlineStr">
        <is>
          <t>Price Objection</t>
        </is>
      </c>
      <c r="K2499" t="n">
        <v>1152.06</v>
      </c>
      <c r="L2499" t="inlineStr">
        <is>
          <t>2025-11-08 06:43:47.026155</t>
        </is>
      </c>
      <c r="M2499">
        <f>VLOOKUP(H2499,'Stage Order'!$A$2:$B$8,2,FALSE)</f>
        <v/>
      </c>
      <c r="N2499">
        <f>IF(G2499&lt;=1,"1. Under 1 hour",IF(G2499&lt;=24,"2. 1-24 hours",IF(G2499&lt;=72,"3. 1-3 days","4. Over 3 days")))</f>
        <v/>
      </c>
      <c r="O2499">
        <f>TEXT(B2499,"YYYY-MM")</f>
        <v/>
      </c>
    </row>
    <row r="2500">
      <c r="A2500" t="inlineStr">
        <is>
          <t>LD-302498</t>
        </is>
      </c>
      <c r="B2500" t="inlineStr">
        <is>
          <t>2025-02-28 11:41:00</t>
        </is>
      </c>
      <c r="C2500" t="inlineStr">
        <is>
          <t>Referral</t>
        </is>
      </c>
      <c r="D2500" t="inlineStr">
        <is>
          <t>K-12 Math</t>
        </is>
      </c>
      <c r="E2500" t="inlineStr">
        <is>
          <t>East Region</t>
        </is>
      </c>
      <c r="F2500" t="inlineStr">
        <is>
          <t>Rep_14</t>
        </is>
      </c>
      <c r="G2500" t="n">
        <v>1.4</v>
      </c>
      <c r="H2500" t="inlineStr">
        <is>
          <t>Proposal Sent</t>
        </is>
      </c>
      <c r="I2500" t="inlineStr">
        <is>
          <t>Lost</t>
        </is>
      </c>
      <c r="J2500" t="inlineStr">
        <is>
          <t>No Response / Ghosted</t>
        </is>
      </c>
      <c r="K2500" t="n">
        <v>473.51</v>
      </c>
      <c r="L2500" t="inlineStr">
        <is>
          <t>2025-04-15 21:39:17.921860</t>
        </is>
      </c>
      <c r="M2500">
        <f>VLOOKUP(H2500,'Stage Order'!$A$2:$B$8,2,FALSE)</f>
        <v/>
      </c>
      <c r="N2500">
        <f>IF(G2500&lt;=1,"1. Under 1 hour",IF(G2500&lt;=24,"2. 1-24 hours",IF(G2500&lt;=72,"3. 1-3 days","4. Over 3 days")))</f>
        <v/>
      </c>
      <c r="O2500">
        <f>TEXT(B2500,"YYYY-MM")</f>
        <v/>
      </c>
    </row>
    <row r="2501">
      <c r="A2501" t="inlineStr">
        <is>
          <t>LD-302499</t>
        </is>
      </c>
      <c r="B2501" t="inlineStr">
        <is>
          <t>2025-01-21 20:22:00</t>
        </is>
      </c>
      <c r="C2501" t="inlineStr">
        <is>
          <t>Social Media</t>
        </is>
      </c>
      <c r="D2501" t="inlineStr">
        <is>
          <t>Coding for Kids</t>
        </is>
      </c>
      <c r="E2501" t="inlineStr">
        <is>
          <t>West Region</t>
        </is>
      </c>
      <c r="F2501" t="inlineStr">
        <is>
          <t>Rep_08</t>
        </is>
      </c>
      <c r="G2501" t="n">
        <v>2.57</v>
      </c>
      <c r="H2501" t="inlineStr">
        <is>
          <t>Contacted</t>
        </is>
      </c>
      <c r="I2501" t="inlineStr">
        <is>
          <t>Open</t>
        </is>
      </c>
      <c r="M2501">
        <f>VLOOKUP(H2501,'Stage Order'!$A$2:$B$8,2,FALSE)</f>
        <v/>
      </c>
      <c r="N2501">
        <f>IF(G2501&lt;=1,"1. Under 1 hour",IF(G2501&lt;=24,"2. 1-24 hours",IF(G2501&lt;=72,"3. 1-3 days","4. Over 3 days")))</f>
        <v/>
      </c>
      <c r="O2501">
        <f>TEXT(B2501,"YYYY-MM")</f>
        <v/>
      </c>
    </row>
    <row r="2502">
      <c r="A2502" t="inlineStr">
        <is>
          <t>LD-302500</t>
        </is>
      </c>
      <c r="B2502" t="inlineStr">
        <is>
          <t>2026-03-25 10:12:00</t>
        </is>
      </c>
      <c r="C2502" t="inlineStr">
        <is>
          <t>Organic Search</t>
        </is>
      </c>
      <c r="D2502" t="inlineStr">
        <is>
          <t>K-12 Math</t>
        </is>
      </c>
      <c r="E2502" t="inlineStr">
        <is>
          <t>North Region</t>
        </is>
      </c>
      <c r="F2502" t="inlineStr">
        <is>
          <t>Rep_01</t>
        </is>
      </c>
      <c r="G2502" t="n">
        <v>1.05</v>
      </c>
      <c r="H2502" t="inlineStr">
        <is>
          <t>Demo Completed</t>
        </is>
      </c>
      <c r="I2502" t="inlineStr">
        <is>
          <t>Lost</t>
        </is>
      </c>
      <c r="J2502" t="inlineStr">
        <is>
          <t>No Response / Ghosted</t>
        </is>
      </c>
      <c r="K2502" t="n">
        <v>577.95</v>
      </c>
      <c r="L2502" t="inlineStr">
        <is>
          <t>2026-05-02 19:00:39.149635</t>
        </is>
      </c>
      <c r="M2502">
        <f>VLOOKUP(H2502,'Stage Order'!$A$2:$B$8,2,FALSE)</f>
        <v/>
      </c>
      <c r="N2502">
        <f>IF(G2502&lt;=1,"1. Under 1 hour",IF(G2502&lt;=24,"2. 1-24 hours",IF(G2502&lt;=72,"3. 1-3 days","4. Over 3 days")))</f>
        <v/>
      </c>
      <c r="O2502">
        <f>TEXT(B2502,"YYYY-MM")</f>
        <v/>
      </c>
    </row>
    <row r="2503">
      <c r="A2503" t="inlineStr">
        <is>
          <t>LD-302501</t>
        </is>
      </c>
      <c r="B2503" t="inlineStr">
        <is>
          <t>2025-05-16 20:59:00</t>
        </is>
      </c>
      <c r="C2503" t="inlineStr">
        <is>
          <t>Organic Search</t>
        </is>
      </c>
      <c r="D2503" t="inlineStr">
        <is>
          <t>K-12 Math</t>
        </is>
      </c>
      <c r="E2503" t="inlineStr">
        <is>
          <t>South Region</t>
        </is>
      </c>
      <c r="F2503" t="inlineStr">
        <is>
          <t>Rep_02</t>
        </is>
      </c>
      <c r="G2503" t="n">
        <v>4.2</v>
      </c>
      <c r="H2503" t="inlineStr">
        <is>
          <t>Contacted</t>
        </is>
      </c>
      <c r="I2503" t="inlineStr">
        <is>
          <t>Open</t>
        </is>
      </c>
      <c r="M2503">
        <f>VLOOKUP(H2503,'Stage Order'!$A$2:$B$8,2,FALSE)</f>
        <v/>
      </c>
      <c r="N2503">
        <f>IF(G2503&lt;=1,"1. Under 1 hour",IF(G2503&lt;=24,"2. 1-24 hours",IF(G2503&lt;=72,"3. 1-3 days","4. Over 3 days")))</f>
        <v/>
      </c>
      <c r="O2503">
        <f>TEXT(B2503,"YYYY-MM")</f>
        <v/>
      </c>
    </row>
    <row r="2504">
      <c r="A2504" t="inlineStr">
        <is>
          <t>LD-302502</t>
        </is>
      </c>
      <c r="B2504" t="inlineStr">
        <is>
          <t>2025-03-13 08:39:00</t>
        </is>
      </c>
      <c r="C2504" t="inlineStr">
        <is>
          <t>Cold Outreach</t>
        </is>
      </c>
      <c r="D2504" t="inlineStr">
        <is>
          <t>Coding for Kids</t>
        </is>
      </c>
      <c r="E2504" t="inlineStr">
        <is>
          <t>North Region</t>
        </is>
      </c>
      <c r="F2504" t="inlineStr">
        <is>
          <t>Rep_11</t>
        </is>
      </c>
      <c r="G2504" t="n">
        <v>0.97</v>
      </c>
      <c r="H2504" t="inlineStr">
        <is>
          <t>Lead</t>
        </is>
      </c>
      <c r="I2504" t="inlineStr">
        <is>
          <t>Open</t>
        </is>
      </c>
      <c r="M2504">
        <f>VLOOKUP(H2504,'Stage Order'!$A$2:$B$8,2,FALSE)</f>
        <v/>
      </c>
      <c r="N2504">
        <f>IF(G2504&lt;=1,"1. Under 1 hour",IF(G2504&lt;=24,"2. 1-24 hours",IF(G2504&lt;=72,"3. 1-3 days","4. Over 3 days")))</f>
        <v/>
      </c>
      <c r="O2504">
        <f>TEXT(B2504,"YYYY-MM")</f>
        <v/>
      </c>
    </row>
    <row r="2505">
      <c r="A2505" t="inlineStr">
        <is>
          <t>LD-302503</t>
        </is>
      </c>
      <c r="B2505" t="inlineStr">
        <is>
          <t>2025-12-10 17:26:00</t>
        </is>
      </c>
      <c r="C2505" t="inlineStr">
        <is>
          <t>Social Media</t>
        </is>
      </c>
      <c r="D2505" t="inlineStr">
        <is>
          <t>Coding for Kids</t>
        </is>
      </c>
      <c r="E2505" t="inlineStr">
        <is>
          <t>International</t>
        </is>
      </c>
      <c r="F2505" t="inlineStr">
        <is>
          <t>Rep_05</t>
        </is>
      </c>
      <c r="G2505" t="n">
        <v>27.31</v>
      </c>
      <c r="H2505" t="inlineStr">
        <is>
          <t>Lead</t>
        </is>
      </c>
      <c r="I2505" t="inlineStr">
        <is>
          <t>Open</t>
        </is>
      </c>
      <c r="M2505">
        <f>VLOOKUP(H2505,'Stage Order'!$A$2:$B$8,2,FALSE)</f>
        <v/>
      </c>
      <c r="N2505">
        <f>IF(G2505&lt;=1,"1. Under 1 hour",IF(G2505&lt;=24,"2. 1-24 hours",IF(G2505&lt;=72,"3. 1-3 days","4. Over 3 days")))</f>
        <v/>
      </c>
      <c r="O2505">
        <f>TEXT(B2505,"YYYY-MM")</f>
        <v/>
      </c>
    </row>
    <row r="2506">
      <c r="A2506" t="inlineStr">
        <is>
          <t>LD-302504</t>
        </is>
      </c>
      <c r="B2506" t="inlineStr">
        <is>
          <t>2026-06-24 17:22:00</t>
        </is>
      </c>
      <c r="C2506" t="inlineStr">
        <is>
          <t>Social Media</t>
        </is>
      </c>
      <c r="D2506" t="inlineStr">
        <is>
          <t>Study Abroad Prep</t>
        </is>
      </c>
      <c r="E2506" t="inlineStr">
        <is>
          <t>North Region</t>
        </is>
      </c>
      <c r="F2506" t="inlineStr">
        <is>
          <t>Rep_11</t>
        </is>
      </c>
      <c r="G2506" t="n">
        <v>13.86</v>
      </c>
      <c r="H2506" t="inlineStr">
        <is>
          <t>Contacted</t>
        </is>
      </c>
      <c r="I2506" t="inlineStr">
        <is>
          <t>Open</t>
        </is>
      </c>
      <c r="M2506">
        <f>VLOOKUP(H2506,'Stage Order'!$A$2:$B$8,2,FALSE)</f>
        <v/>
      </c>
      <c r="N2506">
        <f>IF(G2506&lt;=1,"1. Under 1 hour",IF(G2506&lt;=24,"2. 1-24 hours",IF(G2506&lt;=72,"3. 1-3 days","4. Over 3 days")))</f>
        <v/>
      </c>
      <c r="O2506">
        <f>TEXT(B2506,"YYYY-MM")</f>
        <v/>
      </c>
    </row>
    <row r="2507">
      <c r="A2507" t="inlineStr">
        <is>
          <t>LD-302505</t>
        </is>
      </c>
      <c r="B2507" t="inlineStr">
        <is>
          <t>2025-10-12 14:41:00</t>
        </is>
      </c>
      <c r="C2507" t="inlineStr">
        <is>
          <t>Organic Search</t>
        </is>
      </c>
      <c r="D2507" t="inlineStr">
        <is>
          <t>Competitive Exam Prep</t>
        </is>
      </c>
      <c r="E2507" t="inlineStr">
        <is>
          <t>International</t>
        </is>
      </c>
      <c r="F2507" t="inlineStr">
        <is>
          <t>Rep_15</t>
        </is>
      </c>
      <c r="G2507" t="n">
        <v>6.02</v>
      </c>
      <c r="H2507" t="inlineStr">
        <is>
          <t>Contacted</t>
        </is>
      </c>
      <c r="I2507" t="inlineStr">
        <is>
          <t>Open</t>
        </is>
      </c>
      <c r="M2507">
        <f>VLOOKUP(H2507,'Stage Order'!$A$2:$B$8,2,FALSE)</f>
        <v/>
      </c>
      <c r="N2507">
        <f>IF(G2507&lt;=1,"1. Under 1 hour",IF(G2507&lt;=24,"2. 1-24 hours",IF(G2507&lt;=72,"3. 1-3 days","4. Over 3 days")))</f>
        <v/>
      </c>
      <c r="O2507">
        <f>TEXT(B2507,"YYYY-MM")</f>
        <v/>
      </c>
    </row>
    <row r="2508">
      <c r="A2508" t="inlineStr">
        <is>
          <t>LD-302506</t>
        </is>
      </c>
      <c r="B2508" t="inlineStr">
        <is>
          <t>2025-12-17 15:19:00</t>
        </is>
      </c>
      <c r="C2508" t="inlineStr">
        <is>
          <t>Webinar</t>
        </is>
      </c>
      <c r="D2508" t="inlineStr">
        <is>
          <t>K-12 Math</t>
        </is>
      </c>
      <c r="E2508" t="inlineStr">
        <is>
          <t>South Region</t>
        </is>
      </c>
      <c r="F2508" t="inlineStr">
        <is>
          <t>Rep_12</t>
        </is>
      </c>
      <c r="G2508" t="n">
        <v>3.45</v>
      </c>
      <c r="H2508" t="inlineStr">
        <is>
          <t>Contacted</t>
        </is>
      </c>
      <c r="I2508" t="inlineStr">
        <is>
          <t>Open</t>
        </is>
      </c>
      <c r="M2508">
        <f>VLOOKUP(H2508,'Stage Order'!$A$2:$B$8,2,FALSE)</f>
        <v/>
      </c>
      <c r="N2508">
        <f>IF(G2508&lt;=1,"1. Under 1 hour",IF(G2508&lt;=24,"2. 1-24 hours",IF(G2508&lt;=72,"3. 1-3 days","4. Over 3 days")))</f>
        <v/>
      </c>
      <c r="O2508">
        <f>TEXT(B2508,"YYYY-MM")</f>
        <v/>
      </c>
    </row>
    <row r="2509">
      <c r="A2509" t="inlineStr">
        <is>
          <t>LD-302507</t>
        </is>
      </c>
      <c r="B2509" t="inlineStr">
        <is>
          <t>2026-05-02 08:04:00</t>
        </is>
      </c>
      <c r="C2509" t="inlineStr">
        <is>
          <t>Organic Search</t>
        </is>
      </c>
      <c r="D2509" t="inlineStr">
        <is>
          <t>Language Learning</t>
        </is>
      </c>
      <c r="E2509" t="inlineStr">
        <is>
          <t>North Region</t>
        </is>
      </c>
      <c r="F2509" t="inlineStr">
        <is>
          <t>Rep_01</t>
        </is>
      </c>
      <c r="G2509" t="n">
        <v>1.43</v>
      </c>
      <c r="H2509" t="inlineStr">
        <is>
          <t>Contacted</t>
        </is>
      </c>
      <c r="I2509" t="inlineStr">
        <is>
          <t>Open</t>
        </is>
      </c>
      <c r="M2509">
        <f>VLOOKUP(H2509,'Stage Order'!$A$2:$B$8,2,FALSE)</f>
        <v/>
      </c>
      <c r="N2509">
        <f>IF(G2509&lt;=1,"1. Under 1 hour",IF(G2509&lt;=24,"2. 1-24 hours",IF(G2509&lt;=72,"3. 1-3 days","4. Over 3 days")))</f>
        <v/>
      </c>
      <c r="O2509">
        <f>TEXT(B2509,"YYYY-MM")</f>
        <v/>
      </c>
    </row>
    <row r="2510">
      <c r="A2510" t="inlineStr">
        <is>
          <t>LD-302508</t>
        </is>
      </c>
      <c r="B2510" t="inlineStr">
        <is>
          <t>2025-09-18 15:44:00</t>
        </is>
      </c>
      <c r="C2510" t="inlineStr">
        <is>
          <t>Cold Outreach</t>
        </is>
      </c>
      <c r="D2510" t="inlineStr">
        <is>
          <t>Coding for Kids</t>
        </is>
      </c>
      <c r="E2510" t="inlineStr">
        <is>
          <t>North Region</t>
        </is>
      </c>
      <c r="F2510" t="inlineStr">
        <is>
          <t>Rep_01</t>
        </is>
      </c>
      <c r="G2510" t="n">
        <v>2.08</v>
      </c>
      <c r="H2510" t="inlineStr">
        <is>
          <t>Contacted</t>
        </is>
      </c>
      <c r="I2510" t="inlineStr">
        <is>
          <t>Open</t>
        </is>
      </c>
      <c r="M2510">
        <f>VLOOKUP(H2510,'Stage Order'!$A$2:$B$8,2,FALSE)</f>
        <v/>
      </c>
      <c r="N2510">
        <f>IF(G2510&lt;=1,"1. Under 1 hour",IF(G2510&lt;=24,"2. 1-24 hours",IF(G2510&lt;=72,"3. 1-3 days","4. Over 3 days")))</f>
        <v/>
      </c>
      <c r="O2510">
        <f>TEXT(B2510,"YYYY-MM")</f>
        <v/>
      </c>
    </row>
    <row r="2511">
      <c r="A2511" t="inlineStr">
        <is>
          <t>LD-302509</t>
        </is>
      </c>
      <c r="B2511" t="inlineStr">
        <is>
          <t>2025-11-27 14:22:00</t>
        </is>
      </c>
      <c r="C2511" t="inlineStr">
        <is>
          <t>Referral</t>
        </is>
      </c>
      <c r="D2511" t="inlineStr">
        <is>
          <t>Language Learning</t>
        </is>
      </c>
      <c r="E2511" t="inlineStr">
        <is>
          <t>International</t>
        </is>
      </c>
      <c r="F2511" t="inlineStr">
        <is>
          <t>Rep_15</t>
        </is>
      </c>
      <c r="G2511" t="n">
        <v>1.56</v>
      </c>
      <c r="H2511" t="inlineStr">
        <is>
          <t>Contacted</t>
        </is>
      </c>
      <c r="I2511" t="inlineStr">
        <is>
          <t>Open</t>
        </is>
      </c>
      <c r="M2511">
        <f>VLOOKUP(H2511,'Stage Order'!$A$2:$B$8,2,FALSE)</f>
        <v/>
      </c>
      <c r="N2511">
        <f>IF(G2511&lt;=1,"1. Under 1 hour",IF(G2511&lt;=24,"2. 1-24 hours",IF(G2511&lt;=72,"3. 1-3 days","4. Over 3 days")))</f>
        <v/>
      </c>
      <c r="O2511">
        <f>TEXT(B2511,"YYYY-MM")</f>
        <v/>
      </c>
    </row>
    <row r="2512">
      <c r="A2512" t="inlineStr">
        <is>
          <t>LD-302510</t>
        </is>
      </c>
      <c r="B2512" t="inlineStr">
        <is>
          <t>2025-10-31 07:54:00</t>
        </is>
      </c>
      <c r="C2512" t="inlineStr">
        <is>
          <t>Social Media</t>
        </is>
      </c>
      <c r="D2512" t="inlineStr">
        <is>
          <t>K-12 Math</t>
        </is>
      </c>
      <c r="E2512" t="inlineStr">
        <is>
          <t>North Region</t>
        </is>
      </c>
      <c r="F2512" t="inlineStr">
        <is>
          <t>Rep_06</t>
        </is>
      </c>
      <c r="G2512" t="n">
        <v>4.07</v>
      </c>
      <c r="H2512" t="inlineStr">
        <is>
          <t>Lead</t>
        </is>
      </c>
      <c r="I2512" t="inlineStr">
        <is>
          <t>Open</t>
        </is>
      </c>
      <c r="M2512">
        <f>VLOOKUP(H2512,'Stage Order'!$A$2:$B$8,2,FALSE)</f>
        <v/>
      </c>
      <c r="N2512">
        <f>IF(G2512&lt;=1,"1. Under 1 hour",IF(G2512&lt;=24,"2. 1-24 hours",IF(G2512&lt;=72,"3. 1-3 days","4. Over 3 days")))</f>
        <v/>
      </c>
      <c r="O2512">
        <f>TEXT(B2512,"YYYY-MM")</f>
        <v/>
      </c>
    </row>
    <row r="2513">
      <c r="A2513" t="inlineStr">
        <is>
          <t>LD-302511</t>
        </is>
      </c>
      <c r="B2513" t="inlineStr">
        <is>
          <t>2025-04-29 11:37:00</t>
        </is>
      </c>
      <c r="C2513" t="inlineStr">
        <is>
          <t>Paid Search</t>
        </is>
      </c>
      <c r="D2513" t="inlineStr">
        <is>
          <t>Competitive Exam Prep</t>
        </is>
      </c>
      <c r="E2513" t="inlineStr">
        <is>
          <t>West Region</t>
        </is>
      </c>
      <c r="F2513" t="inlineStr">
        <is>
          <t>Rep_13</t>
        </is>
      </c>
      <c r="G2513" t="n">
        <v>1.2</v>
      </c>
      <c r="H2513" t="inlineStr">
        <is>
          <t>Negotiation</t>
        </is>
      </c>
      <c r="I2513" t="inlineStr">
        <is>
          <t>Lost</t>
        </is>
      </c>
      <c r="J2513" t="inlineStr">
        <is>
          <t>Budget Not Approved</t>
        </is>
      </c>
      <c r="K2513" t="n">
        <v>1140.99</v>
      </c>
      <c r="L2513" t="inlineStr">
        <is>
          <t>2025-06-03 14:17:21.043899</t>
        </is>
      </c>
      <c r="M2513">
        <f>VLOOKUP(H2513,'Stage Order'!$A$2:$B$8,2,FALSE)</f>
        <v/>
      </c>
      <c r="N2513">
        <f>IF(G2513&lt;=1,"1. Under 1 hour",IF(G2513&lt;=24,"2. 1-24 hours",IF(G2513&lt;=72,"3. 1-3 days","4. Over 3 days")))</f>
        <v/>
      </c>
      <c r="O2513">
        <f>TEXT(B2513,"YYYY-MM")</f>
        <v/>
      </c>
    </row>
    <row r="2514">
      <c r="A2514" t="inlineStr">
        <is>
          <t>LD-302512</t>
        </is>
      </c>
      <c r="B2514" t="inlineStr">
        <is>
          <t>2026-06-26 18:17:00</t>
        </is>
      </c>
      <c r="C2514" t="inlineStr">
        <is>
          <t>Social Media</t>
        </is>
      </c>
      <c r="D2514" t="inlineStr">
        <is>
          <t>Study Abroad Prep</t>
        </is>
      </c>
      <c r="E2514" t="inlineStr">
        <is>
          <t>East Region</t>
        </is>
      </c>
      <c r="F2514" t="inlineStr">
        <is>
          <t>Rep_14</t>
        </is>
      </c>
      <c r="G2514" t="n">
        <v>3.1</v>
      </c>
      <c r="H2514" t="inlineStr">
        <is>
          <t>Contacted</t>
        </is>
      </c>
      <c r="I2514" t="inlineStr">
        <is>
          <t>Open</t>
        </is>
      </c>
      <c r="M2514">
        <f>VLOOKUP(H2514,'Stage Order'!$A$2:$B$8,2,FALSE)</f>
        <v/>
      </c>
      <c r="N2514">
        <f>IF(G2514&lt;=1,"1. Under 1 hour",IF(G2514&lt;=24,"2. 1-24 hours",IF(G2514&lt;=72,"3. 1-3 days","4. Over 3 days")))</f>
        <v/>
      </c>
      <c r="O2514">
        <f>TEXT(B2514,"YYYY-MM")</f>
        <v/>
      </c>
    </row>
    <row r="2515">
      <c r="A2515" t="inlineStr">
        <is>
          <t>LD-302513</t>
        </is>
      </c>
      <c r="B2515" t="inlineStr">
        <is>
          <t>2025-06-25 07:17:00</t>
        </is>
      </c>
      <c r="C2515" t="inlineStr">
        <is>
          <t>Organic Search</t>
        </is>
      </c>
      <c r="D2515" t="inlineStr">
        <is>
          <t>K-12 Math</t>
        </is>
      </c>
      <c r="E2515" t="inlineStr">
        <is>
          <t>North Region</t>
        </is>
      </c>
      <c r="F2515" t="inlineStr">
        <is>
          <t>Rep_11</t>
        </is>
      </c>
      <c r="G2515" t="n">
        <v>1.94</v>
      </c>
      <c r="H2515" t="inlineStr">
        <is>
          <t>Demo Completed</t>
        </is>
      </c>
      <c r="I2515" t="inlineStr">
        <is>
          <t>Lost</t>
        </is>
      </c>
      <c r="J2515" t="inlineStr">
        <is>
          <t>Bad Timing</t>
        </is>
      </c>
      <c r="K2515" t="n">
        <v>408.19</v>
      </c>
      <c r="L2515" t="inlineStr">
        <is>
          <t>2025-07-22 17:03:05.269979</t>
        </is>
      </c>
      <c r="M2515">
        <f>VLOOKUP(H2515,'Stage Order'!$A$2:$B$8,2,FALSE)</f>
        <v/>
      </c>
      <c r="N2515">
        <f>IF(G2515&lt;=1,"1. Under 1 hour",IF(G2515&lt;=24,"2. 1-24 hours",IF(G2515&lt;=72,"3. 1-3 days","4. Over 3 days")))</f>
        <v/>
      </c>
      <c r="O2515">
        <f>TEXT(B2515,"YYYY-MM")</f>
        <v/>
      </c>
    </row>
    <row r="2516">
      <c r="A2516" t="inlineStr">
        <is>
          <t>LD-302514</t>
        </is>
      </c>
      <c r="B2516" t="inlineStr">
        <is>
          <t>2025-11-25 20:53:00</t>
        </is>
      </c>
      <c r="C2516" t="inlineStr">
        <is>
          <t>Webinar</t>
        </is>
      </c>
      <c r="D2516" t="inlineStr">
        <is>
          <t>Competitive Exam Prep</t>
        </is>
      </c>
      <c r="E2516" t="inlineStr">
        <is>
          <t>West Region</t>
        </is>
      </c>
      <c r="F2516" t="inlineStr">
        <is>
          <t>Rep_03</t>
        </is>
      </c>
      <c r="G2516" t="n">
        <v>12.23</v>
      </c>
      <c r="H2516" t="inlineStr">
        <is>
          <t>Contacted</t>
        </is>
      </c>
      <c r="I2516" t="inlineStr">
        <is>
          <t>Open</t>
        </is>
      </c>
      <c r="M2516">
        <f>VLOOKUP(H2516,'Stage Order'!$A$2:$B$8,2,FALSE)</f>
        <v/>
      </c>
      <c r="N2516">
        <f>IF(G2516&lt;=1,"1. Under 1 hour",IF(G2516&lt;=24,"2. 1-24 hours",IF(G2516&lt;=72,"3. 1-3 days","4. Over 3 days")))</f>
        <v/>
      </c>
      <c r="O2516">
        <f>TEXT(B2516,"YYYY-MM")</f>
        <v/>
      </c>
    </row>
    <row r="2517">
      <c r="A2517" t="inlineStr">
        <is>
          <t>LD-302515</t>
        </is>
      </c>
      <c r="B2517" t="inlineStr">
        <is>
          <t>2026-06-05 18:49:00</t>
        </is>
      </c>
      <c r="C2517" t="inlineStr">
        <is>
          <t>Social Media</t>
        </is>
      </c>
      <c r="D2517" t="inlineStr">
        <is>
          <t>Study Abroad Prep</t>
        </is>
      </c>
      <c r="E2517" t="inlineStr">
        <is>
          <t>East Region</t>
        </is>
      </c>
      <c r="F2517" t="inlineStr">
        <is>
          <t>Rep_14</t>
        </is>
      </c>
      <c r="G2517" t="n">
        <v>3.02</v>
      </c>
      <c r="H2517" t="inlineStr">
        <is>
          <t>Contacted</t>
        </is>
      </c>
      <c r="I2517" t="inlineStr">
        <is>
          <t>Open</t>
        </is>
      </c>
      <c r="M2517">
        <f>VLOOKUP(H2517,'Stage Order'!$A$2:$B$8,2,FALSE)</f>
        <v/>
      </c>
      <c r="N2517">
        <f>IF(G2517&lt;=1,"1. Under 1 hour",IF(G2517&lt;=24,"2. 1-24 hours",IF(G2517&lt;=72,"3. 1-3 days","4. Over 3 days")))</f>
        <v/>
      </c>
      <c r="O2517">
        <f>TEXT(B2517,"YYYY-MM")</f>
        <v/>
      </c>
    </row>
    <row r="2518">
      <c r="A2518" t="inlineStr">
        <is>
          <t>LD-302516</t>
        </is>
      </c>
      <c r="B2518" t="inlineStr">
        <is>
          <t>2025-05-12 19:34:00</t>
        </is>
      </c>
      <c r="C2518" t="inlineStr">
        <is>
          <t>Organic Search</t>
        </is>
      </c>
      <c r="D2518" t="inlineStr">
        <is>
          <t>Study Abroad Prep</t>
        </is>
      </c>
      <c r="E2518" t="inlineStr">
        <is>
          <t>North Region</t>
        </is>
      </c>
      <c r="F2518" t="inlineStr">
        <is>
          <t>Rep_06</t>
        </is>
      </c>
      <c r="G2518" t="n">
        <v>3.18</v>
      </c>
      <c r="H2518" t="inlineStr">
        <is>
          <t>Lead</t>
        </is>
      </c>
      <c r="I2518" t="inlineStr">
        <is>
          <t>Open</t>
        </is>
      </c>
      <c r="M2518">
        <f>VLOOKUP(H2518,'Stage Order'!$A$2:$B$8,2,FALSE)</f>
        <v/>
      </c>
      <c r="N2518">
        <f>IF(G2518&lt;=1,"1. Under 1 hour",IF(G2518&lt;=24,"2. 1-24 hours",IF(G2518&lt;=72,"3. 1-3 days","4. Over 3 days")))</f>
        <v/>
      </c>
      <c r="O2518">
        <f>TEXT(B2518,"YYYY-MM")</f>
        <v/>
      </c>
    </row>
    <row r="2519">
      <c r="A2519" t="inlineStr">
        <is>
          <t>LD-302517</t>
        </is>
      </c>
      <c r="B2519" t="inlineStr">
        <is>
          <t>2025-03-21 17:31:00</t>
        </is>
      </c>
      <c r="C2519" t="inlineStr">
        <is>
          <t>Paid Search</t>
        </is>
      </c>
      <c r="D2519" t="inlineStr">
        <is>
          <t>K-12 Math</t>
        </is>
      </c>
      <c r="E2519" t="inlineStr">
        <is>
          <t>East Region</t>
        </is>
      </c>
      <c r="F2519" t="inlineStr">
        <is>
          <t>Rep_04</t>
        </is>
      </c>
      <c r="G2519" t="n">
        <v>0.47</v>
      </c>
      <c r="H2519" t="inlineStr">
        <is>
          <t>Contacted</t>
        </is>
      </c>
      <c r="I2519" t="inlineStr">
        <is>
          <t>Open</t>
        </is>
      </c>
      <c r="M2519">
        <f>VLOOKUP(H2519,'Stage Order'!$A$2:$B$8,2,FALSE)</f>
        <v/>
      </c>
      <c r="N2519">
        <f>IF(G2519&lt;=1,"1. Under 1 hour",IF(G2519&lt;=24,"2. 1-24 hours",IF(G2519&lt;=72,"3. 1-3 days","4. Over 3 days")))</f>
        <v/>
      </c>
      <c r="O2519">
        <f>TEXT(B2519,"YYYY-MM")</f>
        <v/>
      </c>
    </row>
    <row r="2520">
      <c r="A2520" t="inlineStr">
        <is>
          <t>LD-302518</t>
        </is>
      </c>
      <c r="B2520" t="inlineStr">
        <is>
          <t>2025-06-01 14:37:00</t>
        </is>
      </c>
      <c r="C2520" t="inlineStr">
        <is>
          <t>Cold Outreach</t>
        </is>
      </c>
      <c r="D2520" t="inlineStr">
        <is>
          <t>Competitive Exam Prep</t>
        </is>
      </c>
      <c r="E2520" t="inlineStr">
        <is>
          <t>East Region</t>
        </is>
      </c>
      <c r="F2520" t="inlineStr">
        <is>
          <t>Rep_09</t>
        </is>
      </c>
      <c r="G2520" t="n">
        <v>4.16</v>
      </c>
      <c r="H2520" t="inlineStr">
        <is>
          <t>Lead</t>
        </is>
      </c>
      <c r="I2520" t="inlineStr">
        <is>
          <t>Open</t>
        </is>
      </c>
      <c r="M2520">
        <f>VLOOKUP(H2520,'Stage Order'!$A$2:$B$8,2,FALSE)</f>
        <v/>
      </c>
      <c r="N2520">
        <f>IF(G2520&lt;=1,"1. Under 1 hour",IF(G2520&lt;=24,"2. 1-24 hours",IF(G2520&lt;=72,"3. 1-3 days","4. Over 3 days")))</f>
        <v/>
      </c>
      <c r="O2520">
        <f>TEXT(B2520,"YYYY-MM")</f>
        <v/>
      </c>
    </row>
    <row r="2521">
      <c r="A2521" t="inlineStr">
        <is>
          <t>LD-302519</t>
        </is>
      </c>
      <c r="B2521" t="inlineStr">
        <is>
          <t>2026-05-15 09:46:00</t>
        </is>
      </c>
      <c r="C2521" t="inlineStr">
        <is>
          <t>Webinar</t>
        </is>
      </c>
      <c r="D2521" t="inlineStr">
        <is>
          <t>Language Learning</t>
        </is>
      </c>
      <c r="E2521" t="inlineStr">
        <is>
          <t>International</t>
        </is>
      </c>
      <c r="F2521" t="inlineStr">
        <is>
          <t>Rep_10</t>
        </is>
      </c>
      <c r="G2521" t="n">
        <v>2.95</v>
      </c>
      <c r="H2521" t="inlineStr">
        <is>
          <t>Closed</t>
        </is>
      </c>
      <c r="I2521" t="inlineStr">
        <is>
          <t>Won</t>
        </is>
      </c>
      <c r="K2521" t="n">
        <v>352.04</v>
      </c>
      <c r="L2521" t="inlineStr">
        <is>
          <t>2026-06-16 09:18:51.328098</t>
        </is>
      </c>
      <c r="M2521">
        <f>VLOOKUP(H2521,'Stage Order'!$A$2:$B$8,2,FALSE)</f>
        <v/>
      </c>
      <c r="N2521">
        <f>IF(G2521&lt;=1,"1. Under 1 hour",IF(G2521&lt;=24,"2. 1-24 hours",IF(G2521&lt;=72,"3. 1-3 days","4. Over 3 days")))</f>
        <v/>
      </c>
      <c r="O2521">
        <f>TEXT(B2521,"YYYY-MM")</f>
        <v/>
      </c>
    </row>
    <row r="2522">
      <c r="A2522" t="inlineStr">
        <is>
          <t>LD-302520</t>
        </is>
      </c>
      <c r="B2522" t="inlineStr">
        <is>
          <t>2025-08-13 09:27:00</t>
        </is>
      </c>
      <c r="C2522" t="inlineStr">
        <is>
          <t>Organic Search</t>
        </is>
      </c>
      <c r="D2522" t="inlineStr">
        <is>
          <t>Study Abroad Prep</t>
        </is>
      </c>
      <c r="E2522" t="inlineStr">
        <is>
          <t>North Region</t>
        </is>
      </c>
      <c r="F2522" t="inlineStr">
        <is>
          <t>Rep_11</t>
        </is>
      </c>
      <c r="G2522" t="n">
        <v>3.01</v>
      </c>
      <c r="H2522" t="inlineStr">
        <is>
          <t>Contacted</t>
        </is>
      </c>
      <c r="I2522" t="inlineStr">
        <is>
          <t>Open</t>
        </is>
      </c>
      <c r="M2522">
        <f>VLOOKUP(H2522,'Stage Order'!$A$2:$B$8,2,FALSE)</f>
        <v/>
      </c>
      <c r="N2522">
        <f>IF(G2522&lt;=1,"1. Under 1 hour",IF(G2522&lt;=24,"2. 1-24 hours",IF(G2522&lt;=72,"3. 1-3 days","4. Over 3 days")))</f>
        <v/>
      </c>
      <c r="O2522">
        <f>TEXT(B2522,"YYYY-MM")</f>
        <v/>
      </c>
    </row>
    <row r="2523">
      <c r="A2523" t="inlineStr">
        <is>
          <t>LD-302521</t>
        </is>
      </c>
      <c r="B2523" t="inlineStr">
        <is>
          <t>2026-01-22 16:36:00</t>
        </is>
      </c>
      <c r="C2523" t="inlineStr">
        <is>
          <t>Social Media</t>
        </is>
      </c>
      <c r="D2523" t="inlineStr">
        <is>
          <t>K-12 Math</t>
        </is>
      </c>
      <c r="E2523" t="inlineStr">
        <is>
          <t>East Region</t>
        </is>
      </c>
      <c r="F2523" t="inlineStr">
        <is>
          <t>Rep_04</t>
        </is>
      </c>
      <c r="G2523" t="n">
        <v>1.99</v>
      </c>
      <c r="H2523" t="inlineStr">
        <is>
          <t>Contacted</t>
        </is>
      </c>
      <c r="I2523" t="inlineStr">
        <is>
          <t>Open</t>
        </is>
      </c>
      <c r="M2523">
        <f>VLOOKUP(H2523,'Stage Order'!$A$2:$B$8,2,FALSE)</f>
        <v/>
      </c>
      <c r="N2523">
        <f>IF(G2523&lt;=1,"1. Under 1 hour",IF(G2523&lt;=24,"2. 1-24 hours",IF(G2523&lt;=72,"3. 1-3 days","4. Over 3 days")))</f>
        <v/>
      </c>
      <c r="O2523">
        <f>TEXT(B2523,"YYYY-MM")</f>
        <v/>
      </c>
    </row>
    <row r="2524">
      <c r="A2524" t="inlineStr">
        <is>
          <t>LD-302522</t>
        </is>
      </c>
      <c r="B2524" t="inlineStr">
        <is>
          <t>2025-08-29 08:13:00</t>
        </is>
      </c>
      <c r="C2524" t="inlineStr">
        <is>
          <t>Referral</t>
        </is>
      </c>
      <c r="D2524" t="inlineStr">
        <is>
          <t>Competitive Exam Prep</t>
        </is>
      </c>
      <c r="E2524" t="inlineStr">
        <is>
          <t>North Region</t>
        </is>
      </c>
      <c r="F2524" t="inlineStr">
        <is>
          <t>Rep_11</t>
        </is>
      </c>
      <c r="G2524" t="n">
        <v>1.56</v>
      </c>
      <c r="H2524" t="inlineStr">
        <is>
          <t>Closed</t>
        </is>
      </c>
      <c r="I2524" t="inlineStr">
        <is>
          <t>Won</t>
        </is>
      </c>
      <c r="K2524" t="n">
        <v>1072.71</v>
      </c>
      <c r="L2524" t="inlineStr">
        <is>
          <t>2025-10-16 17:20:51.955173</t>
        </is>
      </c>
      <c r="M2524">
        <f>VLOOKUP(H2524,'Stage Order'!$A$2:$B$8,2,FALSE)</f>
        <v/>
      </c>
      <c r="N2524">
        <f>IF(G2524&lt;=1,"1. Under 1 hour",IF(G2524&lt;=24,"2. 1-24 hours",IF(G2524&lt;=72,"3. 1-3 days","4. Over 3 days")))</f>
        <v/>
      </c>
      <c r="O2524">
        <f>TEXT(B2524,"YYYY-MM")</f>
        <v/>
      </c>
    </row>
    <row r="2525">
      <c r="A2525" t="inlineStr">
        <is>
          <t>LD-302523</t>
        </is>
      </c>
      <c r="B2525" t="inlineStr">
        <is>
          <t>2025-01-03 13:56:00</t>
        </is>
      </c>
      <c r="C2525" t="inlineStr">
        <is>
          <t>Organic Search</t>
        </is>
      </c>
      <c r="D2525" t="inlineStr">
        <is>
          <t>Competitive Exam Prep</t>
        </is>
      </c>
      <c r="E2525" t="inlineStr">
        <is>
          <t>International</t>
        </is>
      </c>
      <c r="F2525" t="inlineStr">
        <is>
          <t>Rep_10</t>
        </is>
      </c>
      <c r="G2525" t="n">
        <v>1.64</v>
      </c>
      <c r="H2525" t="inlineStr">
        <is>
          <t>Contacted</t>
        </is>
      </c>
      <c r="I2525" t="inlineStr">
        <is>
          <t>Open</t>
        </is>
      </c>
      <c r="M2525">
        <f>VLOOKUP(H2525,'Stage Order'!$A$2:$B$8,2,FALSE)</f>
        <v/>
      </c>
      <c r="N2525">
        <f>IF(G2525&lt;=1,"1. Under 1 hour",IF(G2525&lt;=24,"2. 1-24 hours",IF(G2525&lt;=72,"3. 1-3 days","4. Over 3 days")))</f>
        <v/>
      </c>
      <c r="O2525">
        <f>TEXT(B2525,"YYYY-MM")</f>
        <v/>
      </c>
    </row>
    <row r="2526">
      <c r="A2526" t="inlineStr">
        <is>
          <t>LD-302524</t>
        </is>
      </c>
      <c r="B2526" t="inlineStr">
        <is>
          <t>2026-01-30 19:12:00</t>
        </is>
      </c>
      <c r="C2526" t="inlineStr">
        <is>
          <t>Cold Outreach</t>
        </is>
      </c>
      <c r="D2526" t="inlineStr">
        <is>
          <t>K-12 Math</t>
        </is>
      </c>
      <c r="E2526" t="inlineStr">
        <is>
          <t>West Region</t>
        </is>
      </c>
      <c r="F2526" t="inlineStr">
        <is>
          <t>Rep_03</t>
        </is>
      </c>
      <c r="G2526" t="n">
        <v>12.4</v>
      </c>
      <c r="H2526" t="inlineStr">
        <is>
          <t>Proposal Sent</t>
        </is>
      </c>
      <c r="I2526" t="inlineStr">
        <is>
          <t>Lost</t>
        </is>
      </c>
      <c r="J2526" t="inlineStr">
        <is>
          <t>Price Objection</t>
        </is>
      </c>
      <c r="K2526" t="n">
        <v>421.12</v>
      </c>
      <c r="L2526" t="inlineStr">
        <is>
          <t>2026-03-07 17:10:06.503253</t>
        </is>
      </c>
      <c r="M2526">
        <f>VLOOKUP(H2526,'Stage Order'!$A$2:$B$8,2,FALSE)</f>
        <v/>
      </c>
      <c r="N2526">
        <f>IF(G2526&lt;=1,"1. Under 1 hour",IF(G2526&lt;=24,"2. 1-24 hours",IF(G2526&lt;=72,"3. 1-3 days","4. Over 3 days")))</f>
        <v/>
      </c>
      <c r="O2526">
        <f>TEXT(B2526,"YYYY-MM")</f>
        <v/>
      </c>
    </row>
    <row r="2527">
      <c r="A2527" t="inlineStr">
        <is>
          <t>LD-302525</t>
        </is>
      </c>
      <c r="B2527" t="inlineStr">
        <is>
          <t>2025-12-09 09:23:00</t>
        </is>
      </c>
      <c r="C2527" t="inlineStr">
        <is>
          <t>Social Media</t>
        </is>
      </c>
      <c r="D2527" t="inlineStr">
        <is>
          <t>Language Learning</t>
        </is>
      </c>
      <c r="E2527" t="inlineStr">
        <is>
          <t>North Region</t>
        </is>
      </c>
      <c r="F2527" t="inlineStr">
        <is>
          <t>Rep_11</t>
        </is>
      </c>
      <c r="G2527" t="n">
        <v>2.72</v>
      </c>
      <c r="H2527" t="inlineStr">
        <is>
          <t>Contacted</t>
        </is>
      </c>
      <c r="I2527" t="inlineStr">
        <is>
          <t>Open</t>
        </is>
      </c>
      <c r="M2527">
        <f>VLOOKUP(H2527,'Stage Order'!$A$2:$B$8,2,FALSE)</f>
        <v/>
      </c>
      <c r="N2527">
        <f>IF(G2527&lt;=1,"1. Under 1 hour",IF(G2527&lt;=24,"2. 1-24 hours",IF(G2527&lt;=72,"3. 1-3 days","4. Over 3 days")))</f>
        <v/>
      </c>
      <c r="O2527">
        <f>TEXT(B2527,"YYYY-MM")</f>
        <v/>
      </c>
    </row>
    <row r="2528">
      <c r="A2528" t="inlineStr">
        <is>
          <t>LD-302526</t>
        </is>
      </c>
      <c r="B2528" t="inlineStr">
        <is>
          <t>2025-06-24 18:31:00</t>
        </is>
      </c>
      <c r="C2528" t="inlineStr">
        <is>
          <t>Referral</t>
        </is>
      </c>
      <c r="D2528" t="inlineStr">
        <is>
          <t>Coding for Kids</t>
        </is>
      </c>
      <c r="E2528" t="inlineStr">
        <is>
          <t>North Region</t>
        </is>
      </c>
      <c r="F2528" t="inlineStr">
        <is>
          <t>Rep_11</t>
        </is>
      </c>
      <c r="G2528" t="n">
        <v>3.31</v>
      </c>
      <c r="H2528" t="inlineStr">
        <is>
          <t>Contacted</t>
        </is>
      </c>
      <c r="I2528" t="inlineStr">
        <is>
          <t>Open</t>
        </is>
      </c>
      <c r="M2528">
        <f>VLOOKUP(H2528,'Stage Order'!$A$2:$B$8,2,FALSE)</f>
        <v/>
      </c>
      <c r="N2528">
        <f>IF(G2528&lt;=1,"1. Under 1 hour",IF(G2528&lt;=24,"2. 1-24 hours",IF(G2528&lt;=72,"3. 1-3 days","4. Over 3 days")))</f>
        <v/>
      </c>
      <c r="O2528">
        <f>TEXT(B2528,"YYYY-MM")</f>
        <v/>
      </c>
    </row>
    <row r="2529">
      <c r="A2529" t="inlineStr">
        <is>
          <t>LD-302527</t>
        </is>
      </c>
      <c r="B2529" t="inlineStr">
        <is>
          <t>2025-04-18 08:42:00</t>
        </is>
      </c>
      <c r="C2529" t="inlineStr">
        <is>
          <t>Referral</t>
        </is>
      </c>
      <c r="D2529" t="inlineStr">
        <is>
          <t>Competitive Exam Prep</t>
        </is>
      </c>
      <c r="E2529" t="inlineStr">
        <is>
          <t>West Region</t>
        </is>
      </c>
      <c r="F2529" t="inlineStr">
        <is>
          <t>Rep_03</t>
        </is>
      </c>
      <c r="G2529" t="n">
        <v>8.109999999999999</v>
      </c>
      <c r="H2529" t="inlineStr">
        <is>
          <t>Negotiation</t>
        </is>
      </c>
      <c r="I2529" t="inlineStr">
        <is>
          <t>Lost</t>
        </is>
      </c>
      <c r="J2529" t="inlineStr">
        <is>
          <t>No Response / Ghosted</t>
        </is>
      </c>
      <c r="K2529" t="n">
        <v>1069.41</v>
      </c>
      <c r="L2529" t="inlineStr">
        <is>
          <t>2025-06-06 23:45:48.124058</t>
        </is>
      </c>
      <c r="M2529">
        <f>VLOOKUP(H2529,'Stage Order'!$A$2:$B$8,2,FALSE)</f>
        <v/>
      </c>
      <c r="N2529">
        <f>IF(G2529&lt;=1,"1. Under 1 hour",IF(G2529&lt;=24,"2. 1-24 hours",IF(G2529&lt;=72,"3. 1-3 days","4. Over 3 days")))</f>
        <v/>
      </c>
      <c r="O2529">
        <f>TEXT(B2529,"YYYY-MM")</f>
        <v/>
      </c>
    </row>
    <row r="2530">
      <c r="A2530" t="inlineStr">
        <is>
          <t>LD-302528</t>
        </is>
      </c>
      <c r="B2530" t="inlineStr">
        <is>
          <t>2025-10-06 15:21:00</t>
        </is>
      </c>
      <c r="C2530" t="inlineStr">
        <is>
          <t>Organic Search</t>
        </is>
      </c>
      <c r="D2530" t="inlineStr">
        <is>
          <t>Study Abroad Prep</t>
        </is>
      </c>
      <c r="E2530" t="inlineStr">
        <is>
          <t>International</t>
        </is>
      </c>
      <c r="F2530" t="inlineStr">
        <is>
          <t>Rep_10</t>
        </is>
      </c>
      <c r="G2530" t="n">
        <v>1.75</v>
      </c>
      <c r="H2530" t="inlineStr">
        <is>
          <t>Lead</t>
        </is>
      </c>
      <c r="I2530" t="inlineStr">
        <is>
          <t>Open</t>
        </is>
      </c>
      <c r="M2530">
        <f>VLOOKUP(H2530,'Stage Order'!$A$2:$B$8,2,FALSE)</f>
        <v/>
      </c>
      <c r="N2530">
        <f>IF(G2530&lt;=1,"1. Under 1 hour",IF(G2530&lt;=24,"2. 1-24 hours",IF(G2530&lt;=72,"3. 1-3 days","4. Over 3 days")))</f>
        <v/>
      </c>
      <c r="O2530">
        <f>TEXT(B2530,"YYYY-MM")</f>
        <v/>
      </c>
    </row>
    <row r="2531">
      <c r="A2531" t="inlineStr">
        <is>
          <t>LD-302529</t>
        </is>
      </c>
      <c r="B2531" t="inlineStr">
        <is>
          <t>2025-12-08 15:29:00</t>
        </is>
      </c>
      <c r="C2531" t="inlineStr">
        <is>
          <t>Organic Search</t>
        </is>
      </c>
      <c r="D2531" t="inlineStr">
        <is>
          <t>Competitive Exam Prep</t>
        </is>
      </c>
      <c r="E2531" t="inlineStr">
        <is>
          <t>South Region</t>
        </is>
      </c>
      <c r="F2531" t="inlineStr">
        <is>
          <t>Rep_02</t>
        </is>
      </c>
      <c r="G2531" t="n">
        <v>3.95</v>
      </c>
      <c r="H2531" t="inlineStr">
        <is>
          <t>Contacted</t>
        </is>
      </c>
      <c r="I2531" t="inlineStr">
        <is>
          <t>Open</t>
        </is>
      </c>
      <c r="M2531">
        <f>VLOOKUP(H2531,'Stage Order'!$A$2:$B$8,2,FALSE)</f>
        <v/>
      </c>
      <c r="N2531">
        <f>IF(G2531&lt;=1,"1. Under 1 hour",IF(G2531&lt;=24,"2. 1-24 hours",IF(G2531&lt;=72,"3. 1-3 days","4. Over 3 days")))</f>
        <v/>
      </c>
      <c r="O2531">
        <f>TEXT(B2531,"YYYY-MM")</f>
        <v/>
      </c>
    </row>
    <row r="2532">
      <c r="A2532" t="inlineStr">
        <is>
          <t>LD-302530</t>
        </is>
      </c>
      <c r="B2532" t="inlineStr">
        <is>
          <t>2025-10-01 08:16:00</t>
        </is>
      </c>
      <c r="C2532" t="inlineStr">
        <is>
          <t>Organic Search</t>
        </is>
      </c>
      <c r="D2532" t="inlineStr">
        <is>
          <t>Competitive Exam Prep</t>
        </is>
      </c>
      <c r="E2532" t="inlineStr">
        <is>
          <t>South Region</t>
        </is>
      </c>
      <c r="F2532" t="inlineStr">
        <is>
          <t>Rep_12</t>
        </is>
      </c>
      <c r="G2532" t="n">
        <v>2.58</v>
      </c>
      <c r="H2532" t="inlineStr">
        <is>
          <t>Contacted</t>
        </is>
      </c>
      <c r="I2532" t="inlineStr">
        <is>
          <t>Open</t>
        </is>
      </c>
      <c r="M2532">
        <f>VLOOKUP(H2532,'Stage Order'!$A$2:$B$8,2,FALSE)</f>
        <v/>
      </c>
      <c r="N2532">
        <f>IF(G2532&lt;=1,"1. Under 1 hour",IF(G2532&lt;=24,"2. 1-24 hours",IF(G2532&lt;=72,"3. 1-3 days","4. Over 3 days")))</f>
        <v/>
      </c>
      <c r="O2532">
        <f>TEXT(B2532,"YYYY-MM")</f>
        <v/>
      </c>
    </row>
    <row r="2533">
      <c r="A2533" t="inlineStr">
        <is>
          <t>LD-302531</t>
        </is>
      </c>
      <c r="B2533" t="inlineStr">
        <is>
          <t>2026-01-05 17:03:00</t>
        </is>
      </c>
      <c r="C2533" t="inlineStr">
        <is>
          <t>Partner Channel</t>
        </is>
      </c>
      <c r="D2533" t="inlineStr">
        <is>
          <t>Study Abroad Prep</t>
        </is>
      </c>
      <c r="E2533" t="inlineStr">
        <is>
          <t>South Region</t>
        </is>
      </c>
      <c r="F2533" t="inlineStr">
        <is>
          <t>Rep_02</t>
        </is>
      </c>
      <c r="G2533" t="n">
        <v>5.55</v>
      </c>
      <c r="H2533" t="inlineStr">
        <is>
          <t>Negotiation</t>
        </is>
      </c>
      <c r="I2533" t="inlineStr">
        <is>
          <t>Lost</t>
        </is>
      </c>
      <c r="J2533" t="inlineStr">
        <is>
          <t>Budget Not Approved</t>
        </is>
      </c>
      <c r="K2533" t="n">
        <v>1333.76</v>
      </c>
      <c r="L2533" t="inlineStr">
        <is>
          <t>2026-02-16 13:32:43.972673</t>
        </is>
      </c>
      <c r="M2533">
        <f>VLOOKUP(H2533,'Stage Order'!$A$2:$B$8,2,FALSE)</f>
        <v/>
      </c>
      <c r="N2533">
        <f>IF(G2533&lt;=1,"1. Under 1 hour",IF(G2533&lt;=24,"2. 1-24 hours",IF(G2533&lt;=72,"3. 1-3 days","4. Over 3 days")))</f>
        <v/>
      </c>
      <c r="O2533">
        <f>TEXT(B2533,"YYYY-MM")</f>
        <v/>
      </c>
    </row>
    <row r="2534">
      <c r="A2534" t="inlineStr">
        <is>
          <t>LD-302532</t>
        </is>
      </c>
      <c r="B2534" t="inlineStr">
        <is>
          <t>2025-09-03 11:58:00</t>
        </is>
      </c>
      <c r="C2534" t="inlineStr">
        <is>
          <t>Referral</t>
        </is>
      </c>
      <c r="D2534" t="inlineStr">
        <is>
          <t>Coding for Kids</t>
        </is>
      </c>
      <c r="E2534" t="inlineStr">
        <is>
          <t>North Region</t>
        </is>
      </c>
      <c r="F2534" t="inlineStr">
        <is>
          <t>Rep_06</t>
        </is>
      </c>
      <c r="G2534" t="n">
        <v>3.35</v>
      </c>
      <c r="H2534" t="inlineStr">
        <is>
          <t>Contacted</t>
        </is>
      </c>
      <c r="I2534" t="inlineStr">
        <is>
          <t>Open</t>
        </is>
      </c>
      <c r="M2534">
        <f>VLOOKUP(H2534,'Stage Order'!$A$2:$B$8,2,FALSE)</f>
        <v/>
      </c>
      <c r="N2534">
        <f>IF(G2534&lt;=1,"1. Under 1 hour",IF(G2534&lt;=24,"2. 1-24 hours",IF(G2534&lt;=72,"3. 1-3 days","4. Over 3 days")))</f>
        <v/>
      </c>
      <c r="O2534">
        <f>TEXT(B2534,"YYYY-MM")</f>
        <v/>
      </c>
    </row>
    <row r="2535">
      <c r="A2535" t="inlineStr">
        <is>
          <t>LD-302533</t>
        </is>
      </c>
      <c r="B2535" t="inlineStr">
        <is>
          <t>2025-05-09 09:36:00</t>
        </is>
      </c>
      <c r="C2535" t="inlineStr">
        <is>
          <t>Paid Search</t>
        </is>
      </c>
      <c r="D2535" t="inlineStr">
        <is>
          <t>Language Learning</t>
        </is>
      </c>
      <c r="E2535" t="inlineStr">
        <is>
          <t>North Region</t>
        </is>
      </c>
      <c r="F2535" t="inlineStr">
        <is>
          <t>Rep_01</t>
        </is>
      </c>
      <c r="G2535" t="n">
        <v>1.15</v>
      </c>
      <c r="H2535" t="inlineStr">
        <is>
          <t>Contacted</t>
        </is>
      </c>
      <c r="I2535" t="inlineStr">
        <is>
          <t>Open</t>
        </is>
      </c>
      <c r="M2535">
        <f>VLOOKUP(H2535,'Stage Order'!$A$2:$B$8,2,FALSE)</f>
        <v/>
      </c>
      <c r="N2535">
        <f>IF(G2535&lt;=1,"1. Under 1 hour",IF(G2535&lt;=24,"2. 1-24 hours",IF(G2535&lt;=72,"3. 1-3 days","4. Over 3 days")))</f>
        <v/>
      </c>
      <c r="O2535">
        <f>TEXT(B2535,"YYYY-MM")</f>
        <v/>
      </c>
    </row>
    <row r="2536">
      <c r="A2536" t="inlineStr">
        <is>
          <t>LD-302534</t>
        </is>
      </c>
      <c r="B2536" t="inlineStr">
        <is>
          <t>2025-06-10 16:36:00</t>
        </is>
      </c>
      <c r="C2536" t="inlineStr">
        <is>
          <t>Referral</t>
        </is>
      </c>
      <c r="D2536" t="inlineStr">
        <is>
          <t>Language Learning</t>
        </is>
      </c>
      <c r="E2536" t="inlineStr">
        <is>
          <t>South Region</t>
        </is>
      </c>
      <c r="F2536" t="inlineStr">
        <is>
          <t>Rep_02</t>
        </is>
      </c>
      <c r="G2536" t="n">
        <v>6.19</v>
      </c>
      <c r="H2536" t="inlineStr">
        <is>
          <t>Lead</t>
        </is>
      </c>
      <c r="I2536" t="inlineStr">
        <is>
          <t>Open</t>
        </is>
      </c>
      <c r="M2536">
        <f>VLOOKUP(H2536,'Stage Order'!$A$2:$B$8,2,FALSE)</f>
        <v/>
      </c>
      <c r="N2536">
        <f>IF(G2536&lt;=1,"1. Under 1 hour",IF(G2536&lt;=24,"2. 1-24 hours",IF(G2536&lt;=72,"3. 1-3 days","4. Over 3 days")))</f>
        <v/>
      </c>
      <c r="O2536">
        <f>TEXT(B2536,"YYYY-MM")</f>
        <v/>
      </c>
    </row>
    <row r="2537">
      <c r="A2537" t="inlineStr">
        <is>
          <t>LD-302535</t>
        </is>
      </c>
      <c r="B2537" t="inlineStr">
        <is>
          <t>2026-02-06 14:15:00</t>
        </is>
      </c>
      <c r="C2537" t="inlineStr">
        <is>
          <t>Social Media</t>
        </is>
      </c>
      <c r="D2537" t="inlineStr">
        <is>
          <t>K-12 Math</t>
        </is>
      </c>
      <c r="E2537" t="inlineStr">
        <is>
          <t>East Region</t>
        </is>
      </c>
      <c r="F2537" t="inlineStr">
        <is>
          <t>Rep_14</t>
        </is>
      </c>
      <c r="G2537" t="n">
        <v>1.95</v>
      </c>
      <c r="H2537" t="inlineStr">
        <is>
          <t>Contacted</t>
        </is>
      </c>
      <c r="I2537" t="inlineStr">
        <is>
          <t>Open</t>
        </is>
      </c>
      <c r="M2537">
        <f>VLOOKUP(H2537,'Stage Order'!$A$2:$B$8,2,FALSE)</f>
        <v/>
      </c>
      <c r="N2537">
        <f>IF(G2537&lt;=1,"1. Under 1 hour",IF(G2537&lt;=24,"2. 1-24 hours",IF(G2537&lt;=72,"3. 1-3 days","4. Over 3 days")))</f>
        <v/>
      </c>
      <c r="O2537">
        <f>TEXT(B2537,"YYYY-MM")</f>
        <v/>
      </c>
    </row>
    <row r="2538">
      <c r="A2538" t="inlineStr">
        <is>
          <t>LD-302536</t>
        </is>
      </c>
      <c r="B2538" t="inlineStr">
        <is>
          <t>2025-05-17 11:40:00</t>
        </is>
      </c>
      <c r="C2538" t="inlineStr">
        <is>
          <t>Referral</t>
        </is>
      </c>
      <c r="D2538" t="inlineStr">
        <is>
          <t>Coding for Kids</t>
        </is>
      </c>
      <c r="E2538" t="inlineStr">
        <is>
          <t>International</t>
        </is>
      </c>
      <c r="F2538" t="inlineStr">
        <is>
          <t>Rep_05</t>
        </is>
      </c>
      <c r="G2538" t="n">
        <v>6.1</v>
      </c>
      <c r="H2538" t="inlineStr">
        <is>
          <t>Contacted</t>
        </is>
      </c>
      <c r="I2538" t="inlineStr">
        <is>
          <t>Open</t>
        </is>
      </c>
      <c r="M2538">
        <f>VLOOKUP(H2538,'Stage Order'!$A$2:$B$8,2,FALSE)</f>
        <v/>
      </c>
      <c r="N2538">
        <f>IF(G2538&lt;=1,"1. Under 1 hour",IF(G2538&lt;=24,"2. 1-24 hours",IF(G2538&lt;=72,"3. 1-3 days","4. Over 3 days")))</f>
        <v/>
      </c>
      <c r="O2538">
        <f>TEXT(B2538,"YYYY-MM")</f>
        <v/>
      </c>
    </row>
    <row r="2539">
      <c r="A2539" t="inlineStr">
        <is>
          <t>LD-302537</t>
        </is>
      </c>
      <c r="B2539" t="inlineStr">
        <is>
          <t>2026-04-28 07:56:00</t>
        </is>
      </c>
      <c r="C2539" t="inlineStr">
        <is>
          <t>Organic Search</t>
        </is>
      </c>
      <c r="D2539" t="inlineStr">
        <is>
          <t>Coding for Kids</t>
        </is>
      </c>
      <c r="E2539" t="inlineStr">
        <is>
          <t>International</t>
        </is>
      </c>
      <c r="F2539" t="inlineStr">
        <is>
          <t>Rep_05</t>
        </is>
      </c>
      <c r="G2539" t="n">
        <v>1.46</v>
      </c>
      <c r="H2539" t="inlineStr">
        <is>
          <t>Contacted</t>
        </is>
      </c>
      <c r="I2539" t="inlineStr">
        <is>
          <t>Open</t>
        </is>
      </c>
      <c r="M2539">
        <f>VLOOKUP(H2539,'Stage Order'!$A$2:$B$8,2,FALSE)</f>
        <v/>
      </c>
      <c r="N2539">
        <f>IF(G2539&lt;=1,"1. Under 1 hour",IF(G2539&lt;=24,"2. 1-24 hours",IF(G2539&lt;=72,"3. 1-3 days","4. Over 3 days")))</f>
        <v/>
      </c>
      <c r="O2539">
        <f>TEXT(B2539,"YYYY-MM")</f>
        <v/>
      </c>
    </row>
    <row r="2540">
      <c r="A2540" t="inlineStr">
        <is>
          <t>LD-302538</t>
        </is>
      </c>
      <c r="B2540" t="inlineStr">
        <is>
          <t>2025-06-03 11:49:00</t>
        </is>
      </c>
      <c r="C2540" t="inlineStr">
        <is>
          <t>Organic Search</t>
        </is>
      </c>
      <c r="D2540" t="inlineStr">
        <is>
          <t>Language Learning</t>
        </is>
      </c>
      <c r="E2540" t="inlineStr">
        <is>
          <t>South Region</t>
        </is>
      </c>
      <c r="F2540" t="inlineStr">
        <is>
          <t>Rep_07</t>
        </is>
      </c>
      <c r="G2540" t="n">
        <v>32.16</v>
      </c>
      <c r="H2540" t="inlineStr">
        <is>
          <t>Contacted</t>
        </is>
      </c>
      <c r="I2540" t="inlineStr">
        <is>
          <t>Open</t>
        </is>
      </c>
      <c r="M2540">
        <f>VLOOKUP(H2540,'Stage Order'!$A$2:$B$8,2,FALSE)</f>
        <v/>
      </c>
      <c r="N2540">
        <f>IF(G2540&lt;=1,"1. Under 1 hour",IF(G2540&lt;=24,"2. 1-24 hours",IF(G2540&lt;=72,"3. 1-3 days","4. Over 3 days")))</f>
        <v/>
      </c>
      <c r="O2540">
        <f>TEXT(B2540,"YYYY-MM")</f>
        <v/>
      </c>
    </row>
    <row r="2541">
      <c r="A2541" t="inlineStr">
        <is>
          <t>LD-302539</t>
        </is>
      </c>
      <c r="B2541" t="inlineStr">
        <is>
          <t>2025-10-25 15:14:00</t>
        </is>
      </c>
      <c r="C2541" t="inlineStr">
        <is>
          <t>Social Media</t>
        </is>
      </c>
      <c r="D2541" t="inlineStr">
        <is>
          <t>Language Learning</t>
        </is>
      </c>
      <c r="E2541" t="inlineStr">
        <is>
          <t>International</t>
        </is>
      </c>
      <c r="F2541" t="inlineStr">
        <is>
          <t>Rep_15</t>
        </is>
      </c>
      <c r="G2541" t="n">
        <v>2.75</v>
      </c>
      <c r="H2541" t="inlineStr">
        <is>
          <t>Negotiation</t>
        </is>
      </c>
      <c r="I2541" t="inlineStr">
        <is>
          <t>Lost</t>
        </is>
      </c>
      <c r="J2541" t="inlineStr">
        <is>
          <t>Price Objection</t>
        </is>
      </c>
      <c r="K2541" t="n">
        <v>330.94</v>
      </c>
      <c r="L2541" t="inlineStr">
        <is>
          <t>2025-12-09 19:59:44.337235</t>
        </is>
      </c>
      <c r="M2541">
        <f>VLOOKUP(H2541,'Stage Order'!$A$2:$B$8,2,FALSE)</f>
        <v/>
      </c>
      <c r="N2541">
        <f>IF(G2541&lt;=1,"1. Under 1 hour",IF(G2541&lt;=24,"2. 1-24 hours",IF(G2541&lt;=72,"3. 1-3 days","4. Over 3 days")))</f>
        <v/>
      </c>
      <c r="O2541">
        <f>TEXT(B2541,"YYYY-MM")</f>
        <v/>
      </c>
    </row>
    <row r="2542">
      <c r="A2542" t="inlineStr">
        <is>
          <t>LD-302540</t>
        </is>
      </c>
      <c r="B2542" t="inlineStr">
        <is>
          <t>2026-04-24 13:00:00</t>
        </is>
      </c>
      <c r="C2542" t="inlineStr">
        <is>
          <t>Organic Search</t>
        </is>
      </c>
      <c r="D2542" t="inlineStr">
        <is>
          <t>K-12 Math</t>
        </is>
      </c>
      <c r="E2542" t="inlineStr">
        <is>
          <t>South Region</t>
        </is>
      </c>
      <c r="F2542" t="inlineStr">
        <is>
          <t>Rep_07</t>
        </is>
      </c>
      <c r="G2542" t="n">
        <v>0.34</v>
      </c>
      <c r="H2542" t="inlineStr">
        <is>
          <t>Closed</t>
        </is>
      </c>
      <c r="I2542" t="inlineStr">
        <is>
          <t>Won</t>
        </is>
      </c>
      <c r="K2542" t="n">
        <v>446.07</v>
      </c>
      <c r="L2542" t="inlineStr">
        <is>
          <t>2026-06-06 19:08:20.543614</t>
        </is>
      </c>
      <c r="M2542">
        <f>VLOOKUP(H2542,'Stage Order'!$A$2:$B$8,2,FALSE)</f>
        <v/>
      </c>
      <c r="N2542">
        <f>IF(G2542&lt;=1,"1. Under 1 hour",IF(G2542&lt;=24,"2. 1-24 hours",IF(G2542&lt;=72,"3. 1-3 days","4. Over 3 days")))</f>
        <v/>
      </c>
      <c r="O2542">
        <f>TEXT(B2542,"YYYY-MM")</f>
        <v/>
      </c>
    </row>
    <row r="2543">
      <c r="A2543" t="inlineStr">
        <is>
          <t>LD-302541</t>
        </is>
      </c>
      <c r="B2543" t="inlineStr">
        <is>
          <t>2025-09-12 16:00:00</t>
        </is>
      </c>
      <c r="C2543" t="inlineStr">
        <is>
          <t>Paid Search</t>
        </is>
      </c>
      <c r="D2543" t="inlineStr">
        <is>
          <t>Language Learning</t>
        </is>
      </c>
      <c r="E2543" t="inlineStr">
        <is>
          <t>East Region</t>
        </is>
      </c>
      <c r="F2543" t="inlineStr">
        <is>
          <t>Rep_04</t>
        </is>
      </c>
      <c r="G2543" t="n">
        <v>2.47</v>
      </c>
      <c r="H2543" t="inlineStr">
        <is>
          <t>Demo Completed</t>
        </is>
      </c>
      <c r="I2543" t="inlineStr">
        <is>
          <t>Lost</t>
        </is>
      </c>
      <c r="J2543" t="inlineStr">
        <is>
          <t>Budget Not Approved</t>
        </is>
      </c>
      <c r="K2543" t="n">
        <v>336.97</v>
      </c>
      <c r="L2543" t="inlineStr">
        <is>
          <t>2025-10-06 10:03:34.482846</t>
        </is>
      </c>
      <c r="M2543">
        <f>VLOOKUP(H2543,'Stage Order'!$A$2:$B$8,2,FALSE)</f>
        <v/>
      </c>
      <c r="N2543">
        <f>IF(G2543&lt;=1,"1. Under 1 hour",IF(G2543&lt;=24,"2. 1-24 hours",IF(G2543&lt;=72,"3. 1-3 days","4. Over 3 days")))</f>
        <v/>
      </c>
      <c r="O2543">
        <f>TEXT(B2543,"YYYY-MM")</f>
        <v/>
      </c>
    </row>
    <row r="2544">
      <c r="A2544" t="inlineStr">
        <is>
          <t>LD-302542</t>
        </is>
      </c>
      <c r="B2544" t="inlineStr">
        <is>
          <t>2025-05-05 07:12:00</t>
        </is>
      </c>
      <c r="C2544" t="inlineStr">
        <is>
          <t>Paid Search</t>
        </is>
      </c>
      <c r="D2544" t="inlineStr">
        <is>
          <t>Competitive Exam Prep</t>
        </is>
      </c>
      <c r="E2544" t="inlineStr">
        <is>
          <t>West Region</t>
        </is>
      </c>
      <c r="F2544" t="inlineStr">
        <is>
          <t>Rep_08</t>
        </is>
      </c>
      <c r="G2544" t="n">
        <v>1.53</v>
      </c>
      <c r="H2544" t="inlineStr">
        <is>
          <t>Closed</t>
        </is>
      </c>
      <c r="I2544" t="inlineStr">
        <is>
          <t>Won</t>
        </is>
      </c>
      <c r="K2544" t="n">
        <v>873.83</v>
      </c>
      <c r="L2544" t="inlineStr">
        <is>
          <t>2025-06-19 15:34:03.874643</t>
        </is>
      </c>
      <c r="M2544">
        <f>VLOOKUP(H2544,'Stage Order'!$A$2:$B$8,2,FALSE)</f>
        <v/>
      </c>
      <c r="N2544">
        <f>IF(G2544&lt;=1,"1. Under 1 hour",IF(G2544&lt;=24,"2. 1-24 hours",IF(G2544&lt;=72,"3. 1-3 days","4. Over 3 days")))</f>
        <v/>
      </c>
      <c r="O2544">
        <f>TEXT(B2544,"YYYY-MM")</f>
        <v/>
      </c>
    </row>
    <row r="2545">
      <c r="A2545" t="inlineStr">
        <is>
          <t>LD-302543</t>
        </is>
      </c>
      <c r="B2545" t="inlineStr">
        <is>
          <t>2025-06-29 19:18:00</t>
        </is>
      </c>
      <c r="C2545" t="inlineStr">
        <is>
          <t>Referral</t>
        </is>
      </c>
      <c r="D2545" t="inlineStr">
        <is>
          <t>K-12 Math</t>
        </is>
      </c>
      <c r="E2545" t="inlineStr">
        <is>
          <t>South Region</t>
        </is>
      </c>
      <c r="F2545" t="inlineStr">
        <is>
          <t>Rep_07</t>
        </is>
      </c>
      <c r="G2545" t="n">
        <v>2.57</v>
      </c>
      <c r="H2545" t="inlineStr">
        <is>
          <t>Closed</t>
        </is>
      </c>
      <c r="I2545" t="inlineStr">
        <is>
          <t>Won</t>
        </is>
      </c>
      <c r="K2545" t="n">
        <v>537.54</v>
      </c>
      <c r="L2545" t="inlineStr">
        <is>
          <t>2025-08-21 12:23:49.295311</t>
        </is>
      </c>
      <c r="M2545">
        <f>VLOOKUP(H2545,'Stage Order'!$A$2:$B$8,2,FALSE)</f>
        <v/>
      </c>
      <c r="N2545">
        <f>IF(G2545&lt;=1,"1. Under 1 hour",IF(G2545&lt;=24,"2. 1-24 hours",IF(G2545&lt;=72,"3. 1-3 days","4. Over 3 days")))</f>
        <v/>
      </c>
      <c r="O2545">
        <f>TEXT(B2545,"YYYY-MM")</f>
        <v/>
      </c>
    </row>
    <row r="2546">
      <c r="A2546" t="inlineStr">
        <is>
          <t>LD-302544</t>
        </is>
      </c>
      <c r="B2546" t="inlineStr">
        <is>
          <t>2026-04-08 10:40:00</t>
        </is>
      </c>
      <c r="C2546" t="inlineStr">
        <is>
          <t>Social Media</t>
        </is>
      </c>
      <c r="D2546" t="inlineStr">
        <is>
          <t>Study Abroad Prep</t>
        </is>
      </c>
      <c r="E2546" t="inlineStr">
        <is>
          <t>East Region</t>
        </is>
      </c>
      <c r="F2546" t="inlineStr">
        <is>
          <t>Rep_04</t>
        </is>
      </c>
      <c r="G2546" t="n">
        <v>1.12</v>
      </c>
      <c r="H2546" t="inlineStr">
        <is>
          <t>Contacted</t>
        </is>
      </c>
      <c r="I2546" t="inlineStr">
        <is>
          <t>Open</t>
        </is>
      </c>
      <c r="M2546">
        <f>VLOOKUP(H2546,'Stage Order'!$A$2:$B$8,2,FALSE)</f>
        <v/>
      </c>
      <c r="N2546">
        <f>IF(G2546&lt;=1,"1. Under 1 hour",IF(G2546&lt;=24,"2. 1-24 hours",IF(G2546&lt;=72,"3. 1-3 days","4. Over 3 days")))</f>
        <v/>
      </c>
      <c r="O2546">
        <f>TEXT(B2546,"YYYY-MM")</f>
        <v/>
      </c>
    </row>
    <row r="2547">
      <c r="A2547" t="inlineStr">
        <is>
          <t>LD-302545</t>
        </is>
      </c>
      <c r="B2547" t="inlineStr">
        <is>
          <t>2025-08-23 17:57:00</t>
        </is>
      </c>
      <c r="C2547" t="inlineStr">
        <is>
          <t>Webinar</t>
        </is>
      </c>
      <c r="D2547" t="inlineStr">
        <is>
          <t>Competitive Exam Prep</t>
        </is>
      </c>
      <c r="E2547" t="inlineStr">
        <is>
          <t>South Region</t>
        </is>
      </c>
      <c r="F2547" t="inlineStr">
        <is>
          <t>Rep_07</t>
        </is>
      </c>
      <c r="G2547" t="n">
        <v>2.96</v>
      </c>
      <c r="H2547" t="inlineStr">
        <is>
          <t>Contacted</t>
        </is>
      </c>
      <c r="I2547" t="inlineStr">
        <is>
          <t>Open</t>
        </is>
      </c>
      <c r="M2547">
        <f>VLOOKUP(H2547,'Stage Order'!$A$2:$B$8,2,FALSE)</f>
        <v/>
      </c>
      <c r="N2547">
        <f>IF(G2547&lt;=1,"1. Under 1 hour",IF(G2547&lt;=24,"2. 1-24 hours",IF(G2547&lt;=72,"3. 1-3 days","4. Over 3 days")))</f>
        <v/>
      </c>
      <c r="O2547">
        <f>TEXT(B2547,"YYYY-MM")</f>
        <v/>
      </c>
    </row>
    <row r="2548">
      <c r="A2548" t="inlineStr">
        <is>
          <t>LD-302546</t>
        </is>
      </c>
      <c r="B2548" t="inlineStr">
        <is>
          <t>2026-03-09 13:33:00</t>
        </is>
      </c>
      <c r="C2548" t="inlineStr">
        <is>
          <t>Organic Search</t>
        </is>
      </c>
      <c r="D2548" t="inlineStr">
        <is>
          <t>Competitive Exam Prep</t>
        </is>
      </c>
      <c r="E2548" t="inlineStr">
        <is>
          <t>West Region</t>
        </is>
      </c>
      <c r="F2548" t="inlineStr">
        <is>
          <t>Rep_08</t>
        </is>
      </c>
      <c r="G2548" t="n">
        <v>1.38</v>
      </c>
      <c r="H2548" t="inlineStr">
        <is>
          <t>Closed</t>
        </is>
      </c>
      <c r="I2548" t="inlineStr">
        <is>
          <t>Won</t>
        </is>
      </c>
      <c r="K2548" t="n">
        <v>874.91</v>
      </c>
      <c r="L2548" t="inlineStr">
        <is>
          <t>2026-04-16 04:46:01.296534</t>
        </is>
      </c>
      <c r="M2548">
        <f>VLOOKUP(H2548,'Stage Order'!$A$2:$B$8,2,FALSE)</f>
        <v/>
      </c>
      <c r="N2548">
        <f>IF(G2548&lt;=1,"1. Under 1 hour",IF(G2548&lt;=24,"2. 1-24 hours",IF(G2548&lt;=72,"3. 1-3 days","4. Over 3 days")))</f>
        <v/>
      </c>
      <c r="O2548">
        <f>TEXT(B2548,"YYYY-MM")</f>
        <v/>
      </c>
    </row>
    <row r="2549">
      <c r="A2549" t="inlineStr">
        <is>
          <t>LD-302547</t>
        </is>
      </c>
      <c r="B2549" t="inlineStr">
        <is>
          <t>2026-01-30 17:23:00</t>
        </is>
      </c>
      <c r="C2549" t="inlineStr">
        <is>
          <t>Social Media</t>
        </is>
      </c>
      <c r="D2549" t="inlineStr">
        <is>
          <t>K-12 Math</t>
        </is>
      </c>
      <c r="E2549" t="inlineStr">
        <is>
          <t>South Region</t>
        </is>
      </c>
      <c r="F2549" t="inlineStr">
        <is>
          <t>Rep_12</t>
        </is>
      </c>
      <c r="G2549" t="n">
        <v>7.71</v>
      </c>
      <c r="H2549" t="inlineStr">
        <is>
          <t>Proposal Sent</t>
        </is>
      </c>
      <c r="I2549" t="inlineStr">
        <is>
          <t>Lost</t>
        </is>
      </c>
      <c r="J2549" t="inlineStr">
        <is>
          <t>Went With Competitor</t>
        </is>
      </c>
      <c r="K2549" t="n">
        <v>468.17</v>
      </c>
      <c r="L2549" t="inlineStr">
        <is>
          <t>2026-03-07 09:31:17.905364</t>
        </is>
      </c>
      <c r="M2549">
        <f>VLOOKUP(H2549,'Stage Order'!$A$2:$B$8,2,FALSE)</f>
        <v/>
      </c>
      <c r="N2549">
        <f>IF(G2549&lt;=1,"1. Under 1 hour",IF(G2549&lt;=24,"2. 1-24 hours",IF(G2549&lt;=72,"3. 1-3 days","4. Over 3 days")))</f>
        <v/>
      </c>
      <c r="O2549">
        <f>TEXT(B2549,"YYYY-MM")</f>
        <v/>
      </c>
    </row>
    <row r="2550">
      <c r="A2550" t="inlineStr">
        <is>
          <t>LD-302548</t>
        </is>
      </c>
      <c r="B2550" t="inlineStr">
        <is>
          <t>2026-01-02 15:29:00</t>
        </is>
      </c>
      <c r="C2550" t="inlineStr">
        <is>
          <t>Partner Channel</t>
        </is>
      </c>
      <c r="D2550" t="inlineStr">
        <is>
          <t>K-12 Math</t>
        </is>
      </c>
      <c r="E2550" t="inlineStr">
        <is>
          <t>West Region</t>
        </is>
      </c>
      <c r="F2550" t="inlineStr">
        <is>
          <t>Rep_08</t>
        </is>
      </c>
      <c r="G2550" t="n">
        <v>10.74</v>
      </c>
      <c r="H2550" t="inlineStr">
        <is>
          <t>Lead</t>
        </is>
      </c>
      <c r="I2550" t="inlineStr">
        <is>
          <t>Open</t>
        </is>
      </c>
      <c r="M2550">
        <f>VLOOKUP(H2550,'Stage Order'!$A$2:$B$8,2,FALSE)</f>
        <v/>
      </c>
      <c r="N2550">
        <f>IF(G2550&lt;=1,"1. Under 1 hour",IF(G2550&lt;=24,"2. 1-24 hours",IF(G2550&lt;=72,"3. 1-3 days","4. Over 3 days")))</f>
        <v/>
      </c>
      <c r="O2550">
        <f>TEXT(B2550,"YYYY-MM")</f>
        <v/>
      </c>
    </row>
    <row r="2551">
      <c r="A2551" t="inlineStr">
        <is>
          <t>LD-302549</t>
        </is>
      </c>
      <c r="B2551" t="inlineStr">
        <is>
          <t>2025-04-29 14:50:00</t>
        </is>
      </c>
      <c r="C2551" t="inlineStr">
        <is>
          <t>Referral</t>
        </is>
      </c>
      <c r="D2551" t="inlineStr">
        <is>
          <t>K-12 Math</t>
        </is>
      </c>
      <c r="E2551" t="inlineStr">
        <is>
          <t>West Region</t>
        </is>
      </c>
      <c r="F2551" t="inlineStr">
        <is>
          <t>Rep_08</t>
        </is>
      </c>
      <c r="G2551" t="n">
        <v>4.45</v>
      </c>
      <c r="H2551" t="inlineStr">
        <is>
          <t>Closed</t>
        </is>
      </c>
      <c r="I2551" t="inlineStr">
        <is>
          <t>Won</t>
        </is>
      </c>
      <c r="K2551" t="n">
        <v>474.59</v>
      </c>
      <c r="L2551" t="inlineStr">
        <is>
          <t>2025-05-31 03:13:48.920088</t>
        </is>
      </c>
      <c r="M2551">
        <f>VLOOKUP(H2551,'Stage Order'!$A$2:$B$8,2,FALSE)</f>
        <v/>
      </c>
      <c r="N2551">
        <f>IF(G2551&lt;=1,"1. Under 1 hour",IF(G2551&lt;=24,"2. 1-24 hours",IF(G2551&lt;=72,"3. 1-3 days","4. Over 3 days")))</f>
        <v/>
      </c>
      <c r="O2551">
        <f>TEXT(B2551,"YYYY-MM")</f>
        <v/>
      </c>
    </row>
    <row r="2552">
      <c r="A2552" t="inlineStr">
        <is>
          <t>LD-302550</t>
        </is>
      </c>
      <c r="B2552" t="inlineStr">
        <is>
          <t>2025-03-01 15:42:00</t>
        </is>
      </c>
      <c r="C2552" t="inlineStr">
        <is>
          <t>Paid Search</t>
        </is>
      </c>
      <c r="D2552" t="inlineStr">
        <is>
          <t>Study Abroad Prep</t>
        </is>
      </c>
      <c r="E2552" t="inlineStr">
        <is>
          <t>North Region</t>
        </is>
      </c>
      <c r="F2552" t="inlineStr">
        <is>
          <t>Rep_11</t>
        </is>
      </c>
      <c r="G2552" t="n">
        <v>1.81</v>
      </c>
      <c r="H2552" t="inlineStr">
        <is>
          <t>Demo Completed</t>
        </is>
      </c>
      <c r="I2552" t="inlineStr">
        <is>
          <t>Lost</t>
        </is>
      </c>
      <c r="J2552" t="inlineStr">
        <is>
          <t>Bad Timing</t>
        </is>
      </c>
      <c r="K2552" t="n">
        <v>1522.23</v>
      </c>
      <c r="L2552" t="inlineStr">
        <is>
          <t>2025-04-11 11:53:53.550126</t>
        </is>
      </c>
      <c r="M2552">
        <f>VLOOKUP(H2552,'Stage Order'!$A$2:$B$8,2,FALSE)</f>
        <v/>
      </c>
      <c r="N2552">
        <f>IF(G2552&lt;=1,"1. Under 1 hour",IF(G2552&lt;=24,"2. 1-24 hours",IF(G2552&lt;=72,"3. 1-3 days","4. Over 3 days")))</f>
        <v/>
      </c>
      <c r="O2552">
        <f>TEXT(B2552,"YYYY-MM")</f>
        <v/>
      </c>
    </row>
    <row r="2553">
      <c r="A2553" t="inlineStr">
        <is>
          <t>LD-302551</t>
        </is>
      </c>
      <c r="B2553" t="inlineStr">
        <is>
          <t>2025-10-07 07:08:00</t>
        </is>
      </c>
      <c r="C2553" t="inlineStr">
        <is>
          <t>Cold Outreach</t>
        </is>
      </c>
      <c r="D2553" t="inlineStr">
        <is>
          <t>Coding for Kids</t>
        </is>
      </c>
      <c r="E2553" t="inlineStr">
        <is>
          <t>South Region</t>
        </is>
      </c>
      <c r="F2553" t="inlineStr">
        <is>
          <t>Rep_02</t>
        </is>
      </c>
      <c r="G2553" t="n">
        <v>0.83</v>
      </c>
      <c r="H2553" t="inlineStr">
        <is>
          <t>Contacted</t>
        </is>
      </c>
      <c r="I2553" t="inlineStr">
        <is>
          <t>Open</t>
        </is>
      </c>
      <c r="M2553">
        <f>VLOOKUP(H2553,'Stage Order'!$A$2:$B$8,2,FALSE)</f>
        <v/>
      </c>
      <c r="N2553">
        <f>IF(G2553&lt;=1,"1. Under 1 hour",IF(G2553&lt;=24,"2. 1-24 hours",IF(G2553&lt;=72,"3. 1-3 days","4. Over 3 days")))</f>
        <v/>
      </c>
      <c r="O2553">
        <f>TEXT(B2553,"YYYY-MM")</f>
        <v/>
      </c>
    </row>
    <row r="2554">
      <c r="A2554" t="inlineStr">
        <is>
          <t>LD-302552</t>
        </is>
      </c>
      <c r="B2554" t="inlineStr">
        <is>
          <t>2025-01-29 08:27:00</t>
        </is>
      </c>
      <c r="C2554" t="inlineStr">
        <is>
          <t>Organic Search</t>
        </is>
      </c>
      <c r="D2554" t="inlineStr">
        <is>
          <t>Study Abroad Prep</t>
        </is>
      </c>
      <c r="E2554" t="inlineStr">
        <is>
          <t>East Region</t>
        </is>
      </c>
      <c r="F2554" t="inlineStr">
        <is>
          <t>Rep_04</t>
        </is>
      </c>
      <c r="G2554" t="n">
        <v>0.92</v>
      </c>
      <c r="H2554" t="inlineStr">
        <is>
          <t>Closed</t>
        </is>
      </c>
      <c r="I2554" t="inlineStr">
        <is>
          <t>Won</t>
        </is>
      </c>
      <c r="K2554" t="n">
        <v>1347.69</v>
      </c>
      <c r="L2554" t="inlineStr">
        <is>
          <t>2025-03-03 20:25:31.669005</t>
        </is>
      </c>
      <c r="M2554">
        <f>VLOOKUP(H2554,'Stage Order'!$A$2:$B$8,2,FALSE)</f>
        <v/>
      </c>
      <c r="N2554">
        <f>IF(G2554&lt;=1,"1. Under 1 hour",IF(G2554&lt;=24,"2. 1-24 hours",IF(G2554&lt;=72,"3. 1-3 days","4. Over 3 days")))</f>
        <v/>
      </c>
      <c r="O2554">
        <f>TEXT(B2554,"YYYY-MM")</f>
        <v/>
      </c>
    </row>
    <row r="2555">
      <c r="A2555" t="inlineStr">
        <is>
          <t>LD-302553</t>
        </is>
      </c>
      <c r="B2555" t="inlineStr">
        <is>
          <t>2025-04-26 08:28:00</t>
        </is>
      </c>
      <c r="C2555" t="inlineStr">
        <is>
          <t>Referral</t>
        </is>
      </c>
      <c r="D2555" t="inlineStr">
        <is>
          <t>Study Abroad Prep</t>
        </is>
      </c>
      <c r="E2555" t="inlineStr">
        <is>
          <t>West Region</t>
        </is>
      </c>
      <c r="F2555" t="inlineStr">
        <is>
          <t>Rep_13</t>
        </is>
      </c>
      <c r="G2555" t="n">
        <v>9.449999999999999</v>
      </c>
      <c r="H2555" t="inlineStr">
        <is>
          <t>Negotiation</t>
        </is>
      </c>
      <c r="I2555" t="inlineStr">
        <is>
          <t>Lost</t>
        </is>
      </c>
      <c r="J2555" t="inlineStr">
        <is>
          <t>Price Objection</t>
        </is>
      </c>
      <c r="K2555" t="n">
        <v>1679.11</v>
      </c>
      <c r="L2555" t="inlineStr">
        <is>
          <t>2025-06-09 23:22:08.115602</t>
        </is>
      </c>
      <c r="M2555">
        <f>VLOOKUP(H2555,'Stage Order'!$A$2:$B$8,2,FALSE)</f>
        <v/>
      </c>
      <c r="N2555">
        <f>IF(G2555&lt;=1,"1. Under 1 hour",IF(G2555&lt;=24,"2. 1-24 hours",IF(G2555&lt;=72,"3. 1-3 days","4. Over 3 days")))</f>
        <v/>
      </c>
      <c r="O2555">
        <f>TEXT(B2555,"YYYY-MM")</f>
        <v/>
      </c>
    </row>
    <row r="2556">
      <c r="A2556" t="inlineStr">
        <is>
          <t>LD-302554</t>
        </is>
      </c>
      <c r="B2556" t="inlineStr">
        <is>
          <t>2025-11-02 09:46:00</t>
        </is>
      </c>
      <c r="C2556" t="inlineStr">
        <is>
          <t>Paid Search</t>
        </is>
      </c>
      <c r="D2556" t="inlineStr">
        <is>
          <t>Competitive Exam Prep</t>
        </is>
      </c>
      <c r="E2556" t="inlineStr">
        <is>
          <t>West Region</t>
        </is>
      </c>
      <c r="F2556" t="inlineStr">
        <is>
          <t>Rep_03</t>
        </is>
      </c>
      <c r="G2556" t="n">
        <v>0.6</v>
      </c>
      <c r="H2556" t="inlineStr">
        <is>
          <t>Demo Completed</t>
        </is>
      </c>
      <c r="I2556" t="inlineStr">
        <is>
          <t>Lost</t>
        </is>
      </c>
      <c r="J2556" t="inlineStr">
        <is>
          <t>Bad Timing</t>
        </is>
      </c>
      <c r="K2556" t="n">
        <v>1079.91</v>
      </c>
      <c r="L2556" t="inlineStr">
        <is>
          <t>2025-12-10 13:44:33.434768</t>
        </is>
      </c>
      <c r="M2556">
        <f>VLOOKUP(H2556,'Stage Order'!$A$2:$B$8,2,FALSE)</f>
        <v/>
      </c>
      <c r="N2556">
        <f>IF(G2556&lt;=1,"1. Under 1 hour",IF(G2556&lt;=24,"2. 1-24 hours",IF(G2556&lt;=72,"3. 1-3 days","4. Over 3 days")))</f>
        <v/>
      </c>
      <c r="O2556">
        <f>TEXT(B2556,"YYYY-MM")</f>
        <v/>
      </c>
    </row>
    <row r="2557">
      <c r="A2557" t="inlineStr">
        <is>
          <t>LD-302555</t>
        </is>
      </c>
      <c r="B2557" t="inlineStr">
        <is>
          <t>2025-12-26 18:09:00</t>
        </is>
      </c>
      <c r="C2557" t="inlineStr">
        <is>
          <t>Webinar</t>
        </is>
      </c>
      <c r="D2557" t="inlineStr">
        <is>
          <t>Coding for Kids</t>
        </is>
      </c>
      <c r="E2557" t="inlineStr">
        <is>
          <t>South Region</t>
        </is>
      </c>
      <c r="F2557" t="inlineStr">
        <is>
          <t>Rep_12</t>
        </is>
      </c>
      <c r="G2557" t="n">
        <v>2.95</v>
      </c>
      <c r="H2557" t="inlineStr">
        <is>
          <t>Contacted</t>
        </is>
      </c>
      <c r="I2557" t="inlineStr">
        <is>
          <t>Open</t>
        </is>
      </c>
      <c r="M2557">
        <f>VLOOKUP(H2557,'Stage Order'!$A$2:$B$8,2,FALSE)</f>
        <v/>
      </c>
      <c r="N2557">
        <f>IF(G2557&lt;=1,"1. Under 1 hour",IF(G2557&lt;=24,"2. 1-24 hours",IF(G2557&lt;=72,"3. 1-3 days","4. Over 3 days")))</f>
        <v/>
      </c>
      <c r="O2557">
        <f>TEXT(B2557,"YYYY-MM")</f>
        <v/>
      </c>
    </row>
    <row r="2558">
      <c r="A2558" t="inlineStr">
        <is>
          <t>LD-302556</t>
        </is>
      </c>
      <c r="B2558" t="inlineStr">
        <is>
          <t>2025-06-06 12:40:00</t>
        </is>
      </c>
      <c r="C2558" t="inlineStr">
        <is>
          <t>Webinar</t>
        </is>
      </c>
      <c r="D2558" t="inlineStr">
        <is>
          <t>Competitive Exam Prep</t>
        </is>
      </c>
      <c r="E2558" t="inlineStr">
        <is>
          <t>International</t>
        </is>
      </c>
      <c r="F2558" t="inlineStr">
        <is>
          <t>Rep_10</t>
        </is>
      </c>
      <c r="G2558" t="n">
        <v>7.72</v>
      </c>
      <c r="H2558" t="inlineStr">
        <is>
          <t>Contacted</t>
        </is>
      </c>
      <c r="I2558" t="inlineStr">
        <is>
          <t>Open</t>
        </is>
      </c>
      <c r="M2558">
        <f>VLOOKUP(H2558,'Stage Order'!$A$2:$B$8,2,FALSE)</f>
        <v/>
      </c>
      <c r="N2558">
        <f>IF(G2558&lt;=1,"1. Under 1 hour",IF(G2558&lt;=24,"2. 1-24 hours",IF(G2558&lt;=72,"3. 1-3 days","4. Over 3 days")))</f>
        <v/>
      </c>
      <c r="O2558">
        <f>TEXT(B2558,"YYYY-MM")</f>
        <v/>
      </c>
    </row>
    <row r="2559">
      <c r="A2559" t="inlineStr">
        <is>
          <t>LD-302557</t>
        </is>
      </c>
      <c r="B2559" t="inlineStr">
        <is>
          <t>2025-09-22 13:25:00</t>
        </is>
      </c>
      <c r="C2559" t="inlineStr">
        <is>
          <t>Organic Search</t>
        </is>
      </c>
      <c r="D2559" t="inlineStr">
        <is>
          <t>Coding for Kids</t>
        </is>
      </c>
      <c r="E2559" t="inlineStr">
        <is>
          <t>West Region</t>
        </is>
      </c>
      <c r="F2559" t="inlineStr">
        <is>
          <t>Rep_08</t>
        </is>
      </c>
      <c r="G2559" t="n">
        <v>1.82</v>
      </c>
      <c r="H2559" t="inlineStr">
        <is>
          <t>Demo Scheduled</t>
        </is>
      </c>
      <c r="I2559" t="inlineStr">
        <is>
          <t>Open</t>
        </is>
      </c>
      <c r="M2559">
        <f>VLOOKUP(H2559,'Stage Order'!$A$2:$B$8,2,FALSE)</f>
        <v/>
      </c>
      <c r="N2559">
        <f>IF(G2559&lt;=1,"1. Under 1 hour",IF(G2559&lt;=24,"2. 1-24 hours",IF(G2559&lt;=72,"3. 1-3 days","4. Over 3 days")))</f>
        <v/>
      </c>
      <c r="O2559">
        <f>TEXT(B2559,"YYYY-MM")</f>
        <v/>
      </c>
    </row>
    <row r="2560">
      <c r="A2560" t="inlineStr">
        <is>
          <t>LD-302558</t>
        </is>
      </c>
      <c r="B2560" t="inlineStr">
        <is>
          <t>2025-02-21 12:44:00</t>
        </is>
      </c>
      <c r="C2560" t="inlineStr">
        <is>
          <t>Social Media</t>
        </is>
      </c>
      <c r="D2560" t="inlineStr">
        <is>
          <t>Language Learning</t>
        </is>
      </c>
      <c r="E2560" t="inlineStr">
        <is>
          <t>International</t>
        </is>
      </c>
      <c r="F2560" t="inlineStr">
        <is>
          <t>Rep_10</t>
        </is>
      </c>
      <c r="G2560" t="n">
        <v>5.64</v>
      </c>
      <c r="H2560" t="inlineStr">
        <is>
          <t>Lead</t>
        </is>
      </c>
      <c r="I2560" t="inlineStr">
        <is>
          <t>Open</t>
        </is>
      </c>
      <c r="M2560">
        <f>VLOOKUP(H2560,'Stage Order'!$A$2:$B$8,2,FALSE)</f>
        <v/>
      </c>
      <c r="N2560">
        <f>IF(G2560&lt;=1,"1. Under 1 hour",IF(G2560&lt;=24,"2. 1-24 hours",IF(G2560&lt;=72,"3. 1-3 days","4. Over 3 days")))</f>
        <v/>
      </c>
      <c r="O2560">
        <f>TEXT(B2560,"YYYY-MM")</f>
        <v/>
      </c>
    </row>
    <row r="2561">
      <c r="A2561" t="inlineStr">
        <is>
          <t>LD-302559</t>
        </is>
      </c>
      <c r="B2561" t="inlineStr">
        <is>
          <t>2025-09-01 09:17:00</t>
        </is>
      </c>
      <c r="C2561" t="inlineStr">
        <is>
          <t>Social Media</t>
        </is>
      </c>
      <c r="D2561" t="inlineStr">
        <is>
          <t>K-12 Math</t>
        </is>
      </c>
      <c r="E2561" t="inlineStr">
        <is>
          <t>North Region</t>
        </is>
      </c>
      <c r="F2561" t="inlineStr">
        <is>
          <t>Rep_11</t>
        </is>
      </c>
      <c r="G2561" t="n">
        <v>4.1</v>
      </c>
      <c r="H2561" t="inlineStr">
        <is>
          <t>Proposal Sent</t>
        </is>
      </c>
      <c r="I2561" t="inlineStr">
        <is>
          <t>Lost</t>
        </is>
      </c>
      <c r="J2561" t="inlineStr">
        <is>
          <t>No Response / Ghosted</t>
        </is>
      </c>
      <c r="K2561" t="n">
        <v>534.03</v>
      </c>
      <c r="L2561" t="inlineStr">
        <is>
          <t>2025-10-03 09:31:19.903521</t>
        </is>
      </c>
      <c r="M2561">
        <f>VLOOKUP(H2561,'Stage Order'!$A$2:$B$8,2,FALSE)</f>
        <v/>
      </c>
      <c r="N2561">
        <f>IF(G2561&lt;=1,"1. Under 1 hour",IF(G2561&lt;=24,"2. 1-24 hours",IF(G2561&lt;=72,"3. 1-3 days","4. Over 3 days")))</f>
        <v/>
      </c>
      <c r="O2561">
        <f>TEXT(B2561,"YYYY-MM")</f>
        <v/>
      </c>
    </row>
    <row r="2562">
      <c r="A2562" t="inlineStr">
        <is>
          <t>LD-302560</t>
        </is>
      </c>
      <c r="B2562" t="inlineStr">
        <is>
          <t>2025-10-29 20:38:00</t>
        </is>
      </c>
      <c r="C2562" t="inlineStr">
        <is>
          <t>Webinar</t>
        </is>
      </c>
      <c r="D2562" t="inlineStr">
        <is>
          <t>K-12 Math</t>
        </is>
      </c>
      <c r="E2562" t="inlineStr">
        <is>
          <t>South Region</t>
        </is>
      </c>
      <c r="F2562" t="inlineStr">
        <is>
          <t>Rep_07</t>
        </is>
      </c>
      <c r="G2562" t="n">
        <v>1.72</v>
      </c>
      <c r="H2562" t="inlineStr">
        <is>
          <t>Contacted</t>
        </is>
      </c>
      <c r="I2562" t="inlineStr">
        <is>
          <t>Open</t>
        </is>
      </c>
      <c r="M2562">
        <f>VLOOKUP(H2562,'Stage Order'!$A$2:$B$8,2,FALSE)</f>
        <v/>
      </c>
      <c r="N2562">
        <f>IF(G2562&lt;=1,"1. Under 1 hour",IF(G2562&lt;=24,"2. 1-24 hours",IF(G2562&lt;=72,"3. 1-3 days","4. Over 3 days")))</f>
        <v/>
      </c>
      <c r="O2562">
        <f>TEXT(B2562,"YYYY-MM")</f>
        <v/>
      </c>
    </row>
    <row r="2563">
      <c r="A2563" t="inlineStr">
        <is>
          <t>LD-302561</t>
        </is>
      </c>
      <c r="B2563" t="inlineStr">
        <is>
          <t>2026-01-12 17:52:00</t>
        </is>
      </c>
      <c r="C2563" t="inlineStr">
        <is>
          <t>Partner Channel</t>
        </is>
      </c>
      <c r="D2563" t="inlineStr">
        <is>
          <t>Coding for Kids</t>
        </is>
      </c>
      <c r="E2563" t="inlineStr">
        <is>
          <t>International</t>
        </is>
      </c>
      <c r="F2563" t="inlineStr">
        <is>
          <t>Rep_10</t>
        </is>
      </c>
      <c r="G2563" t="n">
        <v>13.89</v>
      </c>
      <c r="H2563" t="inlineStr">
        <is>
          <t>Demo Completed</t>
        </is>
      </c>
      <c r="I2563" t="inlineStr">
        <is>
          <t>Lost</t>
        </is>
      </c>
      <c r="J2563" t="inlineStr">
        <is>
          <t>No Response / Ghosted</t>
        </is>
      </c>
      <c r="K2563" t="n">
        <v>659.92</v>
      </c>
      <c r="L2563" t="inlineStr">
        <is>
          <t>2026-02-09 05:55:02.623528</t>
        </is>
      </c>
      <c r="M2563">
        <f>VLOOKUP(H2563,'Stage Order'!$A$2:$B$8,2,FALSE)</f>
        <v/>
      </c>
      <c r="N2563">
        <f>IF(G2563&lt;=1,"1. Under 1 hour",IF(G2563&lt;=24,"2. 1-24 hours",IF(G2563&lt;=72,"3. 1-3 days","4. Over 3 days")))</f>
        <v/>
      </c>
      <c r="O2563">
        <f>TEXT(B2563,"YYYY-MM")</f>
        <v/>
      </c>
    </row>
    <row r="2564">
      <c r="A2564" t="inlineStr">
        <is>
          <t>LD-302562</t>
        </is>
      </c>
      <c r="B2564" t="inlineStr">
        <is>
          <t>2025-11-14 20:24:00</t>
        </is>
      </c>
      <c r="C2564" t="inlineStr">
        <is>
          <t>Cold Outreach</t>
        </is>
      </c>
      <c r="D2564" t="inlineStr">
        <is>
          <t>Language Learning</t>
        </is>
      </c>
      <c r="E2564" t="inlineStr">
        <is>
          <t>International</t>
        </is>
      </c>
      <c r="F2564" t="inlineStr">
        <is>
          <t>Rep_15</t>
        </is>
      </c>
      <c r="G2564" t="n">
        <v>2.34</v>
      </c>
      <c r="H2564" t="inlineStr">
        <is>
          <t>Contacted</t>
        </is>
      </c>
      <c r="I2564" t="inlineStr">
        <is>
          <t>Open</t>
        </is>
      </c>
      <c r="M2564">
        <f>VLOOKUP(H2564,'Stage Order'!$A$2:$B$8,2,FALSE)</f>
        <v/>
      </c>
      <c r="N2564">
        <f>IF(G2564&lt;=1,"1. Under 1 hour",IF(G2564&lt;=24,"2. 1-24 hours",IF(G2564&lt;=72,"3. 1-3 days","4. Over 3 days")))</f>
        <v/>
      </c>
      <c r="O2564">
        <f>TEXT(B2564,"YYYY-MM")</f>
        <v/>
      </c>
    </row>
    <row r="2565">
      <c r="A2565" t="inlineStr">
        <is>
          <t>LD-302563</t>
        </is>
      </c>
      <c r="B2565" t="inlineStr">
        <is>
          <t>2025-02-18 11:07:00</t>
        </is>
      </c>
      <c r="C2565" t="inlineStr">
        <is>
          <t>Social Media</t>
        </is>
      </c>
      <c r="D2565" t="inlineStr">
        <is>
          <t>Competitive Exam Prep</t>
        </is>
      </c>
      <c r="E2565" t="inlineStr">
        <is>
          <t>South Region</t>
        </is>
      </c>
      <c r="F2565" t="inlineStr">
        <is>
          <t>Rep_12</t>
        </is>
      </c>
      <c r="G2565" t="n">
        <v>2.06</v>
      </c>
      <c r="H2565" t="inlineStr">
        <is>
          <t>Lead</t>
        </is>
      </c>
      <c r="I2565" t="inlineStr">
        <is>
          <t>Open</t>
        </is>
      </c>
      <c r="M2565">
        <f>VLOOKUP(H2565,'Stage Order'!$A$2:$B$8,2,FALSE)</f>
        <v/>
      </c>
      <c r="N2565">
        <f>IF(G2565&lt;=1,"1. Under 1 hour",IF(G2565&lt;=24,"2. 1-24 hours",IF(G2565&lt;=72,"3. 1-3 days","4. Over 3 days")))</f>
        <v/>
      </c>
      <c r="O2565">
        <f>TEXT(B2565,"YYYY-MM")</f>
        <v/>
      </c>
    </row>
    <row r="2566">
      <c r="A2566" t="inlineStr">
        <is>
          <t>LD-302564</t>
        </is>
      </c>
      <c r="B2566" t="inlineStr">
        <is>
          <t>2025-08-09 07:43:00</t>
        </is>
      </c>
      <c r="C2566" t="inlineStr">
        <is>
          <t>Social Media</t>
        </is>
      </c>
      <c r="D2566" t="inlineStr">
        <is>
          <t>Competitive Exam Prep</t>
        </is>
      </c>
      <c r="E2566" t="inlineStr">
        <is>
          <t>North Region</t>
        </is>
      </c>
      <c r="F2566" t="inlineStr">
        <is>
          <t>Rep_01</t>
        </is>
      </c>
      <c r="G2566" t="n">
        <v>14.45</v>
      </c>
      <c r="H2566" t="inlineStr">
        <is>
          <t>Lead</t>
        </is>
      </c>
      <c r="I2566" t="inlineStr">
        <is>
          <t>Open</t>
        </is>
      </c>
      <c r="M2566">
        <f>VLOOKUP(H2566,'Stage Order'!$A$2:$B$8,2,FALSE)</f>
        <v/>
      </c>
      <c r="N2566">
        <f>IF(G2566&lt;=1,"1. Under 1 hour",IF(G2566&lt;=24,"2. 1-24 hours",IF(G2566&lt;=72,"3. 1-3 days","4. Over 3 days")))</f>
        <v/>
      </c>
      <c r="O2566">
        <f>TEXT(B2566,"YYYY-MM")</f>
        <v/>
      </c>
    </row>
    <row r="2567">
      <c r="A2567" t="inlineStr">
        <is>
          <t>LD-302565</t>
        </is>
      </c>
      <c r="B2567" t="inlineStr">
        <is>
          <t>2025-06-05 20:22:00</t>
        </is>
      </c>
      <c r="C2567" t="inlineStr">
        <is>
          <t>Social Media</t>
        </is>
      </c>
      <c r="D2567" t="inlineStr">
        <is>
          <t>Study Abroad Prep</t>
        </is>
      </c>
      <c r="E2567" t="inlineStr">
        <is>
          <t>International</t>
        </is>
      </c>
      <c r="F2567" t="inlineStr">
        <is>
          <t>Rep_15</t>
        </is>
      </c>
      <c r="G2567" t="n">
        <v>6.84</v>
      </c>
      <c r="H2567" t="inlineStr">
        <is>
          <t>Lead</t>
        </is>
      </c>
      <c r="I2567" t="inlineStr">
        <is>
          <t>Open</t>
        </is>
      </c>
      <c r="M2567">
        <f>VLOOKUP(H2567,'Stage Order'!$A$2:$B$8,2,FALSE)</f>
        <v/>
      </c>
      <c r="N2567">
        <f>IF(G2567&lt;=1,"1. Under 1 hour",IF(G2567&lt;=24,"2. 1-24 hours",IF(G2567&lt;=72,"3. 1-3 days","4. Over 3 days")))</f>
        <v/>
      </c>
      <c r="O2567">
        <f>TEXT(B2567,"YYYY-MM")</f>
        <v/>
      </c>
    </row>
    <row r="2568">
      <c r="A2568" t="inlineStr">
        <is>
          <t>LD-302566</t>
        </is>
      </c>
      <c r="B2568" t="inlineStr">
        <is>
          <t>2026-04-07 17:16:00</t>
        </is>
      </c>
      <c r="C2568" t="inlineStr">
        <is>
          <t>Webinar</t>
        </is>
      </c>
      <c r="D2568" t="inlineStr">
        <is>
          <t>Study Abroad Prep</t>
        </is>
      </c>
      <c r="E2568" t="inlineStr">
        <is>
          <t>South Region</t>
        </is>
      </c>
      <c r="F2568" t="inlineStr">
        <is>
          <t>Rep_02</t>
        </is>
      </c>
      <c r="G2568" t="n">
        <v>3.18</v>
      </c>
      <c r="H2568" t="inlineStr">
        <is>
          <t>Contacted</t>
        </is>
      </c>
      <c r="I2568" t="inlineStr">
        <is>
          <t>Open</t>
        </is>
      </c>
      <c r="M2568">
        <f>VLOOKUP(H2568,'Stage Order'!$A$2:$B$8,2,FALSE)</f>
        <v/>
      </c>
      <c r="N2568">
        <f>IF(G2568&lt;=1,"1. Under 1 hour",IF(G2568&lt;=24,"2. 1-24 hours",IF(G2568&lt;=72,"3. 1-3 days","4. Over 3 days")))</f>
        <v/>
      </c>
      <c r="O2568">
        <f>TEXT(B2568,"YYYY-MM")</f>
        <v/>
      </c>
    </row>
    <row r="2569">
      <c r="A2569" t="inlineStr">
        <is>
          <t>LD-302567</t>
        </is>
      </c>
      <c r="B2569" t="inlineStr">
        <is>
          <t>2026-05-06 07:20:00</t>
        </is>
      </c>
      <c r="C2569" t="inlineStr">
        <is>
          <t>Cold Outreach</t>
        </is>
      </c>
      <c r="D2569" t="inlineStr">
        <is>
          <t>Study Abroad Prep</t>
        </is>
      </c>
      <c r="E2569" t="inlineStr">
        <is>
          <t>North Region</t>
        </is>
      </c>
      <c r="F2569" t="inlineStr">
        <is>
          <t>Rep_11</t>
        </is>
      </c>
      <c r="G2569" t="n">
        <v>4.94</v>
      </c>
      <c r="H2569" t="inlineStr">
        <is>
          <t>Lead</t>
        </is>
      </c>
      <c r="I2569" t="inlineStr">
        <is>
          <t>Open</t>
        </is>
      </c>
      <c r="M2569">
        <f>VLOOKUP(H2569,'Stage Order'!$A$2:$B$8,2,FALSE)</f>
        <v/>
      </c>
      <c r="N2569">
        <f>IF(G2569&lt;=1,"1. Under 1 hour",IF(G2569&lt;=24,"2. 1-24 hours",IF(G2569&lt;=72,"3. 1-3 days","4. Over 3 days")))</f>
        <v/>
      </c>
      <c r="O2569">
        <f>TEXT(B2569,"YYYY-MM")</f>
        <v/>
      </c>
    </row>
    <row r="2570">
      <c r="A2570" t="inlineStr">
        <is>
          <t>LD-302568</t>
        </is>
      </c>
      <c r="B2570" t="inlineStr">
        <is>
          <t>2025-04-04 15:18:00</t>
        </is>
      </c>
      <c r="C2570" t="inlineStr">
        <is>
          <t>Partner Channel</t>
        </is>
      </c>
      <c r="D2570" t="inlineStr">
        <is>
          <t>K-12 Math</t>
        </is>
      </c>
      <c r="E2570" t="inlineStr">
        <is>
          <t>International</t>
        </is>
      </c>
      <c r="F2570" t="inlineStr">
        <is>
          <t>Rep_15</t>
        </is>
      </c>
      <c r="G2570" t="n">
        <v>1.37</v>
      </c>
      <c r="H2570" t="inlineStr">
        <is>
          <t>Contacted</t>
        </is>
      </c>
      <c r="I2570" t="inlineStr">
        <is>
          <t>Open</t>
        </is>
      </c>
      <c r="M2570">
        <f>VLOOKUP(H2570,'Stage Order'!$A$2:$B$8,2,FALSE)</f>
        <v/>
      </c>
      <c r="N2570">
        <f>IF(G2570&lt;=1,"1. Under 1 hour",IF(G2570&lt;=24,"2. 1-24 hours",IF(G2570&lt;=72,"3. 1-3 days","4. Over 3 days")))</f>
        <v/>
      </c>
      <c r="O2570">
        <f>TEXT(B2570,"YYYY-MM")</f>
        <v/>
      </c>
    </row>
    <row r="2571">
      <c r="A2571" t="inlineStr">
        <is>
          <t>LD-302569</t>
        </is>
      </c>
      <c r="B2571" t="inlineStr">
        <is>
          <t>2025-06-13 16:33:00</t>
        </is>
      </c>
      <c r="C2571" t="inlineStr">
        <is>
          <t>Organic Search</t>
        </is>
      </c>
      <c r="D2571" t="inlineStr">
        <is>
          <t>Competitive Exam Prep</t>
        </is>
      </c>
      <c r="E2571" t="inlineStr">
        <is>
          <t>North Region</t>
        </is>
      </c>
      <c r="F2571" t="inlineStr">
        <is>
          <t>Rep_11</t>
        </is>
      </c>
      <c r="G2571" t="n">
        <v>0.99</v>
      </c>
      <c r="H2571" t="inlineStr">
        <is>
          <t>Negotiation</t>
        </is>
      </c>
      <c r="I2571" t="inlineStr">
        <is>
          <t>Lost</t>
        </is>
      </c>
      <c r="J2571" t="inlineStr">
        <is>
          <t>Bad Timing</t>
        </is>
      </c>
      <c r="K2571" t="n">
        <v>1027.9</v>
      </c>
      <c r="L2571" t="inlineStr">
        <is>
          <t>2025-07-26 13:43:17.465322</t>
        </is>
      </c>
      <c r="M2571">
        <f>VLOOKUP(H2571,'Stage Order'!$A$2:$B$8,2,FALSE)</f>
        <v/>
      </c>
      <c r="N2571">
        <f>IF(G2571&lt;=1,"1. Under 1 hour",IF(G2571&lt;=24,"2. 1-24 hours",IF(G2571&lt;=72,"3. 1-3 days","4. Over 3 days")))</f>
        <v/>
      </c>
      <c r="O2571">
        <f>TEXT(B2571,"YYYY-MM")</f>
        <v/>
      </c>
    </row>
    <row r="2572">
      <c r="A2572" t="inlineStr">
        <is>
          <t>LD-302570</t>
        </is>
      </c>
      <c r="B2572" t="inlineStr">
        <is>
          <t>2025-04-30 14:22:00</t>
        </is>
      </c>
      <c r="C2572" t="inlineStr">
        <is>
          <t>Organic Search</t>
        </is>
      </c>
      <c r="D2572" t="inlineStr">
        <is>
          <t>Competitive Exam Prep</t>
        </is>
      </c>
      <c r="E2572" t="inlineStr">
        <is>
          <t>South Region</t>
        </is>
      </c>
      <c r="F2572" t="inlineStr">
        <is>
          <t>Rep_07</t>
        </is>
      </c>
      <c r="G2572" t="n">
        <v>2.2</v>
      </c>
      <c r="H2572" t="inlineStr">
        <is>
          <t>Closed</t>
        </is>
      </c>
      <c r="I2572" t="inlineStr">
        <is>
          <t>Won</t>
        </is>
      </c>
      <c r="K2572" t="n">
        <v>1180.69</v>
      </c>
      <c r="L2572" t="inlineStr">
        <is>
          <t>2025-06-20 02:52:44.334887</t>
        </is>
      </c>
      <c r="M2572">
        <f>VLOOKUP(H2572,'Stage Order'!$A$2:$B$8,2,FALSE)</f>
        <v/>
      </c>
      <c r="N2572">
        <f>IF(G2572&lt;=1,"1. Under 1 hour",IF(G2572&lt;=24,"2. 1-24 hours",IF(G2572&lt;=72,"3. 1-3 days","4. Over 3 days")))</f>
        <v/>
      </c>
      <c r="O2572">
        <f>TEXT(B2572,"YYYY-MM")</f>
        <v/>
      </c>
    </row>
    <row r="2573">
      <c r="A2573" t="inlineStr">
        <is>
          <t>LD-302571</t>
        </is>
      </c>
      <c r="B2573" t="inlineStr">
        <is>
          <t>2025-08-14 09:36:00</t>
        </is>
      </c>
      <c r="C2573" t="inlineStr">
        <is>
          <t>Organic Search</t>
        </is>
      </c>
      <c r="D2573" t="inlineStr">
        <is>
          <t>Competitive Exam Prep</t>
        </is>
      </c>
      <c r="E2573" t="inlineStr">
        <is>
          <t>South Region</t>
        </is>
      </c>
      <c r="F2573" t="inlineStr">
        <is>
          <t>Rep_02</t>
        </is>
      </c>
      <c r="G2573" t="n">
        <v>29.55</v>
      </c>
      <c r="H2573" t="inlineStr">
        <is>
          <t>Contacted</t>
        </is>
      </c>
      <c r="I2573" t="inlineStr">
        <is>
          <t>Open</t>
        </is>
      </c>
      <c r="M2573">
        <f>VLOOKUP(H2573,'Stage Order'!$A$2:$B$8,2,FALSE)</f>
        <v/>
      </c>
      <c r="N2573">
        <f>IF(G2573&lt;=1,"1. Under 1 hour",IF(G2573&lt;=24,"2. 1-24 hours",IF(G2573&lt;=72,"3. 1-3 days","4. Over 3 days")))</f>
        <v/>
      </c>
      <c r="O2573">
        <f>TEXT(B2573,"YYYY-MM")</f>
        <v/>
      </c>
    </row>
    <row r="2574">
      <c r="A2574" t="inlineStr">
        <is>
          <t>LD-302572</t>
        </is>
      </c>
      <c r="B2574" t="inlineStr">
        <is>
          <t>2025-05-30 15:42:00</t>
        </is>
      </c>
      <c r="C2574" t="inlineStr">
        <is>
          <t>Paid Search</t>
        </is>
      </c>
      <c r="D2574" t="inlineStr">
        <is>
          <t>Language Learning</t>
        </is>
      </c>
      <c r="E2574" t="inlineStr">
        <is>
          <t>West Region</t>
        </is>
      </c>
      <c r="F2574" t="inlineStr">
        <is>
          <t>Rep_03</t>
        </is>
      </c>
      <c r="G2574" t="n">
        <v>9.539999999999999</v>
      </c>
      <c r="H2574" t="inlineStr">
        <is>
          <t>Contacted</t>
        </is>
      </c>
      <c r="I2574" t="inlineStr">
        <is>
          <t>Open</t>
        </is>
      </c>
      <c r="M2574">
        <f>VLOOKUP(H2574,'Stage Order'!$A$2:$B$8,2,FALSE)</f>
        <v/>
      </c>
      <c r="N2574">
        <f>IF(G2574&lt;=1,"1. Under 1 hour",IF(G2574&lt;=24,"2. 1-24 hours",IF(G2574&lt;=72,"3. 1-3 days","4. Over 3 days")))</f>
        <v/>
      </c>
      <c r="O2574">
        <f>TEXT(B2574,"YYYY-MM")</f>
        <v/>
      </c>
    </row>
    <row r="2575">
      <c r="A2575" t="inlineStr">
        <is>
          <t>LD-302573</t>
        </is>
      </c>
      <c r="B2575" t="inlineStr">
        <is>
          <t>2025-07-30 20:04:00</t>
        </is>
      </c>
      <c r="C2575" t="inlineStr">
        <is>
          <t>Webinar</t>
        </is>
      </c>
      <c r="D2575" t="inlineStr">
        <is>
          <t>Language Learning</t>
        </is>
      </c>
      <c r="E2575" t="inlineStr">
        <is>
          <t>South Region</t>
        </is>
      </c>
      <c r="F2575" t="inlineStr">
        <is>
          <t>Rep_07</t>
        </is>
      </c>
      <c r="G2575" t="n">
        <v>2.72</v>
      </c>
      <c r="H2575" t="inlineStr">
        <is>
          <t>Negotiation</t>
        </is>
      </c>
      <c r="I2575" t="inlineStr">
        <is>
          <t>Lost</t>
        </is>
      </c>
      <c r="J2575" t="inlineStr">
        <is>
          <t>No Response / Ghosted</t>
        </is>
      </c>
      <c r="K2575" t="n">
        <v>339.66</v>
      </c>
      <c r="L2575" t="inlineStr">
        <is>
          <t>2025-09-11 04:21:47.110597</t>
        </is>
      </c>
      <c r="M2575">
        <f>VLOOKUP(H2575,'Stage Order'!$A$2:$B$8,2,FALSE)</f>
        <v/>
      </c>
      <c r="N2575">
        <f>IF(G2575&lt;=1,"1. Under 1 hour",IF(G2575&lt;=24,"2. 1-24 hours",IF(G2575&lt;=72,"3. 1-3 days","4. Over 3 days")))</f>
        <v/>
      </c>
      <c r="O2575">
        <f>TEXT(B2575,"YYYY-MM")</f>
        <v/>
      </c>
    </row>
    <row r="2576">
      <c r="A2576" t="inlineStr">
        <is>
          <t>LD-302574</t>
        </is>
      </c>
      <c r="B2576" t="inlineStr">
        <is>
          <t>2025-06-14 17:08:00</t>
        </is>
      </c>
      <c r="C2576" t="inlineStr">
        <is>
          <t>Cold Outreach</t>
        </is>
      </c>
      <c r="D2576" t="inlineStr">
        <is>
          <t>K-12 Math</t>
        </is>
      </c>
      <c r="E2576" t="inlineStr">
        <is>
          <t>International</t>
        </is>
      </c>
      <c r="F2576" t="inlineStr">
        <is>
          <t>Rep_10</t>
        </is>
      </c>
      <c r="G2576" t="n">
        <v>1.63</v>
      </c>
      <c r="H2576" t="inlineStr">
        <is>
          <t>Lead</t>
        </is>
      </c>
      <c r="I2576" t="inlineStr">
        <is>
          <t>Open</t>
        </is>
      </c>
      <c r="M2576">
        <f>VLOOKUP(H2576,'Stage Order'!$A$2:$B$8,2,FALSE)</f>
        <v/>
      </c>
      <c r="N2576">
        <f>IF(G2576&lt;=1,"1. Under 1 hour",IF(G2576&lt;=24,"2. 1-24 hours",IF(G2576&lt;=72,"3. 1-3 days","4. Over 3 days")))</f>
        <v/>
      </c>
      <c r="O2576">
        <f>TEXT(B2576,"YYYY-MM")</f>
        <v/>
      </c>
    </row>
    <row r="2577">
      <c r="A2577" t="inlineStr">
        <is>
          <t>LD-302575</t>
        </is>
      </c>
      <c r="B2577" t="inlineStr">
        <is>
          <t>2025-08-19 13:00:00</t>
        </is>
      </c>
      <c r="C2577" t="inlineStr">
        <is>
          <t>Organic Search</t>
        </is>
      </c>
      <c r="D2577" t="inlineStr">
        <is>
          <t>K-12 Math</t>
        </is>
      </c>
      <c r="E2577" t="inlineStr">
        <is>
          <t>East Region</t>
        </is>
      </c>
      <c r="F2577" t="inlineStr">
        <is>
          <t>Rep_04</t>
        </is>
      </c>
      <c r="G2577" t="n">
        <v>3.66</v>
      </c>
      <c r="H2577" t="inlineStr">
        <is>
          <t>Contacted</t>
        </is>
      </c>
      <c r="I2577" t="inlineStr">
        <is>
          <t>Open</t>
        </is>
      </c>
      <c r="M2577">
        <f>VLOOKUP(H2577,'Stage Order'!$A$2:$B$8,2,FALSE)</f>
        <v/>
      </c>
      <c r="N2577">
        <f>IF(G2577&lt;=1,"1. Under 1 hour",IF(G2577&lt;=24,"2. 1-24 hours",IF(G2577&lt;=72,"3. 1-3 days","4. Over 3 days")))</f>
        <v/>
      </c>
      <c r="O2577">
        <f>TEXT(B2577,"YYYY-MM")</f>
        <v/>
      </c>
    </row>
    <row r="2578">
      <c r="A2578" t="inlineStr">
        <is>
          <t>LD-302576</t>
        </is>
      </c>
      <c r="B2578" t="inlineStr">
        <is>
          <t>2025-06-12 07:16:00</t>
        </is>
      </c>
      <c r="C2578" t="inlineStr">
        <is>
          <t>Organic Search</t>
        </is>
      </c>
      <c r="D2578" t="inlineStr">
        <is>
          <t>K-12 Math</t>
        </is>
      </c>
      <c r="E2578" t="inlineStr">
        <is>
          <t>South Region</t>
        </is>
      </c>
      <c r="F2578" t="inlineStr">
        <is>
          <t>Rep_02</t>
        </is>
      </c>
      <c r="G2578" t="n">
        <v>1.66</v>
      </c>
      <c r="H2578" t="inlineStr">
        <is>
          <t>Negotiation</t>
        </is>
      </c>
      <c r="I2578" t="inlineStr">
        <is>
          <t>Lost</t>
        </is>
      </c>
      <c r="J2578" t="inlineStr">
        <is>
          <t>No Response / Ghosted</t>
        </is>
      </c>
      <c r="K2578" t="n">
        <v>445.83</v>
      </c>
      <c r="L2578" t="inlineStr">
        <is>
          <t>2025-07-28 20:02:53.216835</t>
        </is>
      </c>
      <c r="M2578">
        <f>VLOOKUP(H2578,'Stage Order'!$A$2:$B$8,2,FALSE)</f>
        <v/>
      </c>
      <c r="N2578">
        <f>IF(G2578&lt;=1,"1. Under 1 hour",IF(G2578&lt;=24,"2. 1-24 hours",IF(G2578&lt;=72,"3. 1-3 days","4. Over 3 days")))</f>
        <v/>
      </c>
      <c r="O2578">
        <f>TEXT(B2578,"YYYY-MM")</f>
        <v/>
      </c>
    </row>
    <row r="2579">
      <c r="A2579" t="inlineStr">
        <is>
          <t>LD-302577</t>
        </is>
      </c>
      <c r="B2579" t="inlineStr">
        <is>
          <t>2025-03-03 19:39:00</t>
        </is>
      </c>
      <c r="C2579" t="inlineStr">
        <is>
          <t>Cold Outreach</t>
        </is>
      </c>
      <c r="D2579" t="inlineStr">
        <is>
          <t>Coding for Kids</t>
        </is>
      </c>
      <c r="E2579" t="inlineStr">
        <is>
          <t>North Region</t>
        </is>
      </c>
      <c r="F2579" t="inlineStr">
        <is>
          <t>Rep_01</t>
        </is>
      </c>
      <c r="G2579" t="n">
        <v>1.22</v>
      </c>
      <c r="H2579" t="inlineStr">
        <is>
          <t>Contacted</t>
        </is>
      </c>
      <c r="I2579" t="inlineStr">
        <is>
          <t>Open</t>
        </is>
      </c>
      <c r="M2579">
        <f>VLOOKUP(H2579,'Stage Order'!$A$2:$B$8,2,FALSE)</f>
        <v/>
      </c>
      <c r="N2579">
        <f>IF(G2579&lt;=1,"1. Under 1 hour",IF(G2579&lt;=24,"2. 1-24 hours",IF(G2579&lt;=72,"3. 1-3 days","4. Over 3 days")))</f>
        <v/>
      </c>
      <c r="O2579">
        <f>TEXT(B2579,"YYYY-MM")</f>
        <v/>
      </c>
    </row>
    <row r="2580">
      <c r="A2580" t="inlineStr">
        <is>
          <t>LD-302578</t>
        </is>
      </c>
      <c r="B2580" t="inlineStr">
        <is>
          <t>2025-01-26 16:41:00</t>
        </is>
      </c>
      <c r="C2580" t="inlineStr">
        <is>
          <t>Organic Search</t>
        </is>
      </c>
      <c r="D2580" t="inlineStr">
        <is>
          <t>Competitive Exam Prep</t>
        </is>
      </c>
      <c r="E2580" t="inlineStr">
        <is>
          <t>North Region</t>
        </is>
      </c>
      <c r="F2580" t="inlineStr">
        <is>
          <t>Rep_11</t>
        </is>
      </c>
      <c r="G2580" t="n">
        <v>2.33</v>
      </c>
      <c r="H2580" t="inlineStr">
        <is>
          <t>Demo Completed</t>
        </is>
      </c>
      <c r="I2580" t="inlineStr">
        <is>
          <t>Lost</t>
        </is>
      </c>
      <c r="J2580" t="inlineStr">
        <is>
          <t>Price Objection</t>
        </is>
      </c>
      <c r="K2580" t="n">
        <v>924.42</v>
      </c>
      <c r="L2580" t="inlineStr">
        <is>
          <t>2025-03-02 11:16:02.452903</t>
        </is>
      </c>
      <c r="M2580">
        <f>VLOOKUP(H2580,'Stage Order'!$A$2:$B$8,2,FALSE)</f>
        <v/>
      </c>
      <c r="N2580">
        <f>IF(G2580&lt;=1,"1. Under 1 hour",IF(G2580&lt;=24,"2. 1-24 hours",IF(G2580&lt;=72,"3. 1-3 days","4. Over 3 days")))</f>
        <v/>
      </c>
      <c r="O2580">
        <f>TEXT(B2580,"YYYY-MM")</f>
        <v/>
      </c>
    </row>
    <row r="2581">
      <c r="A2581" t="inlineStr">
        <is>
          <t>LD-302579</t>
        </is>
      </c>
      <c r="B2581" t="inlineStr">
        <is>
          <t>2025-09-08 12:16:00</t>
        </is>
      </c>
      <c r="C2581" t="inlineStr">
        <is>
          <t>Webinar</t>
        </is>
      </c>
      <c r="D2581" t="inlineStr">
        <is>
          <t>K-12 Math</t>
        </is>
      </c>
      <c r="E2581" t="inlineStr">
        <is>
          <t>West Region</t>
        </is>
      </c>
      <c r="F2581" t="inlineStr">
        <is>
          <t>Rep_03</t>
        </is>
      </c>
      <c r="G2581" t="n">
        <v>12.7</v>
      </c>
      <c r="H2581" t="inlineStr">
        <is>
          <t>Contacted</t>
        </is>
      </c>
      <c r="I2581" t="inlineStr">
        <is>
          <t>Open</t>
        </is>
      </c>
      <c r="M2581">
        <f>VLOOKUP(H2581,'Stage Order'!$A$2:$B$8,2,FALSE)</f>
        <v/>
      </c>
      <c r="N2581">
        <f>IF(G2581&lt;=1,"1. Under 1 hour",IF(G2581&lt;=24,"2. 1-24 hours",IF(G2581&lt;=72,"3. 1-3 days","4. Over 3 days")))</f>
        <v/>
      </c>
      <c r="O2581">
        <f>TEXT(B2581,"YYYY-MM")</f>
        <v/>
      </c>
    </row>
    <row r="2582">
      <c r="A2582" t="inlineStr">
        <is>
          <t>LD-302580</t>
        </is>
      </c>
      <c r="B2582" t="inlineStr">
        <is>
          <t>2026-02-05 15:26:00</t>
        </is>
      </c>
      <c r="C2582" t="inlineStr">
        <is>
          <t>Cold Outreach</t>
        </is>
      </c>
      <c r="D2582" t="inlineStr">
        <is>
          <t>Language Learning</t>
        </is>
      </c>
      <c r="E2582" t="inlineStr">
        <is>
          <t>East Region</t>
        </is>
      </c>
      <c r="F2582" t="inlineStr">
        <is>
          <t>Rep_09</t>
        </is>
      </c>
      <c r="G2582" t="n">
        <v>1.72</v>
      </c>
      <c r="H2582" t="inlineStr">
        <is>
          <t>Lead</t>
        </is>
      </c>
      <c r="I2582" t="inlineStr">
        <is>
          <t>Open</t>
        </is>
      </c>
      <c r="M2582">
        <f>VLOOKUP(H2582,'Stage Order'!$A$2:$B$8,2,FALSE)</f>
        <v/>
      </c>
      <c r="N2582">
        <f>IF(G2582&lt;=1,"1. Under 1 hour",IF(G2582&lt;=24,"2. 1-24 hours",IF(G2582&lt;=72,"3. 1-3 days","4. Over 3 days")))</f>
        <v/>
      </c>
      <c r="O2582">
        <f>TEXT(B2582,"YYYY-MM")</f>
        <v/>
      </c>
    </row>
    <row r="2583">
      <c r="A2583" t="inlineStr">
        <is>
          <t>LD-302581</t>
        </is>
      </c>
      <c r="B2583" t="inlineStr">
        <is>
          <t>2026-05-06 20:47:00</t>
        </is>
      </c>
      <c r="C2583" t="inlineStr">
        <is>
          <t>Organic Search</t>
        </is>
      </c>
      <c r="D2583" t="inlineStr">
        <is>
          <t>Competitive Exam Prep</t>
        </is>
      </c>
      <c r="E2583" t="inlineStr">
        <is>
          <t>International</t>
        </is>
      </c>
      <c r="F2583" t="inlineStr">
        <is>
          <t>Rep_05</t>
        </is>
      </c>
      <c r="G2583" t="n">
        <v>2.58</v>
      </c>
      <c r="H2583" t="inlineStr">
        <is>
          <t>Proposal Sent</t>
        </is>
      </c>
      <c r="I2583" t="inlineStr">
        <is>
          <t>Lost</t>
        </is>
      </c>
      <c r="J2583" t="inlineStr">
        <is>
          <t>No Response / Ghosted</t>
        </is>
      </c>
      <c r="K2583" t="n">
        <v>1065.5</v>
      </c>
      <c r="L2583" t="inlineStr">
        <is>
          <t>2026-06-15 15:37:32.170646</t>
        </is>
      </c>
      <c r="M2583">
        <f>VLOOKUP(H2583,'Stage Order'!$A$2:$B$8,2,FALSE)</f>
        <v/>
      </c>
      <c r="N2583">
        <f>IF(G2583&lt;=1,"1. Under 1 hour",IF(G2583&lt;=24,"2. 1-24 hours",IF(G2583&lt;=72,"3. 1-3 days","4. Over 3 days")))</f>
        <v/>
      </c>
      <c r="O2583">
        <f>TEXT(B2583,"YYYY-MM")</f>
        <v/>
      </c>
    </row>
    <row r="2584">
      <c r="A2584" t="inlineStr">
        <is>
          <t>LD-302582</t>
        </is>
      </c>
      <c r="B2584" t="inlineStr">
        <is>
          <t>2025-04-10 12:44:00</t>
        </is>
      </c>
      <c r="C2584" t="inlineStr">
        <is>
          <t>Referral</t>
        </is>
      </c>
      <c r="D2584" t="inlineStr">
        <is>
          <t>Competitive Exam Prep</t>
        </is>
      </c>
      <c r="E2584" t="inlineStr">
        <is>
          <t>West Region</t>
        </is>
      </c>
      <c r="F2584" t="inlineStr">
        <is>
          <t>Rep_03</t>
        </is>
      </c>
      <c r="G2584" t="n">
        <v>1.31</v>
      </c>
      <c r="H2584" t="inlineStr">
        <is>
          <t>Negotiation</t>
        </is>
      </c>
      <c r="I2584" t="inlineStr">
        <is>
          <t>Lost</t>
        </is>
      </c>
      <c r="J2584" t="inlineStr">
        <is>
          <t>No Response / Ghosted</t>
        </is>
      </c>
      <c r="K2584" t="n">
        <v>946.96</v>
      </c>
      <c r="L2584" t="inlineStr">
        <is>
          <t>2025-05-28 01:30:01.484067</t>
        </is>
      </c>
      <c r="M2584">
        <f>VLOOKUP(H2584,'Stage Order'!$A$2:$B$8,2,FALSE)</f>
        <v/>
      </c>
      <c r="N2584">
        <f>IF(G2584&lt;=1,"1. Under 1 hour",IF(G2584&lt;=24,"2. 1-24 hours",IF(G2584&lt;=72,"3. 1-3 days","4. Over 3 days")))</f>
        <v/>
      </c>
      <c r="O2584">
        <f>TEXT(B2584,"YYYY-MM")</f>
        <v/>
      </c>
    </row>
    <row r="2585">
      <c r="A2585" t="inlineStr">
        <is>
          <t>LD-302583</t>
        </is>
      </c>
      <c r="B2585" t="inlineStr">
        <is>
          <t>2025-03-08 08:53:00</t>
        </is>
      </c>
      <c r="C2585" t="inlineStr">
        <is>
          <t>Paid Search</t>
        </is>
      </c>
      <c r="D2585" t="inlineStr">
        <is>
          <t>Coding for Kids</t>
        </is>
      </c>
      <c r="E2585" t="inlineStr">
        <is>
          <t>International</t>
        </is>
      </c>
      <c r="F2585" t="inlineStr">
        <is>
          <t>Rep_15</t>
        </is>
      </c>
      <c r="G2585" t="n">
        <v>7.94</v>
      </c>
      <c r="H2585" t="inlineStr">
        <is>
          <t>Lead</t>
        </is>
      </c>
      <c r="I2585" t="inlineStr">
        <is>
          <t>Open</t>
        </is>
      </c>
      <c r="M2585">
        <f>VLOOKUP(H2585,'Stage Order'!$A$2:$B$8,2,FALSE)</f>
        <v/>
      </c>
      <c r="N2585">
        <f>IF(G2585&lt;=1,"1. Under 1 hour",IF(G2585&lt;=24,"2. 1-24 hours",IF(G2585&lt;=72,"3. 1-3 days","4. Over 3 days")))</f>
        <v/>
      </c>
      <c r="O2585">
        <f>TEXT(B2585,"YYYY-MM")</f>
        <v/>
      </c>
    </row>
    <row r="2586">
      <c r="A2586" t="inlineStr">
        <is>
          <t>LD-302584</t>
        </is>
      </c>
      <c r="B2586" t="inlineStr">
        <is>
          <t>2025-01-03 20:21:00</t>
        </is>
      </c>
      <c r="C2586" t="inlineStr">
        <is>
          <t>Paid Search</t>
        </is>
      </c>
      <c r="D2586" t="inlineStr">
        <is>
          <t>K-12 Math</t>
        </is>
      </c>
      <c r="E2586" t="inlineStr">
        <is>
          <t>North Region</t>
        </is>
      </c>
      <c r="F2586" t="inlineStr">
        <is>
          <t>Rep_01</t>
        </is>
      </c>
      <c r="G2586" t="n">
        <v>6.06</v>
      </c>
      <c r="H2586" t="inlineStr">
        <is>
          <t>Contacted</t>
        </is>
      </c>
      <c r="I2586" t="inlineStr">
        <is>
          <t>Open</t>
        </is>
      </c>
      <c r="M2586">
        <f>VLOOKUP(H2586,'Stage Order'!$A$2:$B$8,2,FALSE)</f>
        <v/>
      </c>
      <c r="N2586">
        <f>IF(G2586&lt;=1,"1. Under 1 hour",IF(G2586&lt;=24,"2. 1-24 hours",IF(G2586&lt;=72,"3. 1-3 days","4. Over 3 days")))</f>
        <v/>
      </c>
      <c r="O2586">
        <f>TEXT(B2586,"YYYY-MM")</f>
        <v/>
      </c>
    </row>
    <row r="2587">
      <c r="A2587" t="inlineStr">
        <is>
          <t>LD-302585</t>
        </is>
      </c>
      <c r="B2587" t="inlineStr">
        <is>
          <t>2025-07-11 18:24:00</t>
        </is>
      </c>
      <c r="C2587" t="inlineStr">
        <is>
          <t>Social Media</t>
        </is>
      </c>
      <c r="D2587" t="inlineStr">
        <is>
          <t>Competitive Exam Prep</t>
        </is>
      </c>
      <c r="E2587" t="inlineStr">
        <is>
          <t>North Region</t>
        </is>
      </c>
      <c r="F2587" t="inlineStr">
        <is>
          <t>Rep_01</t>
        </is>
      </c>
      <c r="G2587" t="n">
        <v>1.5</v>
      </c>
      <c r="H2587" t="inlineStr">
        <is>
          <t>Contacted</t>
        </is>
      </c>
      <c r="I2587" t="inlineStr">
        <is>
          <t>Open</t>
        </is>
      </c>
      <c r="M2587">
        <f>VLOOKUP(H2587,'Stage Order'!$A$2:$B$8,2,FALSE)</f>
        <v/>
      </c>
      <c r="N2587">
        <f>IF(G2587&lt;=1,"1. Under 1 hour",IF(G2587&lt;=24,"2. 1-24 hours",IF(G2587&lt;=72,"3. 1-3 days","4. Over 3 days")))</f>
        <v/>
      </c>
      <c r="O2587">
        <f>TEXT(B2587,"YYYY-MM")</f>
        <v/>
      </c>
    </row>
    <row r="2588">
      <c r="A2588" t="inlineStr">
        <is>
          <t>LD-302586</t>
        </is>
      </c>
      <c r="B2588" t="inlineStr">
        <is>
          <t>2025-12-24 16:26:00</t>
        </is>
      </c>
      <c r="C2588" t="inlineStr">
        <is>
          <t>Referral</t>
        </is>
      </c>
      <c r="D2588" t="inlineStr">
        <is>
          <t>Study Abroad Prep</t>
        </is>
      </c>
      <c r="E2588" t="inlineStr">
        <is>
          <t>International</t>
        </is>
      </c>
      <c r="F2588" t="inlineStr">
        <is>
          <t>Rep_10</t>
        </is>
      </c>
      <c r="G2588" t="n">
        <v>3.38</v>
      </c>
      <c r="H2588" t="inlineStr">
        <is>
          <t>Contacted</t>
        </is>
      </c>
      <c r="I2588" t="inlineStr">
        <is>
          <t>Open</t>
        </is>
      </c>
      <c r="M2588">
        <f>VLOOKUP(H2588,'Stage Order'!$A$2:$B$8,2,FALSE)</f>
        <v/>
      </c>
      <c r="N2588">
        <f>IF(G2588&lt;=1,"1. Under 1 hour",IF(G2588&lt;=24,"2. 1-24 hours",IF(G2588&lt;=72,"3. 1-3 days","4. Over 3 days")))</f>
        <v/>
      </c>
      <c r="O2588">
        <f>TEXT(B2588,"YYYY-MM")</f>
        <v/>
      </c>
    </row>
    <row r="2589">
      <c r="A2589" t="inlineStr">
        <is>
          <t>LD-302587</t>
        </is>
      </c>
      <c r="B2589" t="inlineStr">
        <is>
          <t>2025-05-08 19:10:00</t>
        </is>
      </c>
      <c r="C2589" t="inlineStr">
        <is>
          <t>Organic Search</t>
        </is>
      </c>
      <c r="D2589" t="inlineStr">
        <is>
          <t>Competitive Exam Prep</t>
        </is>
      </c>
      <c r="E2589" t="inlineStr">
        <is>
          <t>South Region</t>
        </is>
      </c>
      <c r="F2589" t="inlineStr">
        <is>
          <t>Rep_02</t>
        </is>
      </c>
      <c r="G2589" t="n">
        <v>5.15</v>
      </c>
      <c r="H2589" t="inlineStr">
        <is>
          <t>Contacted</t>
        </is>
      </c>
      <c r="I2589" t="inlineStr">
        <is>
          <t>Open</t>
        </is>
      </c>
      <c r="M2589">
        <f>VLOOKUP(H2589,'Stage Order'!$A$2:$B$8,2,FALSE)</f>
        <v/>
      </c>
      <c r="N2589">
        <f>IF(G2589&lt;=1,"1. Under 1 hour",IF(G2589&lt;=24,"2. 1-24 hours",IF(G2589&lt;=72,"3. 1-3 days","4. Over 3 days")))</f>
        <v/>
      </c>
      <c r="O2589">
        <f>TEXT(B2589,"YYYY-MM")</f>
        <v/>
      </c>
    </row>
    <row r="2590">
      <c r="A2590" t="inlineStr">
        <is>
          <t>LD-302588</t>
        </is>
      </c>
      <c r="B2590" t="inlineStr">
        <is>
          <t>2026-06-22 16:30:00</t>
        </is>
      </c>
      <c r="C2590" t="inlineStr">
        <is>
          <t>Paid Search</t>
        </is>
      </c>
      <c r="D2590" t="inlineStr">
        <is>
          <t>Competitive Exam Prep</t>
        </is>
      </c>
      <c r="E2590" t="inlineStr">
        <is>
          <t>South Region</t>
        </is>
      </c>
      <c r="F2590" t="inlineStr">
        <is>
          <t>Rep_02</t>
        </is>
      </c>
      <c r="G2590" t="n">
        <v>4.05</v>
      </c>
      <c r="H2590" t="inlineStr">
        <is>
          <t>Demo Completed</t>
        </is>
      </c>
      <c r="I2590" t="inlineStr">
        <is>
          <t>Lost</t>
        </is>
      </c>
      <c r="J2590" t="inlineStr">
        <is>
          <t>Bad Timing</t>
        </is>
      </c>
      <c r="K2590" t="n">
        <v>990.85</v>
      </c>
      <c r="L2590" t="inlineStr">
        <is>
          <t>2026-07-14 13:04:52.940273</t>
        </is>
      </c>
      <c r="M2590">
        <f>VLOOKUP(H2590,'Stage Order'!$A$2:$B$8,2,FALSE)</f>
        <v/>
      </c>
      <c r="N2590">
        <f>IF(G2590&lt;=1,"1. Under 1 hour",IF(G2590&lt;=24,"2. 1-24 hours",IF(G2590&lt;=72,"3. 1-3 days","4. Over 3 days")))</f>
        <v/>
      </c>
      <c r="O2590">
        <f>TEXT(B2590,"YYYY-MM")</f>
        <v/>
      </c>
    </row>
    <row r="2591">
      <c r="A2591" t="inlineStr">
        <is>
          <t>LD-302589</t>
        </is>
      </c>
      <c r="B2591" t="inlineStr">
        <is>
          <t>2026-04-13 11:32:00</t>
        </is>
      </c>
      <c r="C2591" t="inlineStr">
        <is>
          <t>Social Media</t>
        </is>
      </c>
      <c r="D2591" t="inlineStr">
        <is>
          <t>Study Abroad Prep</t>
        </is>
      </c>
      <c r="E2591" t="inlineStr">
        <is>
          <t>East Region</t>
        </is>
      </c>
      <c r="F2591" t="inlineStr">
        <is>
          <t>Rep_09</t>
        </is>
      </c>
      <c r="G2591" t="n">
        <v>45.53</v>
      </c>
      <c r="H2591" t="inlineStr">
        <is>
          <t>Lead</t>
        </is>
      </c>
      <c r="I2591" t="inlineStr">
        <is>
          <t>Open</t>
        </is>
      </c>
      <c r="M2591">
        <f>VLOOKUP(H2591,'Stage Order'!$A$2:$B$8,2,FALSE)</f>
        <v/>
      </c>
      <c r="N2591">
        <f>IF(G2591&lt;=1,"1. Under 1 hour",IF(G2591&lt;=24,"2. 1-24 hours",IF(G2591&lt;=72,"3. 1-3 days","4. Over 3 days")))</f>
        <v/>
      </c>
      <c r="O2591">
        <f>TEXT(B2591,"YYYY-MM")</f>
        <v/>
      </c>
    </row>
    <row r="2592">
      <c r="A2592" t="inlineStr">
        <is>
          <t>LD-302590</t>
        </is>
      </c>
      <c r="B2592" t="inlineStr">
        <is>
          <t>2025-05-02 09:11:00</t>
        </is>
      </c>
      <c r="C2592" t="inlineStr">
        <is>
          <t>Organic Search</t>
        </is>
      </c>
      <c r="D2592" t="inlineStr">
        <is>
          <t>Language Learning</t>
        </is>
      </c>
      <c r="E2592" t="inlineStr">
        <is>
          <t>West Region</t>
        </is>
      </c>
      <c r="F2592" t="inlineStr">
        <is>
          <t>Rep_13</t>
        </is>
      </c>
      <c r="G2592" t="n">
        <v>11.36</v>
      </c>
      <c r="H2592" t="inlineStr">
        <is>
          <t>Proposal Sent</t>
        </is>
      </c>
      <c r="I2592" t="inlineStr">
        <is>
          <t>Lost</t>
        </is>
      </c>
      <c r="J2592" t="inlineStr">
        <is>
          <t>No Response / Ghosted</t>
        </is>
      </c>
      <c r="K2592" t="n">
        <v>346.97</v>
      </c>
      <c r="L2592" t="inlineStr">
        <is>
          <t>2025-05-31 20:59:08.766569</t>
        </is>
      </c>
      <c r="M2592">
        <f>VLOOKUP(H2592,'Stage Order'!$A$2:$B$8,2,FALSE)</f>
        <v/>
      </c>
      <c r="N2592">
        <f>IF(G2592&lt;=1,"1. Under 1 hour",IF(G2592&lt;=24,"2. 1-24 hours",IF(G2592&lt;=72,"3. 1-3 days","4. Over 3 days")))</f>
        <v/>
      </c>
      <c r="O2592">
        <f>TEXT(B2592,"YYYY-MM")</f>
        <v/>
      </c>
    </row>
    <row r="2593">
      <c r="A2593" t="inlineStr">
        <is>
          <t>LD-302591</t>
        </is>
      </c>
      <c r="B2593" t="inlineStr">
        <is>
          <t>2026-03-12 13:56:00</t>
        </is>
      </c>
      <c r="C2593" t="inlineStr">
        <is>
          <t>Paid Search</t>
        </is>
      </c>
      <c r="D2593" t="inlineStr">
        <is>
          <t>Coding for Kids</t>
        </is>
      </c>
      <c r="E2593" t="inlineStr">
        <is>
          <t>West Region</t>
        </is>
      </c>
      <c r="F2593" t="inlineStr">
        <is>
          <t>Rep_08</t>
        </is>
      </c>
      <c r="G2593" t="n">
        <v>3.93</v>
      </c>
      <c r="H2593" t="inlineStr">
        <is>
          <t>Closed</t>
        </is>
      </c>
      <c r="I2593" t="inlineStr">
        <is>
          <t>Won</t>
        </is>
      </c>
      <c r="K2593" t="n">
        <v>597.95</v>
      </c>
      <c r="L2593" t="inlineStr">
        <is>
          <t>2026-04-16 12:47:12.963385</t>
        </is>
      </c>
      <c r="M2593">
        <f>VLOOKUP(H2593,'Stage Order'!$A$2:$B$8,2,FALSE)</f>
        <v/>
      </c>
      <c r="N2593">
        <f>IF(G2593&lt;=1,"1. Under 1 hour",IF(G2593&lt;=24,"2. 1-24 hours",IF(G2593&lt;=72,"3. 1-3 days","4. Over 3 days")))</f>
        <v/>
      </c>
      <c r="O2593">
        <f>TEXT(B2593,"YYYY-MM")</f>
        <v/>
      </c>
    </row>
    <row r="2594">
      <c r="A2594" t="inlineStr">
        <is>
          <t>LD-302592</t>
        </is>
      </c>
      <c r="B2594" t="inlineStr">
        <is>
          <t>2025-06-12 14:31:00</t>
        </is>
      </c>
      <c r="C2594" t="inlineStr">
        <is>
          <t>Paid Search</t>
        </is>
      </c>
      <c r="D2594" t="inlineStr">
        <is>
          <t>Language Learning</t>
        </is>
      </c>
      <c r="E2594" t="inlineStr">
        <is>
          <t>East Region</t>
        </is>
      </c>
      <c r="F2594" t="inlineStr">
        <is>
          <t>Rep_04</t>
        </is>
      </c>
      <c r="G2594" t="n">
        <v>12.37</v>
      </c>
      <c r="H2594" t="inlineStr">
        <is>
          <t>Demo Scheduled</t>
        </is>
      </c>
      <c r="I2594" t="inlineStr">
        <is>
          <t>Open</t>
        </is>
      </c>
      <c r="M2594">
        <f>VLOOKUP(H2594,'Stage Order'!$A$2:$B$8,2,FALSE)</f>
        <v/>
      </c>
      <c r="N2594">
        <f>IF(G2594&lt;=1,"1. Under 1 hour",IF(G2594&lt;=24,"2. 1-24 hours",IF(G2594&lt;=72,"3. 1-3 days","4. Over 3 days")))</f>
        <v/>
      </c>
      <c r="O2594">
        <f>TEXT(B2594,"YYYY-MM")</f>
        <v/>
      </c>
    </row>
    <row r="2595">
      <c r="A2595" t="inlineStr">
        <is>
          <t>LD-302593</t>
        </is>
      </c>
      <c r="B2595" t="inlineStr">
        <is>
          <t>2025-07-25 12:25:00</t>
        </is>
      </c>
      <c r="C2595" t="inlineStr">
        <is>
          <t>Paid Search</t>
        </is>
      </c>
      <c r="D2595" t="inlineStr">
        <is>
          <t>Competitive Exam Prep</t>
        </is>
      </c>
      <c r="E2595" t="inlineStr">
        <is>
          <t>South Region</t>
        </is>
      </c>
      <c r="F2595" t="inlineStr">
        <is>
          <t>Rep_07</t>
        </is>
      </c>
      <c r="G2595" t="n">
        <v>7.54</v>
      </c>
      <c r="H2595" t="inlineStr">
        <is>
          <t>Closed</t>
        </is>
      </c>
      <c r="I2595" t="inlineStr">
        <is>
          <t>Won</t>
        </is>
      </c>
      <c r="K2595" t="n">
        <v>890.67</v>
      </c>
      <c r="L2595" t="inlineStr">
        <is>
          <t>2025-09-10 02:45:02.344595</t>
        </is>
      </c>
      <c r="M2595">
        <f>VLOOKUP(H2595,'Stage Order'!$A$2:$B$8,2,FALSE)</f>
        <v/>
      </c>
      <c r="N2595">
        <f>IF(G2595&lt;=1,"1. Under 1 hour",IF(G2595&lt;=24,"2. 1-24 hours",IF(G2595&lt;=72,"3. 1-3 days","4. Over 3 days")))</f>
        <v/>
      </c>
      <c r="O2595">
        <f>TEXT(B2595,"YYYY-MM")</f>
        <v/>
      </c>
    </row>
    <row r="2596">
      <c r="A2596" t="inlineStr">
        <is>
          <t>LD-302594</t>
        </is>
      </c>
      <c r="B2596" t="inlineStr">
        <is>
          <t>2025-07-28 14:41:00</t>
        </is>
      </c>
      <c r="C2596" t="inlineStr">
        <is>
          <t>Referral</t>
        </is>
      </c>
      <c r="D2596" t="inlineStr">
        <is>
          <t>Competitive Exam Prep</t>
        </is>
      </c>
      <c r="E2596" t="inlineStr">
        <is>
          <t>North Region</t>
        </is>
      </c>
      <c r="F2596" t="inlineStr">
        <is>
          <t>Rep_06</t>
        </is>
      </c>
      <c r="G2596" t="n">
        <v>0.95</v>
      </c>
      <c r="H2596" t="inlineStr">
        <is>
          <t>Contacted</t>
        </is>
      </c>
      <c r="I2596" t="inlineStr">
        <is>
          <t>Open</t>
        </is>
      </c>
      <c r="M2596">
        <f>VLOOKUP(H2596,'Stage Order'!$A$2:$B$8,2,FALSE)</f>
        <v/>
      </c>
      <c r="N2596">
        <f>IF(G2596&lt;=1,"1. Under 1 hour",IF(G2596&lt;=24,"2. 1-24 hours",IF(G2596&lt;=72,"3. 1-3 days","4. Over 3 days")))</f>
        <v/>
      </c>
      <c r="O2596">
        <f>TEXT(B2596,"YYYY-MM")</f>
        <v/>
      </c>
    </row>
    <row r="2597">
      <c r="A2597" t="inlineStr">
        <is>
          <t>LD-302595</t>
        </is>
      </c>
      <c r="B2597" t="inlineStr">
        <is>
          <t>2025-02-18 08:00:00</t>
        </is>
      </c>
      <c r="C2597" t="inlineStr">
        <is>
          <t>Referral</t>
        </is>
      </c>
      <c r="D2597" t="inlineStr">
        <is>
          <t>K-12 Math</t>
        </is>
      </c>
      <c r="E2597" t="inlineStr">
        <is>
          <t>South Region</t>
        </is>
      </c>
      <c r="F2597" t="inlineStr">
        <is>
          <t>Rep_12</t>
        </is>
      </c>
      <c r="G2597" t="n">
        <v>3.45</v>
      </c>
      <c r="H2597" t="inlineStr">
        <is>
          <t>Negotiation</t>
        </is>
      </c>
      <c r="I2597" t="inlineStr">
        <is>
          <t>Lost</t>
        </is>
      </c>
      <c r="J2597" t="inlineStr">
        <is>
          <t>Price Objection</t>
        </is>
      </c>
      <c r="K2597" t="n">
        <v>569.49</v>
      </c>
      <c r="L2597" t="inlineStr">
        <is>
          <t>2025-03-14 16:31:03.546704</t>
        </is>
      </c>
      <c r="M2597">
        <f>VLOOKUP(H2597,'Stage Order'!$A$2:$B$8,2,FALSE)</f>
        <v/>
      </c>
      <c r="N2597">
        <f>IF(G2597&lt;=1,"1. Under 1 hour",IF(G2597&lt;=24,"2. 1-24 hours",IF(G2597&lt;=72,"3. 1-3 days","4. Over 3 days")))</f>
        <v/>
      </c>
      <c r="O2597">
        <f>TEXT(B2597,"YYYY-MM")</f>
        <v/>
      </c>
    </row>
    <row r="2598">
      <c r="A2598" t="inlineStr">
        <is>
          <t>LD-302596</t>
        </is>
      </c>
      <c r="B2598" t="inlineStr">
        <is>
          <t>2026-03-04 19:31:00</t>
        </is>
      </c>
      <c r="C2598" t="inlineStr">
        <is>
          <t>Webinar</t>
        </is>
      </c>
      <c r="D2598" t="inlineStr">
        <is>
          <t>Language Learning</t>
        </is>
      </c>
      <c r="E2598" t="inlineStr">
        <is>
          <t>North Region</t>
        </is>
      </c>
      <c r="F2598" t="inlineStr">
        <is>
          <t>Rep_01</t>
        </is>
      </c>
      <c r="G2598" t="n">
        <v>18.98</v>
      </c>
      <c r="H2598" t="inlineStr">
        <is>
          <t>Contacted</t>
        </is>
      </c>
      <c r="I2598" t="inlineStr">
        <is>
          <t>Open</t>
        </is>
      </c>
      <c r="M2598">
        <f>VLOOKUP(H2598,'Stage Order'!$A$2:$B$8,2,FALSE)</f>
        <v/>
      </c>
      <c r="N2598">
        <f>IF(G2598&lt;=1,"1. Under 1 hour",IF(G2598&lt;=24,"2. 1-24 hours",IF(G2598&lt;=72,"3. 1-3 days","4. Over 3 days")))</f>
        <v/>
      </c>
      <c r="O2598">
        <f>TEXT(B2598,"YYYY-MM")</f>
        <v/>
      </c>
    </row>
    <row r="2599">
      <c r="A2599" t="inlineStr">
        <is>
          <t>LD-302597</t>
        </is>
      </c>
      <c r="B2599" t="inlineStr">
        <is>
          <t>2025-01-10 07:04:00</t>
        </is>
      </c>
      <c r="C2599" t="inlineStr">
        <is>
          <t>Paid Search</t>
        </is>
      </c>
      <c r="D2599" t="inlineStr">
        <is>
          <t>K-12 Math</t>
        </is>
      </c>
      <c r="E2599" t="inlineStr">
        <is>
          <t>West Region</t>
        </is>
      </c>
      <c r="F2599" t="inlineStr">
        <is>
          <t>Rep_03</t>
        </is>
      </c>
      <c r="G2599" t="n">
        <v>1.95</v>
      </c>
      <c r="H2599" t="inlineStr">
        <is>
          <t>Contacted</t>
        </is>
      </c>
      <c r="I2599" t="inlineStr">
        <is>
          <t>Open</t>
        </is>
      </c>
      <c r="M2599">
        <f>VLOOKUP(H2599,'Stage Order'!$A$2:$B$8,2,FALSE)</f>
        <v/>
      </c>
      <c r="N2599">
        <f>IF(G2599&lt;=1,"1. Under 1 hour",IF(G2599&lt;=24,"2. 1-24 hours",IF(G2599&lt;=72,"3. 1-3 days","4. Over 3 days")))</f>
        <v/>
      </c>
      <c r="O2599">
        <f>TEXT(B2599,"YYYY-MM")</f>
        <v/>
      </c>
    </row>
    <row r="2600">
      <c r="A2600" t="inlineStr">
        <is>
          <t>LD-302598</t>
        </is>
      </c>
      <c r="B2600" t="inlineStr">
        <is>
          <t>2026-01-28 19:41:00</t>
        </is>
      </c>
      <c r="C2600" t="inlineStr">
        <is>
          <t>Organic Search</t>
        </is>
      </c>
      <c r="D2600" t="inlineStr">
        <is>
          <t>Coding for Kids</t>
        </is>
      </c>
      <c r="E2600" t="inlineStr">
        <is>
          <t>East Region</t>
        </is>
      </c>
      <c r="F2600" t="inlineStr">
        <is>
          <t>Rep_04</t>
        </is>
      </c>
      <c r="G2600" t="n">
        <v>5.81</v>
      </c>
      <c r="H2600" t="inlineStr">
        <is>
          <t>Lead</t>
        </is>
      </c>
      <c r="I2600" t="inlineStr">
        <is>
          <t>Open</t>
        </is>
      </c>
      <c r="M2600">
        <f>VLOOKUP(H2600,'Stage Order'!$A$2:$B$8,2,FALSE)</f>
        <v/>
      </c>
      <c r="N2600">
        <f>IF(G2600&lt;=1,"1. Under 1 hour",IF(G2600&lt;=24,"2. 1-24 hours",IF(G2600&lt;=72,"3. 1-3 days","4. Over 3 days")))</f>
        <v/>
      </c>
      <c r="O2600">
        <f>TEXT(B2600,"YYYY-MM")</f>
        <v/>
      </c>
    </row>
    <row r="2601">
      <c r="A2601" t="inlineStr">
        <is>
          <t>LD-302599</t>
        </is>
      </c>
      <c r="B2601" t="inlineStr">
        <is>
          <t>2026-03-01 12:48:00</t>
        </is>
      </c>
      <c r="C2601" t="inlineStr">
        <is>
          <t>Referral</t>
        </is>
      </c>
      <c r="D2601" t="inlineStr">
        <is>
          <t>Competitive Exam Prep</t>
        </is>
      </c>
      <c r="E2601" t="inlineStr">
        <is>
          <t>International</t>
        </is>
      </c>
      <c r="F2601" t="inlineStr">
        <is>
          <t>Rep_10</t>
        </is>
      </c>
      <c r="G2601" t="n">
        <v>1.66</v>
      </c>
      <c r="H2601" t="inlineStr">
        <is>
          <t>Contacted</t>
        </is>
      </c>
      <c r="I2601" t="inlineStr">
        <is>
          <t>Open</t>
        </is>
      </c>
      <c r="M2601">
        <f>VLOOKUP(H2601,'Stage Order'!$A$2:$B$8,2,FALSE)</f>
        <v/>
      </c>
      <c r="N2601">
        <f>IF(G2601&lt;=1,"1. Under 1 hour",IF(G2601&lt;=24,"2. 1-24 hours",IF(G2601&lt;=72,"3. 1-3 days","4. Over 3 days")))</f>
        <v/>
      </c>
      <c r="O2601">
        <f>TEXT(B2601,"YYYY-MM")</f>
        <v/>
      </c>
    </row>
    <row r="2602">
      <c r="A2602" t="inlineStr">
        <is>
          <t>LD-302600</t>
        </is>
      </c>
      <c r="B2602" t="inlineStr">
        <is>
          <t>2026-02-13 18:57:00</t>
        </is>
      </c>
      <c r="C2602" t="inlineStr">
        <is>
          <t>Referral</t>
        </is>
      </c>
      <c r="D2602" t="inlineStr">
        <is>
          <t>Competitive Exam Prep</t>
        </is>
      </c>
      <c r="E2602" t="inlineStr">
        <is>
          <t>North Region</t>
        </is>
      </c>
      <c r="F2602" t="inlineStr">
        <is>
          <t>Rep_01</t>
        </is>
      </c>
      <c r="G2602" t="n">
        <v>3.57</v>
      </c>
      <c r="H2602" t="inlineStr">
        <is>
          <t>Closed</t>
        </is>
      </c>
      <c r="I2602" t="inlineStr">
        <is>
          <t>Won</t>
        </is>
      </c>
      <c r="K2602" t="n">
        <v>865.73</v>
      </c>
      <c r="L2602" t="inlineStr">
        <is>
          <t>2026-04-02 07:30:06.096377</t>
        </is>
      </c>
      <c r="M2602">
        <f>VLOOKUP(H2602,'Stage Order'!$A$2:$B$8,2,FALSE)</f>
        <v/>
      </c>
      <c r="N2602">
        <f>IF(G2602&lt;=1,"1. Under 1 hour",IF(G2602&lt;=24,"2. 1-24 hours",IF(G2602&lt;=72,"3. 1-3 days","4. Over 3 days")))</f>
        <v/>
      </c>
      <c r="O2602">
        <f>TEXT(B2602,"YYYY-MM")</f>
        <v/>
      </c>
    </row>
    <row r="2603">
      <c r="A2603" t="inlineStr">
        <is>
          <t>LD-302601</t>
        </is>
      </c>
      <c r="B2603" t="inlineStr">
        <is>
          <t>2025-10-22 13:29:00</t>
        </is>
      </c>
      <c r="C2603" t="inlineStr">
        <is>
          <t>Referral</t>
        </is>
      </c>
      <c r="D2603" t="inlineStr">
        <is>
          <t>Language Learning</t>
        </is>
      </c>
      <c r="E2603" t="inlineStr">
        <is>
          <t>North Region</t>
        </is>
      </c>
      <c r="F2603" t="inlineStr">
        <is>
          <t>Rep_11</t>
        </is>
      </c>
      <c r="G2603" t="n">
        <v>2.47</v>
      </c>
      <c r="H2603" t="inlineStr">
        <is>
          <t>Closed</t>
        </is>
      </c>
      <c r="I2603" t="inlineStr">
        <is>
          <t>Won</t>
        </is>
      </c>
      <c r="K2603" t="n">
        <v>314.58</v>
      </c>
      <c r="L2603" t="inlineStr">
        <is>
          <t>2025-12-01 20:42:55.571703</t>
        </is>
      </c>
      <c r="M2603">
        <f>VLOOKUP(H2603,'Stage Order'!$A$2:$B$8,2,FALSE)</f>
        <v/>
      </c>
      <c r="N2603">
        <f>IF(G2603&lt;=1,"1. Under 1 hour",IF(G2603&lt;=24,"2. 1-24 hours",IF(G2603&lt;=72,"3. 1-3 days","4. Over 3 days")))</f>
        <v/>
      </c>
      <c r="O2603">
        <f>TEXT(B2603,"YYYY-MM")</f>
        <v/>
      </c>
    </row>
    <row r="2604">
      <c r="A2604" t="inlineStr">
        <is>
          <t>LD-302602</t>
        </is>
      </c>
      <c r="B2604" t="inlineStr">
        <is>
          <t>2025-11-13 17:16:00</t>
        </is>
      </c>
      <c r="C2604" t="inlineStr">
        <is>
          <t>Cold Outreach</t>
        </is>
      </c>
      <c r="D2604" t="inlineStr">
        <is>
          <t>Coding for Kids</t>
        </is>
      </c>
      <c r="E2604" t="inlineStr">
        <is>
          <t>West Region</t>
        </is>
      </c>
      <c r="F2604" t="inlineStr">
        <is>
          <t>Rep_03</t>
        </is>
      </c>
      <c r="G2604" t="n">
        <v>1.54</v>
      </c>
      <c r="H2604" t="inlineStr">
        <is>
          <t>Demo Completed</t>
        </is>
      </c>
      <c r="I2604" t="inlineStr">
        <is>
          <t>Lost</t>
        </is>
      </c>
      <c r="J2604" t="inlineStr">
        <is>
          <t>Price Objection</t>
        </is>
      </c>
      <c r="K2604" t="n">
        <v>745.1</v>
      </c>
      <c r="L2604" t="inlineStr">
        <is>
          <t>2025-12-09 03:53:22.434012</t>
        </is>
      </c>
      <c r="M2604">
        <f>VLOOKUP(H2604,'Stage Order'!$A$2:$B$8,2,FALSE)</f>
        <v/>
      </c>
      <c r="N2604">
        <f>IF(G2604&lt;=1,"1. Under 1 hour",IF(G2604&lt;=24,"2. 1-24 hours",IF(G2604&lt;=72,"3. 1-3 days","4. Over 3 days")))</f>
        <v/>
      </c>
      <c r="O2604">
        <f>TEXT(B2604,"YYYY-MM")</f>
        <v/>
      </c>
    </row>
    <row r="2605">
      <c r="A2605" t="inlineStr">
        <is>
          <t>LD-302603</t>
        </is>
      </c>
      <c r="B2605" t="inlineStr">
        <is>
          <t>2026-04-07 13:32:00</t>
        </is>
      </c>
      <c r="C2605" t="inlineStr">
        <is>
          <t>Paid Search</t>
        </is>
      </c>
      <c r="D2605" t="inlineStr">
        <is>
          <t>Study Abroad Prep</t>
        </is>
      </c>
      <c r="E2605" t="inlineStr">
        <is>
          <t>North Region</t>
        </is>
      </c>
      <c r="F2605" t="inlineStr">
        <is>
          <t>Rep_01</t>
        </is>
      </c>
      <c r="G2605" t="n">
        <v>1.86</v>
      </c>
      <c r="H2605" t="inlineStr">
        <is>
          <t>Contacted</t>
        </is>
      </c>
      <c r="I2605" t="inlineStr">
        <is>
          <t>Open</t>
        </is>
      </c>
      <c r="M2605">
        <f>VLOOKUP(H2605,'Stage Order'!$A$2:$B$8,2,FALSE)</f>
        <v/>
      </c>
      <c r="N2605">
        <f>IF(G2605&lt;=1,"1. Under 1 hour",IF(G2605&lt;=24,"2. 1-24 hours",IF(G2605&lt;=72,"3. 1-3 days","4. Over 3 days")))</f>
        <v/>
      </c>
      <c r="O2605">
        <f>TEXT(B2605,"YYYY-MM")</f>
        <v/>
      </c>
    </row>
    <row r="2606">
      <c r="A2606" t="inlineStr">
        <is>
          <t>LD-302604</t>
        </is>
      </c>
      <c r="B2606" t="inlineStr">
        <is>
          <t>2025-02-05 08:18:00</t>
        </is>
      </c>
      <c r="C2606" t="inlineStr">
        <is>
          <t>Organic Search</t>
        </is>
      </c>
      <c r="D2606" t="inlineStr">
        <is>
          <t>Competitive Exam Prep</t>
        </is>
      </c>
      <c r="E2606" t="inlineStr">
        <is>
          <t>West Region</t>
        </is>
      </c>
      <c r="F2606" t="inlineStr">
        <is>
          <t>Rep_03</t>
        </is>
      </c>
      <c r="G2606" t="n">
        <v>1.94</v>
      </c>
      <c r="H2606" t="inlineStr">
        <is>
          <t>Contacted</t>
        </is>
      </c>
      <c r="I2606" t="inlineStr">
        <is>
          <t>Open</t>
        </is>
      </c>
      <c r="M2606">
        <f>VLOOKUP(H2606,'Stage Order'!$A$2:$B$8,2,FALSE)</f>
        <v/>
      </c>
      <c r="N2606">
        <f>IF(G2606&lt;=1,"1. Under 1 hour",IF(G2606&lt;=24,"2. 1-24 hours",IF(G2606&lt;=72,"3. 1-3 days","4. Over 3 days")))</f>
        <v/>
      </c>
      <c r="O2606">
        <f>TEXT(B2606,"YYYY-MM")</f>
        <v/>
      </c>
    </row>
    <row r="2607">
      <c r="A2607" t="inlineStr">
        <is>
          <t>LD-302605</t>
        </is>
      </c>
      <c r="B2607" t="inlineStr">
        <is>
          <t>2026-04-10 08:21:00</t>
        </is>
      </c>
      <c r="C2607" t="inlineStr">
        <is>
          <t>Organic Search</t>
        </is>
      </c>
      <c r="D2607" t="inlineStr">
        <is>
          <t>K-12 Math</t>
        </is>
      </c>
      <c r="E2607" t="inlineStr">
        <is>
          <t>East Region</t>
        </is>
      </c>
      <c r="F2607" t="inlineStr">
        <is>
          <t>Rep_04</t>
        </is>
      </c>
      <c r="G2607" t="n">
        <v>1.81</v>
      </c>
      <c r="H2607" t="inlineStr">
        <is>
          <t>Lead</t>
        </is>
      </c>
      <c r="I2607" t="inlineStr">
        <is>
          <t>Open</t>
        </is>
      </c>
      <c r="M2607">
        <f>VLOOKUP(H2607,'Stage Order'!$A$2:$B$8,2,FALSE)</f>
        <v/>
      </c>
      <c r="N2607">
        <f>IF(G2607&lt;=1,"1. Under 1 hour",IF(G2607&lt;=24,"2. 1-24 hours",IF(G2607&lt;=72,"3. 1-3 days","4. Over 3 days")))</f>
        <v/>
      </c>
      <c r="O2607">
        <f>TEXT(B2607,"YYYY-MM")</f>
        <v/>
      </c>
    </row>
    <row r="2608">
      <c r="A2608" t="inlineStr">
        <is>
          <t>LD-302606</t>
        </is>
      </c>
      <c r="B2608" t="inlineStr">
        <is>
          <t>2026-02-13 15:31:00</t>
        </is>
      </c>
      <c r="C2608" t="inlineStr">
        <is>
          <t>Organic Search</t>
        </is>
      </c>
      <c r="D2608" t="inlineStr">
        <is>
          <t>Study Abroad Prep</t>
        </is>
      </c>
      <c r="E2608" t="inlineStr">
        <is>
          <t>South Region</t>
        </is>
      </c>
      <c r="F2608" t="inlineStr">
        <is>
          <t>Rep_02</t>
        </is>
      </c>
      <c r="G2608" t="n">
        <v>1.46</v>
      </c>
      <c r="H2608" t="inlineStr">
        <is>
          <t>Contacted</t>
        </is>
      </c>
      <c r="I2608" t="inlineStr">
        <is>
          <t>Open</t>
        </is>
      </c>
      <c r="M2608">
        <f>VLOOKUP(H2608,'Stage Order'!$A$2:$B$8,2,FALSE)</f>
        <v/>
      </c>
      <c r="N2608">
        <f>IF(G2608&lt;=1,"1. Under 1 hour",IF(G2608&lt;=24,"2. 1-24 hours",IF(G2608&lt;=72,"3. 1-3 days","4. Over 3 days")))</f>
        <v/>
      </c>
      <c r="O2608">
        <f>TEXT(B2608,"YYYY-MM")</f>
        <v/>
      </c>
    </row>
    <row r="2609">
      <c r="A2609" t="inlineStr">
        <is>
          <t>LD-302607</t>
        </is>
      </c>
      <c r="B2609" t="inlineStr">
        <is>
          <t>2026-02-12 11:01:00</t>
        </is>
      </c>
      <c r="C2609" t="inlineStr">
        <is>
          <t>Cold Outreach</t>
        </is>
      </c>
      <c r="D2609" t="inlineStr">
        <is>
          <t>K-12 Math</t>
        </is>
      </c>
      <c r="E2609" t="inlineStr">
        <is>
          <t>North Region</t>
        </is>
      </c>
      <c r="F2609" t="inlineStr">
        <is>
          <t>Rep_06</t>
        </is>
      </c>
      <c r="G2609" t="n">
        <v>2.44</v>
      </c>
      <c r="H2609" t="inlineStr">
        <is>
          <t>Contacted</t>
        </is>
      </c>
      <c r="I2609" t="inlineStr">
        <is>
          <t>Open</t>
        </is>
      </c>
      <c r="M2609">
        <f>VLOOKUP(H2609,'Stage Order'!$A$2:$B$8,2,FALSE)</f>
        <v/>
      </c>
      <c r="N2609">
        <f>IF(G2609&lt;=1,"1. Under 1 hour",IF(G2609&lt;=24,"2. 1-24 hours",IF(G2609&lt;=72,"3. 1-3 days","4. Over 3 days")))</f>
        <v/>
      </c>
      <c r="O2609">
        <f>TEXT(B2609,"YYYY-MM")</f>
        <v/>
      </c>
    </row>
    <row r="2610">
      <c r="A2610" t="inlineStr">
        <is>
          <t>LD-302608</t>
        </is>
      </c>
      <c r="B2610" t="inlineStr">
        <is>
          <t>2026-06-10 07:38:00</t>
        </is>
      </c>
      <c r="C2610" t="inlineStr">
        <is>
          <t>Social Media</t>
        </is>
      </c>
      <c r="D2610" t="inlineStr">
        <is>
          <t>Competitive Exam Prep</t>
        </is>
      </c>
      <c r="E2610" t="inlineStr">
        <is>
          <t>East Region</t>
        </is>
      </c>
      <c r="F2610" t="inlineStr">
        <is>
          <t>Rep_04</t>
        </is>
      </c>
      <c r="G2610" t="n">
        <v>4.63</v>
      </c>
      <c r="H2610" t="inlineStr">
        <is>
          <t>Closed</t>
        </is>
      </c>
      <c r="I2610" t="inlineStr">
        <is>
          <t>Won</t>
        </is>
      </c>
      <c r="K2610" t="n">
        <v>1030.62</v>
      </c>
      <c r="L2610" t="inlineStr">
        <is>
          <t>2026-07-07 19:09:51.488871</t>
        </is>
      </c>
      <c r="M2610">
        <f>VLOOKUP(H2610,'Stage Order'!$A$2:$B$8,2,FALSE)</f>
        <v/>
      </c>
      <c r="N2610">
        <f>IF(G2610&lt;=1,"1. Under 1 hour",IF(G2610&lt;=24,"2. 1-24 hours",IF(G2610&lt;=72,"3. 1-3 days","4. Over 3 days")))</f>
        <v/>
      </c>
      <c r="O2610">
        <f>TEXT(B2610,"YYYY-MM")</f>
        <v/>
      </c>
    </row>
    <row r="2611">
      <c r="A2611" t="inlineStr">
        <is>
          <t>LD-302609</t>
        </is>
      </c>
      <c r="B2611" t="inlineStr">
        <is>
          <t>2025-08-03 18:01:00</t>
        </is>
      </c>
      <c r="C2611" t="inlineStr">
        <is>
          <t>Paid Search</t>
        </is>
      </c>
      <c r="D2611" t="inlineStr">
        <is>
          <t>K-12 Math</t>
        </is>
      </c>
      <c r="E2611" t="inlineStr">
        <is>
          <t>West Region</t>
        </is>
      </c>
      <c r="F2611" t="inlineStr">
        <is>
          <t>Rep_13</t>
        </is>
      </c>
      <c r="G2611" t="n">
        <v>4.59</v>
      </c>
      <c r="H2611" t="inlineStr">
        <is>
          <t>Negotiation</t>
        </is>
      </c>
      <c r="I2611" t="inlineStr">
        <is>
          <t>Lost</t>
        </is>
      </c>
      <c r="J2611" t="inlineStr">
        <is>
          <t>Bad Timing</t>
        </is>
      </c>
      <c r="K2611" t="n">
        <v>475.78</v>
      </c>
      <c r="L2611" t="inlineStr">
        <is>
          <t>2025-09-13 10:10:51.521290</t>
        </is>
      </c>
      <c r="M2611">
        <f>VLOOKUP(H2611,'Stage Order'!$A$2:$B$8,2,FALSE)</f>
        <v/>
      </c>
      <c r="N2611">
        <f>IF(G2611&lt;=1,"1. Under 1 hour",IF(G2611&lt;=24,"2. 1-24 hours",IF(G2611&lt;=72,"3. 1-3 days","4. Over 3 days")))</f>
        <v/>
      </c>
      <c r="O2611">
        <f>TEXT(B2611,"YYYY-MM")</f>
        <v/>
      </c>
    </row>
    <row r="2612">
      <c r="A2612" t="inlineStr">
        <is>
          <t>LD-302610</t>
        </is>
      </c>
      <c r="B2612" t="inlineStr">
        <is>
          <t>2026-05-28 12:53:00</t>
        </is>
      </c>
      <c r="C2612" t="inlineStr">
        <is>
          <t>Paid Search</t>
        </is>
      </c>
      <c r="D2612" t="inlineStr">
        <is>
          <t>Language Learning</t>
        </is>
      </c>
      <c r="E2612" t="inlineStr">
        <is>
          <t>South Region</t>
        </is>
      </c>
      <c r="F2612" t="inlineStr">
        <is>
          <t>Rep_02</t>
        </is>
      </c>
      <c r="G2612" t="n">
        <v>0.45</v>
      </c>
      <c r="H2612" t="inlineStr">
        <is>
          <t>Demo Completed</t>
        </is>
      </c>
      <c r="I2612" t="inlineStr">
        <is>
          <t>Lost</t>
        </is>
      </c>
      <c r="J2612" t="inlineStr">
        <is>
          <t>Bad Timing</t>
        </is>
      </c>
      <c r="K2612" t="n">
        <v>306.52</v>
      </c>
      <c r="L2612" t="inlineStr">
        <is>
          <t>2026-07-09 15:49:03.355322</t>
        </is>
      </c>
      <c r="M2612">
        <f>VLOOKUP(H2612,'Stage Order'!$A$2:$B$8,2,FALSE)</f>
        <v/>
      </c>
      <c r="N2612">
        <f>IF(G2612&lt;=1,"1. Under 1 hour",IF(G2612&lt;=24,"2. 1-24 hours",IF(G2612&lt;=72,"3. 1-3 days","4. Over 3 days")))</f>
        <v/>
      </c>
      <c r="O2612">
        <f>TEXT(B2612,"YYYY-MM")</f>
        <v/>
      </c>
    </row>
    <row r="2613">
      <c r="A2613" t="inlineStr">
        <is>
          <t>LD-302611</t>
        </is>
      </c>
      <c r="B2613" t="inlineStr">
        <is>
          <t>2025-10-31 11:50:00</t>
        </is>
      </c>
      <c r="C2613" t="inlineStr">
        <is>
          <t>Referral</t>
        </is>
      </c>
      <c r="D2613" t="inlineStr">
        <is>
          <t>Language Learning</t>
        </is>
      </c>
      <c r="E2613" t="inlineStr">
        <is>
          <t>West Region</t>
        </is>
      </c>
      <c r="F2613" t="inlineStr">
        <is>
          <t>Rep_08</t>
        </is>
      </c>
      <c r="G2613" t="n">
        <v>1.44</v>
      </c>
      <c r="H2613" t="inlineStr">
        <is>
          <t>Closed</t>
        </is>
      </c>
      <c r="I2613" t="inlineStr">
        <is>
          <t>Won</t>
        </is>
      </c>
      <c r="K2613" t="n">
        <v>299.19</v>
      </c>
      <c r="L2613" t="inlineStr">
        <is>
          <t>2025-12-14 02:07:08.311754</t>
        </is>
      </c>
      <c r="M2613">
        <f>VLOOKUP(H2613,'Stage Order'!$A$2:$B$8,2,FALSE)</f>
        <v/>
      </c>
      <c r="N2613">
        <f>IF(G2613&lt;=1,"1. Under 1 hour",IF(G2613&lt;=24,"2. 1-24 hours",IF(G2613&lt;=72,"3. 1-3 days","4. Over 3 days")))</f>
        <v/>
      </c>
      <c r="O2613">
        <f>TEXT(B2613,"YYYY-MM")</f>
        <v/>
      </c>
    </row>
    <row r="2614">
      <c r="A2614" t="inlineStr">
        <is>
          <t>LD-302612</t>
        </is>
      </c>
      <c r="B2614" t="inlineStr">
        <is>
          <t>2025-11-21 14:42:00</t>
        </is>
      </c>
      <c r="C2614" t="inlineStr">
        <is>
          <t>Organic Search</t>
        </is>
      </c>
      <c r="D2614" t="inlineStr">
        <is>
          <t>Competitive Exam Prep</t>
        </is>
      </c>
      <c r="E2614" t="inlineStr">
        <is>
          <t>South Region</t>
        </is>
      </c>
      <c r="F2614" t="inlineStr">
        <is>
          <t>Rep_02</t>
        </is>
      </c>
      <c r="G2614" t="n">
        <v>5.77</v>
      </c>
      <c r="H2614" t="inlineStr">
        <is>
          <t>Contacted</t>
        </is>
      </c>
      <c r="I2614" t="inlineStr">
        <is>
          <t>Open</t>
        </is>
      </c>
      <c r="M2614">
        <f>VLOOKUP(H2614,'Stage Order'!$A$2:$B$8,2,FALSE)</f>
        <v/>
      </c>
      <c r="N2614">
        <f>IF(G2614&lt;=1,"1. Under 1 hour",IF(G2614&lt;=24,"2. 1-24 hours",IF(G2614&lt;=72,"3. 1-3 days","4. Over 3 days")))</f>
        <v/>
      </c>
      <c r="O2614">
        <f>TEXT(B2614,"YYYY-MM")</f>
        <v/>
      </c>
    </row>
    <row r="2615">
      <c r="A2615" t="inlineStr">
        <is>
          <t>LD-302613</t>
        </is>
      </c>
      <c r="B2615" t="inlineStr">
        <is>
          <t>2026-03-25 09:18:00</t>
        </is>
      </c>
      <c r="C2615" t="inlineStr">
        <is>
          <t>Paid Search</t>
        </is>
      </c>
      <c r="D2615" t="inlineStr">
        <is>
          <t>Coding for Kids</t>
        </is>
      </c>
      <c r="E2615" t="inlineStr">
        <is>
          <t>West Region</t>
        </is>
      </c>
      <c r="F2615" t="inlineStr">
        <is>
          <t>Rep_13</t>
        </is>
      </c>
      <c r="G2615" t="n">
        <v>1.04</v>
      </c>
      <c r="H2615" t="inlineStr">
        <is>
          <t>Contacted</t>
        </is>
      </c>
      <c r="I2615" t="inlineStr">
        <is>
          <t>Open</t>
        </is>
      </c>
      <c r="M2615">
        <f>VLOOKUP(H2615,'Stage Order'!$A$2:$B$8,2,FALSE)</f>
        <v/>
      </c>
      <c r="N2615">
        <f>IF(G2615&lt;=1,"1. Under 1 hour",IF(G2615&lt;=24,"2. 1-24 hours",IF(G2615&lt;=72,"3. 1-3 days","4. Over 3 days")))</f>
        <v/>
      </c>
      <c r="O2615">
        <f>TEXT(B2615,"YYYY-MM")</f>
        <v/>
      </c>
    </row>
    <row r="2616">
      <c r="A2616" t="inlineStr">
        <is>
          <t>LD-302614</t>
        </is>
      </c>
      <c r="B2616" t="inlineStr">
        <is>
          <t>2025-04-30 19:52:00</t>
        </is>
      </c>
      <c r="C2616" t="inlineStr">
        <is>
          <t>Partner Channel</t>
        </is>
      </c>
      <c r="D2616" t="inlineStr">
        <is>
          <t>Competitive Exam Prep</t>
        </is>
      </c>
      <c r="E2616" t="inlineStr">
        <is>
          <t>South Region</t>
        </is>
      </c>
      <c r="F2616" t="inlineStr">
        <is>
          <t>Rep_12</t>
        </is>
      </c>
      <c r="G2616" t="n">
        <v>1.51</v>
      </c>
      <c r="H2616" t="inlineStr">
        <is>
          <t>Contacted</t>
        </is>
      </c>
      <c r="I2616" t="inlineStr">
        <is>
          <t>Open</t>
        </is>
      </c>
      <c r="M2616">
        <f>VLOOKUP(H2616,'Stage Order'!$A$2:$B$8,2,FALSE)</f>
        <v/>
      </c>
      <c r="N2616">
        <f>IF(G2616&lt;=1,"1. Under 1 hour",IF(G2616&lt;=24,"2. 1-24 hours",IF(G2616&lt;=72,"3. 1-3 days","4. Over 3 days")))</f>
        <v/>
      </c>
      <c r="O2616">
        <f>TEXT(B2616,"YYYY-MM")</f>
        <v/>
      </c>
    </row>
    <row r="2617">
      <c r="A2617" t="inlineStr">
        <is>
          <t>LD-302615</t>
        </is>
      </c>
      <c r="B2617" t="inlineStr">
        <is>
          <t>2026-02-07 13:26:00</t>
        </is>
      </c>
      <c r="C2617" t="inlineStr">
        <is>
          <t>Referral</t>
        </is>
      </c>
      <c r="D2617" t="inlineStr">
        <is>
          <t>Competitive Exam Prep</t>
        </is>
      </c>
      <c r="E2617" t="inlineStr">
        <is>
          <t>South Region</t>
        </is>
      </c>
      <c r="F2617" t="inlineStr">
        <is>
          <t>Rep_12</t>
        </is>
      </c>
      <c r="G2617" t="n">
        <v>2.93</v>
      </c>
      <c r="H2617" t="inlineStr">
        <is>
          <t>Closed</t>
        </is>
      </c>
      <c r="I2617" t="inlineStr">
        <is>
          <t>Won</t>
        </is>
      </c>
      <c r="K2617" t="n">
        <v>1002.38</v>
      </c>
      <c r="L2617" t="inlineStr">
        <is>
          <t>2026-03-29 18:45:52.079847</t>
        </is>
      </c>
      <c r="M2617">
        <f>VLOOKUP(H2617,'Stage Order'!$A$2:$B$8,2,FALSE)</f>
        <v/>
      </c>
      <c r="N2617">
        <f>IF(G2617&lt;=1,"1. Under 1 hour",IF(G2617&lt;=24,"2. 1-24 hours",IF(G2617&lt;=72,"3. 1-3 days","4. Over 3 days")))</f>
        <v/>
      </c>
      <c r="O2617">
        <f>TEXT(B2617,"YYYY-MM")</f>
        <v/>
      </c>
    </row>
    <row r="2618">
      <c r="A2618" t="inlineStr">
        <is>
          <t>LD-302616</t>
        </is>
      </c>
      <c r="B2618" t="inlineStr">
        <is>
          <t>2026-06-12 07:09:00</t>
        </is>
      </c>
      <c r="C2618" t="inlineStr">
        <is>
          <t>Cold Outreach</t>
        </is>
      </c>
      <c r="D2618" t="inlineStr">
        <is>
          <t>Competitive Exam Prep</t>
        </is>
      </c>
      <c r="E2618" t="inlineStr">
        <is>
          <t>South Region</t>
        </is>
      </c>
      <c r="F2618" t="inlineStr">
        <is>
          <t>Rep_12</t>
        </is>
      </c>
      <c r="G2618" t="n">
        <v>1.25</v>
      </c>
      <c r="H2618" t="inlineStr">
        <is>
          <t>Contacted</t>
        </is>
      </c>
      <c r="I2618" t="inlineStr">
        <is>
          <t>Open</t>
        </is>
      </c>
      <c r="M2618">
        <f>VLOOKUP(H2618,'Stage Order'!$A$2:$B$8,2,FALSE)</f>
        <v/>
      </c>
      <c r="N2618">
        <f>IF(G2618&lt;=1,"1. Under 1 hour",IF(G2618&lt;=24,"2. 1-24 hours",IF(G2618&lt;=72,"3. 1-3 days","4. Over 3 days")))</f>
        <v/>
      </c>
      <c r="O2618">
        <f>TEXT(B2618,"YYYY-MM")</f>
        <v/>
      </c>
    </row>
    <row r="2619">
      <c r="A2619" t="inlineStr">
        <is>
          <t>LD-302617</t>
        </is>
      </c>
      <c r="B2619" t="inlineStr">
        <is>
          <t>2026-02-02 07:27:00</t>
        </is>
      </c>
      <c r="C2619" t="inlineStr">
        <is>
          <t>Paid Search</t>
        </is>
      </c>
      <c r="D2619" t="inlineStr">
        <is>
          <t>Competitive Exam Prep</t>
        </is>
      </c>
      <c r="E2619" t="inlineStr">
        <is>
          <t>West Region</t>
        </is>
      </c>
      <c r="F2619" t="inlineStr">
        <is>
          <t>Rep_03</t>
        </is>
      </c>
      <c r="G2619" t="n">
        <v>7.44</v>
      </c>
      <c r="H2619" t="inlineStr">
        <is>
          <t>Demo Completed</t>
        </is>
      </c>
      <c r="I2619" t="inlineStr">
        <is>
          <t>Lost</t>
        </is>
      </c>
      <c r="J2619" t="inlineStr">
        <is>
          <t>Went With Competitor</t>
        </is>
      </c>
      <c r="K2619" t="n">
        <v>1107.57</v>
      </c>
      <c r="L2619" t="inlineStr">
        <is>
          <t>2026-03-06 05:42:48.907652</t>
        </is>
      </c>
      <c r="M2619">
        <f>VLOOKUP(H2619,'Stage Order'!$A$2:$B$8,2,FALSE)</f>
        <v/>
      </c>
      <c r="N2619">
        <f>IF(G2619&lt;=1,"1. Under 1 hour",IF(G2619&lt;=24,"2. 1-24 hours",IF(G2619&lt;=72,"3. 1-3 days","4. Over 3 days")))</f>
        <v/>
      </c>
      <c r="O2619">
        <f>TEXT(B2619,"YYYY-MM")</f>
        <v/>
      </c>
    </row>
    <row r="2620">
      <c r="A2620" t="inlineStr">
        <is>
          <t>LD-302618</t>
        </is>
      </c>
      <c r="B2620" t="inlineStr">
        <is>
          <t>2026-05-07 20:01:00</t>
        </is>
      </c>
      <c r="C2620" t="inlineStr">
        <is>
          <t>Cold Outreach</t>
        </is>
      </c>
      <c r="D2620" t="inlineStr">
        <is>
          <t>Coding for Kids</t>
        </is>
      </c>
      <c r="E2620" t="inlineStr">
        <is>
          <t>International</t>
        </is>
      </c>
      <c r="F2620" t="inlineStr">
        <is>
          <t>Rep_15</t>
        </is>
      </c>
      <c r="G2620" t="n">
        <v>1.44</v>
      </c>
      <c r="H2620" t="inlineStr">
        <is>
          <t>Demo Scheduled</t>
        </is>
      </c>
      <c r="I2620" t="inlineStr">
        <is>
          <t>Open</t>
        </is>
      </c>
      <c r="M2620">
        <f>VLOOKUP(H2620,'Stage Order'!$A$2:$B$8,2,FALSE)</f>
        <v/>
      </c>
      <c r="N2620">
        <f>IF(G2620&lt;=1,"1. Under 1 hour",IF(G2620&lt;=24,"2. 1-24 hours",IF(G2620&lt;=72,"3. 1-3 days","4. Over 3 days")))</f>
        <v/>
      </c>
      <c r="O2620">
        <f>TEXT(B2620,"YYYY-MM")</f>
        <v/>
      </c>
    </row>
    <row r="2621">
      <c r="A2621" t="inlineStr">
        <is>
          <t>LD-302619</t>
        </is>
      </c>
      <c r="B2621" t="inlineStr">
        <is>
          <t>2025-01-28 17:31:00</t>
        </is>
      </c>
      <c r="C2621" t="inlineStr">
        <is>
          <t>Social Media</t>
        </is>
      </c>
      <c r="D2621" t="inlineStr">
        <is>
          <t>Competitive Exam Prep</t>
        </is>
      </c>
      <c r="E2621" t="inlineStr">
        <is>
          <t>International</t>
        </is>
      </c>
      <c r="F2621" t="inlineStr">
        <is>
          <t>Rep_10</t>
        </is>
      </c>
      <c r="G2621" t="n">
        <v>7.89</v>
      </c>
      <c r="H2621" t="inlineStr">
        <is>
          <t>Lead</t>
        </is>
      </c>
      <c r="I2621" t="inlineStr">
        <is>
          <t>Open</t>
        </is>
      </c>
      <c r="M2621">
        <f>VLOOKUP(H2621,'Stage Order'!$A$2:$B$8,2,FALSE)</f>
        <v/>
      </c>
      <c r="N2621">
        <f>IF(G2621&lt;=1,"1. Under 1 hour",IF(G2621&lt;=24,"2. 1-24 hours",IF(G2621&lt;=72,"3. 1-3 days","4. Over 3 days")))</f>
        <v/>
      </c>
      <c r="O2621">
        <f>TEXT(B2621,"YYYY-MM")</f>
        <v/>
      </c>
    </row>
    <row r="2622">
      <c r="A2622" t="inlineStr">
        <is>
          <t>LD-302620</t>
        </is>
      </c>
      <c r="B2622" t="inlineStr">
        <is>
          <t>2025-03-12 16:32:00</t>
        </is>
      </c>
      <c r="C2622" t="inlineStr">
        <is>
          <t>Webinar</t>
        </is>
      </c>
      <c r="D2622" t="inlineStr">
        <is>
          <t>K-12 Math</t>
        </is>
      </c>
      <c r="E2622" t="inlineStr">
        <is>
          <t>South Region</t>
        </is>
      </c>
      <c r="F2622" t="inlineStr">
        <is>
          <t>Rep_02</t>
        </is>
      </c>
      <c r="G2622" t="n">
        <v>1.31</v>
      </c>
      <c r="H2622" t="inlineStr">
        <is>
          <t>Contacted</t>
        </is>
      </c>
      <c r="I2622" t="inlineStr">
        <is>
          <t>Open</t>
        </is>
      </c>
      <c r="M2622">
        <f>VLOOKUP(H2622,'Stage Order'!$A$2:$B$8,2,FALSE)</f>
        <v/>
      </c>
      <c r="N2622">
        <f>IF(G2622&lt;=1,"1. Under 1 hour",IF(G2622&lt;=24,"2. 1-24 hours",IF(G2622&lt;=72,"3. 1-3 days","4. Over 3 days")))</f>
        <v/>
      </c>
      <c r="O2622">
        <f>TEXT(B2622,"YYYY-MM")</f>
        <v/>
      </c>
    </row>
    <row r="2623">
      <c r="A2623" t="inlineStr">
        <is>
          <t>LD-302621</t>
        </is>
      </c>
      <c r="B2623" t="inlineStr">
        <is>
          <t>2025-01-30 07:23:00</t>
        </is>
      </c>
      <c r="C2623" t="inlineStr">
        <is>
          <t>Paid Search</t>
        </is>
      </c>
      <c r="D2623" t="inlineStr">
        <is>
          <t>Competitive Exam Prep</t>
        </is>
      </c>
      <c r="E2623" t="inlineStr">
        <is>
          <t>South Region</t>
        </is>
      </c>
      <c r="F2623" t="inlineStr">
        <is>
          <t>Rep_12</t>
        </is>
      </c>
      <c r="G2623" t="n">
        <v>1.37</v>
      </c>
      <c r="H2623" t="inlineStr">
        <is>
          <t>Negotiation</t>
        </is>
      </c>
      <c r="I2623" t="inlineStr">
        <is>
          <t>Lost</t>
        </is>
      </c>
      <c r="J2623" t="inlineStr">
        <is>
          <t>Went With Competitor</t>
        </is>
      </c>
      <c r="K2623" t="n">
        <v>1145.95</v>
      </c>
      <c r="L2623" t="inlineStr">
        <is>
          <t>2025-03-15 13:49:29.965838</t>
        </is>
      </c>
      <c r="M2623">
        <f>VLOOKUP(H2623,'Stage Order'!$A$2:$B$8,2,FALSE)</f>
        <v/>
      </c>
      <c r="N2623">
        <f>IF(G2623&lt;=1,"1. Under 1 hour",IF(G2623&lt;=24,"2. 1-24 hours",IF(G2623&lt;=72,"3. 1-3 days","4. Over 3 days")))</f>
        <v/>
      </c>
      <c r="O2623">
        <f>TEXT(B2623,"YYYY-MM")</f>
        <v/>
      </c>
    </row>
    <row r="2624">
      <c r="A2624" t="inlineStr">
        <is>
          <t>LD-302622</t>
        </is>
      </c>
      <c r="B2624" t="inlineStr">
        <is>
          <t>2025-01-02 20:43:00</t>
        </is>
      </c>
      <c r="C2624" t="inlineStr">
        <is>
          <t>Organic Search</t>
        </is>
      </c>
      <c r="D2624" t="inlineStr">
        <is>
          <t>Study Abroad Prep</t>
        </is>
      </c>
      <c r="E2624" t="inlineStr">
        <is>
          <t>South Region</t>
        </is>
      </c>
      <c r="F2624" t="inlineStr">
        <is>
          <t>Rep_02</t>
        </is>
      </c>
      <c r="G2624" t="n">
        <v>6.28</v>
      </c>
      <c r="H2624" t="inlineStr">
        <is>
          <t>Contacted</t>
        </is>
      </c>
      <c r="I2624" t="inlineStr">
        <is>
          <t>Open</t>
        </is>
      </c>
      <c r="M2624">
        <f>VLOOKUP(H2624,'Stage Order'!$A$2:$B$8,2,FALSE)</f>
        <v/>
      </c>
      <c r="N2624">
        <f>IF(G2624&lt;=1,"1. Under 1 hour",IF(G2624&lt;=24,"2. 1-24 hours",IF(G2624&lt;=72,"3. 1-3 days","4. Over 3 days")))</f>
        <v/>
      </c>
      <c r="O2624">
        <f>TEXT(B2624,"YYYY-MM")</f>
        <v/>
      </c>
    </row>
    <row r="2625">
      <c r="A2625" t="inlineStr">
        <is>
          <t>LD-302623</t>
        </is>
      </c>
      <c r="B2625" t="inlineStr">
        <is>
          <t>2025-11-18 16:03:00</t>
        </is>
      </c>
      <c r="C2625" t="inlineStr">
        <is>
          <t>Webinar</t>
        </is>
      </c>
      <c r="D2625" t="inlineStr">
        <is>
          <t>Competitive Exam Prep</t>
        </is>
      </c>
      <c r="E2625" t="inlineStr">
        <is>
          <t>South Region</t>
        </is>
      </c>
      <c r="F2625" t="inlineStr">
        <is>
          <t>Rep_12</t>
        </is>
      </c>
      <c r="G2625" t="n">
        <v>2.81</v>
      </c>
      <c r="H2625" t="inlineStr">
        <is>
          <t>Lead</t>
        </is>
      </c>
      <c r="I2625" t="inlineStr">
        <is>
          <t>Open</t>
        </is>
      </c>
      <c r="M2625">
        <f>VLOOKUP(H2625,'Stage Order'!$A$2:$B$8,2,FALSE)</f>
        <v/>
      </c>
      <c r="N2625">
        <f>IF(G2625&lt;=1,"1. Under 1 hour",IF(G2625&lt;=24,"2. 1-24 hours",IF(G2625&lt;=72,"3. 1-3 days","4. Over 3 days")))</f>
        <v/>
      </c>
      <c r="O2625">
        <f>TEXT(B2625,"YYYY-MM")</f>
        <v/>
      </c>
    </row>
    <row r="2626">
      <c r="A2626" t="inlineStr">
        <is>
          <t>LD-302624</t>
        </is>
      </c>
      <c r="B2626" t="inlineStr">
        <is>
          <t>2025-09-08 16:42:00</t>
        </is>
      </c>
      <c r="C2626" t="inlineStr">
        <is>
          <t>Referral</t>
        </is>
      </c>
      <c r="D2626" t="inlineStr">
        <is>
          <t>Coding for Kids</t>
        </is>
      </c>
      <c r="E2626" t="inlineStr">
        <is>
          <t>North Region</t>
        </is>
      </c>
      <c r="F2626" t="inlineStr">
        <is>
          <t>Rep_06</t>
        </is>
      </c>
      <c r="G2626" t="n">
        <v>26.36</v>
      </c>
      <c r="H2626" t="inlineStr">
        <is>
          <t>Contacted</t>
        </is>
      </c>
      <c r="I2626" t="inlineStr">
        <is>
          <t>Open</t>
        </is>
      </c>
      <c r="M2626">
        <f>VLOOKUP(H2626,'Stage Order'!$A$2:$B$8,2,FALSE)</f>
        <v/>
      </c>
      <c r="N2626">
        <f>IF(G2626&lt;=1,"1. Under 1 hour",IF(G2626&lt;=24,"2. 1-24 hours",IF(G2626&lt;=72,"3. 1-3 days","4. Over 3 days")))</f>
        <v/>
      </c>
      <c r="O2626">
        <f>TEXT(B2626,"YYYY-MM")</f>
        <v/>
      </c>
    </row>
    <row r="2627">
      <c r="A2627" t="inlineStr">
        <is>
          <t>LD-302625</t>
        </is>
      </c>
      <c r="B2627" t="inlineStr">
        <is>
          <t>2026-04-16 18:30:00</t>
        </is>
      </c>
      <c r="C2627" t="inlineStr">
        <is>
          <t>Cold Outreach</t>
        </is>
      </c>
      <c r="D2627" t="inlineStr">
        <is>
          <t>K-12 Math</t>
        </is>
      </c>
      <c r="E2627" t="inlineStr">
        <is>
          <t>North Region</t>
        </is>
      </c>
      <c r="F2627" t="inlineStr">
        <is>
          <t>Rep_01</t>
        </is>
      </c>
      <c r="G2627" t="n">
        <v>4.29</v>
      </c>
      <c r="H2627" t="inlineStr">
        <is>
          <t>Contacted</t>
        </is>
      </c>
      <c r="I2627" t="inlineStr">
        <is>
          <t>Open</t>
        </is>
      </c>
      <c r="M2627">
        <f>VLOOKUP(H2627,'Stage Order'!$A$2:$B$8,2,FALSE)</f>
        <v/>
      </c>
      <c r="N2627">
        <f>IF(G2627&lt;=1,"1. Under 1 hour",IF(G2627&lt;=24,"2. 1-24 hours",IF(G2627&lt;=72,"3. 1-3 days","4. Over 3 days")))</f>
        <v/>
      </c>
      <c r="O2627">
        <f>TEXT(B2627,"YYYY-MM")</f>
        <v/>
      </c>
    </row>
    <row r="2628">
      <c r="A2628" t="inlineStr">
        <is>
          <t>LD-302626</t>
        </is>
      </c>
      <c r="B2628" t="inlineStr">
        <is>
          <t>2026-05-28 14:46:00</t>
        </is>
      </c>
      <c r="C2628" t="inlineStr">
        <is>
          <t>Organic Search</t>
        </is>
      </c>
      <c r="D2628" t="inlineStr">
        <is>
          <t>Study Abroad Prep</t>
        </is>
      </c>
      <c r="E2628" t="inlineStr">
        <is>
          <t>South Region</t>
        </is>
      </c>
      <c r="F2628" t="inlineStr">
        <is>
          <t>Rep_02</t>
        </is>
      </c>
      <c r="G2628" t="n">
        <v>0.63</v>
      </c>
      <c r="H2628" t="inlineStr">
        <is>
          <t>Negotiation</t>
        </is>
      </c>
      <c r="I2628" t="inlineStr">
        <is>
          <t>Lost</t>
        </is>
      </c>
      <c r="J2628" t="inlineStr">
        <is>
          <t>No Response / Ghosted</t>
        </is>
      </c>
      <c r="K2628" t="n">
        <v>1211.66</v>
      </c>
      <c r="L2628" t="inlineStr">
        <is>
          <t>2026-06-25 06:33:40.837137</t>
        </is>
      </c>
      <c r="M2628">
        <f>VLOOKUP(H2628,'Stage Order'!$A$2:$B$8,2,FALSE)</f>
        <v/>
      </c>
      <c r="N2628">
        <f>IF(G2628&lt;=1,"1. Under 1 hour",IF(G2628&lt;=24,"2. 1-24 hours",IF(G2628&lt;=72,"3. 1-3 days","4. Over 3 days")))</f>
        <v/>
      </c>
      <c r="O2628">
        <f>TEXT(B2628,"YYYY-MM")</f>
        <v/>
      </c>
    </row>
    <row r="2629">
      <c r="A2629" t="inlineStr">
        <is>
          <t>LD-302627</t>
        </is>
      </c>
      <c r="B2629" t="inlineStr">
        <is>
          <t>2026-01-09 08:55:00</t>
        </is>
      </c>
      <c r="C2629" t="inlineStr">
        <is>
          <t>Social Media</t>
        </is>
      </c>
      <c r="D2629" t="inlineStr">
        <is>
          <t>Coding for Kids</t>
        </is>
      </c>
      <c r="E2629" t="inlineStr">
        <is>
          <t>South Region</t>
        </is>
      </c>
      <c r="F2629" t="inlineStr">
        <is>
          <t>Rep_07</t>
        </is>
      </c>
      <c r="G2629" t="n">
        <v>0.82</v>
      </c>
      <c r="H2629" t="inlineStr">
        <is>
          <t>Negotiation</t>
        </is>
      </c>
      <c r="I2629" t="inlineStr">
        <is>
          <t>Lost</t>
        </is>
      </c>
      <c r="J2629" t="inlineStr">
        <is>
          <t>Price Objection</t>
        </is>
      </c>
      <c r="K2629" t="n">
        <v>676.52</v>
      </c>
      <c r="L2629" t="inlineStr">
        <is>
          <t>2026-02-17 03:30:54.344560</t>
        </is>
      </c>
      <c r="M2629">
        <f>VLOOKUP(H2629,'Stage Order'!$A$2:$B$8,2,FALSE)</f>
        <v/>
      </c>
      <c r="N2629">
        <f>IF(G2629&lt;=1,"1. Under 1 hour",IF(G2629&lt;=24,"2. 1-24 hours",IF(G2629&lt;=72,"3. 1-3 days","4. Over 3 days")))</f>
        <v/>
      </c>
      <c r="O2629">
        <f>TEXT(B2629,"YYYY-MM")</f>
        <v/>
      </c>
    </row>
    <row r="2630">
      <c r="A2630" t="inlineStr">
        <is>
          <t>LD-302628</t>
        </is>
      </c>
      <c r="B2630" t="inlineStr">
        <is>
          <t>2026-04-08 10:23:00</t>
        </is>
      </c>
      <c r="C2630" t="inlineStr">
        <is>
          <t>Organic Search</t>
        </is>
      </c>
      <c r="D2630" t="inlineStr">
        <is>
          <t>Competitive Exam Prep</t>
        </is>
      </c>
      <c r="E2630" t="inlineStr">
        <is>
          <t>East Region</t>
        </is>
      </c>
      <c r="F2630" t="inlineStr">
        <is>
          <t>Rep_09</t>
        </is>
      </c>
      <c r="G2630" t="n">
        <v>0.61</v>
      </c>
      <c r="H2630" t="inlineStr">
        <is>
          <t>Contacted</t>
        </is>
      </c>
      <c r="I2630" t="inlineStr">
        <is>
          <t>Open</t>
        </is>
      </c>
      <c r="M2630">
        <f>VLOOKUP(H2630,'Stage Order'!$A$2:$B$8,2,FALSE)</f>
        <v/>
      </c>
      <c r="N2630">
        <f>IF(G2630&lt;=1,"1. Under 1 hour",IF(G2630&lt;=24,"2. 1-24 hours",IF(G2630&lt;=72,"3. 1-3 days","4. Over 3 days")))</f>
        <v/>
      </c>
      <c r="O2630">
        <f>TEXT(B2630,"YYYY-MM")</f>
        <v/>
      </c>
    </row>
    <row r="2631">
      <c r="A2631" t="inlineStr">
        <is>
          <t>LD-302629</t>
        </is>
      </c>
      <c r="B2631" t="inlineStr">
        <is>
          <t>2025-02-14 17:06:00</t>
        </is>
      </c>
      <c r="C2631" t="inlineStr">
        <is>
          <t>Paid Search</t>
        </is>
      </c>
      <c r="D2631" t="inlineStr">
        <is>
          <t>Language Learning</t>
        </is>
      </c>
      <c r="E2631" t="inlineStr">
        <is>
          <t>International</t>
        </is>
      </c>
      <c r="F2631" t="inlineStr">
        <is>
          <t>Rep_10</t>
        </is>
      </c>
      <c r="G2631" t="n">
        <v>3.13</v>
      </c>
      <c r="H2631" t="inlineStr">
        <is>
          <t>Lead</t>
        </is>
      </c>
      <c r="I2631" t="inlineStr">
        <is>
          <t>Open</t>
        </is>
      </c>
      <c r="M2631">
        <f>VLOOKUP(H2631,'Stage Order'!$A$2:$B$8,2,FALSE)</f>
        <v/>
      </c>
      <c r="N2631">
        <f>IF(G2631&lt;=1,"1. Under 1 hour",IF(G2631&lt;=24,"2. 1-24 hours",IF(G2631&lt;=72,"3. 1-3 days","4. Over 3 days")))</f>
        <v/>
      </c>
      <c r="O2631">
        <f>TEXT(B2631,"YYYY-MM")</f>
        <v/>
      </c>
    </row>
    <row r="2632">
      <c r="A2632" t="inlineStr">
        <is>
          <t>LD-302630</t>
        </is>
      </c>
      <c r="B2632" t="inlineStr">
        <is>
          <t>2025-09-24 18:36:00</t>
        </is>
      </c>
      <c r="C2632" t="inlineStr">
        <is>
          <t>Paid Search</t>
        </is>
      </c>
      <c r="D2632" t="inlineStr">
        <is>
          <t>Coding for Kids</t>
        </is>
      </c>
      <c r="E2632" t="inlineStr">
        <is>
          <t>South Region</t>
        </is>
      </c>
      <c r="F2632" t="inlineStr">
        <is>
          <t>Rep_07</t>
        </is>
      </c>
      <c r="G2632" t="n">
        <v>4.99</v>
      </c>
      <c r="H2632" t="inlineStr">
        <is>
          <t>Proposal Sent</t>
        </is>
      </c>
      <c r="I2632" t="inlineStr">
        <is>
          <t>Lost</t>
        </is>
      </c>
      <c r="J2632" t="inlineStr">
        <is>
          <t>Went With Competitor</t>
        </is>
      </c>
      <c r="K2632" t="n">
        <v>743.86</v>
      </c>
      <c r="L2632" t="inlineStr">
        <is>
          <t>2025-10-22 00:18:25.338107</t>
        </is>
      </c>
      <c r="M2632">
        <f>VLOOKUP(H2632,'Stage Order'!$A$2:$B$8,2,FALSE)</f>
        <v/>
      </c>
      <c r="N2632">
        <f>IF(G2632&lt;=1,"1. Under 1 hour",IF(G2632&lt;=24,"2. 1-24 hours",IF(G2632&lt;=72,"3. 1-3 days","4. Over 3 days")))</f>
        <v/>
      </c>
      <c r="O2632">
        <f>TEXT(B2632,"YYYY-MM")</f>
        <v/>
      </c>
    </row>
    <row r="2633">
      <c r="A2633" t="inlineStr">
        <is>
          <t>LD-302631</t>
        </is>
      </c>
      <c r="B2633" t="inlineStr">
        <is>
          <t>2025-03-03 08:24:00</t>
        </is>
      </c>
      <c r="C2633" t="inlineStr">
        <is>
          <t>Social Media</t>
        </is>
      </c>
      <c r="D2633" t="inlineStr">
        <is>
          <t>Coding for Kids</t>
        </is>
      </c>
      <c r="E2633" t="inlineStr">
        <is>
          <t>International</t>
        </is>
      </c>
      <c r="F2633" t="inlineStr">
        <is>
          <t>Rep_05</t>
        </is>
      </c>
      <c r="G2633" t="n">
        <v>1.28</v>
      </c>
      <c r="H2633" t="inlineStr">
        <is>
          <t>Lead</t>
        </is>
      </c>
      <c r="I2633" t="inlineStr">
        <is>
          <t>Open</t>
        </is>
      </c>
      <c r="M2633">
        <f>VLOOKUP(H2633,'Stage Order'!$A$2:$B$8,2,FALSE)</f>
        <v/>
      </c>
      <c r="N2633">
        <f>IF(G2633&lt;=1,"1. Under 1 hour",IF(G2633&lt;=24,"2. 1-24 hours",IF(G2633&lt;=72,"3. 1-3 days","4. Over 3 days")))</f>
        <v/>
      </c>
      <c r="O2633">
        <f>TEXT(B2633,"YYYY-MM")</f>
        <v/>
      </c>
    </row>
    <row r="2634">
      <c r="A2634" t="inlineStr">
        <is>
          <t>LD-302632</t>
        </is>
      </c>
      <c r="B2634" t="inlineStr">
        <is>
          <t>2025-01-17 12:36:00</t>
        </is>
      </c>
      <c r="C2634" t="inlineStr">
        <is>
          <t>Social Media</t>
        </is>
      </c>
      <c r="D2634" t="inlineStr">
        <is>
          <t>Language Learning</t>
        </is>
      </c>
      <c r="E2634" t="inlineStr">
        <is>
          <t>West Region</t>
        </is>
      </c>
      <c r="F2634" t="inlineStr">
        <is>
          <t>Rep_08</t>
        </is>
      </c>
      <c r="G2634" t="n">
        <v>5.86</v>
      </c>
      <c r="H2634" t="inlineStr">
        <is>
          <t>Demo Completed</t>
        </is>
      </c>
      <c r="I2634" t="inlineStr">
        <is>
          <t>Lost</t>
        </is>
      </c>
      <c r="J2634" t="inlineStr">
        <is>
          <t>Price Objection</t>
        </is>
      </c>
      <c r="K2634" t="n">
        <v>294.94</v>
      </c>
      <c r="L2634" t="inlineStr">
        <is>
          <t>2025-02-09 08:05:28.206547</t>
        </is>
      </c>
      <c r="M2634">
        <f>VLOOKUP(H2634,'Stage Order'!$A$2:$B$8,2,FALSE)</f>
        <v/>
      </c>
      <c r="N2634">
        <f>IF(G2634&lt;=1,"1. Under 1 hour",IF(G2634&lt;=24,"2. 1-24 hours",IF(G2634&lt;=72,"3. 1-3 days","4. Over 3 days")))</f>
        <v/>
      </c>
      <c r="O2634">
        <f>TEXT(B2634,"YYYY-MM")</f>
        <v/>
      </c>
    </row>
    <row r="2635">
      <c r="A2635" t="inlineStr">
        <is>
          <t>LD-302633</t>
        </is>
      </c>
      <c r="B2635" t="inlineStr">
        <is>
          <t>2026-04-24 19:08:00</t>
        </is>
      </c>
      <c r="C2635" t="inlineStr">
        <is>
          <t>Social Media</t>
        </is>
      </c>
      <c r="D2635" t="inlineStr">
        <is>
          <t>Competitive Exam Prep</t>
        </is>
      </c>
      <c r="E2635" t="inlineStr">
        <is>
          <t>West Region</t>
        </is>
      </c>
      <c r="F2635" t="inlineStr">
        <is>
          <t>Rep_03</t>
        </is>
      </c>
      <c r="G2635" t="n">
        <v>19.16</v>
      </c>
      <c r="H2635" t="inlineStr">
        <is>
          <t>Contacted</t>
        </is>
      </c>
      <c r="I2635" t="inlineStr">
        <is>
          <t>Open</t>
        </is>
      </c>
      <c r="M2635">
        <f>VLOOKUP(H2635,'Stage Order'!$A$2:$B$8,2,FALSE)</f>
        <v/>
      </c>
      <c r="N2635">
        <f>IF(G2635&lt;=1,"1. Under 1 hour",IF(G2635&lt;=24,"2. 1-24 hours",IF(G2635&lt;=72,"3. 1-3 days","4. Over 3 days")))</f>
        <v/>
      </c>
      <c r="O2635">
        <f>TEXT(B2635,"YYYY-MM")</f>
        <v/>
      </c>
    </row>
    <row r="2636">
      <c r="A2636" t="inlineStr">
        <is>
          <t>LD-302634</t>
        </is>
      </c>
      <c r="B2636" t="inlineStr">
        <is>
          <t>2026-02-27 09:56:00</t>
        </is>
      </c>
      <c r="C2636" t="inlineStr">
        <is>
          <t>Social Media</t>
        </is>
      </c>
      <c r="D2636" t="inlineStr">
        <is>
          <t>K-12 Math</t>
        </is>
      </c>
      <c r="E2636" t="inlineStr">
        <is>
          <t>East Region</t>
        </is>
      </c>
      <c r="F2636" t="inlineStr">
        <is>
          <t>Rep_09</t>
        </is>
      </c>
      <c r="G2636" t="n">
        <v>4.23</v>
      </c>
      <c r="H2636" t="inlineStr">
        <is>
          <t>Lead</t>
        </is>
      </c>
      <c r="I2636" t="inlineStr">
        <is>
          <t>Open</t>
        </is>
      </c>
      <c r="M2636">
        <f>VLOOKUP(H2636,'Stage Order'!$A$2:$B$8,2,FALSE)</f>
        <v/>
      </c>
      <c r="N2636">
        <f>IF(G2636&lt;=1,"1. Under 1 hour",IF(G2636&lt;=24,"2. 1-24 hours",IF(G2636&lt;=72,"3. 1-3 days","4. Over 3 days")))</f>
        <v/>
      </c>
      <c r="O2636">
        <f>TEXT(B2636,"YYYY-MM")</f>
        <v/>
      </c>
    </row>
    <row r="2637">
      <c r="A2637" t="inlineStr">
        <is>
          <t>LD-302635</t>
        </is>
      </c>
      <c r="B2637" t="inlineStr">
        <is>
          <t>2025-07-01 12:12:00</t>
        </is>
      </c>
      <c r="C2637" t="inlineStr">
        <is>
          <t>Social Media</t>
        </is>
      </c>
      <c r="D2637" t="inlineStr">
        <is>
          <t>Competitive Exam Prep</t>
        </is>
      </c>
      <c r="E2637" t="inlineStr">
        <is>
          <t>North Region</t>
        </is>
      </c>
      <c r="F2637" t="inlineStr">
        <is>
          <t>Rep_11</t>
        </is>
      </c>
      <c r="G2637" t="n">
        <v>2.26</v>
      </c>
      <c r="H2637" t="inlineStr">
        <is>
          <t>Proposal Sent</t>
        </is>
      </c>
      <c r="I2637" t="inlineStr">
        <is>
          <t>Lost</t>
        </is>
      </c>
      <c r="J2637" t="inlineStr">
        <is>
          <t>Price Objection</t>
        </is>
      </c>
      <c r="K2637" t="n">
        <v>1060.01</v>
      </c>
      <c r="L2637" t="inlineStr">
        <is>
          <t>2025-07-29 00:39:53.371043</t>
        </is>
      </c>
      <c r="M2637">
        <f>VLOOKUP(H2637,'Stage Order'!$A$2:$B$8,2,FALSE)</f>
        <v/>
      </c>
      <c r="N2637">
        <f>IF(G2637&lt;=1,"1. Under 1 hour",IF(G2637&lt;=24,"2. 1-24 hours",IF(G2637&lt;=72,"3. 1-3 days","4. Over 3 days")))</f>
        <v/>
      </c>
      <c r="O2637">
        <f>TEXT(B2637,"YYYY-MM")</f>
        <v/>
      </c>
    </row>
    <row r="2638">
      <c r="A2638" t="inlineStr">
        <is>
          <t>LD-302636</t>
        </is>
      </c>
      <c r="B2638" t="inlineStr">
        <is>
          <t>2025-08-20 09:04:00</t>
        </is>
      </c>
      <c r="C2638" t="inlineStr">
        <is>
          <t>Cold Outreach</t>
        </is>
      </c>
      <c r="D2638" t="inlineStr">
        <is>
          <t>Competitive Exam Prep</t>
        </is>
      </c>
      <c r="E2638" t="inlineStr">
        <is>
          <t>North Region</t>
        </is>
      </c>
      <c r="F2638" t="inlineStr">
        <is>
          <t>Rep_01</t>
        </is>
      </c>
      <c r="G2638" t="n">
        <v>4.41</v>
      </c>
      <c r="H2638" t="inlineStr">
        <is>
          <t>Lead</t>
        </is>
      </c>
      <c r="I2638" t="inlineStr">
        <is>
          <t>Open</t>
        </is>
      </c>
      <c r="M2638">
        <f>VLOOKUP(H2638,'Stage Order'!$A$2:$B$8,2,FALSE)</f>
        <v/>
      </c>
      <c r="N2638">
        <f>IF(G2638&lt;=1,"1. Under 1 hour",IF(G2638&lt;=24,"2. 1-24 hours",IF(G2638&lt;=72,"3. 1-3 days","4. Over 3 days")))</f>
        <v/>
      </c>
      <c r="O2638">
        <f>TEXT(B2638,"YYYY-MM")</f>
        <v/>
      </c>
    </row>
    <row r="2639">
      <c r="A2639" t="inlineStr">
        <is>
          <t>LD-302637</t>
        </is>
      </c>
      <c r="B2639" t="inlineStr">
        <is>
          <t>2025-02-24 10:30:00</t>
        </is>
      </c>
      <c r="C2639" t="inlineStr">
        <is>
          <t>Cold Outreach</t>
        </is>
      </c>
      <c r="D2639" t="inlineStr">
        <is>
          <t>K-12 Math</t>
        </is>
      </c>
      <c r="E2639" t="inlineStr">
        <is>
          <t>North Region</t>
        </is>
      </c>
      <c r="F2639" t="inlineStr">
        <is>
          <t>Rep_06</t>
        </is>
      </c>
      <c r="G2639" t="n">
        <v>2.75</v>
      </c>
      <c r="H2639" t="inlineStr">
        <is>
          <t>Lead</t>
        </is>
      </c>
      <c r="I2639" t="inlineStr">
        <is>
          <t>Open</t>
        </is>
      </c>
      <c r="M2639">
        <f>VLOOKUP(H2639,'Stage Order'!$A$2:$B$8,2,FALSE)</f>
        <v/>
      </c>
      <c r="N2639">
        <f>IF(G2639&lt;=1,"1. Under 1 hour",IF(G2639&lt;=24,"2. 1-24 hours",IF(G2639&lt;=72,"3. 1-3 days","4. Over 3 days")))</f>
        <v/>
      </c>
      <c r="O2639">
        <f>TEXT(B2639,"YYYY-MM")</f>
        <v/>
      </c>
    </row>
    <row r="2640">
      <c r="A2640" t="inlineStr">
        <is>
          <t>LD-302638</t>
        </is>
      </c>
      <c r="B2640" t="inlineStr">
        <is>
          <t>2025-08-21 17:07:00</t>
        </is>
      </c>
      <c r="C2640" t="inlineStr">
        <is>
          <t>Paid Search</t>
        </is>
      </c>
      <c r="D2640" t="inlineStr">
        <is>
          <t>Language Learning</t>
        </is>
      </c>
      <c r="E2640" t="inlineStr">
        <is>
          <t>West Region</t>
        </is>
      </c>
      <c r="F2640" t="inlineStr">
        <is>
          <t>Rep_03</t>
        </is>
      </c>
      <c r="G2640" t="n">
        <v>17.25</v>
      </c>
      <c r="H2640" t="inlineStr">
        <is>
          <t>Lead</t>
        </is>
      </c>
      <c r="I2640" t="inlineStr">
        <is>
          <t>Open</t>
        </is>
      </c>
      <c r="M2640">
        <f>VLOOKUP(H2640,'Stage Order'!$A$2:$B$8,2,FALSE)</f>
        <v/>
      </c>
      <c r="N2640">
        <f>IF(G2640&lt;=1,"1. Under 1 hour",IF(G2640&lt;=24,"2. 1-24 hours",IF(G2640&lt;=72,"3. 1-3 days","4. Over 3 days")))</f>
        <v/>
      </c>
      <c r="O2640">
        <f>TEXT(B2640,"YYYY-MM")</f>
        <v/>
      </c>
    </row>
    <row r="2641">
      <c r="A2641" t="inlineStr">
        <is>
          <t>LD-302639</t>
        </is>
      </c>
      <c r="B2641" t="inlineStr">
        <is>
          <t>2026-04-29 19:21:00</t>
        </is>
      </c>
      <c r="C2641" t="inlineStr">
        <is>
          <t>Organic Search</t>
        </is>
      </c>
      <c r="D2641" t="inlineStr">
        <is>
          <t>K-12 Math</t>
        </is>
      </c>
      <c r="E2641" t="inlineStr">
        <is>
          <t>East Region</t>
        </is>
      </c>
      <c r="F2641" t="inlineStr">
        <is>
          <t>Rep_09</t>
        </is>
      </c>
      <c r="G2641" t="n">
        <v>1.68</v>
      </c>
      <c r="H2641" t="inlineStr">
        <is>
          <t>Contacted</t>
        </is>
      </c>
      <c r="I2641" t="inlineStr">
        <is>
          <t>Open</t>
        </is>
      </c>
      <c r="M2641">
        <f>VLOOKUP(H2641,'Stage Order'!$A$2:$B$8,2,FALSE)</f>
        <v/>
      </c>
      <c r="N2641">
        <f>IF(G2641&lt;=1,"1. Under 1 hour",IF(G2641&lt;=24,"2. 1-24 hours",IF(G2641&lt;=72,"3. 1-3 days","4. Over 3 days")))</f>
        <v/>
      </c>
      <c r="O2641">
        <f>TEXT(B2641,"YYYY-MM")</f>
        <v/>
      </c>
    </row>
    <row r="2642">
      <c r="A2642" t="inlineStr">
        <is>
          <t>LD-302640</t>
        </is>
      </c>
      <c r="B2642" t="inlineStr">
        <is>
          <t>2026-04-08 14:44:00</t>
        </is>
      </c>
      <c r="C2642" t="inlineStr">
        <is>
          <t>Referral</t>
        </is>
      </c>
      <c r="D2642" t="inlineStr">
        <is>
          <t>K-12 Math</t>
        </is>
      </c>
      <c r="E2642" t="inlineStr">
        <is>
          <t>East Region</t>
        </is>
      </c>
      <c r="F2642" t="inlineStr">
        <is>
          <t>Rep_04</t>
        </is>
      </c>
      <c r="G2642" t="n">
        <v>0.79</v>
      </c>
      <c r="H2642" t="inlineStr">
        <is>
          <t>Contacted</t>
        </is>
      </c>
      <c r="I2642" t="inlineStr">
        <is>
          <t>Open</t>
        </is>
      </c>
      <c r="M2642">
        <f>VLOOKUP(H2642,'Stage Order'!$A$2:$B$8,2,FALSE)</f>
        <v/>
      </c>
      <c r="N2642">
        <f>IF(G2642&lt;=1,"1. Under 1 hour",IF(G2642&lt;=24,"2. 1-24 hours",IF(G2642&lt;=72,"3. 1-3 days","4. Over 3 days")))</f>
        <v/>
      </c>
      <c r="O2642">
        <f>TEXT(B2642,"YYYY-MM")</f>
        <v/>
      </c>
    </row>
    <row r="2643">
      <c r="A2643" t="inlineStr">
        <is>
          <t>LD-302641</t>
        </is>
      </c>
      <c r="B2643" t="inlineStr">
        <is>
          <t>2026-01-16 07:17:00</t>
        </is>
      </c>
      <c r="C2643" t="inlineStr">
        <is>
          <t>Paid Search</t>
        </is>
      </c>
      <c r="D2643" t="inlineStr">
        <is>
          <t>Language Learning</t>
        </is>
      </c>
      <c r="E2643" t="inlineStr">
        <is>
          <t>West Region</t>
        </is>
      </c>
      <c r="F2643" t="inlineStr">
        <is>
          <t>Rep_08</t>
        </is>
      </c>
      <c r="G2643" t="n">
        <v>5.1</v>
      </c>
      <c r="H2643" t="inlineStr">
        <is>
          <t>Closed</t>
        </is>
      </c>
      <c r="I2643" t="inlineStr">
        <is>
          <t>Won</t>
        </is>
      </c>
      <c r="K2643" t="n">
        <v>342.17</v>
      </c>
      <c r="L2643" t="inlineStr">
        <is>
          <t>2026-03-02 11:27:42.977535</t>
        </is>
      </c>
      <c r="M2643">
        <f>VLOOKUP(H2643,'Stage Order'!$A$2:$B$8,2,FALSE)</f>
        <v/>
      </c>
      <c r="N2643">
        <f>IF(G2643&lt;=1,"1. Under 1 hour",IF(G2643&lt;=24,"2. 1-24 hours",IF(G2643&lt;=72,"3. 1-3 days","4. Over 3 days")))</f>
        <v/>
      </c>
      <c r="O2643">
        <f>TEXT(B2643,"YYYY-MM")</f>
        <v/>
      </c>
    </row>
    <row r="2644">
      <c r="A2644" t="inlineStr">
        <is>
          <t>LD-302642</t>
        </is>
      </c>
      <c r="B2644" t="inlineStr">
        <is>
          <t>2025-11-13 12:36:00</t>
        </is>
      </c>
      <c r="C2644" t="inlineStr">
        <is>
          <t>Paid Search</t>
        </is>
      </c>
      <c r="D2644" t="inlineStr">
        <is>
          <t>Coding for Kids</t>
        </is>
      </c>
      <c r="E2644" t="inlineStr">
        <is>
          <t>West Region</t>
        </is>
      </c>
      <c r="F2644" t="inlineStr">
        <is>
          <t>Rep_08</t>
        </is>
      </c>
      <c r="G2644" t="n">
        <v>20.93</v>
      </c>
      <c r="H2644" t="inlineStr">
        <is>
          <t>Contacted</t>
        </is>
      </c>
      <c r="I2644" t="inlineStr">
        <is>
          <t>Open</t>
        </is>
      </c>
      <c r="M2644">
        <f>VLOOKUP(H2644,'Stage Order'!$A$2:$B$8,2,FALSE)</f>
        <v/>
      </c>
      <c r="N2644">
        <f>IF(G2644&lt;=1,"1. Under 1 hour",IF(G2644&lt;=24,"2. 1-24 hours",IF(G2644&lt;=72,"3. 1-3 days","4. Over 3 days")))</f>
        <v/>
      </c>
      <c r="O2644">
        <f>TEXT(B2644,"YYYY-MM")</f>
        <v/>
      </c>
    </row>
    <row r="2645">
      <c r="A2645" t="inlineStr">
        <is>
          <t>LD-302643</t>
        </is>
      </c>
      <c r="B2645" t="inlineStr">
        <is>
          <t>2025-03-11 17:45:00</t>
        </is>
      </c>
      <c r="C2645" t="inlineStr">
        <is>
          <t>Organic Search</t>
        </is>
      </c>
      <c r="D2645" t="inlineStr">
        <is>
          <t>Competitive Exam Prep</t>
        </is>
      </c>
      <c r="E2645" t="inlineStr">
        <is>
          <t>North Region</t>
        </is>
      </c>
      <c r="F2645" t="inlineStr">
        <is>
          <t>Rep_06</t>
        </is>
      </c>
      <c r="G2645" t="n">
        <v>3.81</v>
      </c>
      <c r="H2645" t="inlineStr">
        <is>
          <t>Contacted</t>
        </is>
      </c>
      <c r="I2645" t="inlineStr">
        <is>
          <t>Open</t>
        </is>
      </c>
      <c r="M2645">
        <f>VLOOKUP(H2645,'Stage Order'!$A$2:$B$8,2,FALSE)</f>
        <v/>
      </c>
      <c r="N2645">
        <f>IF(G2645&lt;=1,"1. Under 1 hour",IF(G2645&lt;=24,"2. 1-24 hours",IF(G2645&lt;=72,"3. 1-3 days","4. Over 3 days")))</f>
        <v/>
      </c>
      <c r="O2645">
        <f>TEXT(B2645,"YYYY-MM")</f>
        <v/>
      </c>
    </row>
    <row r="2646">
      <c r="A2646" t="inlineStr">
        <is>
          <t>LD-302644</t>
        </is>
      </c>
      <c r="B2646" t="inlineStr">
        <is>
          <t>2026-04-29 17:09:00</t>
        </is>
      </c>
      <c r="C2646" t="inlineStr">
        <is>
          <t>Organic Search</t>
        </is>
      </c>
      <c r="D2646" t="inlineStr">
        <is>
          <t>Competitive Exam Prep</t>
        </is>
      </c>
      <c r="E2646" t="inlineStr">
        <is>
          <t>North Region</t>
        </is>
      </c>
      <c r="F2646" t="inlineStr">
        <is>
          <t>Rep_01</t>
        </is>
      </c>
      <c r="G2646" t="n">
        <v>2.79</v>
      </c>
      <c r="H2646" t="inlineStr">
        <is>
          <t>Proposal Sent</t>
        </is>
      </c>
      <c r="I2646" t="inlineStr">
        <is>
          <t>Lost</t>
        </is>
      </c>
      <c r="J2646" t="inlineStr">
        <is>
          <t>Budget Not Approved</t>
        </is>
      </c>
      <c r="K2646" t="n">
        <v>981.71</v>
      </c>
      <c r="L2646" t="inlineStr">
        <is>
          <t>2026-06-14 06:51:54.629217</t>
        </is>
      </c>
      <c r="M2646">
        <f>VLOOKUP(H2646,'Stage Order'!$A$2:$B$8,2,FALSE)</f>
        <v/>
      </c>
      <c r="N2646">
        <f>IF(G2646&lt;=1,"1. Under 1 hour",IF(G2646&lt;=24,"2. 1-24 hours",IF(G2646&lt;=72,"3. 1-3 days","4. Over 3 days")))</f>
        <v/>
      </c>
      <c r="O2646">
        <f>TEXT(B2646,"YYYY-MM")</f>
        <v/>
      </c>
    </row>
    <row r="2647">
      <c r="A2647" t="inlineStr">
        <is>
          <t>LD-302645</t>
        </is>
      </c>
      <c r="B2647" t="inlineStr">
        <is>
          <t>2026-05-01 11:00:00</t>
        </is>
      </c>
      <c r="C2647" t="inlineStr">
        <is>
          <t>Social Media</t>
        </is>
      </c>
      <c r="D2647" t="inlineStr">
        <is>
          <t>Study Abroad Prep</t>
        </is>
      </c>
      <c r="E2647" t="inlineStr">
        <is>
          <t>West Region</t>
        </is>
      </c>
      <c r="F2647" t="inlineStr">
        <is>
          <t>Rep_03</t>
        </is>
      </c>
      <c r="G2647" t="n">
        <v>4.41</v>
      </c>
      <c r="H2647" t="inlineStr">
        <is>
          <t>Lead</t>
        </is>
      </c>
      <c r="I2647" t="inlineStr">
        <is>
          <t>Open</t>
        </is>
      </c>
      <c r="M2647">
        <f>VLOOKUP(H2647,'Stage Order'!$A$2:$B$8,2,FALSE)</f>
        <v/>
      </c>
      <c r="N2647">
        <f>IF(G2647&lt;=1,"1. Under 1 hour",IF(G2647&lt;=24,"2. 1-24 hours",IF(G2647&lt;=72,"3. 1-3 days","4. Over 3 days")))</f>
        <v/>
      </c>
      <c r="O2647">
        <f>TEXT(B2647,"YYYY-MM")</f>
        <v/>
      </c>
    </row>
    <row r="2648">
      <c r="A2648" t="inlineStr">
        <is>
          <t>LD-302646</t>
        </is>
      </c>
      <c r="B2648" t="inlineStr">
        <is>
          <t>2025-03-26 14:28:00</t>
        </is>
      </c>
      <c r="C2648" t="inlineStr">
        <is>
          <t>Webinar</t>
        </is>
      </c>
      <c r="D2648" t="inlineStr">
        <is>
          <t>Study Abroad Prep</t>
        </is>
      </c>
      <c r="E2648" t="inlineStr">
        <is>
          <t>South Region</t>
        </is>
      </c>
      <c r="F2648" t="inlineStr">
        <is>
          <t>Rep_02</t>
        </is>
      </c>
      <c r="G2648" t="n">
        <v>0.92</v>
      </c>
      <c r="H2648" t="inlineStr">
        <is>
          <t>Closed</t>
        </is>
      </c>
      <c r="I2648" t="inlineStr">
        <is>
          <t>Won</t>
        </is>
      </c>
      <c r="K2648" t="n">
        <v>1678.4</v>
      </c>
      <c r="L2648" t="inlineStr">
        <is>
          <t>2025-04-27 08:08:03.765990</t>
        </is>
      </c>
      <c r="M2648">
        <f>VLOOKUP(H2648,'Stage Order'!$A$2:$B$8,2,FALSE)</f>
        <v/>
      </c>
      <c r="N2648">
        <f>IF(G2648&lt;=1,"1. Under 1 hour",IF(G2648&lt;=24,"2. 1-24 hours",IF(G2648&lt;=72,"3. 1-3 days","4. Over 3 days")))</f>
        <v/>
      </c>
      <c r="O2648">
        <f>TEXT(B2648,"YYYY-MM")</f>
        <v/>
      </c>
    </row>
    <row r="2649">
      <c r="A2649" t="inlineStr">
        <is>
          <t>LD-302647</t>
        </is>
      </c>
      <c r="B2649" t="inlineStr">
        <is>
          <t>2026-04-03 10:44:00</t>
        </is>
      </c>
      <c r="C2649" t="inlineStr">
        <is>
          <t>Organic Search</t>
        </is>
      </c>
      <c r="D2649" t="inlineStr">
        <is>
          <t>Coding for Kids</t>
        </is>
      </c>
      <c r="E2649" t="inlineStr">
        <is>
          <t>East Region</t>
        </is>
      </c>
      <c r="F2649" t="inlineStr">
        <is>
          <t>Rep_14</t>
        </is>
      </c>
      <c r="G2649" t="n">
        <v>3.97</v>
      </c>
      <c r="H2649" t="inlineStr">
        <is>
          <t>Lead</t>
        </is>
      </c>
      <c r="I2649" t="inlineStr">
        <is>
          <t>Open</t>
        </is>
      </c>
      <c r="M2649">
        <f>VLOOKUP(H2649,'Stage Order'!$A$2:$B$8,2,FALSE)</f>
        <v/>
      </c>
      <c r="N2649">
        <f>IF(G2649&lt;=1,"1. Under 1 hour",IF(G2649&lt;=24,"2. 1-24 hours",IF(G2649&lt;=72,"3. 1-3 days","4. Over 3 days")))</f>
        <v/>
      </c>
      <c r="O2649">
        <f>TEXT(B2649,"YYYY-MM")</f>
        <v/>
      </c>
    </row>
    <row r="2650">
      <c r="A2650" t="inlineStr">
        <is>
          <t>LD-302648</t>
        </is>
      </c>
      <c r="B2650" t="inlineStr">
        <is>
          <t>2025-03-04 09:08:00</t>
        </is>
      </c>
      <c r="C2650" t="inlineStr">
        <is>
          <t>Organic Search</t>
        </is>
      </c>
      <c r="D2650" t="inlineStr">
        <is>
          <t>Competitive Exam Prep</t>
        </is>
      </c>
      <c r="E2650" t="inlineStr">
        <is>
          <t>South Region</t>
        </is>
      </c>
      <c r="F2650" t="inlineStr">
        <is>
          <t>Rep_07</t>
        </is>
      </c>
      <c r="G2650" t="n">
        <v>1.28</v>
      </c>
      <c r="H2650" t="inlineStr">
        <is>
          <t>Contacted</t>
        </is>
      </c>
      <c r="I2650" t="inlineStr">
        <is>
          <t>Open</t>
        </is>
      </c>
      <c r="M2650">
        <f>VLOOKUP(H2650,'Stage Order'!$A$2:$B$8,2,FALSE)</f>
        <v/>
      </c>
      <c r="N2650">
        <f>IF(G2650&lt;=1,"1. Under 1 hour",IF(G2650&lt;=24,"2. 1-24 hours",IF(G2650&lt;=72,"3. 1-3 days","4. Over 3 days")))</f>
        <v/>
      </c>
      <c r="O2650">
        <f>TEXT(B2650,"YYYY-MM")</f>
        <v/>
      </c>
    </row>
    <row r="2651">
      <c r="A2651" t="inlineStr">
        <is>
          <t>LD-302649</t>
        </is>
      </c>
      <c r="B2651" t="inlineStr">
        <is>
          <t>2025-01-03 14:27:00</t>
        </is>
      </c>
      <c r="C2651" t="inlineStr">
        <is>
          <t>Cold Outreach</t>
        </is>
      </c>
      <c r="D2651" t="inlineStr">
        <is>
          <t>Coding for Kids</t>
        </is>
      </c>
      <c r="E2651" t="inlineStr">
        <is>
          <t>North Region</t>
        </is>
      </c>
      <c r="F2651" t="inlineStr">
        <is>
          <t>Rep_01</t>
        </is>
      </c>
      <c r="G2651" t="n">
        <v>3.63</v>
      </c>
      <c r="H2651" t="inlineStr">
        <is>
          <t>Contacted</t>
        </is>
      </c>
      <c r="I2651" t="inlineStr">
        <is>
          <t>Open</t>
        </is>
      </c>
      <c r="M2651">
        <f>VLOOKUP(H2651,'Stage Order'!$A$2:$B$8,2,FALSE)</f>
        <v/>
      </c>
      <c r="N2651">
        <f>IF(G2651&lt;=1,"1. Under 1 hour",IF(G2651&lt;=24,"2. 1-24 hours",IF(G2651&lt;=72,"3. 1-3 days","4. Over 3 days")))</f>
        <v/>
      </c>
      <c r="O2651">
        <f>TEXT(B2651,"YYYY-MM")</f>
        <v/>
      </c>
    </row>
    <row r="2652">
      <c r="A2652" t="inlineStr">
        <is>
          <t>LD-302650</t>
        </is>
      </c>
      <c r="B2652" t="inlineStr">
        <is>
          <t>2025-01-17 12:56:00</t>
        </is>
      </c>
      <c r="C2652" t="inlineStr">
        <is>
          <t>Webinar</t>
        </is>
      </c>
      <c r="D2652" t="inlineStr">
        <is>
          <t>Competitive Exam Prep</t>
        </is>
      </c>
      <c r="E2652" t="inlineStr">
        <is>
          <t>West Region</t>
        </is>
      </c>
      <c r="F2652" t="inlineStr">
        <is>
          <t>Rep_13</t>
        </is>
      </c>
      <c r="G2652" t="n">
        <v>1.3</v>
      </c>
      <c r="H2652" t="inlineStr">
        <is>
          <t>Contacted</t>
        </is>
      </c>
      <c r="I2652" t="inlineStr">
        <is>
          <t>Open</t>
        </is>
      </c>
      <c r="M2652">
        <f>VLOOKUP(H2652,'Stage Order'!$A$2:$B$8,2,FALSE)</f>
        <v/>
      </c>
      <c r="N2652">
        <f>IF(G2652&lt;=1,"1. Under 1 hour",IF(G2652&lt;=24,"2. 1-24 hours",IF(G2652&lt;=72,"3. 1-3 days","4. Over 3 days")))</f>
        <v/>
      </c>
      <c r="O2652">
        <f>TEXT(B2652,"YYYY-MM")</f>
        <v/>
      </c>
    </row>
    <row r="2653">
      <c r="A2653" t="inlineStr">
        <is>
          <t>LD-302651</t>
        </is>
      </c>
      <c r="B2653" t="inlineStr">
        <is>
          <t>2025-06-24 15:29:00</t>
        </is>
      </c>
      <c r="C2653" t="inlineStr">
        <is>
          <t>Webinar</t>
        </is>
      </c>
      <c r="D2653" t="inlineStr">
        <is>
          <t>Study Abroad Prep</t>
        </is>
      </c>
      <c r="E2653" t="inlineStr">
        <is>
          <t>North Region</t>
        </is>
      </c>
      <c r="F2653" t="inlineStr">
        <is>
          <t>Rep_01</t>
        </is>
      </c>
      <c r="G2653" t="n">
        <v>3.35</v>
      </c>
      <c r="H2653" t="inlineStr">
        <is>
          <t>Contacted</t>
        </is>
      </c>
      <c r="I2653" t="inlineStr">
        <is>
          <t>Open</t>
        </is>
      </c>
      <c r="M2653">
        <f>VLOOKUP(H2653,'Stage Order'!$A$2:$B$8,2,FALSE)</f>
        <v/>
      </c>
      <c r="N2653">
        <f>IF(G2653&lt;=1,"1. Under 1 hour",IF(G2653&lt;=24,"2. 1-24 hours",IF(G2653&lt;=72,"3. 1-3 days","4. Over 3 days")))</f>
        <v/>
      </c>
      <c r="O2653">
        <f>TEXT(B2653,"YYYY-MM")</f>
        <v/>
      </c>
    </row>
    <row r="2654">
      <c r="A2654" t="inlineStr">
        <is>
          <t>LD-302652</t>
        </is>
      </c>
      <c r="B2654" t="inlineStr">
        <is>
          <t>2025-04-18 20:26:00</t>
        </is>
      </c>
      <c r="C2654" t="inlineStr">
        <is>
          <t>Social Media</t>
        </is>
      </c>
      <c r="D2654" t="inlineStr">
        <is>
          <t>Study Abroad Prep</t>
        </is>
      </c>
      <c r="E2654" t="inlineStr">
        <is>
          <t>International</t>
        </is>
      </c>
      <c r="F2654" t="inlineStr">
        <is>
          <t>Rep_05</t>
        </is>
      </c>
      <c r="G2654" t="n">
        <v>1.62</v>
      </c>
      <c r="H2654" t="inlineStr">
        <is>
          <t>Lead</t>
        </is>
      </c>
      <c r="I2654" t="inlineStr">
        <is>
          <t>Open</t>
        </is>
      </c>
      <c r="M2654">
        <f>VLOOKUP(H2654,'Stage Order'!$A$2:$B$8,2,FALSE)</f>
        <v/>
      </c>
      <c r="N2654">
        <f>IF(G2654&lt;=1,"1. Under 1 hour",IF(G2654&lt;=24,"2. 1-24 hours",IF(G2654&lt;=72,"3. 1-3 days","4. Over 3 days")))</f>
        <v/>
      </c>
      <c r="O2654">
        <f>TEXT(B2654,"YYYY-MM")</f>
        <v/>
      </c>
    </row>
    <row r="2655">
      <c r="A2655" t="inlineStr">
        <is>
          <t>LD-302653</t>
        </is>
      </c>
      <c r="B2655" t="inlineStr">
        <is>
          <t>2026-06-02 19:33:00</t>
        </is>
      </c>
      <c r="C2655" t="inlineStr">
        <is>
          <t>Webinar</t>
        </is>
      </c>
      <c r="D2655" t="inlineStr">
        <is>
          <t>Competitive Exam Prep</t>
        </is>
      </c>
      <c r="E2655" t="inlineStr">
        <is>
          <t>North Region</t>
        </is>
      </c>
      <c r="F2655" t="inlineStr">
        <is>
          <t>Rep_11</t>
        </is>
      </c>
      <c r="G2655" t="n">
        <v>1.68</v>
      </c>
      <c r="H2655" t="inlineStr">
        <is>
          <t>Contacted</t>
        </is>
      </c>
      <c r="I2655" t="inlineStr">
        <is>
          <t>Open</t>
        </is>
      </c>
      <c r="M2655">
        <f>VLOOKUP(H2655,'Stage Order'!$A$2:$B$8,2,FALSE)</f>
        <v/>
      </c>
      <c r="N2655">
        <f>IF(G2655&lt;=1,"1. Under 1 hour",IF(G2655&lt;=24,"2. 1-24 hours",IF(G2655&lt;=72,"3. 1-3 days","4. Over 3 days")))</f>
        <v/>
      </c>
      <c r="O2655">
        <f>TEXT(B2655,"YYYY-MM")</f>
        <v/>
      </c>
    </row>
    <row r="2656">
      <c r="A2656" t="inlineStr">
        <is>
          <t>LD-302654</t>
        </is>
      </c>
      <c r="B2656" t="inlineStr">
        <is>
          <t>2026-05-08 14:25:00</t>
        </is>
      </c>
      <c r="C2656" t="inlineStr">
        <is>
          <t>Referral</t>
        </is>
      </c>
      <c r="D2656" t="inlineStr">
        <is>
          <t>Coding for Kids</t>
        </is>
      </c>
      <c r="E2656" t="inlineStr">
        <is>
          <t>East Region</t>
        </is>
      </c>
      <c r="F2656" t="inlineStr">
        <is>
          <t>Rep_14</t>
        </is>
      </c>
      <c r="G2656" t="n">
        <v>3.32</v>
      </c>
      <c r="H2656" t="inlineStr">
        <is>
          <t>Contacted</t>
        </is>
      </c>
      <c r="I2656" t="inlineStr">
        <is>
          <t>Open</t>
        </is>
      </c>
      <c r="M2656">
        <f>VLOOKUP(H2656,'Stage Order'!$A$2:$B$8,2,FALSE)</f>
        <v/>
      </c>
      <c r="N2656">
        <f>IF(G2656&lt;=1,"1. Under 1 hour",IF(G2656&lt;=24,"2. 1-24 hours",IF(G2656&lt;=72,"3. 1-3 days","4. Over 3 days")))</f>
        <v/>
      </c>
      <c r="O2656">
        <f>TEXT(B2656,"YYYY-MM")</f>
        <v/>
      </c>
    </row>
    <row r="2657">
      <c r="A2657" t="inlineStr">
        <is>
          <t>LD-302655</t>
        </is>
      </c>
      <c r="B2657" t="inlineStr">
        <is>
          <t>2025-12-05 10:39:00</t>
        </is>
      </c>
      <c r="C2657" t="inlineStr">
        <is>
          <t>Referral</t>
        </is>
      </c>
      <c r="D2657" t="inlineStr">
        <is>
          <t>Coding for Kids</t>
        </is>
      </c>
      <c r="E2657" t="inlineStr">
        <is>
          <t>North Region</t>
        </is>
      </c>
      <c r="F2657" t="inlineStr">
        <is>
          <t>Rep_01</t>
        </is>
      </c>
      <c r="G2657" t="n">
        <v>0.6</v>
      </c>
      <c r="H2657" t="inlineStr">
        <is>
          <t>Closed</t>
        </is>
      </c>
      <c r="I2657" t="inlineStr">
        <is>
          <t>Won</t>
        </is>
      </c>
      <c r="K2657" t="n">
        <v>753.21</v>
      </c>
      <c r="L2657" t="inlineStr">
        <is>
          <t>2026-01-10 20:32:23.945659</t>
        </is>
      </c>
      <c r="M2657">
        <f>VLOOKUP(H2657,'Stage Order'!$A$2:$B$8,2,FALSE)</f>
        <v/>
      </c>
      <c r="N2657">
        <f>IF(G2657&lt;=1,"1. Under 1 hour",IF(G2657&lt;=24,"2. 1-24 hours",IF(G2657&lt;=72,"3. 1-3 days","4. Over 3 days")))</f>
        <v/>
      </c>
      <c r="O2657">
        <f>TEXT(B2657,"YYYY-MM")</f>
        <v/>
      </c>
    </row>
    <row r="2658">
      <c r="A2658" t="inlineStr">
        <is>
          <t>LD-302656</t>
        </is>
      </c>
      <c r="B2658" t="inlineStr">
        <is>
          <t>2026-04-03 18:52:00</t>
        </is>
      </c>
      <c r="C2658" t="inlineStr">
        <is>
          <t>Webinar</t>
        </is>
      </c>
      <c r="D2658" t="inlineStr">
        <is>
          <t>Language Learning</t>
        </is>
      </c>
      <c r="E2658" t="inlineStr">
        <is>
          <t>North Region</t>
        </is>
      </c>
      <c r="F2658" t="inlineStr">
        <is>
          <t>Rep_11</t>
        </is>
      </c>
      <c r="G2658" t="n">
        <v>10.13</v>
      </c>
      <c r="H2658" t="inlineStr">
        <is>
          <t>Contacted</t>
        </is>
      </c>
      <c r="I2658" t="inlineStr">
        <is>
          <t>Open</t>
        </is>
      </c>
      <c r="M2658">
        <f>VLOOKUP(H2658,'Stage Order'!$A$2:$B$8,2,FALSE)</f>
        <v/>
      </c>
      <c r="N2658">
        <f>IF(G2658&lt;=1,"1. Under 1 hour",IF(G2658&lt;=24,"2. 1-24 hours",IF(G2658&lt;=72,"3. 1-3 days","4. Over 3 days")))</f>
        <v/>
      </c>
      <c r="O2658">
        <f>TEXT(B2658,"YYYY-MM")</f>
        <v/>
      </c>
    </row>
    <row r="2659">
      <c r="A2659" t="inlineStr">
        <is>
          <t>LD-302657</t>
        </is>
      </c>
      <c r="B2659" t="inlineStr">
        <is>
          <t>2025-08-20 20:09:00</t>
        </is>
      </c>
      <c r="C2659" t="inlineStr">
        <is>
          <t>Organic Search</t>
        </is>
      </c>
      <c r="D2659" t="inlineStr">
        <is>
          <t>Competitive Exam Prep</t>
        </is>
      </c>
      <c r="E2659" t="inlineStr">
        <is>
          <t>International</t>
        </is>
      </c>
      <c r="F2659" t="inlineStr">
        <is>
          <t>Rep_05</t>
        </is>
      </c>
      <c r="G2659" t="n">
        <v>2.5</v>
      </c>
      <c r="H2659" t="inlineStr">
        <is>
          <t>Contacted</t>
        </is>
      </c>
      <c r="I2659" t="inlineStr">
        <is>
          <t>Open</t>
        </is>
      </c>
      <c r="M2659">
        <f>VLOOKUP(H2659,'Stage Order'!$A$2:$B$8,2,FALSE)</f>
        <v/>
      </c>
      <c r="N2659">
        <f>IF(G2659&lt;=1,"1. Under 1 hour",IF(G2659&lt;=24,"2. 1-24 hours",IF(G2659&lt;=72,"3. 1-3 days","4. Over 3 days")))</f>
        <v/>
      </c>
      <c r="O2659">
        <f>TEXT(B2659,"YYYY-MM")</f>
        <v/>
      </c>
    </row>
    <row r="2660">
      <c r="A2660" t="inlineStr">
        <is>
          <t>LD-302658</t>
        </is>
      </c>
      <c r="B2660" t="inlineStr">
        <is>
          <t>2025-10-29 19:05:00</t>
        </is>
      </c>
      <c r="C2660" t="inlineStr">
        <is>
          <t>Cold Outreach</t>
        </is>
      </c>
      <c r="D2660" t="inlineStr">
        <is>
          <t>Competitive Exam Prep</t>
        </is>
      </c>
      <c r="E2660" t="inlineStr">
        <is>
          <t>West Region</t>
        </is>
      </c>
      <c r="F2660" t="inlineStr">
        <is>
          <t>Rep_13</t>
        </is>
      </c>
      <c r="G2660" t="n">
        <v>1.6</v>
      </c>
      <c r="H2660" t="inlineStr">
        <is>
          <t>Lead</t>
        </is>
      </c>
      <c r="I2660" t="inlineStr">
        <is>
          <t>Open</t>
        </is>
      </c>
      <c r="M2660">
        <f>VLOOKUP(H2660,'Stage Order'!$A$2:$B$8,2,FALSE)</f>
        <v/>
      </c>
      <c r="N2660">
        <f>IF(G2660&lt;=1,"1. Under 1 hour",IF(G2660&lt;=24,"2. 1-24 hours",IF(G2660&lt;=72,"3. 1-3 days","4. Over 3 days")))</f>
        <v/>
      </c>
      <c r="O2660">
        <f>TEXT(B2660,"YYYY-MM")</f>
        <v/>
      </c>
    </row>
    <row r="2661">
      <c r="A2661" t="inlineStr">
        <is>
          <t>LD-302659</t>
        </is>
      </c>
      <c r="B2661" t="inlineStr">
        <is>
          <t>2025-09-24 11:28:00</t>
        </is>
      </c>
      <c r="C2661" t="inlineStr">
        <is>
          <t>Paid Search</t>
        </is>
      </c>
      <c r="D2661" t="inlineStr">
        <is>
          <t>Competitive Exam Prep</t>
        </is>
      </c>
      <c r="E2661" t="inlineStr">
        <is>
          <t>North Region</t>
        </is>
      </c>
      <c r="F2661" t="inlineStr">
        <is>
          <t>Rep_11</t>
        </is>
      </c>
      <c r="G2661" t="n">
        <v>13.14</v>
      </c>
      <c r="H2661" t="inlineStr">
        <is>
          <t>Contacted</t>
        </is>
      </c>
      <c r="I2661" t="inlineStr">
        <is>
          <t>Open</t>
        </is>
      </c>
      <c r="M2661">
        <f>VLOOKUP(H2661,'Stage Order'!$A$2:$B$8,2,FALSE)</f>
        <v/>
      </c>
      <c r="N2661">
        <f>IF(G2661&lt;=1,"1. Under 1 hour",IF(G2661&lt;=24,"2. 1-24 hours",IF(G2661&lt;=72,"3. 1-3 days","4. Over 3 days")))</f>
        <v/>
      </c>
      <c r="O2661">
        <f>TEXT(B2661,"YYYY-MM")</f>
        <v/>
      </c>
    </row>
    <row r="2662">
      <c r="A2662" t="inlineStr">
        <is>
          <t>LD-302660</t>
        </is>
      </c>
      <c r="B2662" t="inlineStr">
        <is>
          <t>2025-08-23 12:52:00</t>
        </is>
      </c>
      <c r="C2662" t="inlineStr">
        <is>
          <t>Social Media</t>
        </is>
      </c>
      <c r="D2662" t="inlineStr">
        <is>
          <t>Coding for Kids</t>
        </is>
      </c>
      <c r="E2662" t="inlineStr">
        <is>
          <t>South Region</t>
        </is>
      </c>
      <c r="F2662" t="inlineStr">
        <is>
          <t>Rep_07</t>
        </is>
      </c>
      <c r="G2662" t="n">
        <v>1.51</v>
      </c>
      <c r="H2662" t="inlineStr">
        <is>
          <t>Demo Scheduled</t>
        </is>
      </c>
      <c r="I2662" t="inlineStr">
        <is>
          <t>Open</t>
        </is>
      </c>
      <c r="M2662">
        <f>VLOOKUP(H2662,'Stage Order'!$A$2:$B$8,2,FALSE)</f>
        <v/>
      </c>
      <c r="N2662">
        <f>IF(G2662&lt;=1,"1. Under 1 hour",IF(G2662&lt;=24,"2. 1-24 hours",IF(G2662&lt;=72,"3. 1-3 days","4. Over 3 days")))</f>
        <v/>
      </c>
      <c r="O2662">
        <f>TEXT(B2662,"YYYY-MM")</f>
        <v/>
      </c>
    </row>
    <row r="2663">
      <c r="A2663" t="inlineStr">
        <is>
          <t>LD-302661</t>
        </is>
      </c>
      <c r="B2663" t="inlineStr">
        <is>
          <t>2025-07-25 11:50:00</t>
        </is>
      </c>
      <c r="C2663" t="inlineStr">
        <is>
          <t>Webinar</t>
        </is>
      </c>
      <c r="D2663" t="inlineStr">
        <is>
          <t>Language Learning</t>
        </is>
      </c>
      <c r="E2663" t="inlineStr">
        <is>
          <t>South Region</t>
        </is>
      </c>
      <c r="F2663" t="inlineStr">
        <is>
          <t>Rep_12</t>
        </is>
      </c>
      <c r="G2663" t="n">
        <v>3.9</v>
      </c>
      <c r="H2663" t="inlineStr">
        <is>
          <t>Contacted</t>
        </is>
      </c>
      <c r="I2663" t="inlineStr">
        <is>
          <t>Open</t>
        </is>
      </c>
      <c r="M2663">
        <f>VLOOKUP(H2663,'Stage Order'!$A$2:$B$8,2,FALSE)</f>
        <v/>
      </c>
      <c r="N2663">
        <f>IF(G2663&lt;=1,"1. Under 1 hour",IF(G2663&lt;=24,"2. 1-24 hours",IF(G2663&lt;=72,"3. 1-3 days","4. Over 3 days")))</f>
        <v/>
      </c>
      <c r="O2663">
        <f>TEXT(B2663,"YYYY-MM")</f>
        <v/>
      </c>
    </row>
    <row r="2664">
      <c r="A2664" t="inlineStr">
        <is>
          <t>LD-302662</t>
        </is>
      </c>
      <c r="B2664" t="inlineStr">
        <is>
          <t>2025-05-05 13:31:00</t>
        </is>
      </c>
      <c r="C2664" t="inlineStr">
        <is>
          <t>Organic Search</t>
        </is>
      </c>
      <c r="D2664" t="inlineStr">
        <is>
          <t>Language Learning</t>
        </is>
      </c>
      <c r="E2664" t="inlineStr">
        <is>
          <t>South Region</t>
        </is>
      </c>
      <c r="F2664" t="inlineStr">
        <is>
          <t>Rep_02</t>
        </is>
      </c>
      <c r="G2664" t="n">
        <v>1.53</v>
      </c>
      <c r="H2664" t="inlineStr">
        <is>
          <t>Contacted</t>
        </is>
      </c>
      <c r="I2664" t="inlineStr">
        <is>
          <t>Open</t>
        </is>
      </c>
      <c r="M2664">
        <f>VLOOKUP(H2664,'Stage Order'!$A$2:$B$8,2,FALSE)</f>
        <v/>
      </c>
      <c r="N2664">
        <f>IF(G2664&lt;=1,"1. Under 1 hour",IF(G2664&lt;=24,"2. 1-24 hours",IF(G2664&lt;=72,"3. 1-3 days","4. Over 3 days")))</f>
        <v/>
      </c>
      <c r="O2664">
        <f>TEXT(B2664,"YYYY-MM")</f>
        <v/>
      </c>
    </row>
    <row r="2665">
      <c r="A2665" t="inlineStr">
        <is>
          <t>LD-302663</t>
        </is>
      </c>
      <c r="B2665" t="inlineStr">
        <is>
          <t>2026-03-24 20:11:00</t>
        </is>
      </c>
      <c r="C2665" t="inlineStr">
        <is>
          <t>Webinar</t>
        </is>
      </c>
      <c r="D2665" t="inlineStr">
        <is>
          <t>Competitive Exam Prep</t>
        </is>
      </c>
      <c r="E2665" t="inlineStr">
        <is>
          <t>South Region</t>
        </is>
      </c>
      <c r="F2665" t="inlineStr">
        <is>
          <t>Rep_02</t>
        </is>
      </c>
      <c r="G2665" t="n">
        <v>2.03</v>
      </c>
      <c r="H2665" t="inlineStr">
        <is>
          <t>Closed</t>
        </is>
      </c>
      <c r="I2665" t="inlineStr">
        <is>
          <t>Won</t>
        </is>
      </c>
      <c r="K2665" t="n">
        <v>971.46</v>
      </c>
      <c r="L2665" t="inlineStr">
        <is>
          <t>2026-04-30 05:24:00.825437</t>
        </is>
      </c>
      <c r="M2665">
        <f>VLOOKUP(H2665,'Stage Order'!$A$2:$B$8,2,FALSE)</f>
        <v/>
      </c>
      <c r="N2665">
        <f>IF(G2665&lt;=1,"1. Under 1 hour",IF(G2665&lt;=24,"2. 1-24 hours",IF(G2665&lt;=72,"3. 1-3 days","4. Over 3 days")))</f>
        <v/>
      </c>
      <c r="O2665">
        <f>TEXT(B2665,"YYYY-MM")</f>
        <v/>
      </c>
    </row>
    <row r="2666">
      <c r="A2666" t="inlineStr">
        <is>
          <t>LD-302664</t>
        </is>
      </c>
      <c r="B2666" t="inlineStr">
        <is>
          <t>2025-01-17 10:06:00</t>
        </is>
      </c>
      <c r="C2666" t="inlineStr">
        <is>
          <t>Organic Search</t>
        </is>
      </c>
      <c r="D2666" t="inlineStr">
        <is>
          <t>K-12 Math</t>
        </is>
      </c>
      <c r="E2666" t="inlineStr">
        <is>
          <t>West Region</t>
        </is>
      </c>
      <c r="F2666" t="inlineStr">
        <is>
          <t>Rep_13</t>
        </is>
      </c>
      <c r="G2666" t="n">
        <v>0.17</v>
      </c>
      <c r="H2666" t="inlineStr">
        <is>
          <t>Closed</t>
        </is>
      </c>
      <c r="I2666" t="inlineStr">
        <is>
          <t>Won</t>
        </is>
      </c>
      <c r="K2666" t="n">
        <v>572.75</v>
      </c>
      <c r="L2666" t="inlineStr">
        <is>
          <t>2025-02-22 22:37:07.001410</t>
        </is>
      </c>
      <c r="M2666">
        <f>VLOOKUP(H2666,'Stage Order'!$A$2:$B$8,2,FALSE)</f>
        <v/>
      </c>
      <c r="N2666">
        <f>IF(G2666&lt;=1,"1. Under 1 hour",IF(G2666&lt;=24,"2. 1-24 hours",IF(G2666&lt;=72,"3. 1-3 days","4. Over 3 days")))</f>
        <v/>
      </c>
      <c r="O2666">
        <f>TEXT(B2666,"YYYY-MM")</f>
        <v/>
      </c>
    </row>
    <row r="2667">
      <c r="A2667" t="inlineStr">
        <is>
          <t>LD-302665</t>
        </is>
      </c>
      <c r="B2667" t="inlineStr">
        <is>
          <t>2025-10-25 18:32:00</t>
        </is>
      </c>
      <c r="C2667" t="inlineStr">
        <is>
          <t>Paid Search</t>
        </is>
      </c>
      <c r="D2667" t="inlineStr">
        <is>
          <t>Coding for Kids</t>
        </is>
      </c>
      <c r="E2667" t="inlineStr">
        <is>
          <t>International</t>
        </is>
      </c>
      <c r="F2667" t="inlineStr">
        <is>
          <t>Rep_05</t>
        </is>
      </c>
      <c r="G2667" t="n">
        <v>12.52</v>
      </c>
      <c r="H2667" t="inlineStr">
        <is>
          <t>Contacted</t>
        </is>
      </c>
      <c r="I2667" t="inlineStr">
        <is>
          <t>Open</t>
        </is>
      </c>
      <c r="M2667">
        <f>VLOOKUP(H2667,'Stage Order'!$A$2:$B$8,2,FALSE)</f>
        <v/>
      </c>
      <c r="N2667">
        <f>IF(G2667&lt;=1,"1. Under 1 hour",IF(G2667&lt;=24,"2. 1-24 hours",IF(G2667&lt;=72,"3. 1-3 days","4. Over 3 days")))</f>
        <v/>
      </c>
      <c r="O2667">
        <f>TEXT(B2667,"YYYY-MM")</f>
        <v/>
      </c>
    </row>
    <row r="2668">
      <c r="A2668" t="inlineStr">
        <is>
          <t>LD-302666</t>
        </is>
      </c>
      <c r="B2668" t="inlineStr">
        <is>
          <t>2025-09-22 15:36:00</t>
        </is>
      </c>
      <c r="C2668" t="inlineStr">
        <is>
          <t>Paid Search</t>
        </is>
      </c>
      <c r="D2668" t="inlineStr">
        <is>
          <t>K-12 Math</t>
        </is>
      </c>
      <c r="E2668" t="inlineStr">
        <is>
          <t>West Region</t>
        </is>
      </c>
      <c r="F2668" t="inlineStr">
        <is>
          <t>Rep_13</t>
        </is>
      </c>
      <c r="G2668" t="n">
        <v>3.2</v>
      </c>
      <c r="H2668" t="inlineStr">
        <is>
          <t>Contacted</t>
        </is>
      </c>
      <c r="I2668" t="inlineStr">
        <is>
          <t>Open</t>
        </is>
      </c>
      <c r="M2668">
        <f>VLOOKUP(H2668,'Stage Order'!$A$2:$B$8,2,FALSE)</f>
        <v/>
      </c>
      <c r="N2668">
        <f>IF(G2668&lt;=1,"1. Under 1 hour",IF(G2668&lt;=24,"2. 1-24 hours",IF(G2668&lt;=72,"3. 1-3 days","4. Over 3 days")))</f>
        <v/>
      </c>
      <c r="O2668">
        <f>TEXT(B2668,"YYYY-MM")</f>
        <v/>
      </c>
    </row>
    <row r="2669">
      <c r="A2669" t="inlineStr">
        <is>
          <t>LD-302667</t>
        </is>
      </c>
      <c r="B2669" t="inlineStr">
        <is>
          <t>2025-05-02 12:01:00</t>
        </is>
      </c>
      <c r="C2669" t="inlineStr">
        <is>
          <t>Partner Channel</t>
        </is>
      </c>
      <c r="D2669" t="inlineStr">
        <is>
          <t>Competitive Exam Prep</t>
        </is>
      </c>
      <c r="E2669" t="inlineStr">
        <is>
          <t>West Region</t>
        </is>
      </c>
      <c r="F2669" t="inlineStr">
        <is>
          <t>Rep_03</t>
        </is>
      </c>
      <c r="G2669" t="n">
        <v>1.41</v>
      </c>
      <c r="H2669" t="inlineStr">
        <is>
          <t>Negotiation</t>
        </is>
      </c>
      <c r="I2669" t="inlineStr">
        <is>
          <t>Lost</t>
        </is>
      </c>
      <c r="J2669" t="inlineStr">
        <is>
          <t>Bad Timing</t>
        </is>
      </c>
      <c r="K2669" t="n">
        <v>1087.77</v>
      </c>
      <c r="L2669" t="inlineStr">
        <is>
          <t>2025-05-31 01:08:26.561116</t>
        </is>
      </c>
      <c r="M2669">
        <f>VLOOKUP(H2669,'Stage Order'!$A$2:$B$8,2,FALSE)</f>
        <v/>
      </c>
      <c r="N2669">
        <f>IF(G2669&lt;=1,"1. Under 1 hour",IF(G2669&lt;=24,"2. 1-24 hours",IF(G2669&lt;=72,"3. 1-3 days","4. Over 3 days")))</f>
        <v/>
      </c>
      <c r="O2669">
        <f>TEXT(B2669,"YYYY-MM")</f>
        <v/>
      </c>
    </row>
    <row r="2670">
      <c r="A2670" t="inlineStr">
        <is>
          <t>LD-302668</t>
        </is>
      </c>
      <c r="B2670" t="inlineStr">
        <is>
          <t>2025-03-17 19:41:00</t>
        </is>
      </c>
      <c r="C2670" t="inlineStr">
        <is>
          <t>Organic Search</t>
        </is>
      </c>
      <c r="D2670" t="inlineStr">
        <is>
          <t>K-12 Math</t>
        </is>
      </c>
      <c r="E2670" t="inlineStr">
        <is>
          <t>South Region</t>
        </is>
      </c>
      <c r="F2670" t="inlineStr">
        <is>
          <t>Rep_07</t>
        </is>
      </c>
      <c r="G2670" t="n">
        <v>3.78</v>
      </c>
      <c r="H2670" t="inlineStr">
        <is>
          <t>Contacted</t>
        </is>
      </c>
      <c r="I2670" t="inlineStr">
        <is>
          <t>Open</t>
        </is>
      </c>
      <c r="M2670">
        <f>VLOOKUP(H2670,'Stage Order'!$A$2:$B$8,2,FALSE)</f>
        <v/>
      </c>
      <c r="N2670">
        <f>IF(G2670&lt;=1,"1. Under 1 hour",IF(G2670&lt;=24,"2. 1-24 hours",IF(G2670&lt;=72,"3. 1-3 days","4. Over 3 days")))</f>
        <v/>
      </c>
      <c r="O2670">
        <f>TEXT(B2670,"YYYY-MM")</f>
        <v/>
      </c>
    </row>
    <row r="2671">
      <c r="A2671" t="inlineStr">
        <is>
          <t>LD-302669</t>
        </is>
      </c>
      <c r="B2671" t="inlineStr">
        <is>
          <t>2026-06-29 10:22:00</t>
        </is>
      </c>
      <c r="C2671" t="inlineStr">
        <is>
          <t>Cold Outreach</t>
        </is>
      </c>
      <c r="D2671" t="inlineStr">
        <is>
          <t>Competitive Exam Prep</t>
        </is>
      </c>
      <c r="E2671" t="inlineStr">
        <is>
          <t>North Region</t>
        </is>
      </c>
      <c r="F2671" t="inlineStr">
        <is>
          <t>Rep_06</t>
        </is>
      </c>
      <c r="G2671" t="n">
        <v>3.93</v>
      </c>
      <c r="H2671" t="inlineStr">
        <is>
          <t>Lead</t>
        </is>
      </c>
      <c r="I2671" t="inlineStr">
        <is>
          <t>Open</t>
        </is>
      </c>
      <c r="M2671">
        <f>VLOOKUP(H2671,'Stage Order'!$A$2:$B$8,2,FALSE)</f>
        <v/>
      </c>
      <c r="N2671">
        <f>IF(G2671&lt;=1,"1. Under 1 hour",IF(G2671&lt;=24,"2. 1-24 hours",IF(G2671&lt;=72,"3. 1-3 days","4. Over 3 days")))</f>
        <v/>
      </c>
      <c r="O2671">
        <f>TEXT(B2671,"YYYY-MM")</f>
        <v/>
      </c>
    </row>
    <row r="2672">
      <c r="A2672" t="inlineStr">
        <is>
          <t>LD-302670</t>
        </is>
      </c>
      <c r="B2672" t="inlineStr">
        <is>
          <t>2025-02-13 13:46:00</t>
        </is>
      </c>
      <c r="C2672" t="inlineStr">
        <is>
          <t>Partner Channel</t>
        </is>
      </c>
      <c r="D2672" t="inlineStr">
        <is>
          <t>K-12 Math</t>
        </is>
      </c>
      <c r="E2672" t="inlineStr">
        <is>
          <t>South Region</t>
        </is>
      </c>
      <c r="F2672" t="inlineStr">
        <is>
          <t>Rep_02</t>
        </is>
      </c>
      <c r="G2672" t="n">
        <v>1.53</v>
      </c>
      <c r="H2672" t="inlineStr">
        <is>
          <t>Contacted</t>
        </is>
      </c>
      <c r="I2672" t="inlineStr">
        <is>
          <t>Open</t>
        </is>
      </c>
      <c r="M2672">
        <f>VLOOKUP(H2672,'Stage Order'!$A$2:$B$8,2,FALSE)</f>
        <v/>
      </c>
      <c r="N2672">
        <f>IF(G2672&lt;=1,"1. Under 1 hour",IF(G2672&lt;=24,"2. 1-24 hours",IF(G2672&lt;=72,"3. 1-3 days","4. Over 3 days")))</f>
        <v/>
      </c>
      <c r="O2672">
        <f>TEXT(B2672,"YYYY-MM")</f>
        <v/>
      </c>
    </row>
    <row r="2673">
      <c r="A2673" t="inlineStr">
        <is>
          <t>LD-302671</t>
        </is>
      </c>
      <c r="B2673" t="inlineStr">
        <is>
          <t>2025-08-15 11:58:00</t>
        </is>
      </c>
      <c r="C2673" t="inlineStr">
        <is>
          <t>Social Media</t>
        </is>
      </c>
      <c r="D2673" t="inlineStr">
        <is>
          <t>Competitive Exam Prep</t>
        </is>
      </c>
      <c r="E2673" t="inlineStr">
        <is>
          <t>North Region</t>
        </is>
      </c>
      <c r="F2673" t="inlineStr">
        <is>
          <t>Rep_01</t>
        </is>
      </c>
      <c r="G2673" t="n">
        <v>7.42</v>
      </c>
      <c r="H2673" t="inlineStr">
        <is>
          <t>Contacted</t>
        </is>
      </c>
      <c r="I2673" t="inlineStr">
        <is>
          <t>Open</t>
        </is>
      </c>
      <c r="M2673">
        <f>VLOOKUP(H2673,'Stage Order'!$A$2:$B$8,2,FALSE)</f>
        <v/>
      </c>
      <c r="N2673">
        <f>IF(G2673&lt;=1,"1. Under 1 hour",IF(G2673&lt;=24,"2. 1-24 hours",IF(G2673&lt;=72,"3. 1-3 days","4. Over 3 days")))</f>
        <v/>
      </c>
      <c r="O2673">
        <f>TEXT(B2673,"YYYY-MM")</f>
        <v/>
      </c>
    </row>
    <row r="2674">
      <c r="A2674" t="inlineStr">
        <is>
          <t>LD-302672</t>
        </is>
      </c>
      <c r="B2674" t="inlineStr">
        <is>
          <t>2025-09-25 19:25:00</t>
        </is>
      </c>
      <c r="C2674" t="inlineStr">
        <is>
          <t>Organic Search</t>
        </is>
      </c>
      <c r="D2674" t="inlineStr">
        <is>
          <t>Coding for Kids</t>
        </is>
      </c>
      <c r="E2674" t="inlineStr">
        <is>
          <t>West Region</t>
        </is>
      </c>
      <c r="F2674" t="inlineStr">
        <is>
          <t>Rep_13</t>
        </is>
      </c>
      <c r="G2674" t="n">
        <v>4.43</v>
      </c>
      <c r="H2674" t="inlineStr">
        <is>
          <t>Contacted</t>
        </is>
      </c>
      <c r="I2674" t="inlineStr">
        <is>
          <t>Open</t>
        </is>
      </c>
      <c r="M2674">
        <f>VLOOKUP(H2674,'Stage Order'!$A$2:$B$8,2,FALSE)</f>
        <v/>
      </c>
      <c r="N2674">
        <f>IF(G2674&lt;=1,"1. Under 1 hour",IF(G2674&lt;=24,"2. 1-24 hours",IF(G2674&lt;=72,"3. 1-3 days","4. Over 3 days")))</f>
        <v/>
      </c>
      <c r="O2674">
        <f>TEXT(B2674,"YYYY-MM")</f>
        <v/>
      </c>
    </row>
    <row r="2675">
      <c r="A2675" t="inlineStr">
        <is>
          <t>LD-302673</t>
        </is>
      </c>
      <c r="B2675" t="inlineStr">
        <is>
          <t>2025-07-25 09:15:00</t>
        </is>
      </c>
      <c r="C2675" t="inlineStr">
        <is>
          <t>Organic Search</t>
        </is>
      </c>
      <c r="D2675" t="inlineStr">
        <is>
          <t>Language Learning</t>
        </is>
      </c>
      <c r="E2675" t="inlineStr">
        <is>
          <t>East Region</t>
        </is>
      </c>
      <c r="F2675" t="inlineStr">
        <is>
          <t>Rep_14</t>
        </is>
      </c>
      <c r="G2675" t="n">
        <v>1.62</v>
      </c>
      <c r="H2675" t="inlineStr">
        <is>
          <t>Lead</t>
        </is>
      </c>
      <c r="I2675" t="inlineStr">
        <is>
          <t>Open</t>
        </is>
      </c>
      <c r="M2675">
        <f>VLOOKUP(H2675,'Stage Order'!$A$2:$B$8,2,FALSE)</f>
        <v/>
      </c>
      <c r="N2675">
        <f>IF(G2675&lt;=1,"1. Under 1 hour",IF(G2675&lt;=24,"2. 1-24 hours",IF(G2675&lt;=72,"3. 1-3 days","4. Over 3 days")))</f>
        <v/>
      </c>
      <c r="O2675">
        <f>TEXT(B2675,"YYYY-MM")</f>
        <v/>
      </c>
    </row>
    <row r="2676">
      <c r="A2676" t="inlineStr">
        <is>
          <t>LD-302674</t>
        </is>
      </c>
      <c r="B2676" t="inlineStr">
        <is>
          <t>2026-04-28 07:27:00</t>
        </is>
      </c>
      <c r="C2676" t="inlineStr">
        <is>
          <t>Paid Search</t>
        </is>
      </c>
      <c r="D2676" t="inlineStr">
        <is>
          <t>Competitive Exam Prep</t>
        </is>
      </c>
      <c r="E2676" t="inlineStr">
        <is>
          <t>North Region</t>
        </is>
      </c>
      <c r="F2676" t="inlineStr">
        <is>
          <t>Rep_11</t>
        </is>
      </c>
      <c r="G2676" t="n">
        <v>10.28</v>
      </c>
      <c r="H2676" t="inlineStr">
        <is>
          <t>Negotiation</t>
        </is>
      </c>
      <c r="I2676" t="inlineStr">
        <is>
          <t>Lost</t>
        </is>
      </c>
      <c r="J2676" t="inlineStr">
        <is>
          <t>Went With Competitor</t>
        </is>
      </c>
      <c r="K2676" t="n">
        <v>1017.34</v>
      </c>
      <c r="L2676" t="inlineStr">
        <is>
          <t>2026-06-03 08:48:14.879681</t>
        </is>
      </c>
      <c r="M2676">
        <f>VLOOKUP(H2676,'Stage Order'!$A$2:$B$8,2,FALSE)</f>
        <v/>
      </c>
      <c r="N2676">
        <f>IF(G2676&lt;=1,"1. Under 1 hour",IF(G2676&lt;=24,"2. 1-24 hours",IF(G2676&lt;=72,"3. 1-3 days","4. Over 3 days")))</f>
        <v/>
      </c>
      <c r="O2676">
        <f>TEXT(B2676,"YYYY-MM")</f>
        <v/>
      </c>
    </row>
    <row r="2677">
      <c r="A2677" t="inlineStr">
        <is>
          <t>LD-302675</t>
        </is>
      </c>
      <c r="B2677" t="inlineStr">
        <is>
          <t>2025-03-19 11:42:00</t>
        </is>
      </c>
      <c r="C2677" t="inlineStr">
        <is>
          <t>Social Media</t>
        </is>
      </c>
      <c r="D2677" t="inlineStr">
        <is>
          <t>Competitive Exam Prep</t>
        </is>
      </c>
      <c r="E2677" t="inlineStr">
        <is>
          <t>East Region</t>
        </is>
      </c>
      <c r="F2677" t="inlineStr">
        <is>
          <t>Rep_14</t>
        </is>
      </c>
      <c r="G2677" t="n">
        <v>13.94</v>
      </c>
      <c r="H2677" t="inlineStr">
        <is>
          <t>Lead</t>
        </is>
      </c>
      <c r="I2677" t="inlineStr">
        <is>
          <t>Open</t>
        </is>
      </c>
      <c r="M2677">
        <f>VLOOKUP(H2677,'Stage Order'!$A$2:$B$8,2,FALSE)</f>
        <v/>
      </c>
      <c r="N2677">
        <f>IF(G2677&lt;=1,"1. Under 1 hour",IF(G2677&lt;=24,"2. 1-24 hours",IF(G2677&lt;=72,"3. 1-3 days","4. Over 3 days")))</f>
        <v/>
      </c>
      <c r="O2677">
        <f>TEXT(B2677,"YYYY-MM")</f>
        <v/>
      </c>
    </row>
    <row r="2678">
      <c r="A2678" t="inlineStr">
        <is>
          <t>LD-302676</t>
        </is>
      </c>
      <c r="B2678" t="inlineStr">
        <is>
          <t>2026-02-20 18:06:00</t>
        </is>
      </c>
      <c r="C2678" t="inlineStr">
        <is>
          <t>Social Media</t>
        </is>
      </c>
      <c r="D2678" t="inlineStr">
        <is>
          <t>Language Learning</t>
        </is>
      </c>
      <c r="E2678" t="inlineStr">
        <is>
          <t>West Region</t>
        </is>
      </c>
      <c r="F2678" t="inlineStr">
        <is>
          <t>Rep_03</t>
        </is>
      </c>
      <c r="G2678" t="n">
        <v>5.42</v>
      </c>
      <c r="H2678" t="inlineStr">
        <is>
          <t>Contacted</t>
        </is>
      </c>
      <c r="I2678" t="inlineStr">
        <is>
          <t>Open</t>
        </is>
      </c>
      <c r="M2678">
        <f>VLOOKUP(H2678,'Stage Order'!$A$2:$B$8,2,FALSE)</f>
        <v/>
      </c>
      <c r="N2678">
        <f>IF(G2678&lt;=1,"1. Under 1 hour",IF(G2678&lt;=24,"2. 1-24 hours",IF(G2678&lt;=72,"3. 1-3 days","4. Over 3 days")))</f>
        <v/>
      </c>
      <c r="O2678">
        <f>TEXT(B2678,"YYYY-MM")</f>
        <v/>
      </c>
    </row>
    <row r="2679">
      <c r="A2679" t="inlineStr">
        <is>
          <t>LD-302677</t>
        </is>
      </c>
      <c r="B2679" t="inlineStr">
        <is>
          <t>2025-07-11 12:24:00</t>
        </is>
      </c>
      <c r="C2679" t="inlineStr">
        <is>
          <t>Referral</t>
        </is>
      </c>
      <c r="D2679" t="inlineStr">
        <is>
          <t>Competitive Exam Prep</t>
        </is>
      </c>
      <c r="E2679" t="inlineStr">
        <is>
          <t>East Region</t>
        </is>
      </c>
      <c r="F2679" t="inlineStr">
        <is>
          <t>Rep_09</t>
        </is>
      </c>
      <c r="G2679" t="n">
        <v>1.58</v>
      </c>
      <c r="H2679" t="inlineStr">
        <is>
          <t>Proposal Sent</t>
        </is>
      </c>
      <c r="I2679" t="inlineStr">
        <is>
          <t>Lost</t>
        </is>
      </c>
      <c r="J2679" t="inlineStr">
        <is>
          <t>No Response / Ghosted</t>
        </is>
      </c>
      <c r="K2679" t="n">
        <v>1157.1</v>
      </c>
      <c r="L2679" t="inlineStr">
        <is>
          <t>2025-08-19 19:11:36.965322</t>
        </is>
      </c>
      <c r="M2679">
        <f>VLOOKUP(H2679,'Stage Order'!$A$2:$B$8,2,FALSE)</f>
        <v/>
      </c>
      <c r="N2679">
        <f>IF(G2679&lt;=1,"1. Under 1 hour",IF(G2679&lt;=24,"2. 1-24 hours",IF(G2679&lt;=72,"3. 1-3 days","4. Over 3 days")))</f>
        <v/>
      </c>
      <c r="O2679">
        <f>TEXT(B2679,"YYYY-MM")</f>
        <v/>
      </c>
    </row>
    <row r="2680">
      <c r="A2680" t="inlineStr">
        <is>
          <t>LD-302678</t>
        </is>
      </c>
      <c r="B2680" t="inlineStr">
        <is>
          <t>2025-07-06 16:32:00</t>
        </is>
      </c>
      <c r="C2680" t="inlineStr">
        <is>
          <t>Social Media</t>
        </is>
      </c>
      <c r="D2680" t="inlineStr">
        <is>
          <t>Study Abroad Prep</t>
        </is>
      </c>
      <c r="E2680" t="inlineStr">
        <is>
          <t>East Region</t>
        </is>
      </c>
      <c r="F2680" t="inlineStr">
        <is>
          <t>Rep_04</t>
        </is>
      </c>
      <c r="G2680" t="n">
        <v>0.89</v>
      </c>
      <c r="H2680" t="inlineStr">
        <is>
          <t>Demo Scheduled</t>
        </is>
      </c>
      <c r="I2680" t="inlineStr">
        <is>
          <t>Open</t>
        </is>
      </c>
      <c r="M2680">
        <f>VLOOKUP(H2680,'Stage Order'!$A$2:$B$8,2,FALSE)</f>
        <v/>
      </c>
      <c r="N2680">
        <f>IF(G2680&lt;=1,"1. Under 1 hour",IF(G2680&lt;=24,"2. 1-24 hours",IF(G2680&lt;=72,"3. 1-3 days","4. Over 3 days")))</f>
        <v/>
      </c>
      <c r="O2680">
        <f>TEXT(B2680,"YYYY-MM")</f>
        <v/>
      </c>
    </row>
    <row r="2681">
      <c r="A2681" t="inlineStr">
        <is>
          <t>LD-302679</t>
        </is>
      </c>
      <c r="B2681" t="inlineStr">
        <is>
          <t>2025-08-15 15:27:00</t>
        </is>
      </c>
      <c r="C2681" t="inlineStr">
        <is>
          <t>Webinar</t>
        </is>
      </c>
      <c r="D2681" t="inlineStr">
        <is>
          <t>K-12 Math</t>
        </is>
      </c>
      <c r="E2681" t="inlineStr">
        <is>
          <t>East Region</t>
        </is>
      </c>
      <c r="F2681" t="inlineStr">
        <is>
          <t>Rep_14</t>
        </is>
      </c>
      <c r="G2681" t="n">
        <v>0.9</v>
      </c>
      <c r="H2681" t="inlineStr">
        <is>
          <t>Closed</t>
        </is>
      </c>
      <c r="I2681" t="inlineStr">
        <is>
          <t>Won</t>
        </is>
      </c>
      <c r="K2681" t="n">
        <v>577.75</v>
      </c>
      <c r="L2681" t="inlineStr">
        <is>
          <t>2025-09-21 05:57:13.080562</t>
        </is>
      </c>
      <c r="M2681">
        <f>VLOOKUP(H2681,'Stage Order'!$A$2:$B$8,2,FALSE)</f>
        <v/>
      </c>
      <c r="N2681">
        <f>IF(G2681&lt;=1,"1. Under 1 hour",IF(G2681&lt;=24,"2. 1-24 hours",IF(G2681&lt;=72,"3. 1-3 days","4. Over 3 days")))</f>
        <v/>
      </c>
      <c r="O2681">
        <f>TEXT(B2681,"YYYY-MM")</f>
        <v/>
      </c>
    </row>
    <row r="2682">
      <c r="A2682" t="inlineStr">
        <is>
          <t>LD-302680</t>
        </is>
      </c>
      <c r="B2682" t="inlineStr">
        <is>
          <t>2025-05-02 19:00:00</t>
        </is>
      </c>
      <c r="C2682" t="inlineStr">
        <is>
          <t>Paid Search</t>
        </is>
      </c>
      <c r="D2682" t="inlineStr">
        <is>
          <t>Competitive Exam Prep</t>
        </is>
      </c>
      <c r="E2682" t="inlineStr">
        <is>
          <t>North Region</t>
        </is>
      </c>
      <c r="F2682" t="inlineStr">
        <is>
          <t>Rep_01</t>
        </is>
      </c>
      <c r="G2682" t="n">
        <v>3.31</v>
      </c>
      <c r="H2682" t="inlineStr">
        <is>
          <t>Contacted</t>
        </is>
      </c>
      <c r="I2682" t="inlineStr">
        <is>
          <t>Open</t>
        </is>
      </c>
      <c r="M2682">
        <f>VLOOKUP(H2682,'Stage Order'!$A$2:$B$8,2,FALSE)</f>
        <v/>
      </c>
      <c r="N2682">
        <f>IF(G2682&lt;=1,"1. Under 1 hour",IF(G2682&lt;=24,"2. 1-24 hours",IF(G2682&lt;=72,"3. 1-3 days","4. Over 3 days")))</f>
        <v/>
      </c>
      <c r="O2682">
        <f>TEXT(B2682,"YYYY-MM")</f>
        <v/>
      </c>
    </row>
    <row r="2683">
      <c r="A2683" t="inlineStr">
        <is>
          <t>LD-302681</t>
        </is>
      </c>
      <c r="B2683" t="inlineStr">
        <is>
          <t>2026-03-17 09:41:00</t>
        </is>
      </c>
      <c r="C2683" t="inlineStr">
        <is>
          <t>Referral</t>
        </is>
      </c>
      <c r="D2683" t="inlineStr">
        <is>
          <t>K-12 Math</t>
        </is>
      </c>
      <c r="E2683" t="inlineStr">
        <is>
          <t>West Region</t>
        </is>
      </c>
      <c r="F2683" t="inlineStr">
        <is>
          <t>Rep_03</t>
        </is>
      </c>
      <c r="G2683" t="n">
        <v>9.07</v>
      </c>
      <c r="H2683" t="inlineStr">
        <is>
          <t>Closed</t>
        </is>
      </c>
      <c r="I2683" t="inlineStr">
        <is>
          <t>Won</t>
        </is>
      </c>
      <c r="K2683" t="n">
        <v>597.24</v>
      </c>
      <c r="L2683" t="inlineStr">
        <is>
          <t>2026-04-29 00:56:41.606289</t>
        </is>
      </c>
      <c r="M2683">
        <f>VLOOKUP(H2683,'Stage Order'!$A$2:$B$8,2,FALSE)</f>
        <v/>
      </c>
      <c r="N2683">
        <f>IF(G2683&lt;=1,"1. Under 1 hour",IF(G2683&lt;=24,"2. 1-24 hours",IF(G2683&lt;=72,"3. 1-3 days","4. Over 3 days")))</f>
        <v/>
      </c>
      <c r="O2683">
        <f>TEXT(B2683,"YYYY-MM")</f>
        <v/>
      </c>
    </row>
    <row r="2684">
      <c r="A2684" t="inlineStr">
        <is>
          <t>LD-302682</t>
        </is>
      </c>
      <c r="B2684" t="inlineStr">
        <is>
          <t>2026-03-27 17:25:00</t>
        </is>
      </c>
      <c r="C2684" t="inlineStr">
        <is>
          <t>Social Media</t>
        </is>
      </c>
      <c r="D2684" t="inlineStr">
        <is>
          <t>Coding for Kids</t>
        </is>
      </c>
      <c r="E2684" t="inlineStr">
        <is>
          <t>East Region</t>
        </is>
      </c>
      <c r="F2684" t="inlineStr">
        <is>
          <t>Rep_09</t>
        </is>
      </c>
      <c r="G2684" t="n">
        <v>2.88</v>
      </c>
      <c r="H2684" t="inlineStr">
        <is>
          <t>Contacted</t>
        </is>
      </c>
      <c r="I2684" t="inlineStr">
        <is>
          <t>Open</t>
        </is>
      </c>
      <c r="M2684">
        <f>VLOOKUP(H2684,'Stage Order'!$A$2:$B$8,2,FALSE)</f>
        <v/>
      </c>
      <c r="N2684">
        <f>IF(G2684&lt;=1,"1. Under 1 hour",IF(G2684&lt;=24,"2. 1-24 hours",IF(G2684&lt;=72,"3. 1-3 days","4. Over 3 days")))</f>
        <v/>
      </c>
      <c r="O2684">
        <f>TEXT(B2684,"YYYY-MM")</f>
        <v/>
      </c>
    </row>
    <row r="2685">
      <c r="A2685" t="inlineStr">
        <is>
          <t>LD-302683</t>
        </is>
      </c>
      <c r="B2685" t="inlineStr">
        <is>
          <t>2025-01-17 19:44:00</t>
        </is>
      </c>
      <c r="C2685" t="inlineStr">
        <is>
          <t>Partner Channel</t>
        </is>
      </c>
      <c r="D2685" t="inlineStr">
        <is>
          <t>Language Learning</t>
        </is>
      </c>
      <c r="E2685" t="inlineStr">
        <is>
          <t>International</t>
        </is>
      </c>
      <c r="F2685" t="inlineStr">
        <is>
          <t>Rep_10</t>
        </is>
      </c>
      <c r="G2685" t="n">
        <v>4.18</v>
      </c>
      <c r="H2685" t="inlineStr">
        <is>
          <t>Demo Completed</t>
        </is>
      </c>
      <c r="I2685" t="inlineStr">
        <is>
          <t>Lost</t>
        </is>
      </c>
      <c r="J2685" t="inlineStr">
        <is>
          <t>Budget Not Approved</t>
        </is>
      </c>
      <c r="K2685" t="n">
        <v>336.61</v>
      </c>
      <c r="L2685" t="inlineStr">
        <is>
          <t>2025-02-14 21:52:43.379283</t>
        </is>
      </c>
      <c r="M2685">
        <f>VLOOKUP(H2685,'Stage Order'!$A$2:$B$8,2,FALSE)</f>
        <v/>
      </c>
      <c r="N2685">
        <f>IF(G2685&lt;=1,"1. Under 1 hour",IF(G2685&lt;=24,"2. 1-24 hours",IF(G2685&lt;=72,"3. 1-3 days","4. Over 3 days")))</f>
        <v/>
      </c>
      <c r="O2685">
        <f>TEXT(B2685,"YYYY-MM")</f>
        <v/>
      </c>
    </row>
    <row r="2686">
      <c r="A2686" t="inlineStr">
        <is>
          <t>LD-302684</t>
        </is>
      </c>
      <c r="B2686" t="inlineStr">
        <is>
          <t>2026-06-04 09:42:00</t>
        </is>
      </c>
      <c r="C2686" t="inlineStr">
        <is>
          <t>Organic Search</t>
        </is>
      </c>
      <c r="D2686" t="inlineStr">
        <is>
          <t>Language Learning</t>
        </is>
      </c>
      <c r="E2686" t="inlineStr">
        <is>
          <t>South Region</t>
        </is>
      </c>
      <c r="F2686" t="inlineStr">
        <is>
          <t>Rep_02</t>
        </is>
      </c>
      <c r="G2686" t="n">
        <v>0.68</v>
      </c>
      <c r="H2686" t="inlineStr">
        <is>
          <t>Lead</t>
        </is>
      </c>
      <c r="I2686" t="inlineStr">
        <is>
          <t>Open</t>
        </is>
      </c>
      <c r="M2686">
        <f>VLOOKUP(H2686,'Stage Order'!$A$2:$B$8,2,FALSE)</f>
        <v/>
      </c>
      <c r="N2686">
        <f>IF(G2686&lt;=1,"1. Under 1 hour",IF(G2686&lt;=24,"2. 1-24 hours",IF(G2686&lt;=72,"3. 1-3 days","4. Over 3 days")))</f>
        <v/>
      </c>
      <c r="O2686">
        <f>TEXT(B2686,"YYYY-MM")</f>
        <v/>
      </c>
    </row>
    <row r="2687">
      <c r="A2687" t="inlineStr">
        <is>
          <t>LD-302685</t>
        </is>
      </c>
      <c r="B2687" t="inlineStr">
        <is>
          <t>2026-03-06 10:05:00</t>
        </is>
      </c>
      <c r="C2687" t="inlineStr">
        <is>
          <t>Cold Outreach</t>
        </is>
      </c>
      <c r="D2687" t="inlineStr">
        <is>
          <t>Study Abroad Prep</t>
        </is>
      </c>
      <c r="E2687" t="inlineStr">
        <is>
          <t>West Region</t>
        </is>
      </c>
      <c r="F2687" t="inlineStr">
        <is>
          <t>Rep_08</t>
        </is>
      </c>
      <c r="G2687" t="n">
        <v>1.59</v>
      </c>
      <c r="H2687" t="inlineStr">
        <is>
          <t>Demo Scheduled</t>
        </is>
      </c>
      <c r="I2687" t="inlineStr">
        <is>
          <t>Open</t>
        </is>
      </c>
      <c r="M2687">
        <f>VLOOKUP(H2687,'Stage Order'!$A$2:$B$8,2,FALSE)</f>
        <v/>
      </c>
      <c r="N2687">
        <f>IF(G2687&lt;=1,"1. Under 1 hour",IF(G2687&lt;=24,"2. 1-24 hours",IF(G2687&lt;=72,"3. 1-3 days","4. Over 3 days")))</f>
        <v/>
      </c>
      <c r="O2687">
        <f>TEXT(B2687,"YYYY-MM")</f>
        <v/>
      </c>
    </row>
    <row r="2688">
      <c r="A2688" t="inlineStr">
        <is>
          <t>LD-302686</t>
        </is>
      </c>
      <c r="B2688" t="inlineStr">
        <is>
          <t>2026-04-02 12:40:00</t>
        </is>
      </c>
      <c r="C2688" t="inlineStr">
        <is>
          <t>Webinar</t>
        </is>
      </c>
      <c r="D2688" t="inlineStr">
        <is>
          <t>K-12 Math</t>
        </is>
      </c>
      <c r="E2688" t="inlineStr">
        <is>
          <t>West Region</t>
        </is>
      </c>
      <c r="F2688" t="inlineStr">
        <is>
          <t>Rep_08</t>
        </is>
      </c>
      <c r="G2688" t="n">
        <v>13.28</v>
      </c>
      <c r="H2688" t="inlineStr">
        <is>
          <t>Contacted</t>
        </is>
      </c>
      <c r="I2688" t="inlineStr">
        <is>
          <t>Open</t>
        </is>
      </c>
      <c r="M2688">
        <f>VLOOKUP(H2688,'Stage Order'!$A$2:$B$8,2,FALSE)</f>
        <v/>
      </c>
      <c r="N2688">
        <f>IF(G2688&lt;=1,"1. Under 1 hour",IF(G2688&lt;=24,"2. 1-24 hours",IF(G2688&lt;=72,"3. 1-3 days","4. Over 3 days")))</f>
        <v/>
      </c>
      <c r="O2688">
        <f>TEXT(B2688,"YYYY-MM")</f>
        <v/>
      </c>
    </row>
    <row r="2689">
      <c r="A2689" t="inlineStr">
        <is>
          <t>LD-302687</t>
        </is>
      </c>
      <c r="B2689" t="inlineStr">
        <is>
          <t>2025-08-09 07:00:00</t>
        </is>
      </c>
      <c r="C2689" t="inlineStr">
        <is>
          <t>Organic Search</t>
        </is>
      </c>
      <c r="D2689" t="inlineStr">
        <is>
          <t>Language Learning</t>
        </is>
      </c>
      <c r="E2689" t="inlineStr">
        <is>
          <t>North Region</t>
        </is>
      </c>
      <c r="F2689" t="inlineStr">
        <is>
          <t>Rep_11</t>
        </is>
      </c>
      <c r="G2689" t="n">
        <v>0.97</v>
      </c>
      <c r="H2689" t="inlineStr">
        <is>
          <t>Contacted</t>
        </is>
      </c>
      <c r="I2689" t="inlineStr">
        <is>
          <t>Open</t>
        </is>
      </c>
      <c r="M2689">
        <f>VLOOKUP(H2689,'Stage Order'!$A$2:$B$8,2,FALSE)</f>
        <v/>
      </c>
      <c r="N2689">
        <f>IF(G2689&lt;=1,"1. Under 1 hour",IF(G2689&lt;=24,"2. 1-24 hours",IF(G2689&lt;=72,"3. 1-3 days","4. Over 3 days")))</f>
        <v/>
      </c>
      <c r="O2689">
        <f>TEXT(B2689,"YYYY-MM")</f>
        <v/>
      </c>
    </row>
    <row r="2690">
      <c r="A2690" t="inlineStr">
        <is>
          <t>LD-302688</t>
        </is>
      </c>
      <c r="B2690" t="inlineStr">
        <is>
          <t>2025-12-01 18:01:00</t>
        </is>
      </c>
      <c r="C2690" t="inlineStr">
        <is>
          <t>Social Media</t>
        </is>
      </c>
      <c r="D2690" t="inlineStr">
        <is>
          <t>Study Abroad Prep</t>
        </is>
      </c>
      <c r="E2690" t="inlineStr">
        <is>
          <t>North Region</t>
        </is>
      </c>
      <c r="F2690" t="inlineStr">
        <is>
          <t>Rep_06</t>
        </is>
      </c>
      <c r="G2690" t="n">
        <v>1.58</v>
      </c>
      <c r="H2690" t="inlineStr">
        <is>
          <t>Lead</t>
        </is>
      </c>
      <c r="I2690" t="inlineStr">
        <is>
          <t>Open</t>
        </is>
      </c>
      <c r="M2690">
        <f>VLOOKUP(H2690,'Stage Order'!$A$2:$B$8,2,FALSE)</f>
        <v/>
      </c>
      <c r="N2690">
        <f>IF(G2690&lt;=1,"1. Under 1 hour",IF(G2690&lt;=24,"2. 1-24 hours",IF(G2690&lt;=72,"3. 1-3 days","4. Over 3 days")))</f>
        <v/>
      </c>
      <c r="O2690">
        <f>TEXT(B2690,"YYYY-MM")</f>
        <v/>
      </c>
    </row>
    <row r="2691">
      <c r="A2691" t="inlineStr">
        <is>
          <t>LD-302689</t>
        </is>
      </c>
      <c r="B2691" t="inlineStr">
        <is>
          <t>2025-10-08 07:51:00</t>
        </is>
      </c>
      <c r="C2691" t="inlineStr">
        <is>
          <t>Partner Channel</t>
        </is>
      </c>
      <c r="D2691" t="inlineStr">
        <is>
          <t>Study Abroad Prep</t>
        </is>
      </c>
      <c r="E2691" t="inlineStr">
        <is>
          <t>International</t>
        </is>
      </c>
      <c r="F2691" t="inlineStr">
        <is>
          <t>Rep_05</t>
        </is>
      </c>
      <c r="G2691" t="n">
        <v>11.49</v>
      </c>
      <c r="H2691" t="inlineStr">
        <is>
          <t>Contacted</t>
        </is>
      </c>
      <c r="I2691" t="inlineStr">
        <is>
          <t>Open</t>
        </is>
      </c>
      <c r="M2691">
        <f>VLOOKUP(H2691,'Stage Order'!$A$2:$B$8,2,FALSE)</f>
        <v/>
      </c>
      <c r="N2691">
        <f>IF(G2691&lt;=1,"1. Under 1 hour",IF(G2691&lt;=24,"2. 1-24 hours",IF(G2691&lt;=72,"3. 1-3 days","4. Over 3 days")))</f>
        <v/>
      </c>
      <c r="O2691">
        <f>TEXT(B2691,"YYYY-MM")</f>
        <v/>
      </c>
    </row>
    <row r="2692">
      <c r="A2692" t="inlineStr">
        <is>
          <t>LD-302690</t>
        </is>
      </c>
      <c r="B2692" t="inlineStr">
        <is>
          <t>2026-02-27 20:04:00</t>
        </is>
      </c>
      <c r="C2692" t="inlineStr">
        <is>
          <t>Paid Search</t>
        </is>
      </c>
      <c r="D2692" t="inlineStr">
        <is>
          <t>Coding for Kids</t>
        </is>
      </c>
      <c r="E2692" t="inlineStr">
        <is>
          <t>East Region</t>
        </is>
      </c>
      <c r="F2692" t="inlineStr">
        <is>
          <t>Rep_04</t>
        </is>
      </c>
      <c r="G2692" t="n">
        <v>7.79</v>
      </c>
      <c r="H2692" t="inlineStr">
        <is>
          <t>Lead</t>
        </is>
      </c>
      <c r="I2692" t="inlineStr">
        <is>
          <t>Open</t>
        </is>
      </c>
      <c r="M2692">
        <f>VLOOKUP(H2692,'Stage Order'!$A$2:$B$8,2,FALSE)</f>
        <v/>
      </c>
      <c r="N2692">
        <f>IF(G2692&lt;=1,"1. Under 1 hour",IF(G2692&lt;=24,"2. 1-24 hours",IF(G2692&lt;=72,"3. 1-3 days","4. Over 3 days")))</f>
        <v/>
      </c>
      <c r="O2692">
        <f>TEXT(B2692,"YYYY-MM")</f>
        <v/>
      </c>
    </row>
    <row r="2693">
      <c r="A2693" t="inlineStr">
        <is>
          <t>LD-302691</t>
        </is>
      </c>
      <c r="B2693" t="inlineStr">
        <is>
          <t>2025-08-26 20:09:00</t>
        </is>
      </c>
      <c r="C2693" t="inlineStr">
        <is>
          <t>Paid Search</t>
        </is>
      </c>
      <c r="D2693" t="inlineStr">
        <is>
          <t>Coding for Kids</t>
        </is>
      </c>
      <c r="E2693" t="inlineStr">
        <is>
          <t>East Region</t>
        </is>
      </c>
      <c r="F2693" t="inlineStr">
        <is>
          <t>Rep_09</t>
        </is>
      </c>
      <c r="G2693" t="n">
        <v>9.050000000000001</v>
      </c>
      <c r="H2693" t="inlineStr">
        <is>
          <t>Contacted</t>
        </is>
      </c>
      <c r="I2693" t="inlineStr">
        <is>
          <t>Open</t>
        </is>
      </c>
      <c r="M2693">
        <f>VLOOKUP(H2693,'Stage Order'!$A$2:$B$8,2,FALSE)</f>
        <v/>
      </c>
      <c r="N2693">
        <f>IF(G2693&lt;=1,"1. Under 1 hour",IF(G2693&lt;=24,"2. 1-24 hours",IF(G2693&lt;=72,"3. 1-3 days","4. Over 3 days")))</f>
        <v/>
      </c>
      <c r="O2693">
        <f>TEXT(B2693,"YYYY-MM")</f>
        <v/>
      </c>
    </row>
    <row r="2694">
      <c r="A2694" t="inlineStr">
        <is>
          <t>LD-302692</t>
        </is>
      </c>
      <c r="B2694" t="inlineStr">
        <is>
          <t>2025-06-18 17:09:00</t>
        </is>
      </c>
      <c r="C2694" t="inlineStr">
        <is>
          <t>Organic Search</t>
        </is>
      </c>
      <c r="D2694" t="inlineStr">
        <is>
          <t>K-12 Math</t>
        </is>
      </c>
      <c r="E2694" t="inlineStr">
        <is>
          <t>North Region</t>
        </is>
      </c>
      <c r="F2694" t="inlineStr">
        <is>
          <t>Rep_01</t>
        </is>
      </c>
      <c r="G2694" t="n">
        <v>2.82</v>
      </c>
      <c r="H2694" t="inlineStr">
        <is>
          <t>Proposal Sent</t>
        </is>
      </c>
      <c r="I2694" t="inlineStr">
        <is>
          <t>Lost</t>
        </is>
      </c>
      <c r="J2694" t="inlineStr">
        <is>
          <t>Went With Competitor</t>
        </is>
      </c>
      <c r="K2694" t="n">
        <v>489.09</v>
      </c>
      <c r="L2694" t="inlineStr">
        <is>
          <t>2025-07-24 19:21:53.461403</t>
        </is>
      </c>
      <c r="M2694">
        <f>VLOOKUP(H2694,'Stage Order'!$A$2:$B$8,2,FALSE)</f>
        <v/>
      </c>
      <c r="N2694">
        <f>IF(G2694&lt;=1,"1. Under 1 hour",IF(G2694&lt;=24,"2. 1-24 hours",IF(G2694&lt;=72,"3. 1-3 days","4. Over 3 days")))</f>
        <v/>
      </c>
      <c r="O2694">
        <f>TEXT(B2694,"YYYY-MM")</f>
        <v/>
      </c>
    </row>
    <row r="2695">
      <c r="A2695" t="inlineStr">
        <is>
          <t>LD-302693</t>
        </is>
      </c>
      <c r="B2695" t="inlineStr">
        <is>
          <t>2025-10-31 08:29:00</t>
        </is>
      </c>
      <c r="C2695" t="inlineStr">
        <is>
          <t>Referral</t>
        </is>
      </c>
      <c r="D2695" t="inlineStr">
        <is>
          <t>Coding for Kids</t>
        </is>
      </c>
      <c r="E2695" t="inlineStr">
        <is>
          <t>East Region</t>
        </is>
      </c>
      <c r="F2695" t="inlineStr">
        <is>
          <t>Rep_14</t>
        </is>
      </c>
      <c r="G2695" t="n">
        <v>3.14</v>
      </c>
      <c r="H2695" t="inlineStr">
        <is>
          <t>Contacted</t>
        </is>
      </c>
      <c r="I2695" t="inlineStr">
        <is>
          <t>Open</t>
        </is>
      </c>
      <c r="M2695">
        <f>VLOOKUP(H2695,'Stage Order'!$A$2:$B$8,2,FALSE)</f>
        <v/>
      </c>
      <c r="N2695">
        <f>IF(G2695&lt;=1,"1. Under 1 hour",IF(G2695&lt;=24,"2. 1-24 hours",IF(G2695&lt;=72,"3. 1-3 days","4. Over 3 days")))</f>
        <v/>
      </c>
      <c r="O2695">
        <f>TEXT(B2695,"YYYY-MM")</f>
        <v/>
      </c>
    </row>
    <row r="2696">
      <c r="A2696" t="inlineStr">
        <is>
          <t>LD-302694</t>
        </is>
      </c>
      <c r="B2696" t="inlineStr">
        <is>
          <t>2025-04-18 10:30:00</t>
        </is>
      </c>
      <c r="C2696" t="inlineStr">
        <is>
          <t>Paid Search</t>
        </is>
      </c>
      <c r="D2696" t="inlineStr">
        <is>
          <t>Coding for Kids</t>
        </is>
      </c>
      <c r="E2696" t="inlineStr">
        <is>
          <t>South Region</t>
        </is>
      </c>
      <c r="F2696" t="inlineStr">
        <is>
          <t>Rep_12</t>
        </is>
      </c>
      <c r="G2696" t="n">
        <v>2.34</v>
      </c>
      <c r="H2696" t="inlineStr">
        <is>
          <t>Contacted</t>
        </is>
      </c>
      <c r="I2696" t="inlineStr">
        <is>
          <t>Open</t>
        </is>
      </c>
      <c r="M2696">
        <f>VLOOKUP(H2696,'Stage Order'!$A$2:$B$8,2,FALSE)</f>
        <v/>
      </c>
      <c r="N2696">
        <f>IF(G2696&lt;=1,"1. Under 1 hour",IF(G2696&lt;=24,"2. 1-24 hours",IF(G2696&lt;=72,"3. 1-3 days","4. Over 3 days")))</f>
        <v/>
      </c>
      <c r="O2696">
        <f>TEXT(B2696,"YYYY-MM")</f>
        <v/>
      </c>
    </row>
    <row r="2697">
      <c r="A2697" t="inlineStr">
        <is>
          <t>LD-302695</t>
        </is>
      </c>
      <c r="B2697" t="inlineStr">
        <is>
          <t>2026-04-06 18:32:00</t>
        </is>
      </c>
      <c r="C2697" t="inlineStr">
        <is>
          <t>Cold Outreach</t>
        </is>
      </c>
      <c r="D2697" t="inlineStr">
        <is>
          <t>K-12 Math</t>
        </is>
      </c>
      <c r="E2697" t="inlineStr">
        <is>
          <t>International</t>
        </is>
      </c>
      <c r="F2697" t="inlineStr">
        <is>
          <t>Rep_05</t>
        </is>
      </c>
      <c r="G2697" t="n">
        <v>4.58</v>
      </c>
      <c r="H2697" t="inlineStr">
        <is>
          <t>Lead</t>
        </is>
      </c>
      <c r="I2697" t="inlineStr">
        <is>
          <t>Open</t>
        </is>
      </c>
      <c r="M2697">
        <f>VLOOKUP(H2697,'Stage Order'!$A$2:$B$8,2,FALSE)</f>
        <v/>
      </c>
      <c r="N2697">
        <f>IF(G2697&lt;=1,"1. Under 1 hour",IF(G2697&lt;=24,"2. 1-24 hours",IF(G2697&lt;=72,"3. 1-3 days","4. Over 3 days")))</f>
        <v/>
      </c>
      <c r="O2697">
        <f>TEXT(B2697,"YYYY-MM")</f>
        <v/>
      </c>
    </row>
    <row r="2698">
      <c r="A2698" t="inlineStr">
        <is>
          <t>LD-302696</t>
        </is>
      </c>
      <c r="B2698" t="inlineStr">
        <is>
          <t>2026-01-02 18:14:00</t>
        </is>
      </c>
      <c r="C2698" t="inlineStr">
        <is>
          <t>Cold Outreach</t>
        </is>
      </c>
      <c r="D2698" t="inlineStr">
        <is>
          <t>Competitive Exam Prep</t>
        </is>
      </c>
      <c r="E2698" t="inlineStr">
        <is>
          <t>South Region</t>
        </is>
      </c>
      <c r="F2698" t="inlineStr">
        <is>
          <t>Rep_02</t>
        </is>
      </c>
      <c r="G2698" t="n">
        <v>4.64</v>
      </c>
      <c r="H2698" t="inlineStr">
        <is>
          <t>Lead</t>
        </is>
      </c>
      <c r="I2698" t="inlineStr">
        <is>
          <t>Open</t>
        </is>
      </c>
      <c r="M2698">
        <f>VLOOKUP(H2698,'Stage Order'!$A$2:$B$8,2,FALSE)</f>
        <v/>
      </c>
      <c r="N2698">
        <f>IF(G2698&lt;=1,"1. Under 1 hour",IF(G2698&lt;=24,"2. 1-24 hours",IF(G2698&lt;=72,"3. 1-3 days","4. Over 3 days")))</f>
        <v/>
      </c>
      <c r="O2698">
        <f>TEXT(B2698,"YYYY-MM")</f>
        <v/>
      </c>
    </row>
    <row r="2699">
      <c r="A2699" t="inlineStr">
        <is>
          <t>LD-302697</t>
        </is>
      </c>
      <c r="B2699" t="inlineStr">
        <is>
          <t>2025-02-10 15:43:00</t>
        </is>
      </c>
      <c r="C2699" t="inlineStr">
        <is>
          <t>Organic Search</t>
        </is>
      </c>
      <c r="D2699" t="inlineStr">
        <is>
          <t>K-12 Math</t>
        </is>
      </c>
      <c r="E2699" t="inlineStr">
        <is>
          <t>North Region</t>
        </is>
      </c>
      <c r="F2699" t="inlineStr">
        <is>
          <t>Rep_01</t>
        </is>
      </c>
      <c r="G2699" t="n">
        <v>1.08</v>
      </c>
      <c r="H2699" t="inlineStr">
        <is>
          <t>Proposal Sent</t>
        </is>
      </c>
      <c r="I2699" t="inlineStr">
        <is>
          <t>Lost</t>
        </is>
      </c>
      <c r="J2699" t="inlineStr">
        <is>
          <t>Went With Competitor</t>
        </is>
      </c>
      <c r="K2699" t="n">
        <v>582.04</v>
      </c>
      <c r="L2699" t="inlineStr">
        <is>
          <t>2025-03-21 12:49:26.886706</t>
        </is>
      </c>
      <c r="M2699">
        <f>VLOOKUP(H2699,'Stage Order'!$A$2:$B$8,2,FALSE)</f>
        <v/>
      </c>
      <c r="N2699">
        <f>IF(G2699&lt;=1,"1. Under 1 hour",IF(G2699&lt;=24,"2. 1-24 hours",IF(G2699&lt;=72,"3. 1-3 days","4. Over 3 days")))</f>
        <v/>
      </c>
      <c r="O2699">
        <f>TEXT(B2699,"YYYY-MM")</f>
        <v/>
      </c>
    </row>
    <row r="2700">
      <c r="A2700" t="inlineStr">
        <is>
          <t>LD-302698</t>
        </is>
      </c>
      <c r="B2700" t="inlineStr">
        <is>
          <t>2025-06-08 17:58:00</t>
        </is>
      </c>
      <c r="C2700" t="inlineStr">
        <is>
          <t>Webinar</t>
        </is>
      </c>
      <c r="D2700" t="inlineStr">
        <is>
          <t>Language Learning</t>
        </is>
      </c>
      <c r="E2700" t="inlineStr">
        <is>
          <t>North Region</t>
        </is>
      </c>
      <c r="F2700" t="inlineStr">
        <is>
          <t>Rep_01</t>
        </is>
      </c>
      <c r="G2700" t="n">
        <v>4.01</v>
      </c>
      <c r="H2700" t="inlineStr">
        <is>
          <t>Proposal Sent</t>
        </is>
      </c>
      <c r="I2700" t="inlineStr">
        <is>
          <t>Lost</t>
        </is>
      </c>
      <c r="J2700" t="inlineStr">
        <is>
          <t>Price Objection</t>
        </is>
      </c>
      <c r="K2700" t="n">
        <v>375.06</v>
      </c>
      <c r="L2700" t="inlineStr">
        <is>
          <t>2025-07-04 01:26:51.874087</t>
        </is>
      </c>
      <c r="M2700">
        <f>VLOOKUP(H2700,'Stage Order'!$A$2:$B$8,2,FALSE)</f>
        <v/>
      </c>
      <c r="N2700">
        <f>IF(G2700&lt;=1,"1. Under 1 hour",IF(G2700&lt;=24,"2. 1-24 hours",IF(G2700&lt;=72,"3. 1-3 days","4. Over 3 days")))</f>
        <v/>
      </c>
      <c r="O2700">
        <f>TEXT(B2700,"YYYY-MM")</f>
        <v/>
      </c>
    </row>
    <row r="2701">
      <c r="A2701" t="inlineStr">
        <is>
          <t>LD-302699</t>
        </is>
      </c>
      <c r="B2701" t="inlineStr">
        <is>
          <t>2025-04-30 13:02:00</t>
        </is>
      </c>
      <c r="C2701" t="inlineStr">
        <is>
          <t>Referral</t>
        </is>
      </c>
      <c r="D2701" t="inlineStr">
        <is>
          <t>K-12 Math</t>
        </is>
      </c>
      <c r="E2701" t="inlineStr">
        <is>
          <t>East Region</t>
        </is>
      </c>
      <c r="F2701" t="inlineStr">
        <is>
          <t>Rep_14</t>
        </is>
      </c>
      <c r="G2701" t="n">
        <v>11.56</v>
      </c>
      <c r="H2701" t="inlineStr">
        <is>
          <t>Contacted</t>
        </is>
      </c>
      <c r="I2701" t="inlineStr">
        <is>
          <t>Open</t>
        </is>
      </c>
      <c r="M2701">
        <f>VLOOKUP(H2701,'Stage Order'!$A$2:$B$8,2,FALSE)</f>
        <v/>
      </c>
      <c r="N2701">
        <f>IF(G2701&lt;=1,"1. Under 1 hour",IF(G2701&lt;=24,"2. 1-24 hours",IF(G2701&lt;=72,"3. 1-3 days","4. Over 3 days")))</f>
        <v/>
      </c>
      <c r="O2701">
        <f>TEXT(B2701,"YYYY-MM")</f>
        <v/>
      </c>
    </row>
    <row r="2702">
      <c r="A2702" t="inlineStr">
        <is>
          <t>LD-302700</t>
        </is>
      </c>
      <c r="B2702" t="inlineStr">
        <is>
          <t>2025-12-05 08:54:00</t>
        </is>
      </c>
      <c r="C2702" t="inlineStr">
        <is>
          <t>Partner Channel</t>
        </is>
      </c>
      <c r="D2702" t="inlineStr">
        <is>
          <t>Language Learning</t>
        </is>
      </c>
      <c r="E2702" t="inlineStr">
        <is>
          <t>North Region</t>
        </is>
      </c>
      <c r="F2702" t="inlineStr">
        <is>
          <t>Rep_06</t>
        </is>
      </c>
      <c r="G2702" t="n">
        <v>5.72</v>
      </c>
      <c r="H2702" t="inlineStr">
        <is>
          <t>Lead</t>
        </is>
      </c>
      <c r="I2702" t="inlineStr">
        <is>
          <t>Open</t>
        </is>
      </c>
      <c r="M2702">
        <f>VLOOKUP(H2702,'Stage Order'!$A$2:$B$8,2,FALSE)</f>
        <v/>
      </c>
      <c r="N2702">
        <f>IF(G2702&lt;=1,"1. Under 1 hour",IF(G2702&lt;=24,"2. 1-24 hours",IF(G2702&lt;=72,"3. 1-3 days","4. Over 3 days")))</f>
        <v/>
      </c>
      <c r="O2702">
        <f>TEXT(B2702,"YYYY-MM")</f>
        <v/>
      </c>
    </row>
    <row r="2703">
      <c r="A2703" t="inlineStr">
        <is>
          <t>LD-302701</t>
        </is>
      </c>
      <c r="B2703" t="inlineStr">
        <is>
          <t>2025-12-16 13:26:00</t>
        </is>
      </c>
      <c r="C2703" t="inlineStr">
        <is>
          <t>Cold Outreach</t>
        </is>
      </c>
      <c r="D2703" t="inlineStr">
        <is>
          <t>Coding for Kids</t>
        </is>
      </c>
      <c r="E2703" t="inlineStr">
        <is>
          <t>North Region</t>
        </is>
      </c>
      <c r="F2703" t="inlineStr">
        <is>
          <t>Rep_01</t>
        </is>
      </c>
      <c r="G2703" t="n">
        <v>6.04</v>
      </c>
      <c r="H2703" t="inlineStr">
        <is>
          <t>Lead</t>
        </is>
      </c>
      <c r="I2703" t="inlineStr">
        <is>
          <t>Open</t>
        </is>
      </c>
      <c r="M2703">
        <f>VLOOKUP(H2703,'Stage Order'!$A$2:$B$8,2,FALSE)</f>
        <v/>
      </c>
      <c r="N2703">
        <f>IF(G2703&lt;=1,"1. Under 1 hour",IF(G2703&lt;=24,"2. 1-24 hours",IF(G2703&lt;=72,"3. 1-3 days","4. Over 3 days")))</f>
        <v/>
      </c>
      <c r="O2703">
        <f>TEXT(B2703,"YYYY-MM")</f>
        <v/>
      </c>
    </row>
    <row r="2704">
      <c r="A2704" t="inlineStr">
        <is>
          <t>LD-302702</t>
        </is>
      </c>
      <c r="B2704" t="inlineStr">
        <is>
          <t>2025-08-30 14:21:00</t>
        </is>
      </c>
      <c r="C2704" t="inlineStr">
        <is>
          <t>Paid Search</t>
        </is>
      </c>
      <c r="D2704" t="inlineStr">
        <is>
          <t>Coding for Kids</t>
        </is>
      </c>
      <c r="E2704" t="inlineStr">
        <is>
          <t>North Region</t>
        </is>
      </c>
      <c r="F2704" t="inlineStr">
        <is>
          <t>Rep_11</t>
        </is>
      </c>
      <c r="G2704" t="n">
        <v>1.11</v>
      </c>
      <c r="H2704" t="inlineStr">
        <is>
          <t>Proposal Sent</t>
        </is>
      </c>
      <c r="I2704" t="inlineStr">
        <is>
          <t>Lost</t>
        </is>
      </c>
      <c r="J2704" t="inlineStr">
        <is>
          <t>Went With Competitor</t>
        </is>
      </c>
      <c r="K2704" t="n">
        <v>714.1799999999999</v>
      </c>
      <c r="L2704" t="inlineStr">
        <is>
          <t>2025-09-29 00:04:28.671267</t>
        </is>
      </c>
      <c r="M2704">
        <f>VLOOKUP(H2704,'Stage Order'!$A$2:$B$8,2,FALSE)</f>
        <v/>
      </c>
      <c r="N2704">
        <f>IF(G2704&lt;=1,"1. Under 1 hour",IF(G2704&lt;=24,"2. 1-24 hours",IF(G2704&lt;=72,"3. 1-3 days","4. Over 3 days")))</f>
        <v/>
      </c>
      <c r="O2704">
        <f>TEXT(B2704,"YYYY-MM")</f>
        <v/>
      </c>
    </row>
    <row r="2705">
      <c r="A2705" t="inlineStr">
        <is>
          <t>LD-302703</t>
        </is>
      </c>
      <c r="B2705" t="inlineStr">
        <is>
          <t>2025-05-06 12:47:00</t>
        </is>
      </c>
      <c r="C2705" t="inlineStr">
        <is>
          <t>Social Media</t>
        </is>
      </c>
      <c r="D2705" t="inlineStr">
        <is>
          <t>K-12 Math</t>
        </is>
      </c>
      <c r="E2705" t="inlineStr">
        <is>
          <t>South Region</t>
        </is>
      </c>
      <c r="F2705" t="inlineStr">
        <is>
          <t>Rep_07</t>
        </is>
      </c>
      <c r="G2705" t="n">
        <v>9.609999999999999</v>
      </c>
      <c r="H2705" t="inlineStr">
        <is>
          <t>Contacted</t>
        </is>
      </c>
      <c r="I2705" t="inlineStr">
        <is>
          <t>Open</t>
        </is>
      </c>
      <c r="M2705">
        <f>VLOOKUP(H2705,'Stage Order'!$A$2:$B$8,2,FALSE)</f>
        <v/>
      </c>
      <c r="N2705">
        <f>IF(G2705&lt;=1,"1. Under 1 hour",IF(G2705&lt;=24,"2. 1-24 hours",IF(G2705&lt;=72,"3. 1-3 days","4. Over 3 days")))</f>
        <v/>
      </c>
      <c r="O2705">
        <f>TEXT(B2705,"YYYY-MM")</f>
        <v/>
      </c>
    </row>
    <row r="2706">
      <c r="A2706" t="inlineStr">
        <is>
          <t>LD-302704</t>
        </is>
      </c>
      <c r="B2706" t="inlineStr">
        <is>
          <t>2025-03-19 09:51:00</t>
        </is>
      </c>
      <c r="C2706" t="inlineStr">
        <is>
          <t>Paid Search</t>
        </is>
      </c>
      <c r="D2706" t="inlineStr">
        <is>
          <t>Competitive Exam Prep</t>
        </is>
      </c>
      <c r="E2706" t="inlineStr">
        <is>
          <t>South Region</t>
        </is>
      </c>
      <c r="F2706" t="inlineStr">
        <is>
          <t>Rep_07</t>
        </is>
      </c>
      <c r="G2706" t="n">
        <v>2.76</v>
      </c>
      <c r="H2706" t="inlineStr">
        <is>
          <t>Demo Scheduled</t>
        </is>
      </c>
      <c r="I2706" t="inlineStr">
        <is>
          <t>Open</t>
        </is>
      </c>
      <c r="M2706">
        <f>VLOOKUP(H2706,'Stage Order'!$A$2:$B$8,2,FALSE)</f>
        <v/>
      </c>
      <c r="N2706">
        <f>IF(G2706&lt;=1,"1. Under 1 hour",IF(G2706&lt;=24,"2. 1-24 hours",IF(G2706&lt;=72,"3. 1-3 days","4. Over 3 days")))</f>
        <v/>
      </c>
      <c r="O2706">
        <f>TEXT(B2706,"YYYY-MM")</f>
        <v/>
      </c>
    </row>
    <row r="2707">
      <c r="A2707" t="inlineStr">
        <is>
          <t>LD-302705</t>
        </is>
      </c>
      <c r="B2707" t="inlineStr">
        <is>
          <t>2025-09-24 15:44:00</t>
        </is>
      </c>
      <c r="C2707" t="inlineStr">
        <is>
          <t>Paid Search</t>
        </is>
      </c>
      <c r="D2707" t="inlineStr">
        <is>
          <t>Study Abroad Prep</t>
        </is>
      </c>
      <c r="E2707" t="inlineStr">
        <is>
          <t>South Region</t>
        </is>
      </c>
      <c r="F2707" t="inlineStr">
        <is>
          <t>Rep_02</t>
        </is>
      </c>
      <c r="G2707" t="n">
        <v>17.53</v>
      </c>
      <c r="H2707" t="inlineStr">
        <is>
          <t>Contacted</t>
        </is>
      </c>
      <c r="I2707" t="inlineStr">
        <is>
          <t>Open</t>
        </is>
      </c>
      <c r="M2707">
        <f>VLOOKUP(H2707,'Stage Order'!$A$2:$B$8,2,FALSE)</f>
        <v/>
      </c>
      <c r="N2707">
        <f>IF(G2707&lt;=1,"1. Under 1 hour",IF(G2707&lt;=24,"2. 1-24 hours",IF(G2707&lt;=72,"3. 1-3 days","4. Over 3 days")))</f>
        <v/>
      </c>
      <c r="O2707">
        <f>TEXT(B2707,"YYYY-MM")</f>
        <v/>
      </c>
    </row>
    <row r="2708">
      <c r="A2708" t="inlineStr">
        <is>
          <t>LD-302706</t>
        </is>
      </c>
      <c r="B2708" t="inlineStr">
        <is>
          <t>2025-12-10 19:44:00</t>
        </is>
      </c>
      <c r="C2708" t="inlineStr">
        <is>
          <t>Social Media</t>
        </is>
      </c>
      <c r="D2708" t="inlineStr">
        <is>
          <t>Coding for Kids</t>
        </is>
      </c>
      <c r="E2708" t="inlineStr">
        <is>
          <t>East Region</t>
        </is>
      </c>
      <c r="F2708" t="inlineStr">
        <is>
          <t>Rep_09</t>
        </is>
      </c>
      <c r="G2708" t="n">
        <v>0.52</v>
      </c>
      <c r="H2708" t="inlineStr">
        <is>
          <t>Lead</t>
        </is>
      </c>
      <c r="I2708" t="inlineStr">
        <is>
          <t>Open</t>
        </is>
      </c>
      <c r="M2708">
        <f>VLOOKUP(H2708,'Stage Order'!$A$2:$B$8,2,FALSE)</f>
        <v/>
      </c>
      <c r="N2708">
        <f>IF(G2708&lt;=1,"1. Under 1 hour",IF(G2708&lt;=24,"2. 1-24 hours",IF(G2708&lt;=72,"3. 1-3 days","4. Over 3 days")))</f>
        <v/>
      </c>
      <c r="O2708">
        <f>TEXT(B2708,"YYYY-MM")</f>
        <v/>
      </c>
    </row>
    <row r="2709">
      <c r="A2709" t="inlineStr">
        <is>
          <t>LD-302707</t>
        </is>
      </c>
      <c r="B2709" t="inlineStr">
        <is>
          <t>2025-07-17 20:56:00</t>
        </is>
      </c>
      <c r="C2709" t="inlineStr">
        <is>
          <t>Organic Search</t>
        </is>
      </c>
      <c r="D2709" t="inlineStr">
        <is>
          <t>K-12 Math</t>
        </is>
      </c>
      <c r="E2709" t="inlineStr">
        <is>
          <t>South Region</t>
        </is>
      </c>
      <c r="F2709" t="inlineStr">
        <is>
          <t>Rep_02</t>
        </is>
      </c>
      <c r="G2709" t="n">
        <v>1.17</v>
      </c>
      <c r="H2709" t="inlineStr">
        <is>
          <t>Negotiation</t>
        </is>
      </c>
      <c r="I2709" t="inlineStr">
        <is>
          <t>Lost</t>
        </is>
      </c>
      <c r="J2709" t="inlineStr">
        <is>
          <t>Went With Competitor</t>
        </is>
      </c>
      <c r="K2709" t="n">
        <v>444.18</v>
      </c>
      <c r="L2709" t="inlineStr">
        <is>
          <t>2025-08-26 22:18:06.639596</t>
        </is>
      </c>
      <c r="M2709">
        <f>VLOOKUP(H2709,'Stage Order'!$A$2:$B$8,2,FALSE)</f>
        <v/>
      </c>
      <c r="N2709">
        <f>IF(G2709&lt;=1,"1. Under 1 hour",IF(G2709&lt;=24,"2. 1-24 hours",IF(G2709&lt;=72,"3. 1-3 days","4. Over 3 days")))</f>
        <v/>
      </c>
      <c r="O2709">
        <f>TEXT(B2709,"YYYY-MM")</f>
        <v/>
      </c>
    </row>
    <row r="2710">
      <c r="A2710" t="inlineStr">
        <is>
          <t>LD-302708</t>
        </is>
      </c>
      <c r="B2710" t="inlineStr">
        <is>
          <t>2025-07-22 18:43:00</t>
        </is>
      </c>
      <c r="C2710" t="inlineStr">
        <is>
          <t>Organic Search</t>
        </is>
      </c>
      <c r="D2710" t="inlineStr">
        <is>
          <t>K-12 Math</t>
        </is>
      </c>
      <c r="E2710" t="inlineStr">
        <is>
          <t>International</t>
        </is>
      </c>
      <c r="F2710" t="inlineStr">
        <is>
          <t>Rep_05</t>
        </is>
      </c>
      <c r="G2710" t="n">
        <v>8.039999999999999</v>
      </c>
      <c r="H2710" t="inlineStr">
        <is>
          <t>Contacted</t>
        </is>
      </c>
      <c r="I2710" t="inlineStr">
        <is>
          <t>Open</t>
        </is>
      </c>
      <c r="M2710">
        <f>VLOOKUP(H2710,'Stage Order'!$A$2:$B$8,2,FALSE)</f>
        <v/>
      </c>
      <c r="N2710">
        <f>IF(G2710&lt;=1,"1. Under 1 hour",IF(G2710&lt;=24,"2. 1-24 hours",IF(G2710&lt;=72,"3. 1-3 days","4. Over 3 days")))</f>
        <v/>
      </c>
      <c r="O2710">
        <f>TEXT(B2710,"YYYY-MM")</f>
        <v/>
      </c>
    </row>
    <row r="2711">
      <c r="A2711" t="inlineStr">
        <is>
          <t>LD-302709</t>
        </is>
      </c>
      <c r="B2711" t="inlineStr">
        <is>
          <t>2026-03-06 13:16:00</t>
        </is>
      </c>
      <c r="C2711" t="inlineStr">
        <is>
          <t>Social Media</t>
        </is>
      </c>
      <c r="D2711" t="inlineStr">
        <is>
          <t>K-12 Math</t>
        </is>
      </c>
      <c r="E2711" t="inlineStr">
        <is>
          <t>International</t>
        </is>
      </c>
      <c r="F2711" t="inlineStr">
        <is>
          <t>Rep_10</t>
        </is>
      </c>
      <c r="G2711" t="n">
        <v>2.05</v>
      </c>
      <c r="H2711" t="inlineStr">
        <is>
          <t>Demo Completed</t>
        </is>
      </c>
      <c r="I2711" t="inlineStr">
        <is>
          <t>Lost</t>
        </is>
      </c>
      <c r="J2711" t="inlineStr">
        <is>
          <t>Bad Timing</t>
        </is>
      </c>
      <c r="K2711" t="n">
        <v>500.38</v>
      </c>
      <c r="L2711" t="inlineStr">
        <is>
          <t>2026-03-31 00:32:04.215839</t>
        </is>
      </c>
      <c r="M2711">
        <f>VLOOKUP(H2711,'Stage Order'!$A$2:$B$8,2,FALSE)</f>
        <v/>
      </c>
      <c r="N2711">
        <f>IF(G2711&lt;=1,"1. Under 1 hour",IF(G2711&lt;=24,"2. 1-24 hours",IF(G2711&lt;=72,"3. 1-3 days","4. Over 3 days")))</f>
        <v/>
      </c>
      <c r="O2711">
        <f>TEXT(B2711,"YYYY-MM")</f>
        <v/>
      </c>
    </row>
    <row r="2712">
      <c r="A2712" t="inlineStr">
        <is>
          <t>LD-302710</t>
        </is>
      </c>
      <c r="B2712" t="inlineStr">
        <is>
          <t>2025-08-08 14:32:00</t>
        </is>
      </c>
      <c r="C2712" t="inlineStr">
        <is>
          <t>Referral</t>
        </is>
      </c>
      <c r="D2712" t="inlineStr">
        <is>
          <t>Coding for Kids</t>
        </is>
      </c>
      <c r="E2712" t="inlineStr">
        <is>
          <t>West Region</t>
        </is>
      </c>
      <c r="F2712" t="inlineStr">
        <is>
          <t>Rep_03</t>
        </is>
      </c>
      <c r="G2712" t="n">
        <v>4.58</v>
      </c>
      <c r="H2712" t="inlineStr">
        <is>
          <t>Negotiation</t>
        </is>
      </c>
      <c r="I2712" t="inlineStr">
        <is>
          <t>Lost</t>
        </is>
      </c>
      <c r="J2712" t="inlineStr">
        <is>
          <t>Bad Timing</t>
        </is>
      </c>
      <c r="K2712" t="n">
        <v>773.46</v>
      </c>
      <c r="L2712" t="inlineStr">
        <is>
          <t>2025-10-08 11:49:32.329192</t>
        </is>
      </c>
      <c r="M2712">
        <f>VLOOKUP(H2712,'Stage Order'!$A$2:$B$8,2,FALSE)</f>
        <v/>
      </c>
      <c r="N2712">
        <f>IF(G2712&lt;=1,"1. Under 1 hour",IF(G2712&lt;=24,"2. 1-24 hours",IF(G2712&lt;=72,"3. 1-3 days","4. Over 3 days")))</f>
        <v/>
      </c>
      <c r="O2712">
        <f>TEXT(B2712,"YYYY-MM")</f>
        <v/>
      </c>
    </row>
    <row r="2713">
      <c r="A2713" t="inlineStr">
        <is>
          <t>LD-302711</t>
        </is>
      </c>
      <c r="B2713" t="inlineStr">
        <is>
          <t>2026-01-09 08:19:00</t>
        </is>
      </c>
      <c r="C2713" t="inlineStr">
        <is>
          <t>Cold Outreach</t>
        </is>
      </c>
      <c r="D2713" t="inlineStr">
        <is>
          <t>Competitive Exam Prep</t>
        </is>
      </c>
      <c r="E2713" t="inlineStr">
        <is>
          <t>South Region</t>
        </is>
      </c>
      <c r="F2713" t="inlineStr">
        <is>
          <t>Rep_07</t>
        </is>
      </c>
      <c r="G2713" t="n">
        <v>1.21</v>
      </c>
      <c r="H2713" t="inlineStr">
        <is>
          <t>Lead</t>
        </is>
      </c>
      <c r="I2713" t="inlineStr">
        <is>
          <t>Open</t>
        </is>
      </c>
      <c r="M2713">
        <f>VLOOKUP(H2713,'Stage Order'!$A$2:$B$8,2,FALSE)</f>
        <v/>
      </c>
      <c r="N2713">
        <f>IF(G2713&lt;=1,"1. Under 1 hour",IF(G2713&lt;=24,"2. 1-24 hours",IF(G2713&lt;=72,"3. 1-3 days","4. Over 3 days")))</f>
        <v/>
      </c>
      <c r="O2713">
        <f>TEXT(B2713,"YYYY-MM")</f>
        <v/>
      </c>
    </row>
    <row r="2714">
      <c r="A2714" t="inlineStr">
        <is>
          <t>LD-302712</t>
        </is>
      </c>
      <c r="B2714" t="inlineStr">
        <is>
          <t>2025-10-02 11:35:00</t>
        </is>
      </c>
      <c r="C2714" t="inlineStr">
        <is>
          <t>Paid Search</t>
        </is>
      </c>
      <c r="D2714" t="inlineStr">
        <is>
          <t>Study Abroad Prep</t>
        </is>
      </c>
      <c r="E2714" t="inlineStr">
        <is>
          <t>South Region</t>
        </is>
      </c>
      <c r="F2714" t="inlineStr">
        <is>
          <t>Rep_02</t>
        </is>
      </c>
      <c r="G2714" t="n">
        <v>3.34</v>
      </c>
      <c r="H2714" t="inlineStr">
        <is>
          <t>Contacted</t>
        </is>
      </c>
      <c r="I2714" t="inlineStr">
        <is>
          <t>Open</t>
        </is>
      </c>
      <c r="M2714">
        <f>VLOOKUP(H2714,'Stage Order'!$A$2:$B$8,2,FALSE)</f>
        <v/>
      </c>
      <c r="N2714">
        <f>IF(G2714&lt;=1,"1. Under 1 hour",IF(G2714&lt;=24,"2. 1-24 hours",IF(G2714&lt;=72,"3. 1-3 days","4. Over 3 days")))</f>
        <v/>
      </c>
      <c r="O2714">
        <f>TEXT(B2714,"YYYY-MM")</f>
        <v/>
      </c>
    </row>
    <row r="2715">
      <c r="A2715" t="inlineStr">
        <is>
          <t>LD-302713</t>
        </is>
      </c>
      <c r="B2715" t="inlineStr">
        <is>
          <t>2025-10-24 12:03:00</t>
        </is>
      </c>
      <c r="C2715" t="inlineStr">
        <is>
          <t>Webinar</t>
        </is>
      </c>
      <c r="D2715" t="inlineStr">
        <is>
          <t>Coding for Kids</t>
        </is>
      </c>
      <c r="E2715" t="inlineStr">
        <is>
          <t>South Region</t>
        </is>
      </c>
      <c r="F2715" t="inlineStr">
        <is>
          <t>Rep_12</t>
        </is>
      </c>
      <c r="G2715" t="n">
        <v>11.7</v>
      </c>
      <c r="H2715" t="inlineStr">
        <is>
          <t>Demo Scheduled</t>
        </is>
      </c>
      <c r="I2715" t="inlineStr">
        <is>
          <t>Open</t>
        </is>
      </c>
      <c r="M2715">
        <f>VLOOKUP(H2715,'Stage Order'!$A$2:$B$8,2,FALSE)</f>
        <v/>
      </c>
      <c r="N2715">
        <f>IF(G2715&lt;=1,"1. Under 1 hour",IF(G2715&lt;=24,"2. 1-24 hours",IF(G2715&lt;=72,"3. 1-3 days","4. Over 3 days")))</f>
        <v/>
      </c>
      <c r="O2715">
        <f>TEXT(B2715,"YYYY-MM")</f>
        <v/>
      </c>
    </row>
    <row r="2716">
      <c r="A2716" t="inlineStr">
        <is>
          <t>LD-302714</t>
        </is>
      </c>
      <c r="B2716" t="inlineStr">
        <is>
          <t>2026-01-30 15:04:00</t>
        </is>
      </c>
      <c r="C2716" t="inlineStr">
        <is>
          <t>Paid Search</t>
        </is>
      </c>
      <c r="D2716" t="inlineStr">
        <is>
          <t>K-12 Math</t>
        </is>
      </c>
      <c r="E2716" t="inlineStr">
        <is>
          <t>South Region</t>
        </is>
      </c>
      <c r="F2716" t="inlineStr">
        <is>
          <t>Rep_07</t>
        </is>
      </c>
      <c r="G2716" t="n">
        <v>1.21</v>
      </c>
      <c r="H2716" t="inlineStr">
        <is>
          <t>Closed</t>
        </is>
      </c>
      <c r="I2716" t="inlineStr">
        <is>
          <t>Won</t>
        </is>
      </c>
      <c r="K2716" t="n">
        <v>448.58</v>
      </c>
      <c r="L2716" t="inlineStr">
        <is>
          <t>2026-02-20 09:17:50.403629</t>
        </is>
      </c>
      <c r="M2716">
        <f>VLOOKUP(H2716,'Stage Order'!$A$2:$B$8,2,FALSE)</f>
        <v/>
      </c>
      <c r="N2716">
        <f>IF(G2716&lt;=1,"1. Under 1 hour",IF(G2716&lt;=24,"2. 1-24 hours",IF(G2716&lt;=72,"3. 1-3 days","4. Over 3 days")))</f>
        <v/>
      </c>
      <c r="O2716">
        <f>TEXT(B2716,"YYYY-MM")</f>
        <v/>
      </c>
    </row>
    <row r="2717">
      <c r="A2717" t="inlineStr">
        <is>
          <t>LD-302715</t>
        </is>
      </c>
      <c r="B2717" t="inlineStr">
        <is>
          <t>2026-06-19 18:43:00</t>
        </is>
      </c>
      <c r="C2717" t="inlineStr">
        <is>
          <t>Paid Search</t>
        </is>
      </c>
      <c r="D2717" t="inlineStr">
        <is>
          <t>Coding for Kids</t>
        </is>
      </c>
      <c r="E2717" t="inlineStr">
        <is>
          <t>East Region</t>
        </is>
      </c>
      <c r="F2717" t="inlineStr">
        <is>
          <t>Rep_04</t>
        </is>
      </c>
      <c r="G2717" t="n">
        <v>7.73</v>
      </c>
      <c r="H2717" t="inlineStr">
        <is>
          <t>Lead</t>
        </is>
      </c>
      <c r="I2717" t="inlineStr">
        <is>
          <t>Open</t>
        </is>
      </c>
      <c r="M2717">
        <f>VLOOKUP(H2717,'Stage Order'!$A$2:$B$8,2,FALSE)</f>
        <v/>
      </c>
      <c r="N2717">
        <f>IF(G2717&lt;=1,"1. Under 1 hour",IF(G2717&lt;=24,"2. 1-24 hours",IF(G2717&lt;=72,"3. 1-3 days","4. Over 3 days")))</f>
        <v/>
      </c>
      <c r="O2717">
        <f>TEXT(B2717,"YYYY-MM")</f>
        <v/>
      </c>
    </row>
    <row r="2718">
      <c r="A2718" t="inlineStr">
        <is>
          <t>LD-302716</t>
        </is>
      </c>
      <c r="B2718" t="inlineStr">
        <is>
          <t>2025-08-12 20:43:00</t>
        </is>
      </c>
      <c r="C2718" t="inlineStr">
        <is>
          <t>Referral</t>
        </is>
      </c>
      <c r="D2718" t="inlineStr">
        <is>
          <t>Study Abroad Prep</t>
        </is>
      </c>
      <c r="E2718" t="inlineStr">
        <is>
          <t>International</t>
        </is>
      </c>
      <c r="F2718" t="inlineStr">
        <is>
          <t>Rep_15</t>
        </is>
      </c>
      <c r="G2718" t="n">
        <v>1.43</v>
      </c>
      <c r="H2718" t="inlineStr">
        <is>
          <t>Contacted</t>
        </is>
      </c>
      <c r="I2718" t="inlineStr">
        <is>
          <t>Open</t>
        </is>
      </c>
      <c r="M2718">
        <f>VLOOKUP(H2718,'Stage Order'!$A$2:$B$8,2,FALSE)</f>
        <v/>
      </c>
      <c r="N2718">
        <f>IF(G2718&lt;=1,"1. Under 1 hour",IF(G2718&lt;=24,"2. 1-24 hours",IF(G2718&lt;=72,"3. 1-3 days","4. Over 3 days")))</f>
        <v/>
      </c>
      <c r="O2718">
        <f>TEXT(B2718,"YYYY-MM")</f>
        <v/>
      </c>
    </row>
    <row r="2719">
      <c r="A2719" t="inlineStr">
        <is>
          <t>LD-302717</t>
        </is>
      </c>
      <c r="B2719" t="inlineStr">
        <is>
          <t>2026-03-06 12:31:00</t>
        </is>
      </c>
      <c r="C2719" t="inlineStr">
        <is>
          <t>Referral</t>
        </is>
      </c>
      <c r="D2719" t="inlineStr">
        <is>
          <t>K-12 Math</t>
        </is>
      </c>
      <c r="E2719" t="inlineStr">
        <is>
          <t>North Region</t>
        </is>
      </c>
      <c r="F2719" t="inlineStr">
        <is>
          <t>Rep_06</t>
        </is>
      </c>
      <c r="G2719" t="n">
        <v>1.88</v>
      </c>
      <c r="H2719" t="inlineStr">
        <is>
          <t>Contacted</t>
        </is>
      </c>
      <c r="I2719" t="inlineStr">
        <is>
          <t>Open</t>
        </is>
      </c>
      <c r="M2719">
        <f>VLOOKUP(H2719,'Stage Order'!$A$2:$B$8,2,FALSE)</f>
        <v/>
      </c>
      <c r="N2719">
        <f>IF(G2719&lt;=1,"1. Under 1 hour",IF(G2719&lt;=24,"2. 1-24 hours",IF(G2719&lt;=72,"3. 1-3 days","4. Over 3 days")))</f>
        <v/>
      </c>
      <c r="O2719">
        <f>TEXT(B2719,"YYYY-MM")</f>
        <v/>
      </c>
    </row>
    <row r="2720">
      <c r="A2720" t="inlineStr">
        <is>
          <t>LD-302718</t>
        </is>
      </c>
      <c r="B2720" t="inlineStr">
        <is>
          <t>2026-06-10 16:15:00</t>
        </is>
      </c>
      <c r="C2720" t="inlineStr">
        <is>
          <t>Paid Search</t>
        </is>
      </c>
      <c r="D2720" t="inlineStr">
        <is>
          <t>Coding for Kids</t>
        </is>
      </c>
      <c r="E2720" t="inlineStr">
        <is>
          <t>West Region</t>
        </is>
      </c>
      <c r="F2720" t="inlineStr">
        <is>
          <t>Rep_13</t>
        </is>
      </c>
      <c r="G2720" t="n">
        <v>1.32</v>
      </c>
      <c r="H2720" t="inlineStr">
        <is>
          <t>Demo Completed</t>
        </is>
      </c>
      <c r="I2720" t="inlineStr">
        <is>
          <t>Lost</t>
        </is>
      </c>
      <c r="J2720" t="inlineStr">
        <is>
          <t>Bad Timing</t>
        </is>
      </c>
      <c r="K2720" t="n">
        <v>746.11</v>
      </c>
      <c r="L2720" t="inlineStr">
        <is>
          <t>2026-07-12 21:14:03.570805</t>
        </is>
      </c>
      <c r="M2720">
        <f>VLOOKUP(H2720,'Stage Order'!$A$2:$B$8,2,FALSE)</f>
        <v/>
      </c>
      <c r="N2720">
        <f>IF(G2720&lt;=1,"1. Under 1 hour",IF(G2720&lt;=24,"2. 1-24 hours",IF(G2720&lt;=72,"3. 1-3 days","4. Over 3 days")))</f>
        <v/>
      </c>
      <c r="O2720">
        <f>TEXT(B2720,"YYYY-MM")</f>
        <v/>
      </c>
    </row>
    <row r="2721">
      <c r="A2721" t="inlineStr">
        <is>
          <t>LD-302719</t>
        </is>
      </c>
      <c r="B2721" t="inlineStr">
        <is>
          <t>2026-06-27 15:48:00</t>
        </is>
      </c>
      <c r="C2721" t="inlineStr">
        <is>
          <t>Webinar</t>
        </is>
      </c>
      <c r="D2721" t="inlineStr">
        <is>
          <t>Competitive Exam Prep</t>
        </is>
      </c>
      <c r="E2721" t="inlineStr">
        <is>
          <t>East Region</t>
        </is>
      </c>
      <c r="F2721" t="inlineStr">
        <is>
          <t>Rep_04</t>
        </is>
      </c>
      <c r="G2721" t="n">
        <v>5.71</v>
      </c>
      <c r="H2721" t="inlineStr">
        <is>
          <t>Demo Completed</t>
        </is>
      </c>
      <c r="I2721" t="inlineStr">
        <is>
          <t>Lost</t>
        </is>
      </c>
      <c r="J2721" t="inlineStr">
        <is>
          <t>Price Objection</t>
        </is>
      </c>
      <c r="K2721" t="n">
        <v>838.46</v>
      </c>
      <c r="L2721" t="inlineStr">
        <is>
          <t>2026-08-07 07:12:24.237503</t>
        </is>
      </c>
      <c r="M2721">
        <f>VLOOKUP(H2721,'Stage Order'!$A$2:$B$8,2,FALSE)</f>
        <v/>
      </c>
      <c r="N2721">
        <f>IF(G2721&lt;=1,"1. Under 1 hour",IF(G2721&lt;=24,"2. 1-24 hours",IF(G2721&lt;=72,"3. 1-3 days","4. Over 3 days")))</f>
        <v/>
      </c>
      <c r="O2721">
        <f>TEXT(B2721,"YYYY-MM")</f>
        <v/>
      </c>
    </row>
    <row r="2722">
      <c r="A2722" t="inlineStr">
        <is>
          <t>LD-302720</t>
        </is>
      </c>
      <c r="B2722" t="inlineStr">
        <is>
          <t>2025-04-06 16:51:00</t>
        </is>
      </c>
      <c r="C2722" t="inlineStr">
        <is>
          <t>Partner Channel</t>
        </is>
      </c>
      <c r="D2722" t="inlineStr">
        <is>
          <t>K-12 Math</t>
        </is>
      </c>
      <c r="E2722" t="inlineStr">
        <is>
          <t>West Region</t>
        </is>
      </c>
      <c r="F2722" t="inlineStr">
        <is>
          <t>Rep_13</t>
        </is>
      </c>
      <c r="G2722" t="n">
        <v>1.37</v>
      </c>
      <c r="H2722" t="inlineStr">
        <is>
          <t>Closed</t>
        </is>
      </c>
      <c r="I2722" t="inlineStr">
        <is>
          <t>Won</t>
        </is>
      </c>
      <c r="K2722" t="n">
        <v>446.05</v>
      </c>
      <c r="L2722" t="inlineStr">
        <is>
          <t>2025-05-10 15:11:45.072034</t>
        </is>
      </c>
      <c r="M2722">
        <f>VLOOKUP(H2722,'Stage Order'!$A$2:$B$8,2,FALSE)</f>
        <v/>
      </c>
      <c r="N2722">
        <f>IF(G2722&lt;=1,"1. Under 1 hour",IF(G2722&lt;=24,"2. 1-24 hours",IF(G2722&lt;=72,"3. 1-3 days","4. Over 3 days")))</f>
        <v/>
      </c>
      <c r="O2722">
        <f>TEXT(B2722,"YYYY-MM")</f>
        <v/>
      </c>
    </row>
    <row r="2723">
      <c r="A2723" t="inlineStr">
        <is>
          <t>LD-302721</t>
        </is>
      </c>
      <c r="B2723" t="inlineStr">
        <is>
          <t>2025-12-30 10:41:00</t>
        </is>
      </c>
      <c r="C2723" t="inlineStr">
        <is>
          <t>Organic Search</t>
        </is>
      </c>
      <c r="D2723" t="inlineStr">
        <is>
          <t>K-12 Math</t>
        </is>
      </c>
      <c r="E2723" t="inlineStr">
        <is>
          <t>East Region</t>
        </is>
      </c>
      <c r="F2723" t="inlineStr">
        <is>
          <t>Rep_04</t>
        </is>
      </c>
      <c r="G2723" t="n">
        <v>2.86</v>
      </c>
      <c r="H2723" t="inlineStr">
        <is>
          <t>Contacted</t>
        </is>
      </c>
      <c r="I2723" t="inlineStr">
        <is>
          <t>Open</t>
        </is>
      </c>
      <c r="M2723">
        <f>VLOOKUP(H2723,'Stage Order'!$A$2:$B$8,2,FALSE)</f>
        <v/>
      </c>
      <c r="N2723">
        <f>IF(G2723&lt;=1,"1. Under 1 hour",IF(G2723&lt;=24,"2. 1-24 hours",IF(G2723&lt;=72,"3. 1-3 days","4. Over 3 days")))</f>
        <v/>
      </c>
      <c r="O2723">
        <f>TEXT(B2723,"YYYY-MM")</f>
        <v/>
      </c>
    </row>
    <row r="2724">
      <c r="A2724" t="inlineStr">
        <is>
          <t>LD-302722</t>
        </is>
      </c>
      <c r="B2724" t="inlineStr">
        <is>
          <t>2026-03-06 16:04:00</t>
        </is>
      </c>
      <c r="C2724" t="inlineStr">
        <is>
          <t>Organic Search</t>
        </is>
      </c>
      <c r="D2724" t="inlineStr">
        <is>
          <t>Language Learning</t>
        </is>
      </c>
      <c r="E2724" t="inlineStr">
        <is>
          <t>West Region</t>
        </is>
      </c>
      <c r="F2724" t="inlineStr">
        <is>
          <t>Rep_13</t>
        </is>
      </c>
      <c r="G2724" t="n">
        <v>2.4</v>
      </c>
      <c r="H2724" t="inlineStr">
        <is>
          <t>Closed</t>
        </is>
      </c>
      <c r="I2724" t="inlineStr">
        <is>
          <t>Won</t>
        </is>
      </c>
      <c r="K2724" t="n">
        <v>303.38</v>
      </c>
      <c r="L2724" t="inlineStr">
        <is>
          <t>2026-04-22 01:33:32.424208</t>
        </is>
      </c>
      <c r="M2724">
        <f>VLOOKUP(H2724,'Stage Order'!$A$2:$B$8,2,FALSE)</f>
        <v/>
      </c>
      <c r="N2724">
        <f>IF(G2724&lt;=1,"1. Under 1 hour",IF(G2724&lt;=24,"2. 1-24 hours",IF(G2724&lt;=72,"3. 1-3 days","4. Over 3 days")))</f>
        <v/>
      </c>
      <c r="O2724">
        <f>TEXT(B2724,"YYYY-MM")</f>
        <v/>
      </c>
    </row>
    <row r="2725">
      <c r="A2725" t="inlineStr">
        <is>
          <t>LD-302723</t>
        </is>
      </c>
      <c r="B2725" t="inlineStr">
        <is>
          <t>2026-02-26 07:53:00</t>
        </is>
      </c>
      <c r="C2725" t="inlineStr">
        <is>
          <t>Webinar</t>
        </is>
      </c>
      <c r="D2725" t="inlineStr">
        <is>
          <t>Coding for Kids</t>
        </is>
      </c>
      <c r="E2725" t="inlineStr">
        <is>
          <t>North Region</t>
        </is>
      </c>
      <c r="F2725" t="inlineStr">
        <is>
          <t>Rep_11</t>
        </is>
      </c>
      <c r="G2725" t="n">
        <v>2.33</v>
      </c>
      <c r="H2725" t="inlineStr">
        <is>
          <t>Closed</t>
        </is>
      </c>
      <c r="I2725" t="inlineStr">
        <is>
          <t>Won</t>
        </is>
      </c>
      <c r="K2725" t="n">
        <v>762.04</v>
      </c>
      <c r="L2725" t="inlineStr">
        <is>
          <t>2026-04-03 06:00:58.937582</t>
        </is>
      </c>
      <c r="M2725">
        <f>VLOOKUP(H2725,'Stage Order'!$A$2:$B$8,2,FALSE)</f>
        <v/>
      </c>
      <c r="N2725">
        <f>IF(G2725&lt;=1,"1. Under 1 hour",IF(G2725&lt;=24,"2. 1-24 hours",IF(G2725&lt;=72,"3. 1-3 days","4. Over 3 days")))</f>
        <v/>
      </c>
      <c r="O2725">
        <f>TEXT(B2725,"YYYY-MM")</f>
        <v/>
      </c>
    </row>
    <row r="2726">
      <c r="A2726" t="inlineStr">
        <is>
          <t>LD-302724</t>
        </is>
      </c>
      <c r="B2726" t="inlineStr">
        <is>
          <t>2025-10-30 19:06:00</t>
        </is>
      </c>
      <c r="C2726" t="inlineStr">
        <is>
          <t>Paid Search</t>
        </is>
      </c>
      <c r="D2726" t="inlineStr">
        <is>
          <t>Language Learning</t>
        </is>
      </c>
      <c r="E2726" t="inlineStr">
        <is>
          <t>West Region</t>
        </is>
      </c>
      <c r="F2726" t="inlineStr">
        <is>
          <t>Rep_08</t>
        </is>
      </c>
      <c r="G2726" t="n">
        <v>3.5</v>
      </c>
      <c r="H2726" t="inlineStr">
        <is>
          <t>Negotiation</t>
        </is>
      </c>
      <c r="I2726" t="inlineStr">
        <is>
          <t>Lost</t>
        </is>
      </c>
      <c r="J2726" t="inlineStr">
        <is>
          <t>No Response / Ghosted</t>
        </is>
      </c>
      <c r="K2726" t="n">
        <v>323.88</v>
      </c>
      <c r="L2726" t="inlineStr">
        <is>
          <t>2025-12-18 16:48:25.505389</t>
        </is>
      </c>
      <c r="M2726">
        <f>VLOOKUP(H2726,'Stage Order'!$A$2:$B$8,2,FALSE)</f>
        <v/>
      </c>
      <c r="N2726">
        <f>IF(G2726&lt;=1,"1. Under 1 hour",IF(G2726&lt;=24,"2. 1-24 hours",IF(G2726&lt;=72,"3. 1-3 days","4. Over 3 days")))</f>
        <v/>
      </c>
      <c r="O2726">
        <f>TEXT(B2726,"YYYY-MM")</f>
        <v/>
      </c>
    </row>
    <row r="2727">
      <c r="A2727" t="inlineStr">
        <is>
          <t>LD-302725</t>
        </is>
      </c>
      <c r="B2727" t="inlineStr">
        <is>
          <t>2025-02-28 19:19:00</t>
        </is>
      </c>
      <c r="C2727" t="inlineStr">
        <is>
          <t>Social Media</t>
        </is>
      </c>
      <c r="D2727" t="inlineStr">
        <is>
          <t>Competitive Exam Prep</t>
        </is>
      </c>
      <c r="E2727" t="inlineStr">
        <is>
          <t>East Region</t>
        </is>
      </c>
      <c r="F2727" t="inlineStr">
        <is>
          <t>Rep_14</t>
        </is>
      </c>
      <c r="G2727" t="n">
        <v>6.75</v>
      </c>
      <c r="H2727" t="inlineStr">
        <is>
          <t>Contacted</t>
        </is>
      </c>
      <c r="I2727" t="inlineStr">
        <is>
          <t>Open</t>
        </is>
      </c>
      <c r="M2727">
        <f>VLOOKUP(H2727,'Stage Order'!$A$2:$B$8,2,FALSE)</f>
        <v/>
      </c>
      <c r="N2727">
        <f>IF(G2727&lt;=1,"1. Under 1 hour",IF(G2727&lt;=24,"2. 1-24 hours",IF(G2727&lt;=72,"3. 1-3 days","4. Over 3 days")))</f>
        <v/>
      </c>
      <c r="O2727">
        <f>TEXT(B2727,"YYYY-MM")</f>
        <v/>
      </c>
    </row>
    <row r="2728">
      <c r="A2728" t="inlineStr">
        <is>
          <t>LD-302726</t>
        </is>
      </c>
      <c r="B2728" t="inlineStr">
        <is>
          <t>2025-10-03 13:13:00</t>
        </is>
      </c>
      <c r="C2728" t="inlineStr">
        <is>
          <t>Social Media</t>
        </is>
      </c>
      <c r="D2728" t="inlineStr">
        <is>
          <t>Study Abroad Prep</t>
        </is>
      </c>
      <c r="E2728" t="inlineStr">
        <is>
          <t>North Region</t>
        </is>
      </c>
      <c r="F2728" t="inlineStr">
        <is>
          <t>Rep_06</t>
        </is>
      </c>
      <c r="G2728" t="n">
        <v>4.26</v>
      </c>
      <c r="H2728" t="inlineStr">
        <is>
          <t>Lead</t>
        </is>
      </c>
      <c r="I2728" t="inlineStr">
        <is>
          <t>Open</t>
        </is>
      </c>
      <c r="M2728">
        <f>VLOOKUP(H2728,'Stage Order'!$A$2:$B$8,2,FALSE)</f>
        <v/>
      </c>
      <c r="N2728">
        <f>IF(G2728&lt;=1,"1. Under 1 hour",IF(G2728&lt;=24,"2. 1-24 hours",IF(G2728&lt;=72,"3. 1-3 days","4. Over 3 days")))</f>
        <v/>
      </c>
      <c r="O2728">
        <f>TEXT(B2728,"YYYY-MM")</f>
        <v/>
      </c>
    </row>
    <row r="2729">
      <c r="A2729" t="inlineStr">
        <is>
          <t>LD-302727</t>
        </is>
      </c>
      <c r="B2729" t="inlineStr">
        <is>
          <t>2025-03-10 10:16:00</t>
        </is>
      </c>
      <c r="C2729" t="inlineStr">
        <is>
          <t>Partner Channel</t>
        </is>
      </c>
      <c r="D2729" t="inlineStr">
        <is>
          <t>Competitive Exam Prep</t>
        </is>
      </c>
      <c r="E2729" t="inlineStr">
        <is>
          <t>East Region</t>
        </is>
      </c>
      <c r="F2729" t="inlineStr">
        <is>
          <t>Rep_09</t>
        </is>
      </c>
      <c r="G2729" t="n">
        <v>3.12</v>
      </c>
      <c r="H2729" t="inlineStr">
        <is>
          <t>Closed</t>
        </is>
      </c>
      <c r="I2729" t="inlineStr">
        <is>
          <t>Won</t>
        </is>
      </c>
      <c r="K2729" t="n">
        <v>989.98</v>
      </c>
      <c r="L2729" t="inlineStr">
        <is>
          <t>2025-04-19 01:46:20.572241</t>
        </is>
      </c>
      <c r="M2729">
        <f>VLOOKUP(H2729,'Stage Order'!$A$2:$B$8,2,FALSE)</f>
        <v/>
      </c>
      <c r="N2729">
        <f>IF(G2729&lt;=1,"1. Under 1 hour",IF(G2729&lt;=24,"2. 1-24 hours",IF(G2729&lt;=72,"3. 1-3 days","4. Over 3 days")))</f>
        <v/>
      </c>
      <c r="O2729">
        <f>TEXT(B2729,"YYYY-MM")</f>
        <v/>
      </c>
    </row>
    <row r="2730">
      <c r="A2730" t="inlineStr">
        <is>
          <t>LD-302728</t>
        </is>
      </c>
      <c r="B2730" t="inlineStr">
        <is>
          <t>2025-12-15 08:17:00</t>
        </is>
      </c>
      <c r="C2730" t="inlineStr">
        <is>
          <t>Organic Search</t>
        </is>
      </c>
      <c r="D2730" t="inlineStr">
        <is>
          <t>K-12 Math</t>
        </is>
      </c>
      <c r="E2730" t="inlineStr">
        <is>
          <t>East Region</t>
        </is>
      </c>
      <c r="F2730" t="inlineStr">
        <is>
          <t>Rep_04</t>
        </is>
      </c>
      <c r="G2730" t="n">
        <v>1.95</v>
      </c>
      <c r="H2730" t="inlineStr">
        <is>
          <t>Demo Completed</t>
        </is>
      </c>
      <c r="I2730" t="inlineStr">
        <is>
          <t>Lost</t>
        </is>
      </c>
      <c r="J2730" t="inlineStr">
        <is>
          <t>No Response / Ghosted</t>
        </is>
      </c>
      <c r="K2730" t="n">
        <v>568.83</v>
      </c>
      <c r="L2730" t="inlineStr">
        <is>
          <t>2026-01-23 02:00:53.706735</t>
        </is>
      </c>
      <c r="M2730">
        <f>VLOOKUP(H2730,'Stage Order'!$A$2:$B$8,2,FALSE)</f>
        <v/>
      </c>
      <c r="N2730">
        <f>IF(G2730&lt;=1,"1. Under 1 hour",IF(G2730&lt;=24,"2. 1-24 hours",IF(G2730&lt;=72,"3. 1-3 days","4. Over 3 days")))</f>
        <v/>
      </c>
      <c r="O2730">
        <f>TEXT(B2730,"YYYY-MM")</f>
        <v/>
      </c>
    </row>
    <row r="2731">
      <c r="A2731" t="inlineStr">
        <is>
          <t>LD-302729</t>
        </is>
      </c>
      <c r="B2731" t="inlineStr">
        <is>
          <t>2025-08-18 17:15:00</t>
        </is>
      </c>
      <c r="C2731" t="inlineStr">
        <is>
          <t>Cold Outreach</t>
        </is>
      </c>
      <c r="D2731" t="inlineStr">
        <is>
          <t>K-12 Math</t>
        </is>
      </c>
      <c r="E2731" t="inlineStr">
        <is>
          <t>East Region</t>
        </is>
      </c>
      <c r="F2731" t="inlineStr">
        <is>
          <t>Rep_14</t>
        </is>
      </c>
      <c r="G2731" t="n">
        <v>3.26</v>
      </c>
      <c r="H2731" t="inlineStr">
        <is>
          <t>Contacted</t>
        </is>
      </c>
      <c r="I2731" t="inlineStr">
        <is>
          <t>Open</t>
        </is>
      </c>
      <c r="M2731">
        <f>VLOOKUP(H2731,'Stage Order'!$A$2:$B$8,2,FALSE)</f>
        <v/>
      </c>
      <c r="N2731">
        <f>IF(G2731&lt;=1,"1. Under 1 hour",IF(G2731&lt;=24,"2. 1-24 hours",IF(G2731&lt;=72,"3. 1-3 days","4. Over 3 days")))</f>
        <v/>
      </c>
      <c r="O2731">
        <f>TEXT(B2731,"YYYY-MM")</f>
        <v/>
      </c>
    </row>
    <row r="2732">
      <c r="A2732" t="inlineStr">
        <is>
          <t>LD-302730</t>
        </is>
      </c>
      <c r="B2732" t="inlineStr">
        <is>
          <t>2025-02-21 14:35:00</t>
        </is>
      </c>
      <c r="C2732" t="inlineStr">
        <is>
          <t>Cold Outreach</t>
        </is>
      </c>
      <c r="D2732" t="inlineStr">
        <is>
          <t>Language Learning</t>
        </is>
      </c>
      <c r="E2732" t="inlineStr">
        <is>
          <t>South Region</t>
        </is>
      </c>
      <c r="F2732" t="inlineStr">
        <is>
          <t>Rep_07</t>
        </is>
      </c>
      <c r="G2732" t="n">
        <v>4.52</v>
      </c>
      <c r="H2732" t="inlineStr">
        <is>
          <t>Lead</t>
        </is>
      </c>
      <c r="I2732" t="inlineStr">
        <is>
          <t>Open</t>
        </is>
      </c>
      <c r="M2732">
        <f>VLOOKUP(H2732,'Stage Order'!$A$2:$B$8,2,FALSE)</f>
        <v/>
      </c>
      <c r="N2732">
        <f>IF(G2732&lt;=1,"1. Under 1 hour",IF(G2732&lt;=24,"2. 1-24 hours",IF(G2732&lt;=72,"3. 1-3 days","4. Over 3 days")))</f>
        <v/>
      </c>
      <c r="O2732">
        <f>TEXT(B2732,"YYYY-MM")</f>
        <v/>
      </c>
    </row>
    <row r="2733">
      <c r="A2733" t="inlineStr">
        <is>
          <t>LD-302731</t>
        </is>
      </c>
      <c r="B2733" t="inlineStr">
        <is>
          <t>2025-05-02 20:20:00</t>
        </is>
      </c>
      <c r="C2733" t="inlineStr">
        <is>
          <t>Paid Search</t>
        </is>
      </c>
      <c r="D2733" t="inlineStr">
        <is>
          <t>Competitive Exam Prep</t>
        </is>
      </c>
      <c r="E2733" t="inlineStr">
        <is>
          <t>South Region</t>
        </is>
      </c>
      <c r="F2733" t="inlineStr">
        <is>
          <t>Rep_07</t>
        </is>
      </c>
      <c r="G2733" t="n">
        <v>1.23</v>
      </c>
      <c r="H2733" t="inlineStr">
        <is>
          <t>Proposal Sent</t>
        </is>
      </c>
      <c r="I2733" t="inlineStr">
        <is>
          <t>Lost</t>
        </is>
      </c>
      <c r="J2733" t="inlineStr">
        <is>
          <t>No Response / Ghosted</t>
        </is>
      </c>
      <c r="K2733" t="n">
        <v>1012.29</v>
      </c>
      <c r="L2733" t="inlineStr">
        <is>
          <t>2025-06-09 14:55:26.861640</t>
        </is>
      </c>
      <c r="M2733">
        <f>VLOOKUP(H2733,'Stage Order'!$A$2:$B$8,2,FALSE)</f>
        <v/>
      </c>
      <c r="N2733">
        <f>IF(G2733&lt;=1,"1. Under 1 hour",IF(G2733&lt;=24,"2. 1-24 hours",IF(G2733&lt;=72,"3. 1-3 days","4. Over 3 days")))</f>
        <v/>
      </c>
      <c r="O2733">
        <f>TEXT(B2733,"YYYY-MM")</f>
        <v/>
      </c>
    </row>
    <row r="2734">
      <c r="A2734" t="inlineStr">
        <is>
          <t>LD-302732</t>
        </is>
      </c>
      <c r="B2734" t="inlineStr">
        <is>
          <t>2025-10-12 18:31:00</t>
        </is>
      </c>
      <c r="C2734" t="inlineStr">
        <is>
          <t>Referral</t>
        </is>
      </c>
      <c r="D2734" t="inlineStr">
        <is>
          <t>Coding for Kids</t>
        </is>
      </c>
      <c r="E2734" t="inlineStr">
        <is>
          <t>International</t>
        </is>
      </c>
      <c r="F2734" t="inlineStr">
        <is>
          <t>Rep_05</t>
        </is>
      </c>
      <c r="G2734" t="n">
        <v>2.84</v>
      </c>
      <c r="H2734" t="inlineStr">
        <is>
          <t>Contacted</t>
        </is>
      </c>
      <c r="I2734" t="inlineStr">
        <is>
          <t>Open</t>
        </is>
      </c>
      <c r="M2734">
        <f>VLOOKUP(H2734,'Stage Order'!$A$2:$B$8,2,FALSE)</f>
        <v/>
      </c>
      <c r="N2734">
        <f>IF(G2734&lt;=1,"1. Under 1 hour",IF(G2734&lt;=24,"2. 1-24 hours",IF(G2734&lt;=72,"3. 1-3 days","4. Over 3 days")))</f>
        <v/>
      </c>
      <c r="O2734">
        <f>TEXT(B2734,"YYYY-MM")</f>
        <v/>
      </c>
    </row>
    <row r="2735">
      <c r="A2735" t="inlineStr">
        <is>
          <t>LD-302733</t>
        </is>
      </c>
      <c r="B2735" t="inlineStr">
        <is>
          <t>2025-04-04 15:22:00</t>
        </is>
      </c>
      <c r="C2735" t="inlineStr">
        <is>
          <t>Organic Search</t>
        </is>
      </c>
      <c r="D2735" t="inlineStr">
        <is>
          <t>K-12 Math</t>
        </is>
      </c>
      <c r="E2735" t="inlineStr">
        <is>
          <t>West Region</t>
        </is>
      </c>
      <c r="F2735" t="inlineStr">
        <is>
          <t>Rep_03</t>
        </is>
      </c>
      <c r="G2735" t="n">
        <v>0.82</v>
      </c>
      <c r="H2735" t="inlineStr">
        <is>
          <t>Contacted</t>
        </is>
      </c>
      <c r="I2735" t="inlineStr">
        <is>
          <t>Open</t>
        </is>
      </c>
      <c r="M2735">
        <f>VLOOKUP(H2735,'Stage Order'!$A$2:$B$8,2,FALSE)</f>
        <v/>
      </c>
      <c r="N2735">
        <f>IF(G2735&lt;=1,"1. Under 1 hour",IF(G2735&lt;=24,"2. 1-24 hours",IF(G2735&lt;=72,"3. 1-3 days","4. Over 3 days")))</f>
        <v/>
      </c>
      <c r="O2735">
        <f>TEXT(B2735,"YYYY-MM")</f>
        <v/>
      </c>
    </row>
    <row r="2736">
      <c r="A2736" t="inlineStr">
        <is>
          <t>LD-302734</t>
        </is>
      </c>
      <c r="B2736" t="inlineStr">
        <is>
          <t>2026-06-19 20:40:00</t>
        </is>
      </c>
      <c r="C2736" t="inlineStr">
        <is>
          <t>Webinar</t>
        </is>
      </c>
      <c r="D2736" t="inlineStr">
        <is>
          <t>K-12 Math</t>
        </is>
      </c>
      <c r="E2736" t="inlineStr">
        <is>
          <t>North Region</t>
        </is>
      </c>
      <c r="F2736" t="inlineStr">
        <is>
          <t>Rep_01</t>
        </is>
      </c>
      <c r="G2736" t="n">
        <v>2.15</v>
      </c>
      <c r="H2736" t="inlineStr">
        <is>
          <t>Contacted</t>
        </is>
      </c>
      <c r="I2736" t="inlineStr">
        <is>
          <t>Open</t>
        </is>
      </c>
      <c r="M2736">
        <f>VLOOKUP(H2736,'Stage Order'!$A$2:$B$8,2,FALSE)</f>
        <v/>
      </c>
      <c r="N2736">
        <f>IF(G2736&lt;=1,"1. Under 1 hour",IF(G2736&lt;=24,"2. 1-24 hours",IF(G2736&lt;=72,"3. 1-3 days","4. Over 3 days")))</f>
        <v/>
      </c>
      <c r="O2736">
        <f>TEXT(B2736,"YYYY-MM")</f>
        <v/>
      </c>
    </row>
    <row r="2737">
      <c r="A2737" t="inlineStr">
        <is>
          <t>LD-302735</t>
        </is>
      </c>
      <c r="B2737" t="inlineStr">
        <is>
          <t>2025-02-15 08:19:00</t>
        </is>
      </c>
      <c r="C2737" t="inlineStr">
        <is>
          <t>Partner Channel</t>
        </is>
      </c>
      <c r="D2737" t="inlineStr">
        <is>
          <t>Coding for Kids</t>
        </is>
      </c>
      <c r="E2737" t="inlineStr">
        <is>
          <t>North Region</t>
        </is>
      </c>
      <c r="F2737" t="inlineStr">
        <is>
          <t>Rep_06</t>
        </is>
      </c>
      <c r="G2737" t="n">
        <v>2.99</v>
      </c>
      <c r="H2737" t="inlineStr">
        <is>
          <t>Proposal Sent</t>
        </is>
      </c>
      <c r="I2737" t="inlineStr">
        <is>
          <t>Lost</t>
        </is>
      </c>
      <c r="J2737" t="inlineStr">
        <is>
          <t>Bad Timing</t>
        </is>
      </c>
      <c r="K2737" t="n">
        <v>547.14</v>
      </c>
      <c r="L2737" t="inlineStr">
        <is>
          <t>2025-03-22 05:45:29.432462</t>
        </is>
      </c>
      <c r="M2737">
        <f>VLOOKUP(H2737,'Stage Order'!$A$2:$B$8,2,FALSE)</f>
        <v/>
      </c>
      <c r="N2737">
        <f>IF(G2737&lt;=1,"1. Under 1 hour",IF(G2737&lt;=24,"2. 1-24 hours",IF(G2737&lt;=72,"3. 1-3 days","4. Over 3 days")))</f>
        <v/>
      </c>
      <c r="O2737">
        <f>TEXT(B2737,"YYYY-MM")</f>
        <v/>
      </c>
    </row>
    <row r="2738">
      <c r="A2738" t="inlineStr">
        <is>
          <t>LD-302736</t>
        </is>
      </c>
      <c r="B2738" t="inlineStr">
        <is>
          <t>2025-06-02 07:21:00</t>
        </is>
      </c>
      <c r="C2738" t="inlineStr">
        <is>
          <t>Paid Search</t>
        </is>
      </c>
      <c r="D2738" t="inlineStr">
        <is>
          <t>Language Learning</t>
        </is>
      </c>
      <c r="E2738" t="inlineStr">
        <is>
          <t>South Region</t>
        </is>
      </c>
      <c r="F2738" t="inlineStr">
        <is>
          <t>Rep_02</t>
        </is>
      </c>
      <c r="G2738" t="n">
        <v>1.15</v>
      </c>
      <c r="H2738" t="inlineStr">
        <is>
          <t>Demo Completed</t>
        </is>
      </c>
      <c r="I2738" t="inlineStr">
        <is>
          <t>Lost</t>
        </is>
      </c>
      <c r="J2738" t="inlineStr">
        <is>
          <t>No Response / Ghosted</t>
        </is>
      </c>
      <c r="K2738" t="n">
        <v>337.22</v>
      </c>
      <c r="L2738" t="inlineStr">
        <is>
          <t>2025-07-01 14:39:42.412324</t>
        </is>
      </c>
      <c r="M2738">
        <f>VLOOKUP(H2738,'Stage Order'!$A$2:$B$8,2,FALSE)</f>
        <v/>
      </c>
      <c r="N2738">
        <f>IF(G2738&lt;=1,"1. Under 1 hour",IF(G2738&lt;=24,"2. 1-24 hours",IF(G2738&lt;=72,"3. 1-3 days","4. Over 3 days")))</f>
        <v/>
      </c>
      <c r="O2738">
        <f>TEXT(B2738,"YYYY-MM")</f>
        <v/>
      </c>
    </row>
    <row r="2739">
      <c r="A2739" t="inlineStr">
        <is>
          <t>LD-302737</t>
        </is>
      </c>
      <c r="B2739" t="inlineStr">
        <is>
          <t>2025-07-04 16:25:00</t>
        </is>
      </c>
      <c r="C2739" t="inlineStr">
        <is>
          <t>Referral</t>
        </is>
      </c>
      <c r="D2739" t="inlineStr">
        <is>
          <t>K-12 Math</t>
        </is>
      </c>
      <c r="E2739" t="inlineStr">
        <is>
          <t>International</t>
        </is>
      </c>
      <c r="F2739" t="inlineStr">
        <is>
          <t>Rep_05</t>
        </is>
      </c>
      <c r="G2739" t="n">
        <v>0.79</v>
      </c>
      <c r="H2739" t="inlineStr">
        <is>
          <t>Negotiation</t>
        </is>
      </c>
      <c r="I2739" t="inlineStr">
        <is>
          <t>Lost</t>
        </is>
      </c>
      <c r="J2739" t="inlineStr">
        <is>
          <t>Price Objection</t>
        </is>
      </c>
      <c r="K2739" t="n">
        <v>518.92</v>
      </c>
      <c r="L2739" t="inlineStr">
        <is>
          <t>2025-08-11 21:25:28.292064</t>
        </is>
      </c>
      <c r="M2739">
        <f>VLOOKUP(H2739,'Stage Order'!$A$2:$B$8,2,FALSE)</f>
        <v/>
      </c>
      <c r="N2739">
        <f>IF(G2739&lt;=1,"1. Under 1 hour",IF(G2739&lt;=24,"2. 1-24 hours",IF(G2739&lt;=72,"3. 1-3 days","4. Over 3 days")))</f>
        <v/>
      </c>
      <c r="O2739">
        <f>TEXT(B2739,"YYYY-MM")</f>
        <v/>
      </c>
    </row>
    <row r="2740">
      <c r="A2740" t="inlineStr">
        <is>
          <t>LD-302738</t>
        </is>
      </c>
      <c r="B2740" t="inlineStr">
        <is>
          <t>2025-08-28 19:52:00</t>
        </is>
      </c>
      <c r="C2740" t="inlineStr">
        <is>
          <t>Organic Search</t>
        </is>
      </c>
      <c r="D2740" t="inlineStr">
        <is>
          <t>K-12 Math</t>
        </is>
      </c>
      <c r="E2740" t="inlineStr">
        <is>
          <t>International</t>
        </is>
      </c>
      <c r="F2740" t="inlineStr">
        <is>
          <t>Rep_05</t>
        </is>
      </c>
      <c r="G2740" t="n">
        <v>1.32</v>
      </c>
      <c r="H2740" t="inlineStr">
        <is>
          <t>Contacted</t>
        </is>
      </c>
      <c r="I2740" t="inlineStr">
        <is>
          <t>Open</t>
        </is>
      </c>
      <c r="M2740">
        <f>VLOOKUP(H2740,'Stage Order'!$A$2:$B$8,2,FALSE)</f>
        <v/>
      </c>
      <c r="N2740">
        <f>IF(G2740&lt;=1,"1. Under 1 hour",IF(G2740&lt;=24,"2. 1-24 hours",IF(G2740&lt;=72,"3. 1-3 days","4. Over 3 days")))</f>
        <v/>
      </c>
      <c r="O2740">
        <f>TEXT(B2740,"YYYY-MM")</f>
        <v/>
      </c>
    </row>
    <row r="2741">
      <c r="A2741" t="inlineStr">
        <is>
          <t>LD-302739</t>
        </is>
      </c>
      <c r="B2741" t="inlineStr">
        <is>
          <t>2025-06-27 09:48:00</t>
        </is>
      </c>
      <c r="C2741" t="inlineStr">
        <is>
          <t>Webinar</t>
        </is>
      </c>
      <c r="D2741" t="inlineStr">
        <is>
          <t>K-12 Math</t>
        </is>
      </c>
      <c r="E2741" t="inlineStr">
        <is>
          <t>North Region</t>
        </is>
      </c>
      <c r="F2741" t="inlineStr">
        <is>
          <t>Rep_01</t>
        </is>
      </c>
      <c r="G2741" t="n">
        <v>3.16</v>
      </c>
      <c r="H2741" t="inlineStr">
        <is>
          <t>Closed</t>
        </is>
      </c>
      <c r="I2741" t="inlineStr">
        <is>
          <t>Won</t>
        </is>
      </c>
      <c r="K2741" t="n">
        <v>497.89</v>
      </c>
      <c r="L2741" t="inlineStr">
        <is>
          <t>2025-07-28 07:46:45.143450</t>
        </is>
      </c>
      <c r="M2741">
        <f>VLOOKUP(H2741,'Stage Order'!$A$2:$B$8,2,FALSE)</f>
        <v/>
      </c>
      <c r="N2741">
        <f>IF(G2741&lt;=1,"1. Under 1 hour",IF(G2741&lt;=24,"2. 1-24 hours",IF(G2741&lt;=72,"3. 1-3 days","4. Over 3 days")))</f>
        <v/>
      </c>
      <c r="O2741">
        <f>TEXT(B2741,"YYYY-MM")</f>
        <v/>
      </c>
    </row>
    <row r="2742">
      <c r="A2742" t="inlineStr">
        <is>
          <t>LD-302740</t>
        </is>
      </c>
      <c r="B2742" t="inlineStr">
        <is>
          <t>2026-05-27 11:52:00</t>
        </is>
      </c>
      <c r="C2742" t="inlineStr">
        <is>
          <t>Social Media</t>
        </is>
      </c>
      <c r="D2742" t="inlineStr">
        <is>
          <t>Competitive Exam Prep</t>
        </is>
      </c>
      <c r="E2742" t="inlineStr">
        <is>
          <t>North Region</t>
        </is>
      </c>
      <c r="F2742" t="inlineStr">
        <is>
          <t>Rep_06</t>
        </is>
      </c>
      <c r="G2742" t="n">
        <v>6.29</v>
      </c>
      <c r="H2742" t="inlineStr">
        <is>
          <t>Lead</t>
        </is>
      </c>
      <c r="I2742" t="inlineStr">
        <is>
          <t>Open</t>
        </is>
      </c>
      <c r="M2742">
        <f>VLOOKUP(H2742,'Stage Order'!$A$2:$B$8,2,FALSE)</f>
        <v/>
      </c>
      <c r="N2742">
        <f>IF(G2742&lt;=1,"1. Under 1 hour",IF(G2742&lt;=24,"2. 1-24 hours",IF(G2742&lt;=72,"3. 1-3 days","4. Over 3 days")))</f>
        <v/>
      </c>
      <c r="O2742">
        <f>TEXT(B2742,"YYYY-MM")</f>
        <v/>
      </c>
    </row>
    <row r="2743">
      <c r="A2743" t="inlineStr">
        <is>
          <t>LD-302741</t>
        </is>
      </c>
      <c r="B2743" t="inlineStr">
        <is>
          <t>2026-03-03 17:32:00</t>
        </is>
      </c>
      <c r="C2743" t="inlineStr">
        <is>
          <t>Webinar</t>
        </is>
      </c>
      <c r="D2743" t="inlineStr">
        <is>
          <t>Language Learning</t>
        </is>
      </c>
      <c r="E2743" t="inlineStr">
        <is>
          <t>International</t>
        </is>
      </c>
      <c r="F2743" t="inlineStr">
        <is>
          <t>Rep_05</t>
        </is>
      </c>
      <c r="G2743" t="n">
        <v>5.31</v>
      </c>
      <c r="H2743" t="inlineStr">
        <is>
          <t>Closed</t>
        </is>
      </c>
      <c r="I2743" t="inlineStr">
        <is>
          <t>Won</t>
        </is>
      </c>
      <c r="K2743" t="n">
        <v>367.25</v>
      </c>
      <c r="L2743" t="inlineStr">
        <is>
          <t>2026-03-26 00:03:30.581935</t>
        </is>
      </c>
      <c r="M2743">
        <f>VLOOKUP(H2743,'Stage Order'!$A$2:$B$8,2,FALSE)</f>
        <v/>
      </c>
      <c r="N2743">
        <f>IF(G2743&lt;=1,"1. Under 1 hour",IF(G2743&lt;=24,"2. 1-24 hours",IF(G2743&lt;=72,"3. 1-3 days","4. Over 3 days")))</f>
        <v/>
      </c>
      <c r="O2743">
        <f>TEXT(B2743,"YYYY-MM")</f>
        <v/>
      </c>
    </row>
    <row r="2744">
      <c r="A2744" t="inlineStr">
        <is>
          <t>LD-302742</t>
        </is>
      </c>
      <c r="B2744" t="inlineStr">
        <is>
          <t>2025-05-12 19:58:00</t>
        </is>
      </c>
      <c r="C2744" t="inlineStr">
        <is>
          <t>Partner Channel</t>
        </is>
      </c>
      <c r="D2744" t="inlineStr">
        <is>
          <t>Study Abroad Prep</t>
        </is>
      </c>
      <c r="E2744" t="inlineStr">
        <is>
          <t>South Region</t>
        </is>
      </c>
      <c r="F2744" t="inlineStr">
        <is>
          <t>Rep_07</t>
        </is>
      </c>
      <c r="G2744" t="n">
        <v>2.54</v>
      </c>
      <c r="H2744" t="inlineStr">
        <is>
          <t>Contacted</t>
        </is>
      </c>
      <c r="I2744" t="inlineStr">
        <is>
          <t>Open</t>
        </is>
      </c>
      <c r="M2744">
        <f>VLOOKUP(H2744,'Stage Order'!$A$2:$B$8,2,FALSE)</f>
        <v/>
      </c>
      <c r="N2744">
        <f>IF(G2744&lt;=1,"1. Under 1 hour",IF(G2744&lt;=24,"2. 1-24 hours",IF(G2744&lt;=72,"3. 1-3 days","4. Over 3 days")))</f>
        <v/>
      </c>
      <c r="O2744">
        <f>TEXT(B2744,"YYYY-MM")</f>
        <v/>
      </c>
    </row>
    <row r="2745">
      <c r="A2745" t="inlineStr">
        <is>
          <t>LD-302743</t>
        </is>
      </c>
      <c r="B2745" t="inlineStr">
        <is>
          <t>2026-06-06 19:11:00</t>
        </is>
      </c>
      <c r="C2745" t="inlineStr">
        <is>
          <t>Paid Search</t>
        </is>
      </c>
      <c r="D2745" t="inlineStr">
        <is>
          <t>Competitive Exam Prep</t>
        </is>
      </c>
      <c r="E2745" t="inlineStr">
        <is>
          <t>North Region</t>
        </is>
      </c>
      <c r="F2745" t="inlineStr">
        <is>
          <t>Rep_01</t>
        </is>
      </c>
      <c r="G2745" t="n">
        <v>4.66</v>
      </c>
      <c r="H2745" t="inlineStr">
        <is>
          <t>Demo Scheduled</t>
        </is>
      </c>
      <c r="I2745" t="inlineStr">
        <is>
          <t>Open</t>
        </is>
      </c>
      <c r="M2745">
        <f>VLOOKUP(H2745,'Stage Order'!$A$2:$B$8,2,FALSE)</f>
        <v/>
      </c>
      <c r="N2745">
        <f>IF(G2745&lt;=1,"1. Under 1 hour",IF(G2745&lt;=24,"2. 1-24 hours",IF(G2745&lt;=72,"3. 1-3 days","4. Over 3 days")))</f>
        <v/>
      </c>
      <c r="O2745">
        <f>TEXT(B2745,"YYYY-MM")</f>
        <v/>
      </c>
    </row>
    <row r="2746">
      <c r="A2746" t="inlineStr">
        <is>
          <t>LD-302744</t>
        </is>
      </c>
      <c r="B2746" t="inlineStr">
        <is>
          <t>2026-02-22 17:04:00</t>
        </is>
      </c>
      <c r="C2746" t="inlineStr">
        <is>
          <t>Social Media</t>
        </is>
      </c>
      <c r="D2746" t="inlineStr">
        <is>
          <t>Competitive Exam Prep</t>
        </is>
      </c>
      <c r="E2746" t="inlineStr">
        <is>
          <t>North Region</t>
        </is>
      </c>
      <c r="F2746" t="inlineStr">
        <is>
          <t>Rep_01</t>
        </is>
      </c>
      <c r="G2746" t="n">
        <v>1.87</v>
      </c>
      <c r="H2746" t="inlineStr">
        <is>
          <t>Lead</t>
        </is>
      </c>
      <c r="I2746" t="inlineStr">
        <is>
          <t>Open</t>
        </is>
      </c>
      <c r="M2746">
        <f>VLOOKUP(H2746,'Stage Order'!$A$2:$B$8,2,FALSE)</f>
        <v/>
      </c>
      <c r="N2746">
        <f>IF(G2746&lt;=1,"1. Under 1 hour",IF(G2746&lt;=24,"2. 1-24 hours",IF(G2746&lt;=72,"3. 1-3 days","4. Over 3 days")))</f>
        <v/>
      </c>
      <c r="O2746">
        <f>TEXT(B2746,"YYYY-MM")</f>
        <v/>
      </c>
    </row>
    <row r="2747">
      <c r="A2747" t="inlineStr">
        <is>
          <t>LD-302745</t>
        </is>
      </c>
      <c r="B2747" t="inlineStr">
        <is>
          <t>2026-05-15 12:20:00</t>
        </is>
      </c>
      <c r="C2747" t="inlineStr">
        <is>
          <t>Social Media</t>
        </is>
      </c>
      <c r="D2747" t="inlineStr">
        <is>
          <t>Study Abroad Prep</t>
        </is>
      </c>
      <c r="E2747" t="inlineStr">
        <is>
          <t>East Region</t>
        </is>
      </c>
      <c r="F2747" t="inlineStr">
        <is>
          <t>Rep_04</t>
        </is>
      </c>
      <c r="G2747" t="n">
        <v>10.71</v>
      </c>
      <c r="H2747" t="inlineStr">
        <is>
          <t>Lead</t>
        </is>
      </c>
      <c r="I2747" t="inlineStr">
        <is>
          <t>Open</t>
        </is>
      </c>
      <c r="M2747">
        <f>VLOOKUP(H2747,'Stage Order'!$A$2:$B$8,2,FALSE)</f>
        <v/>
      </c>
      <c r="N2747">
        <f>IF(G2747&lt;=1,"1. Under 1 hour",IF(G2747&lt;=24,"2. 1-24 hours",IF(G2747&lt;=72,"3. 1-3 days","4. Over 3 days")))</f>
        <v/>
      </c>
      <c r="O2747">
        <f>TEXT(B2747,"YYYY-MM")</f>
        <v/>
      </c>
    </row>
    <row r="2748">
      <c r="A2748" t="inlineStr">
        <is>
          <t>LD-302746</t>
        </is>
      </c>
      <c r="B2748" t="inlineStr">
        <is>
          <t>2026-06-22 20:37:00</t>
        </is>
      </c>
      <c r="C2748" t="inlineStr">
        <is>
          <t>Paid Search</t>
        </is>
      </c>
      <c r="D2748" t="inlineStr">
        <is>
          <t>K-12 Math</t>
        </is>
      </c>
      <c r="E2748" t="inlineStr">
        <is>
          <t>West Region</t>
        </is>
      </c>
      <c r="F2748" t="inlineStr">
        <is>
          <t>Rep_03</t>
        </is>
      </c>
      <c r="G2748" t="n">
        <v>1.85</v>
      </c>
      <c r="H2748" t="inlineStr">
        <is>
          <t>Contacted</t>
        </is>
      </c>
      <c r="I2748" t="inlineStr">
        <is>
          <t>Open</t>
        </is>
      </c>
      <c r="M2748">
        <f>VLOOKUP(H2748,'Stage Order'!$A$2:$B$8,2,FALSE)</f>
        <v/>
      </c>
      <c r="N2748">
        <f>IF(G2748&lt;=1,"1. Under 1 hour",IF(G2748&lt;=24,"2. 1-24 hours",IF(G2748&lt;=72,"3. 1-3 days","4. Over 3 days")))</f>
        <v/>
      </c>
      <c r="O2748">
        <f>TEXT(B2748,"YYYY-MM")</f>
        <v/>
      </c>
    </row>
    <row r="2749">
      <c r="A2749" t="inlineStr">
        <is>
          <t>LD-302747</t>
        </is>
      </c>
      <c r="B2749" t="inlineStr">
        <is>
          <t>2025-08-29 15:28:00</t>
        </is>
      </c>
      <c r="C2749" t="inlineStr">
        <is>
          <t>Webinar</t>
        </is>
      </c>
      <c r="D2749" t="inlineStr">
        <is>
          <t>Coding for Kids</t>
        </is>
      </c>
      <c r="E2749" t="inlineStr">
        <is>
          <t>North Region</t>
        </is>
      </c>
      <c r="F2749" t="inlineStr">
        <is>
          <t>Rep_06</t>
        </is>
      </c>
      <c r="G2749" t="n">
        <v>8.69</v>
      </c>
      <c r="H2749" t="inlineStr">
        <is>
          <t>Contacted</t>
        </is>
      </c>
      <c r="I2749" t="inlineStr">
        <is>
          <t>Open</t>
        </is>
      </c>
      <c r="M2749">
        <f>VLOOKUP(H2749,'Stage Order'!$A$2:$B$8,2,FALSE)</f>
        <v/>
      </c>
      <c r="N2749">
        <f>IF(G2749&lt;=1,"1. Under 1 hour",IF(G2749&lt;=24,"2. 1-24 hours",IF(G2749&lt;=72,"3. 1-3 days","4. Over 3 days")))</f>
        <v/>
      </c>
      <c r="O2749">
        <f>TEXT(B2749,"YYYY-MM")</f>
        <v/>
      </c>
    </row>
    <row r="2750">
      <c r="A2750" t="inlineStr">
        <is>
          <t>LD-302748</t>
        </is>
      </c>
      <c r="B2750" t="inlineStr">
        <is>
          <t>2025-10-11 17:00:00</t>
        </is>
      </c>
      <c r="C2750" t="inlineStr">
        <is>
          <t>Social Media</t>
        </is>
      </c>
      <c r="D2750" t="inlineStr">
        <is>
          <t>K-12 Math</t>
        </is>
      </c>
      <c r="E2750" t="inlineStr">
        <is>
          <t>East Region</t>
        </is>
      </c>
      <c r="F2750" t="inlineStr">
        <is>
          <t>Rep_14</t>
        </is>
      </c>
      <c r="G2750" t="n">
        <v>3.02</v>
      </c>
      <c r="H2750" t="inlineStr">
        <is>
          <t>Contacted</t>
        </is>
      </c>
      <c r="I2750" t="inlineStr">
        <is>
          <t>Open</t>
        </is>
      </c>
      <c r="M2750">
        <f>VLOOKUP(H2750,'Stage Order'!$A$2:$B$8,2,FALSE)</f>
        <v/>
      </c>
      <c r="N2750">
        <f>IF(G2750&lt;=1,"1. Under 1 hour",IF(G2750&lt;=24,"2. 1-24 hours",IF(G2750&lt;=72,"3. 1-3 days","4. Over 3 days")))</f>
        <v/>
      </c>
      <c r="O2750">
        <f>TEXT(B2750,"YYYY-MM")</f>
        <v/>
      </c>
    </row>
    <row r="2751">
      <c r="A2751" t="inlineStr">
        <is>
          <t>LD-302749</t>
        </is>
      </c>
      <c r="B2751" t="inlineStr">
        <is>
          <t>2026-05-26 15:46:00</t>
        </is>
      </c>
      <c r="C2751" t="inlineStr">
        <is>
          <t>Organic Search</t>
        </is>
      </c>
      <c r="D2751" t="inlineStr">
        <is>
          <t>K-12 Math</t>
        </is>
      </c>
      <c r="E2751" t="inlineStr">
        <is>
          <t>West Region</t>
        </is>
      </c>
      <c r="F2751" t="inlineStr">
        <is>
          <t>Rep_13</t>
        </is>
      </c>
      <c r="G2751" t="n">
        <v>1.19</v>
      </c>
      <c r="H2751" t="inlineStr">
        <is>
          <t>Contacted</t>
        </is>
      </c>
      <c r="I2751" t="inlineStr">
        <is>
          <t>Open</t>
        </is>
      </c>
      <c r="M2751">
        <f>VLOOKUP(H2751,'Stage Order'!$A$2:$B$8,2,FALSE)</f>
        <v/>
      </c>
      <c r="N2751">
        <f>IF(G2751&lt;=1,"1. Under 1 hour",IF(G2751&lt;=24,"2. 1-24 hours",IF(G2751&lt;=72,"3. 1-3 days","4. Over 3 days")))</f>
        <v/>
      </c>
      <c r="O2751">
        <f>TEXT(B2751,"YYYY-MM")</f>
        <v/>
      </c>
    </row>
    <row r="2752">
      <c r="A2752" t="inlineStr">
        <is>
          <t>LD-302750</t>
        </is>
      </c>
      <c r="B2752" t="inlineStr">
        <is>
          <t>2026-06-08 08:24:00</t>
        </is>
      </c>
      <c r="C2752" t="inlineStr">
        <is>
          <t>Paid Search</t>
        </is>
      </c>
      <c r="D2752" t="inlineStr">
        <is>
          <t>Study Abroad Prep</t>
        </is>
      </c>
      <c r="E2752" t="inlineStr">
        <is>
          <t>North Region</t>
        </is>
      </c>
      <c r="F2752" t="inlineStr">
        <is>
          <t>Rep_11</t>
        </is>
      </c>
      <c r="G2752" t="n">
        <v>4.18</v>
      </c>
      <c r="H2752" t="inlineStr">
        <is>
          <t>Contacted</t>
        </is>
      </c>
      <c r="I2752" t="inlineStr">
        <is>
          <t>Open</t>
        </is>
      </c>
      <c r="M2752">
        <f>VLOOKUP(H2752,'Stage Order'!$A$2:$B$8,2,FALSE)</f>
        <v/>
      </c>
      <c r="N2752">
        <f>IF(G2752&lt;=1,"1. Under 1 hour",IF(G2752&lt;=24,"2. 1-24 hours",IF(G2752&lt;=72,"3. 1-3 days","4. Over 3 days")))</f>
        <v/>
      </c>
      <c r="O2752">
        <f>TEXT(B2752,"YYYY-MM")</f>
        <v/>
      </c>
    </row>
    <row r="2753">
      <c r="A2753" t="inlineStr">
        <is>
          <t>LD-302751</t>
        </is>
      </c>
      <c r="B2753" t="inlineStr">
        <is>
          <t>2025-03-25 16:08:00</t>
        </is>
      </c>
      <c r="C2753" t="inlineStr">
        <is>
          <t>Paid Search</t>
        </is>
      </c>
      <c r="D2753" t="inlineStr">
        <is>
          <t>Language Learning</t>
        </is>
      </c>
      <c r="E2753" t="inlineStr">
        <is>
          <t>West Region</t>
        </is>
      </c>
      <c r="F2753" t="inlineStr">
        <is>
          <t>Rep_03</t>
        </is>
      </c>
      <c r="G2753" t="n">
        <v>4.92</v>
      </c>
      <c r="H2753" t="inlineStr">
        <is>
          <t>Contacted</t>
        </is>
      </c>
      <c r="I2753" t="inlineStr">
        <is>
          <t>Open</t>
        </is>
      </c>
      <c r="M2753">
        <f>VLOOKUP(H2753,'Stage Order'!$A$2:$B$8,2,FALSE)</f>
        <v/>
      </c>
      <c r="N2753">
        <f>IF(G2753&lt;=1,"1. Under 1 hour",IF(G2753&lt;=24,"2. 1-24 hours",IF(G2753&lt;=72,"3. 1-3 days","4. Over 3 days")))</f>
        <v/>
      </c>
      <c r="O2753">
        <f>TEXT(B2753,"YYYY-MM")</f>
        <v/>
      </c>
    </row>
    <row r="2754">
      <c r="A2754" t="inlineStr">
        <is>
          <t>LD-302752</t>
        </is>
      </c>
      <c r="B2754" t="inlineStr">
        <is>
          <t>2025-04-09 19:58:00</t>
        </is>
      </c>
      <c r="C2754" t="inlineStr">
        <is>
          <t>Organic Search</t>
        </is>
      </c>
      <c r="D2754" t="inlineStr">
        <is>
          <t>Study Abroad Prep</t>
        </is>
      </c>
      <c r="E2754" t="inlineStr">
        <is>
          <t>East Region</t>
        </is>
      </c>
      <c r="F2754" t="inlineStr">
        <is>
          <t>Rep_04</t>
        </is>
      </c>
      <c r="G2754" t="n">
        <v>3.46</v>
      </c>
      <c r="H2754" t="inlineStr">
        <is>
          <t>Contacted</t>
        </is>
      </c>
      <c r="I2754" t="inlineStr">
        <is>
          <t>Open</t>
        </is>
      </c>
      <c r="M2754">
        <f>VLOOKUP(H2754,'Stage Order'!$A$2:$B$8,2,FALSE)</f>
        <v/>
      </c>
      <c r="N2754">
        <f>IF(G2754&lt;=1,"1. Under 1 hour",IF(G2754&lt;=24,"2. 1-24 hours",IF(G2754&lt;=72,"3. 1-3 days","4. Over 3 days")))</f>
        <v/>
      </c>
      <c r="O2754">
        <f>TEXT(B2754,"YYYY-MM")</f>
        <v/>
      </c>
    </row>
    <row r="2755">
      <c r="A2755" t="inlineStr">
        <is>
          <t>LD-302753</t>
        </is>
      </c>
      <c r="B2755" t="inlineStr">
        <is>
          <t>2026-04-21 07:36:00</t>
        </is>
      </c>
      <c r="C2755" t="inlineStr">
        <is>
          <t>Paid Search</t>
        </is>
      </c>
      <c r="D2755" t="inlineStr">
        <is>
          <t>K-12 Math</t>
        </is>
      </c>
      <c r="E2755" t="inlineStr">
        <is>
          <t>South Region</t>
        </is>
      </c>
      <c r="F2755" t="inlineStr">
        <is>
          <t>Rep_07</t>
        </is>
      </c>
      <c r="G2755" t="n">
        <v>1.6</v>
      </c>
      <c r="H2755" t="inlineStr">
        <is>
          <t>Demo Completed</t>
        </is>
      </c>
      <c r="I2755" t="inlineStr">
        <is>
          <t>Lost</t>
        </is>
      </c>
      <c r="J2755" t="inlineStr">
        <is>
          <t>Bad Timing</t>
        </is>
      </c>
      <c r="K2755" t="n">
        <v>514.17</v>
      </c>
      <c r="L2755" t="inlineStr">
        <is>
          <t>2026-05-23 03:45:49.552199</t>
        </is>
      </c>
      <c r="M2755">
        <f>VLOOKUP(H2755,'Stage Order'!$A$2:$B$8,2,FALSE)</f>
        <v/>
      </c>
      <c r="N2755">
        <f>IF(G2755&lt;=1,"1. Under 1 hour",IF(G2755&lt;=24,"2. 1-24 hours",IF(G2755&lt;=72,"3. 1-3 days","4. Over 3 days")))</f>
        <v/>
      </c>
      <c r="O2755">
        <f>TEXT(B2755,"YYYY-MM")</f>
        <v/>
      </c>
    </row>
    <row r="2756">
      <c r="A2756" t="inlineStr">
        <is>
          <t>LD-302754</t>
        </is>
      </c>
      <c r="B2756" t="inlineStr">
        <is>
          <t>2026-05-26 11:19:00</t>
        </is>
      </c>
      <c r="C2756" t="inlineStr">
        <is>
          <t>Social Media</t>
        </is>
      </c>
      <c r="D2756" t="inlineStr">
        <is>
          <t>Competitive Exam Prep</t>
        </is>
      </c>
      <c r="E2756" t="inlineStr">
        <is>
          <t>South Region</t>
        </is>
      </c>
      <c r="F2756" t="inlineStr">
        <is>
          <t>Rep_02</t>
        </is>
      </c>
      <c r="G2756" t="n">
        <v>2.12</v>
      </c>
      <c r="H2756" t="inlineStr">
        <is>
          <t>Contacted</t>
        </is>
      </c>
      <c r="I2756" t="inlineStr">
        <is>
          <t>Open</t>
        </is>
      </c>
      <c r="M2756">
        <f>VLOOKUP(H2756,'Stage Order'!$A$2:$B$8,2,FALSE)</f>
        <v/>
      </c>
      <c r="N2756">
        <f>IF(G2756&lt;=1,"1. Under 1 hour",IF(G2756&lt;=24,"2. 1-24 hours",IF(G2756&lt;=72,"3. 1-3 days","4. Over 3 days")))</f>
        <v/>
      </c>
      <c r="O2756">
        <f>TEXT(B2756,"YYYY-MM")</f>
        <v/>
      </c>
    </row>
    <row r="2757">
      <c r="A2757" t="inlineStr">
        <is>
          <t>LD-302755</t>
        </is>
      </c>
      <c r="B2757" t="inlineStr">
        <is>
          <t>2025-06-13 14:04:00</t>
        </is>
      </c>
      <c r="C2757" t="inlineStr">
        <is>
          <t>Paid Search</t>
        </is>
      </c>
      <c r="D2757" t="inlineStr">
        <is>
          <t>Competitive Exam Prep</t>
        </is>
      </c>
      <c r="E2757" t="inlineStr">
        <is>
          <t>East Region</t>
        </is>
      </c>
      <c r="F2757" t="inlineStr">
        <is>
          <t>Rep_14</t>
        </is>
      </c>
      <c r="G2757" t="n">
        <v>13.81</v>
      </c>
      <c r="H2757" t="inlineStr">
        <is>
          <t>Contacted</t>
        </is>
      </c>
      <c r="I2757" t="inlineStr">
        <is>
          <t>Open</t>
        </is>
      </c>
      <c r="M2757">
        <f>VLOOKUP(H2757,'Stage Order'!$A$2:$B$8,2,FALSE)</f>
        <v/>
      </c>
      <c r="N2757">
        <f>IF(G2757&lt;=1,"1. Under 1 hour",IF(G2757&lt;=24,"2. 1-24 hours",IF(G2757&lt;=72,"3. 1-3 days","4. Over 3 days")))</f>
        <v/>
      </c>
      <c r="O2757">
        <f>TEXT(B2757,"YYYY-MM")</f>
        <v/>
      </c>
    </row>
    <row r="2758">
      <c r="A2758" t="inlineStr">
        <is>
          <t>LD-302756</t>
        </is>
      </c>
      <c r="B2758" t="inlineStr">
        <is>
          <t>2026-02-17 16:09:00</t>
        </is>
      </c>
      <c r="C2758" t="inlineStr">
        <is>
          <t>Cold Outreach</t>
        </is>
      </c>
      <c r="D2758" t="inlineStr">
        <is>
          <t>Coding for Kids</t>
        </is>
      </c>
      <c r="E2758" t="inlineStr">
        <is>
          <t>North Region</t>
        </is>
      </c>
      <c r="F2758" t="inlineStr">
        <is>
          <t>Rep_11</t>
        </is>
      </c>
      <c r="G2758" t="n">
        <v>2.14</v>
      </c>
      <c r="H2758" t="inlineStr">
        <is>
          <t>Lead</t>
        </is>
      </c>
      <c r="I2758" t="inlineStr">
        <is>
          <t>Open</t>
        </is>
      </c>
      <c r="M2758">
        <f>VLOOKUP(H2758,'Stage Order'!$A$2:$B$8,2,FALSE)</f>
        <v/>
      </c>
      <c r="N2758">
        <f>IF(G2758&lt;=1,"1. Under 1 hour",IF(G2758&lt;=24,"2. 1-24 hours",IF(G2758&lt;=72,"3. 1-3 days","4. Over 3 days")))</f>
        <v/>
      </c>
      <c r="O2758">
        <f>TEXT(B2758,"YYYY-MM")</f>
        <v/>
      </c>
    </row>
    <row r="2759">
      <c r="A2759" t="inlineStr">
        <is>
          <t>LD-302757</t>
        </is>
      </c>
      <c r="B2759" t="inlineStr">
        <is>
          <t>2026-03-10 10:59:00</t>
        </is>
      </c>
      <c r="C2759" t="inlineStr">
        <is>
          <t>Cold Outreach</t>
        </is>
      </c>
      <c r="D2759" t="inlineStr">
        <is>
          <t>Coding for Kids</t>
        </is>
      </c>
      <c r="E2759" t="inlineStr">
        <is>
          <t>South Region</t>
        </is>
      </c>
      <c r="F2759" t="inlineStr">
        <is>
          <t>Rep_02</t>
        </is>
      </c>
      <c r="G2759" t="n">
        <v>1.7</v>
      </c>
      <c r="H2759" t="inlineStr">
        <is>
          <t>Lead</t>
        </is>
      </c>
      <c r="I2759" t="inlineStr">
        <is>
          <t>Open</t>
        </is>
      </c>
      <c r="M2759">
        <f>VLOOKUP(H2759,'Stage Order'!$A$2:$B$8,2,FALSE)</f>
        <v/>
      </c>
      <c r="N2759">
        <f>IF(G2759&lt;=1,"1. Under 1 hour",IF(G2759&lt;=24,"2. 1-24 hours",IF(G2759&lt;=72,"3. 1-3 days","4. Over 3 days")))</f>
        <v/>
      </c>
      <c r="O2759">
        <f>TEXT(B2759,"YYYY-MM")</f>
        <v/>
      </c>
    </row>
    <row r="2760">
      <c r="A2760" t="inlineStr">
        <is>
          <t>LD-302758</t>
        </is>
      </c>
      <c r="B2760" t="inlineStr">
        <is>
          <t>2026-01-14 07:21:00</t>
        </is>
      </c>
      <c r="C2760" t="inlineStr">
        <is>
          <t>Referral</t>
        </is>
      </c>
      <c r="D2760" t="inlineStr">
        <is>
          <t>K-12 Math</t>
        </is>
      </c>
      <c r="E2760" t="inlineStr">
        <is>
          <t>South Region</t>
        </is>
      </c>
      <c r="F2760" t="inlineStr">
        <is>
          <t>Rep_12</t>
        </is>
      </c>
      <c r="G2760" t="n">
        <v>2.59</v>
      </c>
      <c r="H2760" t="inlineStr">
        <is>
          <t>Negotiation</t>
        </is>
      </c>
      <c r="I2760" t="inlineStr">
        <is>
          <t>Lost</t>
        </is>
      </c>
      <c r="J2760" t="inlineStr">
        <is>
          <t>Went With Competitor</t>
        </is>
      </c>
      <c r="K2760" t="n">
        <v>439.45</v>
      </c>
      <c r="L2760" t="inlineStr">
        <is>
          <t>2026-02-25 10:05:09.278084</t>
        </is>
      </c>
      <c r="M2760">
        <f>VLOOKUP(H2760,'Stage Order'!$A$2:$B$8,2,FALSE)</f>
        <v/>
      </c>
      <c r="N2760">
        <f>IF(G2760&lt;=1,"1. Under 1 hour",IF(G2760&lt;=24,"2. 1-24 hours",IF(G2760&lt;=72,"3. 1-3 days","4. Over 3 days")))</f>
        <v/>
      </c>
      <c r="O2760">
        <f>TEXT(B2760,"YYYY-MM")</f>
        <v/>
      </c>
    </row>
    <row r="2761">
      <c r="A2761" t="inlineStr">
        <is>
          <t>LD-302759</t>
        </is>
      </c>
      <c r="B2761" t="inlineStr">
        <is>
          <t>2025-08-27 20:46:00</t>
        </is>
      </c>
      <c r="C2761" t="inlineStr">
        <is>
          <t>Referral</t>
        </is>
      </c>
      <c r="D2761" t="inlineStr">
        <is>
          <t>Coding for Kids</t>
        </is>
      </c>
      <c r="E2761" t="inlineStr">
        <is>
          <t>North Region</t>
        </is>
      </c>
      <c r="F2761" t="inlineStr">
        <is>
          <t>Rep_11</t>
        </is>
      </c>
      <c r="G2761" t="n">
        <v>2.74</v>
      </c>
      <c r="H2761" t="inlineStr">
        <is>
          <t>Contacted</t>
        </is>
      </c>
      <c r="I2761" t="inlineStr">
        <is>
          <t>Open</t>
        </is>
      </c>
      <c r="M2761">
        <f>VLOOKUP(H2761,'Stage Order'!$A$2:$B$8,2,FALSE)</f>
        <v/>
      </c>
      <c r="N2761">
        <f>IF(G2761&lt;=1,"1. Under 1 hour",IF(G2761&lt;=24,"2. 1-24 hours",IF(G2761&lt;=72,"3. 1-3 days","4. Over 3 days")))</f>
        <v/>
      </c>
      <c r="O2761">
        <f>TEXT(B2761,"YYYY-MM")</f>
        <v/>
      </c>
    </row>
    <row r="2762">
      <c r="A2762" t="inlineStr">
        <is>
          <t>LD-302760</t>
        </is>
      </c>
      <c r="B2762" t="inlineStr">
        <is>
          <t>2025-06-13 12:36:00</t>
        </is>
      </c>
      <c r="C2762" t="inlineStr">
        <is>
          <t>Webinar</t>
        </is>
      </c>
      <c r="D2762" t="inlineStr">
        <is>
          <t>Language Learning</t>
        </is>
      </c>
      <c r="E2762" t="inlineStr">
        <is>
          <t>North Region</t>
        </is>
      </c>
      <c r="F2762" t="inlineStr">
        <is>
          <t>Rep_06</t>
        </is>
      </c>
      <c r="G2762" t="n">
        <v>0.5</v>
      </c>
      <c r="H2762" t="inlineStr">
        <is>
          <t>Closed</t>
        </is>
      </c>
      <c r="I2762" t="inlineStr">
        <is>
          <t>Won</t>
        </is>
      </c>
      <c r="K2762" t="n">
        <v>418.66</v>
      </c>
      <c r="L2762" t="inlineStr">
        <is>
          <t>2025-07-23 00:40:38.936458</t>
        </is>
      </c>
      <c r="M2762">
        <f>VLOOKUP(H2762,'Stage Order'!$A$2:$B$8,2,FALSE)</f>
        <v/>
      </c>
      <c r="N2762">
        <f>IF(G2762&lt;=1,"1. Under 1 hour",IF(G2762&lt;=24,"2. 1-24 hours",IF(G2762&lt;=72,"3. 1-3 days","4. Over 3 days")))</f>
        <v/>
      </c>
      <c r="O2762">
        <f>TEXT(B2762,"YYYY-MM")</f>
        <v/>
      </c>
    </row>
    <row r="2763">
      <c r="A2763" t="inlineStr">
        <is>
          <t>LD-302761</t>
        </is>
      </c>
      <c r="B2763" t="inlineStr">
        <is>
          <t>2025-07-21 10:30:00</t>
        </is>
      </c>
      <c r="C2763" t="inlineStr">
        <is>
          <t>Partner Channel</t>
        </is>
      </c>
      <c r="D2763" t="inlineStr">
        <is>
          <t>Coding for Kids</t>
        </is>
      </c>
      <c r="E2763" t="inlineStr">
        <is>
          <t>East Region</t>
        </is>
      </c>
      <c r="F2763" t="inlineStr">
        <is>
          <t>Rep_09</t>
        </is>
      </c>
      <c r="G2763" t="n">
        <v>1.13</v>
      </c>
      <c r="H2763" t="inlineStr">
        <is>
          <t>Lead</t>
        </is>
      </c>
      <c r="I2763" t="inlineStr">
        <is>
          <t>Open</t>
        </is>
      </c>
      <c r="M2763">
        <f>VLOOKUP(H2763,'Stage Order'!$A$2:$B$8,2,FALSE)</f>
        <v/>
      </c>
      <c r="N2763">
        <f>IF(G2763&lt;=1,"1. Under 1 hour",IF(G2763&lt;=24,"2. 1-24 hours",IF(G2763&lt;=72,"3. 1-3 days","4. Over 3 days")))</f>
        <v/>
      </c>
      <c r="O2763">
        <f>TEXT(B2763,"YYYY-MM")</f>
        <v/>
      </c>
    </row>
    <row r="2764">
      <c r="A2764" t="inlineStr">
        <is>
          <t>LD-302762</t>
        </is>
      </c>
      <c r="B2764" t="inlineStr">
        <is>
          <t>2025-09-19 16:49:00</t>
        </is>
      </c>
      <c r="C2764" t="inlineStr">
        <is>
          <t>Paid Search</t>
        </is>
      </c>
      <c r="D2764" t="inlineStr">
        <is>
          <t>Competitive Exam Prep</t>
        </is>
      </c>
      <c r="E2764" t="inlineStr">
        <is>
          <t>North Region</t>
        </is>
      </c>
      <c r="F2764" t="inlineStr">
        <is>
          <t>Rep_06</t>
        </is>
      </c>
      <c r="G2764" t="n">
        <v>3.89</v>
      </c>
      <c r="H2764" t="inlineStr">
        <is>
          <t>Proposal Sent</t>
        </is>
      </c>
      <c r="I2764" t="inlineStr">
        <is>
          <t>Lost</t>
        </is>
      </c>
      <c r="J2764" t="inlineStr">
        <is>
          <t>Price Objection</t>
        </is>
      </c>
      <c r="K2764" t="n">
        <v>808.66</v>
      </c>
      <c r="L2764" t="inlineStr">
        <is>
          <t>2025-10-17 01:06:17.108297</t>
        </is>
      </c>
      <c r="M2764">
        <f>VLOOKUP(H2764,'Stage Order'!$A$2:$B$8,2,FALSE)</f>
        <v/>
      </c>
      <c r="N2764">
        <f>IF(G2764&lt;=1,"1. Under 1 hour",IF(G2764&lt;=24,"2. 1-24 hours",IF(G2764&lt;=72,"3. 1-3 days","4. Over 3 days")))</f>
        <v/>
      </c>
      <c r="O2764">
        <f>TEXT(B2764,"YYYY-MM")</f>
        <v/>
      </c>
    </row>
    <row r="2765">
      <c r="A2765" t="inlineStr">
        <is>
          <t>LD-302763</t>
        </is>
      </c>
      <c r="B2765" t="inlineStr">
        <is>
          <t>2025-03-04 12:09:00</t>
        </is>
      </c>
      <c r="C2765" t="inlineStr">
        <is>
          <t>Cold Outreach</t>
        </is>
      </c>
      <c r="D2765" t="inlineStr">
        <is>
          <t>Coding for Kids</t>
        </is>
      </c>
      <c r="E2765" t="inlineStr">
        <is>
          <t>South Region</t>
        </is>
      </c>
      <c r="F2765" t="inlineStr">
        <is>
          <t>Rep_12</t>
        </is>
      </c>
      <c r="G2765" t="n">
        <v>7.69</v>
      </c>
      <c r="H2765" t="inlineStr">
        <is>
          <t>Lead</t>
        </is>
      </c>
      <c r="I2765" t="inlineStr">
        <is>
          <t>Open</t>
        </is>
      </c>
      <c r="M2765">
        <f>VLOOKUP(H2765,'Stage Order'!$A$2:$B$8,2,FALSE)</f>
        <v/>
      </c>
      <c r="N2765">
        <f>IF(G2765&lt;=1,"1. Under 1 hour",IF(G2765&lt;=24,"2. 1-24 hours",IF(G2765&lt;=72,"3. 1-3 days","4. Over 3 days")))</f>
        <v/>
      </c>
      <c r="O2765">
        <f>TEXT(B2765,"YYYY-MM")</f>
        <v/>
      </c>
    </row>
    <row r="2766">
      <c r="A2766" t="inlineStr">
        <is>
          <t>LD-302764</t>
        </is>
      </c>
      <c r="B2766" t="inlineStr">
        <is>
          <t>2025-11-17 15:37:00</t>
        </is>
      </c>
      <c r="C2766" t="inlineStr">
        <is>
          <t>Webinar</t>
        </is>
      </c>
      <c r="D2766" t="inlineStr">
        <is>
          <t>K-12 Math</t>
        </is>
      </c>
      <c r="E2766" t="inlineStr">
        <is>
          <t>International</t>
        </is>
      </c>
      <c r="F2766" t="inlineStr">
        <is>
          <t>Rep_05</t>
        </is>
      </c>
      <c r="G2766" t="n">
        <v>5.15</v>
      </c>
      <c r="H2766" t="inlineStr">
        <is>
          <t>Contacted</t>
        </is>
      </c>
      <c r="I2766" t="inlineStr">
        <is>
          <t>Open</t>
        </is>
      </c>
      <c r="M2766">
        <f>VLOOKUP(H2766,'Stage Order'!$A$2:$B$8,2,FALSE)</f>
        <v/>
      </c>
      <c r="N2766">
        <f>IF(G2766&lt;=1,"1. Under 1 hour",IF(G2766&lt;=24,"2. 1-24 hours",IF(G2766&lt;=72,"3. 1-3 days","4. Over 3 days")))</f>
        <v/>
      </c>
      <c r="O2766">
        <f>TEXT(B2766,"YYYY-MM")</f>
        <v/>
      </c>
    </row>
    <row r="2767">
      <c r="A2767" t="inlineStr">
        <is>
          <t>LD-302765</t>
        </is>
      </c>
      <c r="B2767" t="inlineStr">
        <is>
          <t>2025-11-29 17:58:00</t>
        </is>
      </c>
      <c r="C2767" t="inlineStr">
        <is>
          <t>Social Media</t>
        </is>
      </c>
      <c r="D2767" t="inlineStr">
        <is>
          <t>Study Abroad Prep</t>
        </is>
      </c>
      <c r="E2767" t="inlineStr">
        <is>
          <t>West Region</t>
        </is>
      </c>
      <c r="F2767" t="inlineStr">
        <is>
          <t>Rep_03</t>
        </is>
      </c>
      <c r="G2767" t="n">
        <v>10.51</v>
      </c>
      <c r="H2767" t="inlineStr">
        <is>
          <t>Contacted</t>
        </is>
      </c>
      <c r="I2767" t="inlineStr">
        <is>
          <t>Open</t>
        </is>
      </c>
      <c r="M2767">
        <f>VLOOKUP(H2767,'Stage Order'!$A$2:$B$8,2,FALSE)</f>
        <v/>
      </c>
      <c r="N2767">
        <f>IF(G2767&lt;=1,"1. Under 1 hour",IF(G2767&lt;=24,"2. 1-24 hours",IF(G2767&lt;=72,"3. 1-3 days","4. Over 3 days")))</f>
        <v/>
      </c>
      <c r="O2767">
        <f>TEXT(B2767,"YYYY-MM")</f>
        <v/>
      </c>
    </row>
    <row r="2768">
      <c r="A2768" t="inlineStr">
        <is>
          <t>LD-302766</t>
        </is>
      </c>
      <c r="B2768" t="inlineStr">
        <is>
          <t>2025-02-07 17:25:00</t>
        </is>
      </c>
      <c r="C2768" t="inlineStr">
        <is>
          <t>Organic Search</t>
        </is>
      </c>
      <c r="D2768" t="inlineStr">
        <is>
          <t>Study Abroad Prep</t>
        </is>
      </c>
      <c r="E2768" t="inlineStr">
        <is>
          <t>West Region</t>
        </is>
      </c>
      <c r="F2768" t="inlineStr">
        <is>
          <t>Rep_08</t>
        </is>
      </c>
      <c r="G2768" t="n">
        <v>0.79</v>
      </c>
      <c r="H2768" t="inlineStr">
        <is>
          <t>Closed</t>
        </is>
      </c>
      <c r="I2768" t="inlineStr">
        <is>
          <t>Won</t>
        </is>
      </c>
      <c r="K2768" t="n">
        <v>1408.78</v>
      </c>
      <c r="L2768" t="inlineStr">
        <is>
          <t>2025-03-29 08:43:45.444311</t>
        </is>
      </c>
      <c r="M2768">
        <f>VLOOKUP(H2768,'Stage Order'!$A$2:$B$8,2,FALSE)</f>
        <v/>
      </c>
      <c r="N2768">
        <f>IF(G2768&lt;=1,"1. Under 1 hour",IF(G2768&lt;=24,"2. 1-24 hours",IF(G2768&lt;=72,"3. 1-3 days","4. Over 3 days")))</f>
        <v/>
      </c>
      <c r="O2768">
        <f>TEXT(B2768,"YYYY-MM")</f>
        <v/>
      </c>
    </row>
    <row r="2769">
      <c r="A2769" t="inlineStr">
        <is>
          <t>LD-302767</t>
        </is>
      </c>
      <c r="B2769" t="inlineStr">
        <is>
          <t>2026-06-15 14:39:00</t>
        </is>
      </c>
      <c r="C2769" t="inlineStr">
        <is>
          <t>Social Media</t>
        </is>
      </c>
      <c r="D2769" t="inlineStr">
        <is>
          <t>Competitive Exam Prep</t>
        </is>
      </c>
      <c r="E2769" t="inlineStr">
        <is>
          <t>West Region</t>
        </is>
      </c>
      <c r="F2769" t="inlineStr">
        <is>
          <t>Rep_03</t>
        </is>
      </c>
      <c r="G2769" t="n">
        <v>7.65</v>
      </c>
      <c r="H2769" t="inlineStr">
        <is>
          <t>Contacted</t>
        </is>
      </c>
      <c r="I2769" t="inlineStr">
        <is>
          <t>Open</t>
        </is>
      </c>
      <c r="M2769">
        <f>VLOOKUP(H2769,'Stage Order'!$A$2:$B$8,2,FALSE)</f>
        <v/>
      </c>
      <c r="N2769">
        <f>IF(G2769&lt;=1,"1. Under 1 hour",IF(G2769&lt;=24,"2. 1-24 hours",IF(G2769&lt;=72,"3. 1-3 days","4. Over 3 days")))</f>
        <v/>
      </c>
      <c r="O2769">
        <f>TEXT(B2769,"YYYY-MM")</f>
        <v/>
      </c>
    </row>
    <row r="2770">
      <c r="A2770" t="inlineStr">
        <is>
          <t>LD-302768</t>
        </is>
      </c>
      <c r="B2770" t="inlineStr">
        <is>
          <t>2025-06-17 07:03:00</t>
        </is>
      </c>
      <c r="C2770" t="inlineStr">
        <is>
          <t>Referral</t>
        </is>
      </c>
      <c r="D2770" t="inlineStr">
        <is>
          <t>Competitive Exam Prep</t>
        </is>
      </c>
      <c r="E2770" t="inlineStr">
        <is>
          <t>West Region</t>
        </is>
      </c>
      <c r="F2770" t="inlineStr">
        <is>
          <t>Rep_13</t>
        </is>
      </c>
      <c r="G2770" t="n">
        <v>4.19</v>
      </c>
      <c r="H2770" t="inlineStr">
        <is>
          <t>Contacted</t>
        </is>
      </c>
      <c r="I2770" t="inlineStr">
        <is>
          <t>Open</t>
        </is>
      </c>
      <c r="M2770">
        <f>VLOOKUP(H2770,'Stage Order'!$A$2:$B$8,2,FALSE)</f>
        <v/>
      </c>
      <c r="N2770">
        <f>IF(G2770&lt;=1,"1. Under 1 hour",IF(G2770&lt;=24,"2. 1-24 hours",IF(G2770&lt;=72,"3. 1-3 days","4. Over 3 days")))</f>
        <v/>
      </c>
      <c r="O2770">
        <f>TEXT(B2770,"YYYY-MM")</f>
        <v/>
      </c>
    </row>
    <row r="2771">
      <c r="A2771" t="inlineStr">
        <is>
          <t>LD-302769</t>
        </is>
      </c>
      <c r="B2771" t="inlineStr">
        <is>
          <t>2026-05-20 11:35:00</t>
        </is>
      </c>
      <c r="C2771" t="inlineStr">
        <is>
          <t>Paid Search</t>
        </is>
      </c>
      <c r="D2771" t="inlineStr">
        <is>
          <t>Coding for Kids</t>
        </is>
      </c>
      <c r="E2771" t="inlineStr">
        <is>
          <t>South Region</t>
        </is>
      </c>
      <c r="F2771" t="inlineStr">
        <is>
          <t>Rep_07</t>
        </is>
      </c>
      <c r="G2771" t="n">
        <v>5.02</v>
      </c>
      <c r="H2771" t="inlineStr">
        <is>
          <t>Negotiation</t>
        </is>
      </c>
      <c r="I2771" t="inlineStr">
        <is>
          <t>Lost</t>
        </is>
      </c>
      <c r="J2771" t="inlineStr">
        <is>
          <t>No Response / Ghosted</t>
        </is>
      </c>
      <c r="K2771" t="n">
        <v>743.45</v>
      </c>
      <c r="L2771" t="inlineStr">
        <is>
          <t>2026-06-27 19:38:56.604232</t>
        </is>
      </c>
      <c r="M2771">
        <f>VLOOKUP(H2771,'Stage Order'!$A$2:$B$8,2,FALSE)</f>
        <v/>
      </c>
      <c r="N2771">
        <f>IF(G2771&lt;=1,"1. Under 1 hour",IF(G2771&lt;=24,"2. 1-24 hours",IF(G2771&lt;=72,"3. 1-3 days","4. Over 3 days")))</f>
        <v/>
      </c>
      <c r="O2771">
        <f>TEXT(B2771,"YYYY-MM")</f>
        <v/>
      </c>
    </row>
    <row r="2772">
      <c r="A2772" t="inlineStr">
        <is>
          <t>LD-302770</t>
        </is>
      </c>
      <c r="B2772" t="inlineStr">
        <is>
          <t>2025-05-09 20:17:00</t>
        </is>
      </c>
      <c r="C2772" t="inlineStr">
        <is>
          <t>Paid Search</t>
        </is>
      </c>
      <c r="D2772" t="inlineStr">
        <is>
          <t>Study Abroad Prep</t>
        </is>
      </c>
      <c r="E2772" t="inlineStr">
        <is>
          <t>South Region</t>
        </is>
      </c>
      <c r="F2772" t="inlineStr">
        <is>
          <t>Rep_07</t>
        </is>
      </c>
      <c r="G2772" t="n">
        <v>4.16</v>
      </c>
      <c r="H2772" t="inlineStr">
        <is>
          <t>Lead</t>
        </is>
      </c>
      <c r="I2772" t="inlineStr">
        <is>
          <t>Open</t>
        </is>
      </c>
      <c r="M2772">
        <f>VLOOKUP(H2772,'Stage Order'!$A$2:$B$8,2,FALSE)</f>
        <v/>
      </c>
      <c r="N2772">
        <f>IF(G2772&lt;=1,"1. Under 1 hour",IF(G2772&lt;=24,"2. 1-24 hours",IF(G2772&lt;=72,"3. 1-3 days","4. Over 3 days")))</f>
        <v/>
      </c>
      <c r="O2772">
        <f>TEXT(B2772,"YYYY-MM")</f>
        <v/>
      </c>
    </row>
    <row r="2773">
      <c r="A2773" t="inlineStr">
        <is>
          <t>LD-302771</t>
        </is>
      </c>
      <c r="B2773" t="inlineStr">
        <is>
          <t>2025-11-17 09:23:00</t>
        </is>
      </c>
      <c r="C2773" t="inlineStr">
        <is>
          <t>Partner Channel</t>
        </is>
      </c>
      <c r="D2773" t="inlineStr">
        <is>
          <t>K-12 Math</t>
        </is>
      </c>
      <c r="E2773" t="inlineStr">
        <is>
          <t>South Region</t>
        </is>
      </c>
      <c r="F2773" t="inlineStr">
        <is>
          <t>Rep_07</t>
        </is>
      </c>
      <c r="G2773" t="n">
        <v>1.15</v>
      </c>
      <c r="H2773" t="inlineStr">
        <is>
          <t>Negotiation</t>
        </is>
      </c>
      <c r="I2773" t="inlineStr">
        <is>
          <t>Lost</t>
        </is>
      </c>
      <c r="J2773" t="inlineStr">
        <is>
          <t>Bad Timing</t>
        </is>
      </c>
      <c r="K2773" t="n">
        <v>435.77</v>
      </c>
      <c r="L2773" t="inlineStr">
        <is>
          <t>2025-12-23 03:14:43.486459</t>
        </is>
      </c>
      <c r="M2773">
        <f>VLOOKUP(H2773,'Stage Order'!$A$2:$B$8,2,FALSE)</f>
        <v/>
      </c>
      <c r="N2773">
        <f>IF(G2773&lt;=1,"1. Under 1 hour",IF(G2773&lt;=24,"2. 1-24 hours",IF(G2773&lt;=72,"3. 1-3 days","4. Over 3 days")))</f>
        <v/>
      </c>
      <c r="O2773">
        <f>TEXT(B2773,"YYYY-MM")</f>
        <v/>
      </c>
    </row>
    <row r="2774">
      <c r="A2774" t="inlineStr">
        <is>
          <t>LD-302772</t>
        </is>
      </c>
      <c r="B2774" t="inlineStr">
        <is>
          <t>2025-06-11 20:02:00</t>
        </is>
      </c>
      <c r="C2774" t="inlineStr">
        <is>
          <t>Organic Search</t>
        </is>
      </c>
      <c r="D2774" t="inlineStr">
        <is>
          <t>Coding for Kids</t>
        </is>
      </c>
      <c r="E2774" t="inlineStr">
        <is>
          <t>International</t>
        </is>
      </c>
      <c r="F2774" t="inlineStr">
        <is>
          <t>Rep_10</t>
        </is>
      </c>
      <c r="G2774" t="n">
        <v>5.51</v>
      </c>
      <c r="H2774" t="inlineStr">
        <is>
          <t>Negotiation</t>
        </is>
      </c>
      <c r="I2774" t="inlineStr">
        <is>
          <t>Lost</t>
        </is>
      </c>
      <c r="J2774" t="inlineStr">
        <is>
          <t>No Response / Ghosted</t>
        </is>
      </c>
      <c r="K2774" t="n">
        <v>658.2</v>
      </c>
      <c r="L2774" t="inlineStr">
        <is>
          <t>2025-07-24 13:55:07.830708</t>
        </is>
      </c>
      <c r="M2774">
        <f>VLOOKUP(H2774,'Stage Order'!$A$2:$B$8,2,FALSE)</f>
        <v/>
      </c>
      <c r="N2774">
        <f>IF(G2774&lt;=1,"1. Under 1 hour",IF(G2774&lt;=24,"2. 1-24 hours",IF(G2774&lt;=72,"3. 1-3 days","4. Over 3 days")))</f>
        <v/>
      </c>
      <c r="O2774">
        <f>TEXT(B2774,"YYYY-MM")</f>
        <v/>
      </c>
    </row>
    <row r="2775">
      <c r="A2775" t="inlineStr">
        <is>
          <t>LD-302773</t>
        </is>
      </c>
      <c r="B2775" t="inlineStr">
        <is>
          <t>2025-12-25 11:04:00</t>
        </is>
      </c>
      <c r="C2775" t="inlineStr">
        <is>
          <t>Organic Search</t>
        </is>
      </c>
      <c r="D2775" t="inlineStr">
        <is>
          <t>Language Learning</t>
        </is>
      </c>
      <c r="E2775" t="inlineStr">
        <is>
          <t>East Region</t>
        </is>
      </c>
      <c r="F2775" t="inlineStr">
        <is>
          <t>Rep_04</t>
        </is>
      </c>
      <c r="G2775" t="n">
        <v>2.21</v>
      </c>
      <c r="H2775" t="inlineStr">
        <is>
          <t>Lead</t>
        </is>
      </c>
      <c r="I2775" t="inlineStr">
        <is>
          <t>Open</t>
        </is>
      </c>
      <c r="M2775">
        <f>VLOOKUP(H2775,'Stage Order'!$A$2:$B$8,2,FALSE)</f>
        <v/>
      </c>
      <c r="N2775">
        <f>IF(G2775&lt;=1,"1. Under 1 hour",IF(G2775&lt;=24,"2. 1-24 hours",IF(G2775&lt;=72,"3. 1-3 days","4. Over 3 days")))</f>
        <v/>
      </c>
      <c r="O2775">
        <f>TEXT(B2775,"YYYY-MM")</f>
        <v/>
      </c>
    </row>
    <row r="2776">
      <c r="A2776" t="inlineStr">
        <is>
          <t>LD-302774</t>
        </is>
      </c>
      <c r="B2776" t="inlineStr">
        <is>
          <t>2025-04-19 17:29:00</t>
        </is>
      </c>
      <c r="C2776" t="inlineStr">
        <is>
          <t>Organic Search</t>
        </is>
      </c>
      <c r="D2776" t="inlineStr">
        <is>
          <t>Study Abroad Prep</t>
        </is>
      </c>
      <c r="E2776" t="inlineStr">
        <is>
          <t>North Region</t>
        </is>
      </c>
      <c r="F2776" t="inlineStr">
        <is>
          <t>Rep_06</t>
        </is>
      </c>
      <c r="G2776" t="n">
        <v>2.52</v>
      </c>
      <c r="H2776" t="inlineStr">
        <is>
          <t>Lead</t>
        </is>
      </c>
      <c r="I2776" t="inlineStr">
        <is>
          <t>Open</t>
        </is>
      </c>
      <c r="M2776">
        <f>VLOOKUP(H2776,'Stage Order'!$A$2:$B$8,2,FALSE)</f>
        <v/>
      </c>
      <c r="N2776">
        <f>IF(G2776&lt;=1,"1. Under 1 hour",IF(G2776&lt;=24,"2. 1-24 hours",IF(G2776&lt;=72,"3. 1-3 days","4. Over 3 days")))</f>
        <v/>
      </c>
      <c r="O2776">
        <f>TEXT(B2776,"YYYY-MM")</f>
        <v/>
      </c>
    </row>
    <row r="2777">
      <c r="A2777" t="inlineStr">
        <is>
          <t>LD-302775</t>
        </is>
      </c>
      <c r="B2777" t="inlineStr">
        <is>
          <t>2026-02-10 15:55:00</t>
        </is>
      </c>
      <c r="C2777" t="inlineStr">
        <is>
          <t>Social Media</t>
        </is>
      </c>
      <c r="D2777" t="inlineStr">
        <is>
          <t>Coding for Kids</t>
        </is>
      </c>
      <c r="E2777" t="inlineStr">
        <is>
          <t>International</t>
        </is>
      </c>
      <c r="F2777" t="inlineStr">
        <is>
          <t>Rep_10</t>
        </is>
      </c>
      <c r="G2777" t="n">
        <v>10.02</v>
      </c>
      <c r="H2777" t="inlineStr">
        <is>
          <t>Lead</t>
        </is>
      </c>
      <c r="I2777" t="inlineStr">
        <is>
          <t>Open</t>
        </is>
      </c>
      <c r="M2777">
        <f>VLOOKUP(H2777,'Stage Order'!$A$2:$B$8,2,FALSE)</f>
        <v/>
      </c>
      <c r="N2777">
        <f>IF(G2777&lt;=1,"1. Under 1 hour",IF(G2777&lt;=24,"2. 1-24 hours",IF(G2777&lt;=72,"3. 1-3 days","4. Over 3 days")))</f>
        <v/>
      </c>
      <c r="O2777">
        <f>TEXT(B2777,"YYYY-MM")</f>
        <v/>
      </c>
    </row>
    <row r="2778">
      <c r="A2778" t="inlineStr">
        <is>
          <t>LD-302776</t>
        </is>
      </c>
      <c r="B2778" t="inlineStr">
        <is>
          <t>2025-09-19 14:00:00</t>
        </is>
      </c>
      <c r="C2778" t="inlineStr">
        <is>
          <t>Social Media</t>
        </is>
      </c>
      <c r="D2778" t="inlineStr">
        <is>
          <t>K-12 Math</t>
        </is>
      </c>
      <c r="E2778" t="inlineStr">
        <is>
          <t>North Region</t>
        </is>
      </c>
      <c r="F2778" t="inlineStr">
        <is>
          <t>Rep_11</t>
        </is>
      </c>
      <c r="G2778" t="n">
        <v>0.72</v>
      </c>
      <c r="H2778" t="inlineStr">
        <is>
          <t>Contacted</t>
        </is>
      </c>
      <c r="I2778" t="inlineStr">
        <is>
          <t>Open</t>
        </is>
      </c>
      <c r="M2778">
        <f>VLOOKUP(H2778,'Stage Order'!$A$2:$B$8,2,FALSE)</f>
        <v/>
      </c>
      <c r="N2778">
        <f>IF(G2778&lt;=1,"1. Under 1 hour",IF(G2778&lt;=24,"2. 1-24 hours",IF(G2778&lt;=72,"3. 1-3 days","4. Over 3 days")))</f>
        <v/>
      </c>
      <c r="O2778">
        <f>TEXT(B2778,"YYYY-MM")</f>
        <v/>
      </c>
    </row>
    <row r="2779">
      <c r="A2779" t="inlineStr">
        <is>
          <t>LD-302777</t>
        </is>
      </c>
      <c r="B2779" t="inlineStr">
        <is>
          <t>2025-11-14 18:49:00</t>
        </is>
      </c>
      <c r="C2779" t="inlineStr">
        <is>
          <t>Organic Search</t>
        </is>
      </c>
      <c r="D2779" t="inlineStr">
        <is>
          <t>K-12 Math</t>
        </is>
      </c>
      <c r="E2779" t="inlineStr">
        <is>
          <t>West Region</t>
        </is>
      </c>
      <c r="F2779" t="inlineStr">
        <is>
          <t>Rep_03</t>
        </is>
      </c>
      <c r="G2779" t="n">
        <v>3.41</v>
      </c>
      <c r="H2779" t="inlineStr">
        <is>
          <t>Lead</t>
        </is>
      </c>
      <c r="I2779" t="inlineStr">
        <is>
          <t>Open</t>
        </is>
      </c>
      <c r="M2779">
        <f>VLOOKUP(H2779,'Stage Order'!$A$2:$B$8,2,FALSE)</f>
        <v/>
      </c>
      <c r="N2779">
        <f>IF(G2779&lt;=1,"1. Under 1 hour",IF(G2779&lt;=24,"2. 1-24 hours",IF(G2779&lt;=72,"3. 1-3 days","4. Over 3 days")))</f>
        <v/>
      </c>
      <c r="O2779">
        <f>TEXT(B2779,"YYYY-MM")</f>
        <v/>
      </c>
    </row>
    <row r="2780">
      <c r="A2780" t="inlineStr">
        <is>
          <t>LD-302778</t>
        </is>
      </c>
      <c r="B2780" t="inlineStr">
        <is>
          <t>2026-06-11 19:05:00</t>
        </is>
      </c>
      <c r="C2780" t="inlineStr">
        <is>
          <t>Referral</t>
        </is>
      </c>
      <c r="D2780" t="inlineStr">
        <is>
          <t>K-12 Math</t>
        </is>
      </c>
      <c r="E2780" t="inlineStr">
        <is>
          <t>East Region</t>
        </is>
      </c>
      <c r="F2780" t="inlineStr">
        <is>
          <t>Rep_04</t>
        </is>
      </c>
      <c r="G2780" t="n">
        <v>0.88</v>
      </c>
      <c r="H2780" t="inlineStr">
        <is>
          <t>Contacted</t>
        </is>
      </c>
      <c r="I2780" t="inlineStr">
        <is>
          <t>Open</t>
        </is>
      </c>
      <c r="M2780">
        <f>VLOOKUP(H2780,'Stage Order'!$A$2:$B$8,2,FALSE)</f>
        <v/>
      </c>
      <c r="N2780">
        <f>IF(G2780&lt;=1,"1. Under 1 hour",IF(G2780&lt;=24,"2. 1-24 hours",IF(G2780&lt;=72,"3. 1-3 days","4. Over 3 days")))</f>
        <v/>
      </c>
      <c r="O2780">
        <f>TEXT(B2780,"YYYY-MM")</f>
        <v/>
      </c>
    </row>
    <row r="2781">
      <c r="A2781" t="inlineStr">
        <is>
          <t>LD-302779</t>
        </is>
      </c>
      <c r="B2781" t="inlineStr">
        <is>
          <t>2025-12-05 10:51:00</t>
        </is>
      </c>
      <c r="C2781" t="inlineStr">
        <is>
          <t>Organic Search</t>
        </is>
      </c>
      <c r="D2781" t="inlineStr">
        <is>
          <t>Competitive Exam Prep</t>
        </is>
      </c>
      <c r="E2781" t="inlineStr">
        <is>
          <t>North Region</t>
        </is>
      </c>
      <c r="F2781" t="inlineStr">
        <is>
          <t>Rep_01</t>
        </is>
      </c>
      <c r="G2781" t="n">
        <v>2.03</v>
      </c>
      <c r="H2781" t="inlineStr">
        <is>
          <t>Contacted</t>
        </is>
      </c>
      <c r="I2781" t="inlineStr">
        <is>
          <t>Open</t>
        </is>
      </c>
      <c r="M2781">
        <f>VLOOKUP(H2781,'Stage Order'!$A$2:$B$8,2,FALSE)</f>
        <v/>
      </c>
      <c r="N2781">
        <f>IF(G2781&lt;=1,"1. Under 1 hour",IF(G2781&lt;=24,"2. 1-24 hours",IF(G2781&lt;=72,"3. 1-3 days","4. Over 3 days")))</f>
        <v/>
      </c>
      <c r="O2781">
        <f>TEXT(B2781,"YYYY-MM")</f>
        <v/>
      </c>
    </row>
    <row r="2782">
      <c r="A2782" t="inlineStr">
        <is>
          <t>LD-302780</t>
        </is>
      </c>
      <c r="B2782" t="inlineStr">
        <is>
          <t>2025-04-05 16:38:00</t>
        </is>
      </c>
      <c r="C2782" t="inlineStr">
        <is>
          <t>Organic Search</t>
        </is>
      </c>
      <c r="D2782" t="inlineStr">
        <is>
          <t>Coding for Kids</t>
        </is>
      </c>
      <c r="E2782" t="inlineStr">
        <is>
          <t>North Region</t>
        </is>
      </c>
      <c r="F2782" t="inlineStr">
        <is>
          <t>Rep_06</t>
        </is>
      </c>
      <c r="G2782" t="n">
        <v>5.93</v>
      </c>
      <c r="H2782" t="inlineStr">
        <is>
          <t>Contacted</t>
        </is>
      </c>
      <c r="I2782" t="inlineStr">
        <is>
          <t>Open</t>
        </is>
      </c>
      <c r="M2782">
        <f>VLOOKUP(H2782,'Stage Order'!$A$2:$B$8,2,FALSE)</f>
        <v/>
      </c>
      <c r="N2782">
        <f>IF(G2782&lt;=1,"1. Under 1 hour",IF(G2782&lt;=24,"2. 1-24 hours",IF(G2782&lt;=72,"3. 1-3 days","4. Over 3 days")))</f>
        <v/>
      </c>
      <c r="O2782">
        <f>TEXT(B2782,"YYYY-MM")</f>
        <v/>
      </c>
    </row>
    <row r="2783">
      <c r="A2783" t="inlineStr">
        <is>
          <t>LD-302781</t>
        </is>
      </c>
      <c r="B2783" t="inlineStr">
        <is>
          <t>2026-02-11 16:13:00</t>
        </is>
      </c>
      <c r="C2783" t="inlineStr">
        <is>
          <t>Referral</t>
        </is>
      </c>
      <c r="D2783" t="inlineStr">
        <is>
          <t>Coding for Kids</t>
        </is>
      </c>
      <c r="E2783" t="inlineStr">
        <is>
          <t>North Region</t>
        </is>
      </c>
      <c r="F2783" t="inlineStr">
        <is>
          <t>Rep_01</t>
        </is>
      </c>
      <c r="G2783" t="n">
        <v>14.99</v>
      </c>
      <c r="H2783" t="inlineStr">
        <is>
          <t>Closed</t>
        </is>
      </c>
      <c r="I2783" t="inlineStr">
        <is>
          <t>Won</t>
        </is>
      </c>
      <c r="K2783" t="n">
        <v>685.64</v>
      </c>
      <c r="L2783" t="inlineStr">
        <is>
          <t>2026-04-03 01:55:52.086187</t>
        </is>
      </c>
      <c r="M2783">
        <f>VLOOKUP(H2783,'Stage Order'!$A$2:$B$8,2,FALSE)</f>
        <v/>
      </c>
      <c r="N2783">
        <f>IF(G2783&lt;=1,"1. Under 1 hour",IF(G2783&lt;=24,"2. 1-24 hours",IF(G2783&lt;=72,"3. 1-3 days","4. Over 3 days")))</f>
        <v/>
      </c>
      <c r="O2783">
        <f>TEXT(B2783,"YYYY-MM")</f>
        <v/>
      </c>
    </row>
    <row r="2784">
      <c r="A2784" t="inlineStr">
        <is>
          <t>LD-302782</t>
        </is>
      </c>
      <c r="B2784" t="inlineStr">
        <is>
          <t>2026-01-26 16:04:00</t>
        </is>
      </c>
      <c r="C2784" t="inlineStr">
        <is>
          <t>Cold Outreach</t>
        </is>
      </c>
      <c r="D2784" t="inlineStr">
        <is>
          <t>Competitive Exam Prep</t>
        </is>
      </c>
      <c r="E2784" t="inlineStr">
        <is>
          <t>South Region</t>
        </is>
      </c>
      <c r="F2784" t="inlineStr">
        <is>
          <t>Rep_07</t>
        </is>
      </c>
      <c r="G2784" t="n">
        <v>3.3</v>
      </c>
      <c r="H2784" t="inlineStr">
        <is>
          <t>Contacted</t>
        </is>
      </c>
      <c r="I2784" t="inlineStr">
        <is>
          <t>Open</t>
        </is>
      </c>
      <c r="M2784">
        <f>VLOOKUP(H2784,'Stage Order'!$A$2:$B$8,2,FALSE)</f>
        <v/>
      </c>
      <c r="N2784">
        <f>IF(G2784&lt;=1,"1. Under 1 hour",IF(G2784&lt;=24,"2. 1-24 hours",IF(G2784&lt;=72,"3. 1-3 days","4. Over 3 days")))</f>
        <v/>
      </c>
      <c r="O2784">
        <f>TEXT(B2784,"YYYY-MM")</f>
        <v/>
      </c>
    </row>
    <row r="2785">
      <c r="A2785" t="inlineStr">
        <is>
          <t>LD-302783</t>
        </is>
      </c>
      <c r="B2785" t="inlineStr">
        <is>
          <t>2025-02-01 07:14:00</t>
        </is>
      </c>
      <c r="C2785" t="inlineStr">
        <is>
          <t>Paid Search</t>
        </is>
      </c>
      <c r="D2785" t="inlineStr">
        <is>
          <t>K-12 Math</t>
        </is>
      </c>
      <c r="E2785" t="inlineStr">
        <is>
          <t>East Region</t>
        </is>
      </c>
      <c r="F2785" t="inlineStr">
        <is>
          <t>Rep_14</t>
        </is>
      </c>
      <c r="G2785" t="n">
        <v>9.130000000000001</v>
      </c>
      <c r="H2785" t="inlineStr">
        <is>
          <t>Lead</t>
        </is>
      </c>
      <c r="I2785" t="inlineStr">
        <is>
          <t>Open</t>
        </is>
      </c>
      <c r="M2785">
        <f>VLOOKUP(H2785,'Stage Order'!$A$2:$B$8,2,FALSE)</f>
        <v/>
      </c>
      <c r="N2785">
        <f>IF(G2785&lt;=1,"1. Under 1 hour",IF(G2785&lt;=24,"2. 1-24 hours",IF(G2785&lt;=72,"3. 1-3 days","4. Over 3 days")))</f>
        <v/>
      </c>
      <c r="O2785">
        <f>TEXT(B2785,"YYYY-MM")</f>
        <v/>
      </c>
    </row>
    <row r="2786">
      <c r="A2786" t="inlineStr">
        <is>
          <t>LD-302784</t>
        </is>
      </c>
      <c r="B2786" t="inlineStr">
        <is>
          <t>2025-01-03 16:10:00</t>
        </is>
      </c>
      <c r="C2786" t="inlineStr">
        <is>
          <t>Referral</t>
        </is>
      </c>
      <c r="D2786" t="inlineStr">
        <is>
          <t>Language Learning</t>
        </is>
      </c>
      <c r="E2786" t="inlineStr">
        <is>
          <t>East Region</t>
        </is>
      </c>
      <c r="F2786" t="inlineStr">
        <is>
          <t>Rep_09</t>
        </is>
      </c>
      <c r="G2786" t="n">
        <v>3.97</v>
      </c>
      <c r="H2786" t="inlineStr">
        <is>
          <t>Closed</t>
        </is>
      </c>
      <c r="I2786" t="inlineStr">
        <is>
          <t>Won</t>
        </is>
      </c>
      <c r="K2786" t="n">
        <v>385.41</v>
      </c>
      <c r="L2786" t="inlineStr">
        <is>
          <t>2025-02-10 22:06:33.140962</t>
        </is>
      </c>
      <c r="M2786">
        <f>VLOOKUP(H2786,'Stage Order'!$A$2:$B$8,2,FALSE)</f>
        <v/>
      </c>
      <c r="N2786">
        <f>IF(G2786&lt;=1,"1. Under 1 hour",IF(G2786&lt;=24,"2. 1-24 hours",IF(G2786&lt;=72,"3. 1-3 days","4. Over 3 days")))</f>
        <v/>
      </c>
      <c r="O2786">
        <f>TEXT(B2786,"YYYY-MM")</f>
        <v/>
      </c>
    </row>
    <row r="2787">
      <c r="A2787" t="inlineStr">
        <is>
          <t>LD-302785</t>
        </is>
      </c>
      <c r="B2787" t="inlineStr">
        <is>
          <t>2025-09-29 12:38:00</t>
        </is>
      </c>
      <c r="C2787" t="inlineStr">
        <is>
          <t>Organic Search</t>
        </is>
      </c>
      <c r="D2787" t="inlineStr">
        <is>
          <t>Study Abroad Prep</t>
        </is>
      </c>
      <c r="E2787" t="inlineStr">
        <is>
          <t>West Region</t>
        </is>
      </c>
      <c r="F2787" t="inlineStr">
        <is>
          <t>Rep_08</t>
        </is>
      </c>
      <c r="G2787" t="n">
        <v>1.35</v>
      </c>
      <c r="H2787" t="inlineStr">
        <is>
          <t>Contacted</t>
        </is>
      </c>
      <c r="I2787" t="inlineStr">
        <is>
          <t>Open</t>
        </is>
      </c>
      <c r="M2787">
        <f>VLOOKUP(H2787,'Stage Order'!$A$2:$B$8,2,FALSE)</f>
        <v/>
      </c>
      <c r="N2787">
        <f>IF(G2787&lt;=1,"1. Under 1 hour",IF(G2787&lt;=24,"2. 1-24 hours",IF(G2787&lt;=72,"3. 1-3 days","4. Over 3 days")))</f>
        <v/>
      </c>
      <c r="O2787">
        <f>TEXT(B2787,"YYYY-MM")</f>
        <v/>
      </c>
    </row>
    <row r="2788">
      <c r="A2788" t="inlineStr">
        <is>
          <t>LD-302786</t>
        </is>
      </c>
      <c r="B2788" t="inlineStr">
        <is>
          <t>2025-11-22 19:37:00</t>
        </is>
      </c>
      <c r="C2788" t="inlineStr">
        <is>
          <t>Webinar</t>
        </is>
      </c>
      <c r="D2788" t="inlineStr">
        <is>
          <t>K-12 Math</t>
        </is>
      </c>
      <c r="E2788" t="inlineStr">
        <is>
          <t>North Region</t>
        </is>
      </c>
      <c r="F2788" t="inlineStr">
        <is>
          <t>Rep_11</t>
        </is>
      </c>
      <c r="G2788" t="n">
        <v>4.68</v>
      </c>
      <c r="H2788" t="inlineStr">
        <is>
          <t>Closed</t>
        </is>
      </c>
      <c r="I2788" t="inlineStr">
        <is>
          <t>Won</t>
        </is>
      </c>
      <c r="K2788" t="n">
        <v>409.73</v>
      </c>
      <c r="L2788" t="inlineStr">
        <is>
          <t>2026-01-03 10:41:35.978655</t>
        </is>
      </c>
      <c r="M2788">
        <f>VLOOKUP(H2788,'Stage Order'!$A$2:$B$8,2,FALSE)</f>
        <v/>
      </c>
      <c r="N2788">
        <f>IF(G2788&lt;=1,"1. Under 1 hour",IF(G2788&lt;=24,"2. 1-24 hours",IF(G2788&lt;=72,"3. 1-3 days","4. Over 3 days")))</f>
        <v/>
      </c>
      <c r="O2788">
        <f>TEXT(B2788,"YYYY-MM")</f>
        <v/>
      </c>
    </row>
    <row r="2789">
      <c r="A2789" t="inlineStr">
        <is>
          <t>LD-302787</t>
        </is>
      </c>
      <c r="B2789" t="inlineStr">
        <is>
          <t>2025-01-06 18:39:00</t>
        </is>
      </c>
      <c r="C2789" t="inlineStr">
        <is>
          <t>Paid Search</t>
        </is>
      </c>
      <c r="D2789" t="inlineStr">
        <is>
          <t>K-12 Math</t>
        </is>
      </c>
      <c r="E2789" t="inlineStr">
        <is>
          <t>East Region</t>
        </is>
      </c>
      <c r="F2789" t="inlineStr">
        <is>
          <t>Rep_14</t>
        </is>
      </c>
      <c r="G2789" t="n">
        <v>2.41</v>
      </c>
      <c r="H2789" t="inlineStr">
        <is>
          <t>Lead</t>
        </is>
      </c>
      <c r="I2789" t="inlineStr">
        <is>
          <t>Open</t>
        </is>
      </c>
      <c r="M2789">
        <f>VLOOKUP(H2789,'Stage Order'!$A$2:$B$8,2,FALSE)</f>
        <v/>
      </c>
      <c r="N2789">
        <f>IF(G2789&lt;=1,"1. Under 1 hour",IF(G2789&lt;=24,"2. 1-24 hours",IF(G2789&lt;=72,"3. 1-3 days","4. Over 3 days")))</f>
        <v/>
      </c>
      <c r="O2789">
        <f>TEXT(B2789,"YYYY-MM")</f>
        <v/>
      </c>
    </row>
    <row r="2790">
      <c r="A2790" t="inlineStr">
        <is>
          <t>LD-302788</t>
        </is>
      </c>
      <c r="B2790" t="inlineStr">
        <is>
          <t>2025-04-18 20:49:00</t>
        </is>
      </c>
      <c r="C2790" t="inlineStr">
        <is>
          <t>Referral</t>
        </is>
      </c>
      <c r="D2790" t="inlineStr">
        <is>
          <t>Competitive Exam Prep</t>
        </is>
      </c>
      <c r="E2790" t="inlineStr">
        <is>
          <t>West Region</t>
        </is>
      </c>
      <c r="F2790" t="inlineStr">
        <is>
          <t>Rep_03</t>
        </is>
      </c>
      <c r="G2790" t="n">
        <v>21.27</v>
      </c>
      <c r="H2790" t="inlineStr">
        <is>
          <t>Negotiation</t>
        </is>
      </c>
      <c r="I2790" t="inlineStr">
        <is>
          <t>Lost</t>
        </is>
      </c>
      <c r="J2790" t="inlineStr">
        <is>
          <t>Bad Timing</t>
        </is>
      </c>
      <c r="K2790" t="n">
        <v>1183.73</v>
      </c>
      <c r="L2790" t="inlineStr">
        <is>
          <t>2025-06-11 05:05:25.169714</t>
        </is>
      </c>
      <c r="M2790">
        <f>VLOOKUP(H2790,'Stage Order'!$A$2:$B$8,2,FALSE)</f>
        <v/>
      </c>
      <c r="N2790">
        <f>IF(G2790&lt;=1,"1. Under 1 hour",IF(G2790&lt;=24,"2. 1-24 hours",IF(G2790&lt;=72,"3. 1-3 days","4. Over 3 days")))</f>
        <v/>
      </c>
      <c r="O2790">
        <f>TEXT(B2790,"YYYY-MM")</f>
        <v/>
      </c>
    </row>
    <row r="2791">
      <c r="A2791" t="inlineStr">
        <is>
          <t>LD-302789</t>
        </is>
      </c>
      <c r="B2791" t="inlineStr">
        <is>
          <t>2025-11-26 19:42:00</t>
        </is>
      </c>
      <c r="C2791" t="inlineStr">
        <is>
          <t>Referral</t>
        </is>
      </c>
      <c r="D2791" t="inlineStr">
        <is>
          <t>Competitive Exam Prep</t>
        </is>
      </c>
      <c r="E2791" t="inlineStr">
        <is>
          <t>East Region</t>
        </is>
      </c>
      <c r="F2791" t="inlineStr">
        <is>
          <t>Rep_04</t>
        </is>
      </c>
      <c r="G2791" t="n">
        <v>2.16</v>
      </c>
      <c r="H2791" t="inlineStr">
        <is>
          <t>Closed</t>
        </is>
      </c>
      <c r="I2791" t="inlineStr">
        <is>
          <t>Won</t>
        </is>
      </c>
      <c r="K2791" t="n">
        <v>1109.56</v>
      </c>
      <c r="L2791" t="inlineStr">
        <is>
          <t>2026-01-21 04:46:19.746770</t>
        </is>
      </c>
      <c r="M2791">
        <f>VLOOKUP(H2791,'Stage Order'!$A$2:$B$8,2,FALSE)</f>
        <v/>
      </c>
      <c r="N2791">
        <f>IF(G2791&lt;=1,"1. Under 1 hour",IF(G2791&lt;=24,"2. 1-24 hours",IF(G2791&lt;=72,"3. 1-3 days","4. Over 3 days")))</f>
        <v/>
      </c>
      <c r="O2791">
        <f>TEXT(B2791,"YYYY-MM")</f>
        <v/>
      </c>
    </row>
    <row r="2792">
      <c r="A2792" t="inlineStr">
        <is>
          <t>LD-302790</t>
        </is>
      </c>
      <c r="B2792" t="inlineStr">
        <is>
          <t>2025-06-25 19:23:00</t>
        </is>
      </c>
      <c r="C2792" t="inlineStr">
        <is>
          <t>Paid Search</t>
        </is>
      </c>
      <c r="D2792" t="inlineStr">
        <is>
          <t>Competitive Exam Prep</t>
        </is>
      </c>
      <c r="E2792" t="inlineStr">
        <is>
          <t>East Region</t>
        </is>
      </c>
      <c r="F2792" t="inlineStr">
        <is>
          <t>Rep_04</t>
        </is>
      </c>
      <c r="G2792" t="n">
        <v>2.47</v>
      </c>
      <c r="H2792" t="inlineStr">
        <is>
          <t>Demo Scheduled</t>
        </is>
      </c>
      <c r="I2792" t="inlineStr">
        <is>
          <t>Open</t>
        </is>
      </c>
      <c r="M2792">
        <f>VLOOKUP(H2792,'Stage Order'!$A$2:$B$8,2,FALSE)</f>
        <v/>
      </c>
      <c r="N2792">
        <f>IF(G2792&lt;=1,"1. Under 1 hour",IF(G2792&lt;=24,"2. 1-24 hours",IF(G2792&lt;=72,"3. 1-3 days","4. Over 3 days")))</f>
        <v/>
      </c>
      <c r="O2792">
        <f>TEXT(B2792,"YYYY-MM")</f>
        <v/>
      </c>
    </row>
    <row r="2793">
      <c r="A2793" t="inlineStr">
        <is>
          <t>LD-302791</t>
        </is>
      </c>
      <c r="B2793" t="inlineStr">
        <is>
          <t>2026-05-30 08:34:00</t>
        </is>
      </c>
      <c r="C2793" t="inlineStr">
        <is>
          <t>Partner Channel</t>
        </is>
      </c>
      <c r="D2793" t="inlineStr">
        <is>
          <t>Coding for Kids</t>
        </is>
      </c>
      <c r="E2793" t="inlineStr">
        <is>
          <t>South Region</t>
        </is>
      </c>
      <c r="F2793" t="inlineStr">
        <is>
          <t>Rep_02</t>
        </is>
      </c>
      <c r="G2793" t="n">
        <v>3.04</v>
      </c>
      <c r="H2793" t="inlineStr">
        <is>
          <t>Contacted</t>
        </is>
      </c>
      <c r="I2793" t="inlineStr">
        <is>
          <t>Open</t>
        </is>
      </c>
      <c r="M2793">
        <f>VLOOKUP(H2793,'Stage Order'!$A$2:$B$8,2,FALSE)</f>
        <v/>
      </c>
      <c r="N2793">
        <f>IF(G2793&lt;=1,"1. Under 1 hour",IF(G2793&lt;=24,"2. 1-24 hours",IF(G2793&lt;=72,"3. 1-3 days","4. Over 3 days")))</f>
        <v/>
      </c>
      <c r="O2793">
        <f>TEXT(B2793,"YYYY-MM")</f>
        <v/>
      </c>
    </row>
    <row r="2794">
      <c r="A2794" t="inlineStr">
        <is>
          <t>LD-302792</t>
        </is>
      </c>
      <c r="B2794" t="inlineStr">
        <is>
          <t>2025-01-10 11:38:00</t>
        </is>
      </c>
      <c r="C2794" t="inlineStr">
        <is>
          <t>Referral</t>
        </is>
      </c>
      <c r="D2794" t="inlineStr">
        <is>
          <t>Competitive Exam Prep</t>
        </is>
      </c>
      <c r="E2794" t="inlineStr">
        <is>
          <t>South Region</t>
        </is>
      </c>
      <c r="F2794" t="inlineStr">
        <is>
          <t>Rep_12</t>
        </is>
      </c>
      <c r="G2794" t="n">
        <v>1.58</v>
      </c>
      <c r="H2794" t="inlineStr">
        <is>
          <t>Closed</t>
        </is>
      </c>
      <c r="I2794" t="inlineStr">
        <is>
          <t>Won</t>
        </is>
      </c>
      <c r="K2794" t="n">
        <v>953.78</v>
      </c>
      <c r="L2794" t="inlineStr">
        <is>
          <t>2025-02-17 17:34:48.755440</t>
        </is>
      </c>
      <c r="M2794">
        <f>VLOOKUP(H2794,'Stage Order'!$A$2:$B$8,2,FALSE)</f>
        <v/>
      </c>
      <c r="N2794">
        <f>IF(G2794&lt;=1,"1. Under 1 hour",IF(G2794&lt;=24,"2. 1-24 hours",IF(G2794&lt;=72,"3. 1-3 days","4. Over 3 days")))</f>
        <v/>
      </c>
      <c r="O2794">
        <f>TEXT(B2794,"YYYY-MM")</f>
        <v/>
      </c>
    </row>
    <row r="2795">
      <c r="A2795" t="inlineStr">
        <is>
          <t>LD-302793</t>
        </is>
      </c>
      <c r="B2795" t="inlineStr">
        <is>
          <t>2025-08-22 18:53:00</t>
        </is>
      </c>
      <c r="C2795" t="inlineStr">
        <is>
          <t>Webinar</t>
        </is>
      </c>
      <c r="D2795" t="inlineStr">
        <is>
          <t>Language Learning</t>
        </is>
      </c>
      <c r="E2795" t="inlineStr">
        <is>
          <t>West Region</t>
        </is>
      </c>
      <c r="F2795" t="inlineStr">
        <is>
          <t>Rep_03</t>
        </is>
      </c>
      <c r="G2795" t="n">
        <v>3.65</v>
      </c>
      <c r="H2795" t="inlineStr">
        <is>
          <t>Contacted</t>
        </is>
      </c>
      <c r="I2795" t="inlineStr">
        <is>
          <t>Open</t>
        </is>
      </c>
      <c r="M2795">
        <f>VLOOKUP(H2795,'Stage Order'!$A$2:$B$8,2,FALSE)</f>
        <v/>
      </c>
      <c r="N2795">
        <f>IF(G2795&lt;=1,"1. Under 1 hour",IF(G2795&lt;=24,"2. 1-24 hours",IF(G2795&lt;=72,"3. 1-3 days","4. Over 3 days")))</f>
        <v/>
      </c>
      <c r="O2795">
        <f>TEXT(B2795,"YYYY-MM")</f>
        <v/>
      </c>
    </row>
    <row r="2796">
      <c r="A2796" t="inlineStr">
        <is>
          <t>LD-302794</t>
        </is>
      </c>
      <c r="B2796" t="inlineStr">
        <is>
          <t>2026-04-24 17:37:00</t>
        </is>
      </c>
      <c r="C2796" t="inlineStr">
        <is>
          <t>Webinar</t>
        </is>
      </c>
      <c r="D2796" t="inlineStr">
        <is>
          <t>Competitive Exam Prep</t>
        </is>
      </c>
      <c r="E2796" t="inlineStr">
        <is>
          <t>North Region</t>
        </is>
      </c>
      <c r="F2796" t="inlineStr">
        <is>
          <t>Rep_11</t>
        </is>
      </c>
      <c r="G2796" t="n">
        <v>7.36</v>
      </c>
      <c r="H2796" t="inlineStr">
        <is>
          <t>Negotiation</t>
        </is>
      </c>
      <c r="I2796" t="inlineStr">
        <is>
          <t>Lost</t>
        </is>
      </c>
      <c r="J2796" t="inlineStr">
        <is>
          <t>Price Objection</t>
        </is>
      </c>
      <c r="K2796" t="n">
        <v>1177.56</v>
      </c>
      <c r="L2796" t="inlineStr">
        <is>
          <t>2026-06-05 18:30:32.496473</t>
        </is>
      </c>
      <c r="M2796">
        <f>VLOOKUP(H2796,'Stage Order'!$A$2:$B$8,2,FALSE)</f>
        <v/>
      </c>
      <c r="N2796">
        <f>IF(G2796&lt;=1,"1. Under 1 hour",IF(G2796&lt;=24,"2. 1-24 hours",IF(G2796&lt;=72,"3. 1-3 days","4. Over 3 days")))</f>
        <v/>
      </c>
      <c r="O2796">
        <f>TEXT(B2796,"YYYY-MM")</f>
        <v/>
      </c>
    </row>
    <row r="2797">
      <c r="A2797" t="inlineStr">
        <is>
          <t>LD-302795</t>
        </is>
      </c>
      <c r="B2797" t="inlineStr">
        <is>
          <t>2025-11-07 08:53:00</t>
        </is>
      </c>
      <c r="C2797" t="inlineStr">
        <is>
          <t>Webinar</t>
        </is>
      </c>
      <c r="D2797" t="inlineStr">
        <is>
          <t>Language Learning</t>
        </is>
      </c>
      <c r="E2797" t="inlineStr">
        <is>
          <t>East Region</t>
        </is>
      </c>
      <c r="F2797" t="inlineStr">
        <is>
          <t>Rep_04</t>
        </is>
      </c>
      <c r="G2797" t="n">
        <v>15.4</v>
      </c>
      <c r="H2797" t="inlineStr">
        <is>
          <t>Demo Scheduled</t>
        </is>
      </c>
      <c r="I2797" t="inlineStr">
        <is>
          <t>Open</t>
        </is>
      </c>
      <c r="M2797">
        <f>VLOOKUP(H2797,'Stage Order'!$A$2:$B$8,2,FALSE)</f>
        <v/>
      </c>
      <c r="N2797">
        <f>IF(G2797&lt;=1,"1. Under 1 hour",IF(G2797&lt;=24,"2. 1-24 hours",IF(G2797&lt;=72,"3. 1-3 days","4. Over 3 days")))</f>
        <v/>
      </c>
      <c r="O2797">
        <f>TEXT(B2797,"YYYY-MM")</f>
        <v/>
      </c>
    </row>
    <row r="2798">
      <c r="A2798" t="inlineStr">
        <is>
          <t>LD-302796</t>
        </is>
      </c>
      <c r="B2798" t="inlineStr">
        <is>
          <t>2026-01-15 19:26:00</t>
        </is>
      </c>
      <c r="C2798" t="inlineStr">
        <is>
          <t>Social Media</t>
        </is>
      </c>
      <c r="D2798" t="inlineStr">
        <is>
          <t>Competitive Exam Prep</t>
        </is>
      </c>
      <c r="E2798" t="inlineStr">
        <is>
          <t>North Region</t>
        </is>
      </c>
      <c r="F2798" t="inlineStr">
        <is>
          <t>Rep_06</t>
        </is>
      </c>
      <c r="G2798" t="n">
        <v>4.51</v>
      </c>
      <c r="H2798" t="inlineStr">
        <is>
          <t>Closed</t>
        </is>
      </c>
      <c r="I2798" t="inlineStr">
        <is>
          <t>Won</t>
        </is>
      </c>
      <c r="K2798" t="n">
        <v>1043.54</v>
      </c>
      <c r="L2798" t="inlineStr">
        <is>
          <t>2026-02-12 00:42:38.538461</t>
        </is>
      </c>
      <c r="M2798">
        <f>VLOOKUP(H2798,'Stage Order'!$A$2:$B$8,2,FALSE)</f>
        <v/>
      </c>
      <c r="N2798">
        <f>IF(G2798&lt;=1,"1. Under 1 hour",IF(G2798&lt;=24,"2. 1-24 hours",IF(G2798&lt;=72,"3. 1-3 days","4. Over 3 days")))</f>
        <v/>
      </c>
      <c r="O2798">
        <f>TEXT(B2798,"YYYY-MM")</f>
        <v/>
      </c>
    </row>
    <row r="2799">
      <c r="A2799" t="inlineStr">
        <is>
          <t>LD-302797</t>
        </is>
      </c>
      <c r="B2799" t="inlineStr">
        <is>
          <t>2026-05-22 18:49:00</t>
        </is>
      </c>
      <c r="C2799" t="inlineStr">
        <is>
          <t>Paid Search</t>
        </is>
      </c>
      <c r="D2799" t="inlineStr">
        <is>
          <t>Study Abroad Prep</t>
        </is>
      </c>
      <c r="E2799" t="inlineStr">
        <is>
          <t>East Region</t>
        </is>
      </c>
      <c r="F2799" t="inlineStr">
        <is>
          <t>Rep_14</t>
        </is>
      </c>
      <c r="G2799" t="n">
        <v>6.63</v>
      </c>
      <c r="H2799" t="inlineStr">
        <is>
          <t>Demo Scheduled</t>
        </is>
      </c>
      <c r="I2799" t="inlineStr">
        <is>
          <t>Open</t>
        </is>
      </c>
      <c r="M2799">
        <f>VLOOKUP(H2799,'Stage Order'!$A$2:$B$8,2,FALSE)</f>
        <v/>
      </c>
      <c r="N2799">
        <f>IF(G2799&lt;=1,"1. Under 1 hour",IF(G2799&lt;=24,"2. 1-24 hours",IF(G2799&lt;=72,"3. 1-3 days","4. Over 3 days")))</f>
        <v/>
      </c>
      <c r="O2799">
        <f>TEXT(B2799,"YYYY-MM")</f>
        <v/>
      </c>
    </row>
    <row r="2800">
      <c r="A2800" t="inlineStr">
        <is>
          <t>LD-302798</t>
        </is>
      </c>
      <c r="B2800" t="inlineStr">
        <is>
          <t>2025-04-02 14:52:00</t>
        </is>
      </c>
      <c r="C2800" t="inlineStr">
        <is>
          <t>Organic Search</t>
        </is>
      </c>
      <c r="D2800" t="inlineStr">
        <is>
          <t>Coding for Kids</t>
        </is>
      </c>
      <c r="E2800" t="inlineStr">
        <is>
          <t>South Region</t>
        </is>
      </c>
      <c r="F2800" t="inlineStr">
        <is>
          <t>Rep_12</t>
        </is>
      </c>
      <c r="G2800" t="n">
        <v>5.43</v>
      </c>
      <c r="H2800" t="inlineStr">
        <is>
          <t>Contacted</t>
        </is>
      </c>
      <c r="I2800" t="inlineStr">
        <is>
          <t>Open</t>
        </is>
      </c>
      <c r="M2800">
        <f>VLOOKUP(H2800,'Stage Order'!$A$2:$B$8,2,FALSE)</f>
        <v/>
      </c>
      <c r="N2800">
        <f>IF(G2800&lt;=1,"1. Under 1 hour",IF(G2800&lt;=24,"2. 1-24 hours",IF(G2800&lt;=72,"3. 1-3 days","4. Over 3 days")))</f>
        <v/>
      </c>
      <c r="O2800">
        <f>TEXT(B2800,"YYYY-MM")</f>
        <v/>
      </c>
    </row>
    <row r="2801">
      <c r="A2801" t="inlineStr">
        <is>
          <t>LD-302799</t>
        </is>
      </c>
      <c r="B2801" t="inlineStr">
        <is>
          <t>2025-08-21 08:42:00</t>
        </is>
      </c>
      <c r="C2801" t="inlineStr">
        <is>
          <t>Organic Search</t>
        </is>
      </c>
      <c r="D2801" t="inlineStr">
        <is>
          <t>Language Learning</t>
        </is>
      </c>
      <c r="E2801" t="inlineStr">
        <is>
          <t>East Region</t>
        </is>
      </c>
      <c r="F2801" t="inlineStr">
        <is>
          <t>Rep_14</t>
        </is>
      </c>
      <c r="G2801" t="n">
        <v>0.82</v>
      </c>
      <c r="H2801" t="inlineStr">
        <is>
          <t>Contacted</t>
        </is>
      </c>
      <c r="I2801" t="inlineStr">
        <is>
          <t>Open</t>
        </is>
      </c>
      <c r="M2801">
        <f>VLOOKUP(H2801,'Stage Order'!$A$2:$B$8,2,FALSE)</f>
        <v/>
      </c>
      <c r="N2801">
        <f>IF(G2801&lt;=1,"1. Under 1 hour",IF(G2801&lt;=24,"2. 1-24 hours",IF(G2801&lt;=72,"3. 1-3 days","4. Over 3 days")))</f>
        <v/>
      </c>
      <c r="O2801">
        <f>TEXT(B2801,"YYYY-MM")</f>
        <v/>
      </c>
    </row>
    <row r="2802">
      <c r="A2802" t="inlineStr">
        <is>
          <t>LD-302800</t>
        </is>
      </c>
      <c r="B2802" t="inlineStr">
        <is>
          <t>2025-01-21 13:07:00</t>
        </is>
      </c>
      <c r="C2802" t="inlineStr">
        <is>
          <t>Cold Outreach</t>
        </is>
      </c>
      <c r="D2802" t="inlineStr">
        <is>
          <t>Competitive Exam Prep</t>
        </is>
      </c>
      <c r="E2802" t="inlineStr">
        <is>
          <t>North Region</t>
        </is>
      </c>
      <c r="F2802" t="inlineStr">
        <is>
          <t>Rep_06</t>
        </is>
      </c>
      <c r="G2802" t="n">
        <v>2.61</v>
      </c>
      <c r="H2802" t="inlineStr">
        <is>
          <t>Lead</t>
        </is>
      </c>
      <c r="I2802" t="inlineStr">
        <is>
          <t>Open</t>
        </is>
      </c>
      <c r="M2802">
        <f>VLOOKUP(H2802,'Stage Order'!$A$2:$B$8,2,FALSE)</f>
        <v/>
      </c>
      <c r="N2802">
        <f>IF(G2802&lt;=1,"1. Under 1 hour",IF(G2802&lt;=24,"2. 1-24 hours",IF(G2802&lt;=72,"3. 1-3 days","4. Over 3 days")))</f>
        <v/>
      </c>
      <c r="O2802">
        <f>TEXT(B2802,"YYYY-MM")</f>
        <v/>
      </c>
    </row>
    <row r="2803">
      <c r="A2803" t="inlineStr">
        <is>
          <t>LD-302801</t>
        </is>
      </c>
      <c r="B2803" t="inlineStr">
        <is>
          <t>2025-09-26 14:29:00</t>
        </is>
      </c>
      <c r="C2803" t="inlineStr">
        <is>
          <t>Referral</t>
        </is>
      </c>
      <c r="D2803" t="inlineStr">
        <is>
          <t>K-12 Math</t>
        </is>
      </c>
      <c r="E2803" t="inlineStr">
        <is>
          <t>South Region</t>
        </is>
      </c>
      <c r="F2803" t="inlineStr">
        <is>
          <t>Rep_12</t>
        </is>
      </c>
      <c r="G2803" t="n">
        <v>7.96</v>
      </c>
      <c r="H2803" t="inlineStr">
        <is>
          <t>Contacted</t>
        </is>
      </c>
      <c r="I2803" t="inlineStr">
        <is>
          <t>Open</t>
        </is>
      </c>
      <c r="M2803">
        <f>VLOOKUP(H2803,'Stage Order'!$A$2:$B$8,2,FALSE)</f>
        <v/>
      </c>
      <c r="N2803">
        <f>IF(G2803&lt;=1,"1. Under 1 hour",IF(G2803&lt;=24,"2. 1-24 hours",IF(G2803&lt;=72,"3. 1-3 days","4. Over 3 days")))</f>
        <v/>
      </c>
      <c r="O2803">
        <f>TEXT(B2803,"YYYY-MM")</f>
        <v/>
      </c>
    </row>
    <row r="2804">
      <c r="A2804" t="inlineStr">
        <is>
          <t>LD-302802</t>
        </is>
      </c>
      <c r="B2804" t="inlineStr">
        <is>
          <t>2025-09-17 15:46:00</t>
        </is>
      </c>
      <c r="C2804" t="inlineStr">
        <is>
          <t>Paid Search</t>
        </is>
      </c>
      <c r="D2804" t="inlineStr">
        <is>
          <t>Coding for Kids</t>
        </is>
      </c>
      <c r="E2804" t="inlineStr">
        <is>
          <t>North Region</t>
        </is>
      </c>
      <c r="F2804" t="inlineStr">
        <is>
          <t>Rep_01</t>
        </is>
      </c>
      <c r="G2804" t="n">
        <v>0.67</v>
      </c>
      <c r="H2804" t="inlineStr">
        <is>
          <t>Contacted</t>
        </is>
      </c>
      <c r="I2804" t="inlineStr">
        <is>
          <t>Open</t>
        </is>
      </c>
      <c r="M2804">
        <f>VLOOKUP(H2804,'Stage Order'!$A$2:$B$8,2,FALSE)</f>
        <v/>
      </c>
      <c r="N2804">
        <f>IF(G2804&lt;=1,"1. Under 1 hour",IF(G2804&lt;=24,"2. 1-24 hours",IF(G2804&lt;=72,"3. 1-3 days","4. Over 3 days")))</f>
        <v/>
      </c>
      <c r="O2804">
        <f>TEXT(B2804,"YYYY-MM")</f>
        <v/>
      </c>
    </row>
    <row r="2805">
      <c r="A2805" t="inlineStr">
        <is>
          <t>LD-302803</t>
        </is>
      </c>
      <c r="B2805" t="inlineStr">
        <is>
          <t>2026-05-22 11:56:00</t>
        </is>
      </c>
      <c r="C2805" t="inlineStr">
        <is>
          <t>Partner Channel</t>
        </is>
      </c>
      <c r="D2805" t="inlineStr">
        <is>
          <t>K-12 Math</t>
        </is>
      </c>
      <c r="E2805" t="inlineStr">
        <is>
          <t>West Region</t>
        </is>
      </c>
      <c r="F2805" t="inlineStr">
        <is>
          <t>Rep_13</t>
        </is>
      </c>
      <c r="G2805" t="n">
        <v>4.46</v>
      </c>
      <c r="H2805" t="inlineStr">
        <is>
          <t>Contacted</t>
        </is>
      </c>
      <c r="I2805" t="inlineStr">
        <is>
          <t>Open</t>
        </is>
      </c>
      <c r="M2805">
        <f>VLOOKUP(H2805,'Stage Order'!$A$2:$B$8,2,FALSE)</f>
        <v/>
      </c>
      <c r="N2805">
        <f>IF(G2805&lt;=1,"1. Under 1 hour",IF(G2805&lt;=24,"2. 1-24 hours",IF(G2805&lt;=72,"3. 1-3 days","4. Over 3 days")))</f>
        <v/>
      </c>
      <c r="O2805">
        <f>TEXT(B2805,"YYYY-MM")</f>
        <v/>
      </c>
    </row>
    <row r="2806">
      <c r="A2806" t="inlineStr">
        <is>
          <t>LD-302804</t>
        </is>
      </c>
      <c r="B2806" t="inlineStr">
        <is>
          <t>2026-06-19 15:53:00</t>
        </is>
      </c>
      <c r="C2806" t="inlineStr">
        <is>
          <t>Cold Outreach</t>
        </is>
      </c>
      <c r="D2806" t="inlineStr">
        <is>
          <t>Coding for Kids</t>
        </is>
      </c>
      <c r="E2806" t="inlineStr">
        <is>
          <t>South Region</t>
        </is>
      </c>
      <c r="F2806" t="inlineStr">
        <is>
          <t>Rep_12</t>
        </is>
      </c>
      <c r="G2806" t="n">
        <v>3.41</v>
      </c>
      <c r="H2806" t="inlineStr">
        <is>
          <t>Demo Completed</t>
        </is>
      </c>
      <c r="I2806" t="inlineStr">
        <is>
          <t>Lost</t>
        </is>
      </c>
      <c r="J2806" t="inlineStr">
        <is>
          <t>Price Objection</t>
        </is>
      </c>
      <c r="K2806" t="n">
        <v>578.0700000000001</v>
      </c>
      <c r="L2806" t="inlineStr">
        <is>
          <t>2026-07-21 09:36:09.791137</t>
        </is>
      </c>
      <c r="M2806">
        <f>VLOOKUP(H2806,'Stage Order'!$A$2:$B$8,2,FALSE)</f>
        <v/>
      </c>
      <c r="N2806">
        <f>IF(G2806&lt;=1,"1. Under 1 hour",IF(G2806&lt;=24,"2. 1-24 hours",IF(G2806&lt;=72,"3. 1-3 days","4. Over 3 days")))</f>
        <v/>
      </c>
      <c r="O2806">
        <f>TEXT(B2806,"YYYY-MM")</f>
        <v/>
      </c>
    </row>
    <row r="2807">
      <c r="A2807" t="inlineStr">
        <is>
          <t>LD-302805</t>
        </is>
      </c>
      <c r="B2807" t="inlineStr">
        <is>
          <t>2025-01-17 18:05:00</t>
        </is>
      </c>
      <c r="C2807" t="inlineStr">
        <is>
          <t>Cold Outreach</t>
        </is>
      </c>
      <c r="D2807" t="inlineStr">
        <is>
          <t>K-12 Math</t>
        </is>
      </c>
      <c r="E2807" t="inlineStr">
        <is>
          <t>East Region</t>
        </is>
      </c>
      <c r="F2807" t="inlineStr">
        <is>
          <t>Rep_14</t>
        </is>
      </c>
      <c r="G2807" t="n">
        <v>4.82</v>
      </c>
      <c r="H2807" t="inlineStr">
        <is>
          <t>Lead</t>
        </is>
      </c>
      <c r="I2807" t="inlineStr">
        <is>
          <t>Open</t>
        </is>
      </c>
      <c r="M2807">
        <f>VLOOKUP(H2807,'Stage Order'!$A$2:$B$8,2,FALSE)</f>
        <v/>
      </c>
      <c r="N2807">
        <f>IF(G2807&lt;=1,"1. Under 1 hour",IF(G2807&lt;=24,"2. 1-24 hours",IF(G2807&lt;=72,"3. 1-3 days","4. Over 3 days")))</f>
        <v/>
      </c>
      <c r="O2807">
        <f>TEXT(B2807,"YYYY-MM")</f>
        <v/>
      </c>
    </row>
    <row r="2808">
      <c r="A2808" t="inlineStr">
        <is>
          <t>LD-302806</t>
        </is>
      </c>
      <c r="B2808" t="inlineStr">
        <is>
          <t>2025-10-03 12:07:00</t>
        </is>
      </c>
      <c r="C2808" t="inlineStr">
        <is>
          <t>Referral</t>
        </is>
      </c>
      <c r="D2808" t="inlineStr">
        <is>
          <t>Coding for Kids</t>
        </is>
      </c>
      <c r="E2808" t="inlineStr">
        <is>
          <t>North Region</t>
        </is>
      </c>
      <c r="F2808" t="inlineStr">
        <is>
          <t>Rep_06</t>
        </is>
      </c>
      <c r="G2808" t="n">
        <v>8.6</v>
      </c>
      <c r="H2808" t="inlineStr">
        <is>
          <t>Proposal Sent</t>
        </is>
      </c>
      <c r="I2808" t="inlineStr">
        <is>
          <t>Lost</t>
        </is>
      </c>
      <c r="J2808" t="inlineStr">
        <is>
          <t>Bad Timing</t>
        </is>
      </c>
      <c r="K2808" t="n">
        <v>677.21</v>
      </c>
      <c r="L2808" t="inlineStr">
        <is>
          <t>2025-11-06 15:11:45.434201</t>
        </is>
      </c>
      <c r="M2808">
        <f>VLOOKUP(H2808,'Stage Order'!$A$2:$B$8,2,FALSE)</f>
        <v/>
      </c>
      <c r="N2808">
        <f>IF(G2808&lt;=1,"1. Under 1 hour",IF(G2808&lt;=24,"2. 1-24 hours",IF(G2808&lt;=72,"3. 1-3 days","4. Over 3 days")))</f>
        <v/>
      </c>
      <c r="O2808">
        <f>TEXT(B2808,"YYYY-MM")</f>
        <v/>
      </c>
    </row>
    <row r="2809">
      <c r="A2809" t="inlineStr">
        <is>
          <t>LD-302807</t>
        </is>
      </c>
      <c r="B2809" t="inlineStr">
        <is>
          <t>2025-11-21 12:30:00</t>
        </is>
      </c>
      <c r="C2809" t="inlineStr">
        <is>
          <t>Social Media</t>
        </is>
      </c>
      <c r="D2809" t="inlineStr">
        <is>
          <t>K-12 Math</t>
        </is>
      </c>
      <c r="E2809" t="inlineStr">
        <is>
          <t>International</t>
        </is>
      </c>
      <c r="F2809" t="inlineStr">
        <is>
          <t>Rep_15</t>
        </is>
      </c>
      <c r="G2809" t="n">
        <v>5.99</v>
      </c>
      <c r="H2809" t="inlineStr">
        <is>
          <t>Contacted</t>
        </is>
      </c>
      <c r="I2809" t="inlineStr">
        <is>
          <t>Open</t>
        </is>
      </c>
      <c r="M2809">
        <f>VLOOKUP(H2809,'Stage Order'!$A$2:$B$8,2,FALSE)</f>
        <v/>
      </c>
      <c r="N2809">
        <f>IF(G2809&lt;=1,"1. Under 1 hour",IF(G2809&lt;=24,"2. 1-24 hours",IF(G2809&lt;=72,"3. 1-3 days","4. Over 3 days")))</f>
        <v/>
      </c>
      <c r="O2809">
        <f>TEXT(B2809,"YYYY-MM")</f>
        <v/>
      </c>
    </row>
    <row r="2810">
      <c r="A2810" t="inlineStr">
        <is>
          <t>LD-302808</t>
        </is>
      </c>
      <c r="B2810" t="inlineStr">
        <is>
          <t>2025-10-14 18:40:00</t>
        </is>
      </c>
      <c r="C2810" t="inlineStr">
        <is>
          <t>Organic Search</t>
        </is>
      </c>
      <c r="D2810" t="inlineStr">
        <is>
          <t>Competitive Exam Prep</t>
        </is>
      </c>
      <c r="E2810" t="inlineStr">
        <is>
          <t>International</t>
        </is>
      </c>
      <c r="F2810" t="inlineStr">
        <is>
          <t>Rep_10</t>
        </is>
      </c>
      <c r="G2810" t="n">
        <v>2.11</v>
      </c>
      <c r="H2810" t="inlineStr">
        <is>
          <t>Contacted</t>
        </is>
      </c>
      <c r="I2810" t="inlineStr">
        <is>
          <t>Open</t>
        </is>
      </c>
      <c r="M2810">
        <f>VLOOKUP(H2810,'Stage Order'!$A$2:$B$8,2,FALSE)</f>
        <v/>
      </c>
      <c r="N2810">
        <f>IF(G2810&lt;=1,"1. Under 1 hour",IF(G2810&lt;=24,"2. 1-24 hours",IF(G2810&lt;=72,"3. 1-3 days","4. Over 3 days")))</f>
        <v/>
      </c>
      <c r="O2810">
        <f>TEXT(B2810,"YYYY-MM")</f>
        <v/>
      </c>
    </row>
    <row r="2811">
      <c r="A2811" t="inlineStr">
        <is>
          <t>LD-302809</t>
        </is>
      </c>
      <c r="B2811" t="inlineStr">
        <is>
          <t>2025-10-22 18:44:00</t>
        </is>
      </c>
      <c r="C2811" t="inlineStr">
        <is>
          <t>Organic Search</t>
        </is>
      </c>
      <c r="D2811" t="inlineStr">
        <is>
          <t>Competitive Exam Prep</t>
        </is>
      </c>
      <c r="E2811" t="inlineStr">
        <is>
          <t>West Region</t>
        </is>
      </c>
      <c r="F2811" t="inlineStr">
        <is>
          <t>Rep_13</t>
        </is>
      </c>
      <c r="G2811" t="n">
        <v>6.22</v>
      </c>
      <c r="H2811" t="inlineStr">
        <is>
          <t>Lead</t>
        </is>
      </c>
      <c r="I2811" t="inlineStr">
        <is>
          <t>Open</t>
        </is>
      </c>
      <c r="M2811">
        <f>VLOOKUP(H2811,'Stage Order'!$A$2:$B$8,2,FALSE)</f>
        <v/>
      </c>
      <c r="N2811">
        <f>IF(G2811&lt;=1,"1. Under 1 hour",IF(G2811&lt;=24,"2. 1-24 hours",IF(G2811&lt;=72,"3. 1-3 days","4. Over 3 days")))</f>
        <v/>
      </c>
      <c r="O2811">
        <f>TEXT(B2811,"YYYY-MM")</f>
        <v/>
      </c>
    </row>
    <row r="2812">
      <c r="A2812" t="inlineStr">
        <is>
          <t>LD-302810</t>
        </is>
      </c>
      <c r="B2812" t="inlineStr">
        <is>
          <t>2025-04-17 19:57:00</t>
        </is>
      </c>
      <c r="C2812" t="inlineStr">
        <is>
          <t>Cold Outreach</t>
        </is>
      </c>
      <c r="D2812" t="inlineStr">
        <is>
          <t>K-12 Math</t>
        </is>
      </c>
      <c r="E2812" t="inlineStr">
        <is>
          <t>South Region</t>
        </is>
      </c>
      <c r="F2812" t="inlineStr">
        <is>
          <t>Rep_07</t>
        </is>
      </c>
      <c r="G2812" t="n">
        <v>3.86</v>
      </c>
      <c r="H2812" t="inlineStr">
        <is>
          <t>Contacted</t>
        </is>
      </c>
      <c r="I2812" t="inlineStr">
        <is>
          <t>Open</t>
        </is>
      </c>
      <c r="M2812">
        <f>VLOOKUP(H2812,'Stage Order'!$A$2:$B$8,2,FALSE)</f>
        <v/>
      </c>
      <c r="N2812">
        <f>IF(G2812&lt;=1,"1. Under 1 hour",IF(G2812&lt;=24,"2. 1-24 hours",IF(G2812&lt;=72,"3. 1-3 days","4. Over 3 days")))</f>
        <v/>
      </c>
      <c r="O2812">
        <f>TEXT(B2812,"YYYY-MM")</f>
        <v/>
      </c>
    </row>
    <row r="2813">
      <c r="A2813" t="inlineStr">
        <is>
          <t>LD-302811</t>
        </is>
      </c>
      <c r="B2813" t="inlineStr">
        <is>
          <t>2025-07-19 08:55:00</t>
        </is>
      </c>
      <c r="C2813" t="inlineStr">
        <is>
          <t>Referral</t>
        </is>
      </c>
      <c r="D2813" t="inlineStr">
        <is>
          <t>Competitive Exam Prep</t>
        </is>
      </c>
      <c r="E2813" t="inlineStr">
        <is>
          <t>West Region</t>
        </is>
      </c>
      <c r="F2813" t="inlineStr">
        <is>
          <t>Rep_08</t>
        </is>
      </c>
      <c r="G2813" t="n">
        <v>4.14</v>
      </c>
      <c r="H2813" t="inlineStr">
        <is>
          <t>Lead</t>
        </is>
      </c>
      <c r="I2813" t="inlineStr">
        <is>
          <t>Open</t>
        </is>
      </c>
      <c r="M2813">
        <f>VLOOKUP(H2813,'Stage Order'!$A$2:$B$8,2,FALSE)</f>
        <v/>
      </c>
      <c r="N2813">
        <f>IF(G2813&lt;=1,"1. Under 1 hour",IF(G2813&lt;=24,"2. 1-24 hours",IF(G2813&lt;=72,"3. 1-3 days","4. Over 3 days")))</f>
        <v/>
      </c>
      <c r="O2813">
        <f>TEXT(B2813,"YYYY-MM")</f>
        <v/>
      </c>
    </row>
    <row r="2814">
      <c r="A2814" t="inlineStr">
        <is>
          <t>LD-302812</t>
        </is>
      </c>
      <c r="B2814" t="inlineStr">
        <is>
          <t>2025-12-03 11:21:00</t>
        </is>
      </c>
      <c r="C2814" t="inlineStr">
        <is>
          <t>Social Media</t>
        </is>
      </c>
      <c r="D2814" t="inlineStr">
        <is>
          <t>Coding for Kids</t>
        </is>
      </c>
      <c r="E2814" t="inlineStr">
        <is>
          <t>East Region</t>
        </is>
      </c>
      <c r="F2814" t="inlineStr">
        <is>
          <t>Rep_09</t>
        </is>
      </c>
      <c r="G2814" t="n">
        <v>4.22</v>
      </c>
      <c r="H2814" t="inlineStr">
        <is>
          <t>Demo Completed</t>
        </is>
      </c>
      <c r="I2814" t="inlineStr">
        <is>
          <t>Lost</t>
        </is>
      </c>
      <c r="J2814" t="inlineStr">
        <is>
          <t>Price Objection</t>
        </is>
      </c>
      <c r="K2814" t="n">
        <v>534.71</v>
      </c>
      <c r="L2814" t="inlineStr">
        <is>
          <t>2025-12-19 06:03:44.994916</t>
        </is>
      </c>
      <c r="M2814">
        <f>VLOOKUP(H2814,'Stage Order'!$A$2:$B$8,2,FALSE)</f>
        <v/>
      </c>
      <c r="N2814">
        <f>IF(G2814&lt;=1,"1. Under 1 hour",IF(G2814&lt;=24,"2. 1-24 hours",IF(G2814&lt;=72,"3. 1-3 days","4. Over 3 days")))</f>
        <v/>
      </c>
      <c r="O2814">
        <f>TEXT(B2814,"YYYY-MM")</f>
        <v/>
      </c>
    </row>
    <row r="2815">
      <c r="A2815" t="inlineStr">
        <is>
          <t>LD-302813</t>
        </is>
      </c>
      <c r="B2815" t="inlineStr">
        <is>
          <t>2025-05-26 20:31:00</t>
        </is>
      </c>
      <c r="C2815" t="inlineStr">
        <is>
          <t>Referral</t>
        </is>
      </c>
      <c r="D2815" t="inlineStr">
        <is>
          <t>K-12 Math</t>
        </is>
      </c>
      <c r="E2815" t="inlineStr">
        <is>
          <t>South Region</t>
        </is>
      </c>
      <c r="F2815" t="inlineStr">
        <is>
          <t>Rep_12</t>
        </is>
      </c>
      <c r="G2815" t="n">
        <v>3.1</v>
      </c>
      <c r="H2815" t="inlineStr">
        <is>
          <t>Contacted</t>
        </is>
      </c>
      <c r="I2815" t="inlineStr">
        <is>
          <t>Open</t>
        </is>
      </c>
      <c r="M2815">
        <f>VLOOKUP(H2815,'Stage Order'!$A$2:$B$8,2,FALSE)</f>
        <v/>
      </c>
      <c r="N2815">
        <f>IF(G2815&lt;=1,"1. Under 1 hour",IF(G2815&lt;=24,"2. 1-24 hours",IF(G2815&lt;=72,"3. 1-3 days","4. Over 3 days")))</f>
        <v/>
      </c>
      <c r="O2815">
        <f>TEXT(B2815,"YYYY-MM")</f>
        <v/>
      </c>
    </row>
    <row r="2816">
      <c r="A2816" t="inlineStr">
        <is>
          <t>LD-302814</t>
        </is>
      </c>
      <c r="B2816" t="inlineStr">
        <is>
          <t>2026-06-17 14:16:00</t>
        </is>
      </c>
      <c r="C2816" t="inlineStr">
        <is>
          <t>Referral</t>
        </is>
      </c>
      <c r="D2816" t="inlineStr">
        <is>
          <t>Study Abroad Prep</t>
        </is>
      </c>
      <c r="E2816" t="inlineStr">
        <is>
          <t>North Region</t>
        </is>
      </c>
      <c r="F2816" t="inlineStr">
        <is>
          <t>Rep_01</t>
        </is>
      </c>
      <c r="G2816" t="n">
        <v>1.91</v>
      </c>
      <c r="H2816" t="inlineStr">
        <is>
          <t>Contacted</t>
        </is>
      </c>
      <c r="I2816" t="inlineStr">
        <is>
          <t>Open</t>
        </is>
      </c>
      <c r="M2816">
        <f>VLOOKUP(H2816,'Stage Order'!$A$2:$B$8,2,FALSE)</f>
        <v/>
      </c>
      <c r="N2816">
        <f>IF(G2816&lt;=1,"1. Under 1 hour",IF(G2816&lt;=24,"2. 1-24 hours",IF(G2816&lt;=72,"3. 1-3 days","4. Over 3 days")))</f>
        <v/>
      </c>
      <c r="O2816">
        <f>TEXT(B2816,"YYYY-MM")</f>
        <v/>
      </c>
    </row>
    <row r="2817">
      <c r="A2817" t="inlineStr">
        <is>
          <t>LD-302815</t>
        </is>
      </c>
      <c r="B2817" t="inlineStr">
        <is>
          <t>2025-11-08 10:34:00</t>
        </is>
      </c>
      <c r="C2817" t="inlineStr">
        <is>
          <t>Cold Outreach</t>
        </is>
      </c>
      <c r="D2817" t="inlineStr">
        <is>
          <t>Coding for Kids</t>
        </is>
      </c>
      <c r="E2817" t="inlineStr">
        <is>
          <t>South Region</t>
        </is>
      </c>
      <c r="F2817" t="inlineStr">
        <is>
          <t>Rep_02</t>
        </is>
      </c>
      <c r="G2817" t="n">
        <v>0.7</v>
      </c>
      <c r="H2817" t="inlineStr">
        <is>
          <t>Lead</t>
        </is>
      </c>
      <c r="I2817" t="inlineStr">
        <is>
          <t>Open</t>
        </is>
      </c>
      <c r="M2817">
        <f>VLOOKUP(H2817,'Stage Order'!$A$2:$B$8,2,FALSE)</f>
        <v/>
      </c>
      <c r="N2817">
        <f>IF(G2817&lt;=1,"1. Under 1 hour",IF(G2817&lt;=24,"2. 1-24 hours",IF(G2817&lt;=72,"3. 1-3 days","4. Over 3 days")))</f>
        <v/>
      </c>
      <c r="O2817">
        <f>TEXT(B2817,"YYYY-MM")</f>
        <v/>
      </c>
    </row>
    <row r="2818">
      <c r="A2818" t="inlineStr">
        <is>
          <t>LD-302816</t>
        </is>
      </c>
      <c r="B2818" t="inlineStr">
        <is>
          <t>2026-06-05 09:18:00</t>
        </is>
      </c>
      <c r="C2818" t="inlineStr">
        <is>
          <t>Partner Channel</t>
        </is>
      </c>
      <c r="D2818" t="inlineStr">
        <is>
          <t>K-12 Math</t>
        </is>
      </c>
      <c r="E2818" t="inlineStr">
        <is>
          <t>North Region</t>
        </is>
      </c>
      <c r="F2818" t="inlineStr">
        <is>
          <t>Rep_01</t>
        </is>
      </c>
      <c r="G2818" t="n">
        <v>11.81</v>
      </c>
      <c r="H2818" t="inlineStr">
        <is>
          <t>Negotiation</t>
        </is>
      </c>
      <c r="I2818" t="inlineStr">
        <is>
          <t>Lost</t>
        </is>
      </c>
      <c r="J2818" t="inlineStr">
        <is>
          <t>Price Objection</t>
        </is>
      </c>
      <c r="K2818" t="n">
        <v>408.77</v>
      </c>
      <c r="L2818" t="inlineStr">
        <is>
          <t>2026-07-19 20:03:21.355335</t>
        </is>
      </c>
      <c r="M2818">
        <f>VLOOKUP(H2818,'Stage Order'!$A$2:$B$8,2,FALSE)</f>
        <v/>
      </c>
      <c r="N2818">
        <f>IF(G2818&lt;=1,"1. Under 1 hour",IF(G2818&lt;=24,"2. 1-24 hours",IF(G2818&lt;=72,"3. 1-3 days","4. Over 3 days")))</f>
        <v/>
      </c>
      <c r="O2818">
        <f>TEXT(B2818,"YYYY-MM")</f>
        <v/>
      </c>
    </row>
    <row r="2819">
      <c r="A2819" t="inlineStr">
        <is>
          <t>LD-302817</t>
        </is>
      </c>
      <c r="B2819" t="inlineStr">
        <is>
          <t>2025-11-18 13:40:00</t>
        </is>
      </c>
      <c r="C2819" t="inlineStr">
        <is>
          <t>Referral</t>
        </is>
      </c>
      <c r="D2819" t="inlineStr">
        <is>
          <t>Competitive Exam Prep</t>
        </is>
      </c>
      <c r="E2819" t="inlineStr">
        <is>
          <t>West Region</t>
        </is>
      </c>
      <c r="F2819" t="inlineStr">
        <is>
          <t>Rep_13</t>
        </is>
      </c>
      <c r="G2819" t="n">
        <v>7.72</v>
      </c>
      <c r="H2819" t="inlineStr">
        <is>
          <t>Closed</t>
        </is>
      </c>
      <c r="I2819" t="inlineStr">
        <is>
          <t>Won</t>
        </is>
      </c>
      <c r="K2819" t="n">
        <v>808.42</v>
      </c>
      <c r="L2819" t="inlineStr">
        <is>
          <t>2025-12-24 18:14:18.549093</t>
        </is>
      </c>
      <c r="M2819">
        <f>VLOOKUP(H2819,'Stage Order'!$A$2:$B$8,2,FALSE)</f>
        <v/>
      </c>
      <c r="N2819">
        <f>IF(G2819&lt;=1,"1. Under 1 hour",IF(G2819&lt;=24,"2. 1-24 hours",IF(G2819&lt;=72,"3. 1-3 days","4. Over 3 days")))</f>
        <v/>
      </c>
      <c r="O2819">
        <f>TEXT(B2819,"YYYY-MM")</f>
        <v/>
      </c>
    </row>
    <row r="2820">
      <c r="A2820" t="inlineStr">
        <is>
          <t>LD-302818</t>
        </is>
      </c>
      <c r="B2820" t="inlineStr">
        <is>
          <t>2025-01-20 11:59:00</t>
        </is>
      </c>
      <c r="C2820" t="inlineStr">
        <is>
          <t>Paid Search</t>
        </is>
      </c>
      <c r="D2820" t="inlineStr">
        <is>
          <t>Language Learning</t>
        </is>
      </c>
      <c r="E2820" t="inlineStr">
        <is>
          <t>West Region</t>
        </is>
      </c>
      <c r="F2820" t="inlineStr">
        <is>
          <t>Rep_08</t>
        </is>
      </c>
      <c r="G2820" t="n">
        <v>2.14</v>
      </c>
      <c r="H2820" t="inlineStr">
        <is>
          <t>Closed</t>
        </is>
      </c>
      <c r="I2820" t="inlineStr">
        <is>
          <t>Won</t>
        </is>
      </c>
      <c r="K2820" t="n">
        <v>361.89</v>
      </c>
      <c r="L2820" t="inlineStr">
        <is>
          <t>2025-02-18 12:51:20.418953</t>
        </is>
      </c>
      <c r="M2820">
        <f>VLOOKUP(H2820,'Stage Order'!$A$2:$B$8,2,FALSE)</f>
        <v/>
      </c>
      <c r="N2820">
        <f>IF(G2820&lt;=1,"1. Under 1 hour",IF(G2820&lt;=24,"2. 1-24 hours",IF(G2820&lt;=72,"3. 1-3 days","4. Over 3 days")))</f>
        <v/>
      </c>
      <c r="O2820">
        <f>TEXT(B2820,"YYYY-MM")</f>
        <v/>
      </c>
    </row>
    <row r="2821">
      <c r="A2821" t="inlineStr">
        <is>
          <t>LD-302819</t>
        </is>
      </c>
      <c r="B2821" t="inlineStr">
        <is>
          <t>2025-08-07 11:15:00</t>
        </is>
      </c>
      <c r="C2821" t="inlineStr">
        <is>
          <t>Partner Channel</t>
        </is>
      </c>
      <c r="D2821" t="inlineStr">
        <is>
          <t>Language Learning</t>
        </is>
      </c>
      <c r="E2821" t="inlineStr">
        <is>
          <t>South Region</t>
        </is>
      </c>
      <c r="F2821" t="inlineStr">
        <is>
          <t>Rep_07</t>
        </is>
      </c>
      <c r="G2821" t="n">
        <v>2.01</v>
      </c>
      <c r="H2821" t="inlineStr">
        <is>
          <t>Contacted</t>
        </is>
      </c>
      <c r="I2821" t="inlineStr">
        <is>
          <t>Open</t>
        </is>
      </c>
      <c r="M2821">
        <f>VLOOKUP(H2821,'Stage Order'!$A$2:$B$8,2,FALSE)</f>
        <v/>
      </c>
      <c r="N2821">
        <f>IF(G2821&lt;=1,"1. Under 1 hour",IF(G2821&lt;=24,"2. 1-24 hours",IF(G2821&lt;=72,"3. 1-3 days","4. Over 3 days")))</f>
        <v/>
      </c>
      <c r="O2821">
        <f>TEXT(B2821,"YYYY-MM")</f>
        <v/>
      </c>
    </row>
    <row r="2822">
      <c r="A2822" t="inlineStr">
        <is>
          <t>LD-302820</t>
        </is>
      </c>
      <c r="B2822" t="inlineStr">
        <is>
          <t>2026-04-22 08:52:00</t>
        </is>
      </c>
      <c r="C2822" t="inlineStr">
        <is>
          <t>Social Media</t>
        </is>
      </c>
      <c r="D2822" t="inlineStr">
        <is>
          <t>Coding for Kids</t>
        </is>
      </c>
      <c r="E2822" t="inlineStr">
        <is>
          <t>North Region</t>
        </is>
      </c>
      <c r="F2822" t="inlineStr">
        <is>
          <t>Rep_06</t>
        </is>
      </c>
      <c r="G2822" t="n">
        <v>1.73</v>
      </c>
      <c r="H2822" t="inlineStr">
        <is>
          <t>Contacted</t>
        </is>
      </c>
      <c r="I2822" t="inlineStr">
        <is>
          <t>Open</t>
        </is>
      </c>
      <c r="M2822">
        <f>VLOOKUP(H2822,'Stage Order'!$A$2:$B$8,2,FALSE)</f>
        <v/>
      </c>
      <c r="N2822">
        <f>IF(G2822&lt;=1,"1. Under 1 hour",IF(G2822&lt;=24,"2. 1-24 hours",IF(G2822&lt;=72,"3. 1-3 days","4. Over 3 days")))</f>
        <v/>
      </c>
      <c r="O2822">
        <f>TEXT(B2822,"YYYY-MM")</f>
        <v/>
      </c>
    </row>
    <row r="2823">
      <c r="A2823" t="inlineStr">
        <is>
          <t>LD-302821</t>
        </is>
      </c>
      <c r="B2823" t="inlineStr">
        <is>
          <t>2025-05-30 14:29:00</t>
        </is>
      </c>
      <c r="C2823" t="inlineStr">
        <is>
          <t>Referral</t>
        </is>
      </c>
      <c r="D2823" t="inlineStr">
        <is>
          <t>Study Abroad Prep</t>
        </is>
      </c>
      <c r="E2823" t="inlineStr">
        <is>
          <t>South Region</t>
        </is>
      </c>
      <c r="F2823" t="inlineStr">
        <is>
          <t>Rep_12</t>
        </is>
      </c>
      <c r="G2823" t="n">
        <v>3.86</v>
      </c>
      <c r="H2823" t="inlineStr">
        <is>
          <t>Demo Completed</t>
        </is>
      </c>
      <c r="I2823" t="inlineStr">
        <is>
          <t>Lost</t>
        </is>
      </c>
      <c r="J2823" t="inlineStr">
        <is>
          <t>Price Objection</t>
        </is>
      </c>
      <c r="K2823" t="n">
        <v>1614.16</v>
      </c>
      <c r="L2823" t="inlineStr">
        <is>
          <t>2025-06-24 08:04:14.798217</t>
        </is>
      </c>
      <c r="M2823">
        <f>VLOOKUP(H2823,'Stage Order'!$A$2:$B$8,2,FALSE)</f>
        <v/>
      </c>
      <c r="N2823">
        <f>IF(G2823&lt;=1,"1. Under 1 hour",IF(G2823&lt;=24,"2. 1-24 hours",IF(G2823&lt;=72,"3. 1-3 days","4. Over 3 days")))</f>
        <v/>
      </c>
      <c r="O2823">
        <f>TEXT(B2823,"YYYY-MM")</f>
        <v/>
      </c>
    </row>
    <row r="2824">
      <c r="A2824" t="inlineStr">
        <is>
          <t>LD-302822</t>
        </is>
      </c>
      <c r="B2824" t="inlineStr">
        <is>
          <t>2025-08-22 13:50:00</t>
        </is>
      </c>
      <c r="C2824" t="inlineStr">
        <is>
          <t>Organic Search</t>
        </is>
      </c>
      <c r="D2824" t="inlineStr">
        <is>
          <t>Coding for Kids</t>
        </is>
      </c>
      <c r="E2824" t="inlineStr">
        <is>
          <t>International</t>
        </is>
      </c>
      <c r="F2824" t="inlineStr">
        <is>
          <t>Rep_15</t>
        </is>
      </c>
      <c r="G2824" t="n">
        <v>1.66</v>
      </c>
      <c r="H2824" t="inlineStr">
        <is>
          <t>Negotiation</t>
        </is>
      </c>
      <c r="I2824" t="inlineStr">
        <is>
          <t>Lost</t>
        </is>
      </c>
      <c r="J2824" t="inlineStr">
        <is>
          <t>Bad Timing</t>
        </is>
      </c>
      <c r="K2824" t="n">
        <v>641.6799999999999</v>
      </c>
      <c r="L2824" t="inlineStr">
        <is>
          <t>2025-09-18 22:59:44.613583</t>
        </is>
      </c>
      <c r="M2824">
        <f>VLOOKUP(H2824,'Stage Order'!$A$2:$B$8,2,FALSE)</f>
        <v/>
      </c>
      <c r="N2824">
        <f>IF(G2824&lt;=1,"1. Under 1 hour",IF(G2824&lt;=24,"2. 1-24 hours",IF(G2824&lt;=72,"3. 1-3 days","4. Over 3 days")))</f>
        <v/>
      </c>
      <c r="O2824">
        <f>TEXT(B2824,"YYYY-MM")</f>
        <v/>
      </c>
    </row>
    <row r="2825">
      <c r="A2825" t="inlineStr">
        <is>
          <t>LD-302823</t>
        </is>
      </c>
      <c r="B2825" t="inlineStr">
        <is>
          <t>2025-08-18 12:33:00</t>
        </is>
      </c>
      <c r="C2825" t="inlineStr">
        <is>
          <t>Organic Search</t>
        </is>
      </c>
      <c r="D2825" t="inlineStr">
        <is>
          <t>K-12 Math</t>
        </is>
      </c>
      <c r="E2825" t="inlineStr">
        <is>
          <t>West Region</t>
        </is>
      </c>
      <c r="F2825" t="inlineStr">
        <is>
          <t>Rep_08</t>
        </is>
      </c>
      <c r="G2825" t="n">
        <v>0.9</v>
      </c>
      <c r="H2825" t="inlineStr">
        <is>
          <t>Contacted</t>
        </is>
      </c>
      <c r="I2825" t="inlineStr">
        <is>
          <t>Open</t>
        </is>
      </c>
      <c r="M2825">
        <f>VLOOKUP(H2825,'Stage Order'!$A$2:$B$8,2,FALSE)</f>
        <v/>
      </c>
      <c r="N2825">
        <f>IF(G2825&lt;=1,"1. Under 1 hour",IF(G2825&lt;=24,"2. 1-24 hours",IF(G2825&lt;=72,"3. 1-3 days","4. Over 3 days")))</f>
        <v/>
      </c>
      <c r="O2825">
        <f>TEXT(B2825,"YYYY-MM")</f>
        <v/>
      </c>
    </row>
    <row r="2826">
      <c r="A2826" t="inlineStr">
        <is>
          <t>LD-302824</t>
        </is>
      </c>
      <c r="B2826" t="inlineStr">
        <is>
          <t>2026-06-24 16:53:00</t>
        </is>
      </c>
      <c r="C2826" t="inlineStr">
        <is>
          <t>Paid Search</t>
        </is>
      </c>
      <c r="D2826" t="inlineStr">
        <is>
          <t>Coding for Kids</t>
        </is>
      </c>
      <c r="E2826" t="inlineStr">
        <is>
          <t>South Region</t>
        </is>
      </c>
      <c r="F2826" t="inlineStr">
        <is>
          <t>Rep_12</t>
        </is>
      </c>
      <c r="G2826" t="n">
        <v>3.94</v>
      </c>
      <c r="H2826" t="inlineStr">
        <is>
          <t>Lead</t>
        </is>
      </c>
      <c r="I2826" t="inlineStr">
        <is>
          <t>Open</t>
        </is>
      </c>
      <c r="M2826">
        <f>VLOOKUP(H2826,'Stage Order'!$A$2:$B$8,2,FALSE)</f>
        <v/>
      </c>
      <c r="N2826">
        <f>IF(G2826&lt;=1,"1. Under 1 hour",IF(G2826&lt;=24,"2. 1-24 hours",IF(G2826&lt;=72,"3. 1-3 days","4. Over 3 days")))</f>
        <v/>
      </c>
      <c r="O2826">
        <f>TEXT(B2826,"YYYY-MM")</f>
        <v/>
      </c>
    </row>
    <row r="2827">
      <c r="A2827" t="inlineStr">
        <is>
          <t>LD-302825</t>
        </is>
      </c>
      <c r="B2827" t="inlineStr">
        <is>
          <t>2026-03-03 12:39:00</t>
        </is>
      </c>
      <c r="C2827" t="inlineStr">
        <is>
          <t>Social Media</t>
        </is>
      </c>
      <c r="D2827" t="inlineStr">
        <is>
          <t>Coding for Kids</t>
        </is>
      </c>
      <c r="E2827" t="inlineStr">
        <is>
          <t>West Region</t>
        </is>
      </c>
      <c r="F2827" t="inlineStr">
        <is>
          <t>Rep_08</t>
        </is>
      </c>
      <c r="G2827" t="n">
        <v>1.49</v>
      </c>
      <c r="H2827" t="inlineStr">
        <is>
          <t>Proposal Sent</t>
        </is>
      </c>
      <c r="I2827" t="inlineStr">
        <is>
          <t>Lost</t>
        </is>
      </c>
      <c r="J2827" t="inlineStr">
        <is>
          <t>Bad Timing</t>
        </is>
      </c>
      <c r="K2827" t="n">
        <v>562.12</v>
      </c>
      <c r="L2827" t="inlineStr">
        <is>
          <t>2026-04-14 22:27:55.150239</t>
        </is>
      </c>
      <c r="M2827">
        <f>VLOOKUP(H2827,'Stage Order'!$A$2:$B$8,2,FALSE)</f>
        <v/>
      </c>
      <c r="N2827">
        <f>IF(G2827&lt;=1,"1. Under 1 hour",IF(G2827&lt;=24,"2. 1-24 hours",IF(G2827&lt;=72,"3. 1-3 days","4. Over 3 days")))</f>
        <v/>
      </c>
      <c r="O2827">
        <f>TEXT(B2827,"YYYY-MM")</f>
        <v/>
      </c>
    </row>
    <row r="2828">
      <c r="A2828" t="inlineStr">
        <is>
          <t>LD-302826</t>
        </is>
      </c>
      <c r="B2828" t="inlineStr">
        <is>
          <t>2026-06-26 14:06:00</t>
        </is>
      </c>
      <c r="C2828" t="inlineStr">
        <is>
          <t>Organic Search</t>
        </is>
      </c>
      <c r="D2828" t="inlineStr">
        <is>
          <t>K-12 Math</t>
        </is>
      </c>
      <c r="E2828" t="inlineStr">
        <is>
          <t>North Region</t>
        </is>
      </c>
      <c r="F2828" t="inlineStr">
        <is>
          <t>Rep_06</t>
        </is>
      </c>
      <c r="G2828" t="n">
        <v>3.31</v>
      </c>
      <c r="H2828" t="inlineStr">
        <is>
          <t>Demo Scheduled</t>
        </is>
      </c>
      <c r="I2828" t="inlineStr">
        <is>
          <t>Open</t>
        </is>
      </c>
      <c r="M2828">
        <f>VLOOKUP(H2828,'Stage Order'!$A$2:$B$8,2,FALSE)</f>
        <v/>
      </c>
      <c r="N2828">
        <f>IF(G2828&lt;=1,"1. Under 1 hour",IF(G2828&lt;=24,"2. 1-24 hours",IF(G2828&lt;=72,"3. 1-3 days","4. Over 3 days")))</f>
        <v/>
      </c>
      <c r="O2828">
        <f>TEXT(B2828,"YYYY-MM")</f>
        <v/>
      </c>
    </row>
    <row r="2829">
      <c r="A2829" t="inlineStr">
        <is>
          <t>LD-302827</t>
        </is>
      </c>
      <c r="B2829" t="inlineStr">
        <is>
          <t>2025-05-28 12:55:00</t>
        </is>
      </c>
      <c r="C2829" t="inlineStr">
        <is>
          <t>Partner Channel</t>
        </is>
      </c>
      <c r="D2829" t="inlineStr">
        <is>
          <t>Coding for Kids</t>
        </is>
      </c>
      <c r="E2829" t="inlineStr">
        <is>
          <t>West Region</t>
        </is>
      </c>
      <c r="F2829" t="inlineStr">
        <is>
          <t>Rep_03</t>
        </is>
      </c>
      <c r="G2829" t="n">
        <v>1.37</v>
      </c>
      <c r="H2829" t="inlineStr">
        <is>
          <t>Contacted</t>
        </is>
      </c>
      <c r="I2829" t="inlineStr">
        <is>
          <t>Open</t>
        </is>
      </c>
      <c r="M2829">
        <f>VLOOKUP(H2829,'Stage Order'!$A$2:$B$8,2,FALSE)</f>
        <v/>
      </c>
      <c r="N2829">
        <f>IF(G2829&lt;=1,"1. Under 1 hour",IF(G2829&lt;=24,"2. 1-24 hours",IF(G2829&lt;=72,"3. 1-3 days","4. Over 3 days")))</f>
        <v/>
      </c>
      <c r="O2829">
        <f>TEXT(B2829,"YYYY-MM")</f>
        <v/>
      </c>
    </row>
    <row r="2830">
      <c r="A2830" t="inlineStr">
        <is>
          <t>LD-302828</t>
        </is>
      </c>
      <c r="B2830" t="inlineStr">
        <is>
          <t>2025-12-02 11:26:00</t>
        </is>
      </c>
      <c r="C2830" t="inlineStr">
        <is>
          <t>Webinar</t>
        </is>
      </c>
      <c r="D2830" t="inlineStr">
        <is>
          <t>Coding for Kids</t>
        </is>
      </c>
      <c r="E2830" t="inlineStr">
        <is>
          <t>North Region</t>
        </is>
      </c>
      <c r="F2830" t="inlineStr">
        <is>
          <t>Rep_11</t>
        </is>
      </c>
      <c r="G2830" t="n">
        <v>2.17</v>
      </c>
      <c r="H2830" t="inlineStr">
        <is>
          <t>Contacted</t>
        </is>
      </c>
      <c r="I2830" t="inlineStr">
        <is>
          <t>Open</t>
        </is>
      </c>
      <c r="M2830">
        <f>VLOOKUP(H2830,'Stage Order'!$A$2:$B$8,2,FALSE)</f>
        <v/>
      </c>
      <c r="N2830">
        <f>IF(G2830&lt;=1,"1. Under 1 hour",IF(G2830&lt;=24,"2. 1-24 hours",IF(G2830&lt;=72,"3. 1-3 days","4. Over 3 days")))</f>
        <v/>
      </c>
      <c r="O2830">
        <f>TEXT(B2830,"YYYY-MM")</f>
        <v/>
      </c>
    </row>
    <row r="2831">
      <c r="A2831" t="inlineStr">
        <is>
          <t>LD-302829</t>
        </is>
      </c>
      <c r="B2831" t="inlineStr">
        <is>
          <t>2026-06-01 20:55:00</t>
        </is>
      </c>
      <c r="C2831" t="inlineStr">
        <is>
          <t>Organic Search</t>
        </is>
      </c>
      <c r="D2831" t="inlineStr">
        <is>
          <t>Competitive Exam Prep</t>
        </is>
      </c>
      <c r="E2831" t="inlineStr">
        <is>
          <t>South Region</t>
        </is>
      </c>
      <c r="F2831" t="inlineStr">
        <is>
          <t>Rep_12</t>
        </is>
      </c>
      <c r="G2831" t="n">
        <v>0.76</v>
      </c>
      <c r="H2831" t="inlineStr">
        <is>
          <t>Contacted</t>
        </is>
      </c>
      <c r="I2831" t="inlineStr">
        <is>
          <t>Open</t>
        </is>
      </c>
      <c r="M2831">
        <f>VLOOKUP(H2831,'Stage Order'!$A$2:$B$8,2,FALSE)</f>
        <v/>
      </c>
      <c r="N2831">
        <f>IF(G2831&lt;=1,"1. Under 1 hour",IF(G2831&lt;=24,"2. 1-24 hours",IF(G2831&lt;=72,"3. 1-3 days","4. Over 3 days")))</f>
        <v/>
      </c>
      <c r="O2831">
        <f>TEXT(B2831,"YYYY-MM")</f>
        <v/>
      </c>
    </row>
    <row r="2832">
      <c r="A2832" t="inlineStr">
        <is>
          <t>LD-302830</t>
        </is>
      </c>
      <c r="B2832" t="inlineStr">
        <is>
          <t>2025-02-26 18:18:00</t>
        </is>
      </c>
      <c r="C2832" t="inlineStr">
        <is>
          <t>Webinar</t>
        </is>
      </c>
      <c r="D2832" t="inlineStr">
        <is>
          <t>Competitive Exam Prep</t>
        </is>
      </c>
      <c r="E2832" t="inlineStr">
        <is>
          <t>West Region</t>
        </is>
      </c>
      <c r="F2832" t="inlineStr">
        <is>
          <t>Rep_08</t>
        </is>
      </c>
      <c r="G2832" t="n">
        <v>6.02</v>
      </c>
      <c r="H2832" t="inlineStr">
        <is>
          <t>Contacted</t>
        </is>
      </c>
      <c r="I2832" t="inlineStr">
        <is>
          <t>Open</t>
        </is>
      </c>
      <c r="M2832">
        <f>VLOOKUP(H2832,'Stage Order'!$A$2:$B$8,2,FALSE)</f>
        <v/>
      </c>
      <c r="N2832">
        <f>IF(G2832&lt;=1,"1. Under 1 hour",IF(G2832&lt;=24,"2. 1-24 hours",IF(G2832&lt;=72,"3. 1-3 days","4. Over 3 days")))</f>
        <v/>
      </c>
      <c r="O2832">
        <f>TEXT(B2832,"YYYY-MM")</f>
        <v/>
      </c>
    </row>
    <row r="2833">
      <c r="A2833" t="inlineStr">
        <is>
          <t>LD-302831</t>
        </is>
      </c>
      <c r="B2833" t="inlineStr">
        <is>
          <t>2025-05-28 09:18:00</t>
        </is>
      </c>
      <c r="C2833" t="inlineStr">
        <is>
          <t>Partner Channel</t>
        </is>
      </c>
      <c r="D2833" t="inlineStr">
        <is>
          <t>Study Abroad Prep</t>
        </is>
      </c>
      <c r="E2833" t="inlineStr">
        <is>
          <t>North Region</t>
        </is>
      </c>
      <c r="F2833" t="inlineStr">
        <is>
          <t>Rep_06</t>
        </is>
      </c>
      <c r="G2833" t="n">
        <v>4.77</v>
      </c>
      <c r="H2833" t="inlineStr">
        <is>
          <t>Lead</t>
        </is>
      </c>
      <c r="I2833" t="inlineStr">
        <is>
          <t>Open</t>
        </is>
      </c>
      <c r="M2833">
        <f>VLOOKUP(H2833,'Stage Order'!$A$2:$B$8,2,FALSE)</f>
        <v/>
      </c>
      <c r="N2833">
        <f>IF(G2833&lt;=1,"1. Under 1 hour",IF(G2833&lt;=24,"2. 1-24 hours",IF(G2833&lt;=72,"3. 1-3 days","4. Over 3 days")))</f>
        <v/>
      </c>
      <c r="O2833">
        <f>TEXT(B2833,"YYYY-MM")</f>
        <v/>
      </c>
    </row>
    <row r="2834">
      <c r="A2834" t="inlineStr">
        <is>
          <t>LD-302832</t>
        </is>
      </c>
      <c r="B2834" t="inlineStr">
        <is>
          <t>2025-03-17 16:45:00</t>
        </is>
      </c>
      <c r="C2834" t="inlineStr">
        <is>
          <t>Social Media</t>
        </is>
      </c>
      <c r="D2834" t="inlineStr">
        <is>
          <t>Competitive Exam Prep</t>
        </is>
      </c>
      <c r="E2834" t="inlineStr">
        <is>
          <t>North Region</t>
        </is>
      </c>
      <c r="F2834" t="inlineStr">
        <is>
          <t>Rep_06</t>
        </is>
      </c>
      <c r="G2834" t="n">
        <v>6.74</v>
      </c>
      <c r="H2834" t="inlineStr">
        <is>
          <t>Contacted</t>
        </is>
      </c>
      <c r="I2834" t="inlineStr">
        <is>
          <t>Open</t>
        </is>
      </c>
      <c r="M2834">
        <f>VLOOKUP(H2834,'Stage Order'!$A$2:$B$8,2,FALSE)</f>
        <v/>
      </c>
      <c r="N2834">
        <f>IF(G2834&lt;=1,"1. Under 1 hour",IF(G2834&lt;=24,"2. 1-24 hours",IF(G2834&lt;=72,"3. 1-3 days","4. Over 3 days")))</f>
        <v/>
      </c>
      <c r="O2834">
        <f>TEXT(B2834,"YYYY-MM")</f>
        <v/>
      </c>
    </row>
    <row r="2835">
      <c r="A2835" t="inlineStr">
        <is>
          <t>LD-302833</t>
        </is>
      </c>
      <c r="B2835" t="inlineStr">
        <is>
          <t>2025-09-29 08:44:00</t>
        </is>
      </c>
      <c r="C2835" t="inlineStr">
        <is>
          <t>Webinar</t>
        </is>
      </c>
      <c r="D2835" t="inlineStr">
        <is>
          <t>Competitive Exam Prep</t>
        </is>
      </c>
      <c r="E2835" t="inlineStr">
        <is>
          <t>South Region</t>
        </is>
      </c>
      <c r="F2835" t="inlineStr">
        <is>
          <t>Rep_02</t>
        </is>
      </c>
      <c r="G2835" t="n">
        <v>2.2</v>
      </c>
      <c r="H2835" t="inlineStr">
        <is>
          <t>Negotiation</t>
        </is>
      </c>
      <c r="I2835" t="inlineStr">
        <is>
          <t>Lost</t>
        </is>
      </c>
      <c r="J2835" t="inlineStr">
        <is>
          <t>Price Objection</t>
        </is>
      </c>
      <c r="K2835" t="n">
        <v>1051.28</v>
      </c>
      <c r="L2835" t="inlineStr">
        <is>
          <t>2025-11-09 09:32:13.380354</t>
        </is>
      </c>
      <c r="M2835">
        <f>VLOOKUP(H2835,'Stage Order'!$A$2:$B$8,2,FALSE)</f>
        <v/>
      </c>
      <c r="N2835">
        <f>IF(G2835&lt;=1,"1. Under 1 hour",IF(G2835&lt;=24,"2. 1-24 hours",IF(G2835&lt;=72,"3. 1-3 days","4. Over 3 days")))</f>
        <v/>
      </c>
      <c r="O2835">
        <f>TEXT(B2835,"YYYY-MM")</f>
        <v/>
      </c>
    </row>
    <row r="2836">
      <c r="A2836" t="inlineStr">
        <is>
          <t>LD-302834</t>
        </is>
      </c>
      <c r="B2836" t="inlineStr">
        <is>
          <t>2025-08-09 20:55:00</t>
        </is>
      </c>
      <c r="C2836" t="inlineStr">
        <is>
          <t>Cold Outreach</t>
        </is>
      </c>
      <c r="D2836" t="inlineStr">
        <is>
          <t>Language Learning</t>
        </is>
      </c>
      <c r="E2836" t="inlineStr">
        <is>
          <t>East Region</t>
        </is>
      </c>
      <c r="F2836" t="inlineStr">
        <is>
          <t>Rep_04</t>
        </is>
      </c>
      <c r="G2836" t="n">
        <v>17.96</v>
      </c>
      <c r="H2836" t="inlineStr">
        <is>
          <t>Lead</t>
        </is>
      </c>
      <c r="I2836" t="inlineStr">
        <is>
          <t>Open</t>
        </is>
      </c>
      <c r="M2836">
        <f>VLOOKUP(H2836,'Stage Order'!$A$2:$B$8,2,FALSE)</f>
        <v/>
      </c>
      <c r="N2836">
        <f>IF(G2836&lt;=1,"1. Under 1 hour",IF(G2836&lt;=24,"2. 1-24 hours",IF(G2836&lt;=72,"3. 1-3 days","4. Over 3 days")))</f>
        <v/>
      </c>
      <c r="O2836">
        <f>TEXT(B2836,"YYYY-MM")</f>
        <v/>
      </c>
    </row>
    <row r="2837">
      <c r="A2837" t="inlineStr">
        <is>
          <t>LD-302835</t>
        </is>
      </c>
      <c r="B2837" t="inlineStr">
        <is>
          <t>2025-05-07 16:32:00</t>
        </is>
      </c>
      <c r="C2837" t="inlineStr">
        <is>
          <t>Organic Search</t>
        </is>
      </c>
      <c r="D2837" t="inlineStr">
        <is>
          <t>K-12 Math</t>
        </is>
      </c>
      <c r="E2837" t="inlineStr">
        <is>
          <t>West Region</t>
        </is>
      </c>
      <c r="F2837" t="inlineStr">
        <is>
          <t>Rep_03</t>
        </is>
      </c>
      <c r="G2837" t="n">
        <v>5.66</v>
      </c>
      <c r="H2837" t="inlineStr">
        <is>
          <t>Negotiation</t>
        </is>
      </c>
      <c r="I2837" t="inlineStr">
        <is>
          <t>Lost</t>
        </is>
      </c>
      <c r="J2837" t="inlineStr">
        <is>
          <t>Went With Competitor</t>
        </is>
      </c>
      <c r="K2837" t="n">
        <v>595.88</v>
      </c>
      <c r="L2837" t="inlineStr">
        <is>
          <t>2025-06-01 02:28:43.996091</t>
        </is>
      </c>
      <c r="M2837">
        <f>VLOOKUP(H2837,'Stage Order'!$A$2:$B$8,2,FALSE)</f>
        <v/>
      </c>
      <c r="N2837">
        <f>IF(G2837&lt;=1,"1. Under 1 hour",IF(G2837&lt;=24,"2. 1-24 hours",IF(G2837&lt;=72,"3. 1-3 days","4. Over 3 days")))</f>
        <v/>
      </c>
      <c r="O2837">
        <f>TEXT(B2837,"YYYY-MM")</f>
        <v/>
      </c>
    </row>
    <row r="2838">
      <c r="A2838" t="inlineStr">
        <is>
          <t>LD-302836</t>
        </is>
      </c>
      <c r="B2838" t="inlineStr">
        <is>
          <t>2026-03-12 10:55:00</t>
        </is>
      </c>
      <c r="C2838" t="inlineStr">
        <is>
          <t>Webinar</t>
        </is>
      </c>
      <c r="D2838" t="inlineStr">
        <is>
          <t>K-12 Math</t>
        </is>
      </c>
      <c r="E2838" t="inlineStr">
        <is>
          <t>North Region</t>
        </is>
      </c>
      <c r="F2838" t="inlineStr">
        <is>
          <t>Rep_11</t>
        </is>
      </c>
      <c r="G2838" t="n">
        <v>1.52</v>
      </c>
      <c r="H2838" t="inlineStr">
        <is>
          <t>Contacted</t>
        </is>
      </c>
      <c r="I2838" t="inlineStr">
        <is>
          <t>Open</t>
        </is>
      </c>
      <c r="M2838">
        <f>VLOOKUP(H2838,'Stage Order'!$A$2:$B$8,2,FALSE)</f>
        <v/>
      </c>
      <c r="N2838">
        <f>IF(G2838&lt;=1,"1. Under 1 hour",IF(G2838&lt;=24,"2. 1-24 hours",IF(G2838&lt;=72,"3. 1-3 days","4. Over 3 days")))</f>
        <v/>
      </c>
      <c r="O2838">
        <f>TEXT(B2838,"YYYY-MM")</f>
        <v/>
      </c>
    </row>
    <row r="2839">
      <c r="A2839" t="inlineStr">
        <is>
          <t>LD-302837</t>
        </is>
      </c>
      <c r="B2839" t="inlineStr">
        <is>
          <t>2025-02-19 09:06:00</t>
        </is>
      </c>
      <c r="C2839" t="inlineStr">
        <is>
          <t>Cold Outreach</t>
        </is>
      </c>
      <c r="D2839" t="inlineStr">
        <is>
          <t>Language Learning</t>
        </is>
      </c>
      <c r="E2839" t="inlineStr">
        <is>
          <t>South Region</t>
        </is>
      </c>
      <c r="F2839" t="inlineStr">
        <is>
          <t>Rep_12</t>
        </is>
      </c>
      <c r="G2839" t="n">
        <v>2.93</v>
      </c>
      <c r="H2839" t="inlineStr">
        <is>
          <t>Contacted</t>
        </is>
      </c>
      <c r="I2839" t="inlineStr">
        <is>
          <t>Open</t>
        </is>
      </c>
      <c r="M2839">
        <f>VLOOKUP(H2839,'Stage Order'!$A$2:$B$8,2,FALSE)</f>
        <v/>
      </c>
      <c r="N2839">
        <f>IF(G2839&lt;=1,"1. Under 1 hour",IF(G2839&lt;=24,"2. 1-24 hours",IF(G2839&lt;=72,"3. 1-3 days","4. Over 3 days")))</f>
        <v/>
      </c>
      <c r="O2839">
        <f>TEXT(B2839,"YYYY-MM")</f>
        <v/>
      </c>
    </row>
    <row r="2840">
      <c r="A2840" t="inlineStr">
        <is>
          <t>LD-302838</t>
        </is>
      </c>
      <c r="B2840" t="inlineStr">
        <is>
          <t>2025-04-28 08:19:00</t>
        </is>
      </c>
      <c r="C2840" t="inlineStr">
        <is>
          <t>Organic Search</t>
        </is>
      </c>
      <c r="D2840" t="inlineStr">
        <is>
          <t>Competitive Exam Prep</t>
        </is>
      </c>
      <c r="E2840" t="inlineStr">
        <is>
          <t>West Region</t>
        </is>
      </c>
      <c r="F2840" t="inlineStr">
        <is>
          <t>Rep_13</t>
        </is>
      </c>
      <c r="G2840" t="n">
        <v>8.289999999999999</v>
      </c>
      <c r="H2840" t="inlineStr">
        <is>
          <t>Contacted</t>
        </is>
      </c>
      <c r="I2840" t="inlineStr">
        <is>
          <t>Open</t>
        </is>
      </c>
      <c r="M2840">
        <f>VLOOKUP(H2840,'Stage Order'!$A$2:$B$8,2,FALSE)</f>
        <v/>
      </c>
      <c r="N2840">
        <f>IF(G2840&lt;=1,"1. Under 1 hour",IF(G2840&lt;=24,"2. 1-24 hours",IF(G2840&lt;=72,"3. 1-3 days","4. Over 3 days")))</f>
        <v/>
      </c>
      <c r="O2840">
        <f>TEXT(B2840,"YYYY-MM")</f>
        <v/>
      </c>
    </row>
    <row r="2841">
      <c r="A2841" t="inlineStr">
        <is>
          <t>LD-302839</t>
        </is>
      </c>
      <c r="B2841" t="inlineStr">
        <is>
          <t>2026-01-07 08:59:00</t>
        </is>
      </c>
      <c r="C2841" t="inlineStr">
        <is>
          <t>Referral</t>
        </is>
      </c>
      <c r="D2841" t="inlineStr">
        <is>
          <t>K-12 Math</t>
        </is>
      </c>
      <c r="E2841" t="inlineStr">
        <is>
          <t>International</t>
        </is>
      </c>
      <c r="F2841" t="inlineStr">
        <is>
          <t>Rep_10</t>
        </is>
      </c>
      <c r="G2841" t="n">
        <v>1.35</v>
      </c>
      <c r="H2841" t="inlineStr">
        <is>
          <t>Negotiation</t>
        </is>
      </c>
      <c r="I2841" t="inlineStr">
        <is>
          <t>Lost</t>
        </is>
      </c>
      <c r="J2841" t="inlineStr">
        <is>
          <t>Price Objection</t>
        </is>
      </c>
      <c r="K2841" t="n">
        <v>469.34</v>
      </c>
      <c r="L2841" t="inlineStr">
        <is>
          <t>2026-02-21 23:57:53.930477</t>
        </is>
      </c>
      <c r="M2841">
        <f>VLOOKUP(H2841,'Stage Order'!$A$2:$B$8,2,FALSE)</f>
        <v/>
      </c>
      <c r="N2841">
        <f>IF(G2841&lt;=1,"1. Under 1 hour",IF(G2841&lt;=24,"2. 1-24 hours",IF(G2841&lt;=72,"3. 1-3 days","4. Over 3 days")))</f>
        <v/>
      </c>
      <c r="O2841">
        <f>TEXT(B2841,"YYYY-MM")</f>
        <v/>
      </c>
    </row>
    <row r="2842">
      <c r="A2842" t="inlineStr">
        <is>
          <t>LD-302840</t>
        </is>
      </c>
      <c r="B2842" t="inlineStr">
        <is>
          <t>2025-09-24 08:07:00</t>
        </is>
      </c>
      <c r="C2842" t="inlineStr">
        <is>
          <t>Organic Search</t>
        </is>
      </c>
      <c r="D2842" t="inlineStr">
        <is>
          <t>Coding for Kids</t>
        </is>
      </c>
      <c r="E2842" t="inlineStr">
        <is>
          <t>East Region</t>
        </is>
      </c>
      <c r="F2842" t="inlineStr">
        <is>
          <t>Rep_04</t>
        </is>
      </c>
      <c r="G2842" t="n">
        <v>8.25</v>
      </c>
      <c r="H2842" t="inlineStr">
        <is>
          <t>Proposal Sent</t>
        </is>
      </c>
      <c r="I2842" t="inlineStr">
        <is>
          <t>Lost</t>
        </is>
      </c>
      <c r="J2842" t="inlineStr">
        <is>
          <t>Went With Competitor</t>
        </is>
      </c>
      <c r="K2842" t="n">
        <v>725.98</v>
      </c>
      <c r="L2842" t="inlineStr">
        <is>
          <t>2025-10-19 17:46:00.473807</t>
        </is>
      </c>
      <c r="M2842">
        <f>VLOOKUP(H2842,'Stage Order'!$A$2:$B$8,2,FALSE)</f>
        <v/>
      </c>
      <c r="N2842">
        <f>IF(G2842&lt;=1,"1. Under 1 hour",IF(G2842&lt;=24,"2. 1-24 hours",IF(G2842&lt;=72,"3. 1-3 days","4. Over 3 days")))</f>
        <v/>
      </c>
      <c r="O2842">
        <f>TEXT(B2842,"YYYY-MM")</f>
        <v/>
      </c>
    </row>
    <row r="2843">
      <c r="A2843" t="inlineStr">
        <is>
          <t>LD-302841</t>
        </is>
      </c>
      <c r="B2843" t="inlineStr">
        <is>
          <t>2026-06-01 11:06:00</t>
        </is>
      </c>
      <c r="C2843" t="inlineStr">
        <is>
          <t>Paid Search</t>
        </is>
      </c>
      <c r="D2843" t="inlineStr">
        <is>
          <t>Coding for Kids</t>
        </is>
      </c>
      <c r="E2843" t="inlineStr">
        <is>
          <t>West Region</t>
        </is>
      </c>
      <c r="F2843" t="inlineStr">
        <is>
          <t>Rep_08</t>
        </is>
      </c>
      <c r="G2843" t="n">
        <v>4.87</v>
      </c>
      <c r="H2843" t="inlineStr">
        <is>
          <t>Contacted</t>
        </is>
      </c>
      <c r="I2843" t="inlineStr">
        <is>
          <t>Open</t>
        </is>
      </c>
      <c r="M2843">
        <f>VLOOKUP(H2843,'Stage Order'!$A$2:$B$8,2,FALSE)</f>
        <v/>
      </c>
      <c r="N2843">
        <f>IF(G2843&lt;=1,"1. Under 1 hour",IF(G2843&lt;=24,"2. 1-24 hours",IF(G2843&lt;=72,"3. 1-3 days","4. Over 3 days")))</f>
        <v/>
      </c>
      <c r="O2843">
        <f>TEXT(B2843,"YYYY-MM")</f>
        <v/>
      </c>
    </row>
    <row r="2844">
      <c r="A2844" t="inlineStr">
        <is>
          <t>LD-302842</t>
        </is>
      </c>
      <c r="B2844" t="inlineStr">
        <is>
          <t>2025-02-18 16:02:00</t>
        </is>
      </c>
      <c r="C2844" t="inlineStr">
        <is>
          <t>Webinar</t>
        </is>
      </c>
      <c r="D2844" t="inlineStr">
        <is>
          <t>Language Learning</t>
        </is>
      </c>
      <c r="E2844" t="inlineStr">
        <is>
          <t>South Region</t>
        </is>
      </c>
      <c r="F2844" t="inlineStr">
        <is>
          <t>Rep_02</t>
        </is>
      </c>
      <c r="G2844" t="n">
        <v>0.6</v>
      </c>
      <c r="H2844" t="inlineStr">
        <is>
          <t>Closed</t>
        </is>
      </c>
      <c r="I2844" t="inlineStr">
        <is>
          <t>Won</t>
        </is>
      </c>
      <c r="K2844" t="n">
        <v>397.29</v>
      </c>
      <c r="L2844" t="inlineStr">
        <is>
          <t>2025-03-27 21:37:12.922280</t>
        </is>
      </c>
      <c r="M2844">
        <f>VLOOKUP(H2844,'Stage Order'!$A$2:$B$8,2,FALSE)</f>
        <v/>
      </c>
      <c r="N2844">
        <f>IF(G2844&lt;=1,"1. Under 1 hour",IF(G2844&lt;=24,"2. 1-24 hours",IF(G2844&lt;=72,"3. 1-3 days","4. Over 3 days")))</f>
        <v/>
      </c>
      <c r="O2844">
        <f>TEXT(B2844,"YYYY-MM")</f>
        <v/>
      </c>
    </row>
    <row r="2845">
      <c r="A2845" t="inlineStr">
        <is>
          <t>LD-302843</t>
        </is>
      </c>
      <c r="B2845" t="inlineStr">
        <is>
          <t>2025-04-19 07:20:00</t>
        </is>
      </c>
      <c r="C2845" t="inlineStr">
        <is>
          <t>Referral</t>
        </is>
      </c>
      <c r="D2845" t="inlineStr">
        <is>
          <t>Coding for Kids</t>
        </is>
      </c>
      <c r="E2845" t="inlineStr">
        <is>
          <t>North Region</t>
        </is>
      </c>
      <c r="F2845" t="inlineStr">
        <is>
          <t>Rep_11</t>
        </is>
      </c>
      <c r="G2845" t="n">
        <v>34.12</v>
      </c>
      <c r="H2845" t="inlineStr">
        <is>
          <t>Closed</t>
        </is>
      </c>
      <c r="I2845" t="inlineStr">
        <is>
          <t>Won</t>
        </is>
      </c>
      <c r="K2845" t="n">
        <v>712.74</v>
      </c>
      <c r="L2845" t="inlineStr">
        <is>
          <t>2025-05-30 10:34:34.855731</t>
        </is>
      </c>
      <c r="M2845">
        <f>VLOOKUP(H2845,'Stage Order'!$A$2:$B$8,2,FALSE)</f>
        <v/>
      </c>
      <c r="N2845">
        <f>IF(G2845&lt;=1,"1. Under 1 hour",IF(G2845&lt;=24,"2. 1-24 hours",IF(G2845&lt;=72,"3. 1-3 days","4. Over 3 days")))</f>
        <v/>
      </c>
      <c r="O2845">
        <f>TEXT(B2845,"YYYY-MM")</f>
        <v/>
      </c>
    </row>
    <row r="2846">
      <c r="A2846" t="inlineStr">
        <is>
          <t>LD-302844</t>
        </is>
      </c>
      <c r="B2846" t="inlineStr">
        <is>
          <t>2025-10-31 16:22:00</t>
        </is>
      </c>
      <c r="C2846" t="inlineStr">
        <is>
          <t>Organic Search</t>
        </is>
      </c>
      <c r="D2846" t="inlineStr">
        <is>
          <t>Competitive Exam Prep</t>
        </is>
      </c>
      <c r="E2846" t="inlineStr">
        <is>
          <t>South Region</t>
        </is>
      </c>
      <c r="F2846" t="inlineStr">
        <is>
          <t>Rep_07</t>
        </is>
      </c>
      <c r="G2846" t="n">
        <v>7.98</v>
      </c>
      <c r="H2846" t="inlineStr">
        <is>
          <t>Contacted</t>
        </is>
      </c>
      <c r="I2846" t="inlineStr">
        <is>
          <t>Open</t>
        </is>
      </c>
      <c r="M2846">
        <f>VLOOKUP(H2846,'Stage Order'!$A$2:$B$8,2,FALSE)</f>
        <v/>
      </c>
      <c r="N2846">
        <f>IF(G2846&lt;=1,"1. Under 1 hour",IF(G2846&lt;=24,"2. 1-24 hours",IF(G2846&lt;=72,"3. 1-3 days","4. Over 3 days")))</f>
        <v/>
      </c>
      <c r="O2846">
        <f>TEXT(B2846,"YYYY-MM")</f>
        <v/>
      </c>
    </row>
    <row r="2847">
      <c r="A2847" t="inlineStr">
        <is>
          <t>LD-302845</t>
        </is>
      </c>
      <c r="B2847" t="inlineStr">
        <is>
          <t>2025-01-26 13:30:00</t>
        </is>
      </c>
      <c r="C2847" t="inlineStr">
        <is>
          <t>Organic Search</t>
        </is>
      </c>
      <c r="D2847" t="inlineStr">
        <is>
          <t>Competitive Exam Prep</t>
        </is>
      </c>
      <c r="E2847" t="inlineStr">
        <is>
          <t>North Region</t>
        </is>
      </c>
      <c r="F2847" t="inlineStr">
        <is>
          <t>Rep_01</t>
        </is>
      </c>
      <c r="G2847" t="n">
        <v>3.49</v>
      </c>
      <c r="H2847" t="inlineStr">
        <is>
          <t>Contacted</t>
        </is>
      </c>
      <c r="I2847" t="inlineStr">
        <is>
          <t>Open</t>
        </is>
      </c>
      <c r="M2847">
        <f>VLOOKUP(H2847,'Stage Order'!$A$2:$B$8,2,FALSE)</f>
        <v/>
      </c>
      <c r="N2847">
        <f>IF(G2847&lt;=1,"1. Under 1 hour",IF(G2847&lt;=24,"2. 1-24 hours",IF(G2847&lt;=72,"3. 1-3 days","4. Over 3 days")))</f>
        <v/>
      </c>
      <c r="O2847">
        <f>TEXT(B2847,"YYYY-MM")</f>
        <v/>
      </c>
    </row>
    <row r="2848">
      <c r="A2848" t="inlineStr">
        <is>
          <t>LD-302846</t>
        </is>
      </c>
      <c r="B2848" t="inlineStr">
        <is>
          <t>2025-02-05 19:48:00</t>
        </is>
      </c>
      <c r="C2848" t="inlineStr">
        <is>
          <t>Partner Channel</t>
        </is>
      </c>
      <c r="D2848" t="inlineStr">
        <is>
          <t>Competitive Exam Prep</t>
        </is>
      </c>
      <c r="E2848" t="inlineStr">
        <is>
          <t>International</t>
        </is>
      </c>
      <c r="F2848" t="inlineStr">
        <is>
          <t>Rep_10</t>
        </is>
      </c>
      <c r="G2848" t="n">
        <v>1.43</v>
      </c>
      <c r="H2848" t="inlineStr">
        <is>
          <t>Proposal Sent</t>
        </is>
      </c>
      <c r="I2848" t="inlineStr">
        <is>
          <t>Lost</t>
        </is>
      </c>
      <c r="J2848" t="inlineStr">
        <is>
          <t>No Response / Ghosted</t>
        </is>
      </c>
      <c r="K2848" t="n">
        <v>1181.56</v>
      </c>
      <c r="L2848" t="inlineStr">
        <is>
          <t>2025-03-17 01:49:34.945588</t>
        </is>
      </c>
      <c r="M2848">
        <f>VLOOKUP(H2848,'Stage Order'!$A$2:$B$8,2,FALSE)</f>
        <v/>
      </c>
      <c r="N2848">
        <f>IF(G2848&lt;=1,"1. Under 1 hour",IF(G2848&lt;=24,"2. 1-24 hours",IF(G2848&lt;=72,"3. 1-3 days","4. Over 3 days")))</f>
        <v/>
      </c>
      <c r="O2848">
        <f>TEXT(B2848,"YYYY-MM")</f>
        <v/>
      </c>
    </row>
    <row r="2849">
      <c r="A2849" t="inlineStr">
        <is>
          <t>LD-302847</t>
        </is>
      </c>
      <c r="B2849" t="inlineStr">
        <is>
          <t>2025-12-02 13:39:00</t>
        </is>
      </c>
      <c r="C2849" t="inlineStr">
        <is>
          <t>Partner Channel</t>
        </is>
      </c>
      <c r="D2849" t="inlineStr">
        <is>
          <t>Competitive Exam Prep</t>
        </is>
      </c>
      <c r="E2849" t="inlineStr">
        <is>
          <t>South Region</t>
        </is>
      </c>
      <c r="F2849" t="inlineStr">
        <is>
          <t>Rep_12</t>
        </is>
      </c>
      <c r="G2849" t="n">
        <v>2.02</v>
      </c>
      <c r="H2849" t="inlineStr">
        <is>
          <t>Demo Completed</t>
        </is>
      </c>
      <c r="I2849" t="inlineStr">
        <is>
          <t>Lost</t>
        </is>
      </c>
      <c r="J2849" t="inlineStr">
        <is>
          <t>Budget Not Approved</t>
        </is>
      </c>
      <c r="K2849" t="n">
        <v>1085.29</v>
      </c>
      <c r="L2849" t="inlineStr">
        <is>
          <t>2025-12-28 10:49:56.580862</t>
        </is>
      </c>
      <c r="M2849">
        <f>VLOOKUP(H2849,'Stage Order'!$A$2:$B$8,2,FALSE)</f>
        <v/>
      </c>
      <c r="N2849">
        <f>IF(G2849&lt;=1,"1. Under 1 hour",IF(G2849&lt;=24,"2. 1-24 hours",IF(G2849&lt;=72,"3. 1-3 days","4. Over 3 days")))</f>
        <v/>
      </c>
      <c r="O2849">
        <f>TEXT(B2849,"YYYY-MM")</f>
        <v/>
      </c>
    </row>
    <row r="2850">
      <c r="A2850" t="inlineStr">
        <is>
          <t>LD-302848</t>
        </is>
      </c>
      <c r="B2850" t="inlineStr">
        <is>
          <t>2025-06-06 11:31:00</t>
        </is>
      </c>
      <c r="C2850" t="inlineStr">
        <is>
          <t>Referral</t>
        </is>
      </c>
      <c r="D2850" t="inlineStr">
        <is>
          <t>K-12 Math</t>
        </is>
      </c>
      <c r="E2850" t="inlineStr">
        <is>
          <t>North Region</t>
        </is>
      </c>
      <c r="F2850" t="inlineStr">
        <is>
          <t>Rep_11</t>
        </is>
      </c>
      <c r="G2850" t="n">
        <v>3.42</v>
      </c>
      <c r="H2850" t="inlineStr">
        <is>
          <t>Contacted</t>
        </is>
      </c>
      <c r="I2850" t="inlineStr">
        <is>
          <t>Open</t>
        </is>
      </c>
      <c r="M2850">
        <f>VLOOKUP(H2850,'Stage Order'!$A$2:$B$8,2,FALSE)</f>
        <v/>
      </c>
      <c r="N2850">
        <f>IF(G2850&lt;=1,"1. Under 1 hour",IF(G2850&lt;=24,"2. 1-24 hours",IF(G2850&lt;=72,"3. 1-3 days","4. Over 3 days")))</f>
        <v/>
      </c>
      <c r="O2850">
        <f>TEXT(B2850,"YYYY-MM")</f>
        <v/>
      </c>
    </row>
    <row r="2851">
      <c r="A2851" t="inlineStr">
        <is>
          <t>LD-302849</t>
        </is>
      </c>
      <c r="B2851" t="inlineStr">
        <is>
          <t>2025-09-19 13:10:00</t>
        </is>
      </c>
      <c r="C2851" t="inlineStr">
        <is>
          <t>Cold Outreach</t>
        </is>
      </c>
      <c r="D2851" t="inlineStr">
        <is>
          <t>K-12 Math</t>
        </is>
      </c>
      <c r="E2851" t="inlineStr">
        <is>
          <t>South Region</t>
        </is>
      </c>
      <c r="F2851" t="inlineStr">
        <is>
          <t>Rep_12</t>
        </is>
      </c>
      <c r="G2851" t="n">
        <v>1.64</v>
      </c>
      <c r="H2851" t="inlineStr">
        <is>
          <t>Lead</t>
        </is>
      </c>
      <c r="I2851" t="inlineStr">
        <is>
          <t>Open</t>
        </is>
      </c>
      <c r="M2851">
        <f>VLOOKUP(H2851,'Stage Order'!$A$2:$B$8,2,FALSE)</f>
        <v/>
      </c>
      <c r="N2851">
        <f>IF(G2851&lt;=1,"1. Under 1 hour",IF(G2851&lt;=24,"2. 1-24 hours",IF(G2851&lt;=72,"3. 1-3 days","4. Over 3 days")))</f>
        <v/>
      </c>
      <c r="O2851">
        <f>TEXT(B2851,"YYYY-MM")</f>
        <v/>
      </c>
    </row>
    <row r="2852">
      <c r="A2852" t="inlineStr">
        <is>
          <t>LD-302850</t>
        </is>
      </c>
      <c r="B2852" t="inlineStr">
        <is>
          <t>2025-01-13 09:29:00</t>
        </is>
      </c>
      <c r="C2852" t="inlineStr">
        <is>
          <t>Referral</t>
        </is>
      </c>
      <c r="D2852" t="inlineStr">
        <is>
          <t>Coding for Kids</t>
        </is>
      </c>
      <c r="E2852" t="inlineStr">
        <is>
          <t>North Region</t>
        </is>
      </c>
      <c r="F2852" t="inlineStr">
        <is>
          <t>Rep_06</t>
        </is>
      </c>
      <c r="G2852" t="n">
        <v>5.33</v>
      </c>
      <c r="H2852" t="inlineStr">
        <is>
          <t>Demo Completed</t>
        </is>
      </c>
      <c r="I2852" t="inlineStr">
        <is>
          <t>Lost</t>
        </is>
      </c>
      <c r="J2852" t="inlineStr">
        <is>
          <t>Went With Competitor</t>
        </is>
      </c>
      <c r="K2852" t="n">
        <v>726.26</v>
      </c>
      <c r="L2852" t="inlineStr">
        <is>
          <t>2025-02-01 09:51:03.700802</t>
        </is>
      </c>
      <c r="M2852">
        <f>VLOOKUP(H2852,'Stage Order'!$A$2:$B$8,2,FALSE)</f>
        <v/>
      </c>
      <c r="N2852">
        <f>IF(G2852&lt;=1,"1. Under 1 hour",IF(G2852&lt;=24,"2. 1-24 hours",IF(G2852&lt;=72,"3. 1-3 days","4. Over 3 days")))</f>
        <v/>
      </c>
      <c r="O2852">
        <f>TEXT(B2852,"YYYY-MM")</f>
        <v/>
      </c>
    </row>
    <row r="2853">
      <c r="A2853" t="inlineStr">
        <is>
          <t>LD-302851</t>
        </is>
      </c>
      <c r="B2853" t="inlineStr">
        <is>
          <t>2026-04-10 15:26:00</t>
        </is>
      </c>
      <c r="C2853" t="inlineStr">
        <is>
          <t>Partner Channel</t>
        </is>
      </c>
      <c r="D2853" t="inlineStr">
        <is>
          <t>Competitive Exam Prep</t>
        </is>
      </c>
      <c r="E2853" t="inlineStr">
        <is>
          <t>South Region</t>
        </is>
      </c>
      <c r="F2853" t="inlineStr">
        <is>
          <t>Rep_07</t>
        </is>
      </c>
      <c r="G2853" t="n">
        <v>3.1</v>
      </c>
      <c r="H2853" t="inlineStr">
        <is>
          <t>Closed</t>
        </is>
      </c>
      <c r="I2853" t="inlineStr">
        <is>
          <t>Won</t>
        </is>
      </c>
      <c r="K2853" t="n">
        <v>1183.14</v>
      </c>
      <c r="L2853" t="inlineStr">
        <is>
          <t>2026-05-15 20:52:30.389782</t>
        </is>
      </c>
      <c r="M2853">
        <f>VLOOKUP(H2853,'Stage Order'!$A$2:$B$8,2,FALSE)</f>
        <v/>
      </c>
      <c r="N2853">
        <f>IF(G2853&lt;=1,"1. Under 1 hour",IF(G2853&lt;=24,"2. 1-24 hours",IF(G2853&lt;=72,"3. 1-3 days","4. Over 3 days")))</f>
        <v/>
      </c>
      <c r="O2853">
        <f>TEXT(B2853,"YYYY-MM")</f>
        <v/>
      </c>
    </row>
    <row r="2854">
      <c r="A2854" t="inlineStr">
        <is>
          <t>LD-302852</t>
        </is>
      </c>
      <c r="B2854" t="inlineStr">
        <is>
          <t>2025-09-12 18:50:00</t>
        </is>
      </c>
      <c r="C2854" t="inlineStr">
        <is>
          <t>Organic Search</t>
        </is>
      </c>
      <c r="D2854" t="inlineStr">
        <is>
          <t>Coding for Kids</t>
        </is>
      </c>
      <c r="E2854" t="inlineStr">
        <is>
          <t>West Region</t>
        </is>
      </c>
      <c r="F2854" t="inlineStr">
        <is>
          <t>Rep_08</t>
        </is>
      </c>
      <c r="G2854" t="n">
        <v>5.97</v>
      </c>
      <c r="H2854" t="inlineStr">
        <is>
          <t>Contacted</t>
        </is>
      </c>
      <c r="I2854" t="inlineStr">
        <is>
          <t>Open</t>
        </is>
      </c>
      <c r="M2854">
        <f>VLOOKUP(H2854,'Stage Order'!$A$2:$B$8,2,FALSE)</f>
        <v/>
      </c>
      <c r="N2854">
        <f>IF(G2854&lt;=1,"1. Under 1 hour",IF(G2854&lt;=24,"2. 1-24 hours",IF(G2854&lt;=72,"3. 1-3 days","4. Over 3 days")))</f>
        <v/>
      </c>
      <c r="O2854">
        <f>TEXT(B2854,"YYYY-MM")</f>
        <v/>
      </c>
    </row>
    <row r="2855">
      <c r="A2855" t="inlineStr">
        <is>
          <t>LD-302853</t>
        </is>
      </c>
      <c r="B2855" t="inlineStr">
        <is>
          <t>2026-04-12 09:31:00</t>
        </is>
      </c>
      <c r="C2855" t="inlineStr">
        <is>
          <t>Paid Search</t>
        </is>
      </c>
      <c r="D2855" t="inlineStr">
        <is>
          <t>Study Abroad Prep</t>
        </is>
      </c>
      <c r="E2855" t="inlineStr">
        <is>
          <t>East Region</t>
        </is>
      </c>
      <c r="F2855" t="inlineStr">
        <is>
          <t>Rep_04</t>
        </is>
      </c>
      <c r="G2855" t="n">
        <v>7.76</v>
      </c>
      <c r="H2855" t="inlineStr">
        <is>
          <t>Lead</t>
        </is>
      </c>
      <c r="I2855" t="inlineStr">
        <is>
          <t>Open</t>
        </is>
      </c>
      <c r="M2855">
        <f>VLOOKUP(H2855,'Stage Order'!$A$2:$B$8,2,FALSE)</f>
        <v/>
      </c>
      <c r="N2855">
        <f>IF(G2855&lt;=1,"1. Under 1 hour",IF(G2855&lt;=24,"2. 1-24 hours",IF(G2855&lt;=72,"3. 1-3 days","4. Over 3 days")))</f>
        <v/>
      </c>
      <c r="O2855">
        <f>TEXT(B2855,"YYYY-MM")</f>
        <v/>
      </c>
    </row>
    <row r="2856">
      <c r="A2856" t="inlineStr">
        <is>
          <t>LD-302854</t>
        </is>
      </c>
      <c r="B2856" t="inlineStr">
        <is>
          <t>2025-04-25 08:09:00</t>
        </is>
      </c>
      <c r="C2856" t="inlineStr">
        <is>
          <t>Paid Search</t>
        </is>
      </c>
      <c r="D2856" t="inlineStr">
        <is>
          <t>Study Abroad Prep</t>
        </is>
      </c>
      <c r="E2856" t="inlineStr">
        <is>
          <t>East Region</t>
        </is>
      </c>
      <c r="F2856" t="inlineStr">
        <is>
          <t>Rep_04</t>
        </is>
      </c>
      <c r="G2856" t="n">
        <v>1.38</v>
      </c>
      <c r="H2856" t="inlineStr">
        <is>
          <t>Contacted</t>
        </is>
      </c>
      <c r="I2856" t="inlineStr">
        <is>
          <t>Open</t>
        </is>
      </c>
      <c r="M2856">
        <f>VLOOKUP(H2856,'Stage Order'!$A$2:$B$8,2,FALSE)</f>
        <v/>
      </c>
      <c r="N2856">
        <f>IF(G2856&lt;=1,"1. Under 1 hour",IF(G2856&lt;=24,"2. 1-24 hours",IF(G2856&lt;=72,"3. 1-3 days","4. Over 3 days")))</f>
        <v/>
      </c>
      <c r="O2856">
        <f>TEXT(B2856,"YYYY-MM")</f>
        <v/>
      </c>
    </row>
    <row r="2857">
      <c r="A2857" t="inlineStr">
        <is>
          <t>LD-302855</t>
        </is>
      </c>
      <c r="B2857" t="inlineStr">
        <is>
          <t>2025-03-28 20:28:00</t>
        </is>
      </c>
      <c r="C2857" t="inlineStr">
        <is>
          <t>Referral</t>
        </is>
      </c>
      <c r="D2857" t="inlineStr">
        <is>
          <t>Coding for Kids</t>
        </is>
      </c>
      <c r="E2857" t="inlineStr">
        <is>
          <t>North Region</t>
        </is>
      </c>
      <c r="F2857" t="inlineStr">
        <is>
          <t>Rep_11</t>
        </is>
      </c>
      <c r="G2857" t="n">
        <v>2.23</v>
      </c>
      <c r="H2857" t="inlineStr">
        <is>
          <t>Proposal Sent</t>
        </is>
      </c>
      <c r="I2857" t="inlineStr">
        <is>
          <t>Lost</t>
        </is>
      </c>
      <c r="J2857" t="inlineStr">
        <is>
          <t>No Response / Ghosted</t>
        </is>
      </c>
      <c r="K2857" t="n">
        <v>684.17</v>
      </c>
      <c r="L2857" t="inlineStr">
        <is>
          <t>2025-05-11 02:37:28.494989</t>
        </is>
      </c>
      <c r="M2857">
        <f>VLOOKUP(H2857,'Stage Order'!$A$2:$B$8,2,FALSE)</f>
        <v/>
      </c>
      <c r="N2857">
        <f>IF(G2857&lt;=1,"1. Under 1 hour",IF(G2857&lt;=24,"2. 1-24 hours",IF(G2857&lt;=72,"3. 1-3 days","4. Over 3 days")))</f>
        <v/>
      </c>
      <c r="O2857">
        <f>TEXT(B2857,"YYYY-MM")</f>
        <v/>
      </c>
    </row>
    <row r="2858">
      <c r="A2858" t="inlineStr">
        <is>
          <t>LD-302856</t>
        </is>
      </c>
      <c r="B2858" t="inlineStr">
        <is>
          <t>2025-03-07 15:22:00</t>
        </is>
      </c>
      <c r="C2858" t="inlineStr">
        <is>
          <t>Organic Search</t>
        </is>
      </c>
      <c r="D2858" t="inlineStr">
        <is>
          <t>Competitive Exam Prep</t>
        </is>
      </c>
      <c r="E2858" t="inlineStr">
        <is>
          <t>South Region</t>
        </is>
      </c>
      <c r="F2858" t="inlineStr">
        <is>
          <t>Rep_02</t>
        </is>
      </c>
      <c r="G2858" t="n">
        <v>7.82</v>
      </c>
      <c r="H2858" t="inlineStr">
        <is>
          <t>Proposal Sent</t>
        </is>
      </c>
      <c r="I2858" t="inlineStr">
        <is>
          <t>Lost</t>
        </is>
      </c>
      <c r="J2858" t="inlineStr">
        <is>
          <t>Price Objection</t>
        </is>
      </c>
      <c r="K2858" t="n">
        <v>819.09</v>
      </c>
      <c r="L2858" t="inlineStr">
        <is>
          <t>2025-03-30 17:02:03.298739</t>
        </is>
      </c>
      <c r="M2858">
        <f>VLOOKUP(H2858,'Stage Order'!$A$2:$B$8,2,FALSE)</f>
        <v/>
      </c>
      <c r="N2858">
        <f>IF(G2858&lt;=1,"1. Under 1 hour",IF(G2858&lt;=24,"2. 1-24 hours",IF(G2858&lt;=72,"3. 1-3 days","4. Over 3 days")))</f>
        <v/>
      </c>
      <c r="O2858">
        <f>TEXT(B2858,"YYYY-MM")</f>
        <v/>
      </c>
    </row>
    <row r="2859">
      <c r="A2859" t="inlineStr">
        <is>
          <t>LD-302857</t>
        </is>
      </c>
      <c r="B2859" t="inlineStr">
        <is>
          <t>2026-01-21 11:28:00</t>
        </is>
      </c>
      <c r="C2859" t="inlineStr">
        <is>
          <t>Organic Search</t>
        </is>
      </c>
      <c r="D2859" t="inlineStr">
        <is>
          <t>K-12 Math</t>
        </is>
      </c>
      <c r="E2859" t="inlineStr">
        <is>
          <t>South Region</t>
        </is>
      </c>
      <c r="F2859" t="inlineStr">
        <is>
          <t>Rep_02</t>
        </is>
      </c>
      <c r="G2859" t="n">
        <v>4.49</v>
      </c>
      <c r="H2859" t="inlineStr">
        <is>
          <t>Contacted</t>
        </is>
      </c>
      <c r="I2859" t="inlineStr">
        <is>
          <t>Open</t>
        </is>
      </c>
      <c r="M2859">
        <f>VLOOKUP(H2859,'Stage Order'!$A$2:$B$8,2,FALSE)</f>
        <v/>
      </c>
      <c r="N2859">
        <f>IF(G2859&lt;=1,"1. Under 1 hour",IF(G2859&lt;=24,"2. 1-24 hours",IF(G2859&lt;=72,"3. 1-3 days","4. Over 3 days")))</f>
        <v/>
      </c>
      <c r="O2859">
        <f>TEXT(B2859,"YYYY-MM")</f>
        <v/>
      </c>
    </row>
    <row r="2860">
      <c r="A2860" t="inlineStr">
        <is>
          <t>LD-302858</t>
        </is>
      </c>
      <c r="B2860" t="inlineStr">
        <is>
          <t>2025-04-06 14:32:00</t>
        </is>
      </c>
      <c r="C2860" t="inlineStr">
        <is>
          <t>Social Media</t>
        </is>
      </c>
      <c r="D2860" t="inlineStr">
        <is>
          <t>Study Abroad Prep</t>
        </is>
      </c>
      <c r="E2860" t="inlineStr">
        <is>
          <t>South Region</t>
        </is>
      </c>
      <c r="F2860" t="inlineStr">
        <is>
          <t>Rep_12</t>
        </is>
      </c>
      <c r="G2860" t="n">
        <v>7.09</v>
      </c>
      <c r="H2860" t="inlineStr">
        <is>
          <t>Contacted</t>
        </is>
      </c>
      <c r="I2860" t="inlineStr">
        <is>
          <t>Open</t>
        </is>
      </c>
      <c r="M2860">
        <f>VLOOKUP(H2860,'Stage Order'!$A$2:$B$8,2,FALSE)</f>
        <v/>
      </c>
      <c r="N2860">
        <f>IF(G2860&lt;=1,"1. Under 1 hour",IF(G2860&lt;=24,"2. 1-24 hours",IF(G2860&lt;=72,"3. 1-3 days","4. Over 3 days")))</f>
        <v/>
      </c>
      <c r="O2860">
        <f>TEXT(B2860,"YYYY-MM")</f>
        <v/>
      </c>
    </row>
    <row r="2861">
      <c r="A2861" t="inlineStr">
        <is>
          <t>LD-302859</t>
        </is>
      </c>
      <c r="B2861" t="inlineStr">
        <is>
          <t>2026-05-04 13:18:00</t>
        </is>
      </c>
      <c r="C2861" t="inlineStr">
        <is>
          <t>Organic Search</t>
        </is>
      </c>
      <c r="D2861" t="inlineStr">
        <is>
          <t>Coding for Kids</t>
        </is>
      </c>
      <c r="E2861" t="inlineStr">
        <is>
          <t>International</t>
        </is>
      </c>
      <c r="F2861" t="inlineStr">
        <is>
          <t>Rep_15</t>
        </is>
      </c>
      <c r="G2861" t="n">
        <v>1.32</v>
      </c>
      <c r="H2861" t="inlineStr">
        <is>
          <t>Contacted</t>
        </is>
      </c>
      <c r="I2861" t="inlineStr">
        <is>
          <t>Open</t>
        </is>
      </c>
      <c r="M2861">
        <f>VLOOKUP(H2861,'Stage Order'!$A$2:$B$8,2,FALSE)</f>
        <v/>
      </c>
      <c r="N2861">
        <f>IF(G2861&lt;=1,"1. Under 1 hour",IF(G2861&lt;=24,"2. 1-24 hours",IF(G2861&lt;=72,"3. 1-3 days","4. Over 3 days")))</f>
        <v/>
      </c>
      <c r="O2861">
        <f>TEXT(B2861,"YYYY-MM")</f>
        <v/>
      </c>
    </row>
    <row r="2862">
      <c r="A2862" t="inlineStr">
        <is>
          <t>LD-302860</t>
        </is>
      </c>
      <c r="B2862" t="inlineStr">
        <is>
          <t>2025-05-22 19:31:00</t>
        </is>
      </c>
      <c r="C2862" t="inlineStr">
        <is>
          <t>Referral</t>
        </is>
      </c>
      <c r="D2862" t="inlineStr">
        <is>
          <t>K-12 Math</t>
        </is>
      </c>
      <c r="E2862" t="inlineStr">
        <is>
          <t>North Region</t>
        </is>
      </c>
      <c r="F2862" t="inlineStr">
        <is>
          <t>Rep_06</t>
        </is>
      </c>
      <c r="G2862" t="n">
        <v>8.029999999999999</v>
      </c>
      <c r="H2862" t="inlineStr">
        <is>
          <t>Negotiation</t>
        </is>
      </c>
      <c r="I2862" t="inlineStr">
        <is>
          <t>Lost</t>
        </is>
      </c>
      <c r="J2862" t="inlineStr">
        <is>
          <t>Budget Not Approved</t>
        </is>
      </c>
      <c r="K2862" t="n">
        <v>446.44</v>
      </c>
      <c r="L2862" t="inlineStr">
        <is>
          <t>2025-06-23 11:55:25.292017</t>
        </is>
      </c>
      <c r="M2862">
        <f>VLOOKUP(H2862,'Stage Order'!$A$2:$B$8,2,FALSE)</f>
        <v/>
      </c>
      <c r="N2862">
        <f>IF(G2862&lt;=1,"1. Under 1 hour",IF(G2862&lt;=24,"2. 1-24 hours",IF(G2862&lt;=72,"3. 1-3 days","4. Over 3 days")))</f>
        <v/>
      </c>
      <c r="O2862">
        <f>TEXT(B2862,"YYYY-MM")</f>
        <v/>
      </c>
    </row>
    <row r="2863">
      <c r="A2863" t="inlineStr">
        <is>
          <t>LD-302861</t>
        </is>
      </c>
      <c r="B2863" t="inlineStr">
        <is>
          <t>2025-06-02 19:10:00</t>
        </is>
      </c>
      <c r="C2863" t="inlineStr">
        <is>
          <t>Organic Search</t>
        </is>
      </c>
      <c r="D2863" t="inlineStr">
        <is>
          <t>K-12 Math</t>
        </is>
      </c>
      <c r="E2863" t="inlineStr">
        <is>
          <t>North Region</t>
        </is>
      </c>
      <c r="F2863" t="inlineStr">
        <is>
          <t>Rep_06</t>
        </is>
      </c>
      <c r="G2863" t="n">
        <v>8.85</v>
      </c>
      <c r="H2863" t="inlineStr">
        <is>
          <t>Contacted</t>
        </is>
      </c>
      <c r="I2863" t="inlineStr">
        <is>
          <t>Open</t>
        </is>
      </c>
      <c r="M2863">
        <f>VLOOKUP(H2863,'Stage Order'!$A$2:$B$8,2,FALSE)</f>
        <v/>
      </c>
      <c r="N2863">
        <f>IF(G2863&lt;=1,"1. Under 1 hour",IF(G2863&lt;=24,"2. 1-24 hours",IF(G2863&lt;=72,"3. 1-3 days","4. Over 3 days")))</f>
        <v/>
      </c>
      <c r="O2863">
        <f>TEXT(B2863,"YYYY-MM")</f>
        <v/>
      </c>
    </row>
    <row r="2864">
      <c r="A2864" t="inlineStr">
        <is>
          <t>LD-302862</t>
        </is>
      </c>
      <c r="B2864" t="inlineStr">
        <is>
          <t>2026-05-08 12:38:00</t>
        </is>
      </c>
      <c r="C2864" t="inlineStr">
        <is>
          <t>Social Media</t>
        </is>
      </c>
      <c r="D2864" t="inlineStr">
        <is>
          <t>Language Learning</t>
        </is>
      </c>
      <c r="E2864" t="inlineStr">
        <is>
          <t>North Region</t>
        </is>
      </c>
      <c r="F2864" t="inlineStr">
        <is>
          <t>Rep_11</t>
        </is>
      </c>
      <c r="G2864" t="n">
        <v>8.039999999999999</v>
      </c>
      <c r="H2864" t="inlineStr">
        <is>
          <t>Lead</t>
        </is>
      </c>
      <c r="I2864" t="inlineStr">
        <is>
          <t>Open</t>
        </is>
      </c>
      <c r="M2864">
        <f>VLOOKUP(H2864,'Stage Order'!$A$2:$B$8,2,FALSE)</f>
        <v/>
      </c>
      <c r="N2864">
        <f>IF(G2864&lt;=1,"1. Under 1 hour",IF(G2864&lt;=24,"2. 1-24 hours",IF(G2864&lt;=72,"3. 1-3 days","4. Over 3 days")))</f>
        <v/>
      </c>
      <c r="O2864">
        <f>TEXT(B2864,"YYYY-MM")</f>
        <v/>
      </c>
    </row>
    <row r="2865">
      <c r="A2865" t="inlineStr">
        <is>
          <t>LD-302863</t>
        </is>
      </c>
      <c r="B2865" t="inlineStr">
        <is>
          <t>2025-06-16 09:46:00</t>
        </is>
      </c>
      <c r="C2865" t="inlineStr">
        <is>
          <t>Paid Search</t>
        </is>
      </c>
      <c r="D2865" t="inlineStr">
        <is>
          <t>K-12 Math</t>
        </is>
      </c>
      <c r="E2865" t="inlineStr">
        <is>
          <t>East Region</t>
        </is>
      </c>
      <c r="F2865" t="inlineStr">
        <is>
          <t>Rep_09</t>
        </is>
      </c>
      <c r="G2865" t="n">
        <v>2.61</v>
      </c>
      <c r="H2865" t="inlineStr">
        <is>
          <t>Lead</t>
        </is>
      </c>
      <c r="I2865" t="inlineStr">
        <is>
          <t>Open</t>
        </is>
      </c>
      <c r="M2865">
        <f>VLOOKUP(H2865,'Stage Order'!$A$2:$B$8,2,FALSE)</f>
        <v/>
      </c>
      <c r="N2865">
        <f>IF(G2865&lt;=1,"1. Under 1 hour",IF(G2865&lt;=24,"2. 1-24 hours",IF(G2865&lt;=72,"3. 1-3 days","4. Over 3 days")))</f>
        <v/>
      </c>
      <c r="O2865">
        <f>TEXT(B2865,"YYYY-MM")</f>
        <v/>
      </c>
    </row>
    <row r="2866">
      <c r="A2866" t="inlineStr">
        <is>
          <t>LD-302864</t>
        </is>
      </c>
      <c r="B2866" t="inlineStr">
        <is>
          <t>2025-03-08 08:05:00</t>
        </is>
      </c>
      <c r="C2866" t="inlineStr">
        <is>
          <t>Organic Search</t>
        </is>
      </c>
      <c r="D2866" t="inlineStr">
        <is>
          <t>Competitive Exam Prep</t>
        </is>
      </c>
      <c r="E2866" t="inlineStr">
        <is>
          <t>International</t>
        </is>
      </c>
      <c r="F2866" t="inlineStr">
        <is>
          <t>Rep_05</t>
        </is>
      </c>
      <c r="G2866" t="n">
        <v>13.82</v>
      </c>
      <c r="H2866" t="inlineStr">
        <is>
          <t>Proposal Sent</t>
        </is>
      </c>
      <c r="I2866" t="inlineStr">
        <is>
          <t>Lost</t>
        </is>
      </c>
      <c r="J2866" t="inlineStr">
        <is>
          <t>Bad Timing</t>
        </is>
      </c>
      <c r="K2866" t="n">
        <v>849.76</v>
      </c>
      <c r="L2866" t="inlineStr">
        <is>
          <t>2025-03-30 21:09:54.868762</t>
        </is>
      </c>
      <c r="M2866">
        <f>VLOOKUP(H2866,'Stage Order'!$A$2:$B$8,2,FALSE)</f>
        <v/>
      </c>
      <c r="N2866">
        <f>IF(G2866&lt;=1,"1. Under 1 hour",IF(G2866&lt;=24,"2. 1-24 hours",IF(G2866&lt;=72,"3. 1-3 days","4. Over 3 days")))</f>
        <v/>
      </c>
      <c r="O2866">
        <f>TEXT(B2866,"YYYY-MM")</f>
        <v/>
      </c>
    </row>
    <row r="2867">
      <c r="A2867" t="inlineStr">
        <is>
          <t>LD-302865</t>
        </is>
      </c>
      <c r="B2867" t="inlineStr">
        <is>
          <t>2025-03-22 12:24:00</t>
        </is>
      </c>
      <c r="C2867" t="inlineStr">
        <is>
          <t>Webinar</t>
        </is>
      </c>
      <c r="D2867" t="inlineStr">
        <is>
          <t>Competitive Exam Prep</t>
        </is>
      </c>
      <c r="E2867" t="inlineStr">
        <is>
          <t>North Region</t>
        </is>
      </c>
      <c r="F2867" t="inlineStr">
        <is>
          <t>Rep_06</t>
        </is>
      </c>
      <c r="G2867" t="n">
        <v>2.47</v>
      </c>
      <c r="H2867" t="inlineStr">
        <is>
          <t>Demo Scheduled</t>
        </is>
      </c>
      <c r="I2867" t="inlineStr">
        <is>
          <t>Open</t>
        </is>
      </c>
      <c r="M2867">
        <f>VLOOKUP(H2867,'Stage Order'!$A$2:$B$8,2,FALSE)</f>
        <v/>
      </c>
      <c r="N2867">
        <f>IF(G2867&lt;=1,"1. Under 1 hour",IF(G2867&lt;=24,"2. 1-24 hours",IF(G2867&lt;=72,"3. 1-3 days","4. Over 3 days")))</f>
        <v/>
      </c>
      <c r="O2867">
        <f>TEXT(B2867,"YYYY-MM")</f>
        <v/>
      </c>
    </row>
    <row r="2868">
      <c r="A2868" t="inlineStr">
        <is>
          <t>LD-302866</t>
        </is>
      </c>
      <c r="B2868" t="inlineStr">
        <is>
          <t>2026-03-01 08:53:00</t>
        </is>
      </c>
      <c r="C2868" t="inlineStr">
        <is>
          <t>Webinar</t>
        </is>
      </c>
      <c r="D2868" t="inlineStr">
        <is>
          <t>Competitive Exam Prep</t>
        </is>
      </c>
      <c r="E2868" t="inlineStr">
        <is>
          <t>East Region</t>
        </is>
      </c>
      <c r="F2868" t="inlineStr">
        <is>
          <t>Rep_04</t>
        </is>
      </c>
      <c r="G2868" t="n">
        <v>1.65</v>
      </c>
      <c r="H2868" t="inlineStr">
        <is>
          <t>Contacted</t>
        </is>
      </c>
      <c r="I2868" t="inlineStr">
        <is>
          <t>Open</t>
        </is>
      </c>
      <c r="M2868">
        <f>VLOOKUP(H2868,'Stage Order'!$A$2:$B$8,2,FALSE)</f>
        <v/>
      </c>
      <c r="N2868">
        <f>IF(G2868&lt;=1,"1. Under 1 hour",IF(G2868&lt;=24,"2. 1-24 hours",IF(G2868&lt;=72,"3. 1-3 days","4. Over 3 days")))</f>
        <v/>
      </c>
      <c r="O2868">
        <f>TEXT(B2868,"YYYY-MM")</f>
        <v/>
      </c>
    </row>
    <row r="2869">
      <c r="A2869" t="inlineStr">
        <is>
          <t>LD-302867</t>
        </is>
      </c>
      <c r="B2869" t="inlineStr">
        <is>
          <t>2025-06-01 17:51:00</t>
        </is>
      </c>
      <c r="C2869" t="inlineStr">
        <is>
          <t>Social Media</t>
        </is>
      </c>
      <c r="D2869" t="inlineStr">
        <is>
          <t>Coding for Kids</t>
        </is>
      </c>
      <c r="E2869" t="inlineStr">
        <is>
          <t>International</t>
        </is>
      </c>
      <c r="F2869" t="inlineStr">
        <is>
          <t>Rep_10</t>
        </is>
      </c>
      <c r="G2869" t="n">
        <v>0.61</v>
      </c>
      <c r="H2869" t="inlineStr">
        <is>
          <t>Contacted</t>
        </is>
      </c>
      <c r="I2869" t="inlineStr">
        <is>
          <t>Open</t>
        </is>
      </c>
      <c r="M2869">
        <f>VLOOKUP(H2869,'Stage Order'!$A$2:$B$8,2,FALSE)</f>
        <v/>
      </c>
      <c r="N2869">
        <f>IF(G2869&lt;=1,"1. Under 1 hour",IF(G2869&lt;=24,"2. 1-24 hours",IF(G2869&lt;=72,"3. 1-3 days","4. Over 3 days")))</f>
        <v/>
      </c>
      <c r="O2869">
        <f>TEXT(B2869,"YYYY-MM")</f>
        <v/>
      </c>
    </row>
    <row r="2870">
      <c r="A2870" t="inlineStr">
        <is>
          <t>LD-302868</t>
        </is>
      </c>
      <c r="B2870" t="inlineStr">
        <is>
          <t>2025-11-07 20:30:00</t>
        </is>
      </c>
      <c r="C2870" t="inlineStr">
        <is>
          <t>Cold Outreach</t>
        </is>
      </c>
      <c r="D2870" t="inlineStr">
        <is>
          <t>Coding for Kids</t>
        </is>
      </c>
      <c r="E2870" t="inlineStr">
        <is>
          <t>West Region</t>
        </is>
      </c>
      <c r="F2870" t="inlineStr">
        <is>
          <t>Rep_03</t>
        </is>
      </c>
      <c r="G2870" t="n">
        <v>10.07</v>
      </c>
      <c r="H2870" t="inlineStr">
        <is>
          <t>Lead</t>
        </is>
      </c>
      <c r="I2870" t="inlineStr">
        <is>
          <t>Open</t>
        </is>
      </c>
      <c r="M2870">
        <f>VLOOKUP(H2870,'Stage Order'!$A$2:$B$8,2,FALSE)</f>
        <v/>
      </c>
      <c r="N2870">
        <f>IF(G2870&lt;=1,"1. Under 1 hour",IF(G2870&lt;=24,"2. 1-24 hours",IF(G2870&lt;=72,"3. 1-3 days","4. Over 3 days")))</f>
        <v/>
      </c>
      <c r="O2870">
        <f>TEXT(B2870,"YYYY-MM")</f>
        <v/>
      </c>
    </row>
    <row r="2871">
      <c r="A2871" t="inlineStr">
        <is>
          <t>LD-302869</t>
        </is>
      </c>
      <c r="B2871" t="inlineStr">
        <is>
          <t>2025-11-27 19:53:00</t>
        </is>
      </c>
      <c r="C2871" t="inlineStr">
        <is>
          <t>Cold Outreach</t>
        </is>
      </c>
      <c r="D2871" t="inlineStr">
        <is>
          <t>Coding for Kids</t>
        </is>
      </c>
      <c r="E2871" t="inlineStr">
        <is>
          <t>South Region</t>
        </is>
      </c>
      <c r="F2871" t="inlineStr">
        <is>
          <t>Rep_12</t>
        </is>
      </c>
      <c r="G2871" t="n">
        <v>3.79</v>
      </c>
      <c r="H2871" t="inlineStr">
        <is>
          <t>Lead</t>
        </is>
      </c>
      <c r="I2871" t="inlineStr">
        <is>
          <t>Open</t>
        </is>
      </c>
      <c r="M2871">
        <f>VLOOKUP(H2871,'Stage Order'!$A$2:$B$8,2,FALSE)</f>
        <v/>
      </c>
      <c r="N2871">
        <f>IF(G2871&lt;=1,"1. Under 1 hour",IF(G2871&lt;=24,"2. 1-24 hours",IF(G2871&lt;=72,"3. 1-3 days","4. Over 3 days")))</f>
        <v/>
      </c>
      <c r="O2871">
        <f>TEXT(B2871,"YYYY-MM")</f>
        <v/>
      </c>
    </row>
    <row r="2872">
      <c r="A2872" t="inlineStr">
        <is>
          <t>LD-302870</t>
        </is>
      </c>
      <c r="B2872" t="inlineStr">
        <is>
          <t>2026-03-17 13:33:00</t>
        </is>
      </c>
      <c r="C2872" t="inlineStr">
        <is>
          <t>Referral</t>
        </is>
      </c>
      <c r="D2872" t="inlineStr">
        <is>
          <t>Study Abroad Prep</t>
        </is>
      </c>
      <c r="E2872" t="inlineStr">
        <is>
          <t>West Region</t>
        </is>
      </c>
      <c r="F2872" t="inlineStr">
        <is>
          <t>Rep_13</t>
        </is>
      </c>
      <c r="G2872" t="n">
        <v>2.43</v>
      </c>
      <c r="H2872" t="inlineStr">
        <is>
          <t>Demo Completed</t>
        </is>
      </c>
      <c r="I2872" t="inlineStr">
        <is>
          <t>Lost</t>
        </is>
      </c>
      <c r="J2872" t="inlineStr">
        <is>
          <t>Bad Timing</t>
        </is>
      </c>
      <c r="K2872" t="n">
        <v>1467.26</v>
      </c>
      <c r="L2872" t="inlineStr">
        <is>
          <t>2026-04-08 09:26:51.670005</t>
        </is>
      </c>
      <c r="M2872">
        <f>VLOOKUP(H2872,'Stage Order'!$A$2:$B$8,2,FALSE)</f>
        <v/>
      </c>
      <c r="N2872">
        <f>IF(G2872&lt;=1,"1. Under 1 hour",IF(G2872&lt;=24,"2. 1-24 hours",IF(G2872&lt;=72,"3. 1-3 days","4. Over 3 days")))</f>
        <v/>
      </c>
      <c r="O2872">
        <f>TEXT(B2872,"YYYY-MM")</f>
        <v/>
      </c>
    </row>
    <row r="2873">
      <c r="A2873" t="inlineStr">
        <is>
          <t>LD-302871</t>
        </is>
      </c>
      <c r="B2873" t="inlineStr">
        <is>
          <t>2025-05-01 20:08:00</t>
        </is>
      </c>
      <c r="C2873" t="inlineStr">
        <is>
          <t>Social Media</t>
        </is>
      </c>
      <c r="D2873" t="inlineStr">
        <is>
          <t>Language Learning</t>
        </is>
      </c>
      <c r="E2873" t="inlineStr">
        <is>
          <t>South Region</t>
        </is>
      </c>
      <c r="F2873" t="inlineStr">
        <is>
          <t>Rep_12</t>
        </is>
      </c>
      <c r="G2873" t="n">
        <v>1.53</v>
      </c>
      <c r="H2873" t="inlineStr">
        <is>
          <t>Contacted</t>
        </is>
      </c>
      <c r="I2873" t="inlineStr">
        <is>
          <t>Open</t>
        </is>
      </c>
      <c r="M2873">
        <f>VLOOKUP(H2873,'Stage Order'!$A$2:$B$8,2,FALSE)</f>
        <v/>
      </c>
      <c r="N2873">
        <f>IF(G2873&lt;=1,"1. Under 1 hour",IF(G2873&lt;=24,"2. 1-24 hours",IF(G2873&lt;=72,"3. 1-3 days","4. Over 3 days")))</f>
        <v/>
      </c>
      <c r="O2873">
        <f>TEXT(B2873,"YYYY-MM")</f>
        <v/>
      </c>
    </row>
    <row r="2874">
      <c r="A2874" t="inlineStr">
        <is>
          <t>LD-302872</t>
        </is>
      </c>
      <c r="B2874" t="inlineStr">
        <is>
          <t>2025-03-07 14:55:00</t>
        </is>
      </c>
      <c r="C2874" t="inlineStr">
        <is>
          <t>Organic Search</t>
        </is>
      </c>
      <c r="D2874" t="inlineStr">
        <is>
          <t>K-12 Math</t>
        </is>
      </c>
      <c r="E2874" t="inlineStr">
        <is>
          <t>North Region</t>
        </is>
      </c>
      <c r="F2874" t="inlineStr">
        <is>
          <t>Rep_01</t>
        </is>
      </c>
      <c r="G2874" t="n">
        <v>3.63</v>
      </c>
      <c r="H2874" t="inlineStr">
        <is>
          <t>Negotiation</t>
        </is>
      </c>
      <c r="I2874" t="inlineStr">
        <is>
          <t>Lost</t>
        </is>
      </c>
      <c r="J2874" t="inlineStr">
        <is>
          <t>Price Objection</t>
        </is>
      </c>
      <c r="K2874" t="n">
        <v>588.21</v>
      </c>
      <c r="L2874" t="inlineStr">
        <is>
          <t>2025-04-03 20:03:47.845237</t>
        </is>
      </c>
      <c r="M2874">
        <f>VLOOKUP(H2874,'Stage Order'!$A$2:$B$8,2,FALSE)</f>
        <v/>
      </c>
      <c r="N2874">
        <f>IF(G2874&lt;=1,"1. Under 1 hour",IF(G2874&lt;=24,"2. 1-24 hours",IF(G2874&lt;=72,"3. 1-3 days","4. Over 3 days")))</f>
        <v/>
      </c>
      <c r="O2874">
        <f>TEXT(B2874,"YYYY-MM")</f>
        <v/>
      </c>
    </row>
    <row r="2875">
      <c r="A2875" t="inlineStr">
        <is>
          <t>LD-302873</t>
        </is>
      </c>
      <c r="B2875" t="inlineStr">
        <is>
          <t>2025-08-25 15:25:00</t>
        </is>
      </c>
      <c r="C2875" t="inlineStr">
        <is>
          <t>Social Media</t>
        </is>
      </c>
      <c r="D2875" t="inlineStr">
        <is>
          <t>Competitive Exam Prep</t>
        </is>
      </c>
      <c r="E2875" t="inlineStr">
        <is>
          <t>East Region</t>
        </is>
      </c>
      <c r="F2875" t="inlineStr">
        <is>
          <t>Rep_04</t>
        </is>
      </c>
      <c r="G2875" t="n">
        <v>1.64</v>
      </c>
      <c r="H2875" t="inlineStr">
        <is>
          <t>Contacted</t>
        </is>
      </c>
      <c r="I2875" t="inlineStr">
        <is>
          <t>Open</t>
        </is>
      </c>
      <c r="M2875">
        <f>VLOOKUP(H2875,'Stage Order'!$A$2:$B$8,2,FALSE)</f>
        <v/>
      </c>
      <c r="N2875">
        <f>IF(G2875&lt;=1,"1. Under 1 hour",IF(G2875&lt;=24,"2. 1-24 hours",IF(G2875&lt;=72,"3. 1-3 days","4. Over 3 days")))</f>
        <v/>
      </c>
      <c r="O2875">
        <f>TEXT(B2875,"YYYY-MM")</f>
        <v/>
      </c>
    </row>
    <row r="2876">
      <c r="A2876" t="inlineStr">
        <is>
          <t>LD-302874</t>
        </is>
      </c>
      <c r="B2876" t="inlineStr">
        <is>
          <t>2025-07-15 11:33:00</t>
        </is>
      </c>
      <c r="C2876" t="inlineStr">
        <is>
          <t>Webinar</t>
        </is>
      </c>
      <c r="D2876" t="inlineStr">
        <is>
          <t>Competitive Exam Prep</t>
        </is>
      </c>
      <c r="E2876" t="inlineStr">
        <is>
          <t>South Region</t>
        </is>
      </c>
      <c r="F2876" t="inlineStr">
        <is>
          <t>Rep_07</t>
        </is>
      </c>
      <c r="G2876" t="n">
        <v>10.25</v>
      </c>
      <c r="H2876" t="inlineStr">
        <is>
          <t>Negotiation</t>
        </is>
      </c>
      <c r="I2876" t="inlineStr">
        <is>
          <t>Lost</t>
        </is>
      </c>
      <c r="J2876" t="inlineStr">
        <is>
          <t>No Response / Ghosted</t>
        </is>
      </c>
      <c r="K2876" t="n">
        <v>1040.1</v>
      </c>
      <c r="L2876" t="inlineStr">
        <is>
          <t>2025-09-07 05:39:56.920475</t>
        </is>
      </c>
      <c r="M2876">
        <f>VLOOKUP(H2876,'Stage Order'!$A$2:$B$8,2,FALSE)</f>
        <v/>
      </c>
      <c r="N2876">
        <f>IF(G2876&lt;=1,"1. Under 1 hour",IF(G2876&lt;=24,"2. 1-24 hours",IF(G2876&lt;=72,"3. 1-3 days","4. Over 3 days")))</f>
        <v/>
      </c>
      <c r="O2876">
        <f>TEXT(B2876,"YYYY-MM")</f>
        <v/>
      </c>
    </row>
    <row r="2877">
      <c r="A2877" t="inlineStr">
        <is>
          <t>LD-302875</t>
        </is>
      </c>
      <c r="B2877" t="inlineStr">
        <is>
          <t>2025-02-01 07:46:00</t>
        </is>
      </c>
      <c r="C2877" t="inlineStr">
        <is>
          <t>Webinar</t>
        </is>
      </c>
      <c r="D2877" t="inlineStr">
        <is>
          <t>Language Learning</t>
        </is>
      </c>
      <c r="E2877" t="inlineStr">
        <is>
          <t>West Region</t>
        </is>
      </c>
      <c r="F2877" t="inlineStr">
        <is>
          <t>Rep_08</t>
        </is>
      </c>
      <c r="G2877" t="n">
        <v>3.15</v>
      </c>
      <c r="H2877" t="inlineStr">
        <is>
          <t>Negotiation</t>
        </is>
      </c>
      <c r="I2877" t="inlineStr">
        <is>
          <t>Lost</t>
        </is>
      </c>
      <c r="J2877" t="inlineStr">
        <is>
          <t>Budget Not Approved</t>
        </is>
      </c>
      <c r="K2877" t="n">
        <v>402.14</v>
      </c>
      <c r="L2877" t="inlineStr">
        <is>
          <t>2025-03-06 23:37:19.492088</t>
        </is>
      </c>
      <c r="M2877">
        <f>VLOOKUP(H2877,'Stage Order'!$A$2:$B$8,2,FALSE)</f>
        <v/>
      </c>
      <c r="N2877">
        <f>IF(G2877&lt;=1,"1. Under 1 hour",IF(G2877&lt;=24,"2. 1-24 hours",IF(G2877&lt;=72,"3. 1-3 days","4. Over 3 days")))</f>
        <v/>
      </c>
      <c r="O2877">
        <f>TEXT(B2877,"YYYY-MM")</f>
        <v/>
      </c>
    </row>
    <row r="2878">
      <c r="A2878" t="inlineStr">
        <is>
          <t>LD-302876</t>
        </is>
      </c>
      <c r="B2878" t="inlineStr">
        <is>
          <t>2025-02-04 20:43:00</t>
        </is>
      </c>
      <c r="C2878" t="inlineStr">
        <is>
          <t>Social Media</t>
        </is>
      </c>
      <c r="D2878" t="inlineStr">
        <is>
          <t>Coding for Kids</t>
        </is>
      </c>
      <c r="E2878" t="inlineStr">
        <is>
          <t>South Region</t>
        </is>
      </c>
      <c r="F2878" t="inlineStr">
        <is>
          <t>Rep_02</t>
        </is>
      </c>
      <c r="G2878" t="n">
        <v>1.02</v>
      </c>
      <c r="H2878" t="inlineStr">
        <is>
          <t>Contacted</t>
        </is>
      </c>
      <c r="I2878" t="inlineStr">
        <is>
          <t>Open</t>
        </is>
      </c>
      <c r="M2878">
        <f>VLOOKUP(H2878,'Stage Order'!$A$2:$B$8,2,FALSE)</f>
        <v/>
      </c>
      <c r="N2878">
        <f>IF(G2878&lt;=1,"1. Under 1 hour",IF(G2878&lt;=24,"2. 1-24 hours",IF(G2878&lt;=72,"3. 1-3 days","4. Over 3 days")))</f>
        <v/>
      </c>
      <c r="O2878">
        <f>TEXT(B2878,"YYYY-MM")</f>
        <v/>
      </c>
    </row>
    <row r="2879">
      <c r="A2879" t="inlineStr">
        <is>
          <t>LD-302877</t>
        </is>
      </c>
      <c r="B2879" t="inlineStr">
        <is>
          <t>2025-12-19 20:41:00</t>
        </is>
      </c>
      <c r="C2879" t="inlineStr">
        <is>
          <t>Paid Search</t>
        </is>
      </c>
      <c r="D2879" t="inlineStr">
        <is>
          <t>Study Abroad Prep</t>
        </is>
      </c>
      <c r="E2879" t="inlineStr">
        <is>
          <t>North Region</t>
        </is>
      </c>
      <c r="F2879" t="inlineStr">
        <is>
          <t>Rep_06</t>
        </is>
      </c>
      <c r="G2879" t="n">
        <v>2.24</v>
      </c>
      <c r="H2879" t="inlineStr">
        <is>
          <t>Contacted</t>
        </is>
      </c>
      <c r="I2879" t="inlineStr">
        <is>
          <t>Open</t>
        </is>
      </c>
      <c r="M2879">
        <f>VLOOKUP(H2879,'Stage Order'!$A$2:$B$8,2,FALSE)</f>
        <v/>
      </c>
      <c r="N2879">
        <f>IF(G2879&lt;=1,"1. Under 1 hour",IF(G2879&lt;=24,"2. 1-24 hours",IF(G2879&lt;=72,"3. 1-3 days","4. Over 3 days")))</f>
        <v/>
      </c>
      <c r="O2879">
        <f>TEXT(B2879,"YYYY-MM")</f>
        <v/>
      </c>
    </row>
    <row r="2880">
      <c r="A2880" t="inlineStr">
        <is>
          <t>LD-302878</t>
        </is>
      </c>
      <c r="B2880" t="inlineStr">
        <is>
          <t>2025-08-06 09:45:00</t>
        </is>
      </c>
      <c r="C2880" t="inlineStr">
        <is>
          <t>Social Media</t>
        </is>
      </c>
      <c r="D2880" t="inlineStr">
        <is>
          <t>K-12 Math</t>
        </is>
      </c>
      <c r="E2880" t="inlineStr">
        <is>
          <t>International</t>
        </is>
      </c>
      <c r="F2880" t="inlineStr">
        <is>
          <t>Rep_05</t>
        </is>
      </c>
      <c r="G2880" t="n">
        <v>3.19</v>
      </c>
      <c r="H2880" t="inlineStr">
        <is>
          <t>Contacted</t>
        </is>
      </c>
      <c r="I2880" t="inlineStr">
        <is>
          <t>Open</t>
        </is>
      </c>
      <c r="M2880">
        <f>VLOOKUP(H2880,'Stage Order'!$A$2:$B$8,2,FALSE)</f>
        <v/>
      </c>
      <c r="N2880">
        <f>IF(G2880&lt;=1,"1. Under 1 hour",IF(G2880&lt;=24,"2. 1-24 hours",IF(G2880&lt;=72,"3. 1-3 days","4. Over 3 days")))</f>
        <v/>
      </c>
      <c r="O2880">
        <f>TEXT(B2880,"YYYY-MM")</f>
        <v/>
      </c>
    </row>
    <row r="2881">
      <c r="A2881" t="inlineStr">
        <is>
          <t>LD-302879</t>
        </is>
      </c>
      <c r="B2881" t="inlineStr">
        <is>
          <t>2025-12-09 07:59:00</t>
        </is>
      </c>
      <c r="C2881" t="inlineStr">
        <is>
          <t>Paid Search</t>
        </is>
      </c>
      <c r="D2881" t="inlineStr">
        <is>
          <t>Language Learning</t>
        </is>
      </c>
      <c r="E2881" t="inlineStr">
        <is>
          <t>West Region</t>
        </is>
      </c>
      <c r="F2881" t="inlineStr">
        <is>
          <t>Rep_13</t>
        </is>
      </c>
      <c r="G2881" t="n">
        <v>8.300000000000001</v>
      </c>
      <c r="H2881" t="inlineStr">
        <is>
          <t>Contacted</t>
        </is>
      </c>
      <c r="I2881" t="inlineStr">
        <is>
          <t>Open</t>
        </is>
      </c>
      <c r="M2881">
        <f>VLOOKUP(H2881,'Stage Order'!$A$2:$B$8,2,FALSE)</f>
        <v/>
      </c>
      <c r="N2881">
        <f>IF(G2881&lt;=1,"1. Under 1 hour",IF(G2881&lt;=24,"2. 1-24 hours",IF(G2881&lt;=72,"3. 1-3 days","4. Over 3 days")))</f>
        <v/>
      </c>
      <c r="O2881">
        <f>TEXT(B2881,"YYYY-MM")</f>
        <v/>
      </c>
    </row>
    <row r="2882">
      <c r="A2882" t="inlineStr">
        <is>
          <t>LD-302880</t>
        </is>
      </c>
      <c r="B2882" t="inlineStr">
        <is>
          <t>2025-09-20 15:07:00</t>
        </is>
      </c>
      <c r="C2882" t="inlineStr">
        <is>
          <t>Organic Search</t>
        </is>
      </c>
      <c r="D2882" t="inlineStr">
        <is>
          <t>Coding for Kids</t>
        </is>
      </c>
      <c r="E2882" t="inlineStr">
        <is>
          <t>South Region</t>
        </is>
      </c>
      <c r="F2882" t="inlineStr">
        <is>
          <t>Rep_07</t>
        </is>
      </c>
      <c r="G2882" t="n">
        <v>1.1</v>
      </c>
      <c r="H2882" t="inlineStr">
        <is>
          <t>Contacted</t>
        </is>
      </c>
      <c r="I2882" t="inlineStr">
        <is>
          <t>Open</t>
        </is>
      </c>
      <c r="M2882">
        <f>VLOOKUP(H2882,'Stage Order'!$A$2:$B$8,2,FALSE)</f>
        <v/>
      </c>
      <c r="N2882">
        <f>IF(G2882&lt;=1,"1. Under 1 hour",IF(G2882&lt;=24,"2. 1-24 hours",IF(G2882&lt;=72,"3. 1-3 days","4. Over 3 days")))</f>
        <v/>
      </c>
      <c r="O2882">
        <f>TEXT(B2882,"YYYY-MM")</f>
        <v/>
      </c>
    </row>
    <row r="2883">
      <c r="A2883" t="inlineStr">
        <is>
          <t>LD-302881</t>
        </is>
      </c>
      <c r="B2883" t="inlineStr">
        <is>
          <t>2026-03-11 16:07:00</t>
        </is>
      </c>
      <c r="C2883" t="inlineStr">
        <is>
          <t>Paid Search</t>
        </is>
      </c>
      <c r="D2883" t="inlineStr">
        <is>
          <t>Language Learning</t>
        </is>
      </c>
      <c r="E2883" t="inlineStr">
        <is>
          <t>South Region</t>
        </is>
      </c>
      <c r="F2883" t="inlineStr">
        <is>
          <t>Rep_07</t>
        </is>
      </c>
      <c r="G2883" t="n">
        <v>2.01</v>
      </c>
      <c r="H2883" t="inlineStr">
        <is>
          <t>Contacted</t>
        </is>
      </c>
      <c r="I2883" t="inlineStr">
        <is>
          <t>Open</t>
        </is>
      </c>
      <c r="M2883">
        <f>VLOOKUP(H2883,'Stage Order'!$A$2:$B$8,2,FALSE)</f>
        <v/>
      </c>
      <c r="N2883">
        <f>IF(G2883&lt;=1,"1. Under 1 hour",IF(G2883&lt;=24,"2. 1-24 hours",IF(G2883&lt;=72,"3. 1-3 days","4. Over 3 days")))</f>
        <v/>
      </c>
      <c r="O2883">
        <f>TEXT(B2883,"YYYY-MM")</f>
        <v/>
      </c>
    </row>
    <row r="2884">
      <c r="A2884" t="inlineStr">
        <is>
          <t>LD-302882</t>
        </is>
      </c>
      <c r="B2884" t="inlineStr">
        <is>
          <t>2025-04-14 12:32:00</t>
        </is>
      </c>
      <c r="C2884" t="inlineStr">
        <is>
          <t>Paid Search</t>
        </is>
      </c>
      <c r="D2884" t="inlineStr">
        <is>
          <t>Competitive Exam Prep</t>
        </is>
      </c>
      <c r="E2884" t="inlineStr">
        <is>
          <t>East Region</t>
        </is>
      </c>
      <c r="F2884" t="inlineStr">
        <is>
          <t>Rep_14</t>
        </is>
      </c>
      <c r="G2884" t="n">
        <v>3.69</v>
      </c>
      <c r="H2884" t="inlineStr">
        <is>
          <t>Contacted</t>
        </is>
      </c>
      <c r="I2884" t="inlineStr">
        <is>
          <t>Open</t>
        </is>
      </c>
      <c r="M2884">
        <f>VLOOKUP(H2884,'Stage Order'!$A$2:$B$8,2,FALSE)</f>
        <v/>
      </c>
      <c r="N2884">
        <f>IF(G2884&lt;=1,"1. Under 1 hour",IF(G2884&lt;=24,"2. 1-24 hours",IF(G2884&lt;=72,"3. 1-3 days","4. Over 3 days")))</f>
        <v/>
      </c>
      <c r="O2884">
        <f>TEXT(B2884,"YYYY-MM")</f>
        <v/>
      </c>
    </row>
    <row r="2885">
      <c r="A2885" t="inlineStr">
        <is>
          <t>LD-302883</t>
        </is>
      </c>
      <c r="B2885" t="inlineStr">
        <is>
          <t>2025-02-26 19:18:00</t>
        </is>
      </c>
      <c r="C2885" t="inlineStr">
        <is>
          <t>Referral</t>
        </is>
      </c>
      <c r="D2885" t="inlineStr">
        <is>
          <t>Competitive Exam Prep</t>
        </is>
      </c>
      <c r="E2885" t="inlineStr">
        <is>
          <t>West Region</t>
        </is>
      </c>
      <c r="F2885" t="inlineStr">
        <is>
          <t>Rep_08</t>
        </is>
      </c>
      <c r="G2885" t="n">
        <v>3.77</v>
      </c>
      <c r="H2885" t="inlineStr">
        <is>
          <t>Closed</t>
        </is>
      </c>
      <c r="I2885" t="inlineStr">
        <is>
          <t>Won</t>
        </is>
      </c>
      <c r="K2885" t="n">
        <v>913.67</v>
      </c>
      <c r="L2885" t="inlineStr">
        <is>
          <t>2025-04-13 19:27:29.721894</t>
        </is>
      </c>
      <c r="M2885">
        <f>VLOOKUP(H2885,'Stage Order'!$A$2:$B$8,2,FALSE)</f>
        <v/>
      </c>
      <c r="N2885">
        <f>IF(G2885&lt;=1,"1. Under 1 hour",IF(G2885&lt;=24,"2. 1-24 hours",IF(G2885&lt;=72,"3. 1-3 days","4. Over 3 days")))</f>
        <v/>
      </c>
      <c r="O2885">
        <f>TEXT(B2885,"YYYY-MM")</f>
        <v/>
      </c>
    </row>
    <row r="2886">
      <c r="A2886" t="inlineStr">
        <is>
          <t>LD-302884</t>
        </is>
      </c>
      <c r="B2886" t="inlineStr">
        <is>
          <t>2025-06-03 08:12:00</t>
        </is>
      </c>
      <c r="C2886" t="inlineStr">
        <is>
          <t>Social Media</t>
        </is>
      </c>
      <c r="D2886" t="inlineStr">
        <is>
          <t>K-12 Math</t>
        </is>
      </c>
      <c r="E2886" t="inlineStr">
        <is>
          <t>International</t>
        </is>
      </c>
      <c r="F2886" t="inlineStr">
        <is>
          <t>Rep_10</t>
        </is>
      </c>
      <c r="G2886" t="n">
        <v>0.42</v>
      </c>
      <c r="H2886" t="inlineStr">
        <is>
          <t>Contacted</t>
        </is>
      </c>
      <c r="I2886" t="inlineStr">
        <is>
          <t>Open</t>
        </is>
      </c>
      <c r="M2886">
        <f>VLOOKUP(H2886,'Stage Order'!$A$2:$B$8,2,FALSE)</f>
        <v/>
      </c>
      <c r="N2886">
        <f>IF(G2886&lt;=1,"1. Under 1 hour",IF(G2886&lt;=24,"2. 1-24 hours",IF(G2886&lt;=72,"3. 1-3 days","4. Over 3 days")))</f>
        <v/>
      </c>
      <c r="O2886">
        <f>TEXT(B2886,"YYYY-MM")</f>
        <v/>
      </c>
    </row>
    <row r="2887">
      <c r="A2887" t="inlineStr">
        <is>
          <t>LD-302885</t>
        </is>
      </c>
      <c r="B2887" t="inlineStr">
        <is>
          <t>2026-01-02 15:31:00</t>
        </is>
      </c>
      <c r="C2887" t="inlineStr">
        <is>
          <t>Organic Search</t>
        </is>
      </c>
      <c r="D2887" t="inlineStr">
        <is>
          <t>Competitive Exam Prep</t>
        </is>
      </c>
      <c r="E2887" t="inlineStr">
        <is>
          <t>West Region</t>
        </is>
      </c>
      <c r="F2887" t="inlineStr">
        <is>
          <t>Rep_03</t>
        </is>
      </c>
      <c r="G2887" t="n">
        <v>2.79</v>
      </c>
      <c r="H2887" t="inlineStr">
        <is>
          <t>Proposal Sent</t>
        </is>
      </c>
      <c r="I2887" t="inlineStr">
        <is>
          <t>Lost</t>
        </is>
      </c>
      <c r="J2887" t="inlineStr">
        <is>
          <t>No Response / Ghosted</t>
        </is>
      </c>
      <c r="K2887" t="n">
        <v>893.99</v>
      </c>
      <c r="L2887" t="inlineStr">
        <is>
          <t>2026-02-04 17:32:55.917991</t>
        </is>
      </c>
      <c r="M2887">
        <f>VLOOKUP(H2887,'Stage Order'!$A$2:$B$8,2,FALSE)</f>
        <v/>
      </c>
      <c r="N2887">
        <f>IF(G2887&lt;=1,"1. Under 1 hour",IF(G2887&lt;=24,"2. 1-24 hours",IF(G2887&lt;=72,"3. 1-3 days","4. Over 3 days")))</f>
        <v/>
      </c>
      <c r="O2887">
        <f>TEXT(B2887,"YYYY-MM")</f>
        <v/>
      </c>
    </row>
    <row r="2888">
      <c r="A2888" t="inlineStr">
        <is>
          <t>LD-302886</t>
        </is>
      </c>
      <c r="B2888" t="inlineStr">
        <is>
          <t>2025-02-01 10:53:00</t>
        </is>
      </c>
      <c r="C2888" t="inlineStr">
        <is>
          <t>Cold Outreach</t>
        </is>
      </c>
      <c r="D2888" t="inlineStr">
        <is>
          <t>Competitive Exam Prep</t>
        </is>
      </c>
      <c r="E2888" t="inlineStr">
        <is>
          <t>International</t>
        </is>
      </c>
      <c r="F2888" t="inlineStr">
        <is>
          <t>Rep_15</t>
        </is>
      </c>
      <c r="G2888" t="n">
        <v>1.61</v>
      </c>
      <c r="H2888" t="inlineStr">
        <is>
          <t>Lead</t>
        </is>
      </c>
      <c r="I2888" t="inlineStr">
        <is>
          <t>Open</t>
        </is>
      </c>
      <c r="M2888">
        <f>VLOOKUP(H2888,'Stage Order'!$A$2:$B$8,2,FALSE)</f>
        <v/>
      </c>
      <c r="N2888">
        <f>IF(G2888&lt;=1,"1. Under 1 hour",IF(G2888&lt;=24,"2. 1-24 hours",IF(G2888&lt;=72,"3. 1-3 days","4. Over 3 days")))</f>
        <v/>
      </c>
      <c r="O2888">
        <f>TEXT(B2888,"YYYY-MM")</f>
        <v/>
      </c>
    </row>
    <row r="2889">
      <c r="A2889" t="inlineStr">
        <is>
          <t>LD-302887</t>
        </is>
      </c>
      <c r="B2889" t="inlineStr">
        <is>
          <t>2026-01-30 10:05:00</t>
        </is>
      </c>
      <c r="C2889" t="inlineStr">
        <is>
          <t>Cold Outreach</t>
        </is>
      </c>
      <c r="D2889" t="inlineStr">
        <is>
          <t>Study Abroad Prep</t>
        </is>
      </c>
      <c r="E2889" t="inlineStr">
        <is>
          <t>South Region</t>
        </is>
      </c>
      <c r="F2889" t="inlineStr">
        <is>
          <t>Rep_07</t>
        </is>
      </c>
      <c r="G2889" t="n">
        <v>0.59</v>
      </c>
      <c r="H2889" t="inlineStr">
        <is>
          <t>Demo Scheduled</t>
        </is>
      </c>
      <c r="I2889" t="inlineStr">
        <is>
          <t>Open</t>
        </is>
      </c>
      <c r="M2889">
        <f>VLOOKUP(H2889,'Stage Order'!$A$2:$B$8,2,FALSE)</f>
        <v/>
      </c>
      <c r="N2889">
        <f>IF(G2889&lt;=1,"1. Under 1 hour",IF(G2889&lt;=24,"2. 1-24 hours",IF(G2889&lt;=72,"3. 1-3 days","4. Over 3 days")))</f>
        <v/>
      </c>
      <c r="O2889">
        <f>TEXT(B2889,"YYYY-MM")</f>
        <v/>
      </c>
    </row>
    <row r="2890">
      <c r="A2890" t="inlineStr">
        <is>
          <t>LD-302888</t>
        </is>
      </c>
      <c r="B2890" t="inlineStr">
        <is>
          <t>2026-01-22 12:04:00</t>
        </is>
      </c>
      <c r="C2890" t="inlineStr">
        <is>
          <t>Social Media</t>
        </is>
      </c>
      <c r="D2890" t="inlineStr">
        <is>
          <t>Language Learning</t>
        </is>
      </c>
      <c r="E2890" t="inlineStr">
        <is>
          <t>South Region</t>
        </is>
      </c>
      <c r="F2890" t="inlineStr">
        <is>
          <t>Rep_02</t>
        </is>
      </c>
      <c r="G2890" t="n">
        <v>11.91</v>
      </c>
      <c r="H2890" t="inlineStr">
        <is>
          <t>Contacted</t>
        </is>
      </c>
      <c r="I2890" t="inlineStr">
        <is>
          <t>Open</t>
        </is>
      </c>
      <c r="M2890">
        <f>VLOOKUP(H2890,'Stage Order'!$A$2:$B$8,2,FALSE)</f>
        <v/>
      </c>
      <c r="N2890">
        <f>IF(G2890&lt;=1,"1. Under 1 hour",IF(G2890&lt;=24,"2. 1-24 hours",IF(G2890&lt;=72,"3. 1-3 days","4. Over 3 days")))</f>
        <v/>
      </c>
      <c r="O2890">
        <f>TEXT(B2890,"YYYY-MM")</f>
        <v/>
      </c>
    </row>
    <row r="2891">
      <c r="A2891" t="inlineStr">
        <is>
          <t>LD-302889</t>
        </is>
      </c>
      <c r="B2891" t="inlineStr">
        <is>
          <t>2025-02-07 18:46:00</t>
        </is>
      </c>
      <c r="C2891" t="inlineStr">
        <is>
          <t>Webinar</t>
        </is>
      </c>
      <c r="D2891" t="inlineStr">
        <is>
          <t>Language Learning</t>
        </is>
      </c>
      <c r="E2891" t="inlineStr">
        <is>
          <t>North Region</t>
        </is>
      </c>
      <c r="F2891" t="inlineStr">
        <is>
          <t>Rep_11</t>
        </is>
      </c>
      <c r="G2891" t="n">
        <v>7.4</v>
      </c>
      <c r="H2891" t="inlineStr">
        <is>
          <t>Closed</t>
        </is>
      </c>
      <c r="I2891" t="inlineStr">
        <is>
          <t>Won</t>
        </is>
      </c>
      <c r="K2891" t="n">
        <v>406.46</v>
      </c>
      <c r="L2891" t="inlineStr">
        <is>
          <t>2025-03-25 04:36:25.912074</t>
        </is>
      </c>
      <c r="M2891">
        <f>VLOOKUP(H2891,'Stage Order'!$A$2:$B$8,2,FALSE)</f>
        <v/>
      </c>
      <c r="N2891">
        <f>IF(G2891&lt;=1,"1. Under 1 hour",IF(G2891&lt;=24,"2. 1-24 hours",IF(G2891&lt;=72,"3. 1-3 days","4. Over 3 days")))</f>
        <v/>
      </c>
      <c r="O2891">
        <f>TEXT(B2891,"YYYY-MM")</f>
        <v/>
      </c>
    </row>
    <row r="2892">
      <c r="A2892" t="inlineStr">
        <is>
          <t>LD-302890</t>
        </is>
      </c>
      <c r="B2892" t="inlineStr">
        <is>
          <t>2025-07-04 07:10:00</t>
        </is>
      </c>
      <c r="C2892" t="inlineStr">
        <is>
          <t>Referral</t>
        </is>
      </c>
      <c r="D2892" t="inlineStr">
        <is>
          <t>K-12 Math</t>
        </is>
      </c>
      <c r="E2892" t="inlineStr">
        <is>
          <t>South Region</t>
        </is>
      </c>
      <c r="F2892" t="inlineStr">
        <is>
          <t>Rep_07</t>
        </is>
      </c>
      <c r="G2892" t="n">
        <v>2.23</v>
      </c>
      <c r="H2892" t="inlineStr">
        <is>
          <t>Closed</t>
        </is>
      </c>
      <c r="I2892" t="inlineStr">
        <is>
          <t>Won</t>
        </is>
      </c>
      <c r="K2892" t="n">
        <v>568.1</v>
      </c>
      <c r="L2892" t="inlineStr">
        <is>
          <t>2025-08-15 14:10:00.752658</t>
        </is>
      </c>
      <c r="M2892">
        <f>VLOOKUP(H2892,'Stage Order'!$A$2:$B$8,2,FALSE)</f>
        <v/>
      </c>
      <c r="N2892">
        <f>IF(G2892&lt;=1,"1. Under 1 hour",IF(G2892&lt;=24,"2. 1-24 hours",IF(G2892&lt;=72,"3. 1-3 days","4. Over 3 days")))</f>
        <v/>
      </c>
      <c r="O2892">
        <f>TEXT(B2892,"YYYY-MM")</f>
        <v/>
      </c>
    </row>
    <row r="2893">
      <c r="A2893" t="inlineStr">
        <is>
          <t>LD-302891</t>
        </is>
      </c>
      <c r="B2893" t="inlineStr">
        <is>
          <t>2025-12-01 19:15:00</t>
        </is>
      </c>
      <c r="C2893" t="inlineStr">
        <is>
          <t>Cold Outreach</t>
        </is>
      </c>
      <c r="D2893" t="inlineStr">
        <is>
          <t>Competitive Exam Prep</t>
        </is>
      </c>
      <c r="E2893" t="inlineStr">
        <is>
          <t>North Region</t>
        </is>
      </c>
      <c r="F2893" t="inlineStr">
        <is>
          <t>Rep_06</t>
        </is>
      </c>
      <c r="G2893" t="n">
        <v>0.49</v>
      </c>
      <c r="H2893" t="inlineStr">
        <is>
          <t>Lead</t>
        </is>
      </c>
      <c r="I2893" t="inlineStr">
        <is>
          <t>Open</t>
        </is>
      </c>
      <c r="M2893">
        <f>VLOOKUP(H2893,'Stage Order'!$A$2:$B$8,2,FALSE)</f>
        <v/>
      </c>
      <c r="N2893">
        <f>IF(G2893&lt;=1,"1. Under 1 hour",IF(G2893&lt;=24,"2. 1-24 hours",IF(G2893&lt;=72,"3. 1-3 days","4. Over 3 days")))</f>
        <v/>
      </c>
      <c r="O2893">
        <f>TEXT(B2893,"YYYY-MM")</f>
        <v/>
      </c>
    </row>
    <row r="2894">
      <c r="A2894" t="inlineStr">
        <is>
          <t>LD-302892</t>
        </is>
      </c>
      <c r="B2894" t="inlineStr">
        <is>
          <t>2025-05-23 15:29:00</t>
        </is>
      </c>
      <c r="C2894" t="inlineStr">
        <is>
          <t>Cold Outreach</t>
        </is>
      </c>
      <c r="D2894" t="inlineStr">
        <is>
          <t>Competitive Exam Prep</t>
        </is>
      </c>
      <c r="E2894" t="inlineStr">
        <is>
          <t>West Region</t>
        </is>
      </c>
      <c r="F2894" t="inlineStr">
        <is>
          <t>Rep_03</t>
        </is>
      </c>
      <c r="G2894" t="n">
        <v>1.81</v>
      </c>
      <c r="H2894" t="inlineStr">
        <is>
          <t>Lead</t>
        </is>
      </c>
      <c r="I2894" t="inlineStr">
        <is>
          <t>Open</t>
        </is>
      </c>
      <c r="M2894">
        <f>VLOOKUP(H2894,'Stage Order'!$A$2:$B$8,2,FALSE)</f>
        <v/>
      </c>
      <c r="N2894">
        <f>IF(G2894&lt;=1,"1. Under 1 hour",IF(G2894&lt;=24,"2. 1-24 hours",IF(G2894&lt;=72,"3. 1-3 days","4. Over 3 days")))</f>
        <v/>
      </c>
      <c r="O2894">
        <f>TEXT(B2894,"YYYY-MM")</f>
        <v/>
      </c>
    </row>
    <row r="2895">
      <c r="A2895" t="inlineStr">
        <is>
          <t>LD-302893</t>
        </is>
      </c>
      <c r="B2895" t="inlineStr">
        <is>
          <t>2025-07-07 07:58:00</t>
        </is>
      </c>
      <c r="C2895" t="inlineStr">
        <is>
          <t>Organic Search</t>
        </is>
      </c>
      <c r="D2895" t="inlineStr">
        <is>
          <t>K-12 Math</t>
        </is>
      </c>
      <c r="E2895" t="inlineStr">
        <is>
          <t>North Region</t>
        </is>
      </c>
      <c r="F2895" t="inlineStr">
        <is>
          <t>Rep_06</t>
        </is>
      </c>
      <c r="G2895" t="n">
        <v>3.16</v>
      </c>
      <c r="H2895" t="inlineStr">
        <is>
          <t>Lead</t>
        </is>
      </c>
      <c r="I2895" t="inlineStr">
        <is>
          <t>Open</t>
        </is>
      </c>
      <c r="M2895">
        <f>VLOOKUP(H2895,'Stage Order'!$A$2:$B$8,2,FALSE)</f>
        <v/>
      </c>
      <c r="N2895">
        <f>IF(G2895&lt;=1,"1. Under 1 hour",IF(G2895&lt;=24,"2. 1-24 hours",IF(G2895&lt;=72,"3. 1-3 days","4. Over 3 days")))</f>
        <v/>
      </c>
      <c r="O2895">
        <f>TEXT(B2895,"YYYY-MM")</f>
        <v/>
      </c>
    </row>
    <row r="2896">
      <c r="A2896" t="inlineStr">
        <is>
          <t>LD-302894</t>
        </is>
      </c>
      <c r="B2896" t="inlineStr">
        <is>
          <t>2025-12-17 11:26:00</t>
        </is>
      </c>
      <c r="C2896" t="inlineStr">
        <is>
          <t>Cold Outreach</t>
        </is>
      </c>
      <c r="D2896" t="inlineStr">
        <is>
          <t>Coding for Kids</t>
        </is>
      </c>
      <c r="E2896" t="inlineStr">
        <is>
          <t>West Region</t>
        </is>
      </c>
      <c r="F2896" t="inlineStr">
        <is>
          <t>Rep_03</t>
        </is>
      </c>
      <c r="G2896" t="n">
        <v>1.15</v>
      </c>
      <c r="H2896" t="inlineStr">
        <is>
          <t>Lead</t>
        </is>
      </c>
      <c r="I2896" t="inlineStr">
        <is>
          <t>Open</t>
        </is>
      </c>
      <c r="M2896">
        <f>VLOOKUP(H2896,'Stage Order'!$A$2:$B$8,2,FALSE)</f>
        <v/>
      </c>
      <c r="N2896">
        <f>IF(G2896&lt;=1,"1. Under 1 hour",IF(G2896&lt;=24,"2. 1-24 hours",IF(G2896&lt;=72,"3. 1-3 days","4. Over 3 days")))</f>
        <v/>
      </c>
      <c r="O2896">
        <f>TEXT(B2896,"YYYY-MM")</f>
        <v/>
      </c>
    </row>
    <row r="2897">
      <c r="A2897" t="inlineStr">
        <is>
          <t>LD-302895</t>
        </is>
      </c>
      <c r="B2897" t="inlineStr">
        <is>
          <t>2026-03-24 12:48:00</t>
        </is>
      </c>
      <c r="C2897" t="inlineStr">
        <is>
          <t>Partner Channel</t>
        </is>
      </c>
      <c r="D2897" t="inlineStr">
        <is>
          <t>K-12 Math</t>
        </is>
      </c>
      <c r="E2897" t="inlineStr">
        <is>
          <t>West Region</t>
        </is>
      </c>
      <c r="F2897" t="inlineStr">
        <is>
          <t>Rep_13</t>
        </is>
      </c>
      <c r="G2897" t="n">
        <v>1.55</v>
      </c>
      <c r="H2897" t="inlineStr">
        <is>
          <t>Proposal Sent</t>
        </is>
      </c>
      <c r="I2897" t="inlineStr">
        <is>
          <t>Lost</t>
        </is>
      </c>
      <c r="J2897" t="inlineStr">
        <is>
          <t>No Response / Ghosted</t>
        </is>
      </c>
      <c r="K2897" t="n">
        <v>515.95</v>
      </c>
      <c r="L2897" t="inlineStr">
        <is>
          <t>2026-05-01 08:49:25.677182</t>
        </is>
      </c>
      <c r="M2897">
        <f>VLOOKUP(H2897,'Stage Order'!$A$2:$B$8,2,FALSE)</f>
        <v/>
      </c>
      <c r="N2897">
        <f>IF(G2897&lt;=1,"1. Under 1 hour",IF(G2897&lt;=24,"2. 1-24 hours",IF(G2897&lt;=72,"3. 1-3 days","4. Over 3 days")))</f>
        <v/>
      </c>
      <c r="O2897">
        <f>TEXT(B2897,"YYYY-MM")</f>
        <v/>
      </c>
    </row>
    <row r="2898">
      <c r="A2898" t="inlineStr">
        <is>
          <t>LD-302896</t>
        </is>
      </c>
      <c r="B2898" t="inlineStr">
        <is>
          <t>2026-01-27 14:15:00</t>
        </is>
      </c>
      <c r="C2898" t="inlineStr">
        <is>
          <t>Cold Outreach</t>
        </is>
      </c>
      <c r="D2898" t="inlineStr">
        <is>
          <t>K-12 Math</t>
        </is>
      </c>
      <c r="E2898" t="inlineStr">
        <is>
          <t>South Region</t>
        </is>
      </c>
      <c r="F2898" t="inlineStr">
        <is>
          <t>Rep_02</t>
        </is>
      </c>
      <c r="G2898" t="n">
        <v>1.65</v>
      </c>
      <c r="H2898" t="inlineStr">
        <is>
          <t>Contacted</t>
        </is>
      </c>
      <c r="I2898" t="inlineStr">
        <is>
          <t>Open</t>
        </is>
      </c>
      <c r="M2898">
        <f>VLOOKUP(H2898,'Stage Order'!$A$2:$B$8,2,FALSE)</f>
        <v/>
      </c>
      <c r="N2898">
        <f>IF(G2898&lt;=1,"1. Under 1 hour",IF(G2898&lt;=24,"2. 1-24 hours",IF(G2898&lt;=72,"3. 1-3 days","4. Over 3 days")))</f>
        <v/>
      </c>
      <c r="O2898">
        <f>TEXT(B2898,"YYYY-MM")</f>
        <v/>
      </c>
    </row>
    <row r="2899">
      <c r="A2899" t="inlineStr">
        <is>
          <t>LD-302897</t>
        </is>
      </c>
      <c r="B2899" t="inlineStr">
        <is>
          <t>2025-04-28 14:33:00</t>
        </is>
      </c>
      <c r="C2899" t="inlineStr">
        <is>
          <t>Organic Search</t>
        </is>
      </c>
      <c r="D2899" t="inlineStr">
        <is>
          <t>Competitive Exam Prep</t>
        </is>
      </c>
      <c r="E2899" t="inlineStr">
        <is>
          <t>East Region</t>
        </is>
      </c>
      <c r="F2899" t="inlineStr">
        <is>
          <t>Rep_14</t>
        </is>
      </c>
      <c r="G2899" t="n">
        <v>1.42</v>
      </c>
      <c r="H2899" t="inlineStr">
        <is>
          <t>Contacted</t>
        </is>
      </c>
      <c r="I2899" t="inlineStr">
        <is>
          <t>Open</t>
        </is>
      </c>
      <c r="M2899">
        <f>VLOOKUP(H2899,'Stage Order'!$A$2:$B$8,2,FALSE)</f>
        <v/>
      </c>
      <c r="N2899">
        <f>IF(G2899&lt;=1,"1. Under 1 hour",IF(G2899&lt;=24,"2. 1-24 hours",IF(G2899&lt;=72,"3. 1-3 days","4. Over 3 days")))</f>
        <v/>
      </c>
      <c r="O2899">
        <f>TEXT(B2899,"YYYY-MM")</f>
        <v/>
      </c>
    </row>
    <row r="2900">
      <c r="A2900" t="inlineStr">
        <is>
          <t>LD-302898</t>
        </is>
      </c>
      <c r="B2900" t="inlineStr">
        <is>
          <t>2026-02-12 19:56:00</t>
        </is>
      </c>
      <c r="C2900" t="inlineStr">
        <is>
          <t>Partner Channel</t>
        </is>
      </c>
      <c r="D2900" t="inlineStr">
        <is>
          <t>Coding for Kids</t>
        </is>
      </c>
      <c r="E2900" t="inlineStr">
        <is>
          <t>West Region</t>
        </is>
      </c>
      <c r="F2900" t="inlineStr">
        <is>
          <t>Rep_03</t>
        </is>
      </c>
      <c r="G2900" t="n">
        <v>2.25</v>
      </c>
      <c r="H2900" t="inlineStr">
        <is>
          <t>Negotiation</t>
        </is>
      </c>
      <c r="I2900" t="inlineStr">
        <is>
          <t>Lost</t>
        </is>
      </c>
      <c r="J2900" t="inlineStr">
        <is>
          <t>Went With Competitor</t>
        </is>
      </c>
      <c r="K2900" t="n">
        <v>658</v>
      </c>
      <c r="L2900" t="inlineStr">
        <is>
          <t>2026-03-12 10:08:10.632151</t>
        </is>
      </c>
      <c r="M2900">
        <f>VLOOKUP(H2900,'Stage Order'!$A$2:$B$8,2,FALSE)</f>
        <v/>
      </c>
      <c r="N2900">
        <f>IF(G2900&lt;=1,"1. Under 1 hour",IF(G2900&lt;=24,"2. 1-24 hours",IF(G2900&lt;=72,"3. 1-3 days","4. Over 3 days")))</f>
        <v/>
      </c>
      <c r="O2900">
        <f>TEXT(B2900,"YYYY-MM")</f>
        <v/>
      </c>
    </row>
    <row r="2901">
      <c r="A2901" t="inlineStr">
        <is>
          <t>LD-302899</t>
        </is>
      </c>
      <c r="B2901" t="inlineStr">
        <is>
          <t>2025-05-22 12:27:00</t>
        </is>
      </c>
      <c r="C2901" t="inlineStr">
        <is>
          <t>Organic Search</t>
        </is>
      </c>
      <c r="D2901" t="inlineStr">
        <is>
          <t>Competitive Exam Prep</t>
        </is>
      </c>
      <c r="E2901" t="inlineStr">
        <is>
          <t>North Region</t>
        </is>
      </c>
      <c r="F2901" t="inlineStr">
        <is>
          <t>Rep_06</t>
        </is>
      </c>
      <c r="G2901" t="n">
        <v>64.05</v>
      </c>
      <c r="H2901" t="inlineStr">
        <is>
          <t>Contacted</t>
        </is>
      </c>
      <c r="I2901" t="inlineStr">
        <is>
          <t>Open</t>
        </is>
      </c>
      <c r="M2901">
        <f>VLOOKUP(H2901,'Stage Order'!$A$2:$B$8,2,FALSE)</f>
        <v/>
      </c>
      <c r="N2901">
        <f>IF(G2901&lt;=1,"1. Under 1 hour",IF(G2901&lt;=24,"2. 1-24 hours",IF(G2901&lt;=72,"3. 1-3 days","4. Over 3 days")))</f>
        <v/>
      </c>
      <c r="O2901">
        <f>TEXT(B2901,"YYYY-MM")</f>
        <v/>
      </c>
    </row>
    <row r="2902">
      <c r="A2902" t="inlineStr">
        <is>
          <t>LD-302900</t>
        </is>
      </c>
      <c r="B2902" t="inlineStr">
        <is>
          <t>2025-01-08 18:11:00</t>
        </is>
      </c>
      <c r="C2902" t="inlineStr">
        <is>
          <t>Social Media</t>
        </is>
      </c>
      <c r="D2902" t="inlineStr">
        <is>
          <t>K-12 Math</t>
        </is>
      </c>
      <c r="E2902" t="inlineStr">
        <is>
          <t>South Region</t>
        </is>
      </c>
      <c r="F2902" t="inlineStr">
        <is>
          <t>Rep_07</t>
        </is>
      </c>
      <c r="G2902" t="n">
        <v>0.74</v>
      </c>
      <c r="H2902" t="inlineStr">
        <is>
          <t>Contacted</t>
        </is>
      </c>
      <c r="I2902" t="inlineStr">
        <is>
          <t>Open</t>
        </is>
      </c>
      <c r="M2902">
        <f>VLOOKUP(H2902,'Stage Order'!$A$2:$B$8,2,FALSE)</f>
        <v/>
      </c>
      <c r="N2902">
        <f>IF(G2902&lt;=1,"1. Under 1 hour",IF(G2902&lt;=24,"2. 1-24 hours",IF(G2902&lt;=72,"3. 1-3 days","4. Over 3 days")))</f>
        <v/>
      </c>
      <c r="O2902">
        <f>TEXT(B2902,"YYYY-MM")</f>
        <v/>
      </c>
    </row>
    <row r="2903">
      <c r="A2903" t="inlineStr">
        <is>
          <t>LD-302901</t>
        </is>
      </c>
      <c r="B2903" t="inlineStr">
        <is>
          <t>2026-02-26 07:45:00</t>
        </is>
      </c>
      <c r="C2903" t="inlineStr">
        <is>
          <t>Referral</t>
        </is>
      </c>
      <c r="D2903" t="inlineStr">
        <is>
          <t>K-12 Math</t>
        </is>
      </c>
      <c r="E2903" t="inlineStr">
        <is>
          <t>East Region</t>
        </is>
      </c>
      <c r="F2903" t="inlineStr">
        <is>
          <t>Rep_09</t>
        </is>
      </c>
      <c r="G2903" t="n">
        <v>2.49</v>
      </c>
      <c r="H2903" t="inlineStr">
        <is>
          <t>Lead</t>
        </is>
      </c>
      <c r="I2903" t="inlineStr">
        <is>
          <t>Open</t>
        </is>
      </c>
      <c r="M2903">
        <f>VLOOKUP(H2903,'Stage Order'!$A$2:$B$8,2,FALSE)</f>
        <v/>
      </c>
      <c r="N2903">
        <f>IF(G2903&lt;=1,"1. Under 1 hour",IF(G2903&lt;=24,"2. 1-24 hours",IF(G2903&lt;=72,"3. 1-3 days","4. Over 3 days")))</f>
        <v/>
      </c>
      <c r="O2903">
        <f>TEXT(B2903,"YYYY-MM")</f>
        <v/>
      </c>
    </row>
    <row r="2904">
      <c r="A2904" t="inlineStr">
        <is>
          <t>LD-302902</t>
        </is>
      </c>
      <c r="B2904" t="inlineStr">
        <is>
          <t>2025-12-11 10:27:00</t>
        </is>
      </c>
      <c r="C2904" t="inlineStr">
        <is>
          <t>Referral</t>
        </is>
      </c>
      <c r="D2904" t="inlineStr">
        <is>
          <t>Competitive Exam Prep</t>
        </is>
      </c>
      <c r="E2904" t="inlineStr">
        <is>
          <t>South Region</t>
        </is>
      </c>
      <c r="F2904" t="inlineStr">
        <is>
          <t>Rep_07</t>
        </is>
      </c>
      <c r="G2904" t="n">
        <v>0.63</v>
      </c>
      <c r="H2904" t="inlineStr">
        <is>
          <t>Contacted</t>
        </is>
      </c>
      <c r="I2904" t="inlineStr">
        <is>
          <t>Open</t>
        </is>
      </c>
      <c r="M2904">
        <f>VLOOKUP(H2904,'Stage Order'!$A$2:$B$8,2,FALSE)</f>
        <v/>
      </c>
      <c r="N2904">
        <f>IF(G2904&lt;=1,"1. Under 1 hour",IF(G2904&lt;=24,"2. 1-24 hours",IF(G2904&lt;=72,"3. 1-3 days","4. Over 3 days")))</f>
        <v/>
      </c>
      <c r="O2904">
        <f>TEXT(B2904,"YYYY-MM")</f>
        <v/>
      </c>
    </row>
    <row r="2905">
      <c r="A2905" t="inlineStr">
        <is>
          <t>LD-302903</t>
        </is>
      </c>
      <c r="B2905" t="inlineStr">
        <is>
          <t>2025-05-12 08:03:00</t>
        </is>
      </c>
      <c r="C2905" t="inlineStr">
        <is>
          <t>Webinar</t>
        </is>
      </c>
      <c r="D2905" t="inlineStr">
        <is>
          <t>Language Learning</t>
        </is>
      </c>
      <c r="E2905" t="inlineStr">
        <is>
          <t>West Region</t>
        </is>
      </c>
      <c r="F2905" t="inlineStr">
        <is>
          <t>Rep_13</t>
        </is>
      </c>
      <c r="G2905" t="n">
        <v>25.52</v>
      </c>
      <c r="H2905" t="inlineStr">
        <is>
          <t>Contacted</t>
        </is>
      </c>
      <c r="I2905" t="inlineStr">
        <is>
          <t>Open</t>
        </is>
      </c>
      <c r="M2905">
        <f>VLOOKUP(H2905,'Stage Order'!$A$2:$B$8,2,FALSE)</f>
        <v/>
      </c>
      <c r="N2905">
        <f>IF(G2905&lt;=1,"1. Under 1 hour",IF(G2905&lt;=24,"2. 1-24 hours",IF(G2905&lt;=72,"3. 1-3 days","4. Over 3 days")))</f>
        <v/>
      </c>
      <c r="O2905">
        <f>TEXT(B2905,"YYYY-MM")</f>
        <v/>
      </c>
    </row>
    <row r="2906">
      <c r="A2906" t="inlineStr">
        <is>
          <t>LD-302904</t>
        </is>
      </c>
      <c r="B2906" t="inlineStr">
        <is>
          <t>2026-03-13 12:03:00</t>
        </is>
      </c>
      <c r="C2906" t="inlineStr">
        <is>
          <t>Cold Outreach</t>
        </is>
      </c>
      <c r="D2906" t="inlineStr">
        <is>
          <t>Coding for Kids</t>
        </is>
      </c>
      <c r="E2906" t="inlineStr">
        <is>
          <t>West Region</t>
        </is>
      </c>
      <c r="F2906" t="inlineStr">
        <is>
          <t>Rep_13</t>
        </is>
      </c>
      <c r="G2906" t="n">
        <v>9.039999999999999</v>
      </c>
      <c r="H2906" t="inlineStr">
        <is>
          <t>Lead</t>
        </is>
      </c>
      <c r="I2906" t="inlineStr">
        <is>
          <t>Open</t>
        </is>
      </c>
      <c r="M2906">
        <f>VLOOKUP(H2906,'Stage Order'!$A$2:$B$8,2,FALSE)</f>
        <v/>
      </c>
      <c r="N2906">
        <f>IF(G2906&lt;=1,"1. Under 1 hour",IF(G2906&lt;=24,"2. 1-24 hours",IF(G2906&lt;=72,"3. 1-3 days","4. Over 3 days")))</f>
        <v/>
      </c>
      <c r="O2906">
        <f>TEXT(B2906,"YYYY-MM")</f>
        <v/>
      </c>
    </row>
    <row r="2907">
      <c r="A2907" t="inlineStr">
        <is>
          <t>LD-302905</t>
        </is>
      </c>
      <c r="B2907" t="inlineStr">
        <is>
          <t>2025-12-26 09:32:00</t>
        </is>
      </c>
      <c r="C2907" t="inlineStr">
        <is>
          <t>Referral</t>
        </is>
      </c>
      <c r="D2907" t="inlineStr">
        <is>
          <t>Competitive Exam Prep</t>
        </is>
      </c>
      <c r="E2907" t="inlineStr">
        <is>
          <t>South Region</t>
        </is>
      </c>
      <c r="F2907" t="inlineStr">
        <is>
          <t>Rep_12</t>
        </is>
      </c>
      <c r="G2907" t="n">
        <v>1</v>
      </c>
      <c r="H2907" t="inlineStr">
        <is>
          <t>Contacted</t>
        </is>
      </c>
      <c r="I2907" t="inlineStr">
        <is>
          <t>Open</t>
        </is>
      </c>
      <c r="M2907">
        <f>VLOOKUP(H2907,'Stage Order'!$A$2:$B$8,2,FALSE)</f>
        <v/>
      </c>
      <c r="N2907">
        <f>IF(G2907&lt;=1,"1. Under 1 hour",IF(G2907&lt;=24,"2. 1-24 hours",IF(G2907&lt;=72,"3. 1-3 days","4. Over 3 days")))</f>
        <v/>
      </c>
      <c r="O2907">
        <f>TEXT(B2907,"YYYY-MM")</f>
        <v/>
      </c>
    </row>
    <row r="2908">
      <c r="A2908" t="inlineStr">
        <is>
          <t>LD-302906</t>
        </is>
      </c>
      <c r="B2908" t="inlineStr">
        <is>
          <t>2026-01-26 08:13:00</t>
        </is>
      </c>
      <c r="C2908" t="inlineStr">
        <is>
          <t>Cold Outreach</t>
        </is>
      </c>
      <c r="D2908" t="inlineStr">
        <is>
          <t>Coding for Kids</t>
        </is>
      </c>
      <c r="E2908" t="inlineStr">
        <is>
          <t>International</t>
        </is>
      </c>
      <c r="F2908" t="inlineStr">
        <is>
          <t>Rep_05</t>
        </is>
      </c>
      <c r="G2908" t="n">
        <v>88.05</v>
      </c>
      <c r="H2908" t="inlineStr">
        <is>
          <t>Contacted</t>
        </is>
      </c>
      <c r="I2908" t="inlineStr">
        <is>
          <t>Open</t>
        </is>
      </c>
      <c r="M2908">
        <f>VLOOKUP(H2908,'Stage Order'!$A$2:$B$8,2,FALSE)</f>
        <v/>
      </c>
      <c r="N2908">
        <f>IF(G2908&lt;=1,"1. Under 1 hour",IF(G2908&lt;=24,"2. 1-24 hours",IF(G2908&lt;=72,"3. 1-3 days","4. Over 3 days")))</f>
        <v/>
      </c>
      <c r="O2908">
        <f>TEXT(B2908,"YYYY-MM")</f>
        <v/>
      </c>
    </row>
    <row r="2909">
      <c r="A2909" t="inlineStr">
        <is>
          <t>LD-302907</t>
        </is>
      </c>
      <c r="B2909" t="inlineStr">
        <is>
          <t>2025-06-13 07:42:00</t>
        </is>
      </c>
      <c r="C2909" t="inlineStr">
        <is>
          <t>Social Media</t>
        </is>
      </c>
      <c r="D2909" t="inlineStr">
        <is>
          <t>Competitive Exam Prep</t>
        </is>
      </c>
      <c r="E2909" t="inlineStr">
        <is>
          <t>East Region</t>
        </is>
      </c>
      <c r="F2909" t="inlineStr">
        <is>
          <t>Rep_09</t>
        </is>
      </c>
      <c r="G2909" t="n">
        <v>15.3</v>
      </c>
      <c r="H2909" t="inlineStr">
        <is>
          <t>Demo Completed</t>
        </is>
      </c>
      <c r="I2909" t="inlineStr">
        <is>
          <t>Lost</t>
        </is>
      </c>
      <c r="J2909" t="inlineStr">
        <is>
          <t>No Response / Ghosted</t>
        </is>
      </c>
      <c r="K2909" t="n">
        <v>1165.23</v>
      </c>
      <c r="L2909" t="inlineStr">
        <is>
          <t>2025-07-18 03:38:15.838062</t>
        </is>
      </c>
      <c r="M2909">
        <f>VLOOKUP(H2909,'Stage Order'!$A$2:$B$8,2,FALSE)</f>
        <v/>
      </c>
      <c r="N2909">
        <f>IF(G2909&lt;=1,"1. Under 1 hour",IF(G2909&lt;=24,"2. 1-24 hours",IF(G2909&lt;=72,"3. 1-3 days","4. Over 3 days")))</f>
        <v/>
      </c>
      <c r="O2909">
        <f>TEXT(B2909,"YYYY-MM")</f>
        <v/>
      </c>
    </row>
    <row r="2910">
      <c r="A2910" t="inlineStr">
        <is>
          <t>LD-302908</t>
        </is>
      </c>
      <c r="B2910" t="inlineStr">
        <is>
          <t>2025-07-04 10:21:00</t>
        </is>
      </c>
      <c r="C2910" t="inlineStr">
        <is>
          <t>Social Media</t>
        </is>
      </c>
      <c r="D2910" t="inlineStr">
        <is>
          <t>Competitive Exam Prep</t>
        </is>
      </c>
      <c r="E2910" t="inlineStr">
        <is>
          <t>North Region</t>
        </is>
      </c>
      <c r="F2910" t="inlineStr">
        <is>
          <t>Rep_11</t>
        </is>
      </c>
      <c r="G2910" t="n">
        <v>21.65</v>
      </c>
      <c r="H2910" t="inlineStr">
        <is>
          <t>Contacted</t>
        </is>
      </c>
      <c r="I2910" t="inlineStr">
        <is>
          <t>Open</t>
        </is>
      </c>
      <c r="M2910">
        <f>VLOOKUP(H2910,'Stage Order'!$A$2:$B$8,2,FALSE)</f>
        <v/>
      </c>
      <c r="N2910">
        <f>IF(G2910&lt;=1,"1. Under 1 hour",IF(G2910&lt;=24,"2. 1-24 hours",IF(G2910&lt;=72,"3. 1-3 days","4. Over 3 days")))</f>
        <v/>
      </c>
      <c r="O2910">
        <f>TEXT(B2910,"YYYY-MM")</f>
        <v/>
      </c>
    </row>
    <row r="2911">
      <c r="A2911" t="inlineStr">
        <is>
          <t>LD-302909</t>
        </is>
      </c>
      <c r="B2911" t="inlineStr">
        <is>
          <t>2025-03-06 14:14:00</t>
        </is>
      </c>
      <c r="C2911" t="inlineStr">
        <is>
          <t>Paid Search</t>
        </is>
      </c>
      <c r="D2911" t="inlineStr">
        <is>
          <t>Coding for Kids</t>
        </is>
      </c>
      <c r="E2911" t="inlineStr">
        <is>
          <t>East Region</t>
        </is>
      </c>
      <c r="F2911" t="inlineStr">
        <is>
          <t>Rep_09</t>
        </is>
      </c>
      <c r="G2911" t="n">
        <v>5.94</v>
      </c>
      <c r="H2911" t="inlineStr">
        <is>
          <t>Contacted</t>
        </is>
      </c>
      <c r="I2911" t="inlineStr">
        <is>
          <t>Open</t>
        </is>
      </c>
      <c r="M2911">
        <f>VLOOKUP(H2911,'Stage Order'!$A$2:$B$8,2,FALSE)</f>
        <v/>
      </c>
      <c r="N2911">
        <f>IF(G2911&lt;=1,"1. Under 1 hour",IF(G2911&lt;=24,"2. 1-24 hours",IF(G2911&lt;=72,"3. 1-3 days","4. Over 3 days")))</f>
        <v/>
      </c>
      <c r="O2911">
        <f>TEXT(B2911,"YYYY-MM")</f>
        <v/>
      </c>
    </row>
    <row r="2912">
      <c r="A2912" t="inlineStr">
        <is>
          <t>LD-302910</t>
        </is>
      </c>
      <c r="B2912" t="inlineStr">
        <is>
          <t>2025-07-10 16:02:00</t>
        </is>
      </c>
      <c r="C2912" t="inlineStr">
        <is>
          <t>Paid Search</t>
        </is>
      </c>
      <c r="D2912" t="inlineStr">
        <is>
          <t>Study Abroad Prep</t>
        </is>
      </c>
      <c r="E2912" t="inlineStr">
        <is>
          <t>International</t>
        </is>
      </c>
      <c r="F2912" t="inlineStr">
        <is>
          <t>Rep_10</t>
        </is>
      </c>
      <c r="G2912" t="n">
        <v>1.94</v>
      </c>
      <c r="H2912" t="inlineStr">
        <is>
          <t>Contacted</t>
        </is>
      </c>
      <c r="I2912" t="inlineStr">
        <is>
          <t>Open</t>
        </is>
      </c>
      <c r="M2912">
        <f>VLOOKUP(H2912,'Stage Order'!$A$2:$B$8,2,FALSE)</f>
        <v/>
      </c>
      <c r="N2912">
        <f>IF(G2912&lt;=1,"1. Under 1 hour",IF(G2912&lt;=24,"2. 1-24 hours",IF(G2912&lt;=72,"3. 1-3 days","4. Over 3 days")))</f>
        <v/>
      </c>
      <c r="O2912">
        <f>TEXT(B2912,"YYYY-MM")</f>
        <v/>
      </c>
    </row>
    <row r="2913">
      <c r="A2913" t="inlineStr">
        <is>
          <t>LD-302911</t>
        </is>
      </c>
      <c r="B2913" t="inlineStr">
        <is>
          <t>2025-11-18 16:51:00</t>
        </is>
      </c>
      <c r="C2913" t="inlineStr">
        <is>
          <t>Social Media</t>
        </is>
      </c>
      <c r="D2913" t="inlineStr">
        <is>
          <t>Coding for Kids</t>
        </is>
      </c>
      <c r="E2913" t="inlineStr">
        <is>
          <t>International</t>
        </is>
      </c>
      <c r="F2913" t="inlineStr">
        <is>
          <t>Rep_05</t>
        </is>
      </c>
      <c r="G2913" t="n">
        <v>0.78</v>
      </c>
      <c r="H2913" t="inlineStr">
        <is>
          <t>Lead</t>
        </is>
      </c>
      <c r="I2913" t="inlineStr">
        <is>
          <t>Open</t>
        </is>
      </c>
      <c r="M2913">
        <f>VLOOKUP(H2913,'Stage Order'!$A$2:$B$8,2,FALSE)</f>
        <v/>
      </c>
      <c r="N2913">
        <f>IF(G2913&lt;=1,"1. Under 1 hour",IF(G2913&lt;=24,"2. 1-24 hours",IF(G2913&lt;=72,"3. 1-3 days","4. Over 3 days")))</f>
        <v/>
      </c>
      <c r="O2913">
        <f>TEXT(B2913,"YYYY-MM")</f>
        <v/>
      </c>
    </row>
    <row r="2914">
      <c r="A2914" t="inlineStr">
        <is>
          <t>LD-302912</t>
        </is>
      </c>
      <c r="B2914" t="inlineStr">
        <is>
          <t>2026-04-24 08:02:00</t>
        </is>
      </c>
      <c r="C2914" t="inlineStr">
        <is>
          <t>Social Media</t>
        </is>
      </c>
      <c r="D2914" t="inlineStr">
        <is>
          <t>Coding for Kids</t>
        </is>
      </c>
      <c r="E2914" t="inlineStr">
        <is>
          <t>West Region</t>
        </is>
      </c>
      <c r="F2914" t="inlineStr">
        <is>
          <t>Rep_13</t>
        </is>
      </c>
      <c r="G2914" t="n">
        <v>1.22</v>
      </c>
      <c r="H2914" t="inlineStr">
        <is>
          <t>Contacted</t>
        </is>
      </c>
      <c r="I2914" t="inlineStr">
        <is>
          <t>Open</t>
        </is>
      </c>
      <c r="M2914">
        <f>VLOOKUP(H2914,'Stage Order'!$A$2:$B$8,2,FALSE)</f>
        <v/>
      </c>
      <c r="N2914">
        <f>IF(G2914&lt;=1,"1. Under 1 hour",IF(G2914&lt;=24,"2. 1-24 hours",IF(G2914&lt;=72,"3. 1-3 days","4. Over 3 days")))</f>
        <v/>
      </c>
      <c r="O2914">
        <f>TEXT(B2914,"YYYY-MM")</f>
        <v/>
      </c>
    </row>
    <row r="2915">
      <c r="A2915" t="inlineStr">
        <is>
          <t>LD-302913</t>
        </is>
      </c>
      <c r="B2915" t="inlineStr">
        <is>
          <t>2025-12-16 18:54:00</t>
        </is>
      </c>
      <c r="C2915" t="inlineStr">
        <is>
          <t>Referral</t>
        </is>
      </c>
      <c r="D2915" t="inlineStr">
        <is>
          <t>Competitive Exam Prep</t>
        </is>
      </c>
      <c r="E2915" t="inlineStr">
        <is>
          <t>International</t>
        </is>
      </c>
      <c r="F2915" t="inlineStr">
        <is>
          <t>Rep_05</t>
        </is>
      </c>
      <c r="G2915" t="n">
        <v>2.68</v>
      </c>
      <c r="H2915" t="inlineStr">
        <is>
          <t>Contacted</t>
        </is>
      </c>
      <c r="I2915" t="inlineStr">
        <is>
          <t>Open</t>
        </is>
      </c>
      <c r="M2915">
        <f>VLOOKUP(H2915,'Stage Order'!$A$2:$B$8,2,FALSE)</f>
        <v/>
      </c>
      <c r="N2915">
        <f>IF(G2915&lt;=1,"1. Under 1 hour",IF(G2915&lt;=24,"2. 1-24 hours",IF(G2915&lt;=72,"3. 1-3 days","4. Over 3 days")))</f>
        <v/>
      </c>
      <c r="O2915">
        <f>TEXT(B2915,"YYYY-MM")</f>
        <v/>
      </c>
    </row>
    <row r="2916">
      <c r="A2916" t="inlineStr">
        <is>
          <t>LD-302914</t>
        </is>
      </c>
      <c r="B2916" t="inlineStr">
        <is>
          <t>2025-07-10 09:30:00</t>
        </is>
      </c>
      <c r="C2916" t="inlineStr">
        <is>
          <t>Social Media</t>
        </is>
      </c>
      <c r="D2916" t="inlineStr">
        <is>
          <t>Competitive Exam Prep</t>
        </is>
      </c>
      <c r="E2916" t="inlineStr">
        <is>
          <t>South Region</t>
        </is>
      </c>
      <c r="F2916" t="inlineStr">
        <is>
          <t>Rep_12</t>
        </is>
      </c>
      <c r="G2916" t="n">
        <v>1.68</v>
      </c>
      <c r="H2916" t="inlineStr">
        <is>
          <t>Contacted</t>
        </is>
      </c>
      <c r="I2916" t="inlineStr">
        <is>
          <t>Open</t>
        </is>
      </c>
      <c r="M2916">
        <f>VLOOKUP(H2916,'Stage Order'!$A$2:$B$8,2,FALSE)</f>
        <v/>
      </c>
      <c r="N2916">
        <f>IF(G2916&lt;=1,"1. Under 1 hour",IF(G2916&lt;=24,"2. 1-24 hours",IF(G2916&lt;=72,"3. 1-3 days","4. Over 3 days")))</f>
        <v/>
      </c>
      <c r="O2916">
        <f>TEXT(B2916,"YYYY-MM")</f>
        <v/>
      </c>
    </row>
    <row r="2917">
      <c r="A2917" t="inlineStr">
        <is>
          <t>LD-302915</t>
        </is>
      </c>
      <c r="B2917" t="inlineStr">
        <is>
          <t>2025-07-23 12:23:00</t>
        </is>
      </c>
      <c r="C2917" t="inlineStr">
        <is>
          <t>Cold Outreach</t>
        </is>
      </c>
      <c r="D2917" t="inlineStr">
        <is>
          <t>Competitive Exam Prep</t>
        </is>
      </c>
      <c r="E2917" t="inlineStr">
        <is>
          <t>South Region</t>
        </is>
      </c>
      <c r="F2917" t="inlineStr">
        <is>
          <t>Rep_07</t>
        </is>
      </c>
      <c r="G2917" t="n">
        <v>4.78</v>
      </c>
      <c r="H2917" t="inlineStr">
        <is>
          <t>Proposal Sent</t>
        </is>
      </c>
      <c r="I2917" t="inlineStr">
        <is>
          <t>Lost</t>
        </is>
      </c>
      <c r="J2917" t="inlineStr">
        <is>
          <t>Budget Not Approved</t>
        </is>
      </c>
      <c r="K2917" t="n">
        <v>1155.02</v>
      </c>
      <c r="L2917" t="inlineStr">
        <is>
          <t>2025-08-29 08:37:08.191007</t>
        </is>
      </c>
      <c r="M2917">
        <f>VLOOKUP(H2917,'Stage Order'!$A$2:$B$8,2,FALSE)</f>
        <v/>
      </c>
      <c r="N2917">
        <f>IF(G2917&lt;=1,"1. Under 1 hour",IF(G2917&lt;=24,"2. 1-24 hours",IF(G2917&lt;=72,"3. 1-3 days","4. Over 3 days")))</f>
        <v/>
      </c>
      <c r="O2917">
        <f>TEXT(B2917,"YYYY-MM")</f>
        <v/>
      </c>
    </row>
    <row r="2918">
      <c r="A2918" t="inlineStr">
        <is>
          <t>LD-302916</t>
        </is>
      </c>
      <c r="B2918" t="inlineStr">
        <is>
          <t>2025-07-18 20:03:00</t>
        </is>
      </c>
      <c r="C2918" t="inlineStr">
        <is>
          <t>Referral</t>
        </is>
      </c>
      <c r="D2918" t="inlineStr">
        <is>
          <t>Coding for Kids</t>
        </is>
      </c>
      <c r="E2918" t="inlineStr">
        <is>
          <t>West Region</t>
        </is>
      </c>
      <c r="F2918" t="inlineStr">
        <is>
          <t>Rep_13</t>
        </is>
      </c>
      <c r="G2918" t="n">
        <v>2.64</v>
      </c>
      <c r="H2918" t="inlineStr">
        <is>
          <t>Closed</t>
        </is>
      </c>
      <c r="I2918" t="inlineStr">
        <is>
          <t>Won</t>
        </is>
      </c>
      <c r="K2918" t="n">
        <v>697.11</v>
      </c>
      <c r="L2918" t="inlineStr">
        <is>
          <t>2025-08-26 03:41:42.390305</t>
        </is>
      </c>
      <c r="M2918">
        <f>VLOOKUP(H2918,'Stage Order'!$A$2:$B$8,2,FALSE)</f>
        <v/>
      </c>
      <c r="N2918">
        <f>IF(G2918&lt;=1,"1. Under 1 hour",IF(G2918&lt;=24,"2. 1-24 hours",IF(G2918&lt;=72,"3. 1-3 days","4. Over 3 days")))</f>
        <v/>
      </c>
      <c r="O2918">
        <f>TEXT(B2918,"YYYY-MM")</f>
        <v/>
      </c>
    </row>
    <row r="2919">
      <c r="A2919" t="inlineStr">
        <is>
          <t>LD-302917</t>
        </is>
      </c>
      <c r="B2919" t="inlineStr">
        <is>
          <t>2025-06-06 10:10:00</t>
        </is>
      </c>
      <c r="C2919" t="inlineStr">
        <is>
          <t>Paid Search</t>
        </is>
      </c>
      <c r="D2919" t="inlineStr">
        <is>
          <t>Competitive Exam Prep</t>
        </is>
      </c>
      <c r="E2919" t="inlineStr">
        <is>
          <t>South Region</t>
        </is>
      </c>
      <c r="F2919" t="inlineStr">
        <is>
          <t>Rep_12</t>
        </is>
      </c>
      <c r="G2919" t="n">
        <v>5.89</v>
      </c>
      <c r="H2919" t="inlineStr">
        <is>
          <t>Contacted</t>
        </is>
      </c>
      <c r="I2919" t="inlineStr">
        <is>
          <t>Open</t>
        </is>
      </c>
      <c r="M2919">
        <f>VLOOKUP(H2919,'Stage Order'!$A$2:$B$8,2,FALSE)</f>
        <v/>
      </c>
      <c r="N2919">
        <f>IF(G2919&lt;=1,"1. Under 1 hour",IF(G2919&lt;=24,"2. 1-24 hours",IF(G2919&lt;=72,"3. 1-3 days","4. Over 3 days")))</f>
        <v/>
      </c>
      <c r="O2919">
        <f>TEXT(B2919,"YYYY-MM")</f>
        <v/>
      </c>
    </row>
    <row r="2920">
      <c r="A2920" t="inlineStr">
        <is>
          <t>LD-302918</t>
        </is>
      </c>
      <c r="B2920" t="inlineStr">
        <is>
          <t>2025-12-17 12:07:00</t>
        </is>
      </c>
      <c r="C2920" t="inlineStr">
        <is>
          <t>Paid Search</t>
        </is>
      </c>
      <c r="D2920" t="inlineStr">
        <is>
          <t>Competitive Exam Prep</t>
        </is>
      </c>
      <c r="E2920" t="inlineStr">
        <is>
          <t>International</t>
        </is>
      </c>
      <c r="F2920" t="inlineStr">
        <is>
          <t>Rep_15</t>
        </is>
      </c>
      <c r="G2920" t="n">
        <v>2.61</v>
      </c>
      <c r="H2920" t="inlineStr">
        <is>
          <t>Demo Completed</t>
        </is>
      </c>
      <c r="I2920" t="inlineStr">
        <is>
          <t>Lost</t>
        </is>
      </c>
      <c r="J2920" t="inlineStr">
        <is>
          <t>Price Objection</t>
        </is>
      </c>
      <c r="K2920" t="n">
        <v>943.9400000000001</v>
      </c>
      <c r="L2920" t="inlineStr">
        <is>
          <t>2026-01-27 14:40:08.225944</t>
        </is>
      </c>
      <c r="M2920">
        <f>VLOOKUP(H2920,'Stage Order'!$A$2:$B$8,2,FALSE)</f>
        <v/>
      </c>
      <c r="N2920">
        <f>IF(G2920&lt;=1,"1. Under 1 hour",IF(G2920&lt;=24,"2. 1-24 hours",IF(G2920&lt;=72,"3. 1-3 days","4. Over 3 days")))</f>
        <v/>
      </c>
      <c r="O2920">
        <f>TEXT(B2920,"YYYY-MM")</f>
        <v/>
      </c>
    </row>
    <row r="2921">
      <c r="A2921" t="inlineStr">
        <is>
          <t>LD-302919</t>
        </is>
      </c>
      <c r="B2921" t="inlineStr">
        <is>
          <t>2026-05-06 18:09:00</t>
        </is>
      </c>
      <c r="C2921" t="inlineStr">
        <is>
          <t>Webinar</t>
        </is>
      </c>
      <c r="D2921" t="inlineStr">
        <is>
          <t>Coding for Kids</t>
        </is>
      </c>
      <c r="E2921" t="inlineStr">
        <is>
          <t>East Region</t>
        </is>
      </c>
      <c r="F2921" t="inlineStr">
        <is>
          <t>Rep_14</t>
        </is>
      </c>
      <c r="G2921" t="n">
        <v>13.91</v>
      </c>
      <c r="H2921" t="inlineStr">
        <is>
          <t>Demo Completed</t>
        </is>
      </c>
      <c r="I2921" t="inlineStr">
        <is>
          <t>Lost</t>
        </is>
      </c>
      <c r="J2921" t="inlineStr">
        <is>
          <t>Price Objection</t>
        </is>
      </c>
      <c r="K2921" t="n">
        <v>555.52</v>
      </c>
      <c r="L2921" t="inlineStr">
        <is>
          <t>2026-06-15 07:40:45.121014</t>
        </is>
      </c>
      <c r="M2921">
        <f>VLOOKUP(H2921,'Stage Order'!$A$2:$B$8,2,FALSE)</f>
        <v/>
      </c>
      <c r="N2921">
        <f>IF(G2921&lt;=1,"1. Under 1 hour",IF(G2921&lt;=24,"2. 1-24 hours",IF(G2921&lt;=72,"3. 1-3 days","4. Over 3 days")))</f>
        <v/>
      </c>
      <c r="O2921">
        <f>TEXT(B2921,"YYYY-MM")</f>
        <v/>
      </c>
    </row>
    <row r="2922">
      <c r="A2922" t="inlineStr">
        <is>
          <t>LD-302920</t>
        </is>
      </c>
      <c r="B2922" t="inlineStr">
        <is>
          <t>2026-01-12 13:00:00</t>
        </is>
      </c>
      <c r="C2922" t="inlineStr">
        <is>
          <t>Referral</t>
        </is>
      </c>
      <c r="D2922" t="inlineStr">
        <is>
          <t>Coding for Kids</t>
        </is>
      </c>
      <c r="E2922" t="inlineStr">
        <is>
          <t>South Region</t>
        </is>
      </c>
      <c r="F2922" t="inlineStr">
        <is>
          <t>Rep_07</t>
        </is>
      </c>
      <c r="G2922" t="n">
        <v>4.72</v>
      </c>
      <c r="H2922" t="inlineStr">
        <is>
          <t>Negotiation</t>
        </is>
      </c>
      <c r="I2922" t="inlineStr">
        <is>
          <t>Lost</t>
        </is>
      </c>
      <c r="J2922" t="inlineStr">
        <is>
          <t>Budget Not Approved</t>
        </is>
      </c>
      <c r="K2922" t="n">
        <v>700.8</v>
      </c>
      <c r="L2922" t="inlineStr">
        <is>
          <t>2026-02-21 12:04:32.210931</t>
        </is>
      </c>
      <c r="M2922">
        <f>VLOOKUP(H2922,'Stage Order'!$A$2:$B$8,2,FALSE)</f>
        <v/>
      </c>
      <c r="N2922">
        <f>IF(G2922&lt;=1,"1. Under 1 hour",IF(G2922&lt;=24,"2. 1-24 hours",IF(G2922&lt;=72,"3. 1-3 days","4. Over 3 days")))</f>
        <v/>
      </c>
      <c r="O2922">
        <f>TEXT(B2922,"YYYY-MM")</f>
        <v/>
      </c>
    </row>
    <row r="2923">
      <c r="A2923" t="inlineStr">
        <is>
          <t>LD-302921</t>
        </is>
      </c>
      <c r="B2923" t="inlineStr">
        <is>
          <t>2025-02-27 20:57:00</t>
        </is>
      </c>
      <c r="C2923" t="inlineStr">
        <is>
          <t>Cold Outreach</t>
        </is>
      </c>
      <c r="D2923" t="inlineStr">
        <is>
          <t>K-12 Math</t>
        </is>
      </c>
      <c r="E2923" t="inlineStr">
        <is>
          <t>East Region</t>
        </is>
      </c>
      <c r="F2923" t="inlineStr">
        <is>
          <t>Rep_14</t>
        </is>
      </c>
      <c r="G2923" t="n">
        <v>12.21</v>
      </c>
      <c r="H2923" t="inlineStr">
        <is>
          <t>Contacted</t>
        </is>
      </c>
      <c r="I2923" t="inlineStr">
        <is>
          <t>Open</t>
        </is>
      </c>
      <c r="M2923">
        <f>VLOOKUP(H2923,'Stage Order'!$A$2:$B$8,2,FALSE)</f>
        <v/>
      </c>
      <c r="N2923">
        <f>IF(G2923&lt;=1,"1. Under 1 hour",IF(G2923&lt;=24,"2. 1-24 hours",IF(G2923&lt;=72,"3. 1-3 days","4. Over 3 days")))</f>
        <v/>
      </c>
      <c r="O2923">
        <f>TEXT(B2923,"YYYY-MM")</f>
        <v/>
      </c>
    </row>
    <row r="2924">
      <c r="A2924" t="inlineStr">
        <is>
          <t>LD-302922</t>
        </is>
      </c>
      <c r="B2924" t="inlineStr">
        <is>
          <t>2026-06-29 17:57:00</t>
        </is>
      </c>
      <c r="C2924" t="inlineStr">
        <is>
          <t>Social Media</t>
        </is>
      </c>
      <c r="D2924" t="inlineStr">
        <is>
          <t>Language Learning</t>
        </is>
      </c>
      <c r="E2924" t="inlineStr">
        <is>
          <t>North Region</t>
        </is>
      </c>
      <c r="F2924" t="inlineStr">
        <is>
          <t>Rep_11</t>
        </is>
      </c>
      <c r="G2924" t="n">
        <v>7.23</v>
      </c>
      <c r="H2924" t="inlineStr">
        <is>
          <t>Proposal Sent</t>
        </is>
      </c>
      <c r="I2924" t="inlineStr">
        <is>
          <t>Lost</t>
        </is>
      </c>
      <c r="J2924" t="inlineStr">
        <is>
          <t>Went With Competitor</t>
        </is>
      </c>
      <c r="K2924" t="n">
        <v>421.71</v>
      </c>
      <c r="L2924" t="inlineStr">
        <is>
          <t>2026-08-05 02:48:56.189327</t>
        </is>
      </c>
      <c r="M2924">
        <f>VLOOKUP(H2924,'Stage Order'!$A$2:$B$8,2,FALSE)</f>
        <v/>
      </c>
      <c r="N2924">
        <f>IF(G2924&lt;=1,"1. Under 1 hour",IF(G2924&lt;=24,"2. 1-24 hours",IF(G2924&lt;=72,"3. 1-3 days","4. Over 3 days")))</f>
        <v/>
      </c>
      <c r="O2924">
        <f>TEXT(B2924,"YYYY-MM")</f>
        <v/>
      </c>
    </row>
    <row r="2925">
      <c r="A2925" t="inlineStr">
        <is>
          <t>LD-302923</t>
        </is>
      </c>
      <c r="B2925" t="inlineStr">
        <is>
          <t>2026-04-15 19:08:00</t>
        </is>
      </c>
      <c r="C2925" t="inlineStr">
        <is>
          <t>Paid Search</t>
        </is>
      </c>
      <c r="D2925" t="inlineStr">
        <is>
          <t>Competitive Exam Prep</t>
        </is>
      </c>
      <c r="E2925" t="inlineStr">
        <is>
          <t>West Region</t>
        </is>
      </c>
      <c r="F2925" t="inlineStr">
        <is>
          <t>Rep_03</t>
        </is>
      </c>
      <c r="G2925" t="n">
        <v>4.82</v>
      </c>
      <c r="H2925" t="inlineStr">
        <is>
          <t>Contacted</t>
        </is>
      </c>
      <c r="I2925" t="inlineStr">
        <is>
          <t>Open</t>
        </is>
      </c>
      <c r="M2925">
        <f>VLOOKUP(H2925,'Stage Order'!$A$2:$B$8,2,FALSE)</f>
        <v/>
      </c>
      <c r="N2925">
        <f>IF(G2925&lt;=1,"1. Under 1 hour",IF(G2925&lt;=24,"2. 1-24 hours",IF(G2925&lt;=72,"3. 1-3 days","4. Over 3 days")))</f>
        <v/>
      </c>
      <c r="O2925">
        <f>TEXT(B2925,"YYYY-MM")</f>
        <v/>
      </c>
    </row>
    <row r="2926">
      <c r="A2926" t="inlineStr">
        <is>
          <t>LD-302924</t>
        </is>
      </c>
      <c r="B2926" t="inlineStr">
        <is>
          <t>2025-03-18 08:48:00</t>
        </is>
      </c>
      <c r="C2926" t="inlineStr">
        <is>
          <t>Webinar</t>
        </is>
      </c>
      <c r="D2926" t="inlineStr">
        <is>
          <t>K-12 Math</t>
        </is>
      </c>
      <c r="E2926" t="inlineStr">
        <is>
          <t>South Region</t>
        </is>
      </c>
      <c r="F2926" t="inlineStr">
        <is>
          <t>Rep_07</t>
        </is>
      </c>
      <c r="G2926" t="n">
        <v>16.86</v>
      </c>
      <c r="H2926" t="inlineStr">
        <is>
          <t>Negotiation</t>
        </is>
      </c>
      <c r="I2926" t="inlineStr">
        <is>
          <t>Lost</t>
        </is>
      </c>
      <c r="J2926" t="inlineStr">
        <is>
          <t>Price Objection</t>
        </is>
      </c>
      <c r="K2926" t="n">
        <v>475.9</v>
      </c>
      <c r="L2926" t="inlineStr">
        <is>
          <t>2025-05-06 15:48:54.972038</t>
        </is>
      </c>
      <c r="M2926">
        <f>VLOOKUP(H2926,'Stage Order'!$A$2:$B$8,2,FALSE)</f>
        <v/>
      </c>
      <c r="N2926">
        <f>IF(G2926&lt;=1,"1. Under 1 hour",IF(G2926&lt;=24,"2. 1-24 hours",IF(G2926&lt;=72,"3. 1-3 days","4. Over 3 days")))</f>
        <v/>
      </c>
      <c r="O2926">
        <f>TEXT(B2926,"YYYY-MM")</f>
        <v/>
      </c>
    </row>
    <row r="2927">
      <c r="A2927" t="inlineStr">
        <is>
          <t>LD-302925</t>
        </is>
      </c>
      <c r="B2927" t="inlineStr">
        <is>
          <t>2025-03-04 14:20:00</t>
        </is>
      </c>
      <c r="C2927" t="inlineStr">
        <is>
          <t>Paid Search</t>
        </is>
      </c>
      <c r="D2927" t="inlineStr">
        <is>
          <t>K-12 Math</t>
        </is>
      </c>
      <c r="E2927" t="inlineStr">
        <is>
          <t>East Region</t>
        </is>
      </c>
      <c r="F2927" t="inlineStr">
        <is>
          <t>Rep_04</t>
        </is>
      </c>
      <c r="G2927" t="n">
        <v>1.59</v>
      </c>
      <c r="H2927" t="inlineStr">
        <is>
          <t>Lead</t>
        </is>
      </c>
      <c r="I2927" t="inlineStr">
        <is>
          <t>Open</t>
        </is>
      </c>
      <c r="M2927">
        <f>VLOOKUP(H2927,'Stage Order'!$A$2:$B$8,2,FALSE)</f>
        <v/>
      </c>
      <c r="N2927">
        <f>IF(G2927&lt;=1,"1. Under 1 hour",IF(G2927&lt;=24,"2. 1-24 hours",IF(G2927&lt;=72,"3. 1-3 days","4. Over 3 days")))</f>
        <v/>
      </c>
      <c r="O2927">
        <f>TEXT(B2927,"YYYY-MM")</f>
        <v/>
      </c>
    </row>
    <row r="2928">
      <c r="A2928" t="inlineStr">
        <is>
          <t>LD-302926</t>
        </is>
      </c>
      <c r="B2928" t="inlineStr">
        <is>
          <t>2025-02-06 13:45:00</t>
        </is>
      </c>
      <c r="C2928" t="inlineStr">
        <is>
          <t>Paid Search</t>
        </is>
      </c>
      <c r="D2928" t="inlineStr">
        <is>
          <t>Language Learning</t>
        </is>
      </c>
      <c r="E2928" t="inlineStr">
        <is>
          <t>South Region</t>
        </is>
      </c>
      <c r="F2928" t="inlineStr">
        <is>
          <t>Rep_12</t>
        </is>
      </c>
      <c r="G2928" t="n">
        <v>2.86</v>
      </c>
      <c r="H2928" t="inlineStr">
        <is>
          <t>Contacted</t>
        </is>
      </c>
      <c r="I2928" t="inlineStr">
        <is>
          <t>Open</t>
        </is>
      </c>
      <c r="M2928">
        <f>VLOOKUP(H2928,'Stage Order'!$A$2:$B$8,2,FALSE)</f>
        <v/>
      </c>
      <c r="N2928">
        <f>IF(G2928&lt;=1,"1. Under 1 hour",IF(G2928&lt;=24,"2. 1-24 hours",IF(G2928&lt;=72,"3. 1-3 days","4. Over 3 days")))</f>
        <v/>
      </c>
      <c r="O2928">
        <f>TEXT(B2928,"YYYY-MM")</f>
        <v/>
      </c>
    </row>
    <row r="2929">
      <c r="A2929" t="inlineStr">
        <is>
          <t>LD-302927</t>
        </is>
      </c>
      <c r="B2929" t="inlineStr">
        <is>
          <t>2025-02-16 07:11:00</t>
        </is>
      </c>
      <c r="C2929" t="inlineStr">
        <is>
          <t>Organic Search</t>
        </is>
      </c>
      <c r="D2929" t="inlineStr">
        <is>
          <t>Competitive Exam Prep</t>
        </is>
      </c>
      <c r="E2929" t="inlineStr">
        <is>
          <t>South Region</t>
        </is>
      </c>
      <c r="F2929" t="inlineStr">
        <is>
          <t>Rep_12</t>
        </is>
      </c>
      <c r="G2929" t="n">
        <v>1.2</v>
      </c>
      <c r="H2929" t="inlineStr">
        <is>
          <t>Contacted</t>
        </is>
      </c>
      <c r="I2929" t="inlineStr">
        <is>
          <t>Open</t>
        </is>
      </c>
      <c r="M2929">
        <f>VLOOKUP(H2929,'Stage Order'!$A$2:$B$8,2,FALSE)</f>
        <v/>
      </c>
      <c r="N2929">
        <f>IF(G2929&lt;=1,"1. Under 1 hour",IF(G2929&lt;=24,"2. 1-24 hours",IF(G2929&lt;=72,"3. 1-3 days","4. Over 3 days")))</f>
        <v/>
      </c>
      <c r="O2929">
        <f>TEXT(B2929,"YYYY-MM")</f>
        <v/>
      </c>
    </row>
    <row r="2930">
      <c r="A2930" t="inlineStr">
        <is>
          <t>LD-302928</t>
        </is>
      </c>
      <c r="B2930" t="inlineStr">
        <is>
          <t>2026-06-10 20:12:00</t>
        </is>
      </c>
      <c r="C2930" t="inlineStr">
        <is>
          <t>Referral</t>
        </is>
      </c>
      <c r="D2930" t="inlineStr">
        <is>
          <t>Competitive Exam Prep</t>
        </is>
      </c>
      <c r="E2930" t="inlineStr">
        <is>
          <t>East Region</t>
        </is>
      </c>
      <c r="F2930" t="inlineStr">
        <is>
          <t>Rep_09</t>
        </is>
      </c>
      <c r="G2930" t="n">
        <v>12.72</v>
      </c>
      <c r="H2930" t="inlineStr">
        <is>
          <t>Contacted</t>
        </is>
      </c>
      <c r="I2930" t="inlineStr">
        <is>
          <t>Open</t>
        </is>
      </c>
      <c r="M2930">
        <f>VLOOKUP(H2930,'Stage Order'!$A$2:$B$8,2,FALSE)</f>
        <v/>
      </c>
      <c r="N2930">
        <f>IF(G2930&lt;=1,"1. Under 1 hour",IF(G2930&lt;=24,"2. 1-24 hours",IF(G2930&lt;=72,"3. 1-3 days","4. Over 3 days")))</f>
        <v/>
      </c>
      <c r="O2930">
        <f>TEXT(B2930,"YYYY-MM")</f>
        <v/>
      </c>
    </row>
    <row r="2931">
      <c r="A2931" t="inlineStr">
        <is>
          <t>LD-302929</t>
        </is>
      </c>
      <c r="B2931" t="inlineStr">
        <is>
          <t>2026-05-02 08:35:00</t>
        </is>
      </c>
      <c r="C2931" t="inlineStr">
        <is>
          <t>Cold Outreach</t>
        </is>
      </c>
      <c r="D2931" t="inlineStr">
        <is>
          <t>Competitive Exam Prep</t>
        </is>
      </c>
      <c r="E2931" t="inlineStr">
        <is>
          <t>International</t>
        </is>
      </c>
      <c r="F2931" t="inlineStr">
        <is>
          <t>Rep_10</t>
        </is>
      </c>
      <c r="G2931" t="n">
        <v>5.81</v>
      </c>
      <c r="H2931" t="inlineStr">
        <is>
          <t>Lead</t>
        </is>
      </c>
      <c r="I2931" t="inlineStr">
        <is>
          <t>Open</t>
        </is>
      </c>
      <c r="M2931">
        <f>VLOOKUP(H2931,'Stage Order'!$A$2:$B$8,2,FALSE)</f>
        <v/>
      </c>
      <c r="N2931">
        <f>IF(G2931&lt;=1,"1. Under 1 hour",IF(G2931&lt;=24,"2. 1-24 hours",IF(G2931&lt;=72,"3. 1-3 days","4. Over 3 days")))</f>
        <v/>
      </c>
      <c r="O2931">
        <f>TEXT(B2931,"YYYY-MM")</f>
        <v/>
      </c>
    </row>
    <row r="2932">
      <c r="A2932" t="inlineStr">
        <is>
          <t>LD-302930</t>
        </is>
      </c>
      <c r="B2932" t="inlineStr">
        <is>
          <t>2025-11-25 13:35:00</t>
        </is>
      </c>
      <c r="C2932" t="inlineStr">
        <is>
          <t>Social Media</t>
        </is>
      </c>
      <c r="D2932" t="inlineStr">
        <is>
          <t>Competitive Exam Prep</t>
        </is>
      </c>
      <c r="E2932" t="inlineStr">
        <is>
          <t>South Region</t>
        </is>
      </c>
      <c r="F2932" t="inlineStr">
        <is>
          <t>Rep_12</t>
        </is>
      </c>
      <c r="G2932" t="n">
        <v>0.49</v>
      </c>
      <c r="H2932" t="inlineStr">
        <is>
          <t>Closed</t>
        </is>
      </c>
      <c r="I2932" t="inlineStr">
        <is>
          <t>Won</t>
        </is>
      </c>
      <c r="K2932" t="n">
        <v>1081.55</v>
      </c>
      <c r="L2932" t="inlineStr">
        <is>
          <t>2026-01-10 15:23:49.419039</t>
        </is>
      </c>
      <c r="M2932">
        <f>VLOOKUP(H2932,'Stage Order'!$A$2:$B$8,2,FALSE)</f>
        <v/>
      </c>
      <c r="N2932">
        <f>IF(G2932&lt;=1,"1. Under 1 hour",IF(G2932&lt;=24,"2. 1-24 hours",IF(G2932&lt;=72,"3. 1-3 days","4. Over 3 days")))</f>
        <v/>
      </c>
      <c r="O2932">
        <f>TEXT(B2932,"YYYY-MM")</f>
        <v/>
      </c>
    </row>
    <row r="2933">
      <c r="A2933" t="inlineStr">
        <is>
          <t>LD-302931</t>
        </is>
      </c>
      <c r="B2933" t="inlineStr">
        <is>
          <t>2026-06-09 17:27:00</t>
        </is>
      </c>
      <c r="C2933" t="inlineStr">
        <is>
          <t>Referral</t>
        </is>
      </c>
      <c r="D2933" t="inlineStr">
        <is>
          <t>Coding for Kids</t>
        </is>
      </c>
      <c r="E2933" t="inlineStr">
        <is>
          <t>North Region</t>
        </is>
      </c>
      <c r="F2933" t="inlineStr">
        <is>
          <t>Rep_11</t>
        </is>
      </c>
      <c r="G2933" t="n">
        <v>0.92</v>
      </c>
      <c r="H2933" t="inlineStr">
        <is>
          <t>Closed</t>
        </is>
      </c>
      <c r="I2933" t="inlineStr">
        <is>
          <t>Won</t>
        </is>
      </c>
      <c r="K2933" t="n">
        <v>649.84</v>
      </c>
      <c r="L2933" t="inlineStr">
        <is>
          <t>2026-07-19 20:41:39.969312</t>
        </is>
      </c>
      <c r="M2933">
        <f>VLOOKUP(H2933,'Stage Order'!$A$2:$B$8,2,FALSE)</f>
        <v/>
      </c>
      <c r="N2933">
        <f>IF(G2933&lt;=1,"1. Under 1 hour",IF(G2933&lt;=24,"2. 1-24 hours",IF(G2933&lt;=72,"3. 1-3 days","4. Over 3 days")))</f>
        <v/>
      </c>
      <c r="O2933">
        <f>TEXT(B2933,"YYYY-MM")</f>
        <v/>
      </c>
    </row>
    <row r="2934">
      <c r="A2934" t="inlineStr">
        <is>
          <t>LD-302932</t>
        </is>
      </c>
      <c r="B2934" t="inlineStr">
        <is>
          <t>2025-10-11 16:58:00</t>
        </is>
      </c>
      <c r="C2934" t="inlineStr">
        <is>
          <t>Webinar</t>
        </is>
      </c>
      <c r="D2934" t="inlineStr">
        <is>
          <t>Language Learning</t>
        </is>
      </c>
      <c r="E2934" t="inlineStr">
        <is>
          <t>North Region</t>
        </is>
      </c>
      <c r="F2934" t="inlineStr">
        <is>
          <t>Rep_06</t>
        </is>
      </c>
      <c r="G2934" t="n">
        <v>1.28</v>
      </c>
      <c r="H2934" t="inlineStr">
        <is>
          <t>Lead</t>
        </is>
      </c>
      <c r="I2934" t="inlineStr">
        <is>
          <t>Open</t>
        </is>
      </c>
      <c r="M2934">
        <f>VLOOKUP(H2934,'Stage Order'!$A$2:$B$8,2,FALSE)</f>
        <v/>
      </c>
      <c r="N2934">
        <f>IF(G2934&lt;=1,"1. Under 1 hour",IF(G2934&lt;=24,"2. 1-24 hours",IF(G2934&lt;=72,"3. 1-3 days","4. Over 3 days")))</f>
        <v/>
      </c>
      <c r="O2934">
        <f>TEXT(B2934,"YYYY-MM")</f>
        <v/>
      </c>
    </row>
    <row r="2935">
      <c r="A2935" t="inlineStr">
        <is>
          <t>LD-302933</t>
        </is>
      </c>
      <c r="B2935" t="inlineStr">
        <is>
          <t>2026-01-16 17:03:00</t>
        </is>
      </c>
      <c r="C2935" t="inlineStr">
        <is>
          <t>Webinar</t>
        </is>
      </c>
      <c r="D2935" t="inlineStr">
        <is>
          <t>Competitive Exam Prep</t>
        </is>
      </c>
      <c r="E2935" t="inlineStr">
        <is>
          <t>North Region</t>
        </is>
      </c>
      <c r="F2935" t="inlineStr">
        <is>
          <t>Rep_11</t>
        </is>
      </c>
      <c r="G2935" t="n">
        <v>1.18</v>
      </c>
      <c r="H2935" t="inlineStr">
        <is>
          <t>Demo Scheduled</t>
        </is>
      </c>
      <c r="I2935" t="inlineStr">
        <is>
          <t>Open</t>
        </is>
      </c>
      <c r="M2935">
        <f>VLOOKUP(H2935,'Stage Order'!$A$2:$B$8,2,FALSE)</f>
        <v/>
      </c>
      <c r="N2935">
        <f>IF(G2935&lt;=1,"1. Under 1 hour",IF(G2935&lt;=24,"2. 1-24 hours",IF(G2935&lt;=72,"3. 1-3 days","4. Over 3 days")))</f>
        <v/>
      </c>
      <c r="O2935">
        <f>TEXT(B2935,"YYYY-MM")</f>
        <v/>
      </c>
    </row>
    <row r="2936">
      <c r="A2936" t="inlineStr">
        <is>
          <t>LD-302934</t>
        </is>
      </c>
      <c r="B2936" t="inlineStr">
        <is>
          <t>2025-05-16 19:09:00</t>
        </is>
      </c>
      <c r="C2936" t="inlineStr">
        <is>
          <t>Organic Search</t>
        </is>
      </c>
      <c r="D2936" t="inlineStr">
        <is>
          <t>Competitive Exam Prep</t>
        </is>
      </c>
      <c r="E2936" t="inlineStr">
        <is>
          <t>North Region</t>
        </is>
      </c>
      <c r="F2936" t="inlineStr">
        <is>
          <t>Rep_11</t>
        </is>
      </c>
      <c r="G2936" t="n">
        <v>0.82</v>
      </c>
      <c r="H2936" t="inlineStr">
        <is>
          <t>Demo Completed</t>
        </is>
      </c>
      <c r="I2936" t="inlineStr">
        <is>
          <t>Lost</t>
        </is>
      </c>
      <c r="J2936" t="inlineStr">
        <is>
          <t>Price Objection</t>
        </is>
      </c>
      <c r="K2936" t="n">
        <v>1153.21</v>
      </c>
      <c r="L2936" t="inlineStr">
        <is>
          <t>2025-06-04 08:12:59.754655</t>
        </is>
      </c>
      <c r="M2936">
        <f>VLOOKUP(H2936,'Stage Order'!$A$2:$B$8,2,FALSE)</f>
        <v/>
      </c>
      <c r="N2936">
        <f>IF(G2936&lt;=1,"1. Under 1 hour",IF(G2936&lt;=24,"2. 1-24 hours",IF(G2936&lt;=72,"3. 1-3 days","4. Over 3 days")))</f>
        <v/>
      </c>
      <c r="O2936">
        <f>TEXT(B2936,"YYYY-MM")</f>
        <v/>
      </c>
    </row>
    <row r="2937">
      <c r="A2937" t="inlineStr">
        <is>
          <t>LD-302935</t>
        </is>
      </c>
      <c r="B2937" t="inlineStr">
        <is>
          <t>2025-02-14 09:26:00</t>
        </is>
      </c>
      <c r="C2937" t="inlineStr">
        <is>
          <t>Webinar</t>
        </is>
      </c>
      <c r="D2937" t="inlineStr">
        <is>
          <t>K-12 Math</t>
        </is>
      </c>
      <c r="E2937" t="inlineStr">
        <is>
          <t>West Region</t>
        </is>
      </c>
      <c r="F2937" t="inlineStr">
        <is>
          <t>Rep_13</t>
        </is>
      </c>
      <c r="G2937" t="n">
        <v>4.76</v>
      </c>
      <c r="H2937" t="inlineStr">
        <is>
          <t>Negotiation</t>
        </is>
      </c>
      <c r="I2937" t="inlineStr">
        <is>
          <t>Lost</t>
        </is>
      </c>
      <c r="J2937" t="inlineStr">
        <is>
          <t>Went With Competitor</t>
        </is>
      </c>
      <c r="K2937" t="n">
        <v>423.65</v>
      </c>
      <c r="L2937" t="inlineStr">
        <is>
          <t>2025-03-23 16:52:09.536399</t>
        </is>
      </c>
      <c r="M2937">
        <f>VLOOKUP(H2937,'Stage Order'!$A$2:$B$8,2,FALSE)</f>
        <v/>
      </c>
      <c r="N2937">
        <f>IF(G2937&lt;=1,"1. Under 1 hour",IF(G2937&lt;=24,"2. 1-24 hours",IF(G2937&lt;=72,"3. 1-3 days","4. Over 3 days")))</f>
        <v/>
      </c>
      <c r="O2937">
        <f>TEXT(B2937,"YYYY-MM")</f>
        <v/>
      </c>
    </row>
    <row r="2938">
      <c r="A2938" t="inlineStr">
        <is>
          <t>LD-302936</t>
        </is>
      </c>
      <c r="B2938" t="inlineStr">
        <is>
          <t>2025-06-09 12:59:00</t>
        </is>
      </c>
      <c r="C2938" t="inlineStr">
        <is>
          <t>Webinar</t>
        </is>
      </c>
      <c r="D2938" t="inlineStr">
        <is>
          <t>Language Learning</t>
        </is>
      </c>
      <c r="E2938" t="inlineStr">
        <is>
          <t>South Region</t>
        </is>
      </c>
      <c r="F2938" t="inlineStr">
        <is>
          <t>Rep_02</t>
        </is>
      </c>
      <c r="G2938" t="n">
        <v>1.42</v>
      </c>
      <c r="H2938" t="inlineStr">
        <is>
          <t>Contacted</t>
        </is>
      </c>
      <c r="I2938" t="inlineStr">
        <is>
          <t>Open</t>
        </is>
      </c>
      <c r="M2938">
        <f>VLOOKUP(H2938,'Stage Order'!$A$2:$B$8,2,FALSE)</f>
        <v/>
      </c>
      <c r="N2938">
        <f>IF(G2938&lt;=1,"1. Under 1 hour",IF(G2938&lt;=24,"2. 1-24 hours",IF(G2938&lt;=72,"3. 1-3 days","4. Over 3 days")))</f>
        <v/>
      </c>
      <c r="O2938">
        <f>TEXT(B2938,"YYYY-MM")</f>
        <v/>
      </c>
    </row>
    <row r="2939">
      <c r="A2939" t="inlineStr">
        <is>
          <t>LD-302937</t>
        </is>
      </c>
      <c r="B2939" t="inlineStr">
        <is>
          <t>2025-04-11 07:57:00</t>
        </is>
      </c>
      <c r="C2939" t="inlineStr">
        <is>
          <t>Organic Search</t>
        </is>
      </c>
      <c r="D2939" t="inlineStr">
        <is>
          <t>Competitive Exam Prep</t>
        </is>
      </c>
      <c r="E2939" t="inlineStr">
        <is>
          <t>North Region</t>
        </is>
      </c>
      <c r="F2939" t="inlineStr">
        <is>
          <t>Rep_01</t>
        </is>
      </c>
      <c r="G2939" t="n">
        <v>3.42</v>
      </c>
      <c r="H2939" t="inlineStr">
        <is>
          <t>Negotiation</t>
        </is>
      </c>
      <c r="I2939" t="inlineStr">
        <is>
          <t>Lost</t>
        </is>
      </c>
      <c r="J2939" t="inlineStr">
        <is>
          <t>Went With Competitor</t>
        </is>
      </c>
      <c r="K2939" t="n">
        <v>905.26</v>
      </c>
      <c r="L2939" t="inlineStr">
        <is>
          <t>2025-06-23 03:45:16.675768</t>
        </is>
      </c>
      <c r="M2939">
        <f>VLOOKUP(H2939,'Stage Order'!$A$2:$B$8,2,FALSE)</f>
        <v/>
      </c>
      <c r="N2939">
        <f>IF(G2939&lt;=1,"1. Under 1 hour",IF(G2939&lt;=24,"2. 1-24 hours",IF(G2939&lt;=72,"3. 1-3 days","4. Over 3 days")))</f>
        <v/>
      </c>
      <c r="O2939">
        <f>TEXT(B2939,"YYYY-MM")</f>
        <v/>
      </c>
    </row>
    <row r="2940">
      <c r="A2940" t="inlineStr">
        <is>
          <t>LD-302938</t>
        </is>
      </c>
      <c r="B2940" t="inlineStr">
        <is>
          <t>2025-08-17 18:43:00</t>
        </is>
      </c>
      <c r="C2940" t="inlineStr">
        <is>
          <t>Partner Channel</t>
        </is>
      </c>
      <c r="D2940" t="inlineStr">
        <is>
          <t>Coding for Kids</t>
        </is>
      </c>
      <c r="E2940" t="inlineStr">
        <is>
          <t>East Region</t>
        </is>
      </c>
      <c r="F2940" t="inlineStr">
        <is>
          <t>Rep_14</t>
        </is>
      </c>
      <c r="G2940" t="n">
        <v>0.65</v>
      </c>
      <c r="H2940" t="inlineStr">
        <is>
          <t>Contacted</t>
        </is>
      </c>
      <c r="I2940" t="inlineStr">
        <is>
          <t>Open</t>
        </is>
      </c>
      <c r="M2940">
        <f>VLOOKUP(H2940,'Stage Order'!$A$2:$B$8,2,FALSE)</f>
        <v/>
      </c>
      <c r="N2940">
        <f>IF(G2940&lt;=1,"1. Under 1 hour",IF(G2940&lt;=24,"2. 1-24 hours",IF(G2940&lt;=72,"3. 1-3 days","4. Over 3 days")))</f>
        <v/>
      </c>
      <c r="O2940">
        <f>TEXT(B2940,"YYYY-MM")</f>
        <v/>
      </c>
    </row>
    <row r="2941">
      <c r="A2941" t="inlineStr">
        <is>
          <t>LD-302939</t>
        </is>
      </c>
      <c r="B2941" t="inlineStr">
        <is>
          <t>2026-06-27 14:48:00</t>
        </is>
      </c>
      <c r="C2941" t="inlineStr">
        <is>
          <t>Partner Channel</t>
        </is>
      </c>
      <c r="D2941" t="inlineStr">
        <is>
          <t>Coding for Kids</t>
        </is>
      </c>
      <c r="E2941" t="inlineStr">
        <is>
          <t>North Region</t>
        </is>
      </c>
      <c r="F2941" t="inlineStr">
        <is>
          <t>Rep_06</t>
        </is>
      </c>
      <c r="G2941" t="n">
        <v>8.550000000000001</v>
      </c>
      <c r="H2941" t="inlineStr">
        <is>
          <t>Contacted</t>
        </is>
      </c>
      <c r="I2941" t="inlineStr">
        <is>
          <t>Open</t>
        </is>
      </c>
      <c r="M2941">
        <f>VLOOKUP(H2941,'Stage Order'!$A$2:$B$8,2,FALSE)</f>
        <v/>
      </c>
      <c r="N2941">
        <f>IF(G2941&lt;=1,"1. Under 1 hour",IF(G2941&lt;=24,"2. 1-24 hours",IF(G2941&lt;=72,"3. 1-3 days","4. Over 3 days")))</f>
        <v/>
      </c>
      <c r="O2941">
        <f>TEXT(B2941,"YYYY-MM")</f>
        <v/>
      </c>
    </row>
    <row r="2942">
      <c r="A2942" t="inlineStr">
        <is>
          <t>LD-302940</t>
        </is>
      </c>
      <c r="B2942" t="inlineStr">
        <is>
          <t>2025-06-20 12:59:00</t>
        </is>
      </c>
      <c r="C2942" t="inlineStr">
        <is>
          <t>Referral</t>
        </is>
      </c>
      <c r="D2942" t="inlineStr">
        <is>
          <t>K-12 Math</t>
        </is>
      </c>
      <c r="E2942" t="inlineStr">
        <is>
          <t>East Region</t>
        </is>
      </c>
      <c r="F2942" t="inlineStr">
        <is>
          <t>Rep_04</t>
        </is>
      </c>
      <c r="G2942" t="n">
        <v>2.48</v>
      </c>
      <c r="H2942" t="inlineStr">
        <is>
          <t>Demo Completed</t>
        </is>
      </c>
      <c r="I2942" t="inlineStr">
        <is>
          <t>Lost</t>
        </is>
      </c>
      <c r="J2942" t="inlineStr">
        <is>
          <t>No Response / Ghosted</t>
        </is>
      </c>
      <c r="K2942" t="n">
        <v>574.87</v>
      </c>
      <c r="L2942" t="inlineStr">
        <is>
          <t>2025-07-18 15:41:34.552797</t>
        </is>
      </c>
      <c r="M2942">
        <f>VLOOKUP(H2942,'Stage Order'!$A$2:$B$8,2,FALSE)</f>
        <v/>
      </c>
      <c r="N2942">
        <f>IF(G2942&lt;=1,"1. Under 1 hour",IF(G2942&lt;=24,"2. 1-24 hours",IF(G2942&lt;=72,"3. 1-3 days","4. Over 3 days")))</f>
        <v/>
      </c>
      <c r="O2942">
        <f>TEXT(B2942,"YYYY-MM")</f>
        <v/>
      </c>
    </row>
    <row r="2943">
      <c r="A2943" t="inlineStr">
        <is>
          <t>LD-302941</t>
        </is>
      </c>
      <c r="B2943" t="inlineStr">
        <is>
          <t>2025-06-04 11:39:00</t>
        </is>
      </c>
      <c r="C2943" t="inlineStr">
        <is>
          <t>Referral</t>
        </is>
      </c>
      <c r="D2943" t="inlineStr">
        <is>
          <t>Competitive Exam Prep</t>
        </is>
      </c>
      <c r="E2943" t="inlineStr">
        <is>
          <t>North Region</t>
        </is>
      </c>
      <c r="F2943" t="inlineStr">
        <is>
          <t>Rep_11</t>
        </is>
      </c>
      <c r="G2943" t="n">
        <v>1.61</v>
      </c>
      <c r="H2943" t="inlineStr">
        <is>
          <t>Closed</t>
        </is>
      </c>
      <c r="I2943" t="inlineStr">
        <is>
          <t>Won</t>
        </is>
      </c>
      <c r="K2943" t="n">
        <v>939.84</v>
      </c>
      <c r="L2943" t="inlineStr">
        <is>
          <t>2025-07-13 23:49:10.639237</t>
        </is>
      </c>
      <c r="M2943">
        <f>VLOOKUP(H2943,'Stage Order'!$A$2:$B$8,2,FALSE)</f>
        <v/>
      </c>
      <c r="N2943">
        <f>IF(G2943&lt;=1,"1. Under 1 hour",IF(G2943&lt;=24,"2. 1-24 hours",IF(G2943&lt;=72,"3. 1-3 days","4. Over 3 days")))</f>
        <v/>
      </c>
      <c r="O2943">
        <f>TEXT(B2943,"YYYY-MM")</f>
        <v/>
      </c>
    </row>
    <row r="2944">
      <c r="A2944" t="inlineStr">
        <is>
          <t>LD-302942</t>
        </is>
      </c>
      <c r="B2944" t="inlineStr">
        <is>
          <t>2026-05-10 16:58:00</t>
        </is>
      </c>
      <c r="C2944" t="inlineStr">
        <is>
          <t>Paid Search</t>
        </is>
      </c>
      <c r="D2944" t="inlineStr">
        <is>
          <t>Coding for Kids</t>
        </is>
      </c>
      <c r="E2944" t="inlineStr">
        <is>
          <t>International</t>
        </is>
      </c>
      <c r="F2944" t="inlineStr">
        <is>
          <t>Rep_05</t>
        </is>
      </c>
      <c r="G2944" t="n">
        <v>5.62</v>
      </c>
      <c r="H2944" t="inlineStr">
        <is>
          <t>Demo Completed</t>
        </is>
      </c>
      <c r="I2944" t="inlineStr">
        <is>
          <t>Lost</t>
        </is>
      </c>
      <c r="J2944" t="inlineStr">
        <is>
          <t>Price Objection</t>
        </is>
      </c>
      <c r="K2944" t="n">
        <v>693.9400000000001</v>
      </c>
      <c r="L2944" t="inlineStr">
        <is>
          <t>2026-05-31 19:01:02.469840</t>
        </is>
      </c>
      <c r="M2944">
        <f>VLOOKUP(H2944,'Stage Order'!$A$2:$B$8,2,FALSE)</f>
        <v/>
      </c>
      <c r="N2944">
        <f>IF(G2944&lt;=1,"1. Under 1 hour",IF(G2944&lt;=24,"2. 1-24 hours",IF(G2944&lt;=72,"3. 1-3 days","4. Over 3 days")))</f>
        <v/>
      </c>
      <c r="O2944">
        <f>TEXT(B2944,"YYYY-MM")</f>
        <v/>
      </c>
    </row>
    <row r="2945">
      <c r="A2945" t="inlineStr">
        <is>
          <t>LD-302943</t>
        </is>
      </c>
      <c r="B2945" t="inlineStr">
        <is>
          <t>2025-09-26 13:48:00</t>
        </is>
      </c>
      <c r="C2945" t="inlineStr">
        <is>
          <t>Organic Search</t>
        </is>
      </c>
      <c r="D2945" t="inlineStr">
        <is>
          <t>Coding for Kids</t>
        </is>
      </c>
      <c r="E2945" t="inlineStr">
        <is>
          <t>South Region</t>
        </is>
      </c>
      <c r="F2945" t="inlineStr">
        <is>
          <t>Rep_12</t>
        </is>
      </c>
      <c r="G2945" t="n">
        <v>8.539999999999999</v>
      </c>
      <c r="H2945" t="inlineStr">
        <is>
          <t>Negotiation</t>
        </is>
      </c>
      <c r="I2945" t="inlineStr">
        <is>
          <t>Lost</t>
        </is>
      </c>
      <c r="J2945" t="inlineStr">
        <is>
          <t>Price Objection</t>
        </is>
      </c>
      <c r="K2945" t="n">
        <v>675.04</v>
      </c>
      <c r="L2945" t="inlineStr">
        <is>
          <t>2025-11-17 04:07:02.545173</t>
        </is>
      </c>
      <c r="M2945">
        <f>VLOOKUP(H2945,'Stage Order'!$A$2:$B$8,2,FALSE)</f>
        <v/>
      </c>
      <c r="N2945">
        <f>IF(G2945&lt;=1,"1. Under 1 hour",IF(G2945&lt;=24,"2. 1-24 hours",IF(G2945&lt;=72,"3. 1-3 days","4. Over 3 days")))</f>
        <v/>
      </c>
      <c r="O2945">
        <f>TEXT(B2945,"YYYY-MM")</f>
        <v/>
      </c>
    </row>
    <row r="2946">
      <c r="A2946" t="inlineStr">
        <is>
          <t>LD-302944</t>
        </is>
      </c>
      <c r="B2946" t="inlineStr">
        <is>
          <t>2025-09-05 10:57:00</t>
        </is>
      </c>
      <c r="C2946" t="inlineStr">
        <is>
          <t>Organic Search</t>
        </is>
      </c>
      <c r="D2946" t="inlineStr">
        <is>
          <t>Coding for Kids</t>
        </is>
      </c>
      <c r="E2946" t="inlineStr">
        <is>
          <t>International</t>
        </is>
      </c>
      <c r="F2946" t="inlineStr">
        <is>
          <t>Rep_15</t>
        </is>
      </c>
      <c r="G2946" t="n">
        <v>7.46</v>
      </c>
      <c r="H2946" t="inlineStr">
        <is>
          <t>Demo Completed</t>
        </is>
      </c>
      <c r="I2946" t="inlineStr">
        <is>
          <t>Lost</t>
        </is>
      </c>
      <c r="J2946" t="inlineStr">
        <is>
          <t>Bad Timing</t>
        </is>
      </c>
      <c r="K2946" t="n">
        <v>583.58</v>
      </c>
      <c r="L2946" t="inlineStr">
        <is>
          <t>2025-10-09 23:19:35.161284</t>
        </is>
      </c>
      <c r="M2946">
        <f>VLOOKUP(H2946,'Stage Order'!$A$2:$B$8,2,FALSE)</f>
        <v/>
      </c>
      <c r="N2946">
        <f>IF(G2946&lt;=1,"1. Under 1 hour",IF(G2946&lt;=24,"2. 1-24 hours",IF(G2946&lt;=72,"3. 1-3 days","4. Over 3 days")))</f>
        <v/>
      </c>
      <c r="O2946">
        <f>TEXT(B2946,"YYYY-MM")</f>
        <v/>
      </c>
    </row>
    <row r="2947">
      <c r="A2947" t="inlineStr">
        <is>
          <t>LD-302945</t>
        </is>
      </c>
      <c r="B2947" t="inlineStr">
        <is>
          <t>2025-08-19 12:40:00</t>
        </is>
      </c>
      <c r="C2947" t="inlineStr">
        <is>
          <t>Referral</t>
        </is>
      </c>
      <c r="D2947" t="inlineStr">
        <is>
          <t>Language Learning</t>
        </is>
      </c>
      <c r="E2947" t="inlineStr">
        <is>
          <t>North Region</t>
        </is>
      </c>
      <c r="F2947" t="inlineStr">
        <is>
          <t>Rep_01</t>
        </is>
      </c>
      <c r="G2947" t="n">
        <v>3.35</v>
      </c>
      <c r="H2947" t="inlineStr">
        <is>
          <t>Closed</t>
        </is>
      </c>
      <c r="I2947" t="inlineStr">
        <is>
          <t>Won</t>
        </is>
      </c>
      <c r="K2947" t="n">
        <v>310.05</v>
      </c>
      <c r="L2947" t="inlineStr">
        <is>
          <t>2025-10-05 06:10:58.504881</t>
        </is>
      </c>
      <c r="M2947">
        <f>VLOOKUP(H2947,'Stage Order'!$A$2:$B$8,2,FALSE)</f>
        <v/>
      </c>
      <c r="N2947">
        <f>IF(G2947&lt;=1,"1. Under 1 hour",IF(G2947&lt;=24,"2. 1-24 hours",IF(G2947&lt;=72,"3. 1-3 days","4. Over 3 days")))</f>
        <v/>
      </c>
      <c r="O2947">
        <f>TEXT(B2947,"YYYY-MM")</f>
        <v/>
      </c>
    </row>
    <row r="2948">
      <c r="A2948" t="inlineStr">
        <is>
          <t>LD-302946</t>
        </is>
      </c>
      <c r="B2948" t="inlineStr">
        <is>
          <t>2025-10-20 18:27:00</t>
        </is>
      </c>
      <c r="C2948" t="inlineStr">
        <is>
          <t>Organic Search</t>
        </is>
      </c>
      <c r="D2948" t="inlineStr">
        <is>
          <t>K-12 Math</t>
        </is>
      </c>
      <c r="E2948" t="inlineStr">
        <is>
          <t>International</t>
        </is>
      </c>
      <c r="F2948" t="inlineStr">
        <is>
          <t>Rep_05</t>
        </is>
      </c>
      <c r="G2948" t="n">
        <v>0.63</v>
      </c>
      <c r="H2948" t="inlineStr">
        <is>
          <t>Contacted</t>
        </is>
      </c>
      <c r="I2948" t="inlineStr">
        <is>
          <t>Open</t>
        </is>
      </c>
      <c r="M2948">
        <f>VLOOKUP(H2948,'Stage Order'!$A$2:$B$8,2,FALSE)</f>
        <v/>
      </c>
      <c r="N2948">
        <f>IF(G2948&lt;=1,"1. Under 1 hour",IF(G2948&lt;=24,"2. 1-24 hours",IF(G2948&lt;=72,"3. 1-3 days","4. Over 3 days")))</f>
        <v/>
      </c>
      <c r="O2948">
        <f>TEXT(B2948,"YYYY-MM")</f>
        <v/>
      </c>
    </row>
    <row r="2949">
      <c r="A2949" t="inlineStr">
        <is>
          <t>LD-302947</t>
        </is>
      </c>
      <c r="B2949" t="inlineStr">
        <is>
          <t>2026-04-12 14:07:00</t>
        </is>
      </c>
      <c r="C2949" t="inlineStr">
        <is>
          <t>Organic Search</t>
        </is>
      </c>
      <c r="D2949" t="inlineStr">
        <is>
          <t>Competitive Exam Prep</t>
        </is>
      </c>
      <c r="E2949" t="inlineStr">
        <is>
          <t>South Region</t>
        </is>
      </c>
      <c r="F2949" t="inlineStr">
        <is>
          <t>Rep_12</t>
        </is>
      </c>
      <c r="G2949" t="n">
        <v>3.37</v>
      </c>
      <c r="H2949" t="inlineStr">
        <is>
          <t>Contacted</t>
        </is>
      </c>
      <c r="I2949" t="inlineStr">
        <is>
          <t>Open</t>
        </is>
      </c>
      <c r="M2949">
        <f>VLOOKUP(H2949,'Stage Order'!$A$2:$B$8,2,FALSE)</f>
        <v/>
      </c>
      <c r="N2949">
        <f>IF(G2949&lt;=1,"1. Under 1 hour",IF(G2949&lt;=24,"2. 1-24 hours",IF(G2949&lt;=72,"3. 1-3 days","4. Over 3 days")))</f>
        <v/>
      </c>
      <c r="O2949">
        <f>TEXT(B2949,"YYYY-MM")</f>
        <v/>
      </c>
    </row>
    <row r="2950">
      <c r="A2950" t="inlineStr">
        <is>
          <t>LD-302948</t>
        </is>
      </c>
      <c r="B2950" t="inlineStr">
        <is>
          <t>2025-08-18 18:28:00</t>
        </is>
      </c>
      <c r="C2950" t="inlineStr">
        <is>
          <t>Paid Search</t>
        </is>
      </c>
      <c r="D2950" t="inlineStr">
        <is>
          <t>Competitive Exam Prep</t>
        </is>
      </c>
      <c r="E2950" t="inlineStr">
        <is>
          <t>South Region</t>
        </is>
      </c>
      <c r="F2950" t="inlineStr">
        <is>
          <t>Rep_02</t>
        </is>
      </c>
      <c r="G2950" t="n">
        <v>1.81</v>
      </c>
      <c r="H2950" t="inlineStr">
        <is>
          <t>Contacted</t>
        </is>
      </c>
      <c r="I2950" t="inlineStr">
        <is>
          <t>Open</t>
        </is>
      </c>
      <c r="M2950">
        <f>VLOOKUP(H2950,'Stage Order'!$A$2:$B$8,2,FALSE)</f>
        <v/>
      </c>
      <c r="N2950">
        <f>IF(G2950&lt;=1,"1. Under 1 hour",IF(G2950&lt;=24,"2. 1-24 hours",IF(G2950&lt;=72,"3. 1-3 days","4. Over 3 days")))</f>
        <v/>
      </c>
      <c r="O2950">
        <f>TEXT(B2950,"YYYY-MM")</f>
        <v/>
      </c>
    </row>
    <row r="2951">
      <c r="A2951" t="inlineStr">
        <is>
          <t>LD-302949</t>
        </is>
      </c>
      <c r="B2951" t="inlineStr">
        <is>
          <t>2025-03-28 07:02:00</t>
        </is>
      </c>
      <c r="C2951" t="inlineStr">
        <is>
          <t>Paid Search</t>
        </is>
      </c>
      <c r="D2951" t="inlineStr">
        <is>
          <t>Coding for Kids</t>
        </is>
      </c>
      <c r="E2951" t="inlineStr">
        <is>
          <t>West Region</t>
        </is>
      </c>
      <c r="F2951" t="inlineStr">
        <is>
          <t>Rep_08</t>
        </is>
      </c>
      <c r="G2951" t="n">
        <v>3.19</v>
      </c>
      <c r="H2951" t="inlineStr">
        <is>
          <t>Contacted</t>
        </is>
      </c>
      <c r="I2951" t="inlineStr">
        <is>
          <t>Open</t>
        </is>
      </c>
      <c r="M2951">
        <f>VLOOKUP(H2951,'Stage Order'!$A$2:$B$8,2,FALSE)</f>
        <v/>
      </c>
      <c r="N2951">
        <f>IF(G2951&lt;=1,"1. Under 1 hour",IF(G2951&lt;=24,"2. 1-24 hours",IF(G2951&lt;=72,"3. 1-3 days","4. Over 3 days")))</f>
        <v/>
      </c>
      <c r="O2951">
        <f>TEXT(B2951,"YYYY-MM")</f>
        <v/>
      </c>
    </row>
    <row r="2952">
      <c r="A2952" t="inlineStr">
        <is>
          <t>LD-302950</t>
        </is>
      </c>
      <c r="B2952" t="inlineStr">
        <is>
          <t>2026-02-23 19:49:00</t>
        </is>
      </c>
      <c r="C2952" t="inlineStr">
        <is>
          <t>Cold Outreach</t>
        </is>
      </c>
      <c r="D2952" t="inlineStr">
        <is>
          <t>Competitive Exam Prep</t>
        </is>
      </c>
      <c r="E2952" t="inlineStr">
        <is>
          <t>South Region</t>
        </is>
      </c>
      <c r="F2952" t="inlineStr">
        <is>
          <t>Rep_12</t>
        </is>
      </c>
      <c r="G2952" t="n">
        <v>1.85</v>
      </c>
      <c r="H2952" t="inlineStr">
        <is>
          <t>Contacted</t>
        </is>
      </c>
      <c r="I2952" t="inlineStr">
        <is>
          <t>Open</t>
        </is>
      </c>
      <c r="M2952">
        <f>VLOOKUP(H2952,'Stage Order'!$A$2:$B$8,2,FALSE)</f>
        <v/>
      </c>
      <c r="N2952">
        <f>IF(G2952&lt;=1,"1. Under 1 hour",IF(G2952&lt;=24,"2. 1-24 hours",IF(G2952&lt;=72,"3. 1-3 days","4. Over 3 days")))</f>
        <v/>
      </c>
      <c r="O2952">
        <f>TEXT(B2952,"YYYY-MM")</f>
        <v/>
      </c>
    </row>
    <row r="2953">
      <c r="A2953" t="inlineStr">
        <is>
          <t>LD-302951</t>
        </is>
      </c>
      <c r="B2953" t="inlineStr">
        <is>
          <t>2026-03-25 07:33:00</t>
        </is>
      </c>
      <c r="C2953" t="inlineStr">
        <is>
          <t>Social Media</t>
        </is>
      </c>
      <c r="D2953" t="inlineStr">
        <is>
          <t>Coding for Kids</t>
        </is>
      </c>
      <c r="E2953" t="inlineStr">
        <is>
          <t>North Region</t>
        </is>
      </c>
      <c r="F2953" t="inlineStr">
        <is>
          <t>Rep_06</t>
        </is>
      </c>
      <c r="G2953" t="n">
        <v>34.28</v>
      </c>
      <c r="H2953" t="inlineStr">
        <is>
          <t>Lead</t>
        </is>
      </c>
      <c r="I2953" t="inlineStr">
        <is>
          <t>Open</t>
        </is>
      </c>
      <c r="M2953">
        <f>VLOOKUP(H2953,'Stage Order'!$A$2:$B$8,2,FALSE)</f>
        <v/>
      </c>
      <c r="N2953">
        <f>IF(G2953&lt;=1,"1. Under 1 hour",IF(G2953&lt;=24,"2. 1-24 hours",IF(G2953&lt;=72,"3. 1-3 days","4. Over 3 days")))</f>
        <v/>
      </c>
      <c r="O2953">
        <f>TEXT(B2953,"YYYY-MM")</f>
        <v/>
      </c>
    </row>
    <row r="2954">
      <c r="A2954" t="inlineStr">
        <is>
          <t>LD-302952</t>
        </is>
      </c>
      <c r="B2954" t="inlineStr">
        <is>
          <t>2025-11-03 08:29:00</t>
        </is>
      </c>
      <c r="C2954" t="inlineStr">
        <is>
          <t>Organic Search</t>
        </is>
      </c>
      <c r="D2954" t="inlineStr">
        <is>
          <t>Coding for Kids</t>
        </is>
      </c>
      <c r="E2954" t="inlineStr">
        <is>
          <t>South Region</t>
        </is>
      </c>
      <c r="F2954" t="inlineStr">
        <is>
          <t>Rep_02</t>
        </is>
      </c>
      <c r="G2954" t="n">
        <v>3.84</v>
      </c>
      <c r="H2954" t="inlineStr">
        <is>
          <t>Demo Completed</t>
        </is>
      </c>
      <c r="I2954" t="inlineStr">
        <is>
          <t>Lost</t>
        </is>
      </c>
      <c r="J2954" t="inlineStr">
        <is>
          <t>Price Objection</t>
        </is>
      </c>
      <c r="K2954" t="n">
        <v>753.09</v>
      </c>
      <c r="L2954" t="inlineStr">
        <is>
          <t>2025-12-10 22:29:01.578668</t>
        </is>
      </c>
      <c r="M2954">
        <f>VLOOKUP(H2954,'Stage Order'!$A$2:$B$8,2,FALSE)</f>
        <v/>
      </c>
      <c r="N2954">
        <f>IF(G2954&lt;=1,"1. Under 1 hour",IF(G2954&lt;=24,"2. 1-24 hours",IF(G2954&lt;=72,"3. 1-3 days","4. Over 3 days")))</f>
        <v/>
      </c>
      <c r="O2954">
        <f>TEXT(B2954,"YYYY-MM")</f>
        <v/>
      </c>
    </row>
    <row r="2955">
      <c r="A2955" t="inlineStr">
        <is>
          <t>LD-302953</t>
        </is>
      </c>
      <c r="B2955" t="inlineStr">
        <is>
          <t>2026-06-15 09:45:00</t>
        </is>
      </c>
      <c r="C2955" t="inlineStr">
        <is>
          <t>Cold Outreach</t>
        </is>
      </c>
      <c r="D2955" t="inlineStr">
        <is>
          <t>Study Abroad Prep</t>
        </is>
      </c>
      <c r="E2955" t="inlineStr">
        <is>
          <t>South Region</t>
        </is>
      </c>
      <c r="F2955" t="inlineStr">
        <is>
          <t>Rep_12</t>
        </is>
      </c>
      <c r="G2955" t="n">
        <v>6.84</v>
      </c>
      <c r="H2955" t="inlineStr">
        <is>
          <t>Lead</t>
        </is>
      </c>
      <c r="I2955" t="inlineStr">
        <is>
          <t>Open</t>
        </is>
      </c>
      <c r="M2955">
        <f>VLOOKUP(H2955,'Stage Order'!$A$2:$B$8,2,FALSE)</f>
        <v/>
      </c>
      <c r="N2955">
        <f>IF(G2955&lt;=1,"1. Under 1 hour",IF(G2955&lt;=24,"2. 1-24 hours",IF(G2955&lt;=72,"3. 1-3 days","4. Over 3 days")))</f>
        <v/>
      </c>
      <c r="O2955">
        <f>TEXT(B2955,"YYYY-MM")</f>
        <v/>
      </c>
    </row>
    <row r="2956">
      <c r="A2956" t="inlineStr">
        <is>
          <t>LD-302954</t>
        </is>
      </c>
      <c r="B2956" t="inlineStr">
        <is>
          <t>2025-05-02 10:17:00</t>
        </is>
      </c>
      <c r="C2956" t="inlineStr">
        <is>
          <t>Organic Search</t>
        </is>
      </c>
      <c r="D2956" t="inlineStr">
        <is>
          <t>Competitive Exam Prep</t>
        </is>
      </c>
      <c r="E2956" t="inlineStr">
        <is>
          <t>South Region</t>
        </is>
      </c>
      <c r="F2956" t="inlineStr">
        <is>
          <t>Rep_02</t>
        </is>
      </c>
      <c r="G2956" t="n">
        <v>2.27</v>
      </c>
      <c r="H2956" t="inlineStr">
        <is>
          <t>Proposal Sent</t>
        </is>
      </c>
      <c r="I2956" t="inlineStr">
        <is>
          <t>Lost</t>
        </is>
      </c>
      <c r="J2956" t="inlineStr">
        <is>
          <t>Bad Timing</t>
        </is>
      </c>
      <c r="K2956" t="n">
        <v>1124.97</v>
      </c>
      <c r="L2956" t="inlineStr">
        <is>
          <t>2025-06-03 20:58:36.644075</t>
        </is>
      </c>
      <c r="M2956">
        <f>VLOOKUP(H2956,'Stage Order'!$A$2:$B$8,2,FALSE)</f>
        <v/>
      </c>
      <c r="N2956">
        <f>IF(G2956&lt;=1,"1. Under 1 hour",IF(G2956&lt;=24,"2. 1-24 hours",IF(G2956&lt;=72,"3. 1-3 days","4. Over 3 days")))</f>
        <v/>
      </c>
      <c r="O2956">
        <f>TEXT(B2956,"YYYY-MM")</f>
        <v/>
      </c>
    </row>
    <row r="2957">
      <c r="A2957" t="inlineStr">
        <is>
          <t>LD-302955</t>
        </is>
      </c>
      <c r="B2957" t="inlineStr">
        <is>
          <t>2026-06-25 14:35:00</t>
        </is>
      </c>
      <c r="C2957" t="inlineStr">
        <is>
          <t>Social Media</t>
        </is>
      </c>
      <c r="D2957" t="inlineStr">
        <is>
          <t>Language Learning</t>
        </is>
      </c>
      <c r="E2957" t="inlineStr">
        <is>
          <t>North Region</t>
        </is>
      </c>
      <c r="F2957" t="inlineStr">
        <is>
          <t>Rep_11</t>
        </is>
      </c>
      <c r="G2957" t="n">
        <v>3.55</v>
      </c>
      <c r="H2957" t="inlineStr">
        <is>
          <t>Lead</t>
        </is>
      </c>
      <c r="I2957" t="inlineStr">
        <is>
          <t>Open</t>
        </is>
      </c>
      <c r="M2957">
        <f>VLOOKUP(H2957,'Stage Order'!$A$2:$B$8,2,FALSE)</f>
        <v/>
      </c>
      <c r="N2957">
        <f>IF(G2957&lt;=1,"1. Under 1 hour",IF(G2957&lt;=24,"2. 1-24 hours",IF(G2957&lt;=72,"3. 1-3 days","4. Over 3 days")))</f>
        <v/>
      </c>
      <c r="O2957">
        <f>TEXT(B2957,"YYYY-MM")</f>
        <v/>
      </c>
    </row>
    <row r="2958">
      <c r="A2958" t="inlineStr">
        <is>
          <t>LD-302956</t>
        </is>
      </c>
      <c r="B2958" t="inlineStr">
        <is>
          <t>2025-11-22 11:07:00</t>
        </is>
      </c>
      <c r="C2958" t="inlineStr">
        <is>
          <t>Organic Search</t>
        </is>
      </c>
      <c r="D2958" t="inlineStr">
        <is>
          <t>Language Learning</t>
        </is>
      </c>
      <c r="E2958" t="inlineStr">
        <is>
          <t>South Region</t>
        </is>
      </c>
      <c r="F2958" t="inlineStr">
        <is>
          <t>Rep_07</t>
        </is>
      </c>
      <c r="G2958" t="n">
        <v>1.24</v>
      </c>
      <c r="H2958" t="inlineStr">
        <is>
          <t>Closed</t>
        </is>
      </c>
      <c r="I2958" t="inlineStr">
        <is>
          <t>Won</t>
        </is>
      </c>
      <c r="K2958" t="n">
        <v>416.41</v>
      </c>
      <c r="L2958" t="inlineStr">
        <is>
          <t>2025-12-30 09:12:06.234667</t>
        </is>
      </c>
      <c r="M2958">
        <f>VLOOKUP(H2958,'Stage Order'!$A$2:$B$8,2,FALSE)</f>
        <v/>
      </c>
      <c r="N2958">
        <f>IF(G2958&lt;=1,"1. Under 1 hour",IF(G2958&lt;=24,"2. 1-24 hours",IF(G2958&lt;=72,"3. 1-3 days","4. Over 3 days")))</f>
        <v/>
      </c>
      <c r="O2958">
        <f>TEXT(B2958,"YYYY-MM")</f>
        <v/>
      </c>
    </row>
    <row r="2959">
      <c r="A2959" t="inlineStr">
        <is>
          <t>LD-302957</t>
        </is>
      </c>
      <c r="B2959" t="inlineStr">
        <is>
          <t>2025-10-17 20:53:00</t>
        </is>
      </c>
      <c r="C2959" t="inlineStr">
        <is>
          <t>Referral</t>
        </is>
      </c>
      <c r="D2959" t="inlineStr">
        <is>
          <t>Coding for Kids</t>
        </is>
      </c>
      <c r="E2959" t="inlineStr">
        <is>
          <t>West Region</t>
        </is>
      </c>
      <c r="F2959" t="inlineStr">
        <is>
          <t>Rep_13</t>
        </is>
      </c>
      <c r="G2959" t="n">
        <v>8.109999999999999</v>
      </c>
      <c r="H2959" t="inlineStr">
        <is>
          <t>Contacted</t>
        </is>
      </c>
      <c r="I2959" t="inlineStr">
        <is>
          <t>Open</t>
        </is>
      </c>
      <c r="M2959">
        <f>VLOOKUP(H2959,'Stage Order'!$A$2:$B$8,2,FALSE)</f>
        <v/>
      </c>
      <c r="N2959">
        <f>IF(G2959&lt;=1,"1. Under 1 hour",IF(G2959&lt;=24,"2. 1-24 hours",IF(G2959&lt;=72,"3. 1-3 days","4. Over 3 days")))</f>
        <v/>
      </c>
      <c r="O2959">
        <f>TEXT(B2959,"YYYY-MM")</f>
        <v/>
      </c>
    </row>
    <row r="2960">
      <c r="A2960" t="inlineStr">
        <is>
          <t>LD-302958</t>
        </is>
      </c>
      <c r="B2960" t="inlineStr">
        <is>
          <t>2026-06-22 07:03:00</t>
        </is>
      </c>
      <c r="C2960" t="inlineStr">
        <is>
          <t>Partner Channel</t>
        </is>
      </c>
      <c r="D2960" t="inlineStr">
        <is>
          <t>K-12 Math</t>
        </is>
      </c>
      <c r="E2960" t="inlineStr">
        <is>
          <t>South Region</t>
        </is>
      </c>
      <c r="F2960" t="inlineStr">
        <is>
          <t>Rep_07</t>
        </is>
      </c>
      <c r="G2960" t="n">
        <v>0.89</v>
      </c>
      <c r="H2960" t="inlineStr">
        <is>
          <t>Closed</t>
        </is>
      </c>
      <c r="I2960" t="inlineStr">
        <is>
          <t>Won</t>
        </is>
      </c>
      <c r="K2960" t="n">
        <v>499.92</v>
      </c>
      <c r="L2960" t="inlineStr">
        <is>
          <t>2026-07-27 21:38:54.162548</t>
        </is>
      </c>
      <c r="M2960">
        <f>VLOOKUP(H2960,'Stage Order'!$A$2:$B$8,2,FALSE)</f>
        <v/>
      </c>
      <c r="N2960">
        <f>IF(G2960&lt;=1,"1. Under 1 hour",IF(G2960&lt;=24,"2. 1-24 hours",IF(G2960&lt;=72,"3. 1-3 days","4. Over 3 days")))</f>
        <v/>
      </c>
      <c r="O2960">
        <f>TEXT(B2960,"YYYY-MM")</f>
        <v/>
      </c>
    </row>
    <row r="2961">
      <c r="A2961" t="inlineStr">
        <is>
          <t>LD-302959</t>
        </is>
      </c>
      <c r="B2961" t="inlineStr">
        <is>
          <t>2026-01-16 08:01:00</t>
        </is>
      </c>
      <c r="C2961" t="inlineStr">
        <is>
          <t>Partner Channel</t>
        </is>
      </c>
      <c r="D2961" t="inlineStr">
        <is>
          <t>Language Learning</t>
        </is>
      </c>
      <c r="E2961" t="inlineStr">
        <is>
          <t>North Region</t>
        </is>
      </c>
      <c r="F2961" t="inlineStr">
        <is>
          <t>Rep_11</t>
        </is>
      </c>
      <c r="G2961" t="n">
        <v>1.07</v>
      </c>
      <c r="H2961" t="inlineStr">
        <is>
          <t>Closed</t>
        </is>
      </c>
      <c r="I2961" t="inlineStr">
        <is>
          <t>Won</t>
        </is>
      </c>
      <c r="K2961" t="n">
        <v>374.38</v>
      </c>
      <c r="L2961" t="inlineStr">
        <is>
          <t>2026-03-06 09:12:58.383231</t>
        </is>
      </c>
      <c r="M2961">
        <f>VLOOKUP(H2961,'Stage Order'!$A$2:$B$8,2,FALSE)</f>
        <v/>
      </c>
      <c r="N2961">
        <f>IF(G2961&lt;=1,"1. Under 1 hour",IF(G2961&lt;=24,"2. 1-24 hours",IF(G2961&lt;=72,"3. 1-3 days","4. Over 3 days")))</f>
        <v/>
      </c>
      <c r="O2961">
        <f>TEXT(B2961,"YYYY-MM")</f>
        <v/>
      </c>
    </row>
    <row r="2962">
      <c r="A2962" t="inlineStr">
        <is>
          <t>LD-302960</t>
        </is>
      </c>
      <c r="B2962" t="inlineStr">
        <is>
          <t>2025-09-22 09:50:00</t>
        </is>
      </c>
      <c r="C2962" t="inlineStr">
        <is>
          <t>Partner Channel</t>
        </is>
      </c>
      <c r="D2962" t="inlineStr">
        <is>
          <t>Language Learning</t>
        </is>
      </c>
      <c r="E2962" t="inlineStr">
        <is>
          <t>West Region</t>
        </is>
      </c>
      <c r="F2962" t="inlineStr">
        <is>
          <t>Rep_13</t>
        </is>
      </c>
      <c r="G2962" t="n">
        <v>8.18</v>
      </c>
      <c r="H2962" t="inlineStr">
        <is>
          <t>Contacted</t>
        </is>
      </c>
      <c r="I2962" t="inlineStr">
        <is>
          <t>Open</t>
        </is>
      </c>
      <c r="M2962">
        <f>VLOOKUP(H2962,'Stage Order'!$A$2:$B$8,2,FALSE)</f>
        <v/>
      </c>
      <c r="N2962">
        <f>IF(G2962&lt;=1,"1. Under 1 hour",IF(G2962&lt;=24,"2. 1-24 hours",IF(G2962&lt;=72,"3. 1-3 days","4. Over 3 days")))</f>
        <v/>
      </c>
      <c r="O2962">
        <f>TEXT(B2962,"YYYY-MM")</f>
        <v/>
      </c>
    </row>
    <row r="2963">
      <c r="A2963" t="inlineStr">
        <is>
          <t>LD-302961</t>
        </is>
      </c>
      <c r="B2963" t="inlineStr">
        <is>
          <t>2025-08-15 14:41:00</t>
        </is>
      </c>
      <c r="C2963" t="inlineStr">
        <is>
          <t>Cold Outreach</t>
        </is>
      </c>
      <c r="D2963" t="inlineStr">
        <is>
          <t>K-12 Math</t>
        </is>
      </c>
      <c r="E2963" t="inlineStr">
        <is>
          <t>North Region</t>
        </is>
      </c>
      <c r="F2963" t="inlineStr">
        <is>
          <t>Rep_01</t>
        </is>
      </c>
      <c r="G2963" t="n">
        <v>1.73</v>
      </c>
      <c r="H2963" t="inlineStr">
        <is>
          <t>Lead</t>
        </is>
      </c>
      <c r="I2963" t="inlineStr">
        <is>
          <t>Open</t>
        </is>
      </c>
      <c r="M2963">
        <f>VLOOKUP(H2963,'Stage Order'!$A$2:$B$8,2,FALSE)</f>
        <v/>
      </c>
      <c r="N2963">
        <f>IF(G2963&lt;=1,"1. Under 1 hour",IF(G2963&lt;=24,"2. 1-24 hours",IF(G2963&lt;=72,"3. 1-3 days","4. Over 3 days")))</f>
        <v/>
      </c>
      <c r="O2963">
        <f>TEXT(B2963,"YYYY-MM")</f>
        <v/>
      </c>
    </row>
    <row r="2964">
      <c r="A2964" t="inlineStr">
        <is>
          <t>LD-302962</t>
        </is>
      </c>
      <c r="B2964" t="inlineStr">
        <is>
          <t>2025-12-15 07:13:00</t>
        </is>
      </c>
      <c r="C2964" t="inlineStr">
        <is>
          <t>Webinar</t>
        </is>
      </c>
      <c r="D2964" t="inlineStr">
        <is>
          <t>K-12 Math</t>
        </is>
      </c>
      <c r="E2964" t="inlineStr">
        <is>
          <t>International</t>
        </is>
      </c>
      <c r="F2964" t="inlineStr">
        <is>
          <t>Rep_10</t>
        </is>
      </c>
      <c r="G2964" t="n">
        <v>2.84</v>
      </c>
      <c r="H2964" t="inlineStr">
        <is>
          <t>Contacted</t>
        </is>
      </c>
      <c r="I2964" t="inlineStr">
        <is>
          <t>Open</t>
        </is>
      </c>
      <c r="M2964">
        <f>VLOOKUP(H2964,'Stage Order'!$A$2:$B$8,2,FALSE)</f>
        <v/>
      </c>
      <c r="N2964">
        <f>IF(G2964&lt;=1,"1. Under 1 hour",IF(G2964&lt;=24,"2. 1-24 hours",IF(G2964&lt;=72,"3. 1-3 days","4. Over 3 days")))</f>
        <v/>
      </c>
      <c r="O2964">
        <f>TEXT(B2964,"YYYY-MM")</f>
        <v/>
      </c>
    </row>
    <row r="2965">
      <c r="A2965" t="inlineStr">
        <is>
          <t>LD-302963</t>
        </is>
      </c>
      <c r="B2965" t="inlineStr">
        <is>
          <t>2025-03-22 07:25:00</t>
        </is>
      </c>
      <c r="C2965" t="inlineStr">
        <is>
          <t>Webinar</t>
        </is>
      </c>
      <c r="D2965" t="inlineStr">
        <is>
          <t>Competitive Exam Prep</t>
        </is>
      </c>
      <c r="E2965" t="inlineStr">
        <is>
          <t>International</t>
        </is>
      </c>
      <c r="F2965" t="inlineStr">
        <is>
          <t>Rep_10</t>
        </is>
      </c>
      <c r="G2965" t="n">
        <v>5.77</v>
      </c>
      <c r="H2965" t="inlineStr">
        <is>
          <t>Contacted</t>
        </is>
      </c>
      <c r="I2965" t="inlineStr">
        <is>
          <t>Open</t>
        </is>
      </c>
      <c r="M2965">
        <f>VLOOKUP(H2965,'Stage Order'!$A$2:$B$8,2,FALSE)</f>
        <v/>
      </c>
      <c r="N2965">
        <f>IF(G2965&lt;=1,"1. Under 1 hour",IF(G2965&lt;=24,"2. 1-24 hours",IF(G2965&lt;=72,"3. 1-3 days","4. Over 3 days")))</f>
        <v/>
      </c>
      <c r="O2965">
        <f>TEXT(B2965,"YYYY-MM")</f>
        <v/>
      </c>
    </row>
    <row r="2966">
      <c r="A2966" t="inlineStr">
        <is>
          <t>LD-302964</t>
        </is>
      </c>
      <c r="B2966" t="inlineStr">
        <is>
          <t>2025-08-07 08:39:00</t>
        </is>
      </c>
      <c r="C2966" t="inlineStr">
        <is>
          <t>Paid Search</t>
        </is>
      </c>
      <c r="D2966" t="inlineStr">
        <is>
          <t>Competitive Exam Prep</t>
        </is>
      </c>
      <c r="E2966" t="inlineStr">
        <is>
          <t>North Region</t>
        </is>
      </c>
      <c r="F2966" t="inlineStr">
        <is>
          <t>Rep_06</t>
        </is>
      </c>
      <c r="G2966" t="n">
        <v>7.92</v>
      </c>
      <c r="H2966" t="inlineStr">
        <is>
          <t>Proposal Sent</t>
        </is>
      </c>
      <c r="I2966" t="inlineStr">
        <is>
          <t>Lost</t>
        </is>
      </c>
      <c r="J2966" t="inlineStr">
        <is>
          <t>No Response / Ghosted</t>
        </is>
      </c>
      <c r="K2966" t="n">
        <v>1133.77</v>
      </c>
      <c r="L2966" t="inlineStr">
        <is>
          <t>2025-09-04 20:03:18.389224</t>
        </is>
      </c>
      <c r="M2966">
        <f>VLOOKUP(H2966,'Stage Order'!$A$2:$B$8,2,FALSE)</f>
        <v/>
      </c>
      <c r="N2966">
        <f>IF(G2966&lt;=1,"1. Under 1 hour",IF(G2966&lt;=24,"2. 1-24 hours",IF(G2966&lt;=72,"3. 1-3 days","4. Over 3 days")))</f>
        <v/>
      </c>
      <c r="O2966">
        <f>TEXT(B2966,"YYYY-MM")</f>
        <v/>
      </c>
    </row>
    <row r="2967">
      <c r="A2967" t="inlineStr">
        <is>
          <t>LD-302965</t>
        </is>
      </c>
      <c r="B2967" t="inlineStr">
        <is>
          <t>2025-05-20 17:50:00</t>
        </is>
      </c>
      <c r="C2967" t="inlineStr">
        <is>
          <t>Paid Search</t>
        </is>
      </c>
      <c r="D2967" t="inlineStr">
        <is>
          <t>Coding for Kids</t>
        </is>
      </c>
      <c r="E2967" t="inlineStr">
        <is>
          <t>International</t>
        </is>
      </c>
      <c r="F2967" t="inlineStr">
        <is>
          <t>Rep_05</t>
        </is>
      </c>
      <c r="G2967" t="n">
        <v>3.71</v>
      </c>
      <c r="H2967" t="inlineStr">
        <is>
          <t>Lead</t>
        </is>
      </c>
      <c r="I2967" t="inlineStr">
        <is>
          <t>Open</t>
        </is>
      </c>
      <c r="M2967">
        <f>VLOOKUP(H2967,'Stage Order'!$A$2:$B$8,2,FALSE)</f>
        <v/>
      </c>
      <c r="N2967">
        <f>IF(G2967&lt;=1,"1. Under 1 hour",IF(G2967&lt;=24,"2. 1-24 hours",IF(G2967&lt;=72,"3. 1-3 days","4. Over 3 days")))</f>
        <v/>
      </c>
      <c r="O2967">
        <f>TEXT(B2967,"YYYY-MM")</f>
        <v/>
      </c>
    </row>
    <row r="2968">
      <c r="A2968" t="inlineStr">
        <is>
          <t>LD-302966</t>
        </is>
      </c>
      <c r="B2968" t="inlineStr">
        <is>
          <t>2025-10-10 09:17:00</t>
        </is>
      </c>
      <c r="C2968" t="inlineStr">
        <is>
          <t>Social Media</t>
        </is>
      </c>
      <c r="D2968" t="inlineStr">
        <is>
          <t>K-12 Math</t>
        </is>
      </c>
      <c r="E2968" t="inlineStr">
        <is>
          <t>North Region</t>
        </is>
      </c>
      <c r="F2968" t="inlineStr">
        <is>
          <t>Rep_06</t>
        </is>
      </c>
      <c r="G2968" t="n">
        <v>2.88</v>
      </c>
      <c r="H2968" t="inlineStr">
        <is>
          <t>Contacted</t>
        </is>
      </c>
      <c r="I2968" t="inlineStr">
        <is>
          <t>Open</t>
        </is>
      </c>
      <c r="M2968">
        <f>VLOOKUP(H2968,'Stage Order'!$A$2:$B$8,2,FALSE)</f>
        <v/>
      </c>
      <c r="N2968">
        <f>IF(G2968&lt;=1,"1. Under 1 hour",IF(G2968&lt;=24,"2. 1-24 hours",IF(G2968&lt;=72,"3. 1-3 days","4. Over 3 days")))</f>
        <v/>
      </c>
      <c r="O2968">
        <f>TEXT(B2968,"YYYY-MM")</f>
        <v/>
      </c>
    </row>
    <row r="2969">
      <c r="A2969" t="inlineStr">
        <is>
          <t>LD-302967</t>
        </is>
      </c>
      <c r="B2969" t="inlineStr">
        <is>
          <t>2026-02-25 08:58:00</t>
        </is>
      </c>
      <c r="C2969" t="inlineStr">
        <is>
          <t>Cold Outreach</t>
        </is>
      </c>
      <c r="D2969" t="inlineStr">
        <is>
          <t>Language Learning</t>
        </is>
      </c>
      <c r="E2969" t="inlineStr">
        <is>
          <t>West Region</t>
        </is>
      </c>
      <c r="F2969" t="inlineStr">
        <is>
          <t>Rep_03</t>
        </is>
      </c>
      <c r="G2969" t="n">
        <v>3.33</v>
      </c>
      <c r="H2969" t="inlineStr">
        <is>
          <t>Demo Completed</t>
        </is>
      </c>
      <c r="I2969" t="inlineStr">
        <is>
          <t>Lost</t>
        </is>
      </c>
      <c r="J2969" t="inlineStr">
        <is>
          <t>No Response / Ghosted</t>
        </is>
      </c>
      <c r="K2969" t="n">
        <v>399.9</v>
      </c>
      <c r="L2969" t="inlineStr">
        <is>
          <t>2026-04-09 00:40:05.327692</t>
        </is>
      </c>
      <c r="M2969">
        <f>VLOOKUP(H2969,'Stage Order'!$A$2:$B$8,2,FALSE)</f>
        <v/>
      </c>
      <c r="N2969">
        <f>IF(G2969&lt;=1,"1. Under 1 hour",IF(G2969&lt;=24,"2. 1-24 hours",IF(G2969&lt;=72,"3. 1-3 days","4. Over 3 days")))</f>
        <v/>
      </c>
      <c r="O2969">
        <f>TEXT(B2969,"YYYY-MM")</f>
        <v/>
      </c>
    </row>
    <row r="2970">
      <c r="A2970" t="inlineStr">
        <is>
          <t>LD-302968</t>
        </is>
      </c>
      <c r="B2970" t="inlineStr">
        <is>
          <t>2025-01-24 16:38:00</t>
        </is>
      </c>
      <c r="C2970" t="inlineStr">
        <is>
          <t>Social Media</t>
        </is>
      </c>
      <c r="D2970" t="inlineStr">
        <is>
          <t>Study Abroad Prep</t>
        </is>
      </c>
      <c r="E2970" t="inlineStr">
        <is>
          <t>South Region</t>
        </is>
      </c>
      <c r="F2970" t="inlineStr">
        <is>
          <t>Rep_12</t>
        </is>
      </c>
      <c r="G2970" t="n">
        <v>5.83</v>
      </c>
      <c r="H2970" t="inlineStr">
        <is>
          <t>Contacted</t>
        </is>
      </c>
      <c r="I2970" t="inlineStr">
        <is>
          <t>Open</t>
        </is>
      </c>
      <c r="M2970">
        <f>VLOOKUP(H2970,'Stage Order'!$A$2:$B$8,2,FALSE)</f>
        <v/>
      </c>
      <c r="N2970">
        <f>IF(G2970&lt;=1,"1. Under 1 hour",IF(G2970&lt;=24,"2. 1-24 hours",IF(G2970&lt;=72,"3. 1-3 days","4. Over 3 days")))</f>
        <v/>
      </c>
      <c r="O2970">
        <f>TEXT(B2970,"YYYY-MM")</f>
        <v/>
      </c>
    </row>
    <row r="2971">
      <c r="A2971" t="inlineStr">
        <is>
          <t>LD-302969</t>
        </is>
      </c>
      <c r="B2971" t="inlineStr">
        <is>
          <t>2025-06-18 10:03:00</t>
        </is>
      </c>
      <c r="C2971" t="inlineStr">
        <is>
          <t>Cold Outreach</t>
        </is>
      </c>
      <c r="D2971" t="inlineStr">
        <is>
          <t>K-12 Math</t>
        </is>
      </c>
      <c r="E2971" t="inlineStr">
        <is>
          <t>International</t>
        </is>
      </c>
      <c r="F2971" t="inlineStr">
        <is>
          <t>Rep_15</t>
        </is>
      </c>
      <c r="G2971" t="n">
        <v>0.49</v>
      </c>
      <c r="H2971" t="inlineStr">
        <is>
          <t>Proposal Sent</t>
        </is>
      </c>
      <c r="I2971" t="inlineStr">
        <is>
          <t>Lost</t>
        </is>
      </c>
      <c r="J2971" t="inlineStr">
        <is>
          <t>Budget Not Approved</t>
        </is>
      </c>
      <c r="K2971" t="n">
        <v>482.95</v>
      </c>
      <c r="L2971" t="inlineStr">
        <is>
          <t>2025-07-22 03:49:46.837582</t>
        </is>
      </c>
      <c r="M2971">
        <f>VLOOKUP(H2971,'Stage Order'!$A$2:$B$8,2,FALSE)</f>
        <v/>
      </c>
      <c r="N2971">
        <f>IF(G2971&lt;=1,"1. Under 1 hour",IF(G2971&lt;=24,"2. 1-24 hours",IF(G2971&lt;=72,"3. 1-3 days","4. Over 3 days")))</f>
        <v/>
      </c>
      <c r="O2971">
        <f>TEXT(B2971,"YYYY-MM")</f>
        <v/>
      </c>
    </row>
    <row r="2972">
      <c r="A2972" t="inlineStr">
        <is>
          <t>LD-302970</t>
        </is>
      </c>
      <c r="B2972" t="inlineStr">
        <is>
          <t>2026-05-13 19:37:00</t>
        </is>
      </c>
      <c r="C2972" t="inlineStr">
        <is>
          <t>Cold Outreach</t>
        </is>
      </c>
      <c r="D2972" t="inlineStr">
        <is>
          <t>Competitive Exam Prep</t>
        </is>
      </c>
      <c r="E2972" t="inlineStr">
        <is>
          <t>South Region</t>
        </is>
      </c>
      <c r="F2972" t="inlineStr">
        <is>
          <t>Rep_12</t>
        </is>
      </c>
      <c r="G2972" t="n">
        <v>1.46</v>
      </c>
      <c r="H2972" t="inlineStr">
        <is>
          <t>Contacted</t>
        </is>
      </c>
      <c r="I2972" t="inlineStr">
        <is>
          <t>Open</t>
        </is>
      </c>
      <c r="M2972">
        <f>VLOOKUP(H2972,'Stage Order'!$A$2:$B$8,2,FALSE)</f>
        <v/>
      </c>
      <c r="N2972">
        <f>IF(G2972&lt;=1,"1. Under 1 hour",IF(G2972&lt;=24,"2. 1-24 hours",IF(G2972&lt;=72,"3. 1-3 days","4. Over 3 days")))</f>
        <v/>
      </c>
      <c r="O2972">
        <f>TEXT(B2972,"YYYY-MM")</f>
        <v/>
      </c>
    </row>
    <row r="2973">
      <c r="A2973" t="inlineStr">
        <is>
          <t>LD-302971</t>
        </is>
      </c>
      <c r="B2973" t="inlineStr">
        <is>
          <t>2025-01-23 11:34:00</t>
        </is>
      </c>
      <c r="C2973" t="inlineStr">
        <is>
          <t>Paid Search</t>
        </is>
      </c>
      <c r="D2973" t="inlineStr">
        <is>
          <t>Coding for Kids</t>
        </is>
      </c>
      <c r="E2973" t="inlineStr">
        <is>
          <t>South Region</t>
        </is>
      </c>
      <c r="F2973" t="inlineStr">
        <is>
          <t>Rep_07</t>
        </is>
      </c>
      <c r="G2973" t="n">
        <v>0.66</v>
      </c>
      <c r="H2973" t="inlineStr">
        <is>
          <t>Demo Completed</t>
        </is>
      </c>
      <c r="I2973" t="inlineStr">
        <is>
          <t>Lost</t>
        </is>
      </c>
      <c r="J2973" t="inlineStr">
        <is>
          <t>No Response / Ghosted</t>
        </is>
      </c>
      <c r="K2973" t="n">
        <v>568.79</v>
      </c>
      <c r="L2973" t="inlineStr">
        <is>
          <t>2025-02-26 05:49:07.893482</t>
        </is>
      </c>
      <c r="M2973">
        <f>VLOOKUP(H2973,'Stage Order'!$A$2:$B$8,2,FALSE)</f>
        <v/>
      </c>
      <c r="N2973">
        <f>IF(G2973&lt;=1,"1. Under 1 hour",IF(G2973&lt;=24,"2. 1-24 hours",IF(G2973&lt;=72,"3. 1-3 days","4. Over 3 days")))</f>
        <v/>
      </c>
      <c r="O2973">
        <f>TEXT(B2973,"YYYY-MM")</f>
        <v/>
      </c>
    </row>
    <row r="2974">
      <c r="A2974" t="inlineStr">
        <is>
          <t>LD-302972</t>
        </is>
      </c>
      <c r="B2974" t="inlineStr">
        <is>
          <t>2026-06-07 18:57:00</t>
        </is>
      </c>
      <c r="C2974" t="inlineStr">
        <is>
          <t>Referral</t>
        </is>
      </c>
      <c r="D2974" t="inlineStr">
        <is>
          <t>Language Learning</t>
        </is>
      </c>
      <c r="E2974" t="inlineStr">
        <is>
          <t>South Region</t>
        </is>
      </c>
      <c r="F2974" t="inlineStr">
        <is>
          <t>Rep_12</t>
        </is>
      </c>
      <c r="G2974" t="n">
        <v>2.58</v>
      </c>
      <c r="H2974" t="inlineStr">
        <is>
          <t>Contacted</t>
        </is>
      </c>
      <c r="I2974" t="inlineStr">
        <is>
          <t>Open</t>
        </is>
      </c>
      <c r="M2974">
        <f>VLOOKUP(H2974,'Stage Order'!$A$2:$B$8,2,FALSE)</f>
        <v/>
      </c>
      <c r="N2974">
        <f>IF(G2974&lt;=1,"1. Under 1 hour",IF(G2974&lt;=24,"2. 1-24 hours",IF(G2974&lt;=72,"3. 1-3 days","4. Over 3 days")))</f>
        <v/>
      </c>
      <c r="O2974">
        <f>TEXT(B2974,"YYYY-MM")</f>
        <v/>
      </c>
    </row>
    <row r="2975">
      <c r="A2975" t="inlineStr">
        <is>
          <t>LD-302973</t>
        </is>
      </c>
      <c r="B2975" t="inlineStr">
        <is>
          <t>2026-05-22 08:51:00</t>
        </is>
      </c>
      <c r="C2975" t="inlineStr">
        <is>
          <t>Referral</t>
        </is>
      </c>
      <c r="D2975" t="inlineStr">
        <is>
          <t>Language Learning</t>
        </is>
      </c>
      <c r="E2975" t="inlineStr">
        <is>
          <t>West Region</t>
        </is>
      </c>
      <c r="F2975" t="inlineStr">
        <is>
          <t>Rep_03</t>
        </is>
      </c>
      <c r="G2975" t="n">
        <v>0.54</v>
      </c>
      <c r="H2975" t="inlineStr">
        <is>
          <t>Contacted</t>
        </is>
      </c>
      <c r="I2975" t="inlineStr">
        <is>
          <t>Open</t>
        </is>
      </c>
      <c r="M2975">
        <f>VLOOKUP(H2975,'Stage Order'!$A$2:$B$8,2,FALSE)</f>
        <v/>
      </c>
      <c r="N2975">
        <f>IF(G2975&lt;=1,"1. Under 1 hour",IF(G2975&lt;=24,"2. 1-24 hours",IF(G2975&lt;=72,"3. 1-3 days","4. Over 3 days")))</f>
        <v/>
      </c>
      <c r="O2975">
        <f>TEXT(B2975,"YYYY-MM")</f>
        <v/>
      </c>
    </row>
    <row r="2976">
      <c r="A2976" t="inlineStr">
        <is>
          <t>LD-302974</t>
        </is>
      </c>
      <c r="B2976" t="inlineStr">
        <is>
          <t>2026-03-27 13:51:00</t>
        </is>
      </c>
      <c r="C2976" t="inlineStr">
        <is>
          <t>Organic Search</t>
        </is>
      </c>
      <c r="D2976" t="inlineStr">
        <is>
          <t>Study Abroad Prep</t>
        </is>
      </c>
      <c r="E2976" t="inlineStr">
        <is>
          <t>North Region</t>
        </is>
      </c>
      <c r="F2976" t="inlineStr">
        <is>
          <t>Rep_06</t>
        </is>
      </c>
      <c r="G2976" t="n">
        <v>1.15</v>
      </c>
      <c r="H2976" t="inlineStr">
        <is>
          <t>Lead</t>
        </is>
      </c>
      <c r="I2976" t="inlineStr">
        <is>
          <t>Open</t>
        </is>
      </c>
      <c r="M2976">
        <f>VLOOKUP(H2976,'Stage Order'!$A$2:$B$8,2,FALSE)</f>
        <v/>
      </c>
      <c r="N2976">
        <f>IF(G2976&lt;=1,"1. Under 1 hour",IF(G2976&lt;=24,"2. 1-24 hours",IF(G2976&lt;=72,"3. 1-3 days","4. Over 3 days")))</f>
        <v/>
      </c>
      <c r="O2976">
        <f>TEXT(B2976,"YYYY-MM")</f>
        <v/>
      </c>
    </row>
    <row r="2977">
      <c r="A2977" t="inlineStr">
        <is>
          <t>LD-302975</t>
        </is>
      </c>
      <c r="B2977" t="inlineStr">
        <is>
          <t>2025-09-26 08:47:00</t>
        </is>
      </c>
      <c r="C2977" t="inlineStr">
        <is>
          <t>Organic Search</t>
        </is>
      </c>
      <c r="D2977" t="inlineStr">
        <is>
          <t>Study Abroad Prep</t>
        </is>
      </c>
      <c r="E2977" t="inlineStr">
        <is>
          <t>East Region</t>
        </is>
      </c>
      <c r="F2977" t="inlineStr">
        <is>
          <t>Rep_14</t>
        </is>
      </c>
      <c r="G2977" t="n">
        <v>3.52</v>
      </c>
      <c r="H2977" t="inlineStr">
        <is>
          <t>Lead</t>
        </is>
      </c>
      <c r="I2977" t="inlineStr">
        <is>
          <t>Open</t>
        </is>
      </c>
      <c r="M2977">
        <f>VLOOKUP(H2977,'Stage Order'!$A$2:$B$8,2,FALSE)</f>
        <v/>
      </c>
      <c r="N2977">
        <f>IF(G2977&lt;=1,"1. Under 1 hour",IF(G2977&lt;=24,"2. 1-24 hours",IF(G2977&lt;=72,"3. 1-3 days","4. Over 3 days")))</f>
        <v/>
      </c>
      <c r="O2977">
        <f>TEXT(B2977,"YYYY-MM")</f>
        <v/>
      </c>
    </row>
    <row r="2978">
      <c r="A2978" t="inlineStr">
        <is>
          <t>LD-302976</t>
        </is>
      </c>
      <c r="B2978" t="inlineStr">
        <is>
          <t>2025-06-11 12:32:00</t>
        </is>
      </c>
      <c r="C2978" t="inlineStr">
        <is>
          <t>Paid Search</t>
        </is>
      </c>
      <c r="D2978" t="inlineStr">
        <is>
          <t>Competitive Exam Prep</t>
        </is>
      </c>
      <c r="E2978" t="inlineStr">
        <is>
          <t>International</t>
        </is>
      </c>
      <c r="F2978" t="inlineStr">
        <is>
          <t>Rep_05</t>
        </is>
      </c>
      <c r="G2978" t="n">
        <v>5.81</v>
      </c>
      <c r="H2978" t="inlineStr">
        <is>
          <t>Lead</t>
        </is>
      </c>
      <c r="I2978" t="inlineStr">
        <is>
          <t>Open</t>
        </is>
      </c>
      <c r="M2978">
        <f>VLOOKUP(H2978,'Stage Order'!$A$2:$B$8,2,FALSE)</f>
        <v/>
      </c>
      <c r="N2978">
        <f>IF(G2978&lt;=1,"1. Under 1 hour",IF(G2978&lt;=24,"2. 1-24 hours",IF(G2978&lt;=72,"3. 1-3 days","4. Over 3 days")))</f>
        <v/>
      </c>
      <c r="O2978">
        <f>TEXT(B2978,"YYYY-MM")</f>
        <v/>
      </c>
    </row>
    <row r="2979">
      <c r="A2979" t="inlineStr">
        <is>
          <t>LD-302977</t>
        </is>
      </c>
      <c r="B2979" t="inlineStr">
        <is>
          <t>2025-01-17 15:29:00</t>
        </is>
      </c>
      <c r="C2979" t="inlineStr">
        <is>
          <t>Webinar</t>
        </is>
      </c>
      <c r="D2979" t="inlineStr">
        <is>
          <t>Coding for Kids</t>
        </is>
      </c>
      <c r="E2979" t="inlineStr">
        <is>
          <t>North Region</t>
        </is>
      </c>
      <c r="F2979" t="inlineStr">
        <is>
          <t>Rep_06</t>
        </is>
      </c>
      <c r="G2979" t="n">
        <v>6.89</v>
      </c>
      <c r="H2979" t="inlineStr">
        <is>
          <t>Negotiation</t>
        </is>
      </c>
      <c r="I2979" t="inlineStr">
        <is>
          <t>Lost</t>
        </is>
      </c>
      <c r="J2979" t="inlineStr">
        <is>
          <t>No Response / Ghosted</t>
        </is>
      </c>
      <c r="K2979" t="n">
        <v>712.72</v>
      </c>
      <c r="L2979" t="inlineStr">
        <is>
          <t>2025-03-03 06:32:07.373119</t>
        </is>
      </c>
      <c r="M2979">
        <f>VLOOKUP(H2979,'Stage Order'!$A$2:$B$8,2,FALSE)</f>
        <v/>
      </c>
      <c r="N2979">
        <f>IF(G2979&lt;=1,"1. Under 1 hour",IF(G2979&lt;=24,"2. 1-24 hours",IF(G2979&lt;=72,"3. 1-3 days","4. Over 3 days")))</f>
        <v/>
      </c>
      <c r="O2979">
        <f>TEXT(B2979,"YYYY-MM")</f>
        <v/>
      </c>
    </row>
    <row r="2980">
      <c r="A2980" t="inlineStr">
        <is>
          <t>LD-302978</t>
        </is>
      </c>
      <c r="B2980" t="inlineStr">
        <is>
          <t>2025-08-06 08:57:00</t>
        </is>
      </c>
      <c r="C2980" t="inlineStr">
        <is>
          <t>Organic Search</t>
        </is>
      </c>
      <c r="D2980" t="inlineStr">
        <is>
          <t>Competitive Exam Prep</t>
        </is>
      </c>
      <c r="E2980" t="inlineStr">
        <is>
          <t>North Region</t>
        </is>
      </c>
      <c r="F2980" t="inlineStr">
        <is>
          <t>Rep_11</t>
        </is>
      </c>
      <c r="G2980" t="n">
        <v>12.28</v>
      </c>
      <c r="H2980" t="inlineStr">
        <is>
          <t>Contacted</t>
        </is>
      </c>
      <c r="I2980" t="inlineStr">
        <is>
          <t>Open</t>
        </is>
      </c>
      <c r="M2980">
        <f>VLOOKUP(H2980,'Stage Order'!$A$2:$B$8,2,FALSE)</f>
        <v/>
      </c>
      <c r="N2980">
        <f>IF(G2980&lt;=1,"1. Under 1 hour",IF(G2980&lt;=24,"2. 1-24 hours",IF(G2980&lt;=72,"3. 1-3 days","4. Over 3 days")))</f>
        <v/>
      </c>
      <c r="O2980">
        <f>TEXT(B2980,"YYYY-MM")</f>
        <v/>
      </c>
    </row>
    <row r="2981">
      <c r="A2981" t="inlineStr">
        <is>
          <t>LD-302979</t>
        </is>
      </c>
      <c r="B2981" t="inlineStr">
        <is>
          <t>2026-01-02 17:45:00</t>
        </is>
      </c>
      <c r="C2981" t="inlineStr">
        <is>
          <t>Cold Outreach</t>
        </is>
      </c>
      <c r="D2981" t="inlineStr">
        <is>
          <t>K-12 Math</t>
        </is>
      </c>
      <c r="E2981" t="inlineStr">
        <is>
          <t>South Region</t>
        </is>
      </c>
      <c r="F2981" t="inlineStr">
        <is>
          <t>Rep_07</t>
        </is>
      </c>
      <c r="G2981" t="n">
        <v>12.7</v>
      </c>
      <c r="H2981" t="inlineStr">
        <is>
          <t>Proposal Sent</t>
        </is>
      </c>
      <c r="I2981" t="inlineStr">
        <is>
          <t>Lost</t>
        </is>
      </c>
      <c r="J2981" t="inlineStr">
        <is>
          <t>Budget Not Approved</t>
        </is>
      </c>
      <c r="K2981" t="n">
        <v>571.0599999999999</v>
      </c>
      <c r="L2981" t="inlineStr">
        <is>
          <t>2026-02-08 23:52:59.349416</t>
        </is>
      </c>
      <c r="M2981">
        <f>VLOOKUP(H2981,'Stage Order'!$A$2:$B$8,2,FALSE)</f>
        <v/>
      </c>
      <c r="N2981">
        <f>IF(G2981&lt;=1,"1. Under 1 hour",IF(G2981&lt;=24,"2. 1-24 hours",IF(G2981&lt;=72,"3. 1-3 days","4. Over 3 days")))</f>
        <v/>
      </c>
      <c r="O2981">
        <f>TEXT(B2981,"YYYY-MM")</f>
        <v/>
      </c>
    </row>
    <row r="2982">
      <c r="A2982" t="inlineStr">
        <is>
          <t>LD-302980</t>
        </is>
      </c>
      <c r="B2982" t="inlineStr">
        <is>
          <t>2025-09-22 16:07:00</t>
        </is>
      </c>
      <c r="C2982" t="inlineStr">
        <is>
          <t>Paid Search</t>
        </is>
      </c>
      <c r="D2982" t="inlineStr">
        <is>
          <t>Language Learning</t>
        </is>
      </c>
      <c r="E2982" t="inlineStr">
        <is>
          <t>West Region</t>
        </is>
      </c>
      <c r="F2982" t="inlineStr">
        <is>
          <t>Rep_03</t>
        </is>
      </c>
      <c r="G2982" t="n">
        <v>4.47</v>
      </c>
      <c r="H2982" t="inlineStr">
        <is>
          <t>Contacted</t>
        </is>
      </c>
      <c r="I2982" t="inlineStr">
        <is>
          <t>Open</t>
        </is>
      </c>
      <c r="M2982">
        <f>VLOOKUP(H2982,'Stage Order'!$A$2:$B$8,2,FALSE)</f>
        <v/>
      </c>
      <c r="N2982">
        <f>IF(G2982&lt;=1,"1. Under 1 hour",IF(G2982&lt;=24,"2. 1-24 hours",IF(G2982&lt;=72,"3. 1-3 days","4. Over 3 days")))</f>
        <v/>
      </c>
      <c r="O2982">
        <f>TEXT(B2982,"YYYY-MM")</f>
        <v/>
      </c>
    </row>
    <row r="2983">
      <c r="A2983" t="inlineStr">
        <is>
          <t>LD-302981</t>
        </is>
      </c>
      <c r="B2983" t="inlineStr">
        <is>
          <t>2025-06-11 11:07:00</t>
        </is>
      </c>
      <c r="C2983" t="inlineStr">
        <is>
          <t>Organic Search</t>
        </is>
      </c>
      <c r="D2983" t="inlineStr">
        <is>
          <t>Competitive Exam Prep</t>
        </is>
      </c>
      <c r="E2983" t="inlineStr">
        <is>
          <t>North Region</t>
        </is>
      </c>
      <c r="F2983" t="inlineStr">
        <is>
          <t>Rep_11</t>
        </is>
      </c>
      <c r="G2983" t="n">
        <v>2.16</v>
      </c>
      <c r="H2983" t="inlineStr">
        <is>
          <t>Lead</t>
        </is>
      </c>
      <c r="I2983" t="inlineStr">
        <is>
          <t>Open</t>
        </is>
      </c>
      <c r="M2983">
        <f>VLOOKUP(H2983,'Stage Order'!$A$2:$B$8,2,FALSE)</f>
        <v/>
      </c>
      <c r="N2983">
        <f>IF(G2983&lt;=1,"1. Under 1 hour",IF(G2983&lt;=24,"2. 1-24 hours",IF(G2983&lt;=72,"3. 1-3 days","4. Over 3 days")))</f>
        <v/>
      </c>
      <c r="O2983">
        <f>TEXT(B2983,"YYYY-MM")</f>
        <v/>
      </c>
    </row>
    <row r="2984">
      <c r="A2984" t="inlineStr">
        <is>
          <t>LD-302982</t>
        </is>
      </c>
      <c r="B2984" t="inlineStr">
        <is>
          <t>2025-10-08 10:29:00</t>
        </is>
      </c>
      <c r="C2984" t="inlineStr">
        <is>
          <t>Webinar</t>
        </is>
      </c>
      <c r="D2984" t="inlineStr">
        <is>
          <t>K-12 Math</t>
        </is>
      </c>
      <c r="E2984" t="inlineStr">
        <is>
          <t>West Region</t>
        </is>
      </c>
      <c r="F2984" t="inlineStr">
        <is>
          <t>Rep_08</t>
        </is>
      </c>
      <c r="G2984" t="n">
        <v>2.15</v>
      </c>
      <c r="H2984" t="inlineStr">
        <is>
          <t>Closed</t>
        </is>
      </c>
      <c r="I2984" t="inlineStr">
        <is>
          <t>Won</t>
        </is>
      </c>
      <c r="K2984" t="n">
        <v>474.86</v>
      </c>
      <c r="L2984" t="inlineStr">
        <is>
          <t>2025-11-28 14:17:09.205832</t>
        </is>
      </c>
      <c r="M2984">
        <f>VLOOKUP(H2984,'Stage Order'!$A$2:$B$8,2,FALSE)</f>
        <v/>
      </c>
      <c r="N2984">
        <f>IF(G2984&lt;=1,"1. Under 1 hour",IF(G2984&lt;=24,"2. 1-24 hours",IF(G2984&lt;=72,"3. 1-3 days","4. Over 3 days")))</f>
        <v/>
      </c>
      <c r="O2984">
        <f>TEXT(B2984,"YYYY-MM")</f>
        <v/>
      </c>
    </row>
    <row r="2985">
      <c r="A2985" t="inlineStr">
        <is>
          <t>LD-302983</t>
        </is>
      </c>
      <c r="B2985" t="inlineStr">
        <is>
          <t>2025-05-02 08:09:00</t>
        </is>
      </c>
      <c r="C2985" t="inlineStr">
        <is>
          <t>Webinar</t>
        </is>
      </c>
      <c r="D2985" t="inlineStr">
        <is>
          <t>Coding for Kids</t>
        </is>
      </c>
      <c r="E2985" t="inlineStr">
        <is>
          <t>North Region</t>
        </is>
      </c>
      <c r="F2985" t="inlineStr">
        <is>
          <t>Rep_11</t>
        </is>
      </c>
      <c r="G2985" t="n">
        <v>1.89</v>
      </c>
      <c r="H2985" t="inlineStr">
        <is>
          <t>Negotiation</t>
        </is>
      </c>
      <c r="I2985" t="inlineStr">
        <is>
          <t>Lost</t>
        </is>
      </c>
      <c r="J2985" t="inlineStr">
        <is>
          <t>Bad Timing</t>
        </is>
      </c>
      <c r="K2985" t="n">
        <v>533.66</v>
      </c>
      <c r="L2985" t="inlineStr">
        <is>
          <t>2025-06-19 19:09:43.964835</t>
        </is>
      </c>
      <c r="M2985">
        <f>VLOOKUP(H2985,'Stage Order'!$A$2:$B$8,2,FALSE)</f>
        <v/>
      </c>
      <c r="N2985">
        <f>IF(G2985&lt;=1,"1. Under 1 hour",IF(G2985&lt;=24,"2. 1-24 hours",IF(G2985&lt;=72,"3. 1-3 days","4. Over 3 days")))</f>
        <v/>
      </c>
      <c r="O2985">
        <f>TEXT(B2985,"YYYY-MM")</f>
        <v/>
      </c>
    </row>
    <row r="2986">
      <c r="A2986" t="inlineStr">
        <is>
          <t>LD-302984</t>
        </is>
      </c>
      <c r="B2986" t="inlineStr">
        <is>
          <t>2025-03-14 17:01:00</t>
        </is>
      </c>
      <c r="C2986" t="inlineStr">
        <is>
          <t>Webinar</t>
        </is>
      </c>
      <c r="D2986" t="inlineStr">
        <is>
          <t>K-12 Math</t>
        </is>
      </c>
      <c r="E2986" t="inlineStr">
        <is>
          <t>South Region</t>
        </is>
      </c>
      <c r="F2986" t="inlineStr">
        <is>
          <t>Rep_07</t>
        </is>
      </c>
      <c r="G2986" t="n">
        <v>6.91</v>
      </c>
      <c r="H2986" t="inlineStr">
        <is>
          <t>Demo Completed</t>
        </is>
      </c>
      <c r="I2986" t="inlineStr">
        <is>
          <t>Lost</t>
        </is>
      </c>
      <c r="J2986" t="inlineStr">
        <is>
          <t>Went With Competitor</t>
        </is>
      </c>
      <c r="K2986" t="n">
        <v>576.3099999999999</v>
      </c>
      <c r="L2986" t="inlineStr">
        <is>
          <t>2025-04-11 10:33:53.901675</t>
        </is>
      </c>
      <c r="M2986">
        <f>VLOOKUP(H2986,'Stage Order'!$A$2:$B$8,2,FALSE)</f>
        <v/>
      </c>
      <c r="N2986">
        <f>IF(G2986&lt;=1,"1. Under 1 hour",IF(G2986&lt;=24,"2. 1-24 hours",IF(G2986&lt;=72,"3. 1-3 days","4. Over 3 days")))</f>
        <v/>
      </c>
      <c r="O2986">
        <f>TEXT(B2986,"YYYY-MM")</f>
        <v/>
      </c>
    </row>
    <row r="2987">
      <c r="A2987" t="inlineStr">
        <is>
          <t>LD-302985</t>
        </is>
      </c>
      <c r="B2987" t="inlineStr">
        <is>
          <t>2025-04-16 10:15:00</t>
        </is>
      </c>
      <c r="C2987" t="inlineStr">
        <is>
          <t>Paid Search</t>
        </is>
      </c>
      <c r="D2987" t="inlineStr">
        <is>
          <t>Language Learning</t>
        </is>
      </c>
      <c r="E2987" t="inlineStr">
        <is>
          <t>West Region</t>
        </is>
      </c>
      <c r="F2987" t="inlineStr">
        <is>
          <t>Rep_03</t>
        </is>
      </c>
      <c r="G2987" t="n">
        <v>2.77</v>
      </c>
      <c r="H2987" t="inlineStr">
        <is>
          <t>Contacted</t>
        </is>
      </c>
      <c r="I2987" t="inlineStr">
        <is>
          <t>Open</t>
        </is>
      </c>
      <c r="M2987">
        <f>VLOOKUP(H2987,'Stage Order'!$A$2:$B$8,2,FALSE)</f>
        <v/>
      </c>
      <c r="N2987">
        <f>IF(G2987&lt;=1,"1. Under 1 hour",IF(G2987&lt;=24,"2. 1-24 hours",IF(G2987&lt;=72,"3. 1-3 days","4. Over 3 days")))</f>
        <v/>
      </c>
      <c r="O2987">
        <f>TEXT(B2987,"YYYY-MM")</f>
        <v/>
      </c>
    </row>
    <row r="2988">
      <c r="A2988" t="inlineStr">
        <is>
          <t>LD-302986</t>
        </is>
      </c>
      <c r="B2988" t="inlineStr">
        <is>
          <t>2025-08-15 13:31:00</t>
        </is>
      </c>
      <c r="C2988" t="inlineStr">
        <is>
          <t>Social Media</t>
        </is>
      </c>
      <c r="D2988" t="inlineStr">
        <is>
          <t>Coding for Kids</t>
        </is>
      </c>
      <c r="E2988" t="inlineStr">
        <is>
          <t>South Region</t>
        </is>
      </c>
      <c r="F2988" t="inlineStr">
        <is>
          <t>Rep_02</t>
        </is>
      </c>
      <c r="G2988" t="n">
        <v>4.83</v>
      </c>
      <c r="H2988" t="inlineStr">
        <is>
          <t>Demo Completed</t>
        </is>
      </c>
      <c r="I2988" t="inlineStr">
        <is>
          <t>Lost</t>
        </is>
      </c>
      <c r="J2988" t="inlineStr">
        <is>
          <t>Went With Competitor</t>
        </is>
      </c>
      <c r="K2988" t="n">
        <v>664.88</v>
      </c>
      <c r="L2988" t="inlineStr">
        <is>
          <t>2025-09-14 12:52:38.701390</t>
        </is>
      </c>
      <c r="M2988">
        <f>VLOOKUP(H2988,'Stage Order'!$A$2:$B$8,2,FALSE)</f>
        <v/>
      </c>
      <c r="N2988">
        <f>IF(G2988&lt;=1,"1. Under 1 hour",IF(G2988&lt;=24,"2. 1-24 hours",IF(G2988&lt;=72,"3. 1-3 days","4. Over 3 days")))</f>
        <v/>
      </c>
      <c r="O2988">
        <f>TEXT(B2988,"YYYY-MM")</f>
        <v/>
      </c>
    </row>
    <row r="2989">
      <c r="A2989" t="inlineStr">
        <is>
          <t>LD-302987</t>
        </is>
      </c>
      <c r="B2989" t="inlineStr">
        <is>
          <t>2026-02-13 07:03:00</t>
        </is>
      </c>
      <c r="C2989" t="inlineStr">
        <is>
          <t>Organic Search</t>
        </is>
      </c>
      <c r="D2989" t="inlineStr">
        <is>
          <t>Coding for Kids</t>
        </is>
      </c>
      <c r="E2989" t="inlineStr">
        <is>
          <t>East Region</t>
        </is>
      </c>
      <c r="F2989" t="inlineStr">
        <is>
          <t>Rep_09</t>
        </is>
      </c>
      <c r="G2989" t="n">
        <v>10.41</v>
      </c>
      <c r="H2989" t="inlineStr">
        <is>
          <t>Contacted</t>
        </is>
      </c>
      <c r="I2989" t="inlineStr">
        <is>
          <t>Open</t>
        </is>
      </c>
      <c r="M2989">
        <f>VLOOKUP(H2989,'Stage Order'!$A$2:$B$8,2,FALSE)</f>
        <v/>
      </c>
      <c r="N2989">
        <f>IF(G2989&lt;=1,"1. Under 1 hour",IF(G2989&lt;=24,"2. 1-24 hours",IF(G2989&lt;=72,"3. 1-3 days","4. Over 3 days")))</f>
        <v/>
      </c>
      <c r="O2989">
        <f>TEXT(B2989,"YYYY-MM")</f>
        <v/>
      </c>
    </row>
    <row r="2990">
      <c r="A2990" t="inlineStr">
        <is>
          <t>LD-302988</t>
        </is>
      </c>
      <c r="B2990" t="inlineStr">
        <is>
          <t>2026-05-31 07:21:00</t>
        </is>
      </c>
      <c r="C2990" t="inlineStr">
        <is>
          <t>Social Media</t>
        </is>
      </c>
      <c r="D2990" t="inlineStr">
        <is>
          <t>Language Learning</t>
        </is>
      </c>
      <c r="E2990" t="inlineStr">
        <is>
          <t>West Region</t>
        </is>
      </c>
      <c r="F2990" t="inlineStr">
        <is>
          <t>Rep_03</t>
        </is>
      </c>
      <c r="G2990" t="n">
        <v>1.65</v>
      </c>
      <c r="H2990" t="inlineStr">
        <is>
          <t>Contacted</t>
        </is>
      </c>
      <c r="I2990" t="inlineStr">
        <is>
          <t>Open</t>
        </is>
      </c>
      <c r="M2990">
        <f>VLOOKUP(H2990,'Stage Order'!$A$2:$B$8,2,FALSE)</f>
        <v/>
      </c>
      <c r="N2990">
        <f>IF(G2990&lt;=1,"1. Under 1 hour",IF(G2990&lt;=24,"2. 1-24 hours",IF(G2990&lt;=72,"3. 1-3 days","4. Over 3 days")))</f>
        <v/>
      </c>
      <c r="O2990">
        <f>TEXT(B2990,"YYYY-MM")</f>
        <v/>
      </c>
    </row>
    <row r="2991">
      <c r="A2991" t="inlineStr">
        <is>
          <t>LD-302989</t>
        </is>
      </c>
      <c r="B2991" t="inlineStr">
        <is>
          <t>2025-09-22 16:27:00</t>
        </is>
      </c>
      <c r="C2991" t="inlineStr">
        <is>
          <t>Referral</t>
        </is>
      </c>
      <c r="D2991" t="inlineStr">
        <is>
          <t>K-12 Math</t>
        </is>
      </c>
      <c r="E2991" t="inlineStr">
        <is>
          <t>West Region</t>
        </is>
      </c>
      <c r="F2991" t="inlineStr">
        <is>
          <t>Rep_13</t>
        </is>
      </c>
      <c r="G2991" t="n">
        <v>5.34</v>
      </c>
      <c r="H2991" t="inlineStr">
        <is>
          <t>Closed</t>
        </is>
      </c>
      <c r="I2991" t="inlineStr">
        <is>
          <t>Won</t>
        </is>
      </c>
      <c r="K2991" t="n">
        <v>551.99</v>
      </c>
      <c r="L2991" t="inlineStr">
        <is>
          <t>2025-11-04 10:51:43.109911</t>
        </is>
      </c>
      <c r="M2991">
        <f>VLOOKUP(H2991,'Stage Order'!$A$2:$B$8,2,FALSE)</f>
        <v/>
      </c>
      <c r="N2991">
        <f>IF(G2991&lt;=1,"1. Under 1 hour",IF(G2991&lt;=24,"2. 1-24 hours",IF(G2991&lt;=72,"3. 1-3 days","4. Over 3 days")))</f>
        <v/>
      </c>
      <c r="O2991">
        <f>TEXT(B2991,"YYYY-MM")</f>
        <v/>
      </c>
    </row>
    <row r="2992">
      <c r="A2992" t="inlineStr">
        <is>
          <t>LD-302990</t>
        </is>
      </c>
      <c r="B2992" t="inlineStr">
        <is>
          <t>2025-04-27 16:17:00</t>
        </is>
      </c>
      <c r="C2992" t="inlineStr">
        <is>
          <t>Organic Search</t>
        </is>
      </c>
      <c r="D2992" t="inlineStr">
        <is>
          <t>Coding for Kids</t>
        </is>
      </c>
      <c r="E2992" t="inlineStr">
        <is>
          <t>South Region</t>
        </is>
      </c>
      <c r="F2992" t="inlineStr">
        <is>
          <t>Rep_12</t>
        </is>
      </c>
      <c r="G2992" t="n">
        <v>2.02</v>
      </c>
      <c r="H2992" t="inlineStr">
        <is>
          <t>Contacted</t>
        </is>
      </c>
      <c r="I2992" t="inlineStr">
        <is>
          <t>Open</t>
        </is>
      </c>
      <c r="M2992">
        <f>VLOOKUP(H2992,'Stage Order'!$A$2:$B$8,2,FALSE)</f>
        <v/>
      </c>
      <c r="N2992">
        <f>IF(G2992&lt;=1,"1. Under 1 hour",IF(G2992&lt;=24,"2. 1-24 hours",IF(G2992&lt;=72,"3. 1-3 days","4. Over 3 days")))</f>
        <v/>
      </c>
      <c r="O2992">
        <f>TEXT(B2992,"YYYY-MM")</f>
        <v/>
      </c>
    </row>
    <row r="2993">
      <c r="A2993" t="inlineStr">
        <is>
          <t>LD-302991</t>
        </is>
      </c>
      <c r="B2993" t="inlineStr">
        <is>
          <t>2026-04-03 07:46:00</t>
        </is>
      </c>
      <c r="C2993" t="inlineStr">
        <is>
          <t>Organic Search</t>
        </is>
      </c>
      <c r="D2993" t="inlineStr">
        <is>
          <t>K-12 Math</t>
        </is>
      </c>
      <c r="E2993" t="inlineStr">
        <is>
          <t>North Region</t>
        </is>
      </c>
      <c r="F2993" t="inlineStr">
        <is>
          <t>Rep_01</t>
        </is>
      </c>
      <c r="G2993" t="n">
        <v>1.72</v>
      </c>
      <c r="H2993" t="inlineStr">
        <is>
          <t>Contacted</t>
        </is>
      </c>
      <c r="I2993" t="inlineStr">
        <is>
          <t>Open</t>
        </is>
      </c>
      <c r="M2993">
        <f>VLOOKUP(H2993,'Stage Order'!$A$2:$B$8,2,FALSE)</f>
        <v/>
      </c>
      <c r="N2993">
        <f>IF(G2993&lt;=1,"1. Under 1 hour",IF(G2993&lt;=24,"2. 1-24 hours",IF(G2993&lt;=72,"3. 1-3 days","4. Over 3 days")))</f>
        <v/>
      </c>
      <c r="O2993">
        <f>TEXT(B2993,"YYYY-MM")</f>
        <v/>
      </c>
    </row>
    <row r="2994">
      <c r="A2994" t="inlineStr">
        <is>
          <t>LD-302992</t>
        </is>
      </c>
      <c r="B2994" t="inlineStr">
        <is>
          <t>2026-06-16 07:49:00</t>
        </is>
      </c>
      <c r="C2994" t="inlineStr">
        <is>
          <t>Organic Search</t>
        </is>
      </c>
      <c r="D2994" t="inlineStr">
        <is>
          <t>K-12 Math</t>
        </is>
      </c>
      <c r="E2994" t="inlineStr">
        <is>
          <t>East Region</t>
        </is>
      </c>
      <c r="F2994" t="inlineStr">
        <is>
          <t>Rep_04</t>
        </is>
      </c>
      <c r="G2994" t="n">
        <v>2.01</v>
      </c>
      <c r="H2994" t="inlineStr">
        <is>
          <t>Contacted</t>
        </is>
      </c>
      <c r="I2994" t="inlineStr">
        <is>
          <t>Open</t>
        </is>
      </c>
      <c r="M2994">
        <f>VLOOKUP(H2994,'Stage Order'!$A$2:$B$8,2,FALSE)</f>
        <v/>
      </c>
      <c r="N2994">
        <f>IF(G2994&lt;=1,"1. Under 1 hour",IF(G2994&lt;=24,"2. 1-24 hours",IF(G2994&lt;=72,"3. 1-3 days","4. Over 3 days")))</f>
        <v/>
      </c>
      <c r="O2994">
        <f>TEXT(B2994,"YYYY-MM")</f>
        <v/>
      </c>
    </row>
    <row r="2995">
      <c r="A2995" t="inlineStr">
        <is>
          <t>LD-302993</t>
        </is>
      </c>
      <c r="B2995" t="inlineStr">
        <is>
          <t>2025-05-23 09:45:00</t>
        </is>
      </c>
      <c r="C2995" t="inlineStr">
        <is>
          <t>Partner Channel</t>
        </is>
      </c>
      <c r="D2995" t="inlineStr">
        <is>
          <t>Language Learning</t>
        </is>
      </c>
      <c r="E2995" t="inlineStr">
        <is>
          <t>West Region</t>
        </is>
      </c>
      <c r="F2995" t="inlineStr">
        <is>
          <t>Rep_03</t>
        </is>
      </c>
      <c r="G2995" t="n">
        <v>8.949999999999999</v>
      </c>
      <c r="H2995" t="inlineStr">
        <is>
          <t>Demo Completed</t>
        </is>
      </c>
      <c r="I2995" t="inlineStr">
        <is>
          <t>Lost</t>
        </is>
      </c>
      <c r="J2995" t="inlineStr">
        <is>
          <t>Went With Competitor</t>
        </is>
      </c>
      <c r="K2995" t="n">
        <v>393.71</v>
      </c>
      <c r="L2995" t="inlineStr">
        <is>
          <t>2025-07-04 23:20:07.198426</t>
        </is>
      </c>
      <c r="M2995">
        <f>VLOOKUP(H2995,'Stage Order'!$A$2:$B$8,2,FALSE)</f>
        <v/>
      </c>
      <c r="N2995">
        <f>IF(G2995&lt;=1,"1. Under 1 hour",IF(G2995&lt;=24,"2. 1-24 hours",IF(G2995&lt;=72,"3. 1-3 days","4. Over 3 days")))</f>
        <v/>
      </c>
      <c r="O2995">
        <f>TEXT(B2995,"YYYY-MM")</f>
        <v/>
      </c>
    </row>
    <row r="2996">
      <c r="A2996" t="inlineStr">
        <is>
          <t>LD-302994</t>
        </is>
      </c>
      <c r="B2996" t="inlineStr">
        <is>
          <t>2026-02-05 12:35:00</t>
        </is>
      </c>
      <c r="C2996" t="inlineStr">
        <is>
          <t>Organic Search</t>
        </is>
      </c>
      <c r="D2996" t="inlineStr">
        <is>
          <t>K-12 Math</t>
        </is>
      </c>
      <c r="E2996" t="inlineStr">
        <is>
          <t>West Region</t>
        </is>
      </c>
      <c r="F2996" t="inlineStr">
        <is>
          <t>Rep_13</t>
        </is>
      </c>
      <c r="G2996" t="n">
        <v>4.58</v>
      </c>
      <c r="H2996" t="inlineStr">
        <is>
          <t>Contacted</t>
        </is>
      </c>
      <c r="I2996" t="inlineStr">
        <is>
          <t>Open</t>
        </is>
      </c>
      <c r="M2996">
        <f>VLOOKUP(H2996,'Stage Order'!$A$2:$B$8,2,FALSE)</f>
        <v/>
      </c>
      <c r="N2996">
        <f>IF(G2996&lt;=1,"1. Under 1 hour",IF(G2996&lt;=24,"2. 1-24 hours",IF(G2996&lt;=72,"3. 1-3 days","4. Over 3 days")))</f>
        <v/>
      </c>
      <c r="O2996">
        <f>TEXT(B2996,"YYYY-MM")</f>
        <v/>
      </c>
    </row>
    <row r="2997">
      <c r="A2997" t="inlineStr">
        <is>
          <t>LD-302995</t>
        </is>
      </c>
      <c r="B2997" t="inlineStr">
        <is>
          <t>2025-03-26 07:03:00</t>
        </is>
      </c>
      <c r="C2997" t="inlineStr">
        <is>
          <t>Social Media</t>
        </is>
      </c>
      <c r="D2997" t="inlineStr">
        <is>
          <t>Competitive Exam Prep</t>
        </is>
      </c>
      <c r="E2997" t="inlineStr">
        <is>
          <t>North Region</t>
        </is>
      </c>
      <c r="F2997" t="inlineStr">
        <is>
          <t>Rep_01</t>
        </is>
      </c>
      <c r="G2997" t="n">
        <v>2.8</v>
      </c>
      <c r="H2997" t="inlineStr">
        <is>
          <t>Demo Scheduled</t>
        </is>
      </c>
      <c r="I2997" t="inlineStr">
        <is>
          <t>Open</t>
        </is>
      </c>
      <c r="M2997">
        <f>VLOOKUP(H2997,'Stage Order'!$A$2:$B$8,2,FALSE)</f>
        <v/>
      </c>
      <c r="N2997">
        <f>IF(G2997&lt;=1,"1. Under 1 hour",IF(G2997&lt;=24,"2. 1-24 hours",IF(G2997&lt;=72,"3. 1-3 days","4. Over 3 days")))</f>
        <v/>
      </c>
      <c r="O2997">
        <f>TEXT(B2997,"YYYY-MM")</f>
        <v/>
      </c>
    </row>
    <row r="2998">
      <c r="A2998" t="inlineStr">
        <is>
          <t>LD-302996</t>
        </is>
      </c>
      <c r="B2998" t="inlineStr">
        <is>
          <t>2025-02-03 11:05:00</t>
        </is>
      </c>
      <c r="C2998" t="inlineStr">
        <is>
          <t>Referral</t>
        </is>
      </c>
      <c r="D2998" t="inlineStr">
        <is>
          <t>Coding for Kids</t>
        </is>
      </c>
      <c r="E2998" t="inlineStr">
        <is>
          <t>International</t>
        </is>
      </c>
      <c r="F2998" t="inlineStr">
        <is>
          <t>Rep_10</t>
        </is>
      </c>
      <c r="G2998" t="n">
        <v>2.69</v>
      </c>
      <c r="H2998" t="inlineStr">
        <is>
          <t>Closed</t>
        </is>
      </c>
      <c r="I2998" t="inlineStr">
        <is>
          <t>Won</t>
        </is>
      </c>
      <c r="K2998" t="n">
        <v>767.67</v>
      </c>
      <c r="L2998" t="inlineStr">
        <is>
          <t>2025-03-08 07:17:13.130825</t>
        </is>
      </c>
      <c r="M2998">
        <f>VLOOKUP(H2998,'Stage Order'!$A$2:$B$8,2,FALSE)</f>
        <v/>
      </c>
      <c r="N2998">
        <f>IF(G2998&lt;=1,"1. Under 1 hour",IF(G2998&lt;=24,"2. 1-24 hours",IF(G2998&lt;=72,"3. 1-3 days","4. Over 3 days")))</f>
        <v/>
      </c>
      <c r="O2998">
        <f>TEXT(B2998,"YYYY-MM")</f>
        <v/>
      </c>
    </row>
    <row r="2999">
      <c r="A2999" t="inlineStr">
        <is>
          <t>LD-302997</t>
        </is>
      </c>
      <c r="B2999" t="inlineStr">
        <is>
          <t>2025-02-04 18:27:00</t>
        </is>
      </c>
      <c r="C2999" t="inlineStr">
        <is>
          <t>Social Media</t>
        </is>
      </c>
      <c r="D2999" t="inlineStr">
        <is>
          <t>Competitive Exam Prep</t>
        </is>
      </c>
      <c r="E2999" t="inlineStr">
        <is>
          <t>South Region</t>
        </is>
      </c>
      <c r="F2999" t="inlineStr">
        <is>
          <t>Rep_02</t>
        </is>
      </c>
      <c r="G2999" t="n">
        <v>1.16</v>
      </c>
      <c r="H2999" t="inlineStr">
        <is>
          <t>Closed</t>
        </is>
      </c>
      <c r="I2999" t="inlineStr">
        <is>
          <t>Won</t>
        </is>
      </c>
      <c r="K2999" t="n">
        <v>984.53</v>
      </c>
      <c r="L2999" t="inlineStr">
        <is>
          <t>2025-03-20 14:39:29.793023</t>
        </is>
      </c>
      <c r="M2999">
        <f>VLOOKUP(H2999,'Stage Order'!$A$2:$B$8,2,FALSE)</f>
        <v/>
      </c>
      <c r="N2999">
        <f>IF(G2999&lt;=1,"1. Under 1 hour",IF(G2999&lt;=24,"2. 1-24 hours",IF(G2999&lt;=72,"3. 1-3 days","4. Over 3 days")))</f>
        <v/>
      </c>
      <c r="O2999">
        <f>TEXT(B2999,"YYYY-MM")</f>
        <v/>
      </c>
    </row>
    <row r="3000">
      <c r="A3000" t="inlineStr">
        <is>
          <t>LD-302998</t>
        </is>
      </c>
      <c r="B3000" t="inlineStr">
        <is>
          <t>2026-06-01 13:47:00</t>
        </is>
      </c>
      <c r="C3000" t="inlineStr">
        <is>
          <t>Organic Search</t>
        </is>
      </c>
      <c r="D3000" t="inlineStr">
        <is>
          <t>Study Abroad Prep</t>
        </is>
      </c>
      <c r="E3000" t="inlineStr">
        <is>
          <t>South Region</t>
        </is>
      </c>
      <c r="F3000" t="inlineStr">
        <is>
          <t>Rep_07</t>
        </is>
      </c>
      <c r="G3000" t="n">
        <v>7.76</v>
      </c>
      <c r="H3000" t="inlineStr">
        <is>
          <t>Contacted</t>
        </is>
      </c>
      <c r="I3000" t="inlineStr">
        <is>
          <t>Open</t>
        </is>
      </c>
      <c r="M3000">
        <f>VLOOKUP(H3000,'Stage Order'!$A$2:$B$8,2,FALSE)</f>
        <v/>
      </c>
      <c r="N3000">
        <f>IF(G3000&lt;=1,"1. Under 1 hour",IF(G3000&lt;=24,"2. 1-24 hours",IF(G3000&lt;=72,"3. 1-3 days","4. Over 3 days")))</f>
        <v/>
      </c>
      <c r="O3000">
        <f>TEXT(B3000,"YYYY-MM")</f>
        <v/>
      </c>
    </row>
    <row r="3001">
      <c r="A3001" t="inlineStr">
        <is>
          <t>LD-302999</t>
        </is>
      </c>
      <c r="B3001" t="inlineStr">
        <is>
          <t>2025-03-08 17:34:00</t>
        </is>
      </c>
      <c r="C3001" t="inlineStr">
        <is>
          <t>Webinar</t>
        </is>
      </c>
      <c r="D3001" t="inlineStr">
        <is>
          <t>Study Abroad Prep</t>
        </is>
      </c>
      <c r="E3001" t="inlineStr">
        <is>
          <t>North Region</t>
        </is>
      </c>
      <c r="F3001" t="inlineStr">
        <is>
          <t>Rep_06</t>
        </is>
      </c>
      <c r="G3001" t="n">
        <v>1.47</v>
      </c>
      <c r="H3001" t="inlineStr">
        <is>
          <t>Contacted</t>
        </is>
      </c>
      <c r="I3001" t="inlineStr">
        <is>
          <t>Open</t>
        </is>
      </c>
      <c r="M3001">
        <f>VLOOKUP(H3001,'Stage Order'!$A$2:$B$8,2,FALSE)</f>
        <v/>
      </c>
      <c r="N3001">
        <f>IF(G3001&lt;=1,"1. Under 1 hour",IF(G3001&lt;=24,"2. 1-24 hours",IF(G3001&lt;=72,"3. 1-3 days","4. Over 3 days")))</f>
        <v/>
      </c>
      <c r="O3001">
        <f>TEXT(B3001,"YYYY-MM")</f>
        <v/>
      </c>
    </row>
    <row r="3002">
      <c r="A3002" t="inlineStr">
        <is>
          <t>LD-303000</t>
        </is>
      </c>
      <c r="B3002" t="inlineStr">
        <is>
          <t>2025-08-28 15:30:00</t>
        </is>
      </c>
      <c r="C3002" t="inlineStr">
        <is>
          <t>Organic Search</t>
        </is>
      </c>
      <c r="D3002" t="inlineStr">
        <is>
          <t>Competitive Exam Prep</t>
        </is>
      </c>
      <c r="E3002" t="inlineStr">
        <is>
          <t>International</t>
        </is>
      </c>
      <c r="F3002" t="inlineStr">
        <is>
          <t>Rep_15</t>
        </is>
      </c>
      <c r="G3002" t="n">
        <v>1.1</v>
      </c>
      <c r="H3002" t="inlineStr">
        <is>
          <t>Negotiation</t>
        </is>
      </c>
      <c r="I3002" t="inlineStr">
        <is>
          <t>Lost</t>
        </is>
      </c>
      <c r="J3002" t="inlineStr">
        <is>
          <t>Bad Timing</t>
        </is>
      </c>
      <c r="K3002" t="n">
        <v>1108.89</v>
      </c>
      <c r="L3002" t="inlineStr">
        <is>
          <t>2025-10-09 08:21:20.925436</t>
        </is>
      </c>
      <c r="M3002">
        <f>VLOOKUP(H3002,'Stage Order'!$A$2:$B$8,2,FALSE)</f>
        <v/>
      </c>
      <c r="N3002">
        <f>IF(G3002&lt;=1,"1. Under 1 hour",IF(G3002&lt;=24,"2. 1-24 hours",IF(G3002&lt;=72,"3. 1-3 days","4. Over 3 days")))</f>
        <v/>
      </c>
      <c r="O3002">
        <f>TEXT(B3002,"YYYY-MM")</f>
        <v/>
      </c>
    </row>
    <row r="3003">
      <c r="A3003" t="inlineStr">
        <is>
          <t>LD-303001</t>
        </is>
      </c>
      <c r="B3003" t="inlineStr">
        <is>
          <t>2025-11-05 20:01:00</t>
        </is>
      </c>
      <c r="C3003" t="inlineStr">
        <is>
          <t>Organic Search</t>
        </is>
      </c>
      <c r="D3003" t="inlineStr">
        <is>
          <t>Study Abroad Prep</t>
        </is>
      </c>
      <c r="E3003" t="inlineStr">
        <is>
          <t>North Region</t>
        </is>
      </c>
      <c r="F3003" t="inlineStr">
        <is>
          <t>Rep_01</t>
        </is>
      </c>
      <c r="G3003" t="n">
        <v>3.05</v>
      </c>
      <c r="H3003" t="inlineStr">
        <is>
          <t>Lead</t>
        </is>
      </c>
      <c r="I3003" t="inlineStr">
        <is>
          <t>Open</t>
        </is>
      </c>
      <c r="M3003">
        <f>VLOOKUP(H3003,'Stage Order'!$A$2:$B$8,2,FALSE)</f>
        <v/>
      </c>
      <c r="N3003">
        <f>IF(G3003&lt;=1,"1. Under 1 hour",IF(G3003&lt;=24,"2. 1-24 hours",IF(G3003&lt;=72,"3. 1-3 days","4. Over 3 days")))</f>
        <v/>
      </c>
      <c r="O3003">
        <f>TEXT(B3003,"YYYY-MM")</f>
        <v/>
      </c>
    </row>
    <row r="3004">
      <c r="A3004" t="inlineStr">
        <is>
          <t>LD-303002</t>
        </is>
      </c>
      <c r="B3004" t="inlineStr">
        <is>
          <t>2026-06-02 14:04:00</t>
        </is>
      </c>
      <c r="C3004" t="inlineStr">
        <is>
          <t>Organic Search</t>
        </is>
      </c>
      <c r="D3004" t="inlineStr">
        <is>
          <t>Competitive Exam Prep</t>
        </is>
      </c>
      <c r="E3004" t="inlineStr">
        <is>
          <t>South Region</t>
        </is>
      </c>
      <c r="F3004" t="inlineStr">
        <is>
          <t>Rep_02</t>
        </is>
      </c>
      <c r="G3004" t="n">
        <v>0.7</v>
      </c>
      <c r="H3004" t="inlineStr">
        <is>
          <t>Closed</t>
        </is>
      </c>
      <c r="I3004" t="inlineStr">
        <is>
          <t>Won</t>
        </is>
      </c>
      <c r="K3004" t="n">
        <v>1078.88</v>
      </c>
      <c r="L3004" t="inlineStr">
        <is>
          <t>2026-07-24 13:55:06.577507</t>
        </is>
      </c>
      <c r="M3004">
        <f>VLOOKUP(H3004,'Stage Order'!$A$2:$B$8,2,FALSE)</f>
        <v/>
      </c>
      <c r="N3004">
        <f>IF(G3004&lt;=1,"1. Under 1 hour",IF(G3004&lt;=24,"2. 1-24 hours",IF(G3004&lt;=72,"3. 1-3 days","4. Over 3 days")))</f>
        <v/>
      </c>
      <c r="O3004">
        <f>TEXT(B3004,"YYYY-MM")</f>
        <v/>
      </c>
    </row>
    <row r="3005">
      <c r="A3005" t="inlineStr">
        <is>
          <t>LD-303003</t>
        </is>
      </c>
      <c r="B3005" t="inlineStr">
        <is>
          <t>2026-02-24 07:52:00</t>
        </is>
      </c>
      <c r="C3005" t="inlineStr">
        <is>
          <t>Organic Search</t>
        </is>
      </c>
      <c r="D3005" t="inlineStr">
        <is>
          <t>Coding for Kids</t>
        </is>
      </c>
      <c r="E3005" t="inlineStr">
        <is>
          <t>International</t>
        </is>
      </c>
      <c r="F3005" t="inlineStr">
        <is>
          <t>Rep_10</t>
        </is>
      </c>
      <c r="G3005" t="n">
        <v>0.63</v>
      </c>
      <c r="H3005" t="inlineStr">
        <is>
          <t>Contacted</t>
        </is>
      </c>
      <c r="I3005" t="inlineStr">
        <is>
          <t>Open</t>
        </is>
      </c>
      <c r="M3005">
        <f>VLOOKUP(H3005,'Stage Order'!$A$2:$B$8,2,FALSE)</f>
        <v/>
      </c>
      <c r="N3005">
        <f>IF(G3005&lt;=1,"1. Under 1 hour",IF(G3005&lt;=24,"2. 1-24 hours",IF(G3005&lt;=72,"3. 1-3 days","4. Over 3 days")))</f>
        <v/>
      </c>
      <c r="O3005">
        <f>TEXT(B3005,"YYYY-MM")</f>
        <v/>
      </c>
    </row>
    <row r="3006">
      <c r="A3006" t="inlineStr">
        <is>
          <t>LD-303004</t>
        </is>
      </c>
      <c r="B3006" t="inlineStr">
        <is>
          <t>2025-09-26 13:37:00</t>
        </is>
      </c>
      <c r="C3006" t="inlineStr">
        <is>
          <t>Paid Search</t>
        </is>
      </c>
      <c r="D3006" t="inlineStr">
        <is>
          <t>Competitive Exam Prep</t>
        </is>
      </c>
      <c r="E3006" t="inlineStr">
        <is>
          <t>International</t>
        </is>
      </c>
      <c r="F3006" t="inlineStr">
        <is>
          <t>Rep_10</t>
        </is>
      </c>
      <c r="G3006" t="n">
        <v>1.05</v>
      </c>
      <c r="H3006" t="inlineStr">
        <is>
          <t>Contacted</t>
        </is>
      </c>
      <c r="I3006" t="inlineStr">
        <is>
          <t>Open</t>
        </is>
      </c>
      <c r="M3006">
        <f>VLOOKUP(H3006,'Stage Order'!$A$2:$B$8,2,FALSE)</f>
        <v/>
      </c>
      <c r="N3006">
        <f>IF(G3006&lt;=1,"1. Under 1 hour",IF(G3006&lt;=24,"2. 1-24 hours",IF(G3006&lt;=72,"3. 1-3 days","4. Over 3 days")))</f>
        <v/>
      </c>
      <c r="O3006">
        <f>TEXT(B3006,"YYYY-MM")</f>
        <v/>
      </c>
    </row>
    <row r="3007">
      <c r="A3007" t="inlineStr">
        <is>
          <t>LD-303005</t>
        </is>
      </c>
      <c r="B3007" t="inlineStr">
        <is>
          <t>2026-04-01 12:21:00</t>
        </is>
      </c>
      <c r="C3007" t="inlineStr">
        <is>
          <t>Social Media</t>
        </is>
      </c>
      <c r="D3007" t="inlineStr">
        <is>
          <t>Competitive Exam Prep</t>
        </is>
      </c>
      <c r="E3007" t="inlineStr">
        <is>
          <t>South Region</t>
        </is>
      </c>
      <c r="F3007" t="inlineStr">
        <is>
          <t>Rep_12</t>
        </is>
      </c>
      <c r="G3007" t="n">
        <v>6.87</v>
      </c>
      <c r="H3007" t="inlineStr">
        <is>
          <t>Lead</t>
        </is>
      </c>
      <c r="I3007" t="inlineStr">
        <is>
          <t>Open</t>
        </is>
      </c>
      <c r="M3007">
        <f>VLOOKUP(H3007,'Stage Order'!$A$2:$B$8,2,FALSE)</f>
        <v/>
      </c>
      <c r="N3007">
        <f>IF(G3007&lt;=1,"1. Under 1 hour",IF(G3007&lt;=24,"2. 1-24 hours",IF(G3007&lt;=72,"3. 1-3 days","4. Over 3 days")))</f>
        <v/>
      </c>
      <c r="O3007">
        <f>TEXT(B3007,"YYYY-MM")</f>
        <v/>
      </c>
    </row>
    <row r="3008">
      <c r="A3008" t="inlineStr">
        <is>
          <t>LD-303006</t>
        </is>
      </c>
      <c r="B3008" t="inlineStr">
        <is>
          <t>2025-05-18 10:23:00</t>
        </is>
      </c>
      <c r="C3008" t="inlineStr">
        <is>
          <t>Social Media</t>
        </is>
      </c>
      <c r="D3008" t="inlineStr">
        <is>
          <t>Study Abroad Prep</t>
        </is>
      </c>
      <c r="E3008" t="inlineStr">
        <is>
          <t>South Region</t>
        </is>
      </c>
      <c r="F3008" t="inlineStr">
        <is>
          <t>Rep_02</t>
        </is>
      </c>
      <c r="G3008" t="n">
        <v>5.87</v>
      </c>
      <c r="H3008" t="inlineStr">
        <is>
          <t>Lead</t>
        </is>
      </c>
      <c r="I3008" t="inlineStr">
        <is>
          <t>Open</t>
        </is>
      </c>
      <c r="M3008">
        <f>VLOOKUP(H3008,'Stage Order'!$A$2:$B$8,2,FALSE)</f>
        <v/>
      </c>
      <c r="N3008">
        <f>IF(G3008&lt;=1,"1. Under 1 hour",IF(G3008&lt;=24,"2. 1-24 hours",IF(G3008&lt;=72,"3. 1-3 days","4. Over 3 days")))</f>
        <v/>
      </c>
      <c r="O3008">
        <f>TEXT(B3008,"YYYY-MM")</f>
        <v/>
      </c>
    </row>
    <row r="3009">
      <c r="A3009" t="inlineStr">
        <is>
          <t>LD-303007</t>
        </is>
      </c>
      <c r="B3009" t="inlineStr">
        <is>
          <t>2025-05-26 11:40:00</t>
        </is>
      </c>
      <c r="C3009" t="inlineStr">
        <is>
          <t>Paid Search</t>
        </is>
      </c>
      <c r="D3009" t="inlineStr">
        <is>
          <t>Competitive Exam Prep</t>
        </is>
      </c>
      <c r="E3009" t="inlineStr">
        <is>
          <t>South Region</t>
        </is>
      </c>
      <c r="F3009" t="inlineStr">
        <is>
          <t>Rep_12</t>
        </is>
      </c>
      <c r="G3009" t="n">
        <v>3.44</v>
      </c>
      <c r="H3009" t="inlineStr">
        <is>
          <t>Contacted</t>
        </is>
      </c>
      <c r="I3009" t="inlineStr">
        <is>
          <t>Open</t>
        </is>
      </c>
      <c r="M3009">
        <f>VLOOKUP(H3009,'Stage Order'!$A$2:$B$8,2,FALSE)</f>
        <v/>
      </c>
      <c r="N3009">
        <f>IF(G3009&lt;=1,"1. Under 1 hour",IF(G3009&lt;=24,"2. 1-24 hours",IF(G3009&lt;=72,"3. 1-3 days","4. Over 3 days")))</f>
        <v/>
      </c>
      <c r="O3009">
        <f>TEXT(B3009,"YYYY-MM")</f>
        <v/>
      </c>
    </row>
    <row r="3010">
      <c r="A3010" t="inlineStr">
        <is>
          <t>LD-303008</t>
        </is>
      </c>
      <c r="B3010" t="inlineStr">
        <is>
          <t>2025-01-15 09:39:00</t>
        </is>
      </c>
      <c r="C3010" t="inlineStr">
        <is>
          <t>Paid Search</t>
        </is>
      </c>
      <c r="D3010" t="inlineStr">
        <is>
          <t>Coding for Kids</t>
        </is>
      </c>
      <c r="E3010" t="inlineStr">
        <is>
          <t>International</t>
        </is>
      </c>
      <c r="F3010" t="inlineStr">
        <is>
          <t>Rep_15</t>
        </is>
      </c>
      <c r="G3010" t="n">
        <v>9.6</v>
      </c>
      <c r="H3010" t="inlineStr">
        <is>
          <t>Contacted</t>
        </is>
      </c>
      <c r="I3010" t="inlineStr">
        <is>
          <t>Open</t>
        </is>
      </c>
      <c r="M3010">
        <f>VLOOKUP(H3010,'Stage Order'!$A$2:$B$8,2,FALSE)</f>
        <v/>
      </c>
      <c r="N3010">
        <f>IF(G3010&lt;=1,"1. Under 1 hour",IF(G3010&lt;=24,"2. 1-24 hours",IF(G3010&lt;=72,"3. 1-3 days","4. Over 3 days")))</f>
        <v/>
      </c>
      <c r="O3010">
        <f>TEXT(B3010,"YYYY-MM")</f>
        <v/>
      </c>
    </row>
    <row r="3011">
      <c r="A3011" t="inlineStr">
        <is>
          <t>LD-303009</t>
        </is>
      </c>
      <c r="B3011" t="inlineStr">
        <is>
          <t>2026-06-20 10:43:00</t>
        </is>
      </c>
      <c r="C3011" t="inlineStr">
        <is>
          <t>Organic Search</t>
        </is>
      </c>
      <c r="D3011" t="inlineStr">
        <is>
          <t>K-12 Math</t>
        </is>
      </c>
      <c r="E3011" t="inlineStr">
        <is>
          <t>West Region</t>
        </is>
      </c>
      <c r="F3011" t="inlineStr">
        <is>
          <t>Rep_13</t>
        </is>
      </c>
      <c r="G3011" t="n">
        <v>3.92</v>
      </c>
      <c r="H3011" t="inlineStr">
        <is>
          <t>Contacted</t>
        </is>
      </c>
      <c r="I3011" t="inlineStr">
        <is>
          <t>Open</t>
        </is>
      </c>
      <c r="M3011">
        <f>VLOOKUP(H3011,'Stage Order'!$A$2:$B$8,2,FALSE)</f>
        <v/>
      </c>
      <c r="N3011">
        <f>IF(G3011&lt;=1,"1. Under 1 hour",IF(G3011&lt;=24,"2. 1-24 hours",IF(G3011&lt;=72,"3. 1-3 days","4. Over 3 days")))</f>
        <v/>
      </c>
      <c r="O3011">
        <f>TEXT(B3011,"YYYY-MM")</f>
        <v/>
      </c>
    </row>
    <row r="3012">
      <c r="A3012" t="inlineStr">
        <is>
          <t>LD-303010</t>
        </is>
      </c>
      <c r="B3012" t="inlineStr">
        <is>
          <t>2025-12-01 14:38:00</t>
        </is>
      </c>
      <c r="C3012" t="inlineStr">
        <is>
          <t>Cold Outreach</t>
        </is>
      </c>
      <c r="D3012" t="inlineStr">
        <is>
          <t>Language Learning</t>
        </is>
      </c>
      <c r="E3012" t="inlineStr">
        <is>
          <t>South Region</t>
        </is>
      </c>
      <c r="F3012" t="inlineStr">
        <is>
          <t>Rep_07</t>
        </is>
      </c>
      <c r="G3012" t="n">
        <v>1.84</v>
      </c>
      <c r="H3012" t="inlineStr">
        <is>
          <t>Contacted</t>
        </is>
      </c>
      <c r="I3012" t="inlineStr">
        <is>
          <t>Open</t>
        </is>
      </c>
      <c r="M3012">
        <f>VLOOKUP(H3012,'Stage Order'!$A$2:$B$8,2,FALSE)</f>
        <v/>
      </c>
      <c r="N3012">
        <f>IF(G3012&lt;=1,"1. Under 1 hour",IF(G3012&lt;=24,"2. 1-24 hours",IF(G3012&lt;=72,"3. 1-3 days","4. Over 3 days")))</f>
        <v/>
      </c>
      <c r="O3012">
        <f>TEXT(B3012,"YYYY-MM")</f>
        <v/>
      </c>
    </row>
    <row r="3013">
      <c r="A3013" t="inlineStr">
        <is>
          <t>LD-303011</t>
        </is>
      </c>
      <c r="B3013" t="inlineStr">
        <is>
          <t>2025-02-04 10:53:00</t>
        </is>
      </c>
      <c r="C3013" t="inlineStr">
        <is>
          <t>Paid Search</t>
        </is>
      </c>
      <c r="D3013" t="inlineStr">
        <is>
          <t>Language Learning</t>
        </is>
      </c>
      <c r="E3013" t="inlineStr">
        <is>
          <t>North Region</t>
        </is>
      </c>
      <c r="F3013" t="inlineStr">
        <is>
          <t>Rep_01</t>
        </is>
      </c>
      <c r="G3013" t="n">
        <v>3.16</v>
      </c>
      <c r="H3013" t="inlineStr">
        <is>
          <t>Demo Completed</t>
        </is>
      </c>
      <c r="I3013" t="inlineStr">
        <is>
          <t>Lost</t>
        </is>
      </c>
      <c r="J3013" t="inlineStr">
        <is>
          <t>Price Objection</t>
        </is>
      </c>
      <c r="K3013" t="n">
        <v>308.05</v>
      </c>
      <c r="L3013" t="inlineStr">
        <is>
          <t>2025-03-11 01:17:16.612080</t>
        </is>
      </c>
      <c r="M3013">
        <f>VLOOKUP(H3013,'Stage Order'!$A$2:$B$8,2,FALSE)</f>
        <v/>
      </c>
      <c r="N3013">
        <f>IF(G3013&lt;=1,"1. Under 1 hour",IF(G3013&lt;=24,"2. 1-24 hours",IF(G3013&lt;=72,"3. 1-3 days","4. Over 3 days")))</f>
        <v/>
      </c>
      <c r="O3013">
        <f>TEXT(B3013,"YYYY-MM")</f>
        <v/>
      </c>
    </row>
    <row r="3014">
      <c r="A3014" t="inlineStr">
        <is>
          <t>LD-303012</t>
        </is>
      </c>
      <c r="B3014" t="inlineStr">
        <is>
          <t>2025-05-22 08:21:00</t>
        </is>
      </c>
      <c r="C3014" t="inlineStr">
        <is>
          <t>Paid Search</t>
        </is>
      </c>
      <c r="D3014" t="inlineStr">
        <is>
          <t>Coding for Kids</t>
        </is>
      </c>
      <c r="E3014" t="inlineStr">
        <is>
          <t>North Region</t>
        </is>
      </c>
      <c r="F3014" t="inlineStr">
        <is>
          <t>Rep_06</t>
        </is>
      </c>
      <c r="G3014" t="n">
        <v>16.72</v>
      </c>
      <c r="H3014" t="inlineStr">
        <is>
          <t>Contacted</t>
        </is>
      </c>
      <c r="I3014" t="inlineStr">
        <is>
          <t>Open</t>
        </is>
      </c>
      <c r="M3014">
        <f>VLOOKUP(H3014,'Stage Order'!$A$2:$B$8,2,FALSE)</f>
        <v/>
      </c>
      <c r="N3014">
        <f>IF(G3014&lt;=1,"1. Under 1 hour",IF(G3014&lt;=24,"2. 1-24 hours",IF(G3014&lt;=72,"3. 1-3 days","4. Over 3 days")))</f>
        <v/>
      </c>
      <c r="O3014">
        <f>TEXT(B3014,"YYYY-MM")</f>
        <v/>
      </c>
    </row>
    <row r="3015">
      <c r="A3015" t="inlineStr">
        <is>
          <t>LD-303013</t>
        </is>
      </c>
      <c r="B3015" t="inlineStr">
        <is>
          <t>2026-05-15 09:26:00</t>
        </is>
      </c>
      <c r="C3015" t="inlineStr">
        <is>
          <t>Paid Search</t>
        </is>
      </c>
      <c r="D3015" t="inlineStr">
        <is>
          <t>Competitive Exam Prep</t>
        </is>
      </c>
      <c r="E3015" t="inlineStr">
        <is>
          <t>South Region</t>
        </is>
      </c>
      <c r="F3015" t="inlineStr">
        <is>
          <t>Rep_07</t>
        </is>
      </c>
      <c r="G3015" t="n">
        <v>3.63</v>
      </c>
      <c r="H3015" t="inlineStr">
        <is>
          <t>Contacted</t>
        </is>
      </c>
      <c r="I3015" t="inlineStr">
        <is>
          <t>Open</t>
        </is>
      </c>
      <c r="M3015">
        <f>VLOOKUP(H3015,'Stage Order'!$A$2:$B$8,2,FALSE)</f>
        <v/>
      </c>
      <c r="N3015">
        <f>IF(G3015&lt;=1,"1. Under 1 hour",IF(G3015&lt;=24,"2. 1-24 hours",IF(G3015&lt;=72,"3. 1-3 days","4. Over 3 days")))</f>
        <v/>
      </c>
      <c r="O3015">
        <f>TEXT(B3015,"YYYY-MM")</f>
        <v/>
      </c>
    </row>
    <row r="3016">
      <c r="A3016" t="inlineStr">
        <is>
          <t>LD-303014</t>
        </is>
      </c>
      <c r="B3016" t="inlineStr">
        <is>
          <t>2025-06-03 19:02:00</t>
        </is>
      </c>
      <c r="C3016" t="inlineStr">
        <is>
          <t>Paid Search</t>
        </is>
      </c>
      <c r="D3016" t="inlineStr">
        <is>
          <t>K-12 Math</t>
        </is>
      </c>
      <c r="E3016" t="inlineStr">
        <is>
          <t>West Region</t>
        </is>
      </c>
      <c r="F3016" t="inlineStr">
        <is>
          <t>Rep_03</t>
        </is>
      </c>
      <c r="G3016" t="n">
        <v>4.99</v>
      </c>
      <c r="H3016" t="inlineStr">
        <is>
          <t>Lead</t>
        </is>
      </c>
      <c r="I3016" t="inlineStr">
        <is>
          <t>Open</t>
        </is>
      </c>
      <c r="M3016">
        <f>VLOOKUP(H3016,'Stage Order'!$A$2:$B$8,2,FALSE)</f>
        <v/>
      </c>
      <c r="N3016">
        <f>IF(G3016&lt;=1,"1. Under 1 hour",IF(G3016&lt;=24,"2. 1-24 hours",IF(G3016&lt;=72,"3. 1-3 days","4. Over 3 days")))</f>
        <v/>
      </c>
      <c r="O3016">
        <f>TEXT(B3016,"YYYY-MM")</f>
        <v/>
      </c>
    </row>
    <row r="3017">
      <c r="A3017" t="inlineStr">
        <is>
          <t>LD-303015</t>
        </is>
      </c>
      <c r="B3017" t="inlineStr">
        <is>
          <t>2025-01-24 17:11:00</t>
        </is>
      </c>
      <c r="C3017" t="inlineStr">
        <is>
          <t>Organic Search</t>
        </is>
      </c>
      <c r="D3017" t="inlineStr">
        <is>
          <t>K-12 Math</t>
        </is>
      </c>
      <c r="E3017" t="inlineStr">
        <is>
          <t>International</t>
        </is>
      </c>
      <c r="F3017" t="inlineStr">
        <is>
          <t>Rep_15</t>
        </is>
      </c>
      <c r="G3017" t="n">
        <v>2.11</v>
      </c>
      <c r="H3017" t="inlineStr">
        <is>
          <t>Closed</t>
        </is>
      </c>
      <c r="I3017" t="inlineStr">
        <is>
          <t>Won</t>
        </is>
      </c>
      <c r="K3017" t="n">
        <v>561.37</v>
      </c>
      <c r="L3017" t="inlineStr">
        <is>
          <t>2025-03-02 22:29:17.522817</t>
        </is>
      </c>
      <c r="M3017">
        <f>VLOOKUP(H3017,'Stage Order'!$A$2:$B$8,2,FALSE)</f>
        <v/>
      </c>
      <c r="N3017">
        <f>IF(G3017&lt;=1,"1. Under 1 hour",IF(G3017&lt;=24,"2. 1-24 hours",IF(G3017&lt;=72,"3. 1-3 days","4. Over 3 days")))</f>
        <v/>
      </c>
      <c r="O3017">
        <f>TEXT(B3017,"YYYY-MM")</f>
        <v/>
      </c>
    </row>
    <row r="3018">
      <c r="A3018" t="inlineStr">
        <is>
          <t>LD-303016</t>
        </is>
      </c>
      <c r="B3018" t="inlineStr">
        <is>
          <t>2026-06-18 20:38:00</t>
        </is>
      </c>
      <c r="C3018" t="inlineStr">
        <is>
          <t>Webinar</t>
        </is>
      </c>
      <c r="D3018" t="inlineStr">
        <is>
          <t>Coding for Kids</t>
        </is>
      </c>
      <c r="E3018" t="inlineStr">
        <is>
          <t>North Region</t>
        </is>
      </c>
      <c r="F3018" t="inlineStr">
        <is>
          <t>Rep_06</t>
        </is>
      </c>
      <c r="G3018" t="n">
        <v>5.16</v>
      </c>
      <c r="H3018" t="inlineStr">
        <is>
          <t>Contacted</t>
        </is>
      </c>
      <c r="I3018" t="inlineStr">
        <is>
          <t>Open</t>
        </is>
      </c>
      <c r="M3018">
        <f>VLOOKUP(H3018,'Stage Order'!$A$2:$B$8,2,FALSE)</f>
        <v/>
      </c>
      <c r="N3018">
        <f>IF(G3018&lt;=1,"1. Under 1 hour",IF(G3018&lt;=24,"2. 1-24 hours",IF(G3018&lt;=72,"3. 1-3 days","4. Over 3 days")))</f>
        <v/>
      </c>
      <c r="O3018">
        <f>TEXT(B3018,"YYYY-MM")</f>
        <v/>
      </c>
    </row>
    <row r="3019">
      <c r="A3019" t="inlineStr">
        <is>
          <t>LD-303017</t>
        </is>
      </c>
      <c r="B3019" t="inlineStr">
        <is>
          <t>2025-04-28 19:46:00</t>
        </is>
      </c>
      <c r="C3019" t="inlineStr">
        <is>
          <t>Organic Search</t>
        </is>
      </c>
      <c r="D3019" t="inlineStr">
        <is>
          <t>Coding for Kids</t>
        </is>
      </c>
      <c r="E3019" t="inlineStr">
        <is>
          <t>East Region</t>
        </is>
      </c>
      <c r="F3019" t="inlineStr">
        <is>
          <t>Rep_14</t>
        </is>
      </c>
      <c r="G3019" t="n">
        <v>5.94</v>
      </c>
      <c r="H3019" t="inlineStr">
        <is>
          <t>Proposal Sent</t>
        </is>
      </c>
      <c r="I3019" t="inlineStr">
        <is>
          <t>Lost</t>
        </is>
      </c>
      <c r="J3019" t="inlineStr">
        <is>
          <t>No Response / Ghosted</t>
        </is>
      </c>
      <c r="K3019" t="n">
        <v>682.36</v>
      </c>
      <c r="L3019" t="inlineStr">
        <is>
          <t>2025-06-06 19:50:48.108781</t>
        </is>
      </c>
      <c r="M3019">
        <f>VLOOKUP(H3019,'Stage Order'!$A$2:$B$8,2,FALSE)</f>
        <v/>
      </c>
      <c r="N3019">
        <f>IF(G3019&lt;=1,"1. Under 1 hour",IF(G3019&lt;=24,"2. 1-24 hours",IF(G3019&lt;=72,"3. 1-3 days","4. Over 3 days")))</f>
        <v/>
      </c>
      <c r="O3019">
        <f>TEXT(B3019,"YYYY-MM")</f>
        <v/>
      </c>
    </row>
    <row r="3020">
      <c r="A3020" t="inlineStr">
        <is>
          <t>LD-303018</t>
        </is>
      </c>
      <c r="B3020" t="inlineStr">
        <is>
          <t>2026-05-08 07:01:00</t>
        </is>
      </c>
      <c r="C3020" t="inlineStr">
        <is>
          <t>Organic Search</t>
        </is>
      </c>
      <c r="D3020" t="inlineStr">
        <is>
          <t>Coding for Kids</t>
        </is>
      </c>
      <c r="E3020" t="inlineStr">
        <is>
          <t>South Region</t>
        </is>
      </c>
      <c r="F3020" t="inlineStr">
        <is>
          <t>Rep_12</t>
        </is>
      </c>
      <c r="G3020" t="n">
        <v>0.87</v>
      </c>
      <c r="H3020" t="inlineStr">
        <is>
          <t>Closed</t>
        </is>
      </c>
      <c r="I3020" t="inlineStr">
        <is>
          <t>Won</t>
        </is>
      </c>
      <c r="K3020" t="n">
        <v>738.17</v>
      </c>
      <c r="L3020" t="inlineStr">
        <is>
          <t>2026-06-11 05:50:42.989168</t>
        </is>
      </c>
      <c r="M3020">
        <f>VLOOKUP(H3020,'Stage Order'!$A$2:$B$8,2,FALSE)</f>
        <v/>
      </c>
      <c r="N3020">
        <f>IF(G3020&lt;=1,"1. Under 1 hour",IF(G3020&lt;=24,"2. 1-24 hours",IF(G3020&lt;=72,"3. 1-3 days","4. Over 3 days")))</f>
        <v/>
      </c>
      <c r="O3020">
        <f>TEXT(B3020,"YYYY-MM")</f>
        <v/>
      </c>
    </row>
    <row r="3021">
      <c r="A3021" t="inlineStr">
        <is>
          <t>LD-303019</t>
        </is>
      </c>
      <c r="B3021" t="inlineStr">
        <is>
          <t>2026-06-11 08:12:00</t>
        </is>
      </c>
      <c r="C3021" t="inlineStr">
        <is>
          <t>Webinar</t>
        </is>
      </c>
      <c r="D3021" t="inlineStr">
        <is>
          <t>K-12 Math</t>
        </is>
      </c>
      <c r="E3021" t="inlineStr">
        <is>
          <t>West Region</t>
        </is>
      </c>
      <c r="F3021" t="inlineStr">
        <is>
          <t>Rep_08</t>
        </is>
      </c>
      <c r="G3021" t="n">
        <v>1.31</v>
      </c>
      <c r="H3021" t="inlineStr">
        <is>
          <t>Closed</t>
        </is>
      </c>
      <c r="I3021" t="inlineStr">
        <is>
          <t>Won</t>
        </is>
      </c>
      <c r="K3021" t="n">
        <v>559.6</v>
      </c>
      <c r="L3021" t="inlineStr">
        <is>
          <t>2026-08-02 13:09:44.448136</t>
        </is>
      </c>
      <c r="M3021">
        <f>VLOOKUP(H3021,'Stage Order'!$A$2:$B$8,2,FALSE)</f>
        <v/>
      </c>
      <c r="N3021">
        <f>IF(G3021&lt;=1,"1. Under 1 hour",IF(G3021&lt;=24,"2. 1-24 hours",IF(G3021&lt;=72,"3. 1-3 days","4. Over 3 days")))</f>
        <v/>
      </c>
      <c r="O3021">
        <f>TEXT(B3021,"YYYY-MM")</f>
        <v/>
      </c>
    </row>
    <row r="3022">
      <c r="A3022" t="inlineStr">
        <is>
          <t>LD-303020</t>
        </is>
      </c>
      <c r="B3022" t="inlineStr">
        <is>
          <t>2026-06-26 19:41:00</t>
        </is>
      </c>
      <c r="C3022" t="inlineStr">
        <is>
          <t>Paid Search</t>
        </is>
      </c>
      <c r="D3022" t="inlineStr">
        <is>
          <t>Language Learning</t>
        </is>
      </c>
      <c r="E3022" t="inlineStr">
        <is>
          <t>West Region</t>
        </is>
      </c>
      <c r="F3022" t="inlineStr">
        <is>
          <t>Rep_03</t>
        </is>
      </c>
      <c r="G3022" t="n">
        <v>7.13</v>
      </c>
      <c r="H3022" t="inlineStr">
        <is>
          <t>Negotiation</t>
        </is>
      </c>
      <c r="I3022" t="inlineStr">
        <is>
          <t>Lost</t>
        </is>
      </c>
      <c r="J3022" t="inlineStr">
        <is>
          <t>Bad Timing</t>
        </is>
      </c>
      <c r="K3022" t="n">
        <v>421.26</v>
      </c>
      <c r="L3022" t="inlineStr">
        <is>
          <t>2026-08-07 00:03:33.896932</t>
        </is>
      </c>
      <c r="M3022">
        <f>VLOOKUP(H3022,'Stage Order'!$A$2:$B$8,2,FALSE)</f>
        <v/>
      </c>
      <c r="N3022">
        <f>IF(G3022&lt;=1,"1. Under 1 hour",IF(G3022&lt;=24,"2. 1-24 hours",IF(G3022&lt;=72,"3. 1-3 days","4. Over 3 days")))</f>
        <v/>
      </c>
      <c r="O3022">
        <f>TEXT(B3022,"YYYY-MM")</f>
        <v/>
      </c>
    </row>
    <row r="3023">
      <c r="A3023" t="inlineStr">
        <is>
          <t>LD-303021</t>
        </is>
      </c>
      <c r="B3023" t="inlineStr">
        <is>
          <t>2025-09-19 19:31:00</t>
        </is>
      </c>
      <c r="C3023" t="inlineStr">
        <is>
          <t>Organic Search</t>
        </is>
      </c>
      <c r="D3023" t="inlineStr">
        <is>
          <t>Study Abroad Prep</t>
        </is>
      </c>
      <c r="E3023" t="inlineStr">
        <is>
          <t>South Region</t>
        </is>
      </c>
      <c r="F3023" t="inlineStr">
        <is>
          <t>Rep_07</t>
        </is>
      </c>
      <c r="G3023" t="n">
        <v>3.77</v>
      </c>
      <c r="H3023" t="inlineStr">
        <is>
          <t>Contacted</t>
        </is>
      </c>
      <c r="I3023" t="inlineStr">
        <is>
          <t>Open</t>
        </is>
      </c>
      <c r="M3023">
        <f>VLOOKUP(H3023,'Stage Order'!$A$2:$B$8,2,FALSE)</f>
        <v/>
      </c>
      <c r="N3023">
        <f>IF(G3023&lt;=1,"1. Under 1 hour",IF(G3023&lt;=24,"2. 1-24 hours",IF(G3023&lt;=72,"3. 1-3 days","4. Over 3 days")))</f>
        <v/>
      </c>
      <c r="O3023">
        <f>TEXT(B3023,"YYYY-MM")</f>
        <v/>
      </c>
    </row>
    <row r="3024">
      <c r="A3024" t="inlineStr">
        <is>
          <t>LD-303022</t>
        </is>
      </c>
      <c r="B3024" t="inlineStr">
        <is>
          <t>2025-09-22 13:48:00</t>
        </is>
      </c>
      <c r="C3024" t="inlineStr">
        <is>
          <t>Social Media</t>
        </is>
      </c>
      <c r="D3024" t="inlineStr">
        <is>
          <t>Competitive Exam Prep</t>
        </is>
      </c>
      <c r="E3024" t="inlineStr">
        <is>
          <t>West Region</t>
        </is>
      </c>
      <c r="F3024" t="inlineStr">
        <is>
          <t>Rep_13</t>
        </is>
      </c>
      <c r="G3024" t="n">
        <v>0.54</v>
      </c>
      <c r="H3024" t="inlineStr">
        <is>
          <t>Lead</t>
        </is>
      </c>
      <c r="I3024" t="inlineStr">
        <is>
          <t>Open</t>
        </is>
      </c>
      <c r="M3024">
        <f>VLOOKUP(H3024,'Stage Order'!$A$2:$B$8,2,FALSE)</f>
        <v/>
      </c>
      <c r="N3024">
        <f>IF(G3024&lt;=1,"1. Under 1 hour",IF(G3024&lt;=24,"2. 1-24 hours",IF(G3024&lt;=72,"3. 1-3 days","4. Over 3 days")))</f>
        <v/>
      </c>
      <c r="O3024">
        <f>TEXT(B3024,"YYYY-MM")</f>
        <v/>
      </c>
    </row>
    <row r="3025">
      <c r="A3025" t="inlineStr">
        <is>
          <t>LD-303023</t>
        </is>
      </c>
      <c r="B3025" t="inlineStr">
        <is>
          <t>2026-06-26 16:45:00</t>
        </is>
      </c>
      <c r="C3025" t="inlineStr">
        <is>
          <t>Organic Search</t>
        </is>
      </c>
      <c r="D3025" t="inlineStr">
        <is>
          <t>Competitive Exam Prep</t>
        </is>
      </c>
      <c r="E3025" t="inlineStr">
        <is>
          <t>North Region</t>
        </is>
      </c>
      <c r="F3025" t="inlineStr">
        <is>
          <t>Rep_11</t>
        </is>
      </c>
      <c r="G3025" t="n">
        <v>1.69</v>
      </c>
      <c r="H3025" t="inlineStr">
        <is>
          <t>Proposal Sent</t>
        </is>
      </c>
      <c r="I3025" t="inlineStr">
        <is>
          <t>Lost</t>
        </is>
      </c>
      <c r="J3025" t="inlineStr">
        <is>
          <t>Budget Not Approved</t>
        </is>
      </c>
      <c r="K3025" t="n">
        <v>1077.2</v>
      </c>
      <c r="L3025" t="inlineStr">
        <is>
          <t>2026-08-08 14:26:37.426682</t>
        </is>
      </c>
      <c r="M3025">
        <f>VLOOKUP(H3025,'Stage Order'!$A$2:$B$8,2,FALSE)</f>
        <v/>
      </c>
      <c r="N3025">
        <f>IF(G3025&lt;=1,"1. Under 1 hour",IF(G3025&lt;=24,"2. 1-24 hours",IF(G3025&lt;=72,"3. 1-3 days","4. Over 3 days")))</f>
        <v/>
      </c>
      <c r="O3025">
        <f>TEXT(B3025,"YYYY-MM")</f>
        <v/>
      </c>
    </row>
    <row r="3026">
      <c r="A3026" t="inlineStr">
        <is>
          <t>LD-303024</t>
        </is>
      </c>
      <c r="B3026" t="inlineStr">
        <is>
          <t>2026-02-06 12:26:00</t>
        </is>
      </c>
      <c r="C3026" t="inlineStr">
        <is>
          <t>Organic Search</t>
        </is>
      </c>
      <c r="D3026" t="inlineStr">
        <is>
          <t>Coding for Kids</t>
        </is>
      </c>
      <c r="E3026" t="inlineStr">
        <is>
          <t>South Region</t>
        </is>
      </c>
      <c r="F3026" t="inlineStr">
        <is>
          <t>Rep_12</t>
        </is>
      </c>
      <c r="G3026" t="n">
        <v>0.47</v>
      </c>
      <c r="H3026" t="inlineStr">
        <is>
          <t>Negotiation</t>
        </is>
      </c>
      <c r="I3026" t="inlineStr">
        <is>
          <t>Lost</t>
        </is>
      </c>
      <c r="J3026" t="inlineStr">
        <is>
          <t>Bad Timing</t>
        </is>
      </c>
      <c r="K3026" t="n">
        <v>609.09</v>
      </c>
      <c r="L3026" t="inlineStr">
        <is>
          <t>2026-03-27 19:43:13.776047</t>
        </is>
      </c>
      <c r="M3026">
        <f>VLOOKUP(H3026,'Stage Order'!$A$2:$B$8,2,FALSE)</f>
        <v/>
      </c>
      <c r="N3026">
        <f>IF(G3026&lt;=1,"1. Under 1 hour",IF(G3026&lt;=24,"2. 1-24 hours",IF(G3026&lt;=72,"3. 1-3 days","4. Over 3 days")))</f>
        <v/>
      </c>
      <c r="O3026">
        <f>TEXT(B3026,"YYYY-MM")</f>
        <v/>
      </c>
    </row>
    <row r="3027">
      <c r="A3027" t="inlineStr">
        <is>
          <t>LD-303025</t>
        </is>
      </c>
      <c r="B3027" t="inlineStr">
        <is>
          <t>2025-07-11 18:59:00</t>
        </is>
      </c>
      <c r="C3027" t="inlineStr">
        <is>
          <t>Social Media</t>
        </is>
      </c>
      <c r="D3027" t="inlineStr">
        <is>
          <t>Competitive Exam Prep</t>
        </is>
      </c>
      <c r="E3027" t="inlineStr">
        <is>
          <t>East Region</t>
        </is>
      </c>
      <c r="F3027" t="inlineStr">
        <is>
          <t>Rep_09</t>
        </is>
      </c>
      <c r="G3027" t="n">
        <v>5.67</v>
      </c>
      <c r="H3027" t="inlineStr">
        <is>
          <t>Lead</t>
        </is>
      </c>
      <c r="I3027" t="inlineStr">
        <is>
          <t>Open</t>
        </is>
      </c>
      <c r="M3027">
        <f>VLOOKUP(H3027,'Stage Order'!$A$2:$B$8,2,FALSE)</f>
        <v/>
      </c>
      <c r="N3027">
        <f>IF(G3027&lt;=1,"1. Under 1 hour",IF(G3027&lt;=24,"2. 1-24 hours",IF(G3027&lt;=72,"3. 1-3 days","4. Over 3 days")))</f>
        <v/>
      </c>
      <c r="O3027">
        <f>TEXT(B3027,"YYYY-MM")</f>
        <v/>
      </c>
    </row>
    <row r="3028">
      <c r="A3028" t="inlineStr">
        <is>
          <t>LD-303026</t>
        </is>
      </c>
      <c r="B3028" t="inlineStr">
        <is>
          <t>2025-09-29 09:40:00</t>
        </is>
      </c>
      <c r="C3028" t="inlineStr">
        <is>
          <t>Cold Outreach</t>
        </is>
      </c>
      <c r="D3028" t="inlineStr">
        <is>
          <t>Language Learning</t>
        </is>
      </c>
      <c r="E3028" t="inlineStr">
        <is>
          <t>West Region</t>
        </is>
      </c>
      <c r="F3028" t="inlineStr">
        <is>
          <t>Rep_08</t>
        </is>
      </c>
      <c r="G3028" t="n">
        <v>3.89</v>
      </c>
      <c r="H3028" t="inlineStr">
        <is>
          <t>Contacted</t>
        </is>
      </c>
      <c r="I3028" t="inlineStr">
        <is>
          <t>Open</t>
        </is>
      </c>
      <c r="M3028">
        <f>VLOOKUP(H3028,'Stage Order'!$A$2:$B$8,2,FALSE)</f>
        <v/>
      </c>
      <c r="N3028">
        <f>IF(G3028&lt;=1,"1. Under 1 hour",IF(G3028&lt;=24,"2. 1-24 hours",IF(G3028&lt;=72,"3. 1-3 days","4. Over 3 days")))</f>
        <v/>
      </c>
      <c r="O3028">
        <f>TEXT(B3028,"YYYY-MM")</f>
        <v/>
      </c>
    </row>
    <row r="3029">
      <c r="A3029" t="inlineStr">
        <is>
          <t>LD-303027</t>
        </is>
      </c>
      <c r="B3029" t="inlineStr">
        <is>
          <t>2026-01-05 07:16:00</t>
        </is>
      </c>
      <c r="C3029" t="inlineStr">
        <is>
          <t>Organic Search</t>
        </is>
      </c>
      <c r="D3029" t="inlineStr">
        <is>
          <t>K-12 Math</t>
        </is>
      </c>
      <c r="E3029" t="inlineStr">
        <is>
          <t>South Region</t>
        </is>
      </c>
      <c r="F3029" t="inlineStr">
        <is>
          <t>Rep_02</t>
        </is>
      </c>
      <c r="G3029" t="n">
        <v>4.07</v>
      </c>
      <c r="H3029" t="inlineStr">
        <is>
          <t>Demo Scheduled</t>
        </is>
      </c>
      <c r="I3029" t="inlineStr">
        <is>
          <t>Open</t>
        </is>
      </c>
      <c r="M3029">
        <f>VLOOKUP(H3029,'Stage Order'!$A$2:$B$8,2,FALSE)</f>
        <v/>
      </c>
      <c r="N3029">
        <f>IF(G3029&lt;=1,"1. Under 1 hour",IF(G3029&lt;=24,"2. 1-24 hours",IF(G3029&lt;=72,"3. 1-3 days","4. Over 3 days")))</f>
        <v/>
      </c>
      <c r="O3029">
        <f>TEXT(B3029,"YYYY-MM")</f>
        <v/>
      </c>
    </row>
    <row r="3030">
      <c r="A3030" t="inlineStr">
        <is>
          <t>LD-303028</t>
        </is>
      </c>
      <c r="B3030" t="inlineStr">
        <is>
          <t>2025-05-07 11:24:00</t>
        </is>
      </c>
      <c r="C3030" t="inlineStr">
        <is>
          <t>Referral</t>
        </is>
      </c>
      <c r="D3030" t="inlineStr">
        <is>
          <t>K-12 Math</t>
        </is>
      </c>
      <c r="E3030" t="inlineStr">
        <is>
          <t>South Region</t>
        </is>
      </c>
      <c r="F3030" t="inlineStr">
        <is>
          <t>Rep_02</t>
        </is>
      </c>
      <c r="G3030" t="n">
        <v>9.49</v>
      </c>
      <c r="H3030" t="inlineStr">
        <is>
          <t>Lead</t>
        </is>
      </c>
      <c r="I3030" t="inlineStr">
        <is>
          <t>Open</t>
        </is>
      </c>
      <c r="M3030">
        <f>VLOOKUP(H3030,'Stage Order'!$A$2:$B$8,2,FALSE)</f>
        <v/>
      </c>
      <c r="N3030">
        <f>IF(G3030&lt;=1,"1. Under 1 hour",IF(G3030&lt;=24,"2. 1-24 hours",IF(G3030&lt;=72,"3. 1-3 days","4. Over 3 days")))</f>
        <v/>
      </c>
      <c r="O3030">
        <f>TEXT(B3030,"YYYY-MM")</f>
        <v/>
      </c>
    </row>
    <row r="3031">
      <c r="A3031" t="inlineStr">
        <is>
          <t>LD-303029</t>
        </is>
      </c>
      <c r="B3031" t="inlineStr">
        <is>
          <t>2025-03-21 12:49:00</t>
        </is>
      </c>
      <c r="C3031" t="inlineStr">
        <is>
          <t>Paid Search</t>
        </is>
      </c>
      <c r="D3031" t="inlineStr">
        <is>
          <t>Competitive Exam Prep</t>
        </is>
      </c>
      <c r="E3031" t="inlineStr">
        <is>
          <t>International</t>
        </is>
      </c>
      <c r="F3031" t="inlineStr">
        <is>
          <t>Rep_05</t>
        </is>
      </c>
      <c r="G3031" t="n">
        <v>1.98</v>
      </c>
      <c r="H3031" t="inlineStr">
        <is>
          <t>Lead</t>
        </is>
      </c>
      <c r="I3031" t="inlineStr">
        <is>
          <t>Open</t>
        </is>
      </c>
      <c r="M3031">
        <f>VLOOKUP(H3031,'Stage Order'!$A$2:$B$8,2,FALSE)</f>
        <v/>
      </c>
      <c r="N3031">
        <f>IF(G3031&lt;=1,"1. Under 1 hour",IF(G3031&lt;=24,"2. 1-24 hours",IF(G3031&lt;=72,"3. 1-3 days","4. Over 3 days")))</f>
        <v/>
      </c>
      <c r="O3031">
        <f>TEXT(B3031,"YYYY-MM")</f>
        <v/>
      </c>
    </row>
    <row r="3032">
      <c r="A3032" t="inlineStr">
        <is>
          <t>LD-303030</t>
        </is>
      </c>
      <c r="B3032" t="inlineStr">
        <is>
          <t>2025-02-07 17:24:00</t>
        </is>
      </c>
      <c r="C3032" t="inlineStr">
        <is>
          <t>Cold Outreach</t>
        </is>
      </c>
      <c r="D3032" t="inlineStr">
        <is>
          <t>K-12 Math</t>
        </is>
      </c>
      <c r="E3032" t="inlineStr">
        <is>
          <t>South Region</t>
        </is>
      </c>
      <c r="F3032" t="inlineStr">
        <is>
          <t>Rep_07</t>
        </is>
      </c>
      <c r="G3032" t="n">
        <v>2.05</v>
      </c>
      <c r="H3032" t="inlineStr">
        <is>
          <t>Contacted</t>
        </is>
      </c>
      <c r="I3032" t="inlineStr">
        <is>
          <t>Open</t>
        </is>
      </c>
      <c r="M3032">
        <f>VLOOKUP(H3032,'Stage Order'!$A$2:$B$8,2,FALSE)</f>
        <v/>
      </c>
      <c r="N3032">
        <f>IF(G3032&lt;=1,"1. Under 1 hour",IF(G3032&lt;=24,"2. 1-24 hours",IF(G3032&lt;=72,"3. 1-3 days","4. Over 3 days")))</f>
        <v/>
      </c>
      <c r="O3032">
        <f>TEXT(B3032,"YYYY-MM")</f>
        <v/>
      </c>
    </row>
    <row r="3033">
      <c r="A3033" t="inlineStr">
        <is>
          <t>LD-303031</t>
        </is>
      </c>
      <c r="B3033" t="inlineStr">
        <is>
          <t>2025-05-28 16:43:00</t>
        </is>
      </c>
      <c r="C3033" t="inlineStr">
        <is>
          <t>Referral</t>
        </is>
      </c>
      <c r="D3033" t="inlineStr">
        <is>
          <t>Language Learning</t>
        </is>
      </c>
      <c r="E3033" t="inlineStr">
        <is>
          <t>North Region</t>
        </is>
      </c>
      <c r="F3033" t="inlineStr">
        <is>
          <t>Rep_01</t>
        </is>
      </c>
      <c r="G3033" t="n">
        <v>4.42</v>
      </c>
      <c r="H3033" t="inlineStr">
        <is>
          <t>Demo Scheduled</t>
        </is>
      </c>
      <c r="I3033" t="inlineStr">
        <is>
          <t>Open</t>
        </is>
      </c>
      <c r="M3033">
        <f>VLOOKUP(H3033,'Stage Order'!$A$2:$B$8,2,FALSE)</f>
        <v/>
      </c>
      <c r="N3033">
        <f>IF(G3033&lt;=1,"1. Under 1 hour",IF(G3033&lt;=24,"2. 1-24 hours",IF(G3033&lt;=72,"3. 1-3 days","4. Over 3 days")))</f>
        <v/>
      </c>
      <c r="O3033">
        <f>TEXT(B3033,"YYYY-MM")</f>
        <v/>
      </c>
    </row>
    <row r="3034">
      <c r="A3034" t="inlineStr">
        <is>
          <t>LD-303032</t>
        </is>
      </c>
      <c r="B3034" t="inlineStr">
        <is>
          <t>2026-04-10 12:53:00</t>
        </is>
      </c>
      <c r="C3034" t="inlineStr">
        <is>
          <t>Partner Channel</t>
        </is>
      </c>
      <c r="D3034" t="inlineStr">
        <is>
          <t>Competitive Exam Prep</t>
        </is>
      </c>
      <c r="E3034" t="inlineStr">
        <is>
          <t>South Region</t>
        </is>
      </c>
      <c r="F3034" t="inlineStr">
        <is>
          <t>Rep_12</t>
        </is>
      </c>
      <c r="G3034" t="n">
        <v>0.79</v>
      </c>
      <c r="H3034" t="inlineStr">
        <is>
          <t>Contacted</t>
        </is>
      </c>
      <c r="I3034" t="inlineStr">
        <is>
          <t>Open</t>
        </is>
      </c>
      <c r="M3034">
        <f>VLOOKUP(H3034,'Stage Order'!$A$2:$B$8,2,FALSE)</f>
        <v/>
      </c>
      <c r="N3034">
        <f>IF(G3034&lt;=1,"1. Under 1 hour",IF(G3034&lt;=24,"2. 1-24 hours",IF(G3034&lt;=72,"3. 1-3 days","4. Over 3 days")))</f>
        <v/>
      </c>
      <c r="O3034">
        <f>TEXT(B3034,"YYYY-MM")</f>
        <v/>
      </c>
    </row>
    <row r="3035">
      <c r="A3035" t="inlineStr">
        <is>
          <t>LD-303033</t>
        </is>
      </c>
      <c r="B3035" t="inlineStr">
        <is>
          <t>2026-04-07 15:50:00</t>
        </is>
      </c>
      <c r="C3035" t="inlineStr">
        <is>
          <t>Webinar</t>
        </is>
      </c>
      <c r="D3035" t="inlineStr">
        <is>
          <t>Coding for Kids</t>
        </is>
      </c>
      <c r="E3035" t="inlineStr">
        <is>
          <t>South Region</t>
        </is>
      </c>
      <c r="F3035" t="inlineStr">
        <is>
          <t>Rep_12</t>
        </is>
      </c>
      <c r="G3035" t="n">
        <v>1.14</v>
      </c>
      <c r="H3035" t="inlineStr">
        <is>
          <t>Demo Scheduled</t>
        </is>
      </c>
      <c r="I3035" t="inlineStr">
        <is>
          <t>Open</t>
        </is>
      </c>
      <c r="M3035">
        <f>VLOOKUP(H3035,'Stage Order'!$A$2:$B$8,2,FALSE)</f>
        <v/>
      </c>
      <c r="N3035">
        <f>IF(G3035&lt;=1,"1. Under 1 hour",IF(G3035&lt;=24,"2. 1-24 hours",IF(G3035&lt;=72,"3. 1-3 days","4. Over 3 days")))</f>
        <v/>
      </c>
      <c r="O3035">
        <f>TEXT(B3035,"YYYY-MM")</f>
        <v/>
      </c>
    </row>
    <row r="3036">
      <c r="A3036" t="inlineStr">
        <is>
          <t>LD-303034</t>
        </is>
      </c>
      <c r="B3036" t="inlineStr">
        <is>
          <t>2025-11-07 20:40:00</t>
        </is>
      </c>
      <c r="C3036" t="inlineStr">
        <is>
          <t>Social Media</t>
        </is>
      </c>
      <c r="D3036" t="inlineStr">
        <is>
          <t>Coding for Kids</t>
        </is>
      </c>
      <c r="E3036" t="inlineStr">
        <is>
          <t>East Region</t>
        </is>
      </c>
      <c r="F3036" t="inlineStr">
        <is>
          <t>Rep_04</t>
        </is>
      </c>
      <c r="G3036" t="n">
        <v>1.71</v>
      </c>
      <c r="H3036" t="inlineStr">
        <is>
          <t>Contacted</t>
        </is>
      </c>
      <c r="I3036" t="inlineStr">
        <is>
          <t>Open</t>
        </is>
      </c>
      <c r="M3036">
        <f>VLOOKUP(H3036,'Stage Order'!$A$2:$B$8,2,FALSE)</f>
        <v/>
      </c>
      <c r="N3036">
        <f>IF(G3036&lt;=1,"1. Under 1 hour",IF(G3036&lt;=24,"2. 1-24 hours",IF(G3036&lt;=72,"3. 1-3 days","4. Over 3 days")))</f>
        <v/>
      </c>
      <c r="O3036">
        <f>TEXT(B3036,"YYYY-MM")</f>
        <v/>
      </c>
    </row>
    <row r="3037">
      <c r="A3037" t="inlineStr">
        <is>
          <t>LD-303035</t>
        </is>
      </c>
      <c r="B3037" t="inlineStr">
        <is>
          <t>2025-03-19 18:24:00</t>
        </is>
      </c>
      <c r="C3037" t="inlineStr">
        <is>
          <t>Organic Search</t>
        </is>
      </c>
      <c r="D3037" t="inlineStr">
        <is>
          <t>K-12 Math</t>
        </is>
      </c>
      <c r="E3037" t="inlineStr">
        <is>
          <t>West Region</t>
        </is>
      </c>
      <c r="F3037" t="inlineStr">
        <is>
          <t>Rep_03</t>
        </is>
      </c>
      <c r="G3037" t="n">
        <v>11.52</v>
      </c>
      <c r="H3037" t="inlineStr">
        <is>
          <t>Negotiation</t>
        </is>
      </c>
      <c r="I3037" t="inlineStr">
        <is>
          <t>Lost</t>
        </is>
      </c>
      <c r="J3037" t="inlineStr">
        <is>
          <t>No Response / Ghosted</t>
        </is>
      </c>
      <c r="K3037" t="n">
        <v>529.42</v>
      </c>
      <c r="L3037" t="inlineStr">
        <is>
          <t>2025-05-07 01:46:33.361699</t>
        </is>
      </c>
      <c r="M3037">
        <f>VLOOKUP(H3037,'Stage Order'!$A$2:$B$8,2,FALSE)</f>
        <v/>
      </c>
      <c r="N3037">
        <f>IF(G3037&lt;=1,"1. Under 1 hour",IF(G3037&lt;=24,"2. 1-24 hours",IF(G3037&lt;=72,"3. 1-3 days","4. Over 3 days")))</f>
        <v/>
      </c>
      <c r="O3037">
        <f>TEXT(B3037,"YYYY-MM")</f>
        <v/>
      </c>
    </row>
    <row r="3038">
      <c r="A3038" t="inlineStr">
        <is>
          <t>LD-303036</t>
        </is>
      </c>
      <c r="B3038" t="inlineStr">
        <is>
          <t>2025-07-26 13:27:00</t>
        </is>
      </c>
      <c r="C3038" t="inlineStr">
        <is>
          <t>Cold Outreach</t>
        </is>
      </c>
      <c r="D3038" t="inlineStr">
        <is>
          <t>Coding for Kids</t>
        </is>
      </c>
      <c r="E3038" t="inlineStr">
        <is>
          <t>West Region</t>
        </is>
      </c>
      <c r="F3038" t="inlineStr">
        <is>
          <t>Rep_03</t>
        </is>
      </c>
      <c r="G3038" t="n">
        <v>1.89</v>
      </c>
      <c r="H3038" t="inlineStr">
        <is>
          <t>Lead</t>
        </is>
      </c>
      <c r="I3038" t="inlineStr">
        <is>
          <t>Open</t>
        </is>
      </c>
      <c r="M3038">
        <f>VLOOKUP(H3038,'Stage Order'!$A$2:$B$8,2,FALSE)</f>
        <v/>
      </c>
      <c r="N3038">
        <f>IF(G3038&lt;=1,"1. Under 1 hour",IF(G3038&lt;=24,"2. 1-24 hours",IF(G3038&lt;=72,"3. 1-3 days","4. Over 3 days")))</f>
        <v/>
      </c>
      <c r="O3038">
        <f>TEXT(B3038,"YYYY-MM")</f>
        <v/>
      </c>
    </row>
    <row r="3039">
      <c r="A3039" t="inlineStr">
        <is>
          <t>LD-303037</t>
        </is>
      </c>
      <c r="B3039" t="inlineStr">
        <is>
          <t>2026-06-05 13:26:00</t>
        </is>
      </c>
      <c r="C3039" t="inlineStr">
        <is>
          <t>Referral</t>
        </is>
      </c>
      <c r="D3039" t="inlineStr">
        <is>
          <t>K-12 Math</t>
        </is>
      </c>
      <c r="E3039" t="inlineStr">
        <is>
          <t>South Region</t>
        </is>
      </c>
      <c r="F3039" t="inlineStr">
        <is>
          <t>Rep_07</t>
        </is>
      </c>
      <c r="G3039" t="n">
        <v>1.36</v>
      </c>
      <c r="H3039" t="inlineStr">
        <is>
          <t>Negotiation</t>
        </is>
      </c>
      <c r="I3039" t="inlineStr">
        <is>
          <t>Lost</t>
        </is>
      </c>
      <c r="J3039" t="inlineStr">
        <is>
          <t>Price Objection</t>
        </is>
      </c>
      <c r="K3039" t="n">
        <v>482.09</v>
      </c>
      <c r="L3039" t="inlineStr">
        <is>
          <t>2026-07-24 09:52:22.036288</t>
        </is>
      </c>
      <c r="M3039">
        <f>VLOOKUP(H3039,'Stage Order'!$A$2:$B$8,2,FALSE)</f>
        <v/>
      </c>
      <c r="N3039">
        <f>IF(G3039&lt;=1,"1. Under 1 hour",IF(G3039&lt;=24,"2. 1-24 hours",IF(G3039&lt;=72,"3. 1-3 days","4. Over 3 days")))</f>
        <v/>
      </c>
      <c r="O3039">
        <f>TEXT(B3039,"YYYY-MM")</f>
        <v/>
      </c>
    </row>
    <row r="3040">
      <c r="A3040" t="inlineStr">
        <is>
          <t>LD-303038</t>
        </is>
      </c>
      <c r="B3040" t="inlineStr">
        <is>
          <t>2025-03-18 16:12:00</t>
        </is>
      </c>
      <c r="C3040" t="inlineStr">
        <is>
          <t>Referral</t>
        </is>
      </c>
      <c r="D3040" t="inlineStr">
        <is>
          <t>Language Learning</t>
        </is>
      </c>
      <c r="E3040" t="inlineStr">
        <is>
          <t>West Region</t>
        </is>
      </c>
      <c r="F3040" t="inlineStr">
        <is>
          <t>Rep_13</t>
        </is>
      </c>
      <c r="G3040" t="n">
        <v>1.23</v>
      </c>
      <c r="H3040" t="inlineStr">
        <is>
          <t>Demo Completed</t>
        </is>
      </c>
      <c r="I3040" t="inlineStr">
        <is>
          <t>Lost</t>
        </is>
      </c>
      <c r="J3040" t="inlineStr">
        <is>
          <t>Bad Timing</t>
        </is>
      </c>
      <c r="K3040" t="n">
        <v>353.42</v>
      </c>
      <c r="L3040" t="inlineStr">
        <is>
          <t>2025-04-06 21:05:15.381130</t>
        </is>
      </c>
      <c r="M3040">
        <f>VLOOKUP(H3040,'Stage Order'!$A$2:$B$8,2,FALSE)</f>
        <v/>
      </c>
      <c r="N3040">
        <f>IF(G3040&lt;=1,"1. Under 1 hour",IF(G3040&lt;=24,"2. 1-24 hours",IF(G3040&lt;=72,"3. 1-3 days","4. Over 3 days")))</f>
        <v/>
      </c>
      <c r="O3040">
        <f>TEXT(B3040,"YYYY-MM")</f>
        <v/>
      </c>
    </row>
    <row r="3041">
      <c r="A3041" t="inlineStr">
        <is>
          <t>LD-303039</t>
        </is>
      </c>
      <c r="B3041" t="inlineStr">
        <is>
          <t>2025-06-13 18:57:00</t>
        </is>
      </c>
      <c r="C3041" t="inlineStr">
        <is>
          <t>Organic Search</t>
        </is>
      </c>
      <c r="D3041" t="inlineStr">
        <is>
          <t>K-12 Math</t>
        </is>
      </c>
      <c r="E3041" t="inlineStr">
        <is>
          <t>East Region</t>
        </is>
      </c>
      <c r="F3041" t="inlineStr">
        <is>
          <t>Rep_14</t>
        </is>
      </c>
      <c r="G3041" t="n">
        <v>1.71</v>
      </c>
      <c r="H3041" t="inlineStr">
        <is>
          <t>Contacted</t>
        </is>
      </c>
      <c r="I3041" t="inlineStr">
        <is>
          <t>Open</t>
        </is>
      </c>
      <c r="M3041">
        <f>VLOOKUP(H3041,'Stage Order'!$A$2:$B$8,2,FALSE)</f>
        <v/>
      </c>
      <c r="N3041">
        <f>IF(G3041&lt;=1,"1. Under 1 hour",IF(G3041&lt;=24,"2. 1-24 hours",IF(G3041&lt;=72,"3. 1-3 days","4. Over 3 days")))</f>
        <v/>
      </c>
      <c r="O3041">
        <f>TEXT(B3041,"YYYY-MM")</f>
        <v/>
      </c>
    </row>
    <row r="3042">
      <c r="A3042" t="inlineStr">
        <is>
          <t>LD-303040</t>
        </is>
      </c>
      <c r="B3042" t="inlineStr">
        <is>
          <t>2025-08-24 09:47:00</t>
        </is>
      </c>
      <c r="C3042" t="inlineStr">
        <is>
          <t>Social Media</t>
        </is>
      </c>
      <c r="D3042" t="inlineStr">
        <is>
          <t>Competitive Exam Prep</t>
        </is>
      </c>
      <c r="E3042" t="inlineStr">
        <is>
          <t>East Region</t>
        </is>
      </c>
      <c r="F3042" t="inlineStr">
        <is>
          <t>Rep_09</t>
        </is>
      </c>
      <c r="G3042" t="n">
        <v>3.1</v>
      </c>
      <c r="H3042" t="inlineStr">
        <is>
          <t>Contacted</t>
        </is>
      </c>
      <c r="I3042" t="inlineStr">
        <is>
          <t>Open</t>
        </is>
      </c>
      <c r="M3042">
        <f>VLOOKUP(H3042,'Stage Order'!$A$2:$B$8,2,FALSE)</f>
        <v/>
      </c>
      <c r="N3042">
        <f>IF(G3042&lt;=1,"1. Under 1 hour",IF(G3042&lt;=24,"2. 1-24 hours",IF(G3042&lt;=72,"3. 1-3 days","4. Over 3 days")))</f>
        <v/>
      </c>
      <c r="O3042">
        <f>TEXT(B3042,"YYYY-MM")</f>
        <v/>
      </c>
    </row>
    <row r="3043">
      <c r="A3043" t="inlineStr">
        <is>
          <t>LD-303041</t>
        </is>
      </c>
      <c r="B3043" t="inlineStr">
        <is>
          <t>2025-07-14 20:37:00</t>
        </is>
      </c>
      <c r="C3043" t="inlineStr">
        <is>
          <t>Organic Search</t>
        </is>
      </c>
      <c r="D3043" t="inlineStr">
        <is>
          <t>Language Learning</t>
        </is>
      </c>
      <c r="E3043" t="inlineStr">
        <is>
          <t>North Region</t>
        </is>
      </c>
      <c r="F3043" t="inlineStr">
        <is>
          <t>Rep_01</t>
        </is>
      </c>
      <c r="G3043" t="n">
        <v>3.27</v>
      </c>
      <c r="H3043" t="inlineStr">
        <is>
          <t>Contacted</t>
        </is>
      </c>
      <c r="I3043" t="inlineStr">
        <is>
          <t>Open</t>
        </is>
      </c>
      <c r="M3043">
        <f>VLOOKUP(H3043,'Stage Order'!$A$2:$B$8,2,FALSE)</f>
        <v/>
      </c>
      <c r="N3043">
        <f>IF(G3043&lt;=1,"1. Under 1 hour",IF(G3043&lt;=24,"2. 1-24 hours",IF(G3043&lt;=72,"3. 1-3 days","4. Over 3 days")))</f>
        <v/>
      </c>
      <c r="O3043">
        <f>TEXT(B3043,"YYYY-MM")</f>
        <v/>
      </c>
    </row>
    <row r="3044">
      <c r="A3044" t="inlineStr">
        <is>
          <t>LD-303042</t>
        </is>
      </c>
      <c r="B3044" t="inlineStr">
        <is>
          <t>2025-08-04 07:40:00</t>
        </is>
      </c>
      <c r="C3044" t="inlineStr">
        <is>
          <t>Social Media</t>
        </is>
      </c>
      <c r="D3044" t="inlineStr">
        <is>
          <t>Language Learning</t>
        </is>
      </c>
      <c r="E3044" t="inlineStr">
        <is>
          <t>East Region</t>
        </is>
      </c>
      <c r="F3044" t="inlineStr">
        <is>
          <t>Rep_04</t>
        </is>
      </c>
      <c r="G3044" t="n">
        <v>2.43</v>
      </c>
      <c r="H3044" t="inlineStr">
        <is>
          <t>Proposal Sent</t>
        </is>
      </c>
      <c r="I3044" t="inlineStr">
        <is>
          <t>Lost</t>
        </is>
      </c>
      <c r="J3044" t="inlineStr">
        <is>
          <t>Budget Not Approved</t>
        </is>
      </c>
      <c r="K3044" t="n">
        <v>299.98</v>
      </c>
      <c r="L3044" t="inlineStr">
        <is>
          <t>2025-09-11 12:13:32.013048</t>
        </is>
      </c>
      <c r="M3044">
        <f>VLOOKUP(H3044,'Stage Order'!$A$2:$B$8,2,FALSE)</f>
        <v/>
      </c>
      <c r="N3044">
        <f>IF(G3044&lt;=1,"1. Under 1 hour",IF(G3044&lt;=24,"2. 1-24 hours",IF(G3044&lt;=72,"3. 1-3 days","4. Over 3 days")))</f>
        <v/>
      </c>
      <c r="O3044">
        <f>TEXT(B3044,"YYYY-MM")</f>
        <v/>
      </c>
    </row>
    <row r="3045">
      <c r="A3045" t="inlineStr">
        <is>
          <t>LD-303043</t>
        </is>
      </c>
      <c r="B3045" t="inlineStr">
        <is>
          <t>2025-03-28 16:07:00</t>
        </is>
      </c>
      <c r="C3045" t="inlineStr">
        <is>
          <t>Social Media</t>
        </is>
      </c>
      <c r="D3045" t="inlineStr">
        <is>
          <t>Language Learning</t>
        </is>
      </c>
      <c r="E3045" t="inlineStr">
        <is>
          <t>West Region</t>
        </is>
      </c>
      <c r="F3045" t="inlineStr">
        <is>
          <t>Rep_13</t>
        </is>
      </c>
      <c r="G3045" t="n">
        <v>2.96</v>
      </c>
      <c r="H3045" t="inlineStr">
        <is>
          <t>Contacted</t>
        </is>
      </c>
      <c r="I3045" t="inlineStr">
        <is>
          <t>Open</t>
        </is>
      </c>
      <c r="M3045">
        <f>VLOOKUP(H3045,'Stage Order'!$A$2:$B$8,2,FALSE)</f>
        <v/>
      </c>
      <c r="N3045">
        <f>IF(G3045&lt;=1,"1. Under 1 hour",IF(G3045&lt;=24,"2. 1-24 hours",IF(G3045&lt;=72,"3. 1-3 days","4. Over 3 days")))</f>
        <v/>
      </c>
      <c r="O3045">
        <f>TEXT(B3045,"YYYY-MM")</f>
        <v/>
      </c>
    </row>
    <row r="3046">
      <c r="A3046" t="inlineStr">
        <is>
          <t>LD-303044</t>
        </is>
      </c>
      <c r="B3046" t="inlineStr">
        <is>
          <t>2025-06-20 08:22:00</t>
        </is>
      </c>
      <c r="C3046" t="inlineStr">
        <is>
          <t>Paid Search</t>
        </is>
      </c>
      <c r="D3046" t="inlineStr">
        <is>
          <t>K-12 Math</t>
        </is>
      </c>
      <c r="E3046" t="inlineStr">
        <is>
          <t>North Region</t>
        </is>
      </c>
      <c r="F3046" t="inlineStr">
        <is>
          <t>Rep_01</t>
        </is>
      </c>
      <c r="G3046" t="n">
        <v>9.73</v>
      </c>
      <c r="H3046" t="inlineStr">
        <is>
          <t>Contacted</t>
        </is>
      </c>
      <c r="I3046" t="inlineStr">
        <is>
          <t>Open</t>
        </is>
      </c>
      <c r="M3046">
        <f>VLOOKUP(H3046,'Stage Order'!$A$2:$B$8,2,FALSE)</f>
        <v/>
      </c>
      <c r="N3046">
        <f>IF(G3046&lt;=1,"1. Under 1 hour",IF(G3046&lt;=24,"2. 1-24 hours",IF(G3046&lt;=72,"3. 1-3 days","4. Over 3 days")))</f>
        <v/>
      </c>
      <c r="O3046">
        <f>TEXT(B3046,"YYYY-MM")</f>
        <v/>
      </c>
    </row>
    <row r="3047">
      <c r="A3047" t="inlineStr">
        <is>
          <t>LD-303045</t>
        </is>
      </c>
      <c r="B3047" t="inlineStr">
        <is>
          <t>2025-07-13 07:04:00</t>
        </is>
      </c>
      <c r="C3047" t="inlineStr">
        <is>
          <t>Organic Search</t>
        </is>
      </c>
      <c r="D3047" t="inlineStr">
        <is>
          <t>Competitive Exam Prep</t>
        </is>
      </c>
      <c r="E3047" t="inlineStr">
        <is>
          <t>West Region</t>
        </is>
      </c>
      <c r="F3047" t="inlineStr">
        <is>
          <t>Rep_08</t>
        </is>
      </c>
      <c r="G3047" t="n">
        <v>2.08</v>
      </c>
      <c r="H3047" t="inlineStr">
        <is>
          <t>Contacted</t>
        </is>
      </c>
      <c r="I3047" t="inlineStr">
        <is>
          <t>Open</t>
        </is>
      </c>
      <c r="M3047">
        <f>VLOOKUP(H3047,'Stage Order'!$A$2:$B$8,2,FALSE)</f>
        <v/>
      </c>
      <c r="N3047">
        <f>IF(G3047&lt;=1,"1. Under 1 hour",IF(G3047&lt;=24,"2. 1-24 hours",IF(G3047&lt;=72,"3. 1-3 days","4. Over 3 days")))</f>
        <v/>
      </c>
      <c r="O3047">
        <f>TEXT(B3047,"YYYY-MM")</f>
        <v/>
      </c>
    </row>
    <row r="3048">
      <c r="A3048" t="inlineStr">
        <is>
          <t>LD-303046</t>
        </is>
      </c>
      <c r="B3048" t="inlineStr">
        <is>
          <t>2025-08-19 19:58:00</t>
        </is>
      </c>
      <c r="C3048" t="inlineStr">
        <is>
          <t>Organic Search</t>
        </is>
      </c>
      <c r="D3048" t="inlineStr">
        <is>
          <t>Competitive Exam Prep</t>
        </is>
      </c>
      <c r="E3048" t="inlineStr">
        <is>
          <t>South Region</t>
        </is>
      </c>
      <c r="F3048" t="inlineStr">
        <is>
          <t>Rep_02</t>
        </is>
      </c>
      <c r="G3048" t="n">
        <v>15.68</v>
      </c>
      <c r="H3048" t="inlineStr">
        <is>
          <t>Demo Completed</t>
        </is>
      </c>
      <c r="I3048" t="inlineStr">
        <is>
          <t>Lost</t>
        </is>
      </c>
      <c r="J3048" t="inlineStr">
        <is>
          <t>Budget Not Approved</t>
        </is>
      </c>
      <c r="K3048" t="n">
        <v>912.3200000000001</v>
      </c>
      <c r="L3048" t="inlineStr">
        <is>
          <t>2025-09-13 13:07:46.944593</t>
        </is>
      </c>
      <c r="M3048">
        <f>VLOOKUP(H3048,'Stage Order'!$A$2:$B$8,2,FALSE)</f>
        <v/>
      </c>
      <c r="N3048">
        <f>IF(G3048&lt;=1,"1. Under 1 hour",IF(G3048&lt;=24,"2. 1-24 hours",IF(G3048&lt;=72,"3. 1-3 days","4. Over 3 days")))</f>
        <v/>
      </c>
      <c r="O3048">
        <f>TEXT(B3048,"YYYY-MM")</f>
        <v/>
      </c>
    </row>
    <row r="3049">
      <c r="A3049" t="inlineStr">
        <is>
          <t>LD-303047</t>
        </is>
      </c>
      <c r="B3049" t="inlineStr">
        <is>
          <t>2025-09-05 19:39:00</t>
        </is>
      </c>
      <c r="C3049" t="inlineStr">
        <is>
          <t>Partner Channel</t>
        </is>
      </c>
      <c r="D3049" t="inlineStr">
        <is>
          <t>Study Abroad Prep</t>
        </is>
      </c>
      <c r="E3049" t="inlineStr">
        <is>
          <t>North Region</t>
        </is>
      </c>
      <c r="F3049" t="inlineStr">
        <is>
          <t>Rep_01</t>
        </is>
      </c>
      <c r="G3049" t="n">
        <v>3.1</v>
      </c>
      <c r="H3049" t="inlineStr">
        <is>
          <t>Contacted</t>
        </is>
      </c>
      <c r="I3049" t="inlineStr">
        <is>
          <t>Open</t>
        </is>
      </c>
      <c r="M3049">
        <f>VLOOKUP(H3049,'Stage Order'!$A$2:$B$8,2,FALSE)</f>
        <v/>
      </c>
      <c r="N3049">
        <f>IF(G3049&lt;=1,"1. Under 1 hour",IF(G3049&lt;=24,"2. 1-24 hours",IF(G3049&lt;=72,"3. 1-3 days","4. Over 3 days")))</f>
        <v/>
      </c>
      <c r="O3049">
        <f>TEXT(B3049,"YYYY-MM")</f>
        <v/>
      </c>
    </row>
    <row r="3050">
      <c r="A3050" t="inlineStr">
        <is>
          <t>LD-303048</t>
        </is>
      </c>
      <c r="B3050" t="inlineStr">
        <is>
          <t>2026-05-29 20:21:00</t>
        </is>
      </c>
      <c r="C3050" t="inlineStr">
        <is>
          <t>Webinar</t>
        </is>
      </c>
      <c r="D3050" t="inlineStr">
        <is>
          <t>Language Learning</t>
        </is>
      </c>
      <c r="E3050" t="inlineStr">
        <is>
          <t>International</t>
        </is>
      </c>
      <c r="F3050" t="inlineStr">
        <is>
          <t>Rep_05</t>
        </is>
      </c>
      <c r="G3050" t="n">
        <v>1.53</v>
      </c>
      <c r="H3050" t="inlineStr">
        <is>
          <t>Contacted</t>
        </is>
      </c>
      <c r="I3050" t="inlineStr">
        <is>
          <t>Open</t>
        </is>
      </c>
      <c r="M3050">
        <f>VLOOKUP(H3050,'Stage Order'!$A$2:$B$8,2,FALSE)</f>
        <v/>
      </c>
      <c r="N3050">
        <f>IF(G3050&lt;=1,"1. Under 1 hour",IF(G3050&lt;=24,"2. 1-24 hours",IF(G3050&lt;=72,"3. 1-3 days","4. Over 3 days")))</f>
        <v/>
      </c>
      <c r="O3050">
        <f>TEXT(B3050,"YYYY-MM")</f>
        <v/>
      </c>
    </row>
    <row r="3051">
      <c r="A3051" t="inlineStr">
        <is>
          <t>LD-303049</t>
        </is>
      </c>
      <c r="B3051" t="inlineStr">
        <is>
          <t>2026-06-27 17:54:00</t>
        </is>
      </c>
      <c r="C3051" t="inlineStr">
        <is>
          <t>Partner Channel</t>
        </is>
      </c>
      <c r="D3051" t="inlineStr">
        <is>
          <t>K-12 Math</t>
        </is>
      </c>
      <c r="E3051" t="inlineStr">
        <is>
          <t>North Region</t>
        </is>
      </c>
      <c r="F3051" t="inlineStr">
        <is>
          <t>Rep_01</t>
        </is>
      </c>
      <c r="G3051" t="n">
        <v>2.56</v>
      </c>
      <c r="H3051" t="inlineStr">
        <is>
          <t>Closed</t>
        </is>
      </c>
      <c r="I3051" t="inlineStr">
        <is>
          <t>Won</t>
        </is>
      </c>
      <c r="K3051" t="n">
        <v>584.25</v>
      </c>
      <c r="L3051" t="inlineStr">
        <is>
          <t>2026-07-27 14:47:43.991401</t>
        </is>
      </c>
      <c r="M3051">
        <f>VLOOKUP(H3051,'Stage Order'!$A$2:$B$8,2,FALSE)</f>
        <v/>
      </c>
      <c r="N3051">
        <f>IF(G3051&lt;=1,"1. Under 1 hour",IF(G3051&lt;=24,"2. 1-24 hours",IF(G3051&lt;=72,"3. 1-3 days","4. Over 3 days")))</f>
        <v/>
      </c>
      <c r="O3051">
        <f>TEXT(B3051,"YYYY-MM")</f>
        <v/>
      </c>
    </row>
    <row r="3052">
      <c r="A3052" t="inlineStr">
        <is>
          <t>LD-303050</t>
        </is>
      </c>
      <c r="B3052" t="inlineStr">
        <is>
          <t>2025-04-15 13:59:00</t>
        </is>
      </c>
      <c r="C3052" t="inlineStr">
        <is>
          <t>Referral</t>
        </is>
      </c>
      <c r="D3052" t="inlineStr">
        <is>
          <t>K-12 Math</t>
        </is>
      </c>
      <c r="E3052" t="inlineStr">
        <is>
          <t>East Region</t>
        </is>
      </c>
      <c r="F3052" t="inlineStr">
        <is>
          <t>Rep_04</t>
        </is>
      </c>
      <c r="G3052" t="n">
        <v>1.5</v>
      </c>
      <c r="H3052" t="inlineStr">
        <is>
          <t>Contacted</t>
        </is>
      </c>
      <c r="I3052" t="inlineStr">
        <is>
          <t>Open</t>
        </is>
      </c>
      <c r="M3052">
        <f>VLOOKUP(H3052,'Stage Order'!$A$2:$B$8,2,FALSE)</f>
        <v/>
      </c>
      <c r="N3052">
        <f>IF(G3052&lt;=1,"1. Under 1 hour",IF(G3052&lt;=24,"2. 1-24 hours",IF(G3052&lt;=72,"3. 1-3 days","4. Over 3 days")))</f>
        <v/>
      </c>
      <c r="O3052">
        <f>TEXT(B3052,"YYYY-MM")</f>
        <v/>
      </c>
    </row>
    <row r="3053">
      <c r="A3053" t="inlineStr">
        <is>
          <t>LD-303051</t>
        </is>
      </c>
      <c r="B3053" t="inlineStr">
        <is>
          <t>2025-05-02 16:33:00</t>
        </is>
      </c>
      <c r="C3053" t="inlineStr">
        <is>
          <t>Paid Search</t>
        </is>
      </c>
      <c r="D3053" t="inlineStr">
        <is>
          <t>Language Learning</t>
        </is>
      </c>
      <c r="E3053" t="inlineStr">
        <is>
          <t>North Region</t>
        </is>
      </c>
      <c r="F3053" t="inlineStr">
        <is>
          <t>Rep_11</t>
        </is>
      </c>
      <c r="G3053" t="n">
        <v>2.03</v>
      </c>
      <c r="H3053" t="inlineStr">
        <is>
          <t>Contacted</t>
        </is>
      </c>
      <c r="I3053" t="inlineStr">
        <is>
          <t>Open</t>
        </is>
      </c>
      <c r="M3053">
        <f>VLOOKUP(H3053,'Stage Order'!$A$2:$B$8,2,FALSE)</f>
        <v/>
      </c>
      <c r="N3053">
        <f>IF(G3053&lt;=1,"1. Under 1 hour",IF(G3053&lt;=24,"2. 1-24 hours",IF(G3053&lt;=72,"3. 1-3 days","4. Over 3 days")))</f>
        <v/>
      </c>
      <c r="O3053">
        <f>TEXT(B3053,"YYYY-MM")</f>
        <v/>
      </c>
    </row>
    <row r="3054">
      <c r="A3054" t="inlineStr">
        <is>
          <t>LD-303052</t>
        </is>
      </c>
      <c r="B3054" t="inlineStr">
        <is>
          <t>2025-11-28 10:05:00</t>
        </is>
      </c>
      <c r="C3054" t="inlineStr">
        <is>
          <t>Social Media</t>
        </is>
      </c>
      <c r="D3054" t="inlineStr">
        <is>
          <t>K-12 Math</t>
        </is>
      </c>
      <c r="E3054" t="inlineStr">
        <is>
          <t>West Region</t>
        </is>
      </c>
      <c r="F3054" t="inlineStr">
        <is>
          <t>Rep_13</t>
        </is>
      </c>
      <c r="G3054" t="n">
        <v>0.78</v>
      </c>
      <c r="H3054" t="inlineStr">
        <is>
          <t>Contacted</t>
        </is>
      </c>
      <c r="I3054" t="inlineStr">
        <is>
          <t>Open</t>
        </is>
      </c>
      <c r="M3054">
        <f>VLOOKUP(H3054,'Stage Order'!$A$2:$B$8,2,FALSE)</f>
        <v/>
      </c>
      <c r="N3054">
        <f>IF(G3054&lt;=1,"1. Under 1 hour",IF(G3054&lt;=24,"2. 1-24 hours",IF(G3054&lt;=72,"3. 1-3 days","4. Over 3 days")))</f>
        <v/>
      </c>
      <c r="O3054">
        <f>TEXT(B3054,"YYYY-MM")</f>
        <v/>
      </c>
    </row>
    <row r="3055">
      <c r="A3055" t="inlineStr">
        <is>
          <t>LD-303053</t>
        </is>
      </c>
      <c r="B3055" t="inlineStr">
        <is>
          <t>2026-06-23 09:16:00</t>
        </is>
      </c>
      <c r="C3055" t="inlineStr">
        <is>
          <t>Social Media</t>
        </is>
      </c>
      <c r="D3055" t="inlineStr">
        <is>
          <t>K-12 Math</t>
        </is>
      </c>
      <c r="E3055" t="inlineStr">
        <is>
          <t>West Region</t>
        </is>
      </c>
      <c r="F3055" t="inlineStr">
        <is>
          <t>Rep_08</t>
        </is>
      </c>
      <c r="G3055" t="n">
        <v>3.85</v>
      </c>
      <c r="H3055" t="inlineStr">
        <is>
          <t>Negotiation</t>
        </is>
      </c>
      <c r="I3055" t="inlineStr">
        <is>
          <t>Lost</t>
        </is>
      </c>
      <c r="J3055" t="inlineStr">
        <is>
          <t>Bad Timing</t>
        </is>
      </c>
      <c r="K3055" t="n">
        <v>535.01</v>
      </c>
      <c r="L3055" t="inlineStr">
        <is>
          <t>2026-07-30 12:03:19.092902</t>
        </is>
      </c>
      <c r="M3055">
        <f>VLOOKUP(H3055,'Stage Order'!$A$2:$B$8,2,FALSE)</f>
        <v/>
      </c>
      <c r="N3055">
        <f>IF(G3055&lt;=1,"1. Under 1 hour",IF(G3055&lt;=24,"2. 1-24 hours",IF(G3055&lt;=72,"3. 1-3 days","4. Over 3 days")))</f>
        <v/>
      </c>
      <c r="O3055">
        <f>TEXT(B3055,"YYYY-MM")</f>
        <v/>
      </c>
    </row>
    <row r="3056">
      <c r="A3056" t="inlineStr">
        <is>
          <t>LD-303054</t>
        </is>
      </c>
      <c r="B3056" t="inlineStr">
        <is>
          <t>2025-09-19 12:13:00</t>
        </is>
      </c>
      <c r="C3056" t="inlineStr">
        <is>
          <t>Cold Outreach</t>
        </is>
      </c>
      <c r="D3056" t="inlineStr">
        <is>
          <t>Competitive Exam Prep</t>
        </is>
      </c>
      <c r="E3056" t="inlineStr">
        <is>
          <t>West Region</t>
        </is>
      </c>
      <c r="F3056" t="inlineStr">
        <is>
          <t>Rep_08</t>
        </is>
      </c>
      <c r="G3056" t="n">
        <v>4.19</v>
      </c>
      <c r="H3056" t="inlineStr">
        <is>
          <t>Lead</t>
        </is>
      </c>
      <c r="I3056" t="inlineStr">
        <is>
          <t>Open</t>
        </is>
      </c>
      <c r="M3056">
        <f>VLOOKUP(H3056,'Stage Order'!$A$2:$B$8,2,FALSE)</f>
        <v/>
      </c>
      <c r="N3056">
        <f>IF(G3056&lt;=1,"1. Under 1 hour",IF(G3056&lt;=24,"2. 1-24 hours",IF(G3056&lt;=72,"3. 1-3 days","4. Over 3 days")))</f>
        <v/>
      </c>
      <c r="O3056">
        <f>TEXT(B3056,"YYYY-MM")</f>
        <v/>
      </c>
    </row>
    <row r="3057">
      <c r="A3057" t="inlineStr">
        <is>
          <t>LD-303055</t>
        </is>
      </c>
      <c r="B3057" t="inlineStr">
        <is>
          <t>2026-03-03 17:14:00</t>
        </is>
      </c>
      <c r="C3057" t="inlineStr">
        <is>
          <t>Partner Channel</t>
        </is>
      </c>
      <c r="D3057" t="inlineStr">
        <is>
          <t>Coding for Kids</t>
        </is>
      </c>
      <c r="E3057" t="inlineStr">
        <is>
          <t>South Region</t>
        </is>
      </c>
      <c r="F3057" t="inlineStr">
        <is>
          <t>Rep_02</t>
        </is>
      </c>
      <c r="G3057" t="n">
        <v>2.61</v>
      </c>
      <c r="H3057" t="inlineStr">
        <is>
          <t>Negotiation</t>
        </is>
      </c>
      <c r="I3057" t="inlineStr">
        <is>
          <t>Lost</t>
        </is>
      </c>
      <c r="J3057" t="inlineStr">
        <is>
          <t>Price Objection</t>
        </is>
      </c>
      <c r="K3057" t="n">
        <v>578.6</v>
      </c>
      <c r="L3057" t="inlineStr">
        <is>
          <t>2026-04-19 12:39:40.567921</t>
        </is>
      </c>
      <c r="M3057">
        <f>VLOOKUP(H3057,'Stage Order'!$A$2:$B$8,2,FALSE)</f>
        <v/>
      </c>
      <c r="N3057">
        <f>IF(G3057&lt;=1,"1. Under 1 hour",IF(G3057&lt;=24,"2. 1-24 hours",IF(G3057&lt;=72,"3. 1-3 days","4. Over 3 days")))</f>
        <v/>
      </c>
      <c r="O3057">
        <f>TEXT(B3057,"YYYY-MM")</f>
        <v/>
      </c>
    </row>
    <row r="3058">
      <c r="A3058" t="inlineStr">
        <is>
          <t>LD-303056</t>
        </is>
      </c>
      <c r="B3058" t="inlineStr">
        <is>
          <t>2025-10-22 11:34:00</t>
        </is>
      </c>
      <c r="C3058" t="inlineStr">
        <is>
          <t>Organic Search</t>
        </is>
      </c>
      <c r="D3058" t="inlineStr">
        <is>
          <t>K-12 Math</t>
        </is>
      </c>
      <c r="E3058" t="inlineStr">
        <is>
          <t>West Region</t>
        </is>
      </c>
      <c r="F3058" t="inlineStr">
        <is>
          <t>Rep_08</t>
        </is>
      </c>
      <c r="G3058" t="n">
        <v>1.3</v>
      </c>
      <c r="H3058" t="inlineStr">
        <is>
          <t>Closed</t>
        </is>
      </c>
      <c r="I3058" t="inlineStr">
        <is>
          <t>Won</t>
        </is>
      </c>
      <c r="K3058" t="n">
        <v>537.23</v>
      </c>
      <c r="L3058" t="inlineStr">
        <is>
          <t>2025-12-09 13:36:21.931303</t>
        </is>
      </c>
      <c r="M3058">
        <f>VLOOKUP(H3058,'Stage Order'!$A$2:$B$8,2,FALSE)</f>
        <v/>
      </c>
      <c r="N3058">
        <f>IF(G3058&lt;=1,"1. Under 1 hour",IF(G3058&lt;=24,"2. 1-24 hours",IF(G3058&lt;=72,"3. 1-3 days","4. Over 3 days")))</f>
        <v/>
      </c>
      <c r="O3058">
        <f>TEXT(B3058,"YYYY-MM")</f>
        <v/>
      </c>
    </row>
    <row r="3059">
      <c r="A3059" t="inlineStr">
        <is>
          <t>LD-303057</t>
        </is>
      </c>
      <c r="B3059" t="inlineStr">
        <is>
          <t>2026-01-13 13:32:00</t>
        </is>
      </c>
      <c r="C3059" t="inlineStr">
        <is>
          <t>Social Media</t>
        </is>
      </c>
      <c r="D3059" t="inlineStr">
        <is>
          <t>Competitive Exam Prep</t>
        </is>
      </c>
      <c r="E3059" t="inlineStr">
        <is>
          <t>South Region</t>
        </is>
      </c>
      <c r="F3059" t="inlineStr">
        <is>
          <t>Rep_07</t>
        </is>
      </c>
      <c r="G3059" t="n">
        <v>4.67</v>
      </c>
      <c r="H3059" t="inlineStr">
        <is>
          <t>Contacted</t>
        </is>
      </c>
      <c r="I3059" t="inlineStr">
        <is>
          <t>Open</t>
        </is>
      </c>
      <c r="M3059">
        <f>VLOOKUP(H3059,'Stage Order'!$A$2:$B$8,2,FALSE)</f>
        <v/>
      </c>
      <c r="N3059">
        <f>IF(G3059&lt;=1,"1. Under 1 hour",IF(G3059&lt;=24,"2. 1-24 hours",IF(G3059&lt;=72,"3. 1-3 days","4. Over 3 days")))</f>
        <v/>
      </c>
      <c r="O3059">
        <f>TEXT(B3059,"YYYY-MM")</f>
        <v/>
      </c>
    </row>
    <row r="3060">
      <c r="A3060" t="inlineStr">
        <is>
          <t>LD-303058</t>
        </is>
      </c>
      <c r="B3060" t="inlineStr">
        <is>
          <t>2025-04-25 07:22:00</t>
        </is>
      </c>
      <c r="C3060" t="inlineStr">
        <is>
          <t>Paid Search</t>
        </is>
      </c>
      <c r="D3060" t="inlineStr">
        <is>
          <t>Coding for Kids</t>
        </is>
      </c>
      <c r="E3060" t="inlineStr">
        <is>
          <t>West Region</t>
        </is>
      </c>
      <c r="F3060" t="inlineStr">
        <is>
          <t>Rep_13</t>
        </is>
      </c>
      <c r="G3060" t="n">
        <v>3.1</v>
      </c>
      <c r="H3060" t="inlineStr">
        <is>
          <t>Contacted</t>
        </is>
      </c>
      <c r="I3060" t="inlineStr">
        <is>
          <t>Open</t>
        </is>
      </c>
      <c r="M3060">
        <f>VLOOKUP(H3060,'Stage Order'!$A$2:$B$8,2,FALSE)</f>
        <v/>
      </c>
      <c r="N3060">
        <f>IF(G3060&lt;=1,"1. Under 1 hour",IF(G3060&lt;=24,"2. 1-24 hours",IF(G3060&lt;=72,"3. 1-3 days","4. Over 3 days")))</f>
        <v/>
      </c>
      <c r="O3060">
        <f>TEXT(B3060,"YYYY-MM")</f>
        <v/>
      </c>
    </row>
    <row r="3061">
      <c r="A3061" t="inlineStr">
        <is>
          <t>LD-303059</t>
        </is>
      </c>
      <c r="B3061" t="inlineStr">
        <is>
          <t>2026-04-13 15:21:00</t>
        </is>
      </c>
      <c r="C3061" t="inlineStr">
        <is>
          <t>Webinar</t>
        </is>
      </c>
      <c r="D3061" t="inlineStr">
        <is>
          <t>K-12 Math</t>
        </is>
      </c>
      <c r="E3061" t="inlineStr">
        <is>
          <t>South Region</t>
        </is>
      </c>
      <c r="F3061" t="inlineStr">
        <is>
          <t>Rep_12</t>
        </is>
      </c>
      <c r="G3061" t="n">
        <v>3.97</v>
      </c>
      <c r="H3061" t="inlineStr">
        <is>
          <t>Closed</t>
        </is>
      </c>
      <c r="I3061" t="inlineStr">
        <is>
          <t>Won</t>
        </is>
      </c>
      <c r="K3061" t="n">
        <v>435.34</v>
      </c>
      <c r="L3061" t="inlineStr">
        <is>
          <t>2026-05-25 05:03:12.910969</t>
        </is>
      </c>
      <c r="M3061">
        <f>VLOOKUP(H3061,'Stage Order'!$A$2:$B$8,2,FALSE)</f>
        <v/>
      </c>
      <c r="N3061">
        <f>IF(G3061&lt;=1,"1. Under 1 hour",IF(G3061&lt;=24,"2. 1-24 hours",IF(G3061&lt;=72,"3. 1-3 days","4. Over 3 days")))</f>
        <v/>
      </c>
      <c r="O3061">
        <f>TEXT(B3061,"YYYY-MM")</f>
        <v/>
      </c>
    </row>
    <row r="3062">
      <c r="A3062" t="inlineStr">
        <is>
          <t>LD-303060</t>
        </is>
      </c>
      <c r="B3062" t="inlineStr">
        <is>
          <t>2025-07-25 20:57:00</t>
        </is>
      </c>
      <c r="C3062" t="inlineStr">
        <is>
          <t>Paid Search</t>
        </is>
      </c>
      <c r="D3062" t="inlineStr">
        <is>
          <t>Competitive Exam Prep</t>
        </is>
      </c>
      <c r="E3062" t="inlineStr">
        <is>
          <t>East Region</t>
        </is>
      </c>
      <c r="F3062" t="inlineStr">
        <is>
          <t>Rep_09</t>
        </is>
      </c>
      <c r="G3062" t="n">
        <v>0.5</v>
      </c>
      <c r="H3062" t="inlineStr">
        <is>
          <t>Lead</t>
        </is>
      </c>
      <c r="I3062" t="inlineStr">
        <is>
          <t>Open</t>
        </is>
      </c>
      <c r="M3062">
        <f>VLOOKUP(H3062,'Stage Order'!$A$2:$B$8,2,FALSE)</f>
        <v/>
      </c>
      <c r="N3062">
        <f>IF(G3062&lt;=1,"1. Under 1 hour",IF(G3062&lt;=24,"2. 1-24 hours",IF(G3062&lt;=72,"3. 1-3 days","4. Over 3 days")))</f>
        <v/>
      </c>
      <c r="O3062">
        <f>TEXT(B3062,"YYYY-MM")</f>
        <v/>
      </c>
    </row>
    <row r="3063">
      <c r="A3063" t="inlineStr">
        <is>
          <t>LD-303061</t>
        </is>
      </c>
      <c r="B3063" t="inlineStr">
        <is>
          <t>2026-01-21 18:06:00</t>
        </is>
      </c>
      <c r="C3063" t="inlineStr">
        <is>
          <t>Referral</t>
        </is>
      </c>
      <c r="D3063" t="inlineStr">
        <is>
          <t>K-12 Math</t>
        </is>
      </c>
      <c r="E3063" t="inlineStr">
        <is>
          <t>West Region</t>
        </is>
      </c>
      <c r="F3063" t="inlineStr">
        <is>
          <t>Rep_13</t>
        </is>
      </c>
      <c r="G3063" t="n">
        <v>4.27</v>
      </c>
      <c r="H3063" t="inlineStr">
        <is>
          <t>Proposal Sent</t>
        </is>
      </c>
      <c r="I3063" t="inlineStr">
        <is>
          <t>Lost</t>
        </is>
      </c>
      <c r="J3063" t="inlineStr">
        <is>
          <t>Went With Competitor</t>
        </is>
      </c>
      <c r="K3063" t="n">
        <v>433.09</v>
      </c>
      <c r="L3063" t="inlineStr">
        <is>
          <t>2026-03-09 17:11:27.648948</t>
        </is>
      </c>
      <c r="M3063">
        <f>VLOOKUP(H3063,'Stage Order'!$A$2:$B$8,2,FALSE)</f>
        <v/>
      </c>
      <c r="N3063">
        <f>IF(G3063&lt;=1,"1. Under 1 hour",IF(G3063&lt;=24,"2. 1-24 hours",IF(G3063&lt;=72,"3. 1-3 days","4. Over 3 days")))</f>
        <v/>
      </c>
      <c r="O3063">
        <f>TEXT(B3063,"YYYY-MM")</f>
        <v/>
      </c>
    </row>
    <row r="3064">
      <c r="A3064" t="inlineStr">
        <is>
          <t>LD-303062</t>
        </is>
      </c>
      <c r="B3064" t="inlineStr">
        <is>
          <t>2026-04-02 14:07:00</t>
        </is>
      </c>
      <c r="C3064" t="inlineStr">
        <is>
          <t>Social Media</t>
        </is>
      </c>
      <c r="D3064" t="inlineStr">
        <is>
          <t>Competitive Exam Prep</t>
        </is>
      </c>
      <c r="E3064" t="inlineStr">
        <is>
          <t>North Region</t>
        </is>
      </c>
      <c r="F3064" t="inlineStr">
        <is>
          <t>Rep_01</t>
        </is>
      </c>
      <c r="G3064" t="n">
        <v>6.49</v>
      </c>
      <c r="H3064" t="inlineStr">
        <is>
          <t>Contacted</t>
        </is>
      </c>
      <c r="I3064" t="inlineStr">
        <is>
          <t>Open</t>
        </is>
      </c>
      <c r="M3064">
        <f>VLOOKUP(H3064,'Stage Order'!$A$2:$B$8,2,FALSE)</f>
        <v/>
      </c>
      <c r="N3064">
        <f>IF(G3064&lt;=1,"1. Under 1 hour",IF(G3064&lt;=24,"2. 1-24 hours",IF(G3064&lt;=72,"3. 1-3 days","4. Over 3 days")))</f>
        <v/>
      </c>
      <c r="O3064">
        <f>TEXT(B3064,"YYYY-MM")</f>
        <v/>
      </c>
    </row>
    <row r="3065">
      <c r="A3065" t="inlineStr">
        <is>
          <t>LD-303063</t>
        </is>
      </c>
      <c r="B3065" t="inlineStr">
        <is>
          <t>2026-04-01 10:13:00</t>
        </is>
      </c>
      <c r="C3065" t="inlineStr">
        <is>
          <t>Webinar</t>
        </is>
      </c>
      <c r="D3065" t="inlineStr">
        <is>
          <t>Study Abroad Prep</t>
        </is>
      </c>
      <c r="E3065" t="inlineStr">
        <is>
          <t>West Region</t>
        </is>
      </c>
      <c r="F3065" t="inlineStr">
        <is>
          <t>Rep_13</t>
        </is>
      </c>
      <c r="G3065" t="n">
        <v>2.67</v>
      </c>
      <c r="H3065" t="inlineStr">
        <is>
          <t>Proposal Sent</t>
        </is>
      </c>
      <c r="I3065" t="inlineStr">
        <is>
          <t>Lost</t>
        </is>
      </c>
      <c r="J3065" t="inlineStr">
        <is>
          <t>Price Objection</t>
        </is>
      </c>
      <c r="K3065" t="n">
        <v>1353.76</v>
      </c>
      <c r="L3065" t="inlineStr">
        <is>
          <t>2026-05-15 10:43:44.220336</t>
        </is>
      </c>
      <c r="M3065">
        <f>VLOOKUP(H3065,'Stage Order'!$A$2:$B$8,2,FALSE)</f>
        <v/>
      </c>
      <c r="N3065">
        <f>IF(G3065&lt;=1,"1. Under 1 hour",IF(G3065&lt;=24,"2. 1-24 hours",IF(G3065&lt;=72,"3. 1-3 days","4. Over 3 days")))</f>
        <v/>
      </c>
      <c r="O3065">
        <f>TEXT(B3065,"YYYY-MM")</f>
        <v/>
      </c>
    </row>
    <row r="3066">
      <c r="A3066" t="inlineStr">
        <is>
          <t>LD-303064</t>
        </is>
      </c>
      <c r="B3066" t="inlineStr">
        <is>
          <t>2026-04-24 13:42:00</t>
        </is>
      </c>
      <c r="C3066" t="inlineStr">
        <is>
          <t>Referral</t>
        </is>
      </c>
      <c r="D3066" t="inlineStr">
        <is>
          <t>Study Abroad Prep</t>
        </is>
      </c>
      <c r="E3066" t="inlineStr">
        <is>
          <t>East Region</t>
        </is>
      </c>
      <c r="F3066" t="inlineStr">
        <is>
          <t>Rep_09</t>
        </is>
      </c>
      <c r="G3066" t="n">
        <v>5.38</v>
      </c>
      <c r="H3066" t="inlineStr">
        <is>
          <t>Contacted</t>
        </is>
      </c>
      <c r="I3066" t="inlineStr">
        <is>
          <t>Open</t>
        </is>
      </c>
      <c r="M3066">
        <f>VLOOKUP(H3066,'Stage Order'!$A$2:$B$8,2,FALSE)</f>
        <v/>
      </c>
      <c r="N3066">
        <f>IF(G3066&lt;=1,"1. Under 1 hour",IF(G3066&lt;=24,"2. 1-24 hours",IF(G3066&lt;=72,"3. 1-3 days","4. Over 3 days")))</f>
        <v/>
      </c>
      <c r="O3066">
        <f>TEXT(B3066,"YYYY-MM")</f>
        <v/>
      </c>
    </row>
    <row r="3067">
      <c r="A3067" t="inlineStr">
        <is>
          <t>LD-303065</t>
        </is>
      </c>
      <c r="B3067" t="inlineStr">
        <is>
          <t>2026-01-14 10:52:00</t>
        </is>
      </c>
      <c r="C3067" t="inlineStr">
        <is>
          <t>Social Media</t>
        </is>
      </c>
      <c r="D3067" t="inlineStr">
        <is>
          <t>Coding for Kids</t>
        </is>
      </c>
      <c r="E3067" t="inlineStr">
        <is>
          <t>West Region</t>
        </is>
      </c>
      <c r="F3067" t="inlineStr">
        <is>
          <t>Rep_03</t>
        </is>
      </c>
      <c r="G3067" t="n">
        <v>2.16</v>
      </c>
      <c r="H3067" t="inlineStr">
        <is>
          <t>Contacted</t>
        </is>
      </c>
      <c r="I3067" t="inlineStr">
        <is>
          <t>Open</t>
        </is>
      </c>
      <c r="M3067">
        <f>VLOOKUP(H3067,'Stage Order'!$A$2:$B$8,2,FALSE)</f>
        <v/>
      </c>
      <c r="N3067">
        <f>IF(G3067&lt;=1,"1. Under 1 hour",IF(G3067&lt;=24,"2. 1-24 hours",IF(G3067&lt;=72,"3. 1-3 days","4. Over 3 days")))</f>
        <v/>
      </c>
      <c r="O3067">
        <f>TEXT(B3067,"YYYY-MM")</f>
        <v/>
      </c>
    </row>
    <row r="3068">
      <c r="A3068" t="inlineStr">
        <is>
          <t>LD-303066</t>
        </is>
      </c>
      <c r="B3068" t="inlineStr">
        <is>
          <t>2025-09-13 17:11:00</t>
        </is>
      </c>
      <c r="C3068" t="inlineStr">
        <is>
          <t>Paid Search</t>
        </is>
      </c>
      <c r="D3068" t="inlineStr">
        <is>
          <t>K-12 Math</t>
        </is>
      </c>
      <c r="E3068" t="inlineStr">
        <is>
          <t>South Region</t>
        </is>
      </c>
      <c r="F3068" t="inlineStr">
        <is>
          <t>Rep_02</t>
        </is>
      </c>
      <c r="G3068" t="n">
        <v>3.76</v>
      </c>
      <c r="H3068" t="inlineStr">
        <is>
          <t>Closed</t>
        </is>
      </c>
      <c r="I3068" t="inlineStr">
        <is>
          <t>Won</t>
        </is>
      </c>
      <c r="K3068" t="n">
        <v>566.17</v>
      </c>
      <c r="L3068" t="inlineStr">
        <is>
          <t>2025-10-14 19:52:23.000022</t>
        </is>
      </c>
      <c r="M3068">
        <f>VLOOKUP(H3068,'Stage Order'!$A$2:$B$8,2,FALSE)</f>
        <v/>
      </c>
      <c r="N3068">
        <f>IF(G3068&lt;=1,"1. Under 1 hour",IF(G3068&lt;=24,"2. 1-24 hours",IF(G3068&lt;=72,"3. 1-3 days","4. Over 3 days")))</f>
        <v/>
      </c>
      <c r="O3068">
        <f>TEXT(B3068,"YYYY-MM")</f>
        <v/>
      </c>
    </row>
    <row r="3069">
      <c r="A3069" t="inlineStr">
        <is>
          <t>LD-303067</t>
        </is>
      </c>
      <c r="B3069" t="inlineStr">
        <is>
          <t>2025-04-02 09:38:00</t>
        </is>
      </c>
      <c r="C3069" t="inlineStr">
        <is>
          <t>Paid Search</t>
        </is>
      </c>
      <c r="D3069" t="inlineStr">
        <is>
          <t>Competitive Exam Prep</t>
        </is>
      </c>
      <c r="E3069" t="inlineStr">
        <is>
          <t>West Region</t>
        </is>
      </c>
      <c r="F3069" t="inlineStr">
        <is>
          <t>Rep_13</t>
        </is>
      </c>
      <c r="G3069" t="n">
        <v>3.46</v>
      </c>
      <c r="H3069" t="inlineStr">
        <is>
          <t>Demo Completed</t>
        </is>
      </c>
      <c r="I3069" t="inlineStr">
        <is>
          <t>Lost</t>
        </is>
      </c>
      <c r="J3069" t="inlineStr">
        <is>
          <t>Price Objection</t>
        </is>
      </c>
      <c r="K3069" t="n">
        <v>874.11</v>
      </c>
      <c r="L3069" t="inlineStr">
        <is>
          <t>2025-05-05 14:53:59.263409</t>
        </is>
      </c>
      <c r="M3069">
        <f>VLOOKUP(H3069,'Stage Order'!$A$2:$B$8,2,FALSE)</f>
        <v/>
      </c>
      <c r="N3069">
        <f>IF(G3069&lt;=1,"1. Under 1 hour",IF(G3069&lt;=24,"2. 1-24 hours",IF(G3069&lt;=72,"3. 1-3 days","4. Over 3 days")))</f>
        <v/>
      </c>
      <c r="O3069">
        <f>TEXT(B3069,"YYYY-MM")</f>
        <v/>
      </c>
    </row>
    <row r="3070">
      <c r="A3070" t="inlineStr">
        <is>
          <t>LD-303068</t>
        </is>
      </c>
      <c r="B3070" t="inlineStr">
        <is>
          <t>2026-05-14 18:46:00</t>
        </is>
      </c>
      <c r="C3070" t="inlineStr">
        <is>
          <t>Referral</t>
        </is>
      </c>
      <c r="D3070" t="inlineStr">
        <is>
          <t>K-12 Math</t>
        </is>
      </c>
      <c r="E3070" t="inlineStr">
        <is>
          <t>South Region</t>
        </is>
      </c>
      <c r="F3070" t="inlineStr">
        <is>
          <t>Rep_02</t>
        </is>
      </c>
      <c r="G3070" t="n">
        <v>1.79</v>
      </c>
      <c r="H3070" t="inlineStr">
        <is>
          <t>Negotiation</t>
        </is>
      </c>
      <c r="I3070" t="inlineStr">
        <is>
          <t>Lost</t>
        </is>
      </c>
      <c r="J3070" t="inlineStr">
        <is>
          <t>Price Objection</t>
        </is>
      </c>
      <c r="K3070" t="n">
        <v>457.95</v>
      </c>
      <c r="L3070" t="inlineStr">
        <is>
          <t>2026-06-18 13:12:14.215462</t>
        </is>
      </c>
      <c r="M3070">
        <f>VLOOKUP(H3070,'Stage Order'!$A$2:$B$8,2,FALSE)</f>
        <v/>
      </c>
      <c r="N3070">
        <f>IF(G3070&lt;=1,"1. Under 1 hour",IF(G3070&lt;=24,"2. 1-24 hours",IF(G3070&lt;=72,"3. 1-3 days","4. Over 3 days")))</f>
        <v/>
      </c>
      <c r="O3070">
        <f>TEXT(B3070,"YYYY-MM")</f>
        <v/>
      </c>
    </row>
    <row r="3071">
      <c r="A3071" t="inlineStr">
        <is>
          <t>LD-303069</t>
        </is>
      </c>
      <c r="B3071" t="inlineStr">
        <is>
          <t>2025-12-28 09:57:00</t>
        </is>
      </c>
      <c r="C3071" t="inlineStr">
        <is>
          <t>Paid Search</t>
        </is>
      </c>
      <c r="D3071" t="inlineStr">
        <is>
          <t>Language Learning</t>
        </is>
      </c>
      <c r="E3071" t="inlineStr">
        <is>
          <t>North Region</t>
        </is>
      </c>
      <c r="F3071" t="inlineStr">
        <is>
          <t>Rep_11</t>
        </is>
      </c>
      <c r="G3071" t="n">
        <v>16.51</v>
      </c>
      <c r="H3071" t="inlineStr">
        <is>
          <t>Closed</t>
        </is>
      </c>
      <c r="I3071" t="inlineStr">
        <is>
          <t>Won</t>
        </is>
      </c>
      <c r="K3071" t="n">
        <v>330.33</v>
      </c>
      <c r="L3071" t="inlineStr">
        <is>
          <t>2026-02-07 21:47:03.049761</t>
        </is>
      </c>
      <c r="M3071">
        <f>VLOOKUP(H3071,'Stage Order'!$A$2:$B$8,2,FALSE)</f>
        <v/>
      </c>
      <c r="N3071">
        <f>IF(G3071&lt;=1,"1. Under 1 hour",IF(G3071&lt;=24,"2. 1-24 hours",IF(G3071&lt;=72,"3. 1-3 days","4. Over 3 days")))</f>
        <v/>
      </c>
      <c r="O3071">
        <f>TEXT(B3071,"YYYY-MM")</f>
        <v/>
      </c>
    </row>
    <row r="3072">
      <c r="A3072" t="inlineStr">
        <is>
          <t>LD-303070</t>
        </is>
      </c>
      <c r="B3072" t="inlineStr">
        <is>
          <t>2025-05-23 14:37:00</t>
        </is>
      </c>
      <c r="C3072" t="inlineStr">
        <is>
          <t>Social Media</t>
        </is>
      </c>
      <c r="D3072" t="inlineStr">
        <is>
          <t>Competitive Exam Prep</t>
        </is>
      </c>
      <c r="E3072" t="inlineStr">
        <is>
          <t>North Region</t>
        </is>
      </c>
      <c r="F3072" t="inlineStr">
        <is>
          <t>Rep_06</t>
        </is>
      </c>
      <c r="G3072" t="n">
        <v>0.39</v>
      </c>
      <c r="H3072" t="inlineStr">
        <is>
          <t>Lead</t>
        </is>
      </c>
      <c r="I3072" t="inlineStr">
        <is>
          <t>Open</t>
        </is>
      </c>
      <c r="M3072">
        <f>VLOOKUP(H3072,'Stage Order'!$A$2:$B$8,2,FALSE)</f>
        <v/>
      </c>
      <c r="N3072">
        <f>IF(G3072&lt;=1,"1. Under 1 hour",IF(G3072&lt;=24,"2. 1-24 hours",IF(G3072&lt;=72,"3. 1-3 days","4. Over 3 days")))</f>
        <v/>
      </c>
      <c r="O3072">
        <f>TEXT(B3072,"YYYY-MM")</f>
        <v/>
      </c>
    </row>
    <row r="3073">
      <c r="A3073" t="inlineStr">
        <is>
          <t>LD-303071</t>
        </is>
      </c>
      <c r="B3073" t="inlineStr">
        <is>
          <t>2025-06-13 18:27:00</t>
        </is>
      </c>
      <c r="C3073" t="inlineStr">
        <is>
          <t>Social Media</t>
        </is>
      </c>
      <c r="D3073" t="inlineStr">
        <is>
          <t>Study Abroad Prep</t>
        </is>
      </c>
      <c r="E3073" t="inlineStr">
        <is>
          <t>South Region</t>
        </is>
      </c>
      <c r="F3073" t="inlineStr">
        <is>
          <t>Rep_02</t>
        </is>
      </c>
      <c r="G3073" t="n">
        <v>13.72</v>
      </c>
      <c r="H3073" t="inlineStr">
        <is>
          <t>Lead</t>
        </is>
      </c>
      <c r="I3073" t="inlineStr">
        <is>
          <t>Open</t>
        </is>
      </c>
      <c r="M3073">
        <f>VLOOKUP(H3073,'Stage Order'!$A$2:$B$8,2,FALSE)</f>
        <v/>
      </c>
      <c r="N3073">
        <f>IF(G3073&lt;=1,"1. Under 1 hour",IF(G3073&lt;=24,"2. 1-24 hours",IF(G3073&lt;=72,"3. 1-3 days","4. Over 3 days")))</f>
        <v/>
      </c>
      <c r="O3073">
        <f>TEXT(B3073,"YYYY-MM")</f>
        <v/>
      </c>
    </row>
    <row r="3074">
      <c r="A3074" t="inlineStr">
        <is>
          <t>LD-303072</t>
        </is>
      </c>
      <c r="B3074" t="inlineStr">
        <is>
          <t>2025-05-09 16:13:00</t>
        </is>
      </c>
      <c r="C3074" t="inlineStr">
        <is>
          <t>Social Media</t>
        </is>
      </c>
      <c r="D3074" t="inlineStr">
        <is>
          <t>Coding for Kids</t>
        </is>
      </c>
      <c r="E3074" t="inlineStr">
        <is>
          <t>South Region</t>
        </is>
      </c>
      <c r="F3074" t="inlineStr">
        <is>
          <t>Rep_12</t>
        </is>
      </c>
      <c r="G3074" t="n">
        <v>14.29</v>
      </c>
      <c r="H3074" t="inlineStr">
        <is>
          <t>Demo Scheduled</t>
        </is>
      </c>
      <c r="I3074" t="inlineStr">
        <is>
          <t>Open</t>
        </is>
      </c>
      <c r="M3074">
        <f>VLOOKUP(H3074,'Stage Order'!$A$2:$B$8,2,FALSE)</f>
        <v/>
      </c>
      <c r="N3074">
        <f>IF(G3074&lt;=1,"1. Under 1 hour",IF(G3074&lt;=24,"2. 1-24 hours",IF(G3074&lt;=72,"3. 1-3 days","4. Over 3 days")))</f>
        <v/>
      </c>
      <c r="O3074">
        <f>TEXT(B3074,"YYYY-MM")</f>
        <v/>
      </c>
    </row>
    <row r="3075">
      <c r="A3075" t="inlineStr">
        <is>
          <t>LD-303073</t>
        </is>
      </c>
      <c r="B3075" t="inlineStr">
        <is>
          <t>2025-03-21 20:17:00</t>
        </is>
      </c>
      <c r="C3075" t="inlineStr">
        <is>
          <t>Paid Search</t>
        </is>
      </c>
      <c r="D3075" t="inlineStr">
        <is>
          <t>K-12 Math</t>
        </is>
      </c>
      <c r="E3075" t="inlineStr">
        <is>
          <t>North Region</t>
        </is>
      </c>
      <c r="F3075" t="inlineStr">
        <is>
          <t>Rep_06</t>
        </is>
      </c>
      <c r="G3075" t="n">
        <v>4.41</v>
      </c>
      <c r="H3075" t="inlineStr">
        <is>
          <t>Contacted</t>
        </is>
      </c>
      <c r="I3075" t="inlineStr">
        <is>
          <t>Open</t>
        </is>
      </c>
      <c r="M3075">
        <f>VLOOKUP(H3075,'Stage Order'!$A$2:$B$8,2,FALSE)</f>
        <v/>
      </c>
      <c r="N3075">
        <f>IF(G3075&lt;=1,"1. Under 1 hour",IF(G3075&lt;=24,"2. 1-24 hours",IF(G3075&lt;=72,"3. 1-3 days","4. Over 3 days")))</f>
        <v/>
      </c>
      <c r="O3075">
        <f>TEXT(B3075,"YYYY-MM")</f>
        <v/>
      </c>
    </row>
    <row r="3076">
      <c r="A3076" t="inlineStr">
        <is>
          <t>LD-303074</t>
        </is>
      </c>
      <c r="B3076" t="inlineStr">
        <is>
          <t>2025-10-17 09:19:00</t>
        </is>
      </c>
      <c r="C3076" t="inlineStr">
        <is>
          <t>Cold Outreach</t>
        </is>
      </c>
      <c r="D3076" t="inlineStr">
        <is>
          <t>Study Abroad Prep</t>
        </is>
      </c>
      <c r="E3076" t="inlineStr">
        <is>
          <t>North Region</t>
        </is>
      </c>
      <c r="F3076" t="inlineStr">
        <is>
          <t>Rep_01</t>
        </is>
      </c>
      <c r="G3076" t="n">
        <v>2.56</v>
      </c>
      <c r="H3076" t="inlineStr">
        <is>
          <t>Lead</t>
        </is>
      </c>
      <c r="I3076" t="inlineStr">
        <is>
          <t>Open</t>
        </is>
      </c>
      <c r="M3076">
        <f>VLOOKUP(H3076,'Stage Order'!$A$2:$B$8,2,FALSE)</f>
        <v/>
      </c>
      <c r="N3076">
        <f>IF(G3076&lt;=1,"1. Under 1 hour",IF(G3076&lt;=24,"2. 1-24 hours",IF(G3076&lt;=72,"3. 1-3 days","4. Over 3 days")))</f>
        <v/>
      </c>
      <c r="O3076">
        <f>TEXT(B3076,"YYYY-MM")</f>
        <v/>
      </c>
    </row>
    <row r="3077">
      <c r="A3077" t="inlineStr">
        <is>
          <t>LD-303075</t>
        </is>
      </c>
      <c r="B3077" t="inlineStr">
        <is>
          <t>2026-05-15 09:38:00</t>
        </is>
      </c>
      <c r="C3077" t="inlineStr">
        <is>
          <t>Referral</t>
        </is>
      </c>
      <c r="D3077" t="inlineStr">
        <is>
          <t>K-12 Math</t>
        </is>
      </c>
      <c r="E3077" t="inlineStr">
        <is>
          <t>North Region</t>
        </is>
      </c>
      <c r="F3077" t="inlineStr">
        <is>
          <t>Rep_06</t>
        </is>
      </c>
      <c r="G3077" t="n">
        <v>3.57</v>
      </c>
      <c r="H3077" t="inlineStr">
        <is>
          <t>Contacted</t>
        </is>
      </c>
      <c r="I3077" t="inlineStr">
        <is>
          <t>Open</t>
        </is>
      </c>
      <c r="M3077">
        <f>VLOOKUP(H3077,'Stage Order'!$A$2:$B$8,2,FALSE)</f>
        <v/>
      </c>
      <c r="N3077">
        <f>IF(G3077&lt;=1,"1. Under 1 hour",IF(G3077&lt;=24,"2. 1-24 hours",IF(G3077&lt;=72,"3. 1-3 days","4. Over 3 days")))</f>
        <v/>
      </c>
      <c r="O3077">
        <f>TEXT(B3077,"YYYY-MM")</f>
        <v/>
      </c>
    </row>
    <row r="3078">
      <c r="A3078" t="inlineStr">
        <is>
          <t>LD-303076</t>
        </is>
      </c>
      <c r="B3078" t="inlineStr">
        <is>
          <t>2026-03-13 07:14:00</t>
        </is>
      </c>
      <c r="C3078" t="inlineStr">
        <is>
          <t>Referral</t>
        </is>
      </c>
      <c r="D3078" t="inlineStr">
        <is>
          <t>K-12 Math</t>
        </is>
      </c>
      <c r="E3078" t="inlineStr">
        <is>
          <t>North Region</t>
        </is>
      </c>
      <c r="F3078" t="inlineStr">
        <is>
          <t>Rep_11</t>
        </is>
      </c>
      <c r="G3078" t="n">
        <v>10.98</v>
      </c>
      <c r="H3078" t="inlineStr">
        <is>
          <t>Demo Completed</t>
        </is>
      </c>
      <c r="I3078" t="inlineStr">
        <is>
          <t>Lost</t>
        </is>
      </c>
      <c r="J3078" t="inlineStr">
        <is>
          <t>Went With Competitor</t>
        </is>
      </c>
      <c r="K3078" t="n">
        <v>558.4400000000001</v>
      </c>
      <c r="L3078" t="inlineStr">
        <is>
          <t>2026-04-14 11:38:50.980916</t>
        </is>
      </c>
      <c r="M3078">
        <f>VLOOKUP(H3078,'Stage Order'!$A$2:$B$8,2,FALSE)</f>
        <v/>
      </c>
      <c r="N3078">
        <f>IF(G3078&lt;=1,"1. Under 1 hour",IF(G3078&lt;=24,"2. 1-24 hours",IF(G3078&lt;=72,"3. 1-3 days","4. Over 3 days")))</f>
        <v/>
      </c>
      <c r="O3078">
        <f>TEXT(B3078,"YYYY-MM")</f>
        <v/>
      </c>
    </row>
    <row r="3079">
      <c r="A3079" t="inlineStr">
        <is>
          <t>LD-303077</t>
        </is>
      </c>
      <c r="B3079" t="inlineStr">
        <is>
          <t>2025-10-17 15:41:00</t>
        </is>
      </c>
      <c r="C3079" t="inlineStr">
        <is>
          <t>Social Media</t>
        </is>
      </c>
      <c r="D3079" t="inlineStr">
        <is>
          <t>Coding for Kids</t>
        </is>
      </c>
      <c r="E3079" t="inlineStr">
        <is>
          <t>West Region</t>
        </is>
      </c>
      <c r="F3079" t="inlineStr">
        <is>
          <t>Rep_08</t>
        </is>
      </c>
      <c r="G3079" t="n">
        <v>1.9</v>
      </c>
      <c r="H3079" t="inlineStr">
        <is>
          <t>Contacted</t>
        </is>
      </c>
      <c r="I3079" t="inlineStr">
        <is>
          <t>Open</t>
        </is>
      </c>
      <c r="M3079">
        <f>VLOOKUP(H3079,'Stage Order'!$A$2:$B$8,2,FALSE)</f>
        <v/>
      </c>
      <c r="N3079">
        <f>IF(G3079&lt;=1,"1. Under 1 hour",IF(G3079&lt;=24,"2. 1-24 hours",IF(G3079&lt;=72,"3. 1-3 days","4. Over 3 days")))</f>
        <v/>
      </c>
      <c r="O3079">
        <f>TEXT(B3079,"YYYY-MM")</f>
        <v/>
      </c>
    </row>
    <row r="3080">
      <c r="A3080" t="inlineStr">
        <is>
          <t>LD-303078</t>
        </is>
      </c>
      <c r="B3080" t="inlineStr">
        <is>
          <t>2025-03-28 19:34:00</t>
        </is>
      </c>
      <c r="C3080" t="inlineStr">
        <is>
          <t>Paid Search</t>
        </is>
      </c>
      <c r="D3080" t="inlineStr">
        <is>
          <t>K-12 Math</t>
        </is>
      </c>
      <c r="E3080" t="inlineStr">
        <is>
          <t>North Region</t>
        </is>
      </c>
      <c r="F3080" t="inlineStr">
        <is>
          <t>Rep_11</t>
        </is>
      </c>
      <c r="G3080" t="n">
        <v>2.54</v>
      </c>
      <c r="H3080" t="inlineStr">
        <is>
          <t>Demo Scheduled</t>
        </is>
      </c>
      <c r="I3080" t="inlineStr">
        <is>
          <t>Open</t>
        </is>
      </c>
      <c r="M3080">
        <f>VLOOKUP(H3080,'Stage Order'!$A$2:$B$8,2,FALSE)</f>
        <v/>
      </c>
      <c r="N3080">
        <f>IF(G3080&lt;=1,"1. Under 1 hour",IF(G3080&lt;=24,"2. 1-24 hours",IF(G3080&lt;=72,"3. 1-3 days","4. Over 3 days")))</f>
        <v/>
      </c>
      <c r="O3080">
        <f>TEXT(B3080,"YYYY-MM")</f>
        <v/>
      </c>
    </row>
    <row r="3081">
      <c r="A3081" t="inlineStr">
        <is>
          <t>LD-303079</t>
        </is>
      </c>
      <c r="B3081" t="inlineStr">
        <is>
          <t>2026-06-07 07:44:00</t>
        </is>
      </c>
      <c r="C3081" t="inlineStr">
        <is>
          <t>Social Media</t>
        </is>
      </c>
      <c r="D3081" t="inlineStr">
        <is>
          <t>Competitive Exam Prep</t>
        </is>
      </c>
      <c r="E3081" t="inlineStr">
        <is>
          <t>South Region</t>
        </is>
      </c>
      <c r="F3081" t="inlineStr">
        <is>
          <t>Rep_02</t>
        </is>
      </c>
      <c r="G3081" t="n">
        <v>1.88</v>
      </c>
      <c r="H3081" t="inlineStr">
        <is>
          <t>Proposal Sent</t>
        </is>
      </c>
      <c r="I3081" t="inlineStr">
        <is>
          <t>Lost</t>
        </is>
      </c>
      <c r="J3081" t="inlineStr">
        <is>
          <t>No Response / Ghosted</t>
        </is>
      </c>
      <c r="K3081" t="n">
        <v>974.6900000000001</v>
      </c>
      <c r="L3081" t="inlineStr">
        <is>
          <t>2026-07-18 18:13:06.138589</t>
        </is>
      </c>
      <c r="M3081">
        <f>VLOOKUP(H3081,'Stage Order'!$A$2:$B$8,2,FALSE)</f>
        <v/>
      </c>
      <c r="N3081">
        <f>IF(G3081&lt;=1,"1. Under 1 hour",IF(G3081&lt;=24,"2. 1-24 hours",IF(G3081&lt;=72,"3. 1-3 days","4. Over 3 days")))</f>
        <v/>
      </c>
      <c r="O3081">
        <f>TEXT(B3081,"YYYY-MM")</f>
        <v/>
      </c>
    </row>
    <row r="3082">
      <c r="A3082" t="inlineStr">
        <is>
          <t>LD-303080</t>
        </is>
      </c>
      <c r="B3082" t="inlineStr">
        <is>
          <t>2026-02-08 14:13:00</t>
        </is>
      </c>
      <c r="C3082" t="inlineStr">
        <is>
          <t>Organic Search</t>
        </is>
      </c>
      <c r="D3082" t="inlineStr">
        <is>
          <t>Competitive Exam Prep</t>
        </is>
      </c>
      <c r="E3082" t="inlineStr">
        <is>
          <t>North Region</t>
        </is>
      </c>
      <c r="F3082" t="inlineStr">
        <is>
          <t>Rep_06</t>
        </is>
      </c>
      <c r="G3082" t="n">
        <v>3.11</v>
      </c>
      <c r="H3082" t="inlineStr">
        <is>
          <t>Contacted</t>
        </is>
      </c>
      <c r="I3082" t="inlineStr">
        <is>
          <t>Open</t>
        </is>
      </c>
      <c r="M3082">
        <f>VLOOKUP(H3082,'Stage Order'!$A$2:$B$8,2,FALSE)</f>
        <v/>
      </c>
      <c r="N3082">
        <f>IF(G3082&lt;=1,"1. Under 1 hour",IF(G3082&lt;=24,"2. 1-24 hours",IF(G3082&lt;=72,"3. 1-3 days","4. Over 3 days")))</f>
        <v/>
      </c>
      <c r="O3082">
        <f>TEXT(B3082,"YYYY-MM")</f>
        <v/>
      </c>
    </row>
    <row r="3083">
      <c r="A3083" t="inlineStr">
        <is>
          <t>LD-303081</t>
        </is>
      </c>
      <c r="B3083" t="inlineStr">
        <is>
          <t>2025-03-18 11:49:00</t>
        </is>
      </c>
      <c r="C3083" t="inlineStr">
        <is>
          <t>Social Media</t>
        </is>
      </c>
      <c r="D3083" t="inlineStr">
        <is>
          <t>Coding for Kids</t>
        </is>
      </c>
      <c r="E3083" t="inlineStr">
        <is>
          <t>North Region</t>
        </is>
      </c>
      <c r="F3083" t="inlineStr">
        <is>
          <t>Rep_11</t>
        </is>
      </c>
      <c r="G3083" t="n">
        <v>10.08</v>
      </c>
      <c r="H3083" t="inlineStr">
        <is>
          <t>Negotiation</t>
        </is>
      </c>
      <c r="I3083" t="inlineStr">
        <is>
          <t>Lost</t>
        </is>
      </c>
      <c r="J3083" t="inlineStr">
        <is>
          <t>Bad Timing</t>
        </is>
      </c>
      <c r="K3083" t="n">
        <v>705.96</v>
      </c>
      <c r="L3083" t="inlineStr">
        <is>
          <t>2025-05-12 02:05:35.339859</t>
        </is>
      </c>
      <c r="M3083">
        <f>VLOOKUP(H3083,'Stage Order'!$A$2:$B$8,2,FALSE)</f>
        <v/>
      </c>
      <c r="N3083">
        <f>IF(G3083&lt;=1,"1. Under 1 hour",IF(G3083&lt;=24,"2. 1-24 hours",IF(G3083&lt;=72,"3. 1-3 days","4. Over 3 days")))</f>
        <v/>
      </c>
      <c r="O3083">
        <f>TEXT(B3083,"YYYY-MM")</f>
        <v/>
      </c>
    </row>
    <row r="3084">
      <c r="A3084" t="inlineStr">
        <is>
          <t>LD-303082</t>
        </is>
      </c>
      <c r="B3084" t="inlineStr">
        <is>
          <t>2025-01-16 18:32:00</t>
        </is>
      </c>
      <c r="C3084" t="inlineStr">
        <is>
          <t>Paid Search</t>
        </is>
      </c>
      <c r="D3084" t="inlineStr">
        <is>
          <t>K-12 Math</t>
        </is>
      </c>
      <c r="E3084" t="inlineStr">
        <is>
          <t>South Region</t>
        </is>
      </c>
      <c r="F3084" t="inlineStr">
        <is>
          <t>Rep_07</t>
        </is>
      </c>
      <c r="G3084" t="n">
        <v>4.53</v>
      </c>
      <c r="H3084" t="inlineStr">
        <is>
          <t>Demo Scheduled</t>
        </is>
      </c>
      <c r="I3084" t="inlineStr">
        <is>
          <t>Open</t>
        </is>
      </c>
      <c r="M3084">
        <f>VLOOKUP(H3084,'Stage Order'!$A$2:$B$8,2,FALSE)</f>
        <v/>
      </c>
      <c r="N3084">
        <f>IF(G3084&lt;=1,"1. Under 1 hour",IF(G3084&lt;=24,"2. 1-24 hours",IF(G3084&lt;=72,"3. 1-3 days","4. Over 3 days")))</f>
        <v/>
      </c>
      <c r="O3084">
        <f>TEXT(B3084,"YYYY-MM")</f>
        <v/>
      </c>
    </row>
    <row r="3085">
      <c r="A3085" t="inlineStr">
        <is>
          <t>LD-303083</t>
        </is>
      </c>
      <c r="B3085" t="inlineStr">
        <is>
          <t>2026-01-06 18:44:00</t>
        </is>
      </c>
      <c r="C3085" t="inlineStr">
        <is>
          <t>Organic Search</t>
        </is>
      </c>
      <c r="D3085" t="inlineStr">
        <is>
          <t>Coding for Kids</t>
        </is>
      </c>
      <c r="E3085" t="inlineStr">
        <is>
          <t>South Region</t>
        </is>
      </c>
      <c r="F3085" t="inlineStr">
        <is>
          <t>Rep_02</t>
        </is>
      </c>
      <c r="G3085" t="n">
        <v>7.33</v>
      </c>
      <c r="H3085" t="inlineStr">
        <is>
          <t>Demo Completed</t>
        </is>
      </c>
      <c r="I3085" t="inlineStr">
        <is>
          <t>Lost</t>
        </is>
      </c>
      <c r="J3085" t="inlineStr">
        <is>
          <t>Bad Timing</t>
        </is>
      </c>
      <c r="K3085" t="n">
        <v>627.1</v>
      </c>
      <c r="L3085" t="inlineStr">
        <is>
          <t>2026-02-02 18:15:37.812747</t>
        </is>
      </c>
      <c r="M3085">
        <f>VLOOKUP(H3085,'Stage Order'!$A$2:$B$8,2,FALSE)</f>
        <v/>
      </c>
      <c r="N3085">
        <f>IF(G3085&lt;=1,"1. Under 1 hour",IF(G3085&lt;=24,"2. 1-24 hours",IF(G3085&lt;=72,"3. 1-3 days","4. Over 3 days")))</f>
        <v/>
      </c>
      <c r="O3085">
        <f>TEXT(B3085,"YYYY-MM")</f>
        <v/>
      </c>
    </row>
    <row r="3086">
      <c r="A3086" t="inlineStr">
        <is>
          <t>LD-303084</t>
        </is>
      </c>
      <c r="B3086" t="inlineStr">
        <is>
          <t>2026-02-20 18:09:00</t>
        </is>
      </c>
      <c r="C3086" t="inlineStr">
        <is>
          <t>Organic Search</t>
        </is>
      </c>
      <c r="D3086" t="inlineStr">
        <is>
          <t>Coding for Kids</t>
        </is>
      </c>
      <c r="E3086" t="inlineStr">
        <is>
          <t>International</t>
        </is>
      </c>
      <c r="F3086" t="inlineStr">
        <is>
          <t>Rep_15</t>
        </is>
      </c>
      <c r="G3086" t="n">
        <v>9.06</v>
      </c>
      <c r="H3086" t="inlineStr">
        <is>
          <t>Contacted</t>
        </is>
      </c>
      <c r="I3086" t="inlineStr">
        <is>
          <t>Open</t>
        </is>
      </c>
      <c r="M3086">
        <f>VLOOKUP(H3086,'Stage Order'!$A$2:$B$8,2,FALSE)</f>
        <v/>
      </c>
      <c r="N3086">
        <f>IF(G3086&lt;=1,"1. Under 1 hour",IF(G3086&lt;=24,"2. 1-24 hours",IF(G3086&lt;=72,"3. 1-3 days","4. Over 3 days")))</f>
        <v/>
      </c>
      <c r="O3086">
        <f>TEXT(B3086,"YYYY-MM")</f>
        <v/>
      </c>
    </row>
    <row r="3087">
      <c r="A3087" t="inlineStr">
        <is>
          <t>LD-303085</t>
        </is>
      </c>
      <c r="B3087" t="inlineStr">
        <is>
          <t>2025-08-13 18:56:00</t>
        </is>
      </c>
      <c r="C3087" t="inlineStr">
        <is>
          <t>Organic Search</t>
        </is>
      </c>
      <c r="D3087" t="inlineStr">
        <is>
          <t>Study Abroad Prep</t>
        </is>
      </c>
      <c r="E3087" t="inlineStr">
        <is>
          <t>International</t>
        </is>
      </c>
      <c r="F3087" t="inlineStr">
        <is>
          <t>Rep_05</t>
        </is>
      </c>
      <c r="G3087" t="n">
        <v>0.99</v>
      </c>
      <c r="H3087" t="inlineStr">
        <is>
          <t>Contacted</t>
        </is>
      </c>
      <c r="I3087" t="inlineStr">
        <is>
          <t>Open</t>
        </is>
      </c>
      <c r="M3087">
        <f>VLOOKUP(H3087,'Stage Order'!$A$2:$B$8,2,FALSE)</f>
        <v/>
      </c>
      <c r="N3087">
        <f>IF(G3087&lt;=1,"1. Under 1 hour",IF(G3087&lt;=24,"2. 1-24 hours",IF(G3087&lt;=72,"3. 1-3 days","4. Over 3 days")))</f>
        <v/>
      </c>
      <c r="O3087">
        <f>TEXT(B3087,"YYYY-MM")</f>
        <v/>
      </c>
    </row>
    <row r="3088">
      <c r="A3088" t="inlineStr">
        <is>
          <t>LD-303086</t>
        </is>
      </c>
      <c r="B3088" t="inlineStr">
        <is>
          <t>2026-03-13 07:17:00</t>
        </is>
      </c>
      <c r="C3088" t="inlineStr">
        <is>
          <t>Cold Outreach</t>
        </is>
      </c>
      <c r="D3088" t="inlineStr">
        <is>
          <t>Coding for Kids</t>
        </is>
      </c>
      <c r="E3088" t="inlineStr">
        <is>
          <t>West Region</t>
        </is>
      </c>
      <c r="F3088" t="inlineStr">
        <is>
          <t>Rep_03</t>
        </is>
      </c>
      <c r="G3088" t="n">
        <v>2.26</v>
      </c>
      <c r="H3088" t="inlineStr">
        <is>
          <t>Contacted</t>
        </is>
      </c>
      <c r="I3088" t="inlineStr">
        <is>
          <t>Open</t>
        </is>
      </c>
      <c r="M3088">
        <f>VLOOKUP(H3088,'Stage Order'!$A$2:$B$8,2,FALSE)</f>
        <v/>
      </c>
      <c r="N3088">
        <f>IF(G3088&lt;=1,"1. Under 1 hour",IF(G3088&lt;=24,"2. 1-24 hours",IF(G3088&lt;=72,"3. 1-3 days","4. Over 3 days")))</f>
        <v/>
      </c>
      <c r="O3088">
        <f>TEXT(B3088,"YYYY-MM")</f>
        <v/>
      </c>
    </row>
    <row r="3089">
      <c r="A3089" t="inlineStr">
        <is>
          <t>LD-303087</t>
        </is>
      </c>
      <c r="B3089" t="inlineStr">
        <is>
          <t>2026-06-08 17:45:00</t>
        </is>
      </c>
      <c r="C3089" t="inlineStr">
        <is>
          <t>Paid Search</t>
        </is>
      </c>
      <c r="D3089" t="inlineStr">
        <is>
          <t>Study Abroad Prep</t>
        </is>
      </c>
      <c r="E3089" t="inlineStr">
        <is>
          <t>South Region</t>
        </is>
      </c>
      <c r="F3089" t="inlineStr">
        <is>
          <t>Rep_02</t>
        </is>
      </c>
      <c r="G3089" t="n">
        <v>3.92</v>
      </c>
      <c r="H3089" t="inlineStr">
        <is>
          <t>Lead</t>
        </is>
      </c>
      <c r="I3089" t="inlineStr">
        <is>
          <t>Open</t>
        </is>
      </c>
      <c r="M3089">
        <f>VLOOKUP(H3089,'Stage Order'!$A$2:$B$8,2,FALSE)</f>
        <v/>
      </c>
      <c r="N3089">
        <f>IF(G3089&lt;=1,"1. Under 1 hour",IF(G3089&lt;=24,"2. 1-24 hours",IF(G3089&lt;=72,"3. 1-3 days","4. Over 3 days")))</f>
        <v/>
      </c>
      <c r="O3089">
        <f>TEXT(B3089,"YYYY-MM")</f>
        <v/>
      </c>
    </row>
    <row r="3090">
      <c r="A3090" t="inlineStr">
        <is>
          <t>LD-303088</t>
        </is>
      </c>
      <c r="B3090" t="inlineStr">
        <is>
          <t>2025-03-14 14:31:00</t>
        </is>
      </c>
      <c r="C3090" t="inlineStr">
        <is>
          <t>Social Media</t>
        </is>
      </c>
      <c r="D3090" t="inlineStr">
        <is>
          <t>Coding for Kids</t>
        </is>
      </c>
      <c r="E3090" t="inlineStr">
        <is>
          <t>South Region</t>
        </is>
      </c>
      <c r="F3090" t="inlineStr">
        <is>
          <t>Rep_12</t>
        </is>
      </c>
      <c r="G3090" t="n">
        <v>0.33</v>
      </c>
      <c r="H3090" t="inlineStr">
        <is>
          <t>Lead</t>
        </is>
      </c>
      <c r="I3090" t="inlineStr">
        <is>
          <t>Open</t>
        </is>
      </c>
      <c r="M3090">
        <f>VLOOKUP(H3090,'Stage Order'!$A$2:$B$8,2,FALSE)</f>
        <v/>
      </c>
      <c r="N3090">
        <f>IF(G3090&lt;=1,"1. Under 1 hour",IF(G3090&lt;=24,"2. 1-24 hours",IF(G3090&lt;=72,"3. 1-3 days","4. Over 3 days")))</f>
        <v/>
      </c>
      <c r="O3090">
        <f>TEXT(B3090,"YYYY-MM")</f>
        <v/>
      </c>
    </row>
    <row r="3091">
      <c r="A3091" t="inlineStr">
        <is>
          <t>LD-303089</t>
        </is>
      </c>
      <c r="B3091" t="inlineStr">
        <is>
          <t>2025-07-04 17:02:00</t>
        </is>
      </c>
      <c r="C3091" t="inlineStr">
        <is>
          <t>Cold Outreach</t>
        </is>
      </c>
      <c r="D3091" t="inlineStr">
        <is>
          <t>K-12 Math</t>
        </is>
      </c>
      <c r="E3091" t="inlineStr">
        <is>
          <t>West Region</t>
        </is>
      </c>
      <c r="F3091" t="inlineStr">
        <is>
          <t>Rep_08</t>
        </is>
      </c>
      <c r="G3091" t="n">
        <v>1.33</v>
      </c>
      <c r="H3091" t="inlineStr">
        <is>
          <t>Contacted</t>
        </is>
      </c>
      <c r="I3091" t="inlineStr">
        <is>
          <t>Open</t>
        </is>
      </c>
      <c r="M3091">
        <f>VLOOKUP(H3091,'Stage Order'!$A$2:$B$8,2,FALSE)</f>
        <v/>
      </c>
      <c r="N3091">
        <f>IF(G3091&lt;=1,"1. Under 1 hour",IF(G3091&lt;=24,"2. 1-24 hours",IF(G3091&lt;=72,"3. 1-3 days","4. Over 3 days")))</f>
        <v/>
      </c>
      <c r="O3091">
        <f>TEXT(B3091,"YYYY-MM")</f>
        <v/>
      </c>
    </row>
    <row r="3092">
      <c r="A3092" t="inlineStr">
        <is>
          <t>LD-303090</t>
        </is>
      </c>
      <c r="B3092" t="inlineStr">
        <is>
          <t>2026-05-25 13:16:00</t>
        </is>
      </c>
      <c r="C3092" t="inlineStr">
        <is>
          <t>Organic Search</t>
        </is>
      </c>
      <c r="D3092" t="inlineStr">
        <is>
          <t>Study Abroad Prep</t>
        </is>
      </c>
      <c r="E3092" t="inlineStr">
        <is>
          <t>North Region</t>
        </is>
      </c>
      <c r="F3092" t="inlineStr">
        <is>
          <t>Rep_01</t>
        </is>
      </c>
      <c r="G3092" t="n">
        <v>0.27</v>
      </c>
      <c r="H3092" t="inlineStr">
        <is>
          <t>Negotiation</t>
        </is>
      </c>
      <c r="I3092" t="inlineStr">
        <is>
          <t>Lost</t>
        </is>
      </c>
      <c r="J3092" t="inlineStr">
        <is>
          <t>Bad Timing</t>
        </is>
      </c>
      <c r="K3092" t="n">
        <v>1290.77</v>
      </c>
      <c r="L3092" t="inlineStr">
        <is>
          <t>2026-07-09 13:51:31.973235</t>
        </is>
      </c>
      <c r="M3092">
        <f>VLOOKUP(H3092,'Stage Order'!$A$2:$B$8,2,FALSE)</f>
        <v/>
      </c>
      <c r="N3092">
        <f>IF(G3092&lt;=1,"1. Under 1 hour",IF(G3092&lt;=24,"2. 1-24 hours",IF(G3092&lt;=72,"3. 1-3 days","4. Over 3 days")))</f>
        <v/>
      </c>
      <c r="O3092">
        <f>TEXT(B3092,"YYYY-MM")</f>
        <v/>
      </c>
    </row>
    <row r="3093">
      <c r="A3093" t="inlineStr">
        <is>
          <t>LD-303091</t>
        </is>
      </c>
      <c r="B3093" t="inlineStr">
        <is>
          <t>2025-04-10 07:36:00</t>
        </is>
      </c>
      <c r="C3093" t="inlineStr">
        <is>
          <t>Social Media</t>
        </is>
      </c>
      <c r="D3093" t="inlineStr">
        <is>
          <t>Study Abroad Prep</t>
        </is>
      </c>
      <c r="E3093" t="inlineStr">
        <is>
          <t>North Region</t>
        </is>
      </c>
      <c r="F3093" t="inlineStr">
        <is>
          <t>Rep_11</t>
        </is>
      </c>
      <c r="G3093" t="n">
        <v>2.9</v>
      </c>
      <c r="H3093" t="inlineStr">
        <is>
          <t>Negotiation</t>
        </is>
      </c>
      <c r="I3093" t="inlineStr">
        <is>
          <t>Lost</t>
        </is>
      </c>
      <c r="J3093" t="inlineStr">
        <is>
          <t>Bad Timing</t>
        </is>
      </c>
      <c r="K3093" t="n">
        <v>1368.88</v>
      </c>
      <c r="L3093" t="inlineStr">
        <is>
          <t>2025-06-10 03:34:03.851611</t>
        </is>
      </c>
      <c r="M3093">
        <f>VLOOKUP(H3093,'Stage Order'!$A$2:$B$8,2,FALSE)</f>
        <v/>
      </c>
      <c r="N3093">
        <f>IF(G3093&lt;=1,"1. Under 1 hour",IF(G3093&lt;=24,"2. 1-24 hours",IF(G3093&lt;=72,"3. 1-3 days","4. Over 3 days")))</f>
        <v/>
      </c>
      <c r="O3093">
        <f>TEXT(B3093,"YYYY-MM")</f>
        <v/>
      </c>
    </row>
    <row r="3094">
      <c r="A3094" t="inlineStr">
        <is>
          <t>LD-303092</t>
        </is>
      </c>
      <c r="B3094" t="inlineStr">
        <is>
          <t>2025-05-03 09:41:00</t>
        </is>
      </c>
      <c r="C3094" t="inlineStr">
        <is>
          <t>Partner Channel</t>
        </is>
      </c>
      <c r="D3094" t="inlineStr">
        <is>
          <t>Competitive Exam Prep</t>
        </is>
      </c>
      <c r="E3094" t="inlineStr">
        <is>
          <t>South Region</t>
        </is>
      </c>
      <c r="F3094" t="inlineStr">
        <is>
          <t>Rep_07</t>
        </is>
      </c>
      <c r="G3094" t="n">
        <v>4.69</v>
      </c>
      <c r="H3094" t="inlineStr">
        <is>
          <t>Contacted</t>
        </is>
      </c>
      <c r="I3094" t="inlineStr">
        <is>
          <t>Open</t>
        </is>
      </c>
      <c r="M3094">
        <f>VLOOKUP(H3094,'Stage Order'!$A$2:$B$8,2,FALSE)</f>
        <v/>
      </c>
      <c r="N3094">
        <f>IF(G3094&lt;=1,"1. Under 1 hour",IF(G3094&lt;=24,"2. 1-24 hours",IF(G3094&lt;=72,"3. 1-3 days","4. Over 3 days")))</f>
        <v/>
      </c>
      <c r="O3094">
        <f>TEXT(B3094,"YYYY-MM")</f>
        <v/>
      </c>
    </row>
    <row r="3095">
      <c r="A3095" t="inlineStr">
        <is>
          <t>LD-303093</t>
        </is>
      </c>
      <c r="B3095" t="inlineStr">
        <is>
          <t>2026-02-27 07:33:00</t>
        </is>
      </c>
      <c r="C3095" t="inlineStr">
        <is>
          <t>Paid Search</t>
        </is>
      </c>
      <c r="D3095" t="inlineStr">
        <is>
          <t>Coding for Kids</t>
        </is>
      </c>
      <c r="E3095" t="inlineStr">
        <is>
          <t>South Region</t>
        </is>
      </c>
      <c r="F3095" t="inlineStr">
        <is>
          <t>Rep_12</t>
        </is>
      </c>
      <c r="G3095" t="n">
        <v>2.53</v>
      </c>
      <c r="H3095" t="inlineStr">
        <is>
          <t>Negotiation</t>
        </is>
      </c>
      <c r="I3095" t="inlineStr">
        <is>
          <t>Lost</t>
        </is>
      </c>
      <c r="J3095" t="inlineStr">
        <is>
          <t>No Response / Ghosted</t>
        </is>
      </c>
      <c r="K3095" t="n">
        <v>774.36</v>
      </c>
      <c r="L3095" t="inlineStr">
        <is>
          <t>2026-04-16 05:11:54.779683</t>
        </is>
      </c>
      <c r="M3095">
        <f>VLOOKUP(H3095,'Stage Order'!$A$2:$B$8,2,FALSE)</f>
        <v/>
      </c>
      <c r="N3095">
        <f>IF(G3095&lt;=1,"1. Under 1 hour",IF(G3095&lt;=24,"2. 1-24 hours",IF(G3095&lt;=72,"3. 1-3 days","4. Over 3 days")))</f>
        <v/>
      </c>
      <c r="O3095">
        <f>TEXT(B3095,"YYYY-MM")</f>
        <v/>
      </c>
    </row>
    <row r="3096">
      <c r="A3096" t="inlineStr">
        <is>
          <t>LD-303094</t>
        </is>
      </c>
      <c r="B3096" t="inlineStr">
        <is>
          <t>2026-05-02 07:07:00</t>
        </is>
      </c>
      <c r="C3096" t="inlineStr">
        <is>
          <t>Partner Channel</t>
        </is>
      </c>
      <c r="D3096" t="inlineStr">
        <is>
          <t>Competitive Exam Prep</t>
        </is>
      </c>
      <c r="E3096" t="inlineStr">
        <is>
          <t>North Region</t>
        </is>
      </c>
      <c r="F3096" t="inlineStr">
        <is>
          <t>Rep_11</t>
        </is>
      </c>
      <c r="G3096" t="n">
        <v>2.37</v>
      </c>
      <c r="H3096" t="inlineStr">
        <is>
          <t>Negotiation</t>
        </is>
      </c>
      <c r="I3096" t="inlineStr">
        <is>
          <t>Lost</t>
        </is>
      </c>
      <c r="J3096" t="inlineStr">
        <is>
          <t>Budget Not Approved</t>
        </is>
      </c>
      <c r="K3096" t="n">
        <v>863.64</v>
      </c>
      <c r="L3096" t="inlineStr">
        <is>
          <t>2026-06-14 16:27:24.506881</t>
        </is>
      </c>
      <c r="M3096">
        <f>VLOOKUP(H3096,'Stage Order'!$A$2:$B$8,2,FALSE)</f>
        <v/>
      </c>
      <c r="N3096">
        <f>IF(G3096&lt;=1,"1. Under 1 hour",IF(G3096&lt;=24,"2. 1-24 hours",IF(G3096&lt;=72,"3. 1-3 days","4. Over 3 days")))</f>
        <v/>
      </c>
      <c r="O3096">
        <f>TEXT(B3096,"YYYY-MM")</f>
        <v/>
      </c>
    </row>
    <row r="3097">
      <c r="A3097" t="inlineStr">
        <is>
          <t>LD-303095</t>
        </is>
      </c>
      <c r="B3097" t="inlineStr">
        <is>
          <t>2025-11-28 12:56:00</t>
        </is>
      </c>
      <c r="C3097" t="inlineStr">
        <is>
          <t>Paid Search</t>
        </is>
      </c>
      <c r="D3097" t="inlineStr">
        <is>
          <t>K-12 Math</t>
        </is>
      </c>
      <c r="E3097" t="inlineStr">
        <is>
          <t>East Region</t>
        </is>
      </c>
      <c r="F3097" t="inlineStr">
        <is>
          <t>Rep_04</t>
        </is>
      </c>
      <c r="G3097" t="n">
        <v>2.08</v>
      </c>
      <c r="H3097" t="inlineStr">
        <is>
          <t>Contacted</t>
        </is>
      </c>
      <c r="I3097" t="inlineStr">
        <is>
          <t>Open</t>
        </is>
      </c>
      <c r="M3097">
        <f>VLOOKUP(H3097,'Stage Order'!$A$2:$B$8,2,FALSE)</f>
        <v/>
      </c>
      <c r="N3097">
        <f>IF(G3097&lt;=1,"1. Under 1 hour",IF(G3097&lt;=24,"2. 1-24 hours",IF(G3097&lt;=72,"3. 1-3 days","4. Over 3 days")))</f>
        <v/>
      </c>
      <c r="O3097">
        <f>TEXT(B3097,"YYYY-MM")</f>
        <v/>
      </c>
    </row>
    <row r="3098">
      <c r="A3098" t="inlineStr">
        <is>
          <t>LD-303096</t>
        </is>
      </c>
      <c r="B3098" t="inlineStr">
        <is>
          <t>2026-03-26 16:21:00</t>
        </is>
      </c>
      <c r="C3098" t="inlineStr">
        <is>
          <t>Social Media</t>
        </is>
      </c>
      <c r="D3098" t="inlineStr">
        <is>
          <t>Language Learning</t>
        </is>
      </c>
      <c r="E3098" t="inlineStr">
        <is>
          <t>West Region</t>
        </is>
      </c>
      <c r="F3098" t="inlineStr">
        <is>
          <t>Rep_08</t>
        </is>
      </c>
      <c r="G3098" t="n">
        <v>21.74</v>
      </c>
      <c r="H3098" t="inlineStr">
        <is>
          <t>Contacted</t>
        </is>
      </c>
      <c r="I3098" t="inlineStr">
        <is>
          <t>Open</t>
        </is>
      </c>
      <c r="M3098">
        <f>VLOOKUP(H3098,'Stage Order'!$A$2:$B$8,2,FALSE)</f>
        <v/>
      </c>
      <c r="N3098">
        <f>IF(G3098&lt;=1,"1. Under 1 hour",IF(G3098&lt;=24,"2. 1-24 hours",IF(G3098&lt;=72,"3. 1-3 days","4. Over 3 days")))</f>
        <v/>
      </c>
      <c r="O3098">
        <f>TEXT(B3098,"YYYY-MM")</f>
        <v/>
      </c>
    </row>
    <row r="3099">
      <c r="A3099" t="inlineStr">
        <is>
          <t>LD-303097</t>
        </is>
      </c>
      <c r="B3099" t="inlineStr">
        <is>
          <t>2025-01-22 09:45:00</t>
        </is>
      </c>
      <c r="C3099" t="inlineStr">
        <is>
          <t>Webinar</t>
        </is>
      </c>
      <c r="D3099" t="inlineStr">
        <is>
          <t>Coding for Kids</t>
        </is>
      </c>
      <c r="E3099" t="inlineStr">
        <is>
          <t>West Region</t>
        </is>
      </c>
      <c r="F3099" t="inlineStr">
        <is>
          <t>Rep_08</t>
        </is>
      </c>
      <c r="G3099" t="n">
        <v>0.8100000000000001</v>
      </c>
      <c r="H3099" t="inlineStr">
        <is>
          <t>Closed</t>
        </is>
      </c>
      <c r="I3099" t="inlineStr">
        <is>
          <t>Won</t>
        </is>
      </c>
      <c r="K3099" t="n">
        <v>760.37</v>
      </c>
      <c r="L3099" t="inlineStr">
        <is>
          <t>2025-03-04 10:46:07.399694</t>
        </is>
      </c>
      <c r="M3099">
        <f>VLOOKUP(H3099,'Stage Order'!$A$2:$B$8,2,FALSE)</f>
        <v/>
      </c>
      <c r="N3099">
        <f>IF(G3099&lt;=1,"1. Under 1 hour",IF(G3099&lt;=24,"2. 1-24 hours",IF(G3099&lt;=72,"3. 1-3 days","4. Over 3 days")))</f>
        <v/>
      </c>
      <c r="O3099">
        <f>TEXT(B3099,"YYYY-MM")</f>
        <v/>
      </c>
    </row>
    <row r="3100">
      <c r="A3100" t="inlineStr">
        <is>
          <t>LD-303098</t>
        </is>
      </c>
      <c r="B3100" t="inlineStr">
        <is>
          <t>2025-09-10 07:51:00</t>
        </is>
      </c>
      <c r="C3100" t="inlineStr">
        <is>
          <t>Paid Search</t>
        </is>
      </c>
      <c r="D3100" t="inlineStr">
        <is>
          <t>Language Learning</t>
        </is>
      </c>
      <c r="E3100" t="inlineStr">
        <is>
          <t>West Region</t>
        </is>
      </c>
      <c r="F3100" t="inlineStr">
        <is>
          <t>Rep_13</t>
        </is>
      </c>
      <c r="G3100" t="n">
        <v>1.99</v>
      </c>
      <c r="H3100" t="inlineStr">
        <is>
          <t>Closed</t>
        </is>
      </c>
      <c r="I3100" t="inlineStr">
        <is>
          <t>Won</t>
        </is>
      </c>
      <c r="K3100" t="n">
        <v>326.33</v>
      </c>
      <c r="L3100" t="inlineStr">
        <is>
          <t>2025-10-19 09:25:31.736154</t>
        </is>
      </c>
      <c r="M3100">
        <f>VLOOKUP(H3100,'Stage Order'!$A$2:$B$8,2,FALSE)</f>
        <v/>
      </c>
      <c r="N3100">
        <f>IF(G3100&lt;=1,"1. Under 1 hour",IF(G3100&lt;=24,"2. 1-24 hours",IF(G3100&lt;=72,"3. 1-3 days","4. Over 3 days")))</f>
        <v/>
      </c>
      <c r="O3100">
        <f>TEXT(B3100,"YYYY-MM")</f>
        <v/>
      </c>
    </row>
    <row r="3101">
      <c r="A3101" t="inlineStr">
        <is>
          <t>LD-303099</t>
        </is>
      </c>
      <c r="B3101" t="inlineStr">
        <is>
          <t>2026-01-16 16:30:00</t>
        </is>
      </c>
      <c r="C3101" t="inlineStr">
        <is>
          <t>Organic Search</t>
        </is>
      </c>
      <c r="D3101" t="inlineStr">
        <is>
          <t>K-12 Math</t>
        </is>
      </c>
      <c r="E3101" t="inlineStr">
        <is>
          <t>North Region</t>
        </is>
      </c>
      <c r="F3101" t="inlineStr">
        <is>
          <t>Rep_01</t>
        </is>
      </c>
      <c r="G3101" t="n">
        <v>7.76</v>
      </c>
      <c r="H3101" t="inlineStr">
        <is>
          <t>Contacted</t>
        </is>
      </c>
      <c r="I3101" t="inlineStr">
        <is>
          <t>Open</t>
        </is>
      </c>
      <c r="M3101">
        <f>VLOOKUP(H3101,'Stage Order'!$A$2:$B$8,2,FALSE)</f>
        <v/>
      </c>
      <c r="N3101">
        <f>IF(G3101&lt;=1,"1. Under 1 hour",IF(G3101&lt;=24,"2. 1-24 hours",IF(G3101&lt;=72,"3. 1-3 days","4. Over 3 days")))</f>
        <v/>
      </c>
      <c r="O3101">
        <f>TEXT(B3101,"YYYY-MM")</f>
        <v/>
      </c>
    </row>
    <row r="3102">
      <c r="A3102" t="inlineStr">
        <is>
          <t>LD-303100</t>
        </is>
      </c>
      <c r="B3102" t="inlineStr">
        <is>
          <t>2026-04-03 10:55:00</t>
        </is>
      </c>
      <c r="C3102" t="inlineStr">
        <is>
          <t>Cold Outreach</t>
        </is>
      </c>
      <c r="D3102" t="inlineStr">
        <is>
          <t>Competitive Exam Prep</t>
        </is>
      </c>
      <c r="E3102" t="inlineStr">
        <is>
          <t>West Region</t>
        </is>
      </c>
      <c r="F3102" t="inlineStr">
        <is>
          <t>Rep_13</t>
        </is>
      </c>
      <c r="G3102" t="n">
        <v>1.34</v>
      </c>
      <c r="H3102" t="inlineStr">
        <is>
          <t>Demo Scheduled</t>
        </is>
      </c>
      <c r="I3102" t="inlineStr">
        <is>
          <t>Open</t>
        </is>
      </c>
      <c r="M3102">
        <f>VLOOKUP(H3102,'Stage Order'!$A$2:$B$8,2,FALSE)</f>
        <v/>
      </c>
      <c r="N3102">
        <f>IF(G3102&lt;=1,"1. Under 1 hour",IF(G3102&lt;=24,"2. 1-24 hours",IF(G3102&lt;=72,"3. 1-3 days","4. Over 3 days")))</f>
        <v/>
      </c>
      <c r="O3102">
        <f>TEXT(B3102,"YYYY-MM")</f>
        <v/>
      </c>
    </row>
    <row r="3103">
      <c r="A3103" t="inlineStr">
        <is>
          <t>LD-303101</t>
        </is>
      </c>
      <c r="B3103" t="inlineStr">
        <is>
          <t>2025-08-09 12:19:00</t>
        </is>
      </c>
      <c r="C3103" t="inlineStr">
        <is>
          <t>Webinar</t>
        </is>
      </c>
      <c r="D3103" t="inlineStr">
        <is>
          <t>Coding for Kids</t>
        </is>
      </c>
      <c r="E3103" t="inlineStr">
        <is>
          <t>South Region</t>
        </is>
      </c>
      <c r="F3103" t="inlineStr">
        <is>
          <t>Rep_07</t>
        </is>
      </c>
      <c r="G3103" t="n">
        <v>6.99</v>
      </c>
      <c r="H3103" t="inlineStr">
        <is>
          <t>Contacted</t>
        </is>
      </c>
      <c r="I3103" t="inlineStr">
        <is>
          <t>Open</t>
        </is>
      </c>
      <c r="M3103">
        <f>VLOOKUP(H3103,'Stage Order'!$A$2:$B$8,2,FALSE)</f>
        <v/>
      </c>
      <c r="N3103">
        <f>IF(G3103&lt;=1,"1. Under 1 hour",IF(G3103&lt;=24,"2. 1-24 hours",IF(G3103&lt;=72,"3. 1-3 days","4. Over 3 days")))</f>
        <v/>
      </c>
      <c r="O3103">
        <f>TEXT(B3103,"YYYY-MM")</f>
        <v/>
      </c>
    </row>
    <row r="3104">
      <c r="A3104" t="inlineStr">
        <is>
          <t>LD-303102</t>
        </is>
      </c>
      <c r="B3104" t="inlineStr">
        <is>
          <t>2026-02-16 19:15:00</t>
        </is>
      </c>
      <c r="C3104" t="inlineStr">
        <is>
          <t>Partner Channel</t>
        </is>
      </c>
      <c r="D3104" t="inlineStr">
        <is>
          <t>Language Learning</t>
        </is>
      </c>
      <c r="E3104" t="inlineStr">
        <is>
          <t>International</t>
        </is>
      </c>
      <c r="F3104" t="inlineStr">
        <is>
          <t>Rep_10</t>
        </is>
      </c>
      <c r="G3104" t="n">
        <v>1.83</v>
      </c>
      <c r="H3104" t="inlineStr">
        <is>
          <t>Demo Completed</t>
        </is>
      </c>
      <c r="I3104" t="inlineStr">
        <is>
          <t>Lost</t>
        </is>
      </c>
      <c r="J3104" t="inlineStr">
        <is>
          <t>Price Objection</t>
        </is>
      </c>
      <c r="K3104" t="n">
        <v>354.15</v>
      </c>
      <c r="L3104" t="inlineStr">
        <is>
          <t>2026-03-21 00:05:03.291792</t>
        </is>
      </c>
      <c r="M3104">
        <f>VLOOKUP(H3104,'Stage Order'!$A$2:$B$8,2,FALSE)</f>
        <v/>
      </c>
      <c r="N3104">
        <f>IF(G3104&lt;=1,"1. Under 1 hour",IF(G3104&lt;=24,"2. 1-24 hours",IF(G3104&lt;=72,"3. 1-3 days","4. Over 3 days")))</f>
        <v/>
      </c>
      <c r="O3104">
        <f>TEXT(B3104,"YYYY-MM")</f>
        <v/>
      </c>
    </row>
    <row r="3105">
      <c r="A3105" t="inlineStr">
        <is>
          <t>LD-303103</t>
        </is>
      </c>
      <c r="B3105" t="inlineStr">
        <is>
          <t>2026-05-14 20:39:00</t>
        </is>
      </c>
      <c r="C3105" t="inlineStr">
        <is>
          <t>Referral</t>
        </is>
      </c>
      <c r="D3105" t="inlineStr">
        <is>
          <t>Coding for Kids</t>
        </is>
      </c>
      <c r="E3105" t="inlineStr">
        <is>
          <t>South Region</t>
        </is>
      </c>
      <c r="F3105" t="inlineStr">
        <is>
          <t>Rep_02</t>
        </is>
      </c>
      <c r="G3105" t="n">
        <v>4.03</v>
      </c>
      <c r="H3105" t="inlineStr">
        <is>
          <t>Closed</t>
        </is>
      </c>
      <c r="I3105" t="inlineStr">
        <is>
          <t>Won</t>
        </is>
      </c>
      <c r="K3105" t="n">
        <v>682.02</v>
      </c>
      <c r="L3105" t="inlineStr">
        <is>
          <t>2026-06-12 17:05:36.962817</t>
        </is>
      </c>
      <c r="M3105">
        <f>VLOOKUP(H3105,'Stage Order'!$A$2:$B$8,2,FALSE)</f>
        <v/>
      </c>
      <c r="N3105">
        <f>IF(G3105&lt;=1,"1. Under 1 hour",IF(G3105&lt;=24,"2. 1-24 hours",IF(G3105&lt;=72,"3. 1-3 days","4. Over 3 days")))</f>
        <v/>
      </c>
      <c r="O3105">
        <f>TEXT(B3105,"YYYY-MM")</f>
        <v/>
      </c>
    </row>
    <row r="3106">
      <c r="A3106" t="inlineStr">
        <is>
          <t>LD-303104</t>
        </is>
      </c>
      <c r="B3106" t="inlineStr">
        <is>
          <t>2025-03-14 20:17:00</t>
        </is>
      </c>
      <c r="C3106" t="inlineStr">
        <is>
          <t>Organic Search</t>
        </is>
      </c>
      <c r="D3106" t="inlineStr">
        <is>
          <t>Study Abroad Prep</t>
        </is>
      </c>
      <c r="E3106" t="inlineStr">
        <is>
          <t>West Region</t>
        </is>
      </c>
      <c r="F3106" t="inlineStr">
        <is>
          <t>Rep_13</t>
        </is>
      </c>
      <c r="G3106" t="n">
        <v>3.71</v>
      </c>
      <c r="H3106" t="inlineStr">
        <is>
          <t>Negotiation</t>
        </is>
      </c>
      <c r="I3106" t="inlineStr">
        <is>
          <t>Lost</t>
        </is>
      </c>
      <c r="J3106" t="inlineStr">
        <is>
          <t>Budget Not Approved</t>
        </is>
      </c>
      <c r="K3106" t="n">
        <v>1230.06</v>
      </c>
      <c r="L3106" t="inlineStr">
        <is>
          <t>2025-04-27 18:30:06.728332</t>
        </is>
      </c>
      <c r="M3106">
        <f>VLOOKUP(H3106,'Stage Order'!$A$2:$B$8,2,FALSE)</f>
        <v/>
      </c>
      <c r="N3106">
        <f>IF(G3106&lt;=1,"1. Under 1 hour",IF(G3106&lt;=24,"2. 1-24 hours",IF(G3106&lt;=72,"3. 1-3 days","4. Over 3 days")))</f>
        <v/>
      </c>
      <c r="O3106">
        <f>TEXT(B3106,"YYYY-MM")</f>
        <v/>
      </c>
    </row>
    <row r="3107">
      <c r="A3107" t="inlineStr">
        <is>
          <t>LD-303105</t>
        </is>
      </c>
      <c r="B3107" t="inlineStr">
        <is>
          <t>2025-03-09 17:05:00</t>
        </is>
      </c>
      <c r="C3107" t="inlineStr">
        <is>
          <t>Cold Outreach</t>
        </is>
      </c>
      <c r="D3107" t="inlineStr">
        <is>
          <t>K-12 Math</t>
        </is>
      </c>
      <c r="E3107" t="inlineStr">
        <is>
          <t>North Region</t>
        </is>
      </c>
      <c r="F3107" t="inlineStr">
        <is>
          <t>Rep_01</t>
        </is>
      </c>
      <c r="G3107" t="n">
        <v>14.17</v>
      </c>
      <c r="H3107" t="inlineStr">
        <is>
          <t>Lead</t>
        </is>
      </c>
      <c r="I3107" t="inlineStr">
        <is>
          <t>Open</t>
        </is>
      </c>
      <c r="M3107">
        <f>VLOOKUP(H3107,'Stage Order'!$A$2:$B$8,2,FALSE)</f>
        <v/>
      </c>
      <c r="N3107">
        <f>IF(G3107&lt;=1,"1. Under 1 hour",IF(G3107&lt;=24,"2. 1-24 hours",IF(G3107&lt;=72,"3. 1-3 days","4. Over 3 days")))</f>
        <v/>
      </c>
      <c r="O3107">
        <f>TEXT(B3107,"YYYY-MM")</f>
        <v/>
      </c>
    </row>
    <row r="3108">
      <c r="A3108" t="inlineStr">
        <is>
          <t>LD-303106</t>
        </is>
      </c>
      <c r="B3108" t="inlineStr">
        <is>
          <t>2026-06-01 18:51:00</t>
        </is>
      </c>
      <c r="C3108" t="inlineStr">
        <is>
          <t>Social Media</t>
        </is>
      </c>
      <c r="D3108" t="inlineStr">
        <is>
          <t>Language Learning</t>
        </is>
      </c>
      <c r="E3108" t="inlineStr">
        <is>
          <t>North Region</t>
        </is>
      </c>
      <c r="F3108" t="inlineStr">
        <is>
          <t>Rep_06</t>
        </is>
      </c>
      <c r="G3108" t="n">
        <v>1.18</v>
      </c>
      <c r="H3108" t="inlineStr">
        <is>
          <t>Lead</t>
        </is>
      </c>
      <c r="I3108" t="inlineStr">
        <is>
          <t>Open</t>
        </is>
      </c>
      <c r="M3108">
        <f>VLOOKUP(H3108,'Stage Order'!$A$2:$B$8,2,FALSE)</f>
        <v/>
      </c>
      <c r="N3108">
        <f>IF(G3108&lt;=1,"1. Under 1 hour",IF(G3108&lt;=24,"2. 1-24 hours",IF(G3108&lt;=72,"3. 1-3 days","4. Over 3 days")))</f>
        <v/>
      </c>
      <c r="O3108">
        <f>TEXT(B3108,"YYYY-MM")</f>
        <v/>
      </c>
    </row>
    <row r="3109">
      <c r="A3109" t="inlineStr">
        <is>
          <t>LD-303107</t>
        </is>
      </c>
      <c r="B3109" t="inlineStr">
        <is>
          <t>2025-08-04 11:37:00</t>
        </is>
      </c>
      <c r="C3109" t="inlineStr">
        <is>
          <t>Webinar</t>
        </is>
      </c>
      <c r="D3109" t="inlineStr">
        <is>
          <t>K-12 Math</t>
        </is>
      </c>
      <c r="E3109" t="inlineStr">
        <is>
          <t>International</t>
        </is>
      </c>
      <c r="F3109" t="inlineStr">
        <is>
          <t>Rep_05</t>
        </is>
      </c>
      <c r="G3109" t="n">
        <v>3.67</v>
      </c>
      <c r="H3109" t="inlineStr">
        <is>
          <t>Closed</t>
        </is>
      </c>
      <c r="I3109" t="inlineStr">
        <is>
          <t>Won</t>
        </is>
      </c>
      <c r="K3109" t="n">
        <v>585.78</v>
      </c>
      <c r="L3109" t="inlineStr">
        <is>
          <t>2025-09-13 15:40:41.333075</t>
        </is>
      </c>
      <c r="M3109">
        <f>VLOOKUP(H3109,'Stage Order'!$A$2:$B$8,2,FALSE)</f>
        <v/>
      </c>
      <c r="N3109">
        <f>IF(G3109&lt;=1,"1. Under 1 hour",IF(G3109&lt;=24,"2. 1-24 hours",IF(G3109&lt;=72,"3. 1-3 days","4. Over 3 days")))</f>
        <v/>
      </c>
      <c r="O3109">
        <f>TEXT(B3109,"YYYY-MM")</f>
        <v/>
      </c>
    </row>
    <row r="3110">
      <c r="A3110" t="inlineStr">
        <is>
          <t>LD-303108</t>
        </is>
      </c>
      <c r="B3110" t="inlineStr">
        <is>
          <t>2025-03-21 08:55:00</t>
        </is>
      </c>
      <c r="C3110" t="inlineStr">
        <is>
          <t>Organic Search</t>
        </is>
      </c>
      <c r="D3110" t="inlineStr">
        <is>
          <t>K-12 Math</t>
        </is>
      </c>
      <c r="E3110" t="inlineStr">
        <is>
          <t>North Region</t>
        </is>
      </c>
      <c r="F3110" t="inlineStr">
        <is>
          <t>Rep_11</t>
        </is>
      </c>
      <c r="G3110" t="n">
        <v>0.16</v>
      </c>
      <c r="H3110" t="inlineStr">
        <is>
          <t>Contacted</t>
        </is>
      </c>
      <c r="I3110" t="inlineStr">
        <is>
          <t>Open</t>
        </is>
      </c>
      <c r="M3110">
        <f>VLOOKUP(H3110,'Stage Order'!$A$2:$B$8,2,FALSE)</f>
        <v/>
      </c>
      <c r="N3110">
        <f>IF(G3110&lt;=1,"1. Under 1 hour",IF(G3110&lt;=24,"2. 1-24 hours",IF(G3110&lt;=72,"3. 1-3 days","4. Over 3 days")))</f>
        <v/>
      </c>
      <c r="O3110">
        <f>TEXT(B3110,"YYYY-MM")</f>
        <v/>
      </c>
    </row>
    <row r="3111">
      <c r="A3111" t="inlineStr">
        <is>
          <t>LD-303109</t>
        </is>
      </c>
      <c r="B3111" t="inlineStr">
        <is>
          <t>2026-01-30 07:53:00</t>
        </is>
      </c>
      <c r="C3111" t="inlineStr">
        <is>
          <t>Organic Search</t>
        </is>
      </c>
      <c r="D3111" t="inlineStr">
        <is>
          <t>Competitive Exam Prep</t>
        </is>
      </c>
      <c r="E3111" t="inlineStr">
        <is>
          <t>North Region</t>
        </is>
      </c>
      <c r="F3111" t="inlineStr">
        <is>
          <t>Rep_01</t>
        </is>
      </c>
      <c r="G3111" t="n">
        <v>1.75</v>
      </c>
      <c r="H3111" t="inlineStr">
        <is>
          <t>Closed</t>
        </is>
      </c>
      <c r="I3111" t="inlineStr">
        <is>
          <t>Won</t>
        </is>
      </c>
      <c r="K3111" t="n">
        <v>833.09</v>
      </c>
      <c r="L3111" t="inlineStr">
        <is>
          <t>2026-03-10 09:38:14.346842</t>
        </is>
      </c>
      <c r="M3111">
        <f>VLOOKUP(H3111,'Stage Order'!$A$2:$B$8,2,FALSE)</f>
        <v/>
      </c>
      <c r="N3111">
        <f>IF(G3111&lt;=1,"1. Under 1 hour",IF(G3111&lt;=24,"2. 1-24 hours",IF(G3111&lt;=72,"3. 1-3 days","4. Over 3 days")))</f>
        <v/>
      </c>
      <c r="O3111">
        <f>TEXT(B3111,"YYYY-MM")</f>
        <v/>
      </c>
    </row>
    <row r="3112">
      <c r="A3112" t="inlineStr">
        <is>
          <t>LD-303110</t>
        </is>
      </c>
      <c r="B3112" t="inlineStr">
        <is>
          <t>2025-08-24 20:25:00</t>
        </is>
      </c>
      <c r="C3112" t="inlineStr">
        <is>
          <t>Paid Search</t>
        </is>
      </c>
      <c r="D3112" t="inlineStr">
        <is>
          <t>K-12 Math</t>
        </is>
      </c>
      <c r="E3112" t="inlineStr">
        <is>
          <t>East Region</t>
        </is>
      </c>
      <c r="F3112" t="inlineStr">
        <is>
          <t>Rep_14</t>
        </is>
      </c>
      <c r="G3112" t="n">
        <v>1.56</v>
      </c>
      <c r="H3112" t="inlineStr">
        <is>
          <t>Lead</t>
        </is>
      </c>
      <c r="I3112" t="inlineStr">
        <is>
          <t>Open</t>
        </is>
      </c>
      <c r="M3112">
        <f>VLOOKUP(H3112,'Stage Order'!$A$2:$B$8,2,FALSE)</f>
        <v/>
      </c>
      <c r="N3112">
        <f>IF(G3112&lt;=1,"1. Under 1 hour",IF(G3112&lt;=24,"2. 1-24 hours",IF(G3112&lt;=72,"3. 1-3 days","4. Over 3 days")))</f>
        <v/>
      </c>
      <c r="O3112">
        <f>TEXT(B3112,"YYYY-MM")</f>
        <v/>
      </c>
    </row>
    <row r="3113">
      <c r="A3113" t="inlineStr">
        <is>
          <t>LD-303111</t>
        </is>
      </c>
      <c r="B3113" t="inlineStr">
        <is>
          <t>2025-05-02 11:44:00</t>
        </is>
      </c>
      <c r="C3113" t="inlineStr">
        <is>
          <t>Organic Search</t>
        </is>
      </c>
      <c r="D3113" t="inlineStr">
        <is>
          <t>Study Abroad Prep</t>
        </is>
      </c>
      <c r="E3113" t="inlineStr">
        <is>
          <t>North Region</t>
        </is>
      </c>
      <c r="F3113" t="inlineStr">
        <is>
          <t>Rep_01</t>
        </is>
      </c>
      <c r="G3113" t="n">
        <v>1.2</v>
      </c>
      <c r="H3113" t="inlineStr">
        <is>
          <t>Contacted</t>
        </is>
      </c>
      <c r="I3113" t="inlineStr">
        <is>
          <t>Open</t>
        </is>
      </c>
      <c r="M3113">
        <f>VLOOKUP(H3113,'Stage Order'!$A$2:$B$8,2,FALSE)</f>
        <v/>
      </c>
      <c r="N3113">
        <f>IF(G3113&lt;=1,"1. Under 1 hour",IF(G3113&lt;=24,"2. 1-24 hours",IF(G3113&lt;=72,"3. 1-3 days","4. Over 3 days")))</f>
        <v/>
      </c>
      <c r="O3113">
        <f>TEXT(B3113,"YYYY-MM")</f>
        <v/>
      </c>
    </row>
    <row r="3114">
      <c r="A3114" t="inlineStr">
        <is>
          <t>LD-303112</t>
        </is>
      </c>
      <c r="B3114" t="inlineStr">
        <is>
          <t>2025-12-10 20:53:00</t>
        </is>
      </c>
      <c r="C3114" t="inlineStr">
        <is>
          <t>Social Media</t>
        </is>
      </c>
      <c r="D3114" t="inlineStr">
        <is>
          <t>Coding for Kids</t>
        </is>
      </c>
      <c r="E3114" t="inlineStr">
        <is>
          <t>East Region</t>
        </is>
      </c>
      <c r="F3114" t="inlineStr">
        <is>
          <t>Rep_04</t>
        </is>
      </c>
      <c r="G3114" t="n">
        <v>3.87</v>
      </c>
      <c r="H3114" t="inlineStr">
        <is>
          <t>Lead</t>
        </is>
      </c>
      <c r="I3114" t="inlineStr">
        <is>
          <t>Open</t>
        </is>
      </c>
      <c r="M3114">
        <f>VLOOKUP(H3114,'Stage Order'!$A$2:$B$8,2,FALSE)</f>
        <v/>
      </c>
      <c r="N3114">
        <f>IF(G3114&lt;=1,"1. Under 1 hour",IF(G3114&lt;=24,"2. 1-24 hours",IF(G3114&lt;=72,"3. 1-3 days","4. Over 3 days")))</f>
        <v/>
      </c>
      <c r="O3114">
        <f>TEXT(B3114,"YYYY-MM")</f>
        <v/>
      </c>
    </row>
    <row r="3115">
      <c r="A3115" t="inlineStr">
        <is>
          <t>LD-303113</t>
        </is>
      </c>
      <c r="B3115" t="inlineStr">
        <is>
          <t>2025-01-29 18:12:00</t>
        </is>
      </c>
      <c r="C3115" t="inlineStr">
        <is>
          <t>Paid Search</t>
        </is>
      </c>
      <c r="D3115" t="inlineStr">
        <is>
          <t>Study Abroad Prep</t>
        </is>
      </c>
      <c r="E3115" t="inlineStr">
        <is>
          <t>West Region</t>
        </is>
      </c>
      <c r="F3115" t="inlineStr">
        <is>
          <t>Rep_08</t>
        </is>
      </c>
      <c r="G3115" t="n">
        <v>0.83</v>
      </c>
      <c r="H3115" t="inlineStr">
        <is>
          <t>Lead</t>
        </is>
      </c>
      <c r="I3115" t="inlineStr">
        <is>
          <t>Open</t>
        </is>
      </c>
      <c r="M3115">
        <f>VLOOKUP(H3115,'Stage Order'!$A$2:$B$8,2,FALSE)</f>
        <v/>
      </c>
      <c r="N3115">
        <f>IF(G3115&lt;=1,"1. Under 1 hour",IF(G3115&lt;=24,"2. 1-24 hours",IF(G3115&lt;=72,"3. 1-3 days","4. Over 3 days")))</f>
        <v/>
      </c>
      <c r="O3115">
        <f>TEXT(B3115,"YYYY-MM")</f>
        <v/>
      </c>
    </row>
    <row r="3116">
      <c r="A3116" t="inlineStr">
        <is>
          <t>LD-303114</t>
        </is>
      </c>
      <c r="B3116" t="inlineStr">
        <is>
          <t>2025-10-31 12:17:00</t>
        </is>
      </c>
      <c r="C3116" t="inlineStr">
        <is>
          <t>Referral</t>
        </is>
      </c>
      <c r="D3116" t="inlineStr">
        <is>
          <t>Study Abroad Prep</t>
        </is>
      </c>
      <c r="E3116" t="inlineStr">
        <is>
          <t>West Region</t>
        </is>
      </c>
      <c r="F3116" t="inlineStr">
        <is>
          <t>Rep_13</t>
        </is>
      </c>
      <c r="G3116" t="n">
        <v>2.43</v>
      </c>
      <c r="H3116" t="inlineStr">
        <is>
          <t>Closed</t>
        </is>
      </c>
      <c r="I3116" t="inlineStr">
        <is>
          <t>Won</t>
        </is>
      </c>
      <c r="K3116" t="n">
        <v>1236.92</v>
      </c>
      <c r="L3116" t="inlineStr">
        <is>
          <t>2025-12-02 14:17:09.291188</t>
        </is>
      </c>
      <c r="M3116">
        <f>VLOOKUP(H3116,'Stage Order'!$A$2:$B$8,2,FALSE)</f>
        <v/>
      </c>
      <c r="N3116">
        <f>IF(G3116&lt;=1,"1. Under 1 hour",IF(G3116&lt;=24,"2. 1-24 hours",IF(G3116&lt;=72,"3. 1-3 days","4. Over 3 days")))</f>
        <v/>
      </c>
      <c r="O3116">
        <f>TEXT(B3116,"YYYY-MM")</f>
        <v/>
      </c>
    </row>
    <row r="3117">
      <c r="A3117" t="inlineStr">
        <is>
          <t>LD-303115</t>
        </is>
      </c>
      <c r="B3117" t="inlineStr">
        <is>
          <t>2026-03-05 20:44:00</t>
        </is>
      </c>
      <c r="C3117" t="inlineStr">
        <is>
          <t>Referral</t>
        </is>
      </c>
      <c r="D3117" t="inlineStr">
        <is>
          <t>K-12 Math</t>
        </is>
      </c>
      <c r="E3117" t="inlineStr">
        <is>
          <t>South Region</t>
        </is>
      </c>
      <c r="F3117" t="inlineStr">
        <is>
          <t>Rep_07</t>
        </is>
      </c>
      <c r="G3117" t="n">
        <v>2.36</v>
      </c>
      <c r="H3117" t="inlineStr">
        <is>
          <t>Contacted</t>
        </is>
      </c>
      <c r="I3117" t="inlineStr">
        <is>
          <t>Open</t>
        </is>
      </c>
      <c r="M3117">
        <f>VLOOKUP(H3117,'Stage Order'!$A$2:$B$8,2,FALSE)</f>
        <v/>
      </c>
      <c r="N3117">
        <f>IF(G3117&lt;=1,"1. Under 1 hour",IF(G3117&lt;=24,"2. 1-24 hours",IF(G3117&lt;=72,"3. 1-3 days","4. Over 3 days")))</f>
        <v/>
      </c>
      <c r="O3117">
        <f>TEXT(B3117,"YYYY-MM")</f>
        <v/>
      </c>
    </row>
    <row r="3118">
      <c r="A3118" t="inlineStr">
        <is>
          <t>LD-303116</t>
        </is>
      </c>
      <c r="B3118" t="inlineStr">
        <is>
          <t>2025-07-25 08:37:00</t>
        </is>
      </c>
      <c r="C3118" t="inlineStr">
        <is>
          <t>Organic Search</t>
        </is>
      </c>
      <c r="D3118" t="inlineStr">
        <is>
          <t>Competitive Exam Prep</t>
        </is>
      </c>
      <c r="E3118" t="inlineStr">
        <is>
          <t>East Region</t>
        </is>
      </c>
      <c r="F3118" t="inlineStr">
        <is>
          <t>Rep_04</t>
        </is>
      </c>
      <c r="G3118" t="n">
        <v>4.96</v>
      </c>
      <c r="H3118" t="inlineStr">
        <is>
          <t>Contacted</t>
        </is>
      </c>
      <c r="I3118" t="inlineStr">
        <is>
          <t>Open</t>
        </is>
      </c>
      <c r="M3118">
        <f>VLOOKUP(H3118,'Stage Order'!$A$2:$B$8,2,FALSE)</f>
        <v/>
      </c>
      <c r="N3118">
        <f>IF(G3118&lt;=1,"1. Under 1 hour",IF(G3118&lt;=24,"2. 1-24 hours",IF(G3118&lt;=72,"3. 1-3 days","4. Over 3 days")))</f>
        <v/>
      </c>
      <c r="O3118">
        <f>TEXT(B3118,"YYYY-MM")</f>
        <v/>
      </c>
    </row>
    <row r="3119">
      <c r="A3119" t="inlineStr">
        <is>
          <t>LD-303117</t>
        </is>
      </c>
      <c r="B3119" t="inlineStr">
        <is>
          <t>2025-05-24 09:10:00</t>
        </is>
      </c>
      <c r="C3119" t="inlineStr">
        <is>
          <t>Paid Search</t>
        </is>
      </c>
      <c r="D3119" t="inlineStr">
        <is>
          <t>Coding for Kids</t>
        </is>
      </c>
      <c r="E3119" t="inlineStr">
        <is>
          <t>East Region</t>
        </is>
      </c>
      <c r="F3119" t="inlineStr">
        <is>
          <t>Rep_04</t>
        </is>
      </c>
      <c r="G3119" t="n">
        <v>4.3</v>
      </c>
      <c r="H3119" t="inlineStr">
        <is>
          <t>Negotiation</t>
        </is>
      </c>
      <c r="I3119" t="inlineStr">
        <is>
          <t>Lost</t>
        </is>
      </c>
      <c r="J3119" t="inlineStr">
        <is>
          <t>Bad Timing</t>
        </is>
      </c>
      <c r="K3119" t="n">
        <v>562.8200000000001</v>
      </c>
      <c r="L3119" t="inlineStr">
        <is>
          <t>2025-07-09 00:06:04.855576</t>
        </is>
      </c>
      <c r="M3119">
        <f>VLOOKUP(H3119,'Stage Order'!$A$2:$B$8,2,FALSE)</f>
        <v/>
      </c>
      <c r="N3119">
        <f>IF(G3119&lt;=1,"1. Under 1 hour",IF(G3119&lt;=24,"2. 1-24 hours",IF(G3119&lt;=72,"3. 1-3 days","4. Over 3 days")))</f>
        <v/>
      </c>
      <c r="O3119">
        <f>TEXT(B3119,"YYYY-MM")</f>
        <v/>
      </c>
    </row>
    <row r="3120">
      <c r="A3120" t="inlineStr">
        <is>
          <t>LD-303118</t>
        </is>
      </c>
      <c r="B3120" t="inlineStr">
        <is>
          <t>2025-11-12 20:25:00</t>
        </is>
      </c>
      <c r="C3120" t="inlineStr">
        <is>
          <t>Social Media</t>
        </is>
      </c>
      <c r="D3120" t="inlineStr">
        <is>
          <t>Study Abroad Prep</t>
        </is>
      </c>
      <c r="E3120" t="inlineStr">
        <is>
          <t>North Region</t>
        </is>
      </c>
      <c r="F3120" t="inlineStr">
        <is>
          <t>Rep_01</t>
        </is>
      </c>
      <c r="G3120" t="n">
        <v>3.33</v>
      </c>
      <c r="H3120" t="inlineStr">
        <is>
          <t>Contacted</t>
        </is>
      </c>
      <c r="I3120" t="inlineStr">
        <is>
          <t>Open</t>
        </is>
      </c>
      <c r="M3120">
        <f>VLOOKUP(H3120,'Stage Order'!$A$2:$B$8,2,FALSE)</f>
        <v/>
      </c>
      <c r="N3120">
        <f>IF(G3120&lt;=1,"1. Under 1 hour",IF(G3120&lt;=24,"2. 1-24 hours",IF(G3120&lt;=72,"3. 1-3 days","4. Over 3 days")))</f>
        <v/>
      </c>
      <c r="O3120">
        <f>TEXT(B3120,"YYYY-MM")</f>
        <v/>
      </c>
    </row>
    <row r="3121">
      <c r="A3121" t="inlineStr">
        <is>
          <t>LD-303119</t>
        </is>
      </c>
      <c r="B3121" t="inlineStr">
        <is>
          <t>2026-04-25 10:08:00</t>
        </is>
      </c>
      <c r="C3121" t="inlineStr">
        <is>
          <t>Webinar</t>
        </is>
      </c>
      <c r="D3121" t="inlineStr">
        <is>
          <t>Competitive Exam Prep</t>
        </is>
      </c>
      <c r="E3121" t="inlineStr">
        <is>
          <t>East Region</t>
        </is>
      </c>
      <c r="F3121" t="inlineStr">
        <is>
          <t>Rep_09</t>
        </is>
      </c>
      <c r="G3121" t="n">
        <v>6.27</v>
      </c>
      <c r="H3121" t="inlineStr">
        <is>
          <t>Closed</t>
        </is>
      </c>
      <c r="I3121" t="inlineStr">
        <is>
          <t>Won</t>
        </is>
      </c>
      <c r="K3121" t="n">
        <v>1185.78</v>
      </c>
      <c r="L3121" t="inlineStr">
        <is>
          <t>2026-05-22 09:12:42.550232</t>
        </is>
      </c>
      <c r="M3121">
        <f>VLOOKUP(H3121,'Stage Order'!$A$2:$B$8,2,FALSE)</f>
        <v/>
      </c>
      <c r="N3121">
        <f>IF(G3121&lt;=1,"1. Under 1 hour",IF(G3121&lt;=24,"2. 1-24 hours",IF(G3121&lt;=72,"3. 1-3 days","4. Over 3 days")))</f>
        <v/>
      </c>
      <c r="O3121">
        <f>TEXT(B3121,"YYYY-MM")</f>
        <v/>
      </c>
    </row>
    <row r="3122">
      <c r="A3122" t="inlineStr">
        <is>
          <t>LD-303120</t>
        </is>
      </c>
      <c r="B3122" t="inlineStr">
        <is>
          <t>2026-02-04 18:56:00</t>
        </is>
      </c>
      <c r="C3122" t="inlineStr">
        <is>
          <t>Organic Search</t>
        </is>
      </c>
      <c r="D3122" t="inlineStr">
        <is>
          <t>K-12 Math</t>
        </is>
      </c>
      <c r="E3122" t="inlineStr">
        <is>
          <t>International</t>
        </is>
      </c>
      <c r="F3122" t="inlineStr">
        <is>
          <t>Rep_15</t>
        </is>
      </c>
      <c r="G3122" t="n">
        <v>1.36</v>
      </c>
      <c r="H3122" t="inlineStr">
        <is>
          <t>Lead</t>
        </is>
      </c>
      <c r="I3122" t="inlineStr">
        <is>
          <t>Open</t>
        </is>
      </c>
      <c r="M3122">
        <f>VLOOKUP(H3122,'Stage Order'!$A$2:$B$8,2,FALSE)</f>
        <v/>
      </c>
      <c r="N3122">
        <f>IF(G3122&lt;=1,"1. Under 1 hour",IF(G3122&lt;=24,"2. 1-24 hours",IF(G3122&lt;=72,"3. 1-3 days","4. Over 3 days")))</f>
        <v/>
      </c>
      <c r="O3122">
        <f>TEXT(B3122,"YYYY-MM")</f>
        <v/>
      </c>
    </row>
    <row r="3123">
      <c r="A3123" t="inlineStr">
        <is>
          <t>LD-303121</t>
        </is>
      </c>
      <c r="B3123" t="inlineStr">
        <is>
          <t>2025-03-18 08:53:00</t>
        </is>
      </c>
      <c r="C3123" t="inlineStr">
        <is>
          <t>Referral</t>
        </is>
      </c>
      <c r="D3123" t="inlineStr">
        <is>
          <t>K-12 Math</t>
        </is>
      </c>
      <c r="E3123" t="inlineStr">
        <is>
          <t>North Region</t>
        </is>
      </c>
      <c r="F3123" t="inlineStr">
        <is>
          <t>Rep_01</t>
        </is>
      </c>
      <c r="G3123" t="n">
        <v>4.17</v>
      </c>
      <c r="H3123" t="inlineStr">
        <is>
          <t>Closed</t>
        </is>
      </c>
      <c r="I3123" t="inlineStr">
        <is>
          <t>Won</t>
        </is>
      </c>
      <c r="K3123" t="n">
        <v>474.99</v>
      </c>
      <c r="L3123" t="inlineStr">
        <is>
          <t>2025-04-23 15:21:14.399110</t>
        </is>
      </c>
      <c r="M3123">
        <f>VLOOKUP(H3123,'Stage Order'!$A$2:$B$8,2,FALSE)</f>
        <v/>
      </c>
      <c r="N3123">
        <f>IF(G3123&lt;=1,"1. Under 1 hour",IF(G3123&lt;=24,"2. 1-24 hours",IF(G3123&lt;=72,"3. 1-3 days","4. Over 3 days")))</f>
        <v/>
      </c>
      <c r="O3123">
        <f>TEXT(B3123,"YYYY-MM")</f>
        <v/>
      </c>
    </row>
    <row r="3124">
      <c r="A3124" t="inlineStr">
        <is>
          <t>LD-303122</t>
        </is>
      </c>
      <c r="B3124" t="inlineStr">
        <is>
          <t>2025-09-12 18:08:00</t>
        </is>
      </c>
      <c r="C3124" t="inlineStr">
        <is>
          <t>Organic Search</t>
        </is>
      </c>
      <c r="D3124" t="inlineStr">
        <is>
          <t>Study Abroad Prep</t>
        </is>
      </c>
      <c r="E3124" t="inlineStr">
        <is>
          <t>West Region</t>
        </is>
      </c>
      <c r="F3124" t="inlineStr">
        <is>
          <t>Rep_08</t>
        </is>
      </c>
      <c r="G3124" t="n">
        <v>0.67</v>
      </c>
      <c r="H3124" t="inlineStr">
        <is>
          <t>Closed</t>
        </is>
      </c>
      <c r="I3124" t="inlineStr">
        <is>
          <t>Won</t>
        </is>
      </c>
      <c r="K3124" t="n">
        <v>1361.69</v>
      </c>
      <c r="L3124" t="inlineStr">
        <is>
          <t>2025-10-11 00:56:21.076418</t>
        </is>
      </c>
      <c r="M3124">
        <f>VLOOKUP(H3124,'Stage Order'!$A$2:$B$8,2,FALSE)</f>
        <v/>
      </c>
      <c r="N3124">
        <f>IF(G3124&lt;=1,"1. Under 1 hour",IF(G3124&lt;=24,"2. 1-24 hours",IF(G3124&lt;=72,"3. 1-3 days","4. Over 3 days")))</f>
        <v/>
      </c>
      <c r="O3124">
        <f>TEXT(B3124,"YYYY-MM")</f>
        <v/>
      </c>
    </row>
    <row r="3125">
      <c r="A3125" t="inlineStr">
        <is>
          <t>LD-303123</t>
        </is>
      </c>
      <c r="B3125" t="inlineStr">
        <is>
          <t>2025-11-11 07:08:00</t>
        </is>
      </c>
      <c r="C3125" t="inlineStr">
        <is>
          <t>Paid Search</t>
        </is>
      </c>
      <c r="D3125" t="inlineStr">
        <is>
          <t>Language Learning</t>
        </is>
      </c>
      <c r="E3125" t="inlineStr">
        <is>
          <t>South Region</t>
        </is>
      </c>
      <c r="F3125" t="inlineStr">
        <is>
          <t>Rep_12</t>
        </is>
      </c>
      <c r="G3125" t="n">
        <v>0.67</v>
      </c>
      <c r="H3125" t="inlineStr">
        <is>
          <t>Contacted</t>
        </is>
      </c>
      <c r="I3125" t="inlineStr">
        <is>
          <t>Open</t>
        </is>
      </c>
      <c r="M3125">
        <f>VLOOKUP(H3125,'Stage Order'!$A$2:$B$8,2,FALSE)</f>
        <v/>
      </c>
      <c r="N3125">
        <f>IF(G3125&lt;=1,"1. Under 1 hour",IF(G3125&lt;=24,"2. 1-24 hours",IF(G3125&lt;=72,"3. 1-3 days","4. Over 3 days")))</f>
        <v/>
      </c>
      <c r="O3125">
        <f>TEXT(B3125,"YYYY-MM")</f>
        <v/>
      </c>
    </row>
    <row r="3126">
      <c r="A3126" t="inlineStr">
        <is>
          <t>LD-303124</t>
        </is>
      </c>
      <c r="B3126" t="inlineStr">
        <is>
          <t>2025-11-23 17:28:00</t>
        </is>
      </c>
      <c r="C3126" t="inlineStr">
        <is>
          <t>Organic Search</t>
        </is>
      </c>
      <c r="D3126" t="inlineStr">
        <is>
          <t>Language Learning</t>
        </is>
      </c>
      <c r="E3126" t="inlineStr">
        <is>
          <t>East Region</t>
        </is>
      </c>
      <c r="F3126" t="inlineStr">
        <is>
          <t>Rep_09</t>
        </is>
      </c>
      <c r="G3126" t="n">
        <v>5.13</v>
      </c>
      <c r="H3126" t="inlineStr">
        <is>
          <t>Demo Completed</t>
        </is>
      </c>
      <c r="I3126" t="inlineStr">
        <is>
          <t>Lost</t>
        </is>
      </c>
      <c r="J3126" t="inlineStr">
        <is>
          <t>Bad Timing</t>
        </is>
      </c>
      <c r="K3126" t="n">
        <v>307.51</v>
      </c>
      <c r="L3126" t="inlineStr">
        <is>
          <t>2025-12-27 22:33:17.323210</t>
        </is>
      </c>
      <c r="M3126">
        <f>VLOOKUP(H3126,'Stage Order'!$A$2:$B$8,2,FALSE)</f>
        <v/>
      </c>
      <c r="N3126">
        <f>IF(G3126&lt;=1,"1. Under 1 hour",IF(G3126&lt;=24,"2. 1-24 hours",IF(G3126&lt;=72,"3. 1-3 days","4. Over 3 days")))</f>
        <v/>
      </c>
      <c r="O3126">
        <f>TEXT(B3126,"YYYY-MM")</f>
        <v/>
      </c>
    </row>
    <row r="3127">
      <c r="A3127" t="inlineStr">
        <is>
          <t>LD-303125</t>
        </is>
      </c>
      <c r="B3127" t="inlineStr">
        <is>
          <t>2025-01-22 18:01:00</t>
        </is>
      </c>
      <c r="C3127" t="inlineStr">
        <is>
          <t>Social Media</t>
        </is>
      </c>
      <c r="D3127" t="inlineStr">
        <is>
          <t>Language Learning</t>
        </is>
      </c>
      <c r="E3127" t="inlineStr">
        <is>
          <t>South Region</t>
        </is>
      </c>
      <c r="F3127" t="inlineStr">
        <is>
          <t>Rep_02</t>
        </is>
      </c>
      <c r="G3127" t="n">
        <v>3.18</v>
      </c>
      <c r="H3127" t="inlineStr">
        <is>
          <t>Negotiation</t>
        </is>
      </c>
      <c r="I3127" t="inlineStr">
        <is>
          <t>Lost</t>
        </is>
      </c>
      <c r="J3127" t="inlineStr">
        <is>
          <t>Bad Timing</t>
        </is>
      </c>
      <c r="K3127" t="n">
        <v>327.21</v>
      </c>
      <c r="L3127" t="inlineStr">
        <is>
          <t>2025-03-09 02:02:52.547880</t>
        </is>
      </c>
      <c r="M3127">
        <f>VLOOKUP(H3127,'Stage Order'!$A$2:$B$8,2,FALSE)</f>
        <v/>
      </c>
      <c r="N3127">
        <f>IF(G3127&lt;=1,"1. Under 1 hour",IF(G3127&lt;=24,"2. 1-24 hours",IF(G3127&lt;=72,"3. 1-3 days","4. Over 3 days")))</f>
        <v/>
      </c>
      <c r="O3127">
        <f>TEXT(B3127,"YYYY-MM")</f>
        <v/>
      </c>
    </row>
    <row r="3128">
      <c r="A3128" t="inlineStr">
        <is>
          <t>LD-303126</t>
        </is>
      </c>
      <c r="B3128" t="inlineStr">
        <is>
          <t>2025-06-20 11:43:00</t>
        </is>
      </c>
      <c r="C3128" t="inlineStr">
        <is>
          <t>Organic Search</t>
        </is>
      </c>
      <c r="D3128" t="inlineStr">
        <is>
          <t>Language Learning</t>
        </is>
      </c>
      <c r="E3128" t="inlineStr">
        <is>
          <t>South Region</t>
        </is>
      </c>
      <c r="F3128" t="inlineStr">
        <is>
          <t>Rep_07</t>
        </is>
      </c>
      <c r="G3128" t="n">
        <v>1.26</v>
      </c>
      <c r="H3128" t="inlineStr">
        <is>
          <t>Contacted</t>
        </is>
      </c>
      <c r="I3128" t="inlineStr">
        <is>
          <t>Open</t>
        </is>
      </c>
      <c r="M3128">
        <f>VLOOKUP(H3128,'Stage Order'!$A$2:$B$8,2,FALSE)</f>
        <v/>
      </c>
      <c r="N3128">
        <f>IF(G3128&lt;=1,"1. Under 1 hour",IF(G3128&lt;=24,"2. 1-24 hours",IF(G3128&lt;=72,"3. 1-3 days","4. Over 3 days")))</f>
        <v/>
      </c>
      <c r="O3128">
        <f>TEXT(B3128,"YYYY-MM")</f>
        <v/>
      </c>
    </row>
    <row r="3129">
      <c r="A3129" t="inlineStr">
        <is>
          <t>LD-303127</t>
        </is>
      </c>
      <c r="B3129" t="inlineStr">
        <is>
          <t>2025-12-03 13:01:00</t>
        </is>
      </c>
      <c r="C3129" t="inlineStr">
        <is>
          <t>Referral</t>
        </is>
      </c>
      <c r="D3129" t="inlineStr">
        <is>
          <t>Coding for Kids</t>
        </is>
      </c>
      <c r="E3129" t="inlineStr">
        <is>
          <t>South Region</t>
        </is>
      </c>
      <c r="F3129" t="inlineStr">
        <is>
          <t>Rep_07</t>
        </is>
      </c>
      <c r="G3129" t="n">
        <v>4.1</v>
      </c>
      <c r="H3129" t="inlineStr">
        <is>
          <t>Contacted</t>
        </is>
      </c>
      <c r="I3129" t="inlineStr">
        <is>
          <t>Open</t>
        </is>
      </c>
      <c r="M3129">
        <f>VLOOKUP(H3129,'Stage Order'!$A$2:$B$8,2,FALSE)</f>
        <v/>
      </c>
      <c r="N3129">
        <f>IF(G3129&lt;=1,"1. Under 1 hour",IF(G3129&lt;=24,"2. 1-24 hours",IF(G3129&lt;=72,"3. 1-3 days","4. Over 3 days")))</f>
        <v/>
      </c>
      <c r="O3129">
        <f>TEXT(B3129,"YYYY-MM")</f>
        <v/>
      </c>
    </row>
    <row r="3130">
      <c r="A3130" t="inlineStr">
        <is>
          <t>LD-303128</t>
        </is>
      </c>
      <c r="B3130" t="inlineStr">
        <is>
          <t>2025-05-02 16:14:00</t>
        </is>
      </c>
      <c r="C3130" t="inlineStr">
        <is>
          <t>Referral</t>
        </is>
      </c>
      <c r="D3130" t="inlineStr">
        <is>
          <t>K-12 Math</t>
        </is>
      </c>
      <c r="E3130" t="inlineStr">
        <is>
          <t>North Region</t>
        </is>
      </c>
      <c r="F3130" t="inlineStr">
        <is>
          <t>Rep_06</t>
        </is>
      </c>
      <c r="G3130" t="n">
        <v>4.08</v>
      </c>
      <c r="H3130" t="inlineStr">
        <is>
          <t>Closed</t>
        </is>
      </c>
      <c r="I3130" t="inlineStr">
        <is>
          <t>Won</t>
        </is>
      </c>
      <c r="K3130" t="n">
        <v>559.95</v>
      </c>
      <c r="L3130" t="inlineStr">
        <is>
          <t>2025-06-06 12:05:13.655089</t>
        </is>
      </c>
      <c r="M3130">
        <f>VLOOKUP(H3130,'Stage Order'!$A$2:$B$8,2,FALSE)</f>
        <v/>
      </c>
      <c r="N3130">
        <f>IF(G3130&lt;=1,"1. Under 1 hour",IF(G3130&lt;=24,"2. 1-24 hours",IF(G3130&lt;=72,"3. 1-3 days","4. Over 3 days")))</f>
        <v/>
      </c>
      <c r="O3130">
        <f>TEXT(B3130,"YYYY-MM")</f>
        <v/>
      </c>
    </row>
    <row r="3131">
      <c r="A3131" t="inlineStr">
        <is>
          <t>LD-303129</t>
        </is>
      </c>
      <c r="B3131" t="inlineStr">
        <is>
          <t>2025-04-15 17:13:00</t>
        </is>
      </c>
      <c r="C3131" t="inlineStr">
        <is>
          <t>Paid Search</t>
        </is>
      </c>
      <c r="D3131" t="inlineStr">
        <is>
          <t>Coding for Kids</t>
        </is>
      </c>
      <c r="E3131" t="inlineStr">
        <is>
          <t>North Region</t>
        </is>
      </c>
      <c r="F3131" t="inlineStr">
        <is>
          <t>Rep_06</t>
        </is>
      </c>
      <c r="G3131" t="n">
        <v>2.28</v>
      </c>
      <c r="H3131" t="inlineStr">
        <is>
          <t>Contacted</t>
        </is>
      </c>
      <c r="I3131" t="inlineStr">
        <is>
          <t>Open</t>
        </is>
      </c>
      <c r="M3131">
        <f>VLOOKUP(H3131,'Stage Order'!$A$2:$B$8,2,FALSE)</f>
        <v/>
      </c>
      <c r="N3131">
        <f>IF(G3131&lt;=1,"1. Under 1 hour",IF(G3131&lt;=24,"2. 1-24 hours",IF(G3131&lt;=72,"3. 1-3 days","4. Over 3 days")))</f>
        <v/>
      </c>
      <c r="O3131">
        <f>TEXT(B3131,"YYYY-MM")</f>
        <v/>
      </c>
    </row>
    <row r="3132">
      <c r="A3132" t="inlineStr">
        <is>
          <t>LD-303130</t>
        </is>
      </c>
      <c r="B3132" t="inlineStr">
        <is>
          <t>2026-04-02 15:55:00</t>
        </is>
      </c>
      <c r="C3132" t="inlineStr">
        <is>
          <t>Paid Search</t>
        </is>
      </c>
      <c r="D3132" t="inlineStr">
        <is>
          <t>Study Abroad Prep</t>
        </is>
      </c>
      <c r="E3132" t="inlineStr">
        <is>
          <t>West Region</t>
        </is>
      </c>
      <c r="F3132" t="inlineStr">
        <is>
          <t>Rep_13</t>
        </is>
      </c>
      <c r="G3132" t="n">
        <v>3.37</v>
      </c>
      <c r="H3132" t="inlineStr">
        <is>
          <t>Closed</t>
        </is>
      </c>
      <c r="I3132" t="inlineStr">
        <is>
          <t>Won</t>
        </is>
      </c>
      <c r="K3132" t="n">
        <v>1428.93</v>
      </c>
      <c r="L3132" t="inlineStr">
        <is>
          <t>2026-05-08 12:24:52.938823</t>
        </is>
      </c>
      <c r="M3132">
        <f>VLOOKUP(H3132,'Stage Order'!$A$2:$B$8,2,FALSE)</f>
        <v/>
      </c>
      <c r="N3132">
        <f>IF(G3132&lt;=1,"1. Under 1 hour",IF(G3132&lt;=24,"2. 1-24 hours",IF(G3132&lt;=72,"3. 1-3 days","4. Over 3 days")))</f>
        <v/>
      </c>
      <c r="O3132">
        <f>TEXT(B3132,"YYYY-MM")</f>
        <v/>
      </c>
    </row>
    <row r="3133">
      <c r="A3133" t="inlineStr">
        <is>
          <t>LD-303131</t>
        </is>
      </c>
      <c r="B3133" t="inlineStr">
        <is>
          <t>2025-04-07 19:12:00</t>
        </is>
      </c>
      <c r="C3133" t="inlineStr">
        <is>
          <t>Social Media</t>
        </is>
      </c>
      <c r="D3133" t="inlineStr">
        <is>
          <t>K-12 Math</t>
        </is>
      </c>
      <c r="E3133" t="inlineStr">
        <is>
          <t>East Region</t>
        </is>
      </c>
      <c r="F3133" t="inlineStr">
        <is>
          <t>Rep_14</t>
        </is>
      </c>
      <c r="G3133" t="n">
        <v>2.27</v>
      </c>
      <c r="H3133" t="inlineStr">
        <is>
          <t>Lead</t>
        </is>
      </c>
      <c r="I3133" t="inlineStr">
        <is>
          <t>Open</t>
        </is>
      </c>
      <c r="M3133">
        <f>VLOOKUP(H3133,'Stage Order'!$A$2:$B$8,2,FALSE)</f>
        <v/>
      </c>
      <c r="N3133">
        <f>IF(G3133&lt;=1,"1. Under 1 hour",IF(G3133&lt;=24,"2. 1-24 hours",IF(G3133&lt;=72,"3. 1-3 days","4. Over 3 days")))</f>
        <v/>
      </c>
      <c r="O3133">
        <f>TEXT(B3133,"YYYY-MM")</f>
        <v/>
      </c>
    </row>
    <row r="3134">
      <c r="A3134" t="inlineStr">
        <is>
          <t>LD-303132</t>
        </is>
      </c>
      <c r="B3134" t="inlineStr">
        <is>
          <t>2025-09-03 10:45:00</t>
        </is>
      </c>
      <c r="C3134" t="inlineStr">
        <is>
          <t>Referral</t>
        </is>
      </c>
      <c r="D3134" t="inlineStr">
        <is>
          <t>K-12 Math</t>
        </is>
      </c>
      <c r="E3134" t="inlineStr">
        <is>
          <t>North Region</t>
        </is>
      </c>
      <c r="F3134" t="inlineStr">
        <is>
          <t>Rep_06</t>
        </is>
      </c>
      <c r="G3134" t="n">
        <v>4.33</v>
      </c>
      <c r="H3134" t="inlineStr">
        <is>
          <t>Contacted</t>
        </is>
      </c>
      <c r="I3134" t="inlineStr">
        <is>
          <t>Open</t>
        </is>
      </c>
      <c r="M3134">
        <f>VLOOKUP(H3134,'Stage Order'!$A$2:$B$8,2,FALSE)</f>
        <v/>
      </c>
      <c r="N3134">
        <f>IF(G3134&lt;=1,"1. Under 1 hour",IF(G3134&lt;=24,"2. 1-24 hours",IF(G3134&lt;=72,"3. 1-3 days","4. Over 3 days")))</f>
        <v/>
      </c>
      <c r="O3134">
        <f>TEXT(B3134,"YYYY-MM")</f>
        <v/>
      </c>
    </row>
    <row r="3135">
      <c r="A3135" t="inlineStr">
        <is>
          <t>LD-303133</t>
        </is>
      </c>
      <c r="B3135" t="inlineStr">
        <is>
          <t>2025-12-05 10:32:00</t>
        </is>
      </c>
      <c r="C3135" t="inlineStr">
        <is>
          <t>Cold Outreach</t>
        </is>
      </c>
      <c r="D3135" t="inlineStr">
        <is>
          <t>Coding for Kids</t>
        </is>
      </c>
      <c r="E3135" t="inlineStr">
        <is>
          <t>South Region</t>
        </is>
      </c>
      <c r="F3135" t="inlineStr">
        <is>
          <t>Rep_07</t>
        </is>
      </c>
      <c r="G3135" t="n">
        <v>3.72</v>
      </c>
      <c r="H3135" t="inlineStr">
        <is>
          <t>Lead</t>
        </is>
      </c>
      <c r="I3135" t="inlineStr">
        <is>
          <t>Open</t>
        </is>
      </c>
      <c r="M3135">
        <f>VLOOKUP(H3135,'Stage Order'!$A$2:$B$8,2,FALSE)</f>
        <v/>
      </c>
      <c r="N3135">
        <f>IF(G3135&lt;=1,"1. Under 1 hour",IF(G3135&lt;=24,"2. 1-24 hours",IF(G3135&lt;=72,"3. 1-3 days","4. Over 3 days")))</f>
        <v/>
      </c>
      <c r="O3135">
        <f>TEXT(B3135,"YYYY-MM")</f>
        <v/>
      </c>
    </row>
    <row r="3136">
      <c r="A3136" t="inlineStr">
        <is>
          <t>LD-303134</t>
        </is>
      </c>
      <c r="B3136" t="inlineStr">
        <is>
          <t>2025-12-29 14:35:00</t>
        </is>
      </c>
      <c r="C3136" t="inlineStr">
        <is>
          <t>Paid Search</t>
        </is>
      </c>
      <c r="D3136" t="inlineStr">
        <is>
          <t>Study Abroad Prep</t>
        </is>
      </c>
      <c r="E3136" t="inlineStr">
        <is>
          <t>International</t>
        </is>
      </c>
      <c r="F3136" t="inlineStr">
        <is>
          <t>Rep_10</t>
        </is>
      </c>
      <c r="G3136" t="n">
        <v>2.52</v>
      </c>
      <c r="H3136" t="inlineStr">
        <is>
          <t>Contacted</t>
        </is>
      </c>
      <c r="I3136" t="inlineStr">
        <is>
          <t>Open</t>
        </is>
      </c>
      <c r="M3136">
        <f>VLOOKUP(H3136,'Stage Order'!$A$2:$B$8,2,FALSE)</f>
        <v/>
      </c>
      <c r="N3136">
        <f>IF(G3136&lt;=1,"1. Under 1 hour",IF(G3136&lt;=24,"2. 1-24 hours",IF(G3136&lt;=72,"3. 1-3 days","4. Over 3 days")))</f>
        <v/>
      </c>
      <c r="O3136">
        <f>TEXT(B3136,"YYYY-MM")</f>
        <v/>
      </c>
    </row>
    <row r="3137">
      <c r="A3137" t="inlineStr">
        <is>
          <t>LD-303135</t>
        </is>
      </c>
      <c r="B3137" t="inlineStr">
        <is>
          <t>2025-05-18 09:53:00</t>
        </is>
      </c>
      <c r="C3137" t="inlineStr">
        <is>
          <t>Paid Search</t>
        </is>
      </c>
      <c r="D3137" t="inlineStr">
        <is>
          <t>K-12 Math</t>
        </is>
      </c>
      <c r="E3137" t="inlineStr">
        <is>
          <t>South Region</t>
        </is>
      </c>
      <c r="F3137" t="inlineStr">
        <is>
          <t>Rep_12</t>
        </is>
      </c>
      <c r="G3137" t="n">
        <v>2.05</v>
      </c>
      <c r="H3137" t="inlineStr">
        <is>
          <t>Lead</t>
        </is>
      </c>
      <c r="I3137" t="inlineStr">
        <is>
          <t>Open</t>
        </is>
      </c>
      <c r="M3137">
        <f>VLOOKUP(H3137,'Stage Order'!$A$2:$B$8,2,FALSE)</f>
        <v/>
      </c>
      <c r="N3137">
        <f>IF(G3137&lt;=1,"1. Under 1 hour",IF(G3137&lt;=24,"2. 1-24 hours",IF(G3137&lt;=72,"3. 1-3 days","4. Over 3 days")))</f>
        <v/>
      </c>
      <c r="O3137">
        <f>TEXT(B3137,"YYYY-MM")</f>
        <v/>
      </c>
    </row>
    <row r="3138">
      <c r="A3138" t="inlineStr">
        <is>
          <t>LD-303136</t>
        </is>
      </c>
      <c r="B3138" t="inlineStr">
        <is>
          <t>2026-04-30 13:39:00</t>
        </is>
      </c>
      <c r="C3138" t="inlineStr">
        <is>
          <t>Organic Search</t>
        </is>
      </c>
      <c r="D3138" t="inlineStr">
        <is>
          <t>K-12 Math</t>
        </is>
      </c>
      <c r="E3138" t="inlineStr">
        <is>
          <t>International</t>
        </is>
      </c>
      <c r="F3138" t="inlineStr">
        <is>
          <t>Rep_15</t>
        </is>
      </c>
      <c r="G3138" t="n">
        <v>1.66</v>
      </c>
      <c r="H3138" t="inlineStr">
        <is>
          <t>Contacted</t>
        </is>
      </c>
      <c r="I3138" t="inlineStr">
        <is>
          <t>Open</t>
        </is>
      </c>
      <c r="M3138">
        <f>VLOOKUP(H3138,'Stage Order'!$A$2:$B$8,2,FALSE)</f>
        <v/>
      </c>
      <c r="N3138">
        <f>IF(G3138&lt;=1,"1. Under 1 hour",IF(G3138&lt;=24,"2. 1-24 hours",IF(G3138&lt;=72,"3. 1-3 days","4. Over 3 days")))</f>
        <v/>
      </c>
      <c r="O3138">
        <f>TEXT(B3138,"YYYY-MM")</f>
        <v/>
      </c>
    </row>
    <row r="3139">
      <c r="A3139" t="inlineStr">
        <is>
          <t>LD-303137</t>
        </is>
      </c>
      <c r="B3139" t="inlineStr">
        <is>
          <t>2025-07-02 17:10:00</t>
        </is>
      </c>
      <c r="C3139" t="inlineStr">
        <is>
          <t>Paid Search</t>
        </is>
      </c>
      <c r="D3139" t="inlineStr">
        <is>
          <t>Competitive Exam Prep</t>
        </is>
      </c>
      <c r="E3139" t="inlineStr">
        <is>
          <t>North Region</t>
        </is>
      </c>
      <c r="F3139" t="inlineStr">
        <is>
          <t>Rep_06</t>
        </is>
      </c>
      <c r="G3139" t="n">
        <v>1.94</v>
      </c>
      <c r="H3139" t="inlineStr">
        <is>
          <t>Contacted</t>
        </is>
      </c>
      <c r="I3139" t="inlineStr">
        <is>
          <t>Open</t>
        </is>
      </c>
      <c r="M3139">
        <f>VLOOKUP(H3139,'Stage Order'!$A$2:$B$8,2,FALSE)</f>
        <v/>
      </c>
      <c r="N3139">
        <f>IF(G3139&lt;=1,"1. Under 1 hour",IF(G3139&lt;=24,"2. 1-24 hours",IF(G3139&lt;=72,"3. 1-3 days","4. Over 3 days")))</f>
        <v/>
      </c>
      <c r="O3139">
        <f>TEXT(B3139,"YYYY-MM")</f>
        <v/>
      </c>
    </row>
    <row r="3140">
      <c r="A3140" t="inlineStr">
        <is>
          <t>LD-303138</t>
        </is>
      </c>
      <c r="B3140" t="inlineStr">
        <is>
          <t>2025-12-06 12:20:00</t>
        </is>
      </c>
      <c r="C3140" t="inlineStr">
        <is>
          <t>Referral</t>
        </is>
      </c>
      <c r="D3140" t="inlineStr">
        <is>
          <t>Study Abroad Prep</t>
        </is>
      </c>
      <c r="E3140" t="inlineStr">
        <is>
          <t>South Region</t>
        </is>
      </c>
      <c r="F3140" t="inlineStr">
        <is>
          <t>Rep_02</t>
        </is>
      </c>
      <c r="G3140" t="n">
        <v>1.55</v>
      </c>
      <c r="H3140" t="inlineStr">
        <is>
          <t>Closed</t>
        </is>
      </c>
      <c r="I3140" t="inlineStr">
        <is>
          <t>Won</t>
        </is>
      </c>
      <c r="K3140" t="n">
        <v>1407.39</v>
      </c>
      <c r="L3140" t="inlineStr">
        <is>
          <t>2026-02-02 18:16:32.975506</t>
        </is>
      </c>
      <c r="M3140">
        <f>VLOOKUP(H3140,'Stage Order'!$A$2:$B$8,2,FALSE)</f>
        <v/>
      </c>
      <c r="N3140">
        <f>IF(G3140&lt;=1,"1. Under 1 hour",IF(G3140&lt;=24,"2. 1-24 hours",IF(G3140&lt;=72,"3. 1-3 days","4. Over 3 days")))</f>
        <v/>
      </c>
      <c r="O3140">
        <f>TEXT(B3140,"YYYY-MM")</f>
        <v/>
      </c>
    </row>
    <row r="3141">
      <c r="A3141" t="inlineStr">
        <is>
          <t>LD-303139</t>
        </is>
      </c>
      <c r="B3141" t="inlineStr">
        <is>
          <t>2025-04-17 19:12:00</t>
        </is>
      </c>
      <c r="C3141" t="inlineStr">
        <is>
          <t>Organic Search</t>
        </is>
      </c>
      <c r="D3141" t="inlineStr">
        <is>
          <t>K-12 Math</t>
        </is>
      </c>
      <c r="E3141" t="inlineStr">
        <is>
          <t>North Region</t>
        </is>
      </c>
      <c r="F3141" t="inlineStr">
        <is>
          <t>Rep_11</t>
        </is>
      </c>
      <c r="G3141" t="n">
        <v>3.08</v>
      </c>
      <c r="H3141" t="inlineStr">
        <is>
          <t>Contacted</t>
        </is>
      </c>
      <c r="I3141" t="inlineStr">
        <is>
          <t>Open</t>
        </is>
      </c>
      <c r="M3141">
        <f>VLOOKUP(H3141,'Stage Order'!$A$2:$B$8,2,FALSE)</f>
        <v/>
      </c>
      <c r="N3141">
        <f>IF(G3141&lt;=1,"1. Under 1 hour",IF(G3141&lt;=24,"2. 1-24 hours",IF(G3141&lt;=72,"3. 1-3 days","4. Over 3 days")))</f>
        <v/>
      </c>
      <c r="O3141">
        <f>TEXT(B3141,"YYYY-MM")</f>
        <v/>
      </c>
    </row>
    <row r="3142">
      <c r="A3142" t="inlineStr">
        <is>
          <t>LD-303140</t>
        </is>
      </c>
      <c r="B3142" t="inlineStr">
        <is>
          <t>2025-03-08 11:57:00</t>
        </is>
      </c>
      <c r="C3142" t="inlineStr">
        <is>
          <t>Webinar</t>
        </is>
      </c>
      <c r="D3142" t="inlineStr">
        <is>
          <t>K-12 Math</t>
        </is>
      </c>
      <c r="E3142" t="inlineStr">
        <is>
          <t>East Region</t>
        </is>
      </c>
      <c r="F3142" t="inlineStr">
        <is>
          <t>Rep_14</t>
        </is>
      </c>
      <c r="G3142" t="n">
        <v>2.07</v>
      </c>
      <c r="H3142" t="inlineStr">
        <is>
          <t>Contacted</t>
        </is>
      </c>
      <c r="I3142" t="inlineStr">
        <is>
          <t>Open</t>
        </is>
      </c>
      <c r="M3142">
        <f>VLOOKUP(H3142,'Stage Order'!$A$2:$B$8,2,FALSE)</f>
        <v/>
      </c>
      <c r="N3142">
        <f>IF(G3142&lt;=1,"1. Under 1 hour",IF(G3142&lt;=24,"2. 1-24 hours",IF(G3142&lt;=72,"3. 1-3 days","4. Over 3 days")))</f>
        <v/>
      </c>
      <c r="O3142">
        <f>TEXT(B3142,"YYYY-MM")</f>
        <v/>
      </c>
    </row>
    <row r="3143">
      <c r="A3143" t="inlineStr">
        <is>
          <t>LD-303141</t>
        </is>
      </c>
      <c r="B3143" t="inlineStr">
        <is>
          <t>2025-01-12 15:58:00</t>
        </is>
      </c>
      <c r="C3143" t="inlineStr">
        <is>
          <t>Organic Search</t>
        </is>
      </c>
      <c r="D3143" t="inlineStr">
        <is>
          <t>Competitive Exam Prep</t>
        </is>
      </c>
      <c r="E3143" t="inlineStr">
        <is>
          <t>South Region</t>
        </is>
      </c>
      <c r="F3143" t="inlineStr">
        <is>
          <t>Rep_02</t>
        </is>
      </c>
      <c r="G3143" t="n">
        <v>2.05</v>
      </c>
      <c r="H3143" t="inlineStr">
        <is>
          <t>Contacted</t>
        </is>
      </c>
      <c r="I3143" t="inlineStr">
        <is>
          <t>Open</t>
        </is>
      </c>
      <c r="M3143">
        <f>VLOOKUP(H3143,'Stage Order'!$A$2:$B$8,2,FALSE)</f>
        <v/>
      </c>
      <c r="N3143">
        <f>IF(G3143&lt;=1,"1. Under 1 hour",IF(G3143&lt;=24,"2. 1-24 hours",IF(G3143&lt;=72,"3. 1-3 days","4. Over 3 days")))</f>
        <v/>
      </c>
      <c r="O3143">
        <f>TEXT(B3143,"YYYY-MM")</f>
        <v/>
      </c>
    </row>
    <row r="3144">
      <c r="A3144" t="inlineStr">
        <is>
          <t>LD-303142</t>
        </is>
      </c>
      <c r="B3144" t="inlineStr">
        <is>
          <t>2025-04-09 18:01:00</t>
        </is>
      </c>
      <c r="C3144" t="inlineStr">
        <is>
          <t>Organic Search</t>
        </is>
      </c>
      <c r="D3144" t="inlineStr">
        <is>
          <t>K-12 Math</t>
        </is>
      </c>
      <c r="E3144" t="inlineStr">
        <is>
          <t>East Region</t>
        </is>
      </c>
      <c r="F3144" t="inlineStr">
        <is>
          <t>Rep_04</t>
        </is>
      </c>
      <c r="G3144" t="n">
        <v>1.24</v>
      </c>
      <c r="H3144" t="inlineStr">
        <is>
          <t>Lead</t>
        </is>
      </c>
      <c r="I3144" t="inlineStr">
        <is>
          <t>Open</t>
        </is>
      </c>
      <c r="M3144">
        <f>VLOOKUP(H3144,'Stage Order'!$A$2:$B$8,2,FALSE)</f>
        <v/>
      </c>
      <c r="N3144">
        <f>IF(G3144&lt;=1,"1. Under 1 hour",IF(G3144&lt;=24,"2. 1-24 hours",IF(G3144&lt;=72,"3. 1-3 days","4. Over 3 days")))</f>
        <v/>
      </c>
      <c r="O3144">
        <f>TEXT(B3144,"YYYY-MM")</f>
        <v/>
      </c>
    </row>
    <row r="3145">
      <c r="A3145" t="inlineStr">
        <is>
          <t>LD-303143</t>
        </is>
      </c>
      <c r="B3145" t="inlineStr">
        <is>
          <t>2026-05-05 17:05:00</t>
        </is>
      </c>
      <c r="C3145" t="inlineStr">
        <is>
          <t>Social Media</t>
        </is>
      </c>
      <c r="D3145" t="inlineStr">
        <is>
          <t>Competitive Exam Prep</t>
        </is>
      </c>
      <c r="E3145" t="inlineStr">
        <is>
          <t>West Region</t>
        </is>
      </c>
      <c r="F3145" t="inlineStr">
        <is>
          <t>Rep_13</t>
        </is>
      </c>
      <c r="G3145" t="n">
        <v>10.87</v>
      </c>
      <c r="H3145" t="inlineStr">
        <is>
          <t>Contacted</t>
        </is>
      </c>
      <c r="I3145" t="inlineStr">
        <is>
          <t>Open</t>
        </is>
      </c>
      <c r="M3145">
        <f>VLOOKUP(H3145,'Stage Order'!$A$2:$B$8,2,FALSE)</f>
        <v/>
      </c>
      <c r="N3145">
        <f>IF(G3145&lt;=1,"1. Under 1 hour",IF(G3145&lt;=24,"2. 1-24 hours",IF(G3145&lt;=72,"3. 1-3 days","4. Over 3 days")))</f>
        <v/>
      </c>
      <c r="O3145">
        <f>TEXT(B3145,"YYYY-MM")</f>
        <v/>
      </c>
    </row>
    <row r="3146">
      <c r="A3146" t="inlineStr">
        <is>
          <t>LD-303144</t>
        </is>
      </c>
      <c r="B3146" t="inlineStr">
        <is>
          <t>2025-02-07 11:24:00</t>
        </is>
      </c>
      <c r="C3146" t="inlineStr">
        <is>
          <t>Referral</t>
        </is>
      </c>
      <c r="D3146" t="inlineStr">
        <is>
          <t>Study Abroad Prep</t>
        </is>
      </c>
      <c r="E3146" t="inlineStr">
        <is>
          <t>West Region</t>
        </is>
      </c>
      <c r="F3146" t="inlineStr">
        <is>
          <t>Rep_13</t>
        </is>
      </c>
      <c r="G3146" t="n">
        <v>3.58</v>
      </c>
      <c r="H3146" t="inlineStr">
        <is>
          <t>Contacted</t>
        </is>
      </c>
      <c r="I3146" t="inlineStr">
        <is>
          <t>Open</t>
        </is>
      </c>
      <c r="M3146">
        <f>VLOOKUP(H3146,'Stage Order'!$A$2:$B$8,2,FALSE)</f>
        <v/>
      </c>
      <c r="N3146">
        <f>IF(G3146&lt;=1,"1. Under 1 hour",IF(G3146&lt;=24,"2. 1-24 hours",IF(G3146&lt;=72,"3. 1-3 days","4. Over 3 days")))</f>
        <v/>
      </c>
      <c r="O3146">
        <f>TEXT(B3146,"YYYY-MM")</f>
        <v/>
      </c>
    </row>
    <row r="3147">
      <c r="A3147" t="inlineStr">
        <is>
          <t>LD-303145</t>
        </is>
      </c>
      <c r="B3147" t="inlineStr">
        <is>
          <t>2025-11-22 08:21:00</t>
        </is>
      </c>
      <c r="C3147" t="inlineStr">
        <is>
          <t>Social Media</t>
        </is>
      </c>
      <c r="D3147" t="inlineStr">
        <is>
          <t>Competitive Exam Prep</t>
        </is>
      </c>
      <c r="E3147" t="inlineStr">
        <is>
          <t>South Region</t>
        </is>
      </c>
      <c r="F3147" t="inlineStr">
        <is>
          <t>Rep_07</t>
        </is>
      </c>
      <c r="G3147" t="n">
        <v>0.73</v>
      </c>
      <c r="H3147" t="inlineStr">
        <is>
          <t>Lead</t>
        </is>
      </c>
      <c r="I3147" t="inlineStr">
        <is>
          <t>Open</t>
        </is>
      </c>
      <c r="M3147">
        <f>VLOOKUP(H3147,'Stage Order'!$A$2:$B$8,2,FALSE)</f>
        <v/>
      </c>
      <c r="N3147">
        <f>IF(G3147&lt;=1,"1. Under 1 hour",IF(G3147&lt;=24,"2. 1-24 hours",IF(G3147&lt;=72,"3. 1-3 days","4. Over 3 days")))</f>
        <v/>
      </c>
      <c r="O3147">
        <f>TEXT(B3147,"YYYY-MM")</f>
        <v/>
      </c>
    </row>
    <row r="3148">
      <c r="A3148" t="inlineStr">
        <is>
          <t>LD-303146</t>
        </is>
      </c>
      <c r="B3148" t="inlineStr">
        <is>
          <t>2026-04-27 16:12:00</t>
        </is>
      </c>
      <c r="C3148" t="inlineStr">
        <is>
          <t>Cold Outreach</t>
        </is>
      </c>
      <c r="D3148" t="inlineStr">
        <is>
          <t>Study Abroad Prep</t>
        </is>
      </c>
      <c r="E3148" t="inlineStr">
        <is>
          <t>International</t>
        </is>
      </c>
      <c r="F3148" t="inlineStr">
        <is>
          <t>Rep_15</t>
        </is>
      </c>
      <c r="G3148" t="n">
        <v>3.22</v>
      </c>
      <c r="H3148" t="inlineStr">
        <is>
          <t>Contacted</t>
        </is>
      </c>
      <c r="I3148" t="inlineStr">
        <is>
          <t>Open</t>
        </is>
      </c>
      <c r="M3148">
        <f>VLOOKUP(H3148,'Stage Order'!$A$2:$B$8,2,FALSE)</f>
        <v/>
      </c>
      <c r="N3148">
        <f>IF(G3148&lt;=1,"1. Under 1 hour",IF(G3148&lt;=24,"2. 1-24 hours",IF(G3148&lt;=72,"3. 1-3 days","4. Over 3 days")))</f>
        <v/>
      </c>
      <c r="O3148">
        <f>TEXT(B3148,"YYYY-MM")</f>
        <v/>
      </c>
    </row>
    <row r="3149">
      <c r="A3149" t="inlineStr">
        <is>
          <t>LD-303147</t>
        </is>
      </c>
      <c r="B3149" t="inlineStr">
        <is>
          <t>2026-01-22 19:53:00</t>
        </is>
      </c>
      <c r="C3149" t="inlineStr">
        <is>
          <t>Organic Search</t>
        </is>
      </c>
      <c r="D3149" t="inlineStr">
        <is>
          <t>Coding for Kids</t>
        </is>
      </c>
      <c r="E3149" t="inlineStr">
        <is>
          <t>North Region</t>
        </is>
      </c>
      <c r="F3149" t="inlineStr">
        <is>
          <t>Rep_11</t>
        </is>
      </c>
      <c r="G3149" t="n">
        <v>0.8100000000000001</v>
      </c>
      <c r="H3149" t="inlineStr">
        <is>
          <t>Closed</t>
        </is>
      </c>
      <c r="I3149" t="inlineStr">
        <is>
          <t>Won</t>
        </is>
      </c>
      <c r="K3149" t="n">
        <v>566.09</v>
      </c>
      <c r="L3149" t="inlineStr">
        <is>
          <t>2026-02-19 04:05:33.217420</t>
        </is>
      </c>
      <c r="M3149">
        <f>VLOOKUP(H3149,'Stage Order'!$A$2:$B$8,2,FALSE)</f>
        <v/>
      </c>
      <c r="N3149">
        <f>IF(G3149&lt;=1,"1. Under 1 hour",IF(G3149&lt;=24,"2. 1-24 hours",IF(G3149&lt;=72,"3. 1-3 days","4. Over 3 days")))</f>
        <v/>
      </c>
      <c r="O3149">
        <f>TEXT(B3149,"YYYY-MM")</f>
        <v/>
      </c>
    </row>
    <row r="3150">
      <c r="A3150" t="inlineStr">
        <is>
          <t>LD-303148</t>
        </is>
      </c>
      <c r="B3150" t="inlineStr">
        <is>
          <t>2025-02-21 08:54:00</t>
        </is>
      </c>
      <c r="C3150" t="inlineStr">
        <is>
          <t>Referral</t>
        </is>
      </c>
      <c r="D3150" t="inlineStr">
        <is>
          <t>Competitive Exam Prep</t>
        </is>
      </c>
      <c r="E3150" t="inlineStr">
        <is>
          <t>West Region</t>
        </is>
      </c>
      <c r="F3150" t="inlineStr">
        <is>
          <t>Rep_03</t>
        </is>
      </c>
      <c r="G3150" t="n">
        <v>2.39</v>
      </c>
      <c r="H3150" t="inlineStr">
        <is>
          <t>Closed</t>
        </is>
      </c>
      <c r="I3150" t="inlineStr">
        <is>
          <t>Won</t>
        </is>
      </c>
      <c r="K3150" t="n">
        <v>857.98</v>
      </c>
      <c r="L3150" t="inlineStr">
        <is>
          <t>2025-04-09 04:20:26.746842</t>
        </is>
      </c>
      <c r="M3150">
        <f>VLOOKUP(H3150,'Stage Order'!$A$2:$B$8,2,FALSE)</f>
        <v/>
      </c>
      <c r="N3150">
        <f>IF(G3150&lt;=1,"1. Under 1 hour",IF(G3150&lt;=24,"2. 1-24 hours",IF(G3150&lt;=72,"3. 1-3 days","4. Over 3 days")))</f>
        <v/>
      </c>
      <c r="O3150">
        <f>TEXT(B3150,"YYYY-MM")</f>
        <v/>
      </c>
    </row>
    <row r="3151">
      <c r="A3151" t="inlineStr">
        <is>
          <t>LD-303149</t>
        </is>
      </c>
      <c r="B3151" t="inlineStr">
        <is>
          <t>2025-04-02 10:12:00</t>
        </is>
      </c>
      <c r="C3151" t="inlineStr">
        <is>
          <t>Paid Search</t>
        </is>
      </c>
      <c r="D3151" t="inlineStr">
        <is>
          <t>Competitive Exam Prep</t>
        </is>
      </c>
      <c r="E3151" t="inlineStr">
        <is>
          <t>North Region</t>
        </is>
      </c>
      <c r="F3151" t="inlineStr">
        <is>
          <t>Rep_11</t>
        </is>
      </c>
      <c r="G3151" t="n">
        <v>7.16</v>
      </c>
      <c r="H3151" t="inlineStr">
        <is>
          <t>Contacted</t>
        </is>
      </c>
      <c r="I3151" t="inlineStr">
        <is>
          <t>Open</t>
        </is>
      </c>
      <c r="M3151">
        <f>VLOOKUP(H3151,'Stage Order'!$A$2:$B$8,2,FALSE)</f>
        <v/>
      </c>
      <c r="N3151">
        <f>IF(G3151&lt;=1,"1. Under 1 hour",IF(G3151&lt;=24,"2. 1-24 hours",IF(G3151&lt;=72,"3. 1-3 days","4. Over 3 days")))</f>
        <v/>
      </c>
      <c r="O3151">
        <f>TEXT(B3151,"YYYY-MM")</f>
        <v/>
      </c>
    </row>
    <row r="3152">
      <c r="A3152" t="inlineStr">
        <is>
          <t>LD-303150</t>
        </is>
      </c>
      <c r="B3152" t="inlineStr">
        <is>
          <t>2025-09-22 16:57:00</t>
        </is>
      </c>
      <c r="C3152" t="inlineStr">
        <is>
          <t>Referral</t>
        </is>
      </c>
      <c r="D3152" t="inlineStr">
        <is>
          <t>Coding for Kids</t>
        </is>
      </c>
      <c r="E3152" t="inlineStr">
        <is>
          <t>South Region</t>
        </is>
      </c>
      <c r="F3152" t="inlineStr">
        <is>
          <t>Rep_02</t>
        </is>
      </c>
      <c r="G3152" t="n">
        <v>1.06</v>
      </c>
      <c r="H3152" t="inlineStr">
        <is>
          <t>Lead</t>
        </is>
      </c>
      <c r="I3152" t="inlineStr">
        <is>
          <t>Open</t>
        </is>
      </c>
      <c r="M3152">
        <f>VLOOKUP(H3152,'Stage Order'!$A$2:$B$8,2,FALSE)</f>
        <v/>
      </c>
      <c r="N3152">
        <f>IF(G3152&lt;=1,"1. Under 1 hour",IF(G3152&lt;=24,"2. 1-24 hours",IF(G3152&lt;=72,"3. 1-3 days","4. Over 3 days")))</f>
        <v/>
      </c>
      <c r="O3152">
        <f>TEXT(B3152,"YYYY-MM")</f>
        <v/>
      </c>
    </row>
    <row r="3153">
      <c r="A3153" t="inlineStr">
        <is>
          <t>LD-303151</t>
        </is>
      </c>
      <c r="B3153" t="inlineStr">
        <is>
          <t>2025-09-23 10:41:00</t>
        </is>
      </c>
      <c r="C3153" t="inlineStr">
        <is>
          <t>Organic Search</t>
        </is>
      </c>
      <c r="D3153" t="inlineStr">
        <is>
          <t>K-12 Math</t>
        </is>
      </c>
      <c r="E3153" t="inlineStr">
        <is>
          <t>South Region</t>
        </is>
      </c>
      <c r="F3153" t="inlineStr">
        <is>
          <t>Rep_07</t>
        </is>
      </c>
      <c r="G3153" t="n">
        <v>1.97</v>
      </c>
      <c r="H3153" t="inlineStr">
        <is>
          <t>Contacted</t>
        </is>
      </c>
      <c r="I3153" t="inlineStr">
        <is>
          <t>Open</t>
        </is>
      </c>
      <c r="M3153">
        <f>VLOOKUP(H3153,'Stage Order'!$A$2:$B$8,2,FALSE)</f>
        <v/>
      </c>
      <c r="N3153">
        <f>IF(G3153&lt;=1,"1. Under 1 hour",IF(G3153&lt;=24,"2. 1-24 hours",IF(G3153&lt;=72,"3. 1-3 days","4. Over 3 days")))</f>
        <v/>
      </c>
      <c r="O3153">
        <f>TEXT(B3153,"YYYY-MM")</f>
        <v/>
      </c>
    </row>
    <row r="3154">
      <c r="A3154" t="inlineStr">
        <is>
          <t>LD-303152</t>
        </is>
      </c>
      <c r="B3154" t="inlineStr">
        <is>
          <t>2025-12-24 17:53:00</t>
        </is>
      </c>
      <c r="C3154" t="inlineStr">
        <is>
          <t>Social Media</t>
        </is>
      </c>
      <c r="D3154" t="inlineStr">
        <is>
          <t>Language Learning</t>
        </is>
      </c>
      <c r="E3154" t="inlineStr">
        <is>
          <t>North Region</t>
        </is>
      </c>
      <c r="F3154" t="inlineStr">
        <is>
          <t>Rep_01</t>
        </is>
      </c>
      <c r="G3154" t="n">
        <v>4.33</v>
      </c>
      <c r="H3154" t="inlineStr">
        <is>
          <t>Negotiation</t>
        </is>
      </c>
      <c r="I3154" t="inlineStr">
        <is>
          <t>Lost</t>
        </is>
      </c>
      <c r="J3154" t="inlineStr">
        <is>
          <t>Price Objection</t>
        </is>
      </c>
      <c r="K3154" t="n">
        <v>385.41</v>
      </c>
      <c r="L3154" t="inlineStr">
        <is>
          <t>2026-01-28 23:41:45.655366</t>
        </is>
      </c>
      <c r="M3154">
        <f>VLOOKUP(H3154,'Stage Order'!$A$2:$B$8,2,FALSE)</f>
        <v/>
      </c>
      <c r="N3154">
        <f>IF(G3154&lt;=1,"1. Under 1 hour",IF(G3154&lt;=24,"2. 1-24 hours",IF(G3154&lt;=72,"3. 1-3 days","4. Over 3 days")))</f>
        <v/>
      </c>
      <c r="O3154">
        <f>TEXT(B3154,"YYYY-MM")</f>
        <v/>
      </c>
    </row>
    <row r="3155">
      <c r="A3155" t="inlineStr">
        <is>
          <t>LD-303153</t>
        </is>
      </c>
      <c r="B3155" t="inlineStr">
        <is>
          <t>2026-06-05 09:32:00</t>
        </is>
      </c>
      <c r="C3155" t="inlineStr">
        <is>
          <t>Organic Search</t>
        </is>
      </c>
      <c r="D3155" t="inlineStr">
        <is>
          <t>Coding for Kids</t>
        </is>
      </c>
      <c r="E3155" t="inlineStr">
        <is>
          <t>West Region</t>
        </is>
      </c>
      <c r="F3155" t="inlineStr">
        <is>
          <t>Rep_03</t>
        </is>
      </c>
      <c r="G3155" t="n">
        <v>1.48</v>
      </c>
      <c r="H3155" t="inlineStr">
        <is>
          <t>Demo Completed</t>
        </is>
      </c>
      <c r="I3155" t="inlineStr">
        <is>
          <t>Lost</t>
        </is>
      </c>
      <c r="J3155" t="inlineStr">
        <is>
          <t>No Response / Ghosted</t>
        </is>
      </c>
      <c r="K3155" t="n">
        <v>565.92</v>
      </c>
      <c r="L3155" t="inlineStr">
        <is>
          <t>2026-07-12 14:17:33.379528</t>
        </is>
      </c>
      <c r="M3155">
        <f>VLOOKUP(H3155,'Stage Order'!$A$2:$B$8,2,FALSE)</f>
        <v/>
      </c>
      <c r="N3155">
        <f>IF(G3155&lt;=1,"1. Under 1 hour",IF(G3155&lt;=24,"2. 1-24 hours",IF(G3155&lt;=72,"3. 1-3 days","4. Over 3 days")))</f>
        <v/>
      </c>
      <c r="O3155">
        <f>TEXT(B3155,"YYYY-MM")</f>
        <v/>
      </c>
    </row>
    <row r="3156">
      <c r="A3156" t="inlineStr">
        <is>
          <t>LD-303154</t>
        </is>
      </c>
      <c r="B3156" t="inlineStr">
        <is>
          <t>2025-05-16 16:16:00</t>
        </is>
      </c>
      <c r="C3156" t="inlineStr">
        <is>
          <t>Organic Search</t>
        </is>
      </c>
      <c r="D3156" t="inlineStr">
        <is>
          <t>K-12 Math</t>
        </is>
      </c>
      <c r="E3156" t="inlineStr">
        <is>
          <t>West Region</t>
        </is>
      </c>
      <c r="F3156" t="inlineStr">
        <is>
          <t>Rep_13</t>
        </is>
      </c>
      <c r="G3156" t="n">
        <v>0.7</v>
      </c>
      <c r="H3156" t="inlineStr">
        <is>
          <t>Contacted</t>
        </is>
      </c>
      <c r="I3156" t="inlineStr">
        <is>
          <t>Open</t>
        </is>
      </c>
      <c r="M3156">
        <f>VLOOKUP(H3156,'Stage Order'!$A$2:$B$8,2,FALSE)</f>
        <v/>
      </c>
      <c r="N3156">
        <f>IF(G3156&lt;=1,"1. Under 1 hour",IF(G3156&lt;=24,"2. 1-24 hours",IF(G3156&lt;=72,"3. 1-3 days","4. Over 3 days")))</f>
        <v/>
      </c>
      <c r="O3156">
        <f>TEXT(B3156,"YYYY-MM")</f>
        <v/>
      </c>
    </row>
    <row r="3157">
      <c r="A3157" t="inlineStr">
        <is>
          <t>LD-303155</t>
        </is>
      </c>
      <c r="B3157" t="inlineStr">
        <is>
          <t>2026-03-26 16:33:00</t>
        </is>
      </c>
      <c r="C3157" t="inlineStr">
        <is>
          <t>Social Media</t>
        </is>
      </c>
      <c r="D3157" t="inlineStr">
        <is>
          <t>K-12 Math</t>
        </is>
      </c>
      <c r="E3157" t="inlineStr">
        <is>
          <t>West Region</t>
        </is>
      </c>
      <c r="F3157" t="inlineStr">
        <is>
          <t>Rep_08</t>
        </is>
      </c>
      <c r="G3157" t="n">
        <v>1.13</v>
      </c>
      <c r="H3157" t="inlineStr">
        <is>
          <t>Contacted</t>
        </is>
      </c>
      <c r="I3157" t="inlineStr">
        <is>
          <t>Open</t>
        </is>
      </c>
      <c r="M3157">
        <f>VLOOKUP(H3157,'Stage Order'!$A$2:$B$8,2,FALSE)</f>
        <v/>
      </c>
      <c r="N3157">
        <f>IF(G3157&lt;=1,"1. Under 1 hour",IF(G3157&lt;=24,"2. 1-24 hours",IF(G3157&lt;=72,"3. 1-3 days","4. Over 3 days")))</f>
        <v/>
      </c>
      <c r="O3157">
        <f>TEXT(B3157,"YYYY-MM")</f>
        <v/>
      </c>
    </row>
    <row r="3158">
      <c r="A3158" t="inlineStr">
        <is>
          <t>LD-303156</t>
        </is>
      </c>
      <c r="B3158" t="inlineStr">
        <is>
          <t>2026-03-09 15:42:00</t>
        </is>
      </c>
      <c r="C3158" t="inlineStr">
        <is>
          <t>Organic Search</t>
        </is>
      </c>
      <c r="D3158" t="inlineStr">
        <is>
          <t>Coding for Kids</t>
        </is>
      </c>
      <c r="E3158" t="inlineStr">
        <is>
          <t>West Region</t>
        </is>
      </c>
      <c r="F3158" t="inlineStr">
        <is>
          <t>Rep_13</t>
        </is>
      </c>
      <c r="G3158" t="n">
        <v>7</v>
      </c>
      <c r="H3158" t="inlineStr">
        <is>
          <t>Contacted</t>
        </is>
      </c>
      <c r="I3158" t="inlineStr">
        <is>
          <t>Open</t>
        </is>
      </c>
      <c r="M3158">
        <f>VLOOKUP(H3158,'Stage Order'!$A$2:$B$8,2,FALSE)</f>
        <v/>
      </c>
      <c r="N3158">
        <f>IF(G3158&lt;=1,"1. Under 1 hour",IF(G3158&lt;=24,"2. 1-24 hours",IF(G3158&lt;=72,"3. 1-3 days","4. Over 3 days")))</f>
        <v/>
      </c>
      <c r="O3158">
        <f>TEXT(B3158,"YYYY-MM")</f>
        <v/>
      </c>
    </row>
    <row r="3159">
      <c r="A3159" t="inlineStr">
        <is>
          <t>LD-303157</t>
        </is>
      </c>
      <c r="B3159" t="inlineStr">
        <is>
          <t>2025-11-11 09:42:00</t>
        </is>
      </c>
      <c r="C3159" t="inlineStr">
        <is>
          <t>Paid Search</t>
        </is>
      </c>
      <c r="D3159" t="inlineStr">
        <is>
          <t>Competitive Exam Prep</t>
        </is>
      </c>
      <c r="E3159" t="inlineStr">
        <is>
          <t>South Region</t>
        </is>
      </c>
      <c r="F3159" t="inlineStr">
        <is>
          <t>Rep_12</t>
        </is>
      </c>
      <c r="G3159" t="n">
        <v>18.43</v>
      </c>
      <c r="H3159" t="inlineStr">
        <is>
          <t>Contacted</t>
        </is>
      </c>
      <c r="I3159" t="inlineStr">
        <is>
          <t>Open</t>
        </is>
      </c>
      <c r="M3159">
        <f>VLOOKUP(H3159,'Stage Order'!$A$2:$B$8,2,FALSE)</f>
        <v/>
      </c>
      <c r="N3159">
        <f>IF(G3159&lt;=1,"1. Under 1 hour",IF(G3159&lt;=24,"2. 1-24 hours",IF(G3159&lt;=72,"3. 1-3 days","4. Over 3 days")))</f>
        <v/>
      </c>
      <c r="O3159">
        <f>TEXT(B3159,"YYYY-MM")</f>
        <v/>
      </c>
    </row>
    <row r="3160">
      <c r="A3160" t="inlineStr">
        <is>
          <t>LD-303158</t>
        </is>
      </c>
      <c r="B3160" t="inlineStr">
        <is>
          <t>2025-11-20 18:09:00</t>
        </is>
      </c>
      <c r="C3160" t="inlineStr">
        <is>
          <t>Social Media</t>
        </is>
      </c>
      <c r="D3160" t="inlineStr">
        <is>
          <t>Coding for Kids</t>
        </is>
      </c>
      <c r="E3160" t="inlineStr">
        <is>
          <t>West Region</t>
        </is>
      </c>
      <c r="F3160" t="inlineStr">
        <is>
          <t>Rep_08</t>
        </is>
      </c>
      <c r="G3160" t="n">
        <v>2.38</v>
      </c>
      <c r="H3160" t="inlineStr">
        <is>
          <t>Closed</t>
        </is>
      </c>
      <c r="I3160" t="inlineStr">
        <is>
          <t>Won</t>
        </is>
      </c>
      <c r="K3160" t="n">
        <v>648.0700000000001</v>
      </c>
      <c r="L3160" t="inlineStr">
        <is>
          <t>2026-01-03 10:03:22.990707</t>
        </is>
      </c>
      <c r="M3160">
        <f>VLOOKUP(H3160,'Stage Order'!$A$2:$B$8,2,FALSE)</f>
        <v/>
      </c>
      <c r="N3160">
        <f>IF(G3160&lt;=1,"1. Under 1 hour",IF(G3160&lt;=24,"2. 1-24 hours",IF(G3160&lt;=72,"3. 1-3 days","4. Over 3 days")))</f>
        <v/>
      </c>
      <c r="O3160">
        <f>TEXT(B3160,"YYYY-MM")</f>
        <v/>
      </c>
    </row>
    <row r="3161">
      <c r="A3161" t="inlineStr">
        <is>
          <t>LD-303159</t>
        </is>
      </c>
      <c r="B3161" t="inlineStr">
        <is>
          <t>2025-02-22 19:25:00</t>
        </is>
      </c>
      <c r="C3161" t="inlineStr">
        <is>
          <t>Paid Search</t>
        </is>
      </c>
      <c r="D3161" t="inlineStr">
        <is>
          <t>Coding for Kids</t>
        </is>
      </c>
      <c r="E3161" t="inlineStr">
        <is>
          <t>East Region</t>
        </is>
      </c>
      <c r="F3161" t="inlineStr">
        <is>
          <t>Rep_09</t>
        </is>
      </c>
      <c r="G3161" t="n">
        <v>2.71</v>
      </c>
      <c r="H3161" t="inlineStr">
        <is>
          <t>Lead</t>
        </is>
      </c>
      <c r="I3161" t="inlineStr">
        <is>
          <t>Open</t>
        </is>
      </c>
      <c r="M3161">
        <f>VLOOKUP(H3161,'Stage Order'!$A$2:$B$8,2,FALSE)</f>
        <v/>
      </c>
      <c r="N3161">
        <f>IF(G3161&lt;=1,"1. Under 1 hour",IF(G3161&lt;=24,"2. 1-24 hours",IF(G3161&lt;=72,"3. 1-3 days","4. Over 3 days")))</f>
        <v/>
      </c>
      <c r="O3161">
        <f>TEXT(B3161,"YYYY-MM")</f>
        <v/>
      </c>
    </row>
    <row r="3162">
      <c r="A3162" t="inlineStr">
        <is>
          <t>LD-303160</t>
        </is>
      </c>
      <c r="B3162" t="inlineStr">
        <is>
          <t>2026-05-04 18:36:00</t>
        </is>
      </c>
      <c r="C3162" t="inlineStr">
        <is>
          <t>Social Media</t>
        </is>
      </c>
      <c r="D3162" t="inlineStr">
        <is>
          <t>K-12 Math</t>
        </is>
      </c>
      <c r="E3162" t="inlineStr">
        <is>
          <t>East Region</t>
        </is>
      </c>
      <c r="F3162" t="inlineStr">
        <is>
          <t>Rep_04</t>
        </is>
      </c>
      <c r="G3162" t="n">
        <v>11.39</v>
      </c>
      <c r="H3162" t="inlineStr">
        <is>
          <t>Contacted</t>
        </is>
      </c>
      <c r="I3162" t="inlineStr">
        <is>
          <t>Open</t>
        </is>
      </c>
      <c r="M3162">
        <f>VLOOKUP(H3162,'Stage Order'!$A$2:$B$8,2,FALSE)</f>
        <v/>
      </c>
      <c r="N3162">
        <f>IF(G3162&lt;=1,"1. Under 1 hour",IF(G3162&lt;=24,"2. 1-24 hours",IF(G3162&lt;=72,"3. 1-3 days","4. Over 3 days")))</f>
        <v/>
      </c>
      <c r="O3162">
        <f>TEXT(B3162,"YYYY-MM")</f>
        <v/>
      </c>
    </row>
    <row r="3163">
      <c r="A3163" t="inlineStr">
        <is>
          <t>LD-303161</t>
        </is>
      </c>
      <c r="B3163" t="inlineStr">
        <is>
          <t>2026-05-24 18:21:00</t>
        </is>
      </c>
      <c r="C3163" t="inlineStr">
        <is>
          <t>Social Media</t>
        </is>
      </c>
      <c r="D3163" t="inlineStr">
        <is>
          <t>Coding for Kids</t>
        </is>
      </c>
      <c r="E3163" t="inlineStr">
        <is>
          <t>South Region</t>
        </is>
      </c>
      <c r="F3163" t="inlineStr">
        <is>
          <t>Rep_02</t>
        </is>
      </c>
      <c r="G3163" t="n">
        <v>6.99</v>
      </c>
      <c r="H3163" t="inlineStr">
        <is>
          <t>Contacted</t>
        </is>
      </c>
      <c r="I3163" t="inlineStr">
        <is>
          <t>Open</t>
        </is>
      </c>
      <c r="M3163">
        <f>VLOOKUP(H3163,'Stage Order'!$A$2:$B$8,2,FALSE)</f>
        <v/>
      </c>
      <c r="N3163">
        <f>IF(G3163&lt;=1,"1. Under 1 hour",IF(G3163&lt;=24,"2. 1-24 hours",IF(G3163&lt;=72,"3. 1-3 days","4. Over 3 days")))</f>
        <v/>
      </c>
      <c r="O3163">
        <f>TEXT(B3163,"YYYY-MM")</f>
        <v/>
      </c>
    </row>
    <row r="3164">
      <c r="A3164" t="inlineStr">
        <is>
          <t>LD-303162</t>
        </is>
      </c>
      <c r="B3164" t="inlineStr">
        <is>
          <t>2025-08-13 17:48:00</t>
        </is>
      </c>
      <c r="C3164" t="inlineStr">
        <is>
          <t>Social Media</t>
        </is>
      </c>
      <c r="D3164" t="inlineStr">
        <is>
          <t>Coding for Kids</t>
        </is>
      </c>
      <c r="E3164" t="inlineStr">
        <is>
          <t>North Region</t>
        </is>
      </c>
      <c r="F3164" t="inlineStr">
        <is>
          <t>Rep_01</t>
        </is>
      </c>
      <c r="G3164" t="n">
        <v>5.17</v>
      </c>
      <c r="H3164" t="inlineStr">
        <is>
          <t>Demo Completed</t>
        </is>
      </c>
      <c r="I3164" t="inlineStr">
        <is>
          <t>Lost</t>
        </is>
      </c>
      <c r="J3164" t="inlineStr">
        <is>
          <t>Price Objection</t>
        </is>
      </c>
      <c r="K3164" t="n">
        <v>534.76</v>
      </c>
      <c r="L3164" t="inlineStr">
        <is>
          <t>2025-09-10 04:00:34.846556</t>
        </is>
      </c>
      <c r="M3164">
        <f>VLOOKUP(H3164,'Stage Order'!$A$2:$B$8,2,FALSE)</f>
        <v/>
      </c>
      <c r="N3164">
        <f>IF(G3164&lt;=1,"1. Under 1 hour",IF(G3164&lt;=24,"2. 1-24 hours",IF(G3164&lt;=72,"3. 1-3 days","4. Over 3 days")))</f>
        <v/>
      </c>
      <c r="O3164">
        <f>TEXT(B3164,"YYYY-MM")</f>
        <v/>
      </c>
    </row>
    <row r="3165">
      <c r="A3165" t="inlineStr">
        <is>
          <t>LD-303163</t>
        </is>
      </c>
      <c r="B3165" t="inlineStr">
        <is>
          <t>2026-02-17 10:10:00</t>
        </is>
      </c>
      <c r="C3165" t="inlineStr">
        <is>
          <t>Social Media</t>
        </is>
      </c>
      <c r="D3165" t="inlineStr">
        <is>
          <t>Study Abroad Prep</t>
        </is>
      </c>
      <c r="E3165" t="inlineStr">
        <is>
          <t>South Region</t>
        </is>
      </c>
      <c r="F3165" t="inlineStr">
        <is>
          <t>Rep_12</t>
        </is>
      </c>
      <c r="G3165" t="n">
        <v>4.3</v>
      </c>
      <c r="H3165" t="inlineStr">
        <is>
          <t>Proposal Sent</t>
        </is>
      </c>
      <c r="I3165" t="inlineStr">
        <is>
          <t>Lost</t>
        </is>
      </c>
      <c r="J3165" t="inlineStr">
        <is>
          <t>No Response / Ghosted</t>
        </is>
      </c>
      <c r="K3165" t="n">
        <v>1352.61</v>
      </c>
      <c r="L3165" t="inlineStr">
        <is>
          <t>2026-03-17 18:30:17.958981</t>
        </is>
      </c>
      <c r="M3165">
        <f>VLOOKUP(H3165,'Stage Order'!$A$2:$B$8,2,FALSE)</f>
        <v/>
      </c>
      <c r="N3165">
        <f>IF(G3165&lt;=1,"1. Under 1 hour",IF(G3165&lt;=24,"2. 1-24 hours",IF(G3165&lt;=72,"3. 1-3 days","4. Over 3 days")))</f>
        <v/>
      </c>
      <c r="O3165">
        <f>TEXT(B3165,"YYYY-MM")</f>
        <v/>
      </c>
    </row>
    <row r="3166">
      <c r="A3166" t="inlineStr">
        <is>
          <t>LD-303164</t>
        </is>
      </c>
      <c r="B3166" t="inlineStr">
        <is>
          <t>2026-06-25 09:50:00</t>
        </is>
      </c>
      <c r="C3166" t="inlineStr">
        <is>
          <t>Referral</t>
        </is>
      </c>
      <c r="D3166" t="inlineStr">
        <is>
          <t>Language Learning</t>
        </is>
      </c>
      <c r="E3166" t="inlineStr">
        <is>
          <t>South Region</t>
        </is>
      </c>
      <c r="F3166" t="inlineStr">
        <is>
          <t>Rep_07</t>
        </is>
      </c>
      <c r="G3166" t="n">
        <v>3.76</v>
      </c>
      <c r="H3166" t="inlineStr">
        <is>
          <t>Negotiation</t>
        </is>
      </c>
      <c r="I3166" t="inlineStr">
        <is>
          <t>Lost</t>
        </is>
      </c>
      <c r="J3166" t="inlineStr">
        <is>
          <t>Budget Not Approved</t>
        </is>
      </c>
      <c r="K3166" t="n">
        <v>322.46</v>
      </c>
      <c r="L3166" t="inlineStr">
        <is>
          <t>2026-08-15 17:34:16.616987</t>
        </is>
      </c>
      <c r="M3166">
        <f>VLOOKUP(H3166,'Stage Order'!$A$2:$B$8,2,FALSE)</f>
        <v/>
      </c>
      <c r="N3166">
        <f>IF(G3166&lt;=1,"1. Under 1 hour",IF(G3166&lt;=24,"2. 1-24 hours",IF(G3166&lt;=72,"3. 1-3 days","4. Over 3 days")))</f>
        <v/>
      </c>
      <c r="O3166">
        <f>TEXT(B3166,"YYYY-MM")</f>
        <v/>
      </c>
    </row>
    <row r="3167">
      <c r="A3167" t="inlineStr">
        <is>
          <t>LD-303165</t>
        </is>
      </c>
      <c r="B3167" t="inlineStr">
        <is>
          <t>2025-12-21 13:14:00</t>
        </is>
      </c>
      <c r="C3167" t="inlineStr">
        <is>
          <t>Organic Search</t>
        </is>
      </c>
      <c r="D3167" t="inlineStr">
        <is>
          <t>K-12 Math</t>
        </is>
      </c>
      <c r="E3167" t="inlineStr">
        <is>
          <t>West Region</t>
        </is>
      </c>
      <c r="F3167" t="inlineStr">
        <is>
          <t>Rep_13</t>
        </is>
      </c>
      <c r="G3167" t="n">
        <v>1.9</v>
      </c>
      <c r="H3167" t="inlineStr">
        <is>
          <t>Demo Completed</t>
        </is>
      </c>
      <c r="I3167" t="inlineStr">
        <is>
          <t>Lost</t>
        </is>
      </c>
      <c r="J3167" t="inlineStr">
        <is>
          <t>No Response / Ghosted</t>
        </is>
      </c>
      <c r="K3167" t="n">
        <v>591.96</v>
      </c>
      <c r="L3167" t="inlineStr">
        <is>
          <t>2026-01-19 11:56:11.955997</t>
        </is>
      </c>
      <c r="M3167">
        <f>VLOOKUP(H3167,'Stage Order'!$A$2:$B$8,2,FALSE)</f>
        <v/>
      </c>
      <c r="N3167">
        <f>IF(G3167&lt;=1,"1. Under 1 hour",IF(G3167&lt;=24,"2. 1-24 hours",IF(G3167&lt;=72,"3. 1-3 days","4. Over 3 days")))</f>
        <v/>
      </c>
      <c r="O3167">
        <f>TEXT(B3167,"YYYY-MM")</f>
        <v/>
      </c>
    </row>
    <row r="3168">
      <c r="A3168" t="inlineStr">
        <is>
          <t>LD-303166</t>
        </is>
      </c>
      <c r="B3168" t="inlineStr">
        <is>
          <t>2026-03-06 10:59:00</t>
        </is>
      </c>
      <c r="C3168" t="inlineStr">
        <is>
          <t>Paid Search</t>
        </is>
      </c>
      <c r="D3168" t="inlineStr">
        <is>
          <t>Coding for Kids</t>
        </is>
      </c>
      <c r="E3168" t="inlineStr">
        <is>
          <t>South Region</t>
        </is>
      </c>
      <c r="F3168" t="inlineStr">
        <is>
          <t>Rep_12</t>
        </is>
      </c>
      <c r="G3168" t="n">
        <v>4.09</v>
      </c>
      <c r="H3168" t="inlineStr">
        <is>
          <t>Lead</t>
        </is>
      </c>
      <c r="I3168" t="inlineStr">
        <is>
          <t>Open</t>
        </is>
      </c>
      <c r="M3168">
        <f>VLOOKUP(H3168,'Stage Order'!$A$2:$B$8,2,FALSE)</f>
        <v/>
      </c>
      <c r="N3168">
        <f>IF(G3168&lt;=1,"1. Under 1 hour",IF(G3168&lt;=24,"2. 1-24 hours",IF(G3168&lt;=72,"3. 1-3 days","4. Over 3 days")))</f>
        <v/>
      </c>
      <c r="O3168">
        <f>TEXT(B3168,"YYYY-MM")</f>
        <v/>
      </c>
    </row>
    <row r="3169">
      <c r="A3169" t="inlineStr">
        <is>
          <t>LD-303167</t>
        </is>
      </c>
      <c r="B3169" t="inlineStr">
        <is>
          <t>2025-04-01 10:45:00</t>
        </is>
      </c>
      <c r="C3169" t="inlineStr">
        <is>
          <t>Referral</t>
        </is>
      </c>
      <c r="D3169" t="inlineStr">
        <is>
          <t>Coding for Kids</t>
        </is>
      </c>
      <c r="E3169" t="inlineStr">
        <is>
          <t>North Region</t>
        </is>
      </c>
      <c r="F3169" t="inlineStr">
        <is>
          <t>Rep_01</t>
        </is>
      </c>
      <c r="G3169" t="n">
        <v>10.72</v>
      </c>
      <c r="H3169" t="inlineStr">
        <is>
          <t>Contacted</t>
        </is>
      </c>
      <c r="I3169" t="inlineStr">
        <is>
          <t>Open</t>
        </is>
      </c>
      <c r="M3169">
        <f>VLOOKUP(H3169,'Stage Order'!$A$2:$B$8,2,FALSE)</f>
        <v/>
      </c>
      <c r="N3169">
        <f>IF(G3169&lt;=1,"1. Under 1 hour",IF(G3169&lt;=24,"2. 1-24 hours",IF(G3169&lt;=72,"3. 1-3 days","4. Over 3 days")))</f>
        <v/>
      </c>
      <c r="O3169">
        <f>TEXT(B3169,"YYYY-MM")</f>
        <v/>
      </c>
    </row>
    <row r="3170">
      <c r="A3170" t="inlineStr">
        <is>
          <t>LD-303168</t>
        </is>
      </c>
      <c r="B3170" t="inlineStr">
        <is>
          <t>2026-05-28 07:02:00</t>
        </is>
      </c>
      <c r="C3170" t="inlineStr">
        <is>
          <t>Partner Channel</t>
        </is>
      </c>
      <c r="D3170" t="inlineStr">
        <is>
          <t>K-12 Math</t>
        </is>
      </c>
      <c r="E3170" t="inlineStr">
        <is>
          <t>East Region</t>
        </is>
      </c>
      <c r="F3170" t="inlineStr">
        <is>
          <t>Rep_04</t>
        </is>
      </c>
      <c r="G3170" t="n">
        <v>3.29</v>
      </c>
      <c r="H3170" t="inlineStr">
        <is>
          <t>Negotiation</t>
        </is>
      </c>
      <c r="I3170" t="inlineStr">
        <is>
          <t>Lost</t>
        </is>
      </c>
      <c r="J3170" t="inlineStr">
        <is>
          <t>Bad Timing</t>
        </is>
      </c>
      <c r="K3170" t="n">
        <v>472.67</v>
      </c>
      <c r="L3170" t="inlineStr">
        <is>
          <t>2026-07-21 13:35:02.252534</t>
        </is>
      </c>
      <c r="M3170">
        <f>VLOOKUP(H3170,'Stage Order'!$A$2:$B$8,2,FALSE)</f>
        <v/>
      </c>
      <c r="N3170">
        <f>IF(G3170&lt;=1,"1. Under 1 hour",IF(G3170&lt;=24,"2. 1-24 hours",IF(G3170&lt;=72,"3. 1-3 days","4. Over 3 days")))</f>
        <v/>
      </c>
      <c r="O3170">
        <f>TEXT(B3170,"YYYY-MM")</f>
        <v/>
      </c>
    </row>
    <row r="3171">
      <c r="A3171" t="inlineStr">
        <is>
          <t>LD-303169</t>
        </is>
      </c>
      <c r="B3171" t="inlineStr">
        <is>
          <t>2026-04-09 20:29:00</t>
        </is>
      </c>
      <c r="C3171" t="inlineStr">
        <is>
          <t>Paid Search</t>
        </is>
      </c>
      <c r="D3171" t="inlineStr">
        <is>
          <t>Coding for Kids</t>
        </is>
      </c>
      <c r="E3171" t="inlineStr">
        <is>
          <t>West Region</t>
        </is>
      </c>
      <c r="F3171" t="inlineStr">
        <is>
          <t>Rep_03</t>
        </is>
      </c>
      <c r="G3171" t="n">
        <v>6.32</v>
      </c>
      <c r="H3171" t="inlineStr">
        <is>
          <t>Contacted</t>
        </is>
      </c>
      <c r="I3171" t="inlineStr">
        <is>
          <t>Open</t>
        </is>
      </c>
      <c r="M3171">
        <f>VLOOKUP(H3171,'Stage Order'!$A$2:$B$8,2,FALSE)</f>
        <v/>
      </c>
      <c r="N3171">
        <f>IF(G3171&lt;=1,"1. Under 1 hour",IF(G3171&lt;=24,"2. 1-24 hours",IF(G3171&lt;=72,"3. 1-3 days","4. Over 3 days")))</f>
        <v/>
      </c>
      <c r="O3171">
        <f>TEXT(B3171,"YYYY-MM")</f>
        <v/>
      </c>
    </row>
    <row r="3172">
      <c r="A3172" t="inlineStr">
        <is>
          <t>LD-303170</t>
        </is>
      </c>
      <c r="B3172" t="inlineStr">
        <is>
          <t>2025-03-24 17:35:00</t>
        </is>
      </c>
      <c r="C3172" t="inlineStr">
        <is>
          <t>Webinar</t>
        </is>
      </c>
      <c r="D3172" t="inlineStr">
        <is>
          <t>Study Abroad Prep</t>
        </is>
      </c>
      <c r="E3172" t="inlineStr">
        <is>
          <t>International</t>
        </is>
      </c>
      <c r="F3172" t="inlineStr">
        <is>
          <t>Rep_15</t>
        </is>
      </c>
      <c r="G3172" t="n">
        <v>0.61</v>
      </c>
      <c r="H3172" t="inlineStr">
        <is>
          <t>Contacted</t>
        </is>
      </c>
      <c r="I3172" t="inlineStr">
        <is>
          <t>Open</t>
        </is>
      </c>
      <c r="M3172">
        <f>VLOOKUP(H3172,'Stage Order'!$A$2:$B$8,2,FALSE)</f>
        <v/>
      </c>
      <c r="N3172">
        <f>IF(G3172&lt;=1,"1. Under 1 hour",IF(G3172&lt;=24,"2. 1-24 hours",IF(G3172&lt;=72,"3. 1-3 days","4. Over 3 days")))</f>
        <v/>
      </c>
      <c r="O3172">
        <f>TEXT(B3172,"YYYY-MM")</f>
        <v/>
      </c>
    </row>
    <row r="3173">
      <c r="A3173" t="inlineStr">
        <is>
          <t>LD-303171</t>
        </is>
      </c>
      <c r="B3173" t="inlineStr">
        <is>
          <t>2025-12-31 07:10:00</t>
        </is>
      </c>
      <c r="C3173" t="inlineStr">
        <is>
          <t>Partner Channel</t>
        </is>
      </c>
      <c r="D3173" t="inlineStr">
        <is>
          <t>Competitive Exam Prep</t>
        </is>
      </c>
      <c r="E3173" t="inlineStr">
        <is>
          <t>International</t>
        </is>
      </c>
      <c r="F3173" t="inlineStr">
        <is>
          <t>Rep_05</t>
        </is>
      </c>
      <c r="G3173" t="n">
        <v>2.63</v>
      </c>
      <c r="H3173" t="inlineStr">
        <is>
          <t>Lead</t>
        </is>
      </c>
      <c r="I3173" t="inlineStr">
        <is>
          <t>Open</t>
        </is>
      </c>
      <c r="M3173">
        <f>VLOOKUP(H3173,'Stage Order'!$A$2:$B$8,2,FALSE)</f>
        <v/>
      </c>
      <c r="N3173">
        <f>IF(G3173&lt;=1,"1. Under 1 hour",IF(G3173&lt;=24,"2. 1-24 hours",IF(G3173&lt;=72,"3. 1-3 days","4. Over 3 days")))</f>
        <v/>
      </c>
      <c r="O3173">
        <f>TEXT(B3173,"YYYY-MM")</f>
        <v/>
      </c>
    </row>
    <row r="3174">
      <c r="A3174" t="inlineStr">
        <is>
          <t>LD-303172</t>
        </is>
      </c>
      <c r="B3174" t="inlineStr">
        <is>
          <t>2025-07-25 09:17:00</t>
        </is>
      </c>
      <c r="C3174" t="inlineStr">
        <is>
          <t>Organic Search</t>
        </is>
      </c>
      <c r="D3174" t="inlineStr">
        <is>
          <t>Language Learning</t>
        </is>
      </c>
      <c r="E3174" t="inlineStr">
        <is>
          <t>North Region</t>
        </is>
      </c>
      <c r="F3174" t="inlineStr">
        <is>
          <t>Rep_06</t>
        </is>
      </c>
      <c r="G3174" t="n">
        <v>1.21</v>
      </c>
      <c r="H3174" t="inlineStr">
        <is>
          <t>Lead</t>
        </is>
      </c>
      <c r="I3174" t="inlineStr">
        <is>
          <t>Open</t>
        </is>
      </c>
      <c r="M3174">
        <f>VLOOKUP(H3174,'Stage Order'!$A$2:$B$8,2,FALSE)</f>
        <v/>
      </c>
      <c r="N3174">
        <f>IF(G3174&lt;=1,"1. Under 1 hour",IF(G3174&lt;=24,"2. 1-24 hours",IF(G3174&lt;=72,"3. 1-3 days","4. Over 3 days")))</f>
        <v/>
      </c>
      <c r="O3174">
        <f>TEXT(B3174,"YYYY-MM")</f>
        <v/>
      </c>
    </row>
    <row r="3175">
      <c r="A3175" t="inlineStr">
        <is>
          <t>LD-303173</t>
        </is>
      </c>
      <c r="B3175" t="inlineStr">
        <is>
          <t>2025-05-21 16:02:00</t>
        </is>
      </c>
      <c r="C3175" t="inlineStr">
        <is>
          <t>Paid Search</t>
        </is>
      </c>
      <c r="D3175" t="inlineStr">
        <is>
          <t>Coding for Kids</t>
        </is>
      </c>
      <c r="E3175" t="inlineStr">
        <is>
          <t>North Region</t>
        </is>
      </c>
      <c r="F3175" t="inlineStr">
        <is>
          <t>Rep_11</t>
        </is>
      </c>
      <c r="G3175" t="n">
        <v>7.63</v>
      </c>
      <c r="H3175" t="inlineStr">
        <is>
          <t>Closed</t>
        </is>
      </c>
      <c r="I3175" t="inlineStr">
        <is>
          <t>Won</t>
        </is>
      </c>
      <c r="K3175" t="n">
        <v>646.48</v>
      </c>
      <c r="L3175" t="inlineStr">
        <is>
          <t>2025-06-25 13:12:16.780977</t>
        </is>
      </c>
      <c r="M3175">
        <f>VLOOKUP(H3175,'Stage Order'!$A$2:$B$8,2,FALSE)</f>
        <v/>
      </c>
      <c r="N3175">
        <f>IF(G3175&lt;=1,"1. Under 1 hour",IF(G3175&lt;=24,"2. 1-24 hours",IF(G3175&lt;=72,"3. 1-3 days","4. Over 3 days")))</f>
        <v/>
      </c>
      <c r="O3175">
        <f>TEXT(B3175,"YYYY-MM")</f>
        <v/>
      </c>
    </row>
    <row r="3176">
      <c r="A3176" t="inlineStr">
        <is>
          <t>LD-303174</t>
        </is>
      </c>
      <c r="B3176" t="inlineStr">
        <is>
          <t>2026-05-25 13:44:00</t>
        </is>
      </c>
      <c r="C3176" t="inlineStr">
        <is>
          <t>Organic Search</t>
        </is>
      </c>
      <c r="D3176" t="inlineStr">
        <is>
          <t>Coding for Kids</t>
        </is>
      </c>
      <c r="E3176" t="inlineStr">
        <is>
          <t>North Region</t>
        </is>
      </c>
      <c r="F3176" t="inlineStr">
        <is>
          <t>Rep_11</t>
        </is>
      </c>
      <c r="G3176" t="n">
        <v>5.66</v>
      </c>
      <c r="H3176" t="inlineStr">
        <is>
          <t>Closed</t>
        </is>
      </c>
      <c r="I3176" t="inlineStr">
        <is>
          <t>Won</t>
        </is>
      </c>
      <c r="K3176" t="n">
        <v>706.4</v>
      </c>
      <c r="L3176" t="inlineStr">
        <is>
          <t>2026-07-07 05:51:16.012236</t>
        </is>
      </c>
      <c r="M3176">
        <f>VLOOKUP(H3176,'Stage Order'!$A$2:$B$8,2,FALSE)</f>
        <v/>
      </c>
      <c r="N3176">
        <f>IF(G3176&lt;=1,"1. Under 1 hour",IF(G3176&lt;=24,"2. 1-24 hours",IF(G3176&lt;=72,"3. 1-3 days","4. Over 3 days")))</f>
        <v/>
      </c>
      <c r="O3176">
        <f>TEXT(B3176,"YYYY-MM")</f>
        <v/>
      </c>
    </row>
    <row r="3177">
      <c r="A3177" t="inlineStr">
        <is>
          <t>LD-303175</t>
        </is>
      </c>
      <c r="B3177" t="inlineStr">
        <is>
          <t>2025-09-11 12:28:00</t>
        </is>
      </c>
      <c r="C3177" t="inlineStr">
        <is>
          <t>Webinar</t>
        </is>
      </c>
      <c r="D3177" t="inlineStr">
        <is>
          <t>Competitive Exam Prep</t>
        </is>
      </c>
      <c r="E3177" t="inlineStr">
        <is>
          <t>West Region</t>
        </is>
      </c>
      <c r="F3177" t="inlineStr">
        <is>
          <t>Rep_08</t>
        </is>
      </c>
      <c r="G3177" t="n">
        <v>1.01</v>
      </c>
      <c r="H3177" t="inlineStr">
        <is>
          <t>Closed</t>
        </is>
      </c>
      <c r="I3177" t="inlineStr">
        <is>
          <t>Won</t>
        </is>
      </c>
      <c r="K3177" t="n">
        <v>1088.33</v>
      </c>
      <c r="L3177" t="inlineStr">
        <is>
          <t>2025-10-24 06:17:25.658623</t>
        </is>
      </c>
      <c r="M3177">
        <f>VLOOKUP(H3177,'Stage Order'!$A$2:$B$8,2,FALSE)</f>
        <v/>
      </c>
      <c r="N3177">
        <f>IF(G3177&lt;=1,"1. Under 1 hour",IF(G3177&lt;=24,"2. 1-24 hours",IF(G3177&lt;=72,"3. 1-3 days","4. Over 3 days")))</f>
        <v/>
      </c>
      <c r="O3177">
        <f>TEXT(B3177,"YYYY-MM")</f>
        <v/>
      </c>
    </row>
    <row r="3178">
      <c r="A3178" t="inlineStr">
        <is>
          <t>LD-303176</t>
        </is>
      </c>
      <c r="B3178" t="inlineStr">
        <is>
          <t>2025-03-25 20:34:00</t>
        </is>
      </c>
      <c r="C3178" t="inlineStr">
        <is>
          <t>Paid Search</t>
        </is>
      </c>
      <c r="D3178" t="inlineStr">
        <is>
          <t>Coding for Kids</t>
        </is>
      </c>
      <c r="E3178" t="inlineStr">
        <is>
          <t>South Region</t>
        </is>
      </c>
      <c r="F3178" t="inlineStr">
        <is>
          <t>Rep_02</t>
        </is>
      </c>
      <c r="G3178" t="n">
        <v>6.75</v>
      </c>
      <c r="H3178" t="inlineStr">
        <is>
          <t>Negotiation</t>
        </is>
      </c>
      <c r="I3178" t="inlineStr">
        <is>
          <t>Lost</t>
        </is>
      </c>
      <c r="J3178" t="inlineStr">
        <is>
          <t>Price Objection</t>
        </is>
      </c>
      <c r="K3178" t="n">
        <v>570.85</v>
      </c>
      <c r="L3178" t="inlineStr">
        <is>
          <t>2025-05-15 11:28:55.306907</t>
        </is>
      </c>
      <c r="M3178">
        <f>VLOOKUP(H3178,'Stage Order'!$A$2:$B$8,2,FALSE)</f>
        <v/>
      </c>
      <c r="N3178">
        <f>IF(G3178&lt;=1,"1. Under 1 hour",IF(G3178&lt;=24,"2. 1-24 hours",IF(G3178&lt;=72,"3. 1-3 days","4. Over 3 days")))</f>
        <v/>
      </c>
      <c r="O3178">
        <f>TEXT(B3178,"YYYY-MM")</f>
        <v/>
      </c>
    </row>
    <row r="3179">
      <c r="A3179" t="inlineStr">
        <is>
          <t>LD-303177</t>
        </is>
      </c>
      <c r="B3179" t="inlineStr">
        <is>
          <t>2026-01-23 15:38:00</t>
        </is>
      </c>
      <c r="C3179" t="inlineStr">
        <is>
          <t>Paid Search</t>
        </is>
      </c>
      <c r="D3179" t="inlineStr">
        <is>
          <t>Language Learning</t>
        </is>
      </c>
      <c r="E3179" t="inlineStr">
        <is>
          <t>West Region</t>
        </is>
      </c>
      <c r="F3179" t="inlineStr">
        <is>
          <t>Rep_13</t>
        </is>
      </c>
      <c r="G3179" t="n">
        <v>23.74</v>
      </c>
      <c r="H3179" t="inlineStr">
        <is>
          <t>Contacted</t>
        </is>
      </c>
      <c r="I3179" t="inlineStr">
        <is>
          <t>Open</t>
        </is>
      </c>
      <c r="M3179">
        <f>VLOOKUP(H3179,'Stage Order'!$A$2:$B$8,2,FALSE)</f>
        <v/>
      </c>
      <c r="N3179">
        <f>IF(G3179&lt;=1,"1. Under 1 hour",IF(G3179&lt;=24,"2. 1-24 hours",IF(G3179&lt;=72,"3. 1-3 days","4. Over 3 days")))</f>
        <v/>
      </c>
      <c r="O3179">
        <f>TEXT(B3179,"YYYY-MM")</f>
        <v/>
      </c>
    </row>
    <row r="3180">
      <c r="A3180" t="inlineStr">
        <is>
          <t>LD-303178</t>
        </is>
      </c>
      <c r="B3180" t="inlineStr">
        <is>
          <t>2025-09-12 13:39:00</t>
        </is>
      </c>
      <c r="C3180" t="inlineStr">
        <is>
          <t>Organic Search</t>
        </is>
      </c>
      <c r="D3180" t="inlineStr">
        <is>
          <t>Competitive Exam Prep</t>
        </is>
      </c>
      <c r="E3180" t="inlineStr">
        <is>
          <t>South Region</t>
        </is>
      </c>
      <c r="F3180" t="inlineStr">
        <is>
          <t>Rep_12</t>
        </is>
      </c>
      <c r="G3180" t="n">
        <v>1.81</v>
      </c>
      <c r="H3180" t="inlineStr">
        <is>
          <t>Contacted</t>
        </is>
      </c>
      <c r="I3180" t="inlineStr">
        <is>
          <t>Open</t>
        </is>
      </c>
      <c r="M3180">
        <f>VLOOKUP(H3180,'Stage Order'!$A$2:$B$8,2,FALSE)</f>
        <v/>
      </c>
      <c r="N3180">
        <f>IF(G3180&lt;=1,"1. Under 1 hour",IF(G3180&lt;=24,"2. 1-24 hours",IF(G3180&lt;=72,"3. 1-3 days","4. Over 3 days")))</f>
        <v/>
      </c>
      <c r="O3180">
        <f>TEXT(B3180,"YYYY-MM")</f>
        <v/>
      </c>
    </row>
    <row r="3181">
      <c r="A3181" t="inlineStr">
        <is>
          <t>LD-303179</t>
        </is>
      </c>
      <c r="B3181" t="inlineStr">
        <is>
          <t>2025-07-01 13:33:00</t>
        </is>
      </c>
      <c r="C3181" t="inlineStr">
        <is>
          <t>Organic Search</t>
        </is>
      </c>
      <c r="D3181" t="inlineStr">
        <is>
          <t>Coding for Kids</t>
        </is>
      </c>
      <c r="E3181" t="inlineStr">
        <is>
          <t>International</t>
        </is>
      </c>
      <c r="F3181" t="inlineStr">
        <is>
          <t>Rep_10</t>
        </is>
      </c>
      <c r="G3181" t="n">
        <v>3.74</v>
      </c>
      <c r="H3181" t="inlineStr">
        <is>
          <t>Lead</t>
        </is>
      </c>
      <c r="I3181" t="inlineStr">
        <is>
          <t>Open</t>
        </is>
      </c>
      <c r="M3181">
        <f>VLOOKUP(H3181,'Stage Order'!$A$2:$B$8,2,FALSE)</f>
        <v/>
      </c>
      <c r="N3181">
        <f>IF(G3181&lt;=1,"1. Under 1 hour",IF(G3181&lt;=24,"2. 1-24 hours",IF(G3181&lt;=72,"3. 1-3 days","4. Over 3 days")))</f>
        <v/>
      </c>
      <c r="O3181">
        <f>TEXT(B3181,"YYYY-MM")</f>
        <v/>
      </c>
    </row>
    <row r="3182">
      <c r="A3182" t="inlineStr">
        <is>
          <t>LD-303180</t>
        </is>
      </c>
      <c r="B3182" t="inlineStr">
        <is>
          <t>2026-03-06 19:44:00</t>
        </is>
      </c>
      <c r="C3182" t="inlineStr">
        <is>
          <t>Social Media</t>
        </is>
      </c>
      <c r="D3182" t="inlineStr">
        <is>
          <t>Study Abroad Prep</t>
        </is>
      </c>
      <c r="E3182" t="inlineStr">
        <is>
          <t>South Region</t>
        </is>
      </c>
      <c r="F3182" t="inlineStr">
        <is>
          <t>Rep_12</t>
        </is>
      </c>
      <c r="G3182" t="n">
        <v>2.99</v>
      </c>
      <c r="H3182" t="inlineStr">
        <is>
          <t>Closed</t>
        </is>
      </c>
      <c r="I3182" t="inlineStr">
        <is>
          <t>Won</t>
        </is>
      </c>
      <c r="K3182" t="n">
        <v>1237.9</v>
      </c>
      <c r="L3182" t="inlineStr">
        <is>
          <t>2026-04-23 22:59:50.316776</t>
        </is>
      </c>
      <c r="M3182">
        <f>VLOOKUP(H3182,'Stage Order'!$A$2:$B$8,2,FALSE)</f>
        <v/>
      </c>
      <c r="N3182">
        <f>IF(G3182&lt;=1,"1. Under 1 hour",IF(G3182&lt;=24,"2. 1-24 hours",IF(G3182&lt;=72,"3. 1-3 days","4. Over 3 days")))</f>
        <v/>
      </c>
      <c r="O3182">
        <f>TEXT(B3182,"YYYY-MM")</f>
        <v/>
      </c>
    </row>
    <row r="3183">
      <c r="A3183" t="inlineStr">
        <is>
          <t>LD-303181</t>
        </is>
      </c>
      <c r="B3183" t="inlineStr">
        <is>
          <t>2026-04-21 14:49:00</t>
        </is>
      </c>
      <c r="C3183" t="inlineStr">
        <is>
          <t>Partner Channel</t>
        </is>
      </c>
      <c r="D3183" t="inlineStr">
        <is>
          <t>K-12 Math</t>
        </is>
      </c>
      <c r="E3183" t="inlineStr">
        <is>
          <t>West Region</t>
        </is>
      </c>
      <c r="F3183" t="inlineStr">
        <is>
          <t>Rep_03</t>
        </is>
      </c>
      <c r="G3183" t="n">
        <v>2.49</v>
      </c>
      <c r="H3183" t="inlineStr">
        <is>
          <t>Contacted</t>
        </is>
      </c>
      <c r="I3183" t="inlineStr">
        <is>
          <t>Open</t>
        </is>
      </c>
      <c r="M3183">
        <f>VLOOKUP(H3183,'Stage Order'!$A$2:$B$8,2,FALSE)</f>
        <v/>
      </c>
      <c r="N3183">
        <f>IF(G3183&lt;=1,"1. Under 1 hour",IF(G3183&lt;=24,"2. 1-24 hours",IF(G3183&lt;=72,"3. 1-3 days","4. Over 3 days")))</f>
        <v/>
      </c>
      <c r="O3183">
        <f>TEXT(B3183,"YYYY-MM")</f>
        <v/>
      </c>
    </row>
    <row r="3184">
      <c r="A3184" t="inlineStr">
        <is>
          <t>LD-303182</t>
        </is>
      </c>
      <c r="B3184" t="inlineStr">
        <is>
          <t>2025-06-13 09:36:00</t>
        </is>
      </c>
      <c r="C3184" t="inlineStr">
        <is>
          <t>Paid Search</t>
        </is>
      </c>
      <c r="D3184" t="inlineStr">
        <is>
          <t>Language Learning</t>
        </is>
      </c>
      <c r="E3184" t="inlineStr">
        <is>
          <t>South Region</t>
        </is>
      </c>
      <c r="F3184" t="inlineStr">
        <is>
          <t>Rep_07</t>
        </is>
      </c>
      <c r="G3184" t="n">
        <v>1.42</v>
      </c>
      <c r="H3184" t="inlineStr">
        <is>
          <t>Contacted</t>
        </is>
      </c>
      <c r="I3184" t="inlineStr">
        <is>
          <t>Open</t>
        </is>
      </c>
      <c r="M3184">
        <f>VLOOKUP(H3184,'Stage Order'!$A$2:$B$8,2,FALSE)</f>
        <v/>
      </c>
      <c r="N3184">
        <f>IF(G3184&lt;=1,"1. Under 1 hour",IF(G3184&lt;=24,"2. 1-24 hours",IF(G3184&lt;=72,"3. 1-3 days","4. Over 3 days")))</f>
        <v/>
      </c>
      <c r="O3184">
        <f>TEXT(B3184,"YYYY-MM")</f>
        <v/>
      </c>
    </row>
    <row r="3185">
      <c r="A3185" t="inlineStr">
        <is>
          <t>LD-303183</t>
        </is>
      </c>
      <c r="B3185" t="inlineStr">
        <is>
          <t>2025-09-16 10:22:00</t>
        </is>
      </c>
      <c r="C3185" t="inlineStr">
        <is>
          <t>Social Media</t>
        </is>
      </c>
      <c r="D3185" t="inlineStr">
        <is>
          <t>Coding for Kids</t>
        </is>
      </c>
      <c r="E3185" t="inlineStr">
        <is>
          <t>East Region</t>
        </is>
      </c>
      <c r="F3185" t="inlineStr">
        <is>
          <t>Rep_09</t>
        </is>
      </c>
      <c r="G3185" t="n">
        <v>9.4</v>
      </c>
      <c r="H3185" t="inlineStr">
        <is>
          <t>Contacted</t>
        </is>
      </c>
      <c r="I3185" t="inlineStr">
        <is>
          <t>Open</t>
        </is>
      </c>
      <c r="M3185">
        <f>VLOOKUP(H3185,'Stage Order'!$A$2:$B$8,2,FALSE)</f>
        <v/>
      </c>
      <c r="N3185">
        <f>IF(G3185&lt;=1,"1. Under 1 hour",IF(G3185&lt;=24,"2. 1-24 hours",IF(G3185&lt;=72,"3. 1-3 days","4. Over 3 days")))</f>
        <v/>
      </c>
      <c r="O3185">
        <f>TEXT(B3185,"YYYY-MM")</f>
        <v/>
      </c>
    </row>
    <row r="3186">
      <c r="A3186" t="inlineStr">
        <is>
          <t>LD-303184</t>
        </is>
      </c>
      <c r="B3186" t="inlineStr">
        <is>
          <t>2026-01-26 16:46:00</t>
        </is>
      </c>
      <c r="C3186" t="inlineStr">
        <is>
          <t>Organic Search</t>
        </is>
      </c>
      <c r="D3186" t="inlineStr">
        <is>
          <t>K-12 Math</t>
        </is>
      </c>
      <c r="E3186" t="inlineStr">
        <is>
          <t>West Region</t>
        </is>
      </c>
      <c r="F3186" t="inlineStr">
        <is>
          <t>Rep_13</t>
        </is>
      </c>
      <c r="G3186" t="n">
        <v>2.14</v>
      </c>
      <c r="H3186" t="inlineStr">
        <is>
          <t>Proposal Sent</t>
        </is>
      </c>
      <c r="I3186" t="inlineStr">
        <is>
          <t>Lost</t>
        </is>
      </c>
      <c r="J3186" t="inlineStr">
        <is>
          <t>Price Objection</t>
        </is>
      </c>
      <c r="K3186" t="n">
        <v>424.5</v>
      </c>
      <c r="L3186" t="inlineStr">
        <is>
          <t>2026-03-04 17:54:01.064357</t>
        </is>
      </c>
      <c r="M3186">
        <f>VLOOKUP(H3186,'Stage Order'!$A$2:$B$8,2,FALSE)</f>
        <v/>
      </c>
      <c r="N3186">
        <f>IF(G3186&lt;=1,"1. Under 1 hour",IF(G3186&lt;=24,"2. 1-24 hours",IF(G3186&lt;=72,"3. 1-3 days","4. Over 3 days")))</f>
        <v/>
      </c>
      <c r="O3186">
        <f>TEXT(B3186,"YYYY-MM")</f>
        <v/>
      </c>
    </row>
    <row r="3187">
      <c r="A3187" t="inlineStr">
        <is>
          <t>LD-303185</t>
        </is>
      </c>
      <c r="B3187" t="inlineStr">
        <is>
          <t>2025-07-09 14:25:00</t>
        </is>
      </c>
      <c r="C3187" t="inlineStr">
        <is>
          <t>Organic Search</t>
        </is>
      </c>
      <c r="D3187" t="inlineStr">
        <is>
          <t>Language Learning</t>
        </is>
      </c>
      <c r="E3187" t="inlineStr">
        <is>
          <t>West Region</t>
        </is>
      </c>
      <c r="F3187" t="inlineStr">
        <is>
          <t>Rep_03</t>
        </is>
      </c>
      <c r="G3187" t="n">
        <v>1.9</v>
      </c>
      <c r="H3187" t="inlineStr">
        <is>
          <t>Contacted</t>
        </is>
      </c>
      <c r="I3187" t="inlineStr">
        <is>
          <t>Open</t>
        </is>
      </c>
      <c r="M3187">
        <f>VLOOKUP(H3187,'Stage Order'!$A$2:$B$8,2,FALSE)</f>
        <v/>
      </c>
      <c r="N3187">
        <f>IF(G3187&lt;=1,"1. Under 1 hour",IF(G3187&lt;=24,"2. 1-24 hours",IF(G3187&lt;=72,"3. 1-3 days","4. Over 3 days")))</f>
        <v/>
      </c>
      <c r="O3187">
        <f>TEXT(B3187,"YYYY-MM")</f>
        <v/>
      </c>
    </row>
    <row r="3188">
      <c r="A3188" t="inlineStr">
        <is>
          <t>LD-303186</t>
        </is>
      </c>
      <c r="B3188" t="inlineStr">
        <is>
          <t>2026-01-01 14:18:00</t>
        </is>
      </c>
      <c r="C3188" t="inlineStr">
        <is>
          <t>Cold Outreach</t>
        </is>
      </c>
      <c r="D3188" t="inlineStr">
        <is>
          <t>Coding for Kids</t>
        </is>
      </c>
      <c r="E3188" t="inlineStr">
        <is>
          <t>International</t>
        </is>
      </c>
      <c r="F3188" t="inlineStr">
        <is>
          <t>Rep_10</t>
        </is>
      </c>
      <c r="G3188" t="n">
        <v>3.59</v>
      </c>
      <c r="H3188" t="inlineStr">
        <is>
          <t>Lead</t>
        </is>
      </c>
      <c r="I3188" t="inlineStr">
        <is>
          <t>Open</t>
        </is>
      </c>
      <c r="M3188">
        <f>VLOOKUP(H3188,'Stage Order'!$A$2:$B$8,2,FALSE)</f>
        <v/>
      </c>
      <c r="N3188">
        <f>IF(G3188&lt;=1,"1. Under 1 hour",IF(G3188&lt;=24,"2. 1-24 hours",IF(G3188&lt;=72,"3. 1-3 days","4. Over 3 days")))</f>
        <v/>
      </c>
      <c r="O3188">
        <f>TEXT(B3188,"YYYY-MM")</f>
        <v/>
      </c>
    </row>
    <row r="3189">
      <c r="A3189" t="inlineStr">
        <is>
          <t>LD-303187</t>
        </is>
      </c>
      <c r="B3189" t="inlineStr">
        <is>
          <t>2025-06-27 14:34:00</t>
        </is>
      </c>
      <c r="C3189" t="inlineStr">
        <is>
          <t>Organic Search</t>
        </is>
      </c>
      <c r="D3189" t="inlineStr">
        <is>
          <t>Competitive Exam Prep</t>
        </is>
      </c>
      <c r="E3189" t="inlineStr">
        <is>
          <t>West Region</t>
        </is>
      </c>
      <c r="F3189" t="inlineStr">
        <is>
          <t>Rep_08</t>
        </is>
      </c>
      <c r="G3189" t="n">
        <v>3.14</v>
      </c>
      <c r="H3189" t="inlineStr">
        <is>
          <t>Closed</t>
        </is>
      </c>
      <c r="I3189" t="inlineStr">
        <is>
          <t>Won</t>
        </is>
      </c>
      <c r="K3189" t="n">
        <v>887.77</v>
      </c>
      <c r="L3189" t="inlineStr">
        <is>
          <t>2025-08-18 15:22:16.282587</t>
        </is>
      </c>
      <c r="M3189">
        <f>VLOOKUP(H3189,'Stage Order'!$A$2:$B$8,2,FALSE)</f>
        <v/>
      </c>
      <c r="N3189">
        <f>IF(G3189&lt;=1,"1. Under 1 hour",IF(G3189&lt;=24,"2. 1-24 hours",IF(G3189&lt;=72,"3. 1-3 days","4. Over 3 days")))</f>
        <v/>
      </c>
      <c r="O3189">
        <f>TEXT(B3189,"YYYY-MM")</f>
        <v/>
      </c>
    </row>
    <row r="3190">
      <c r="A3190" t="inlineStr">
        <is>
          <t>LD-303188</t>
        </is>
      </c>
      <c r="B3190" t="inlineStr">
        <is>
          <t>2025-12-19 18:41:00</t>
        </is>
      </c>
      <c r="C3190" t="inlineStr">
        <is>
          <t>Organic Search</t>
        </is>
      </c>
      <c r="D3190" t="inlineStr">
        <is>
          <t>Coding for Kids</t>
        </is>
      </c>
      <c r="E3190" t="inlineStr">
        <is>
          <t>East Region</t>
        </is>
      </c>
      <c r="F3190" t="inlineStr">
        <is>
          <t>Rep_09</t>
        </is>
      </c>
      <c r="G3190" t="n">
        <v>6.39</v>
      </c>
      <c r="H3190" t="inlineStr">
        <is>
          <t>Closed</t>
        </is>
      </c>
      <c r="I3190" t="inlineStr">
        <is>
          <t>Won</t>
        </is>
      </c>
      <c r="K3190" t="n">
        <v>757.97</v>
      </c>
      <c r="L3190" t="inlineStr">
        <is>
          <t>2026-01-22 10:52:04.597064</t>
        </is>
      </c>
      <c r="M3190">
        <f>VLOOKUP(H3190,'Stage Order'!$A$2:$B$8,2,FALSE)</f>
        <v/>
      </c>
      <c r="N3190">
        <f>IF(G3190&lt;=1,"1. Under 1 hour",IF(G3190&lt;=24,"2. 1-24 hours",IF(G3190&lt;=72,"3. 1-3 days","4. Over 3 days")))</f>
        <v/>
      </c>
      <c r="O3190">
        <f>TEXT(B3190,"YYYY-MM")</f>
        <v/>
      </c>
    </row>
    <row r="3191">
      <c r="A3191" t="inlineStr">
        <is>
          <t>LD-303189</t>
        </is>
      </c>
      <c r="B3191" t="inlineStr">
        <is>
          <t>2025-12-07 15:21:00</t>
        </is>
      </c>
      <c r="C3191" t="inlineStr">
        <is>
          <t>Social Media</t>
        </is>
      </c>
      <c r="D3191" t="inlineStr">
        <is>
          <t>Coding for Kids</t>
        </is>
      </c>
      <c r="E3191" t="inlineStr">
        <is>
          <t>South Region</t>
        </is>
      </c>
      <c r="F3191" t="inlineStr">
        <is>
          <t>Rep_07</t>
        </is>
      </c>
      <c r="G3191" t="n">
        <v>0.89</v>
      </c>
      <c r="H3191" t="inlineStr">
        <is>
          <t>Proposal Sent</t>
        </is>
      </c>
      <c r="I3191" t="inlineStr">
        <is>
          <t>Lost</t>
        </is>
      </c>
      <c r="J3191" t="inlineStr">
        <is>
          <t>Bad Timing</t>
        </is>
      </c>
      <c r="K3191" t="n">
        <v>528.76</v>
      </c>
      <c r="L3191" t="inlineStr">
        <is>
          <t>2026-01-11 04:31:40.077982</t>
        </is>
      </c>
      <c r="M3191">
        <f>VLOOKUP(H3191,'Stage Order'!$A$2:$B$8,2,FALSE)</f>
        <v/>
      </c>
      <c r="N3191">
        <f>IF(G3191&lt;=1,"1. Under 1 hour",IF(G3191&lt;=24,"2. 1-24 hours",IF(G3191&lt;=72,"3. 1-3 days","4. Over 3 days")))</f>
        <v/>
      </c>
      <c r="O3191">
        <f>TEXT(B3191,"YYYY-MM")</f>
        <v/>
      </c>
    </row>
    <row r="3192">
      <c r="A3192" t="inlineStr">
        <is>
          <t>LD-303190</t>
        </is>
      </c>
      <c r="B3192" t="inlineStr">
        <is>
          <t>2026-05-27 09:02:00</t>
        </is>
      </c>
      <c r="C3192" t="inlineStr">
        <is>
          <t>Organic Search</t>
        </is>
      </c>
      <c r="D3192" t="inlineStr">
        <is>
          <t>Language Learning</t>
        </is>
      </c>
      <c r="E3192" t="inlineStr">
        <is>
          <t>North Region</t>
        </is>
      </c>
      <c r="F3192" t="inlineStr">
        <is>
          <t>Rep_06</t>
        </is>
      </c>
      <c r="G3192" t="n">
        <v>2.6</v>
      </c>
      <c r="H3192" t="inlineStr">
        <is>
          <t>Contacted</t>
        </is>
      </c>
      <c r="I3192" t="inlineStr">
        <is>
          <t>Open</t>
        </is>
      </c>
      <c r="M3192">
        <f>VLOOKUP(H3192,'Stage Order'!$A$2:$B$8,2,FALSE)</f>
        <v/>
      </c>
      <c r="N3192">
        <f>IF(G3192&lt;=1,"1. Under 1 hour",IF(G3192&lt;=24,"2. 1-24 hours",IF(G3192&lt;=72,"3. 1-3 days","4. Over 3 days")))</f>
        <v/>
      </c>
      <c r="O3192">
        <f>TEXT(B3192,"YYYY-MM")</f>
        <v/>
      </c>
    </row>
    <row r="3193">
      <c r="A3193" t="inlineStr">
        <is>
          <t>LD-303191</t>
        </is>
      </c>
      <c r="B3193" t="inlineStr">
        <is>
          <t>2025-04-15 13:52:00</t>
        </is>
      </c>
      <c r="C3193" t="inlineStr">
        <is>
          <t>Social Media</t>
        </is>
      </c>
      <c r="D3193" t="inlineStr">
        <is>
          <t>Competitive Exam Prep</t>
        </is>
      </c>
      <c r="E3193" t="inlineStr">
        <is>
          <t>East Region</t>
        </is>
      </c>
      <c r="F3193" t="inlineStr">
        <is>
          <t>Rep_09</t>
        </is>
      </c>
      <c r="G3193" t="n">
        <v>2.19</v>
      </c>
      <c r="H3193" t="inlineStr">
        <is>
          <t>Contacted</t>
        </is>
      </c>
      <c r="I3193" t="inlineStr">
        <is>
          <t>Open</t>
        </is>
      </c>
      <c r="M3193">
        <f>VLOOKUP(H3193,'Stage Order'!$A$2:$B$8,2,FALSE)</f>
        <v/>
      </c>
      <c r="N3193">
        <f>IF(G3193&lt;=1,"1. Under 1 hour",IF(G3193&lt;=24,"2. 1-24 hours",IF(G3193&lt;=72,"3. 1-3 days","4. Over 3 days")))</f>
        <v/>
      </c>
      <c r="O3193">
        <f>TEXT(B3193,"YYYY-MM")</f>
        <v/>
      </c>
    </row>
    <row r="3194">
      <c r="A3194" t="inlineStr">
        <is>
          <t>LD-303192</t>
        </is>
      </c>
      <c r="B3194" t="inlineStr">
        <is>
          <t>2025-04-30 09:32:00</t>
        </is>
      </c>
      <c r="C3194" t="inlineStr">
        <is>
          <t>Cold Outreach</t>
        </is>
      </c>
      <c r="D3194" t="inlineStr">
        <is>
          <t>Competitive Exam Prep</t>
        </is>
      </c>
      <c r="E3194" t="inlineStr">
        <is>
          <t>International</t>
        </is>
      </c>
      <c r="F3194" t="inlineStr">
        <is>
          <t>Rep_15</t>
        </is>
      </c>
      <c r="G3194" t="n">
        <v>8.85</v>
      </c>
      <c r="H3194" t="inlineStr">
        <is>
          <t>Lead</t>
        </is>
      </c>
      <c r="I3194" t="inlineStr">
        <is>
          <t>Open</t>
        </is>
      </c>
      <c r="M3194">
        <f>VLOOKUP(H3194,'Stage Order'!$A$2:$B$8,2,FALSE)</f>
        <v/>
      </c>
      <c r="N3194">
        <f>IF(G3194&lt;=1,"1. Under 1 hour",IF(G3194&lt;=24,"2. 1-24 hours",IF(G3194&lt;=72,"3. 1-3 days","4. Over 3 days")))</f>
        <v/>
      </c>
      <c r="O3194">
        <f>TEXT(B3194,"YYYY-MM")</f>
        <v/>
      </c>
    </row>
    <row r="3195">
      <c r="A3195" t="inlineStr">
        <is>
          <t>LD-303193</t>
        </is>
      </c>
      <c r="B3195" t="inlineStr">
        <is>
          <t>2025-02-17 11:10:00</t>
        </is>
      </c>
      <c r="C3195" t="inlineStr">
        <is>
          <t>Referral</t>
        </is>
      </c>
      <c r="D3195" t="inlineStr">
        <is>
          <t>Coding for Kids</t>
        </is>
      </c>
      <c r="E3195" t="inlineStr">
        <is>
          <t>East Region</t>
        </is>
      </c>
      <c r="F3195" t="inlineStr">
        <is>
          <t>Rep_04</t>
        </is>
      </c>
      <c r="G3195" t="n">
        <v>2.36</v>
      </c>
      <c r="H3195" t="inlineStr">
        <is>
          <t>Negotiation</t>
        </is>
      </c>
      <c r="I3195" t="inlineStr">
        <is>
          <t>Lost</t>
        </is>
      </c>
      <c r="J3195" t="inlineStr">
        <is>
          <t>Bad Timing</t>
        </is>
      </c>
      <c r="K3195" t="n">
        <v>542.15</v>
      </c>
      <c r="L3195" t="inlineStr">
        <is>
          <t>2025-03-28 17:28:13.384183</t>
        </is>
      </c>
      <c r="M3195">
        <f>VLOOKUP(H3195,'Stage Order'!$A$2:$B$8,2,FALSE)</f>
        <v/>
      </c>
      <c r="N3195">
        <f>IF(G3195&lt;=1,"1. Under 1 hour",IF(G3195&lt;=24,"2. 1-24 hours",IF(G3195&lt;=72,"3. 1-3 days","4. Over 3 days")))</f>
        <v/>
      </c>
      <c r="O3195">
        <f>TEXT(B3195,"YYYY-MM")</f>
        <v/>
      </c>
    </row>
    <row r="3196">
      <c r="A3196" t="inlineStr">
        <is>
          <t>LD-303194</t>
        </is>
      </c>
      <c r="B3196" t="inlineStr">
        <is>
          <t>2025-08-22 11:11:00</t>
        </is>
      </c>
      <c r="C3196" t="inlineStr">
        <is>
          <t>Paid Search</t>
        </is>
      </c>
      <c r="D3196" t="inlineStr">
        <is>
          <t>Coding for Kids</t>
        </is>
      </c>
      <c r="E3196" t="inlineStr">
        <is>
          <t>North Region</t>
        </is>
      </c>
      <c r="F3196" t="inlineStr">
        <is>
          <t>Rep_11</t>
        </is>
      </c>
      <c r="G3196" t="n">
        <v>1.8</v>
      </c>
      <c r="H3196" t="inlineStr">
        <is>
          <t>Contacted</t>
        </is>
      </c>
      <c r="I3196" t="inlineStr">
        <is>
          <t>Open</t>
        </is>
      </c>
      <c r="M3196">
        <f>VLOOKUP(H3196,'Stage Order'!$A$2:$B$8,2,FALSE)</f>
        <v/>
      </c>
      <c r="N3196">
        <f>IF(G3196&lt;=1,"1. Under 1 hour",IF(G3196&lt;=24,"2. 1-24 hours",IF(G3196&lt;=72,"3. 1-3 days","4. Over 3 days")))</f>
        <v/>
      </c>
      <c r="O3196">
        <f>TEXT(B3196,"YYYY-MM")</f>
        <v/>
      </c>
    </row>
    <row r="3197">
      <c r="A3197" t="inlineStr">
        <is>
          <t>LD-303195</t>
        </is>
      </c>
      <c r="B3197" t="inlineStr">
        <is>
          <t>2026-03-28 18:19:00</t>
        </is>
      </c>
      <c r="C3197" t="inlineStr">
        <is>
          <t>Organic Search</t>
        </is>
      </c>
      <c r="D3197" t="inlineStr">
        <is>
          <t>K-12 Math</t>
        </is>
      </c>
      <c r="E3197" t="inlineStr">
        <is>
          <t>North Region</t>
        </is>
      </c>
      <c r="F3197" t="inlineStr">
        <is>
          <t>Rep_01</t>
        </is>
      </c>
      <c r="G3197" t="n">
        <v>0.43</v>
      </c>
      <c r="H3197" t="inlineStr">
        <is>
          <t>Negotiation</t>
        </is>
      </c>
      <c r="I3197" t="inlineStr">
        <is>
          <t>Lost</t>
        </is>
      </c>
      <c r="J3197" t="inlineStr">
        <is>
          <t>Bad Timing</t>
        </is>
      </c>
      <c r="K3197" t="n">
        <v>512.76</v>
      </c>
      <c r="L3197" t="inlineStr">
        <is>
          <t>2026-04-29 10:35:03.867095</t>
        </is>
      </c>
      <c r="M3197">
        <f>VLOOKUP(H3197,'Stage Order'!$A$2:$B$8,2,FALSE)</f>
        <v/>
      </c>
      <c r="N3197">
        <f>IF(G3197&lt;=1,"1. Under 1 hour",IF(G3197&lt;=24,"2. 1-24 hours",IF(G3197&lt;=72,"3. 1-3 days","4. Over 3 days")))</f>
        <v/>
      </c>
      <c r="O3197">
        <f>TEXT(B3197,"YYYY-MM")</f>
        <v/>
      </c>
    </row>
    <row r="3198">
      <c r="A3198" t="inlineStr">
        <is>
          <t>LD-303196</t>
        </is>
      </c>
      <c r="B3198" t="inlineStr">
        <is>
          <t>2026-04-17 08:05:00</t>
        </is>
      </c>
      <c r="C3198" t="inlineStr">
        <is>
          <t>Cold Outreach</t>
        </is>
      </c>
      <c r="D3198" t="inlineStr">
        <is>
          <t>Language Learning</t>
        </is>
      </c>
      <c r="E3198" t="inlineStr">
        <is>
          <t>West Region</t>
        </is>
      </c>
      <c r="F3198" t="inlineStr">
        <is>
          <t>Rep_08</t>
        </is>
      </c>
      <c r="G3198" t="n">
        <v>18.32</v>
      </c>
      <c r="H3198" t="inlineStr">
        <is>
          <t>Lead</t>
        </is>
      </c>
      <c r="I3198" t="inlineStr">
        <is>
          <t>Open</t>
        </is>
      </c>
      <c r="M3198">
        <f>VLOOKUP(H3198,'Stage Order'!$A$2:$B$8,2,FALSE)</f>
        <v/>
      </c>
      <c r="N3198">
        <f>IF(G3198&lt;=1,"1. Under 1 hour",IF(G3198&lt;=24,"2. 1-24 hours",IF(G3198&lt;=72,"3. 1-3 days","4. Over 3 days")))</f>
        <v/>
      </c>
      <c r="O3198">
        <f>TEXT(B3198,"YYYY-MM")</f>
        <v/>
      </c>
    </row>
    <row r="3199">
      <c r="A3199" t="inlineStr">
        <is>
          <t>LD-303197</t>
        </is>
      </c>
      <c r="B3199" t="inlineStr">
        <is>
          <t>2025-02-25 16:15:00</t>
        </is>
      </c>
      <c r="C3199" t="inlineStr">
        <is>
          <t>Partner Channel</t>
        </is>
      </c>
      <c r="D3199" t="inlineStr">
        <is>
          <t>Coding for Kids</t>
        </is>
      </c>
      <c r="E3199" t="inlineStr">
        <is>
          <t>South Region</t>
        </is>
      </c>
      <c r="F3199" t="inlineStr">
        <is>
          <t>Rep_12</t>
        </is>
      </c>
      <c r="G3199" t="n">
        <v>7.2</v>
      </c>
      <c r="H3199" t="inlineStr">
        <is>
          <t>Contacted</t>
        </is>
      </c>
      <c r="I3199" t="inlineStr">
        <is>
          <t>Open</t>
        </is>
      </c>
      <c r="M3199">
        <f>VLOOKUP(H3199,'Stage Order'!$A$2:$B$8,2,FALSE)</f>
        <v/>
      </c>
      <c r="N3199">
        <f>IF(G3199&lt;=1,"1. Under 1 hour",IF(G3199&lt;=24,"2. 1-24 hours",IF(G3199&lt;=72,"3. 1-3 days","4. Over 3 days")))</f>
        <v/>
      </c>
      <c r="O3199">
        <f>TEXT(B3199,"YYYY-MM")</f>
        <v/>
      </c>
    </row>
    <row r="3200">
      <c r="A3200" t="inlineStr">
        <is>
          <t>LD-303198</t>
        </is>
      </c>
      <c r="B3200" t="inlineStr">
        <is>
          <t>2025-01-28 20:50:00</t>
        </is>
      </c>
      <c r="C3200" t="inlineStr">
        <is>
          <t>Cold Outreach</t>
        </is>
      </c>
      <c r="D3200" t="inlineStr">
        <is>
          <t>Coding for Kids</t>
        </is>
      </c>
      <c r="E3200" t="inlineStr">
        <is>
          <t>South Region</t>
        </is>
      </c>
      <c r="F3200" t="inlineStr">
        <is>
          <t>Rep_07</t>
        </is>
      </c>
      <c r="G3200" t="n">
        <v>3.68</v>
      </c>
      <c r="H3200" t="inlineStr">
        <is>
          <t>Contacted</t>
        </is>
      </c>
      <c r="I3200" t="inlineStr">
        <is>
          <t>Open</t>
        </is>
      </c>
      <c r="M3200">
        <f>VLOOKUP(H3200,'Stage Order'!$A$2:$B$8,2,FALSE)</f>
        <v/>
      </c>
      <c r="N3200">
        <f>IF(G3200&lt;=1,"1. Under 1 hour",IF(G3200&lt;=24,"2. 1-24 hours",IF(G3200&lt;=72,"3. 1-3 days","4. Over 3 days")))</f>
        <v/>
      </c>
      <c r="O3200">
        <f>TEXT(B3200,"YYYY-MM")</f>
        <v/>
      </c>
    </row>
    <row r="3201">
      <c r="A3201" t="inlineStr">
        <is>
          <t>LD-303199</t>
        </is>
      </c>
      <c r="B3201" t="inlineStr">
        <is>
          <t>2025-07-17 10:14:00</t>
        </is>
      </c>
      <c r="C3201" t="inlineStr">
        <is>
          <t>Paid Search</t>
        </is>
      </c>
      <c r="D3201" t="inlineStr">
        <is>
          <t>Language Learning</t>
        </is>
      </c>
      <c r="E3201" t="inlineStr">
        <is>
          <t>North Region</t>
        </is>
      </c>
      <c r="F3201" t="inlineStr">
        <is>
          <t>Rep_11</t>
        </is>
      </c>
      <c r="G3201" t="n">
        <v>7.08</v>
      </c>
      <c r="H3201" t="inlineStr">
        <is>
          <t>Demo Completed</t>
        </is>
      </c>
      <c r="I3201" t="inlineStr">
        <is>
          <t>Lost</t>
        </is>
      </c>
      <c r="J3201" t="inlineStr">
        <is>
          <t>Price Objection</t>
        </is>
      </c>
      <c r="K3201" t="n">
        <v>343.8</v>
      </c>
      <c r="L3201" t="inlineStr">
        <is>
          <t>2025-08-22 17:11:48.130000</t>
        </is>
      </c>
      <c r="M3201">
        <f>VLOOKUP(H3201,'Stage Order'!$A$2:$B$8,2,FALSE)</f>
        <v/>
      </c>
      <c r="N3201">
        <f>IF(G3201&lt;=1,"1. Under 1 hour",IF(G3201&lt;=24,"2. 1-24 hours",IF(G3201&lt;=72,"3. 1-3 days","4. Over 3 days")))</f>
        <v/>
      </c>
      <c r="O3201">
        <f>TEXT(B3201,"YYYY-MM")</f>
        <v/>
      </c>
    </row>
    <row r="3202">
      <c r="A3202" t="inlineStr">
        <is>
          <t>LD-303200</t>
        </is>
      </c>
      <c r="B3202" t="inlineStr">
        <is>
          <t>2026-04-09 12:26:00</t>
        </is>
      </c>
      <c r="C3202" t="inlineStr">
        <is>
          <t>Social Media</t>
        </is>
      </c>
      <c r="D3202" t="inlineStr">
        <is>
          <t>Competitive Exam Prep</t>
        </is>
      </c>
      <c r="E3202" t="inlineStr">
        <is>
          <t>East Region</t>
        </is>
      </c>
      <c r="F3202" t="inlineStr">
        <is>
          <t>Rep_14</t>
        </is>
      </c>
      <c r="G3202" t="n">
        <v>2</v>
      </c>
      <c r="H3202" t="inlineStr">
        <is>
          <t>Contacted</t>
        </is>
      </c>
      <c r="I3202" t="inlineStr">
        <is>
          <t>Open</t>
        </is>
      </c>
      <c r="M3202">
        <f>VLOOKUP(H3202,'Stage Order'!$A$2:$B$8,2,FALSE)</f>
        <v/>
      </c>
      <c r="N3202">
        <f>IF(G3202&lt;=1,"1. Under 1 hour",IF(G3202&lt;=24,"2. 1-24 hours",IF(G3202&lt;=72,"3. 1-3 days","4. Over 3 days")))</f>
        <v/>
      </c>
      <c r="O3202">
        <f>TEXT(B3202,"YYYY-MM")</f>
        <v/>
      </c>
    </row>
    <row r="3203">
      <c r="A3203" t="inlineStr">
        <is>
          <t>LD-303201</t>
        </is>
      </c>
      <c r="B3203" t="inlineStr">
        <is>
          <t>2025-06-18 11:39:00</t>
        </is>
      </c>
      <c r="C3203" t="inlineStr">
        <is>
          <t>Partner Channel</t>
        </is>
      </c>
      <c r="D3203" t="inlineStr">
        <is>
          <t>Coding for Kids</t>
        </is>
      </c>
      <c r="E3203" t="inlineStr">
        <is>
          <t>South Region</t>
        </is>
      </c>
      <c r="F3203" t="inlineStr">
        <is>
          <t>Rep_12</t>
        </is>
      </c>
      <c r="G3203" t="n">
        <v>1.25</v>
      </c>
      <c r="H3203" t="inlineStr">
        <is>
          <t>Closed</t>
        </is>
      </c>
      <c r="I3203" t="inlineStr">
        <is>
          <t>Won</t>
        </is>
      </c>
      <c r="K3203" t="n">
        <v>589.91</v>
      </c>
      <c r="L3203" t="inlineStr">
        <is>
          <t>2025-07-22 05:25:52.795654</t>
        </is>
      </c>
      <c r="M3203">
        <f>VLOOKUP(H3203,'Stage Order'!$A$2:$B$8,2,FALSE)</f>
        <v/>
      </c>
      <c r="N3203">
        <f>IF(G3203&lt;=1,"1. Under 1 hour",IF(G3203&lt;=24,"2. 1-24 hours",IF(G3203&lt;=72,"3. 1-3 days","4. Over 3 days")))</f>
        <v/>
      </c>
      <c r="O3203">
        <f>TEXT(B3203,"YYYY-MM")</f>
        <v/>
      </c>
    </row>
    <row r="3204">
      <c r="A3204" t="inlineStr">
        <is>
          <t>LD-303202</t>
        </is>
      </c>
      <c r="B3204" t="inlineStr">
        <is>
          <t>2025-07-29 12:26:00</t>
        </is>
      </c>
      <c r="C3204" t="inlineStr">
        <is>
          <t>Webinar</t>
        </is>
      </c>
      <c r="D3204" t="inlineStr">
        <is>
          <t>K-12 Math</t>
        </is>
      </c>
      <c r="E3204" t="inlineStr">
        <is>
          <t>South Region</t>
        </is>
      </c>
      <c r="F3204" t="inlineStr">
        <is>
          <t>Rep_12</t>
        </is>
      </c>
      <c r="G3204" t="n">
        <v>0.6899999999999999</v>
      </c>
      <c r="H3204" t="inlineStr">
        <is>
          <t>Closed</t>
        </is>
      </c>
      <c r="I3204" t="inlineStr">
        <is>
          <t>Won</t>
        </is>
      </c>
      <c r="K3204" t="n">
        <v>423.41</v>
      </c>
      <c r="L3204" t="inlineStr">
        <is>
          <t>2025-09-09 17:44:44.189704</t>
        </is>
      </c>
      <c r="M3204">
        <f>VLOOKUP(H3204,'Stage Order'!$A$2:$B$8,2,FALSE)</f>
        <v/>
      </c>
      <c r="N3204">
        <f>IF(G3204&lt;=1,"1. Under 1 hour",IF(G3204&lt;=24,"2. 1-24 hours",IF(G3204&lt;=72,"3. 1-3 days","4. Over 3 days")))</f>
        <v/>
      </c>
      <c r="O3204">
        <f>TEXT(B3204,"YYYY-MM")</f>
        <v/>
      </c>
    </row>
    <row r="3205">
      <c r="A3205" t="inlineStr">
        <is>
          <t>LD-303203</t>
        </is>
      </c>
      <c r="B3205" t="inlineStr">
        <is>
          <t>2025-08-08 19:30:00</t>
        </is>
      </c>
      <c r="C3205" t="inlineStr">
        <is>
          <t>Referral</t>
        </is>
      </c>
      <c r="D3205" t="inlineStr">
        <is>
          <t>Study Abroad Prep</t>
        </is>
      </c>
      <c r="E3205" t="inlineStr">
        <is>
          <t>South Region</t>
        </is>
      </c>
      <c r="F3205" t="inlineStr">
        <is>
          <t>Rep_02</t>
        </is>
      </c>
      <c r="G3205" t="n">
        <v>1.96</v>
      </c>
      <c r="H3205" t="inlineStr">
        <is>
          <t>Closed</t>
        </is>
      </c>
      <c r="I3205" t="inlineStr">
        <is>
          <t>Won</t>
        </is>
      </c>
      <c r="K3205" t="n">
        <v>1225.87</v>
      </c>
      <c r="L3205" t="inlineStr">
        <is>
          <t>2025-10-08 07:56:35.014285</t>
        </is>
      </c>
      <c r="M3205">
        <f>VLOOKUP(H3205,'Stage Order'!$A$2:$B$8,2,FALSE)</f>
        <v/>
      </c>
      <c r="N3205">
        <f>IF(G3205&lt;=1,"1. Under 1 hour",IF(G3205&lt;=24,"2. 1-24 hours",IF(G3205&lt;=72,"3. 1-3 days","4. Over 3 days")))</f>
        <v/>
      </c>
      <c r="O3205">
        <f>TEXT(B3205,"YYYY-MM")</f>
        <v/>
      </c>
    </row>
    <row r="3206">
      <c r="A3206" t="inlineStr">
        <is>
          <t>LD-303204</t>
        </is>
      </c>
      <c r="B3206" t="inlineStr">
        <is>
          <t>2025-03-01 14:10:00</t>
        </is>
      </c>
      <c r="C3206" t="inlineStr">
        <is>
          <t>Organic Search</t>
        </is>
      </c>
      <c r="D3206" t="inlineStr">
        <is>
          <t>Language Learning</t>
        </is>
      </c>
      <c r="E3206" t="inlineStr">
        <is>
          <t>South Region</t>
        </is>
      </c>
      <c r="F3206" t="inlineStr">
        <is>
          <t>Rep_02</t>
        </is>
      </c>
      <c r="G3206" t="n">
        <v>8.83</v>
      </c>
      <c r="H3206" t="inlineStr">
        <is>
          <t>Contacted</t>
        </is>
      </c>
      <c r="I3206" t="inlineStr">
        <is>
          <t>Open</t>
        </is>
      </c>
      <c r="M3206">
        <f>VLOOKUP(H3206,'Stage Order'!$A$2:$B$8,2,FALSE)</f>
        <v/>
      </c>
      <c r="N3206">
        <f>IF(G3206&lt;=1,"1. Under 1 hour",IF(G3206&lt;=24,"2. 1-24 hours",IF(G3206&lt;=72,"3. 1-3 days","4. Over 3 days")))</f>
        <v/>
      </c>
      <c r="O3206">
        <f>TEXT(B3206,"YYYY-MM")</f>
        <v/>
      </c>
    </row>
    <row r="3207">
      <c r="A3207" t="inlineStr">
        <is>
          <t>LD-303205</t>
        </is>
      </c>
      <c r="B3207" t="inlineStr">
        <is>
          <t>2025-07-15 14:48:00</t>
        </is>
      </c>
      <c r="C3207" t="inlineStr">
        <is>
          <t>Webinar</t>
        </is>
      </c>
      <c r="D3207" t="inlineStr">
        <is>
          <t>K-12 Math</t>
        </is>
      </c>
      <c r="E3207" t="inlineStr">
        <is>
          <t>West Region</t>
        </is>
      </c>
      <c r="F3207" t="inlineStr">
        <is>
          <t>Rep_13</t>
        </is>
      </c>
      <c r="G3207" t="n">
        <v>2.99</v>
      </c>
      <c r="H3207" t="inlineStr">
        <is>
          <t>Contacted</t>
        </is>
      </c>
      <c r="I3207" t="inlineStr">
        <is>
          <t>Open</t>
        </is>
      </c>
      <c r="M3207">
        <f>VLOOKUP(H3207,'Stage Order'!$A$2:$B$8,2,FALSE)</f>
        <v/>
      </c>
      <c r="N3207">
        <f>IF(G3207&lt;=1,"1. Under 1 hour",IF(G3207&lt;=24,"2. 1-24 hours",IF(G3207&lt;=72,"3. 1-3 days","4. Over 3 days")))</f>
        <v/>
      </c>
      <c r="O3207">
        <f>TEXT(B3207,"YYYY-MM")</f>
        <v/>
      </c>
    </row>
    <row r="3208">
      <c r="A3208" t="inlineStr">
        <is>
          <t>LD-303206</t>
        </is>
      </c>
      <c r="B3208" t="inlineStr">
        <is>
          <t>2025-10-25 14:35:00</t>
        </is>
      </c>
      <c r="C3208" t="inlineStr">
        <is>
          <t>Cold Outreach</t>
        </is>
      </c>
      <c r="D3208" t="inlineStr">
        <is>
          <t>Competitive Exam Prep</t>
        </is>
      </c>
      <c r="E3208" t="inlineStr">
        <is>
          <t>East Region</t>
        </is>
      </c>
      <c r="F3208" t="inlineStr">
        <is>
          <t>Rep_09</t>
        </is>
      </c>
      <c r="G3208" t="n">
        <v>1.42</v>
      </c>
      <c r="H3208" t="inlineStr">
        <is>
          <t>Contacted</t>
        </is>
      </c>
      <c r="I3208" t="inlineStr">
        <is>
          <t>Open</t>
        </is>
      </c>
      <c r="M3208">
        <f>VLOOKUP(H3208,'Stage Order'!$A$2:$B$8,2,FALSE)</f>
        <v/>
      </c>
      <c r="N3208">
        <f>IF(G3208&lt;=1,"1. Under 1 hour",IF(G3208&lt;=24,"2. 1-24 hours",IF(G3208&lt;=72,"3. 1-3 days","4. Over 3 days")))</f>
        <v/>
      </c>
      <c r="O3208">
        <f>TEXT(B3208,"YYYY-MM")</f>
        <v/>
      </c>
    </row>
    <row r="3209">
      <c r="A3209" t="inlineStr">
        <is>
          <t>LD-303207</t>
        </is>
      </c>
      <c r="B3209" t="inlineStr">
        <is>
          <t>2026-04-29 12:39:00</t>
        </is>
      </c>
      <c r="C3209" t="inlineStr">
        <is>
          <t>Organic Search</t>
        </is>
      </c>
      <c r="D3209" t="inlineStr">
        <is>
          <t>Coding for Kids</t>
        </is>
      </c>
      <c r="E3209" t="inlineStr">
        <is>
          <t>West Region</t>
        </is>
      </c>
      <c r="F3209" t="inlineStr">
        <is>
          <t>Rep_03</t>
        </is>
      </c>
      <c r="G3209" t="n">
        <v>4.65</v>
      </c>
      <c r="H3209" t="inlineStr">
        <is>
          <t>Contacted</t>
        </is>
      </c>
      <c r="I3209" t="inlineStr">
        <is>
          <t>Open</t>
        </is>
      </c>
      <c r="M3209">
        <f>VLOOKUP(H3209,'Stage Order'!$A$2:$B$8,2,FALSE)</f>
        <v/>
      </c>
      <c r="N3209">
        <f>IF(G3209&lt;=1,"1. Under 1 hour",IF(G3209&lt;=24,"2. 1-24 hours",IF(G3209&lt;=72,"3. 1-3 days","4. Over 3 days")))</f>
        <v/>
      </c>
      <c r="O3209">
        <f>TEXT(B3209,"YYYY-MM")</f>
        <v/>
      </c>
    </row>
    <row r="3210">
      <c r="A3210" t="inlineStr">
        <is>
          <t>LD-303208</t>
        </is>
      </c>
      <c r="B3210" t="inlineStr">
        <is>
          <t>2025-10-28 07:12:00</t>
        </is>
      </c>
      <c r="C3210" t="inlineStr">
        <is>
          <t>Organic Search</t>
        </is>
      </c>
      <c r="D3210" t="inlineStr">
        <is>
          <t>Language Learning</t>
        </is>
      </c>
      <c r="E3210" t="inlineStr">
        <is>
          <t>International</t>
        </is>
      </c>
      <c r="F3210" t="inlineStr">
        <is>
          <t>Rep_05</t>
        </is>
      </c>
      <c r="G3210" t="n">
        <v>4.49</v>
      </c>
      <c r="H3210" t="inlineStr">
        <is>
          <t>Demo Completed</t>
        </is>
      </c>
      <c r="I3210" t="inlineStr">
        <is>
          <t>Lost</t>
        </is>
      </c>
      <c r="J3210" t="inlineStr">
        <is>
          <t>Bad Timing</t>
        </is>
      </c>
      <c r="K3210" t="n">
        <v>363.04</v>
      </c>
      <c r="L3210" t="inlineStr">
        <is>
          <t>2025-12-07 20:34:29.202154</t>
        </is>
      </c>
      <c r="M3210">
        <f>VLOOKUP(H3210,'Stage Order'!$A$2:$B$8,2,FALSE)</f>
        <v/>
      </c>
      <c r="N3210">
        <f>IF(G3210&lt;=1,"1. Under 1 hour",IF(G3210&lt;=24,"2. 1-24 hours",IF(G3210&lt;=72,"3. 1-3 days","4. Over 3 days")))</f>
        <v/>
      </c>
      <c r="O3210">
        <f>TEXT(B3210,"YYYY-MM")</f>
        <v/>
      </c>
    </row>
    <row r="3211">
      <c r="A3211" t="inlineStr">
        <is>
          <t>LD-303209</t>
        </is>
      </c>
      <c r="B3211" t="inlineStr">
        <is>
          <t>2025-02-28 20:06:00</t>
        </is>
      </c>
      <c r="C3211" t="inlineStr">
        <is>
          <t>Organic Search</t>
        </is>
      </c>
      <c r="D3211" t="inlineStr">
        <is>
          <t>K-12 Math</t>
        </is>
      </c>
      <c r="E3211" t="inlineStr">
        <is>
          <t>International</t>
        </is>
      </c>
      <c r="F3211" t="inlineStr">
        <is>
          <t>Rep_15</t>
        </is>
      </c>
      <c r="G3211" t="n">
        <v>2.31</v>
      </c>
      <c r="H3211" t="inlineStr">
        <is>
          <t>Contacted</t>
        </is>
      </c>
      <c r="I3211" t="inlineStr">
        <is>
          <t>Open</t>
        </is>
      </c>
      <c r="M3211">
        <f>VLOOKUP(H3211,'Stage Order'!$A$2:$B$8,2,FALSE)</f>
        <v/>
      </c>
      <c r="N3211">
        <f>IF(G3211&lt;=1,"1. Under 1 hour",IF(G3211&lt;=24,"2. 1-24 hours",IF(G3211&lt;=72,"3. 1-3 days","4. Over 3 days")))</f>
        <v/>
      </c>
      <c r="O3211">
        <f>TEXT(B3211,"YYYY-MM")</f>
        <v/>
      </c>
    </row>
    <row r="3212">
      <c r="A3212" t="inlineStr">
        <is>
          <t>LD-303210</t>
        </is>
      </c>
      <c r="B3212" t="inlineStr">
        <is>
          <t>2025-09-23 16:43:00</t>
        </is>
      </c>
      <c r="C3212" t="inlineStr">
        <is>
          <t>Organic Search</t>
        </is>
      </c>
      <c r="D3212" t="inlineStr">
        <is>
          <t>Language Learning</t>
        </is>
      </c>
      <c r="E3212" t="inlineStr">
        <is>
          <t>North Region</t>
        </is>
      </c>
      <c r="F3212" t="inlineStr">
        <is>
          <t>Rep_11</t>
        </is>
      </c>
      <c r="G3212" t="n">
        <v>8.890000000000001</v>
      </c>
      <c r="H3212" t="inlineStr">
        <is>
          <t>Demo Completed</t>
        </is>
      </c>
      <c r="I3212" t="inlineStr">
        <is>
          <t>Lost</t>
        </is>
      </c>
      <c r="J3212" t="inlineStr">
        <is>
          <t>Went With Competitor</t>
        </is>
      </c>
      <c r="K3212" t="n">
        <v>315.15</v>
      </c>
      <c r="L3212" t="inlineStr">
        <is>
          <t>2025-10-21 07:04:15.814953</t>
        </is>
      </c>
      <c r="M3212">
        <f>VLOOKUP(H3212,'Stage Order'!$A$2:$B$8,2,FALSE)</f>
        <v/>
      </c>
      <c r="N3212">
        <f>IF(G3212&lt;=1,"1. Under 1 hour",IF(G3212&lt;=24,"2. 1-24 hours",IF(G3212&lt;=72,"3. 1-3 days","4. Over 3 days")))</f>
        <v/>
      </c>
      <c r="O3212">
        <f>TEXT(B3212,"YYYY-MM")</f>
        <v/>
      </c>
    </row>
    <row r="3213">
      <c r="A3213" t="inlineStr">
        <is>
          <t>LD-303211</t>
        </is>
      </c>
      <c r="B3213" t="inlineStr">
        <is>
          <t>2025-05-25 18:50:00</t>
        </is>
      </c>
      <c r="C3213" t="inlineStr">
        <is>
          <t>Paid Search</t>
        </is>
      </c>
      <c r="D3213" t="inlineStr">
        <is>
          <t>Study Abroad Prep</t>
        </is>
      </c>
      <c r="E3213" t="inlineStr">
        <is>
          <t>North Region</t>
        </is>
      </c>
      <c r="F3213" t="inlineStr">
        <is>
          <t>Rep_01</t>
        </is>
      </c>
      <c r="G3213" t="n">
        <v>3.89</v>
      </c>
      <c r="H3213" t="inlineStr">
        <is>
          <t>Contacted</t>
        </is>
      </c>
      <c r="I3213" t="inlineStr">
        <is>
          <t>Open</t>
        </is>
      </c>
      <c r="M3213">
        <f>VLOOKUP(H3213,'Stage Order'!$A$2:$B$8,2,FALSE)</f>
        <v/>
      </c>
      <c r="N3213">
        <f>IF(G3213&lt;=1,"1. Under 1 hour",IF(G3213&lt;=24,"2. 1-24 hours",IF(G3213&lt;=72,"3. 1-3 days","4. Over 3 days")))</f>
        <v/>
      </c>
      <c r="O3213">
        <f>TEXT(B3213,"YYYY-MM")</f>
        <v/>
      </c>
    </row>
    <row r="3214">
      <c r="A3214" t="inlineStr">
        <is>
          <t>LD-303212</t>
        </is>
      </c>
      <c r="B3214" t="inlineStr">
        <is>
          <t>2026-04-23 15:27:00</t>
        </is>
      </c>
      <c r="C3214" t="inlineStr">
        <is>
          <t>Organic Search</t>
        </is>
      </c>
      <c r="D3214" t="inlineStr">
        <is>
          <t>Study Abroad Prep</t>
        </is>
      </c>
      <c r="E3214" t="inlineStr">
        <is>
          <t>West Region</t>
        </is>
      </c>
      <c r="F3214" t="inlineStr">
        <is>
          <t>Rep_13</t>
        </is>
      </c>
      <c r="G3214" t="n">
        <v>1.99</v>
      </c>
      <c r="H3214" t="inlineStr">
        <is>
          <t>Lead</t>
        </is>
      </c>
      <c r="I3214" t="inlineStr">
        <is>
          <t>Open</t>
        </is>
      </c>
      <c r="M3214">
        <f>VLOOKUP(H3214,'Stage Order'!$A$2:$B$8,2,FALSE)</f>
        <v/>
      </c>
      <c r="N3214">
        <f>IF(G3214&lt;=1,"1. Under 1 hour",IF(G3214&lt;=24,"2. 1-24 hours",IF(G3214&lt;=72,"3. 1-3 days","4. Over 3 days")))</f>
        <v/>
      </c>
      <c r="O3214">
        <f>TEXT(B3214,"YYYY-MM")</f>
        <v/>
      </c>
    </row>
    <row r="3215">
      <c r="A3215" t="inlineStr">
        <is>
          <t>LD-303213</t>
        </is>
      </c>
      <c r="B3215" t="inlineStr">
        <is>
          <t>2026-02-06 17:40:00</t>
        </is>
      </c>
      <c r="C3215" t="inlineStr">
        <is>
          <t>Organic Search</t>
        </is>
      </c>
      <c r="D3215" t="inlineStr">
        <is>
          <t>K-12 Math</t>
        </is>
      </c>
      <c r="E3215" t="inlineStr">
        <is>
          <t>South Region</t>
        </is>
      </c>
      <c r="F3215" t="inlineStr">
        <is>
          <t>Rep_02</t>
        </is>
      </c>
      <c r="G3215" t="n">
        <v>8.050000000000001</v>
      </c>
      <c r="H3215" t="inlineStr">
        <is>
          <t>Demo Completed</t>
        </is>
      </c>
      <c r="I3215" t="inlineStr">
        <is>
          <t>Lost</t>
        </is>
      </c>
      <c r="J3215" t="inlineStr">
        <is>
          <t>Price Objection</t>
        </is>
      </c>
      <c r="K3215" t="n">
        <v>563.6900000000001</v>
      </c>
      <c r="L3215" t="inlineStr">
        <is>
          <t>2026-03-12 03:25:23.319038</t>
        </is>
      </c>
      <c r="M3215">
        <f>VLOOKUP(H3215,'Stage Order'!$A$2:$B$8,2,FALSE)</f>
        <v/>
      </c>
      <c r="N3215">
        <f>IF(G3215&lt;=1,"1. Under 1 hour",IF(G3215&lt;=24,"2. 1-24 hours",IF(G3215&lt;=72,"3. 1-3 days","4. Over 3 days")))</f>
        <v/>
      </c>
      <c r="O3215">
        <f>TEXT(B3215,"YYYY-MM")</f>
        <v/>
      </c>
    </row>
    <row r="3216">
      <c r="A3216" t="inlineStr">
        <is>
          <t>LD-303214</t>
        </is>
      </c>
      <c r="B3216" t="inlineStr">
        <is>
          <t>2026-03-02 19:58:00</t>
        </is>
      </c>
      <c r="C3216" t="inlineStr">
        <is>
          <t>Paid Search</t>
        </is>
      </c>
      <c r="D3216" t="inlineStr">
        <is>
          <t>Competitive Exam Prep</t>
        </is>
      </c>
      <c r="E3216" t="inlineStr">
        <is>
          <t>West Region</t>
        </is>
      </c>
      <c r="F3216" t="inlineStr">
        <is>
          <t>Rep_08</t>
        </is>
      </c>
      <c r="G3216" t="n">
        <v>0.68</v>
      </c>
      <c r="H3216" t="inlineStr">
        <is>
          <t>Closed</t>
        </is>
      </c>
      <c r="I3216" t="inlineStr">
        <is>
          <t>Won</t>
        </is>
      </c>
      <c r="K3216" t="n">
        <v>876.52</v>
      </c>
      <c r="L3216" t="inlineStr">
        <is>
          <t>2026-04-10 14:27:31.889729</t>
        </is>
      </c>
      <c r="M3216">
        <f>VLOOKUP(H3216,'Stage Order'!$A$2:$B$8,2,FALSE)</f>
        <v/>
      </c>
      <c r="N3216">
        <f>IF(G3216&lt;=1,"1. Under 1 hour",IF(G3216&lt;=24,"2. 1-24 hours",IF(G3216&lt;=72,"3. 1-3 days","4. Over 3 days")))</f>
        <v/>
      </c>
      <c r="O3216">
        <f>TEXT(B3216,"YYYY-MM")</f>
        <v/>
      </c>
    </row>
    <row r="3217">
      <c r="A3217" t="inlineStr">
        <is>
          <t>LD-303215</t>
        </is>
      </c>
      <c r="B3217" t="inlineStr">
        <is>
          <t>2026-02-11 17:19:00</t>
        </is>
      </c>
      <c r="C3217" t="inlineStr">
        <is>
          <t>Partner Channel</t>
        </is>
      </c>
      <c r="D3217" t="inlineStr">
        <is>
          <t>Competitive Exam Prep</t>
        </is>
      </c>
      <c r="E3217" t="inlineStr">
        <is>
          <t>North Region</t>
        </is>
      </c>
      <c r="F3217" t="inlineStr">
        <is>
          <t>Rep_01</t>
        </is>
      </c>
      <c r="G3217" t="n">
        <v>2.24</v>
      </c>
      <c r="H3217" t="inlineStr">
        <is>
          <t>Closed</t>
        </is>
      </c>
      <c r="I3217" t="inlineStr">
        <is>
          <t>Won</t>
        </is>
      </c>
      <c r="K3217" t="n">
        <v>868.8</v>
      </c>
      <c r="L3217" t="inlineStr">
        <is>
          <t>2026-03-11 17:08:17.192219</t>
        </is>
      </c>
      <c r="M3217">
        <f>VLOOKUP(H3217,'Stage Order'!$A$2:$B$8,2,FALSE)</f>
        <v/>
      </c>
      <c r="N3217">
        <f>IF(G3217&lt;=1,"1. Under 1 hour",IF(G3217&lt;=24,"2. 1-24 hours",IF(G3217&lt;=72,"3. 1-3 days","4. Over 3 days")))</f>
        <v/>
      </c>
      <c r="O3217">
        <f>TEXT(B3217,"YYYY-MM")</f>
        <v/>
      </c>
    </row>
    <row r="3218">
      <c r="A3218" t="inlineStr">
        <is>
          <t>LD-303216</t>
        </is>
      </c>
      <c r="B3218" t="inlineStr">
        <is>
          <t>2026-02-02 09:16:00</t>
        </is>
      </c>
      <c r="C3218" t="inlineStr">
        <is>
          <t>Paid Search</t>
        </is>
      </c>
      <c r="D3218" t="inlineStr">
        <is>
          <t>K-12 Math</t>
        </is>
      </c>
      <c r="E3218" t="inlineStr">
        <is>
          <t>West Region</t>
        </is>
      </c>
      <c r="F3218" t="inlineStr">
        <is>
          <t>Rep_03</t>
        </is>
      </c>
      <c r="G3218" t="n">
        <v>2.79</v>
      </c>
      <c r="H3218" t="inlineStr">
        <is>
          <t>Demo Scheduled</t>
        </is>
      </c>
      <c r="I3218" t="inlineStr">
        <is>
          <t>Open</t>
        </is>
      </c>
      <c r="M3218">
        <f>VLOOKUP(H3218,'Stage Order'!$A$2:$B$8,2,FALSE)</f>
        <v/>
      </c>
      <c r="N3218">
        <f>IF(G3218&lt;=1,"1. Under 1 hour",IF(G3218&lt;=24,"2. 1-24 hours",IF(G3218&lt;=72,"3. 1-3 days","4. Over 3 days")))</f>
        <v/>
      </c>
      <c r="O3218">
        <f>TEXT(B3218,"YYYY-MM")</f>
        <v/>
      </c>
    </row>
    <row r="3219">
      <c r="A3219" t="inlineStr">
        <is>
          <t>LD-303217</t>
        </is>
      </c>
      <c r="B3219" t="inlineStr">
        <is>
          <t>2026-03-16 11:25:00</t>
        </is>
      </c>
      <c r="C3219" t="inlineStr">
        <is>
          <t>Organic Search</t>
        </is>
      </c>
      <c r="D3219" t="inlineStr">
        <is>
          <t>K-12 Math</t>
        </is>
      </c>
      <c r="E3219" t="inlineStr">
        <is>
          <t>North Region</t>
        </is>
      </c>
      <c r="F3219" t="inlineStr">
        <is>
          <t>Rep_11</t>
        </is>
      </c>
      <c r="G3219" t="n">
        <v>8.390000000000001</v>
      </c>
      <c r="H3219" t="inlineStr">
        <is>
          <t>Contacted</t>
        </is>
      </c>
      <c r="I3219" t="inlineStr">
        <is>
          <t>Open</t>
        </is>
      </c>
      <c r="M3219">
        <f>VLOOKUP(H3219,'Stage Order'!$A$2:$B$8,2,FALSE)</f>
        <v/>
      </c>
      <c r="N3219">
        <f>IF(G3219&lt;=1,"1. Under 1 hour",IF(G3219&lt;=24,"2. 1-24 hours",IF(G3219&lt;=72,"3. 1-3 days","4. Over 3 days")))</f>
        <v/>
      </c>
      <c r="O3219">
        <f>TEXT(B3219,"YYYY-MM")</f>
        <v/>
      </c>
    </row>
    <row r="3220">
      <c r="A3220" t="inlineStr">
        <is>
          <t>LD-303218</t>
        </is>
      </c>
      <c r="B3220" t="inlineStr">
        <is>
          <t>2026-04-24 17:01:00</t>
        </is>
      </c>
      <c r="C3220" t="inlineStr">
        <is>
          <t>Paid Search</t>
        </is>
      </c>
      <c r="D3220" t="inlineStr">
        <is>
          <t>Study Abroad Prep</t>
        </is>
      </c>
      <c r="E3220" t="inlineStr">
        <is>
          <t>South Region</t>
        </is>
      </c>
      <c r="F3220" t="inlineStr">
        <is>
          <t>Rep_12</t>
        </is>
      </c>
      <c r="G3220" t="n">
        <v>8.630000000000001</v>
      </c>
      <c r="H3220" t="inlineStr">
        <is>
          <t>Lead</t>
        </is>
      </c>
      <c r="I3220" t="inlineStr">
        <is>
          <t>Open</t>
        </is>
      </c>
      <c r="M3220">
        <f>VLOOKUP(H3220,'Stage Order'!$A$2:$B$8,2,FALSE)</f>
        <v/>
      </c>
      <c r="N3220">
        <f>IF(G3220&lt;=1,"1. Under 1 hour",IF(G3220&lt;=24,"2. 1-24 hours",IF(G3220&lt;=72,"3. 1-3 days","4. Over 3 days")))</f>
        <v/>
      </c>
      <c r="O3220">
        <f>TEXT(B3220,"YYYY-MM")</f>
        <v/>
      </c>
    </row>
    <row r="3221">
      <c r="A3221" t="inlineStr">
        <is>
          <t>LD-303219</t>
        </is>
      </c>
      <c r="B3221" t="inlineStr">
        <is>
          <t>2025-09-25 11:59:00</t>
        </is>
      </c>
      <c r="C3221" t="inlineStr">
        <is>
          <t>Paid Search</t>
        </is>
      </c>
      <c r="D3221" t="inlineStr">
        <is>
          <t>Competitive Exam Prep</t>
        </is>
      </c>
      <c r="E3221" t="inlineStr">
        <is>
          <t>International</t>
        </is>
      </c>
      <c r="F3221" t="inlineStr">
        <is>
          <t>Rep_05</t>
        </is>
      </c>
      <c r="G3221" t="n">
        <v>6.77</v>
      </c>
      <c r="H3221" t="inlineStr">
        <is>
          <t>Demo Completed</t>
        </is>
      </c>
      <c r="I3221" t="inlineStr">
        <is>
          <t>Lost</t>
        </is>
      </c>
      <c r="J3221" t="inlineStr">
        <is>
          <t>Bad Timing</t>
        </is>
      </c>
      <c r="K3221" t="n">
        <v>862.24</v>
      </c>
      <c r="L3221" t="inlineStr">
        <is>
          <t>2025-11-01 03:50:17.565266</t>
        </is>
      </c>
      <c r="M3221">
        <f>VLOOKUP(H3221,'Stage Order'!$A$2:$B$8,2,FALSE)</f>
        <v/>
      </c>
      <c r="N3221">
        <f>IF(G3221&lt;=1,"1. Under 1 hour",IF(G3221&lt;=24,"2. 1-24 hours",IF(G3221&lt;=72,"3. 1-3 days","4. Over 3 days")))</f>
        <v/>
      </c>
      <c r="O3221">
        <f>TEXT(B3221,"YYYY-MM")</f>
        <v/>
      </c>
    </row>
    <row r="3222">
      <c r="A3222" t="inlineStr">
        <is>
          <t>LD-303220</t>
        </is>
      </c>
      <c r="B3222" t="inlineStr">
        <is>
          <t>2025-10-01 19:20:00</t>
        </is>
      </c>
      <c r="C3222" t="inlineStr">
        <is>
          <t>Social Media</t>
        </is>
      </c>
      <c r="D3222" t="inlineStr">
        <is>
          <t>Coding for Kids</t>
        </is>
      </c>
      <c r="E3222" t="inlineStr">
        <is>
          <t>North Region</t>
        </is>
      </c>
      <c r="F3222" t="inlineStr">
        <is>
          <t>Rep_01</t>
        </is>
      </c>
      <c r="G3222" t="n">
        <v>1.05</v>
      </c>
      <c r="H3222" t="inlineStr">
        <is>
          <t>Contacted</t>
        </is>
      </c>
      <c r="I3222" t="inlineStr">
        <is>
          <t>Open</t>
        </is>
      </c>
      <c r="M3222">
        <f>VLOOKUP(H3222,'Stage Order'!$A$2:$B$8,2,FALSE)</f>
        <v/>
      </c>
      <c r="N3222">
        <f>IF(G3222&lt;=1,"1. Under 1 hour",IF(G3222&lt;=24,"2. 1-24 hours",IF(G3222&lt;=72,"3. 1-3 days","4. Over 3 days")))</f>
        <v/>
      </c>
      <c r="O3222">
        <f>TEXT(B3222,"YYYY-MM")</f>
        <v/>
      </c>
    </row>
    <row r="3223">
      <c r="A3223" t="inlineStr">
        <is>
          <t>LD-303221</t>
        </is>
      </c>
      <c r="B3223" t="inlineStr">
        <is>
          <t>2026-06-03 15:28:00</t>
        </is>
      </c>
      <c r="C3223" t="inlineStr">
        <is>
          <t>Webinar</t>
        </is>
      </c>
      <c r="D3223" t="inlineStr">
        <is>
          <t>Study Abroad Prep</t>
        </is>
      </c>
      <c r="E3223" t="inlineStr">
        <is>
          <t>South Region</t>
        </is>
      </c>
      <c r="F3223" t="inlineStr">
        <is>
          <t>Rep_02</t>
        </is>
      </c>
      <c r="G3223" t="n">
        <v>1.72</v>
      </c>
      <c r="H3223" t="inlineStr">
        <is>
          <t>Closed</t>
        </is>
      </c>
      <c r="I3223" t="inlineStr">
        <is>
          <t>Won</t>
        </is>
      </c>
      <c r="K3223" t="n">
        <v>1462.15</v>
      </c>
      <c r="L3223" t="inlineStr">
        <is>
          <t>2026-07-16 07:54:00.653245</t>
        </is>
      </c>
      <c r="M3223">
        <f>VLOOKUP(H3223,'Stage Order'!$A$2:$B$8,2,FALSE)</f>
        <v/>
      </c>
      <c r="N3223">
        <f>IF(G3223&lt;=1,"1. Under 1 hour",IF(G3223&lt;=24,"2. 1-24 hours",IF(G3223&lt;=72,"3. 1-3 days","4. Over 3 days")))</f>
        <v/>
      </c>
      <c r="O3223">
        <f>TEXT(B3223,"YYYY-MM")</f>
        <v/>
      </c>
    </row>
    <row r="3224">
      <c r="A3224" t="inlineStr">
        <is>
          <t>LD-303222</t>
        </is>
      </c>
      <c r="B3224" t="inlineStr">
        <is>
          <t>2026-06-18 11:47:00</t>
        </is>
      </c>
      <c r="C3224" t="inlineStr">
        <is>
          <t>Partner Channel</t>
        </is>
      </c>
      <c r="D3224" t="inlineStr">
        <is>
          <t>K-12 Math</t>
        </is>
      </c>
      <c r="E3224" t="inlineStr">
        <is>
          <t>East Region</t>
        </is>
      </c>
      <c r="F3224" t="inlineStr">
        <is>
          <t>Rep_09</t>
        </is>
      </c>
      <c r="G3224" t="n">
        <v>12.68</v>
      </c>
      <c r="H3224" t="inlineStr">
        <is>
          <t>Contacted</t>
        </is>
      </c>
      <c r="I3224" t="inlineStr">
        <is>
          <t>Open</t>
        </is>
      </c>
      <c r="M3224">
        <f>VLOOKUP(H3224,'Stage Order'!$A$2:$B$8,2,FALSE)</f>
        <v/>
      </c>
      <c r="N3224">
        <f>IF(G3224&lt;=1,"1. Under 1 hour",IF(G3224&lt;=24,"2. 1-24 hours",IF(G3224&lt;=72,"3. 1-3 days","4. Over 3 days")))</f>
        <v/>
      </c>
      <c r="O3224">
        <f>TEXT(B3224,"YYYY-MM")</f>
        <v/>
      </c>
    </row>
    <row r="3225">
      <c r="A3225" t="inlineStr">
        <is>
          <t>LD-303223</t>
        </is>
      </c>
      <c r="B3225" t="inlineStr">
        <is>
          <t>2026-01-27 07:50:00</t>
        </is>
      </c>
      <c r="C3225" t="inlineStr">
        <is>
          <t>Social Media</t>
        </is>
      </c>
      <c r="D3225" t="inlineStr">
        <is>
          <t>Competitive Exam Prep</t>
        </is>
      </c>
      <c r="E3225" t="inlineStr">
        <is>
          <t>West Region</t>
        </is>
      </c>
      <c r="F3225" t="inlineStr">
        <is>
          <t>Rep_08</t>
        </is>
      </c>
      <c r="G3225" t="n">
        <v>3.99</v>
      </c>
      <c r="H3225" t="inlineStr">
        <is>
          <t>Contacted</t>
        </is>
      </c>
      <c r="I3225" t="inlineStr">
        <is>
          <t>Open</t>
        </is>
      </c>
      <c r="M3225">
        <f>VLOOKUP(H3225,'Stage Order'!$A$2:$B$8,2,FALSE)</f>
        <v/>
      </c>
      <c r="N3225">
        <f>IF(G3225&lt;=1,"1. Under 1 hour",IF(G3225&lt;=24,"2. 1-24 hours",IF(G3225&lt;=72,"3. 1-3 days","4. Over 3 days")))</f>
        <v/>
      </c>
      <c r="O3225">
        <f>TEXT(B3225,"YYYY-MM")</f>
        <v/>
      </c>
    </row>
    <row r="3226">
      <c r="A3226" t="inlineStr">
        <is>
          <t>LD-303224</t>
        </is>
      </c>
      <c r="B3226" t="inlineStr">
        <is>
          <t>2025-09-10 17:43:00</t>
        </is>
      </c>
      <c r="C3226" t="inlineStr">
        <is>
          <t>Webinar</t>
        </is>
      </c>
      <c r="D3226" t="inlineStr">
        <is>
          <t>K-12 Math</t>
        </is>
      </c>
      <c r="E3226" t="inlineStr">
        <is>
          <t>North Region</t>
        </is>
      </c>
      <c r="F3226" t="inlineStr">
        <is>
          <t>Rep_06</t>
        </is>
      </c>
      <c r="G3226" t="n">
        <v>5.78</v>
      </c>
      <c r="H3226" t="inlineStr">
        <is>
          <t>Demo Scheduled</t>
        </is>
      </c>
      <c r="I3226" t="inlineStr">
        <is>
          <t>Open</t>
        </is>
      </c>
      <c r="M3226">
        <f>VLOOKUP(H3226,'Stage Order'!$A$2:$B$8,2,FALSE)</f>
        <v/>
      </c>
      <c r="N3226">
        <f>IF(G3226&lt;=1,"1. Under 1 hour",IF(G3226&lt;=24,"2. 1-24 hours",IF(G3226&lt;=72,"3. 1-3 days","4. Over 3 days")))</f>
        <v/>
      </c>
      <c r="O3226">
        <f>TEXT(B3226,"YYYY-MM")</f>
        <v/>
      </c>
    </row>
    <row r="3227">
      <c r="A3227" t="inlineStr">
        <is>
          <t>LD-303225</t>
        </is>
      </c>
      <c r="B3227" t="inlineStr">
        <is>
          <t>2026-01-16 17:27:00</t>
        </is>
      </c>
      <c r="C3227" t="inlineStr">
        <is>
          <t>Organic Search</t>
        </is>
      </c>
      <c r="D3227" t="inlineStr">
        <is>
          <t>K-12 Math</t>
        </is>
      </c>
      <c r="E3227" t="inlineStr">
        <is>
          <t>North Region</t>
        </is>
      </c>
      <c r="F3227" t="inlineStr">
        <is>
          <t>Rep_06</t>
        </is>
      </c>
      <c r="G3227" t="n">
        <v>3.45</v>
      </c>
      <c r="H3227" t="inlineStr">
        <is>
          <t>Contacted</t>
        </is>
      </c>
      <c r="I3227" t="inlineStr">
        <is>
          <t>Open</t>
        </is>
      </c>
      <c r="M3227">
        <f>VLOOKUP(H3227,'Stage Order'!$A$2:$B$8,2,FALSE)</f>
        <v/>
      </c>
      <c r="N3227">
        <f>IF(G3227&lt;=1,"1. Under 1 hour",IF(G3227&lt;=24,"2. 1-24 hours",IF(G3227&lt;=72,"3. 1-3 days","4. Over 3 days")))</f>
        <v/>
      </c>
      <c r="O3227">
        <f>TEXT(B3227,"YYYY-MM")</f>
        <v/>
      </c>
    </row>
    <row r="3228">
      <c r="A3228" t="inlineStr">
        <is>
          <t>LD-303226</t>
        </is>
      </c>
      <c r="B3228" t="inlineStr">
        <is>
          <t>2026-03-16 18:56:00</t>
        </is>
      </c>
      <c r="C3228" t="inlineStr">
        <is>
          <t>Paid Search</t>
        </is>
      </c>
      <c r="D3228" t="inlineStr">
        <is>
          <t>Coding for Kids</t>
        </is>
      </c>
      <c r="E3228" t="inlineStr">
        <is>
          <t>International</t>
        </is>
      </c>
      <c r="F3228" t="inlineStr">
        <is>
          <t>Rep_15</t>
        </is>
      </c>
      <c r="G3228" t="n">
        <v>2.27</v>
      </c>
      <c r="H3228" t="inlineStr">
        <is>
          <t>Contacted</t>
        </is>
      </c>
      <c r="I3228" t="inlineStr">
        <is>
          <t>Open</t>
        </is>
      </c>
      <c r="M3228">
        <f>VLOOKUP(H3228,'Stage Order'!$A$2:$B$8,2,FALSE)</f>
        <v/>
      </c>
      <c r="N3228">
        <f>IF(G3228&lt;=1,"1. Under 1 hour",IF(G3228&lt;=24,"2. 1-24 hours",IF(G3228&lt;=72,"3. 1-3 days","4. Over 3 days")))</f>
        <v/>
      </c>
      <c r="O3228">
        <f>TEXT(B3228,"YYYY-MM")</f>
        <v/>
      </c>
    </row>
    <row r="3229">
      <c r="A3229" t="inlineStr">
        <is>
          <t>LD-303227</t>
        </is>
      </c>
      <c r="B3229" t="inlineStr">
        <is>
          <t>2025-05-22 16:00:00</t>
        </is>
      </c>
      <c r="C3229" t="inlineStr">
        <is>
          <t>Partner Channel</t>
        </is>
      </c>
      <c r="D3229" t="inlineStr">
        <is>
          <t>K-12 Math</t>
        </is>
      </c>
      <c r="E3229" t="inlineStr">
        <is>
          <t>East Region</t>
        </is>
      </c>
      <c r="F3229" t="inlineStr">
        <is>
          <t>Rep_14</t>
        </is>
      </c>
      <c r="G3229" t="n">
        <v>2.53</v>
      </c>
      <c r="H3229" t="inlineStr">
        <is>
          <t>Contacted</t>
        </is>
      </c>
      <c r="I3229" t="inlineStr">
        <is>
          <t>Open</t>
        </is>
      </c>
      <c r="M3229">
        <f>VLOOKUP(H3229,'Stage Order'!$A$2:$B$8,2,FALSE)</f>
        <v/>
      </c>
      <c r="N3229">
        <f>IF(G3229&lt;=1,"1. Under 1 hour",IF(G3229&lt;=24,"2. 1-24 hours",IF(G3229&lt;=72,"3. 1-3 days","4. Over 3 days")))</f>
        <v/>
      </c>
      <c r="O3229">
        <f>TEXT(B3229,"YYYY-MM")</f>
        <v/>
      </c>
    </row>
    <row r="3230">
      <c r="A3230" t="inlineStr">
        <is>
          <t>LD-303228</t>
        </is>
      </c>
      <c r="B3230" t="inlineStr">
        <is>
          <t>2025-11-24 18:10:00</t>
        </is>
      </c>
      <c r="C3230" t="inlineStr">
        <is>
          <t>Social Media</t>
        </is>
      </c>
      <c r="D3230" t="inlineStr">
        <is>
          <t>Language Learning</t>
        </is>
      </c>
      <c r="E3230" t="inlineStr">
        <is>
          <t>South Region</t>
        </is>
      </c>
      <c r="F3230" t="inlineStr">
        <is>
          <t>Rep_12</t>
        </is>
      </c>
      <c r="G3230" t="n">
        <v>1.15</v>
      </c>
      <c r="H3230" t="inlineStr">
        <is>
          <t>Negotiation</t>
        </is>
      </c>
      <c r="I3230" t="inlineStr">
        <is>
          <t>Lost</t>
        </is>
      </c>
      <c r="J3230" t="inlineStr">
        <is>
          <t>Price Objection</t>
        </is>
      </c>
      <c r="K3230" t="n">
        <v>382.28</v>
      </c>
      <c r="L3230" t="inlineStr">
        <is>
          <t>2026-01-11 16:43:52.015328</t>
        </is>
      </c>
      <c r="M3230">
        <f>VLOOKUP(H3230,'Stage Order'!$A$2:$B$8,2,FALSE)</f>
        <v/>
      </c>
      <c r="N3230">
        <f>IF(G3230&lt;=1,"1. Under 1 hour",IF(G3230&lt;=24,"2. 1-24 hours",IF(G3230&lt;=72,"3. 1-3 days","4. Over 3 days")))</f>
        <v/>
      </c>
      <c r="O3230">
        <f>TEXT(B3230,"YYYY-MM")</f>
        <v/>
      </c>
    </row>
    <row r="3231">
      <c r="A3231" t="inlineStr">
        <is>
          <t>LD-303229</t>
        </is>
      </c>
      <c r="B3231" t="inlineStr">
        <is>
          <t>2025-04-10 12:48:00</t>
        </is>
      </c>
      <c r="C3231" t="inlineStr">
        <is>
          <t>Organic Search</t>
        </is>
      </c>
      <c r="D3231" t="inlineStr">
        <is>
          <t>Competitive Exam Prep</t>
        </is>
      </c>
      <c r="E3231" t="inlineStr">
        <is>
          <t>International</t>
        </is>
      </c>
      <c r="F3231" t="inlineStr">
        <is>
          <t>Rep_05</t>
        </is>
      </c>
      <c r="G3231" t="n">
        <v>3.55</v>
      </c>
      <c r="H3231" t="inlineStr">
        <is>
          <t>Negotiation</t>
        </is>
      </c>
      <c r="I3231" t="inlineStr">
        <is>
          <t>Lost</t>
        </is>
      </c>
      <c r="J3231" t="inlineStr">
        <is>
          <t>Went With Competitor</t>
        </is>
      </c>
      <c r="K3231" t="n">
        <v>1085.33</v>
      </c>
      <c r="L3231" t="inlineStr">
        <is>
          <t>2025-06-07 13:06:05.237376</t>
        </is>
      </c>
      <c r="M3231">
        <f>VLOOKUP(H3231,'Stage Order'!$A$2:$B$8,2,FALSE)</f>
        <v/>
      </c>
      <c r="N3231">
        <f>IF(G3231&lt;=1,"1. Under 1 hour",IF(G3231&lt;=24,"2. 1-24 hours",IF(G3231&lt;=72,"3. 1-3 days","4. Over 3 days")))</f>
        <v/>
      </c>
      <c r="O3231">
        <f>TEXT(B3231,"YYYY-MM")</f>
        <v/>
      </c>
    </row>
    <row r="3232">
      <c r="A3232" t="inlineStr">
        <is>
          <t>LD-303230</t>
        </is>
      </c>
      <c r="B3232" t="inlineStr">
        <is>
          <t>2026-06-12 15:29:00</t>
        </is>
      </c>
      <c r="C3232" t="inlineStr">
        <is>
          <t>Organic Search</t>
        </is>
      </c>
      <c r="D3232" t="inlineStr">
        <is>
          <t>Coding for Kids</t>
        </is>
      </c>
      <c r="E3232" t="inlineStr">
        <is>
          <t>West Region</t>
        </is>
      </c>
      <c r="F3232" t="inlineStr">
        <is>
          <t>Rep_03</t>
        </is>
      </c>
      <c r="G3232" t="n">
        <v>2.18</v>
      </c>
      <c r="H3232" t="inlineStr">
        <is>
          <t>Contacted</t>
        </is>
      </c>
      <c r="I3232" t="inlineStr">
        <is>
          <t>Open</t>
        </is>
      </c>
      <c r="M3232">
        <f>VLOOKUP(H3232,'Stage Order'!$A$2:$B$8,2,FALSE)</f>
        <v/>
      </c>
      <c r="N3232">
        <f>IF(G3232&lt;=1,"1. Under 1 hour",IF(G3232&lt;=24,"2. 1-24 hours",IF(G3232&lt;=72,"3. 1-3 days","4. Over 3 days")))</f>
        <v/>
      </c>
      <c r="O3232">
        <f>TEXT(B3232,"YYYY-MM")</f>
        <v/>
      </c>
    </row>
    <row r="3233">
      <c r="A3233" t="inlineStr">
        <is>
          <t>LD-303231</t>
        </is>
      </c>
      <c r="B3233" t="inlineStr">
        <is>
          <t>2026-01-05 09:09:00</t>
        </is>
      </c>
      <c r="C3233" t="inlineStr">
        <is>
          <t>Paid Search</t>
        </is>
      </c>
      <c r="D3233" t="inlineStr">
        <is>
          <t>K-12 Math</t>
        </is>
      </c>
      <c r="E3233" t="inlineStr">
        <is>
          <t>International</t>
        </is>
      </c>
      <c r="F3233" t="inlineStr">
        <is>
          <t>Rep_05</t>
        </is>
      </c>
      <c r="G3233" t="n">
        <v>6.89</v>
      </c>
      <c r="H3233" t="inlineStr">
        <is>
          <t>Contacted</t>
        </is>
      </c>
      <c r="I3233" t="inlineStr">
        <is>
          <t>Open</t>
        </is>
      </c>
      <c r="M3233">
        <f>VLOOKUP(H3233,'Stage Order'!$A$2:$B$8,2,FALSE)</f>
        <v/>
      </c>
      <c r="N3233">
        <f>IF(G3233&lt;=1,"1. Under 1 hour",IF(G3233&lt;=24,"2. 1-24 hours",IF(G3233&lt;=72,"3. 1-3 days","4. Over 3 days")))</f>
        <v/>
      </c>
      <c r="O3233">
        <f>TEXT(B3233,"YYYY-MM")</f>
        <v/>
      </c>
    </row>
    <row r="3234">
      <c r="A3234" t="inlineStr">
        <is>
          <t>LD-303232</t>
        </is>
      </c>
      <c r="B3234" t="inlineStr">
        <is>
          <t>2025-05-16 07:20:00</t>
        </is>
      </c>
      <c r="C3234" t="inlineStr">
        <is>
          <t>Organic Search</t>
        </is>
      </c>
      <c r="D3234" t="inlineStr">
        <is>
          <t>K-12 Math</t>
        </is>
      </c>
      <c r="E3234" t="inlineStr">
        <is>
          <t>North Region</t>
        </is>
      </c>
      <c r="F3234" t="inlineStr">
        <is>
          <t>Rep_11</t>
        </is>
      </c>
      <c r="G3234" t="n">
        <v>0.32</v>
      </c>
      <c r="H3234" t="inlineStr">
        <is>
          <t>Contacted</t>
        </is>
      </c>
      <c r="I3234" t="inlineStr">
        <is>
          <t>Open</t>
        </is>
      </c>
      <c r="M3234">
        <f>VLOOKUP(H3234,'Stage Order'!$A$2:$B$8,2,FALSE)</f>
        <v/>
      </c>
      <c r="N3234">
        <f>IF(G3234&lt;=1,"1. Under 1 hour",IF(G3234&lt;=24,"2. 1-24 hours",IF(G3234&lt;=72,"3. 1-3 days","4. Over 3 days")))</f>
        <v/>
      </c>
      <c r="O3234">
        <f>TEXT(B3234,"YYYY-MM")</f>
        <v/>
      </c>
    </row>
    <row r="3235">
      <c r="A3235" t="inlineStr">
        <is>
          <t>LD-303233</t>
        </is>
      </c>
      <c r="B3235" t="inlineStr">
        <is>
          <t>2025-02-26 14:51:00</t>
        </is>
      </c>
      <c r="C3235" t="inlineStr">
        <is>
          <t>Paid Search</t>
        </is>
      </c>
      <c r="D3235" t="inlineStr">
        <is>
          <t>Coding for Kids</t>
        </is>
      </c>
      <c r="E3235" t="inlineStr">
        <is>
          <t>South Region</t>
        </is>
      </c>
      <c r="F3235" t="inlineStr">
        <is>
          <t>Rep_07</t>
        </is>
      </c>
      <c r="G3235" t="n">
        <v>1.85</v>
      </c>
      <c r="H3235" t="inlineStr">
        <is>
          <t>Contacted</t>
        </is>
      </c>
      <c r="I3235" t="inlineStr">
        <is>
          <t>Open</t>
        </is>
      </c>
      <c r="M3235">
        <f>VLOOKUP(H3235,'Stage Order'!$A$2:$B$8,2,FALSE)</f>
        <v/>
      </c>
      <c r="N3235">
        <f>IF(G3235&lt;=1,"1. Under 1 hour",IF(G3235&lt;=24,"2. 1-24 hours",IF(G3235&lt;=72,"3. 1-3 days","4. Over 3 days")))</f>
        <v/>
      </c>
      <c r="O3235">
        <f>TEXT(B3235,"YYYY-MM")</f>
        <v/>
      </c>
    </row>
    <row r="3236">
      <c r="A3236" t="inlineStr">
        <is>
          <t>LD-303234</t>
        </is>
      </c>
      <c r="B3236" t="inlineStr">
        <is>
          <t>2025-06-09 16:57:00</t>
        </is>
      </c>
      <c r="C3236" t="inlineStr">
        <is>
          <t>Partner Channel</t>
        </is>
      </c>
      <c r="D3236" t="inlineStr">
        <is>
          <t>Study Abroad Prep</t>
        </is>
      </c>
      <c r="E3236" t="inlineStr">
        <is>
          <t>North Region</t>
        </is>
      </c>
      <c r="F3236" t="inlineStr">
        <is>
          <t>Rep_06</t>
        </is>
      </c>
      <c r="G3236" t="n">
        <v>1.16</v>
      </c>
      <c r="H3236" t="inlineStr">
        <is>
          <t>Contacted</t>
        </is>
      </c>
      <c r="I3236" t="inlineStr">
        <is>
          <t>Open</t>
        </is>
      </c>
      <c r="M3236">
        <f>VLOOKUP(H3236,'Stage Order'!$A$2:$B$8,2,FALSE)</f>
        <v/>
      </c>
      <c r="N3236">
        <f>IF(G3236&lt;=1,"1. Under 1 hour",IF(G3236&lt;=24,"2. 1-24 hours",IF(G3236&lt;=72,"3. 1-3 days","4. Over 3 days")))</f>
        <v/>
      </c>
      <c r="O3236">
        <f>TEXT(B3236,"YYYY-MM")</f>
        <v/>
      </c>
    </row>
    <row r="3237">
      <c r="A3237" t="inlineStr">
        <is>
          <t>LD-303235</t>
        </is>
      </c>
      <c r="B3237" t="inlineStr">
        <is>
          <t>2025-06-05 07:50:00</t>
        </is>
      </c>
      <c r="C3237" t="inlineStr">
        <is>
          <t>Organic Search</t>
        </is>
      </c>
      <c r="D3237" t="inlineStr">
        <is>
          <t>Competitive Exam Prep</t>
        </is>
      </c>
      <c r="E3237" t="inlineStr">
        <is>
          <t>North Region</t>
        </is>
      </c>
      <c r="F3237" t="inlineStr">
        <is>
          <t>Rep_11</t>
        </is>
      </c>
      <c r="G3237" t="n">
        <v>2.38</v>
      </c>
      <c r="H3237" t="inlineStr">
        <is>
          <t>Contacted</t>
        </is>
      </c>
      <c r="I3237" t="inlineStr">
        <is>
          <t>Open</t>
        </is>
      </c>
      <c r="M3237">
        <f>VLOOKUP(H3237,'Stage Order'!$A$2:$B$8,2,FALSE)</f>
        <v/>
      </c>
      <c r="N3237">
        <f>IF(G3237&lt;=1,"1. Under 1 hour",IF(G3237&lt;=24,"2. 1-24 hours",IF(G3237&lt;=72,"3. 1-3 days","4. Over 3 days")))</f>
        <v/>
      </c>
      <c r="O3237">
        <f>TEXT(B3237,"YYYY-MM")</f>
        <v/>
      </c>
    </row>
    <row r="3238">
      <c r="A3238" t="inlineStr">
        <is>
          <t>LD-303236</t>
        </is>
      </c>
      <c r="B3238" t="inlineStr">
        <is>
          <t>2025-03-27 13:33:00</t>
        </is>
      </c>
      <c r="C3238" t="inlineStr">
        <is>
          <t>Cold Outreach</t>
        </is>
      </c>
      <c r="D3238" t="inlineStr">
        <is>
          <t>Coding for Kids</t>
        </is>
      </c>
      <c r="E3238" t="inlineStr">
        <is>
          <t>East Region</t>
        </is>
      </c>
      <c r="F3238" t="inlineStr">
        <is>
          <t>Rep_14</t>
        </is>
      </c>
      <c r="G3238" t="n">
        <v>2.43</v>
      </c>
      <c r="H3238" t="inlineStr">
        <is>
          <t>Lead</t>
        </is>
      </c>
      <c r="I3238" t="inlineStr">
        <is>
          <t>Open</t>
        </is>
      </c>
      <c r="M3238">
        <f>VLOOKUP(H3238,'Stage Order'!$A$2:$B$8,2,FALSE)</f>
        <v/>
      </c>
      <c r="N3238">
        <f>IF(G3238&lt;=1,"1. Under 1 hour",IF(G3238&lt;=24,"2. 1-24 hours",IF(G3238&lt;=72,"3. 1-3 days","4. Over 3 days")))</f>
        <v/>
      </c>
      <c r="O3238">
        <f>TEXT(B3238,"YYYY-MM")</f>
        <v/>
      </c>
    </row>
    <row r="3239">
      <c r="A3239" t="inlineStr">
        <is>
          <t>LD-303237</t>
        </is>
      </c>
      <c r="B3239" t="inlineStr">
        <is>
          <t>2025-03-10 15:44:00</t>
        </is>
      </c>
      <c r="C3239" t="inlineStr">
        <is>
          <t>Referral</t>
        </is>
      </c>
      <c r="D3239" t="inlineStr">
        <is>
          <t>Study Abroad Prep</t>
        </is>
      </c>
      <c r="E3239" t="inlineStr">
        <is>
          <t>East Region</t>
        </is>
      </c>
      <c r="F3239" t="inlineStr">
        <is>
          <t>Rep_04</t>
        </is>
      </c>
      <c r="G3239" t="n">
        <v>1.11</v>
      </c>
      <c r="H3239" t="inlineStr">
        <is>
          <t>Negotiation</t>
        </is>
      </c>
      <c r="I3239" t="inlineStr">
        <is>
          <t>Lost</t>
        </is>
      </c>
      <c r="J3239" t="inlineStr">
        <is>
          <t>Price Objection</t>
        </is>
      </c>
      <c r="K3239" t="n">
        <v>1742.06</v>
      </c>
      <c r="L3239" t="inlineStr">
        <is>
          <t>2025-04-29 01:50:23.412803</t>
        </is>
      </c>
      <c r="M3239">
        <f>VLOOKUP(H3239,'Stage Order'!$A$2:$B$8,2,FALSE)</f>
        <v/>
      </c>
      <c r="N3239">
        <f>IF(G3239&lt;=1,"1. Under 1 hour",IF(G3239&lt;=24,"2. 1-24 hours",IF(G3239&lt;=72,"3. 1-3 days","4. Over 3 days")))</f>
        <v/>
      </c>
      <c r="O3239">
        <f>TEXT(B3239,"YYYY-MM")</f>
        <v/>
      </c>
    </row>
    <row r="3240">
      <c r="A3240" t="inlineStr">
        <is>
          <t>LD-303238</t>
        </is>
      </c>
      <c r="B3240" t="inlineStr">
        <is>
          <t>2025-06-13 20:50:00</t>
        </is>
      </c>
      <c r="C3240" t="inlineStr">
        <is>
          <t>Organic Search</t>
        </is>
      </c>
      <c r="D3240" t="inlineStr">
        <is>
          <t>K-12 Math</t>
        </is>
      </c>
      <c r="E3240" t="inlineStr">
        <is>
          <t>North Region</t>
        </is>
      </c>
      <c r="F3240" t="inlineStr">
        <is>
          <t>Rep_06</t>
        </is>
      </c>
      <c r="G3240" t="n">
        <v>5.45</v>
      </c>
      <c r="H3240" t="inlineStr">
        <is>
          <t>Lead</t>
        </is>
      </c>
      <c r="I3240" t="inlineStr">
        <is>
          <t>Open</t>
        </is>
      </c>
      <c r="M3240">
        <f>VLOOKUP(H3240,'Stage Order'!$A$2:$B$8,2,FALSE)</f>
        <v/>
      </c>
      <c r="N3240">
        <f>IF(G3240&lt;=1,"1. Under 1 hour",IF(G3240&lt;=24,"2. 1-24 hours",IF(G3240&lt;=72,"3. 1-3 days","4. Over 3 days")))</f>
        <v/>
      </c>
      <c r="O3240">
        <f>TEXT(B3240,"YYYY-MM")</f>
        <v/>
      </c>
    </row>
    <row r="3241">
      <c r="A3241" t="inlineStr">
        <is>
          <t>LD-303239</t>
        </is>
      </c>
      <c r="B3241" t="inlineStr">
        <is>
          <t>2025-04-28 15:39:00</t>
        </is>
      </c>
      <c r="C3241" t="inlineStr">
        <is>
          <t>Cold Outreach</t>
        </is>
      </c>
      <c r="D3241" t="inlineStr">
        <is>
          <t>Coding for Kids</t>
        </is>
      </c>
      <c r="E3241" t="inlineStr">
        <is>
          <t>West Region</t>
        </is>
      </c>
      <c r="F3241" t="inlineStr">
        <is>
          <t>Rep_08</t>
        </is>
      </c>
      <c r="G3241" t="n">
        <v>5.37</v>
      </c>
      <c r="H3241" t="inlineStr">
        <is>
          <t>Lead</t>
        </is>
      </c>
      <c r="I3241" t="inlineStr">
        <is>
          <t>Open</t>
        </is>
      </c>
      <c r="M3241">
        <f>VLOOKUP(H3241,'Stage Order'!$A$2:$B$8,2,FALSE)</f>
        <v/>
      </c>
      <c r="N3241">
        <f>IF(G3241&lt;=1,"1. Under 1 hour",IF(G3241&lt;=24,"2. 1-24 hours",IF(G3241&lt;=72,"3. 1-3 days","4. Over 3 days")))</f>
        <v/>
      </c>
      <c r="O3241">
        <f>TEXT(B3241,"YYYY-MM")</f>
        <v/>
      </c>
    </row>
    <row r="3242">
      <c r="A3242" t="inlineStr">
        <is>
          <t>LD-303240</t>
        </is>
      </c>
      <c r="B3242" t="inlineStr">
        <is>
          <t>2026-01-27 20:54:00</t>
        </is>
      </c>
      <c r="C3242" t="inlineStr">
        <is>
          <t>Paid Search</t>
        </is>
      </c>
      <c r="D3242" t="inlineStr">
        <is>
          <t>Language Learning</t>
        </is>
      </c>
      <c r="E3242" t="inlineStr">
        <is>
          <t>North Region</t>
        </is>
      </c>
      <c r="F3242" t="inlineStr">
        <is>
          <t>Rep_11</t>
        </is>
      </c>
      <c r="G3242" t="n">
        <v>5.65</v>
      </c>
      <c r="H3242" t="inlineStr">
        <is>
          <t>Lead</t>
        </is>
      </c>
      <c r="I3242" t="inlineStr">
        <is>
          <t>Open</t>
        </is>
      </c>
      <c r="M3242">
        <f>VLOOKUP(H3242,'Stage Order'!$A$2:$B$8,2,FALSE)</f>
        <v/>
      </c>
      <c r="N3242">
        <f>IF(G3242&lt;=1,"1. Under 1 hour",IF(G3242&lt;=24,"2. 1-24 hours",IF(G3242&lt;=72,"3. 1-3 days","4. Over 3 days")))</f>
        <v/>
      </c>
      <c r="O3242">
        <f>TEXT(B3242,"YYYY-MM")</f>
        <v/>
      </c>
    </row>
    <row r="3243">
      <c r="A3243" t="inlineStr">
        <is>
          <t>LD-303241</t>
        </is>
      </c>
      <c r="B3243" t="inlineStr">
        <is>
          <t>2025-05-22 20:31:00</t>
        </is>
      </c>
      <c r="C3243" t="inlineStr">
        <is>
          <t>Organic Search</t>
        </is>
      </c>
      <c r="D3243" t="inlineStr">
        <is>
          <t>Language Learning</t>
        </is>
      </c>
      <c r="E3243" t="inlineStr">
        <is>
          <t>West Region</t>
        </is>
      </c>
      <c r="F3243" t="inlineStr">
        <is>
          <t>Rep_13</t>
        </is>
      </c>
      <c r="G3243" t="n">
        <v>3.86</v>
      </c>
      <c r="H3243" t="inlineStr">
        <is>
          <t>Contacted</t>
        </is>
      </c>
      <c r="I3243" t="inlineStr">
        <is>
          <t>Open</t>
        </is>
      </c>
      <c r="M3243">
        <f>VLOOKUP(H3243,'Stage Order'!$A$2:$B$8,2,FALSE)</f>
        <v/>
      </c>
      <c r="N3243">
        <f>IF(G3243&lt;=1,"1. Under 1 hour",IF(G3243&lt;=24,"2. 1-24 hours",IF(G3243&lt;=72,"3. 1-3 days","4. Over 3 days")))</f>
        <v/>
      </c>
      <c r="O3243">
        <f>TEXT(B3243,"YYYY-MM")</f>
        <v/>
      </c>
    </row>
    <row r="3244">
      <c r="A3244" t="inlineStr">
        <is>
          <t>LD-303242</t>
        </is>
      </c>
      <c r="B3244" t="inlineStr">
        <is>
          <t>2026-06-05 19:31:00</t>
        </is>
      </c>
      <c r="C3244" t="inlineStr">
        <is>
          <t>Organic Search</t>
        </is>
      </c>
      <c r="D3244" t="inlineStr">
        <is>
          <t>Language Learning</t>
        </is>
      </c>
      <c r="E3244" t="inlineStr">
        <is>
          <t>South Region</t>
        </is>
      </c>
      <c r="F3244" t="inlineStr">
        <is>
          <t>Rep_12</t>
        </is>
      </c>
      <c r="G3244" t="n">
        <v>2.67</v>
      </c>
      <c r="H3244" t="inlineStr">
        <is>
          <t>Closed</t>
        </is>
      </c>
      <c r="I3244" t="inlineStr">
        <is>
          <t>Won</t>
        </is>
      </c>
      <c r="K3244" t="n">
        <v>389.75</v>
      </c>
      <c r="L3244" t="inlineStr">
        <is>
          <t>2026-07-05 13:04:34.737521</t>
        </is>
      </c>
      <c r="M3244">
        <f>VLOOKUP(H3244,'Stage Order'!$A$2:$B$8,2,FALSE)</f>
        <v/>
      </c>
      <c r="N3244">
        <f>IF(G3244&lt;=1,"1. Under 1 hour",IF(G3244&lt;=24,"2. 1-24 hours",IF(G3244&lt;=72,"3. 1-3 days","4. Over 3 days")))</f>
        <v/>
      </c>
      <c r="O3244">
        <f>TEXT(B3244,"YYYY-MM")</f>
        <v/>
      </c>
    </row>
    <row r="3245">
      <c r="A3245" t="inlineStr">
        <is>
          <t>LD-303243</t>
        </is>
      </c>
      <c r="B3245" t="inlineStr">
        <is>
          <t>2026-05-01 07:57:00</t>
        </is>
      </c>
      <c r="C3245" t="inlineStr">
        <is>
          <t>Paid Search</t>
        </is>
      </c>
      <c r="D3245" t="inlineStr">
        <is>
          <t>Language Learning</t>
        </is>
      </c>
      <c r="E3245" t="inlineStr">
        <is>
          <t>West Region</t>
        </is>
      </c>
      <c r="F3245" t="inlineStr">
        <is>
          <t>Rep_13</t>
        </is>
      </c>
      <c r="G3245" t="n">
        <v>6.39</v>
      </c>
      <c r="H3245" t="inlineStr">
        <is>
          <t>Demo Completed</t>
        </is>
      </c>
      <c r="I3245" t="inlineStr">
        <is>
          <t>Lost</t>
        </is>
      </c>
      <c r="J3245" t="inlineStr">
        <is>
          <t>Price Objection</t>
        </is>
      </c>
      <c r="K3245" t="n">
        <v>355.95</v>
      </c>
      <c r="L3245" t="inlineStr">
        <is>
          <t>2026-05-24 12:50:19.684082</t>
        </is>
      </c>
      <c r="M3245">
        <f>VLOOKUP(H3245,'Stage Order'!$A$2:$B$8,2,FALSE)</f>
        <v/>
      </c>
      <c r="N3245">
        <f>IF(G3245&lt;=1,"1. Under 1 hour",IF(G3245&lt;=24,"2. 1-24 hours",IF(G3245&lt;=72,"3. 1-3 days","4. Over 3 days")))</f>
        <v/>
      </c>
      <c r="O3245">
        <f>TEXT(B3245,"YYYY-MM")</f>
        <v/>
      </c>
    </row>
    <row r="3246">
      <c r="A3246" t="inlineStr">
        <is>
          <t>LD-303244</t>
        </is>
      </c>
      <c r="B3246" t="inlineStr">
        <is>
          <t>2025-10-31 10:50:00</t>
        </is>
      </c>
      <c r="C3246" t="inlineStr">
        <is>
          <t>Partner Channel</t>
        </is>
      </c>
      <c r="D3246" t="inlineStr">
        <is>
          <t>Competitive Exam Prep</t>
        </is>
      </c>
      <c r="E3246" t="inlineStr">
        <is>
          <t>West Region</t>
        </is>
      </c>
      <c r="F3246" t="inlineStr">
        <is>
          <t>Rep_08</t>
        </is>
      </c>
      <c r="G3246" t="n">
        <v>2.07</v>
      </c>
      <c r="H3246" t="inlineStr">
        <is>
          <t>Lead</t>
        </is>
      </c>
      <c r="I3246" t="inlineStr">
        <is>
          <t>Open</t>
        </is>
      </c>
      <c r="M3246">
        <f>VLOOKUP(H3246,'Stage Order'!$A$2:$B$8,2,FALSE)</f>
        <v/>
      </c>
      <c r="N3246">
        <f>IF(G3246&lt;=1,"1. Under 1 hour",IF(G3246&lt;=24,"2. 1-24 hours",IF(G3246&lt;=72,"3. 1-3 days","4. Over 3 days")))</f>
        <v/>
      </c>
      <c r="O3246">
        <f>TEXT(B3246,"YYYY-MM")</f>
        <v/>
      </c>
    </row>
    <row r="3247">
      <c r="A3247" t="inlineStr">
        <is>
          <t>LD-303245</t>
        </is>
      </c>
      <c r="B3247" t="inlineStr">
        <is>
          <t>2025-12-04 08:16:00</t>
        </is>
      </c>
      <c r="C3247" t="inlineStr">
        <is>
          <t>Partner Channel</t>
        </is>
      </c>
      <c r="D3247" t="inlineStr">
        <is>
          <t>K-12 Math</t>
        </is>
      </c>
      <c r="E3247" t="inlineStr">
        <is>
          <t>South Region</t>
        </is>
      </c>
      <c r="F3247" t="inlineStr">
        <is>
          <t>Rep_07</t>
        </is>
      </c>
      <c r="G3247" t="n">
        <v>2.04</v>
      </c>
      <c r="H3247" t="inlineStr">
        <is>
          <t>Negotiation</t>
        </is>
      </c>
      <c r="I3247" t="inlineStr">
        <is>
          <t>Lost</t>
        </is>
      </c>
      <c r="J3247" t="inlineStr">
        <is>
          <t>Went With Competitor</t>
        </is>
      </c>
      <c r="K3247" t="n">
        <v>484.2</v>
      </c>
      <c r="L3247" t="inlineStr">
        <is>
          <t>2026-01-26 07:49:08.858030</t>
        </is>
      </c>
      <c r="M3247">
        <f>VLOOKUP(H3247,'Stage Order'!$A$2:$B$8,2,FALSE)</f>
        <v/>
      </c>
      <c r="N3247">
        <f>IF(G3247&lt;=1,"1. Under 1 hour",IF(G3247&lt;=24,"2. 1-24 hours",IF(G3247&lt;=72,"3. 1-3 days","4. Over 3 days")))</f>
        <v/>
      </c>
      <c r="O3247">
        <f>TEXT(B3247,"YYYY-MM")</f>
        <v/>
      </c>
    </row>
    <row r="3248">
      <c r="A3248" t="inlineStr">
        <is>
          <t>LD-303246</t>
        </is>
      </c>
      <c r="B3248" t="inlineStr">
        <is>
          <t>2025-04-30 16:10:00</t>
        </is>
      </c>
      <c r="C3248" t="inlineStr">
        <is>
          <t>Organic Search</t>
        </is>
      </c>
      <c r="D3248" t="inlineStr">
        <is>
          <t>K-12 Math</t>
        </is>
      </c>
      <c r="E3248" t="inlineStr">
        <is>
          <t>West Region</t>
        </is>
      </c>
      <c r="F3248" t="inlineStr">
        <is>
          <t>Rep_13</t>
        </is>
      </c>
      <c r="G3248" t="n">
        <v>8.869999999999999</v>
      </c>
      <c r="H3248" t="inlineStr">
        <is>
          <t>Closed</t>
        </is>
      </c>
      <c r="I3248" t="inlineStr">
        <is>
          <t>Won</t>
        </is>
      </c>
      <c r="K3248" t="n">
        <v>411.43</v>
      </c>
      <c r="L3248" t="inlineStr">
        <is>
          <t>2025-05-31 19:09:26.714180</t>
        </is>
      </c>
      <c r="M3248">
        <f>VLOOKUP(H3248,'Stage Order'!$A$2:$B$8,2,FALSE)</f>
        <v/>
      </c>
      <c r="N3248">
        <f>IF(G3248&lt;=1,"1. Under 1 hour",IF(G3248&lt;=24,"2. 1-24 hours",IF(G3248&lt;=72,"3. 1-3 days","4. Over 3 days")))</f>
        <v/>
      </c>
      <c r="O3248">
        <f>TEXT(B3248,"YYYY-MM")</f>
        <v/>
      </c>
    </row>
    <row r="3249">
      <c r="A3249" t="inlineStr">
        <is>
          <t>LD-303247</t>
        </is>
      </c>
      <c r="B3249" t="inlineStr">
        <is>
          <t>2025-03-13 20:00:00</t>
        </is>
      </c>
      <c r="C3249" t="inlineStr">
        <is>
          <t>Organic Search</t>
        </is>
      </c>
      <c r="D3249" t="inlineStr">
        <is>
          <t>Coding for Kids</t>
        </is>
      </c>
      <c r="E3249" t="inlineStr">
        <is>
          <t>South Region</t>
        </is>
      </c>
      <c r="F3249" t="inlineStr">
        <is>
          <t>Rep_02</t>
        </is>
      </c>
      <c r="G3249" t="n">
        <v>5.89</v>
      </c>
      <c r="H3249" t="inlineStr">
        <is>
          <t>Contacted</t>
        </is>
      </c>
      <c r="I3249" t="inlineStr">
        <is>
          <t>Open</t>
        </is>
      </c>
      <c r="M3249">
        <f>VLOOKUP(H3249,'Stage Order'!$A$2:$B$8,2,FALSE)</f>
        <v/>
      </c>
      <c r="N3249">
        <f>IF(G3249&lt;=1,"1. Under 1 hour",IF(G3249&lt;=24,"2. 1-24 hours",IF(G3249&lt;=72,"3. 1-3 days","4. Over 3 days")))</f>
        <v/>
      </c>
      <c r="O3249">
        <f>TEXT(B3249,"YYYY-MM")</f>
        <v/>
      </c>
    </row>
    <row r="3250">
      <c r="A3250" t="inlineStr">
        <is>
          <t>LD-303248</t>
        </is>
      </c>
      <c r="B3250" t="inlineStr">
        <is>
          <t>2026-06-11 17:08:00</t>
        </is>
      </c>
      <c r="C3250" t="inlineStr">
        <is>
          <t>Cold Outreach</t>
        </is>
      </c>
      <c r="D3250" t="inlineStr">
        <is>
          <t>Study Abroad Prep</t>
        </is>
      </c>
      <c r="E3250" t="inlineStr">
        <is>
          <t>International</t>
        </is>
      </c>
      <c r="F3250" t="inlineStr">
        <is>
          <t>Rep_15</t>
        </is>
      </c>
      <c r="G3250" t="n">
        <v>0.5600000000000001</v>
      </c>
      <c r="H3250" t="inlineStr">
        <is>
          <t>Proposal Sent</t>
        </is>
      </c>
      <c r="I3250" t="inlineStr">
        <is>
          <t>Lost</t>
        </is>
      </c>
      <c r="J3250" t="inlineStr">
        <is>
          <t>Price Objection</t>
        </is>
      </c>
      <c r="K3250" t="n">
        <v>1365.31</v>
      </c>
      <c r="L3250" t="inlineStr">
        <is>
          <t>2026-07-20 22:47:23.054838</t>
        </is>
      </c>
      <c r="M3250">
        <f>VLOOKUP(H3250,'Stage Order'!$A$2:$B$8,2,FALSE)</f>
        <v/>
      </c>
      <c r="N3250">
        <f>IF(G3250&lt;=1,"1. Under 1 hour",IF(G3250&lt;=24,"2. 1-24 hours",IF(G3250&lt;=72,"3. 1-3 days","4. Over 3 days")))</f>
        <v/>
      </c>
      <c r="O3250">
        <f>TEXT(B3250,"YYYY-MM")</f>
        <v/>
      </c>
    </row>
    <row r="3251">
      <c r="A3251" t="inlineStr">
        <is>
          <t>LD-303249</t>
        </is>
      </c>
      <c r="B3251" t="inlineStr">
        <is>
          <t>2025-05-06 07:07:00</t>
        </is>
      </c>
      <c r="C3251" t="inlineStr">
        <is>
          <t>Social Media</t>
        </is>
      </c>
      <c r="D3251" t="inlineStr">
        <is>
          <t>K-12 Math</t>
        </is>
      </c>
      <c r="E3251" t="inlineStr">
        <is>
          <t>South Region</t>
        </is>
      </c>
      <c r="F3251" t="inlineStr">
        <is>
          <t>Rep_02</t>
        </is>
      </c>
      <c r="G3251" t="n">
        <v>1.96</v>
      </c>
      <c r="H3251" t="inlineStr">
        <is>
          <t>Lead</t>
        </is>
      </c>
      <c r="I3251" t="inlineStr">
        <is>
          <t>Open</t>
        </is>
      </c>
      <c r="M3251">
        <f>VLOOKUP(H3251,'Stage Order'!$A$2:$B$8,2,FALSE)</f>
        <v/>
      </c>
      <c r="N3251">
        <f>IF(G3251&lt;=1,"1. Under 1 hour",IF(G3251&lt;=24,"2. 1-24 hours",IF(G3251&lt;=72,"3. 1-3 days","4. Over 3 days")))</f>
        <v/>
      </c>
      <c r="O3251">
        <f>TEXT(B3251,"YYYY-MM")</f>
        <v/>
      </c>
    </row>
    <row r="3252">
      <c r="A3252" t="inlineStr">
        <is>
          <t>LD-303250</t>
        </is>
      </c>
      <c r="B3252" t="inlineStr">
        <is>
          <t>2026-02-17 20:53:00</t>
        </is>
      </c>
      <c r="C3252" t="inlineStr">
        <is>
          <t>Organic Search</t>
        </is>
      </c>
      <c r="D3252" t="inlineStr">
        <is>
          <t>Language Learning</t>
        </is>
      </c>
      <c r="E3252" t="inlineStr">
        <is>
          <t>South Region</t>
        </is>
      </c>
      <c r="F3252" t="inlineStr">
        <is>
          <t>Rep_07</t>
        </is>
      </c>
      <c r="G3252" t="n">
        <v>3.16</v>
      </c>
      <c r="H3252" t="inlineStr">
        <is>
          <t>Contacted</t>
        </is>
      </c>
      <c r="I3252" t="inlineStr">
        <is>
          <t>Open</t>
        </is>
      </c>
      <c r="M3252">
        <f>VLOOKUP(H3252,'Stage Order'!$A$2:$B$8,2,FALSE)</f>
        <v/>
      </c>
      <c r="N3252">
        <f>IF(G3252&lt;=1,"1. Under 1 hour",IF(G3252&lt;=24,"2. 1-24 hours",IF(G3252&lt;=72,"3. 1-3 days","4. Over 3 days")))</f>
        <v/>
      </c>
      <c r="O3252">
        <f>TEXT(B3252,"YYYY-MM")</f>
        <v/>
      </c>
    </row>
    <row r="3253">
      <c r="A3253" t="inlineStr">
        <is>
          <t>LD-303251</t>
        </is>
      </c>
      <c r="B3253" t="inlineStr">
        <is>
          <t>2025-09-04 09:13:00</t>
        </is>
      </c>
      <c r="C3253" t="inlineStr">
        <is>
          <t>Organic Search</t>
        </is>
      </c>
      <c r="D3253" t="inlineStr">
        <is>
          <t>Competitive Exam Prep</t>
        </is>
      </c>
      <c r="E3253" t="inlineStr">
        <is>
          <t>East Region</t>
        </is>
      </c>
      <c r="F3253" t="inlineStr">
        <is>
          <t>Rep_04</t>
        </is>
      </c>
      <c r="G3253" t="n">
        <v>2.27</v>
      </c>
      <c r="H3253" t="inlineStr">
        <is>
          <t>Lead</t>
        </is>
      </c>
      <c r="I3253" t="inlineStr">
        <is>
          <t>Open</t>
        </is>
      </c>
      <c r="M3253">
        <f>VLOOKUP(H3253,'Stage Order'!$A$2:$B$8,2,FALSE)</f>
        <v/>
      </c>
      <c r="N3253">
        <f>IF(G3253&lt;=1,"1. Under 1 hour",IF(G3253&lt;=24,"2. 1-24 hours",IF(G3253&lt;=72,"3. 1-3 days","4. Over 3 days")))</f>
        <v/>
      </c>
      <c r="O3253">
        <f>TEXT(B3253,"YYYY-MM")</f>
        <v/>
      </c>
    </row>
    <row r="3254">
      <c r="A3254" t="inlineStr">
        <is>
          <t>LD-303252</t>
        </is>
      </c>
      <c r="B3254" t="inlineStr">
        <is>
          <t>2026-03-23 12:42:00</t>
        </is>
      </c>
      <c r="C3254" t="inlineStr">
        <is>
          <t>Cold Outreach</t>
        </is>
      </c>
      <c r="D3254" t="inlineStr">
        <is>
          <t>Coding for Kids</t>
        </is>
      </c>
      <c r="E3254" t="inlineStr">
        <is>
          <t>West Region</t>
        </is>
      </c>
      <c r="F3254" t="inlineStr">
        <is>
          <t>Rep_13</t>
        </is>
      </c>
      <c r="G3254" t="n">
        <v>1.45</v>
      </c>
      <c r="H3254" t="inlineStr">
        <is>
          <t>Demo Scheduled</t>
        </is>
      </c>
      <c r="I3254" t="inlineStr">
        <is>
          <t>Open</t>
        </is>
      </c>
      <c r="M3254">
        <f>VLOOKUP(H3254,'Stage Order'!$A$2:$B$8,2,FALSE)</f>
        <v/>
      </c>
      <c r="N3254">
        <f>IF(G3254&lt;=1,"1. Under 1 hour",IF(G3254&lt;=24,"2. 1-24 hours",IF(G3254&lt;=72,"3. 1-3 days","4. Over 3 days")))</f>
        <v/>
      </c>
      <c r="O3254">
        <f>TEXT(B3254,"YYYY-MM")</f>
        <v/>
      </c>
    </row>
    <row r="3255">
      <c r="A3255" t="inlineStr">
        <is>
          <t>LD-303253</t>
        </is>
      </c>
      <c r="B3255" t="inlineStr">
        <is>
          <t>2025-02-14 14:32:00</t>
        </is>
      </c>
      <c r="C3255" t="inlineStr">
        <is>
          <t>Referral</t>
        </is>
      </c>
      <c r="D3255" t="inlineStr">
        <is>
          <t>Language Learning</t>
        </is>
      </c>
      <c r="E3255" t="inlineStr">
        <is>
          <t>South Region</t>
        </is>
      </c>
      <c r="F3255" t="inlineStr">
        <is>
          <t>Rep_12</t>
        </is>
      </c>
      <c r="G3255" t="n">
        <v>2.64</v>
      </c>
      <c r="H3255" t="inlineStr">
        <is>
          <t>Demo Completed</t>
        </is>
      </c>
      <c r="I3255" t="inlineStr">
        <is>
          <t>Lost</t>
        </is>
      </c>
      <c r="J3255" t="inlineStr">
        <is>
          <t>Went With Competitor</t>
        </is>
      </c>
      <c r="K3255" t="n">
        <v>410.52</v>
      </c>
      <c r="L3255" t="inlineStr">
        <is>
          <t>2025-03-23 11:12:41.278644</t>
        </is>
      </c>
      <c r="M3255">
        <f>VLOOKUP(H3255,'Stage Order'!$A$2:$B$8,2,FALSE)</f>
        <v/>
      </c>
      <c r="N3255">
        <f>IF(G3255&lt;=1,"1. Under 1 hour",IF(G3255&lt;=24,"2. 1-24 hours",IF(G3255&lt;=72,"3. 1-3 days","4. Over 3 days")))</f>
        <v/>
      </c>
      <c r="O3255">
        <f>TEXT(B3255,"YYYY-MM")</f>
        <v/>
      </c>
    </row>
    <row r="3256">
      <c r="A3256" t="inlineStr">
        <is>
          <t>LD-303254</t>
        </is>
      </c>
      <c r="B3256" t="inlineStr">
        <is>
          <t>2026-04-02 20:04:00</t>
        </is>
      </c>
      <c r="C3256" t="inlineStr">
        <is>
          <t>Referral</t>
        </is>
      </c>
      <c r="D3256" t="inlineStr">
        <is>
          <t>Language Learning</t>
        </is>
      </c>
      <c r="E3256" t="inlineStr">
        <is>
          <t>South Region</t>
        </is>
      </c>
      <c r="F3256" t="inlineStr">
        <is>
          <t>Rep_07</t>
        </is>
      </c>
      <c r="G3256" t="n">
        <v>7.74</v>
      </c>
      <c r="H3256" t="inlineStr">
        <is>
          <t>Contacted</t>
        </is>
      </c>
      <c r="I3256" t="inlineStr">
        <is>
          <t>Open</t>
        </is>
      </c>
      <c r="M3256">
        <f>VLOOKUP(H3256,'Stage Order'!$A$2:$B$8,2,FALSE)</f>
        <v/>
      </c>
      <c r="N3256">
        <f>IF(G3256&lt;=1,"1. Under 1 hour",IF(G3256&lt;=24,"2. 1-24 hours",IF(G3256&lt;=72,"3. 1-3 days","4. Over 3 days")))</f>
        <v/>
      </c>
      <c r="O3256">
        <f>TEXT(B3256,"YYYY-MM")</f>
        <v/>
      </c>
    </row>
    <row r="3257">
      <c r="A3257" t="inlineStr">
        <is>
          <t>LD-303255</t>
        </is>
      </c>
      <c r="B3257" t="inlineStr">
        <is>
          <t>2025-11-13 15:52:00</t>
        </is>
      </c>
      <c r="C3257" t="inlineStr">
        <is>
          <t>Referral</t>
        </is>
      </c>
      <c r="D3257" t="inlineStr">
        <is>
          <t>Coding for Kids</t>
        </is>
      </c>
      <c r="E3257" t="inlineStr">
        <is>
          <t>North Region</t>
        </is>
      </c>
      <c r="F3257" t="inlineStr">
        <is>
          <t>Rep_06</t>
        </is>
      </c>
      <c r="G3257" t="n">
        <v>4.72</v>
      </c>
      <c r="H3257" t="inlineStr">
        <is>
          <t>Contacted</t>
        </is>
      </c>
      <c r="I3257" t="inlineStr">
        <is>
          <t>Open</t>
        </is>
      </c>
      <c r="M3257">
        <f>VLOOKUP(H3257,'Stage Order'!$A$2:$B$8,2,FALSE)</f>
        <v/>
      </c>
      <c r="N3257">
        <f>IF(G3257&lt;=1,"1. Under 1 hour",IF(G3257&lt;=24,"2. 1-24 hours",IF(G3257&lt;=72,"3. 1-3 days","4. Over 3 days")))</f>
        <v/>
      </c>
      <c r="O3257">
        <f>TEXT(B3257,"YYYY-MM")</f>
        <v/>
      </c>
    </row>
    <row r="3258">
      <c r="A3258" t="inlineStr">
        <is>
          <t>LD-303256</t>
        </is>
      </c>
      <c r="B3258" t="inlineStr">
        <is>
          <t>2026-02-06 07:16:00</t>
        </is>
      </c>
      <c r="C3258" t="inlineStr">
        <is>
          <t>Cold Outreach</t>
        </is>
      </c>
      <c r="D3258" t="inlineStr">
        <is>
          <t>Language Learning</t>
        </is>
      </c>
      <c r="E3258" t="inlineStr">
        <is>
          <t>West Region</t>
        </is>
      </c>
      <c r="F3258" t="inlineStr">
        <is>
          <t>Rep_03</t>
        </is>
      </c>
      <c r="G3258" t="n">
        <v>7.69</v>
      </c>
      <c r="H3258" t="inlineStr">
        <is>
          <t>Demo Scheduled</t>
        </is>
      </c>
      <c r="I3258" t="inlineStr">
        <is>
          <t>Open</t>
        </is>
      </c>
      <c r="M3258">
        <f>VLOOKUP(H3258,'Stage Order'!$A$2:$B$8,2,FALSE)</f>
        <v/>
      </c>
      <c r="N3258">
        <f>IF(G3258&lt;=1,"1. Under 1 hour",IF(G3258&lt;=24,"2. 1-24 hours",IF(G3258&lt;=72,"3. 1-3 days","4. Over 3 days")))</f>
        <v/>
      </c>
      <c r="O3258">
        <f>TEXT(B3258,"YYYY-MM")</f>
        <v/>
      </c>
    </row>
    <row r="3259">
      <c r="A3259" t="inlineStr">
        <is>
          <t>LD-303257</t>
        </is>
      </c>
      <c r="B3259" t="inlineStr">
        <is>
          <t>2025-05-05 09:39:00</t>
        </is>
      </c>
      <c r="C3259" t="inlineStr">
        <is>
          <t>Social Media</t>
        </is>
      </c>
      <c r="D3259" t="inlineStr">
        <is>
          <t>Study Abroad Prep</t>
        </is>
      </c>
      <c r="E3259" t="inlineStr">
        <is>
          <t>North Region</t>
        </is>
      </c>
      <c r="F3259" t="inlineStr">
        <is>
          <t>Rep_06</t>
        </is>
      </c>
      <c r="G3259" t="n">
        <v>5.06</v>
      </c>
      <c r="H3259" t="inlineStr">
        <is>
          <t>Contacted</t>
        </is>
      </c>
      <c r="I3259" t="inlineStr">
        <is>
          <t>Open</t>
        </is>
      </c>
      <c r="M3259">
        <f>VLOOKUP(H3259,'Stage Order'!$A$2:$B$8,2,FALSE)</f>
        <v/>
      </c>
      <c r="N3259">
        <f>IF(G3259&lt;=1,"1. Under 1 hour",IF(G3259&lt;=24,"2. 1-24 hours",IF(G3259&lt;=72,"3. 1-3 days","4. Over 3 days")))</f>
        <v/>
      </c>
      <c r="O3259">
        <f>TEXT(B3259,"YYYY-MM")</f>
        <v/>
      </c>
    </row>
    <row r="3260">
      <c r="A3260" t="inlineStr">
        <is>
          <t>LD-303258</t>
        </is>
      </c>
      <c r="B3260" t="inlineStr">
        <is>
          <t>2026-04-06 20:00:00</t>
        </is>
      </c>
      <c r="C3260" t="inlineStr">
        <is>
          <t>Webinar</t>
        </is>
      </c>
      <c r="D3260" t="inlineStr">
        <is>
          <t>Study Abroad Prep</t>
        </is>
      </c>
      <c r="E3260" t="inlineStr">
        <is>
          <t>International</t>
        </is>
      </c>
      <c r="F3260" t="inlineStr">
        <is>
          <t>Rep_15</t>
        </is>
      </c>
      <c r="G3260" t="n">
        <v>0.11</v>
      </c>
      <c r="H3260" t="inlineStr">
        <is>
          <t>Negotiation</t>
        </is>
      </c>
      <c r="I3260" t="inlineStr">
        <is>
          <t>Lost</t>
        </is>
      </c>
      <c r="J3260" t="inlineStr">
        <is>
          <t>Price Objection</t>
        </is>
      </c>
      <c r="K3260" t="n">
        <v>1533.7</v>
      </c>
      <c r="L3260" t="inlineStr">
        <is>
          <t>2026-05-23 04:26:18.828030</t>
        </is>
      </c>
      <c r="M3260">
        <f>VLOOKUP(H3260,'Stage Order'!$A$2:$B$8,2,FALSE)</f>
        <v/>
      </c>
      <c r="N3260">
        <f>IF(G3260&lt;=1,"1. Under 1 hour",IF(G3260&lt;=24,"2. 1-24 hours",IF(G3260&lt;=72,"3. 1-3 days","4. Over 3 days")))</f>
        <v/>
      </c>
      <c r="O3260">
        <f>TEXT(B3260,"YYYY-MM")</f>
        <v/>
      </c>
    </row>
    <row r="3261">
      <c r="A3261" t="inlineStr">
        <is>
          <t>LD-303259</t>
        </is>
      </c>
      <c r="B3261" t="inlineStr">
        <is>
          <t>2025-04-11 09:50:00</t>
        </is>
      </c>
      <c r="C3261" t="inlineStr">
        <is>
          <t>Social Media</t>
        </is>
      </c>
      <c r="D3261" t="inlineStr">
        <is>
          <t>Language Learning</t>
        </is>
      </c>
      <c r="E3261" t="inlineStr">
        <is>
          <t>South Region</t>
        </is>
      </c>
      <c r="F3261" t="inlineStr">
        <is>
          <t>Rep_07</t>
        </is>
      </c>
      <c r="G3261" t="n">
        <v>16.89</v>
      </c>
      <c r="H3261" t="inlineStr">
        <is>
          <t>Demo Completed</t>
        </is>
      </c>
      <c r="I3261" t="inlineStr">
        <is>
          <t>Lost</t>
        </is>
      </c>
      <c r="J3261" t="inlineStr">
        <is>
          <t>No Response / Ghosted</t>
        </is>
      </c>
      <c r="K3261" t="n">
        <v>349.1</v>
      </c>
      <c r="L3261" t="inlineStr">
        <is>
          <t>2025-05-16 02:58:14.513665</t>
        </is>
      </c>
      <c r="M3261">
        <f>VLOOKUP(H3261,'Stage Order'!$A$2:$B$8,2,FALSE)</f>
        <v/>
      </c>
      <c r="N3261">
        <f>IF(G3261&lt;=1,"1. Under 1 hour",IF(G3261&lt;=24,"2. 1-24 hours",IF(G3261&lt;=72,"3. 1-3 days","4. Over 3 days")))</f>
        <v/>
      </c>
      <c r="O3261">
        <f>TEXT(B3261,"YYYY-MM")</f>
        <v/>
      </c>
    </row>
    <row r="3262">
      <c r="A3262" t="inlineStr">
        <is>
          <t>LD-303260</t>
        </is>
      </c>
      <c r="B3262" t="inlineStr">
        <is>
          <t>2026-02-04 07:50:00</t>
        </is>
      </c>
      <c r="C3262" t="inlineStr">
        <is>
          <t>Organic Search</t>
        </is>
      </c>
      <c r="D3262" t="inlineStr">
        <is>
          <t>Competitive Exam Prep</t>
        </is>
      </c>
      <c r="E3262" t="inlineStr">
        <is>
          <t>West Region</t>
        </is>
      </c>
      <c r="F3262" t="inlineStr">
        <is>
          <t>Rep_13</t>
        </is>
      </c>
      <c r="G3262" t="n">
        <v>1.27</v>
      </c>
      <c r="H3262" t="inlineStr">
        <is>
          <t>Contacted</t>
        </is>
      </c>
      <c r="I3262" t="inlineStr">
        <is>
          <t>Open</t>
        </is>
      </c>
      <c r="M3262">
        <f>VLOOKUP(H3262,'Stage Order'!$A$2:$B$8,2,FALSE)</f>
        <v/>
      </c>
      <c r="N3262">
        <f>IF(G3262&lt;=1,"1. Under 1 hour",IF(G3262&lt;=24,"2. 1-24 hours",IF(G3262&lt;=72,"3. 1-3 days","4. Over 3 days")))</f>
        <v/>
      </c>
      <c r="O3262">
        <f>TEXT(B3262,"YYYY-MM")</f>
        <v/>
      </c>
    </row>
    <row r="3263">
      <c r="A3263" t="inlineStr">
        <is>
          <t>LD-303261</t>
        </is>
      </c>
      <c r="B3263" t="inlineStr">
        <is>
          <t>2026-05-15 16:58:00</t>
        </is>
      </c>
      <c r="C3263" t="inlineStr">
        <is>
          <t>Organic Search</t>
        </is>
      </c>
      <c r="D3263" t="inlineStr">
        <is>
          <t>K-12 Math</t>
        </is>
      </c>
      <c r="E3263" t="inlineStr">
        <is>
          <t>South Region</t>
        </is>
      </c>
      <c r="F3263" t="inlineStr">
        <is>
          <t>Rep_07</t>
        </is>
      </c>
      <c r="G3263" t="n">
        <v>0.42</v>
      </c>
      <c r="H3263" t="inlineStr">
        <is>
          <t>Contacted</t>
        </is>
      </c>
      <c r="I3263" t="inlineStr">
        <is>
          <t>Open</t>
        </is>
      </c>
      <c r="M3263">
        <f>VLOOKUP(H3263,'Stage Order'!$A$2:$B$8,2,FALSE)</f>
        <v/>
      </c>
      <c r="N3263">
        <f>IF(G3263&lt;=1,"1. Under 1 hour",IF(G3263&lt;=24,"2. 1-24 hours",IF(G3263&lt;=72,"3. 1-3 days","4. Over 3 days")))</f>
        <v/>
      </c>
      <c r="O3263">
        <f>TEXT(B3263,"YYYY-MM")</f>
        <v/>
      </c>
    </row>
    <row r="3264">
      <c r="A3264" t="inlineStr">
        <is>
          <t>LD-303262</t>
        </is>
      </c>
      <c r="B3264" t="inlineStr">
        <is>
          <t>2025-06-19 13:07:00</t>
        </is>
      </c>
      <c r="C3264" t="inlineStr">
        <is>
          <t>Paid Search</t>
        </is>
      </c>
      <c r="D3264" t="inlineStr">
        <is>
          <t>Coding for Kids</t>
        </is>
      </c>
      <c r="E3264" t="inlineStr">
        <is>
          <t>North Region</t>
        </is>
      </c>
      <c r="F3264" t="inlineStr">
        <is>
          <t>Rep_11</t>
        </is>
      </c>
      <c r="G3264" t="n">
        <v>3.47</v>
      </c>
      <c r="H3264" t="inlineStr">
        <is>
          <t>Demo Completed</t>
        </is>
      </c>
      <c r="I3264" t="inlineStr">
        <is>
          <t>Lost</t>
        </is>
      </c>
      <c r="J3264" t="inlineStr">
        <is>
          <t>Price Objection</t>
        </is>
      </c>
      <c r="K3264" t="n">
        <v>730.35</v>
      </c>
      <c r="L3264" t="inlineStr">
        <is>
          <t>2025-07-25 02:46:05.647601</t>
        </is>
      </c>
      <c r="M3264">
        <f>VLOOKUP(H3264,'Stage Order'!$A$2:$B$8,2,FALSE)</f>
        <v/>
      </c>
      <c r="N3264">
        <f>IF(G3264&lt;=1,"1. Under 1 hour",IF(G3264&lt;=24,"2. 1-24 hours",IF(G3264&lt;=72,"3. 1-3 days","4. Over 3 days")))</f>
        <v/>
      </c>
      <c r="O3264">
        <f>TEXT(B3264,"YYYY-MM")</f>
        <v/>
      </c>
    </row>
    <row r="3265">
      <c r="A3265" t="inlineStr">
        <is>
          <t>LD-303263</t>
        </is>
      </c>
      <c r="B3265" t="inlineStr">
        <is>
          <t>2026-03-24 11:09:00</t>
        </is>
      </c>
      <c r="C3265" t="inlineStr">
        <is>
          <t>Partner Channel</t>
        </is>
      </c>
      <c r="D3265" t="inlineStr">
        <is>
          <t>K-12 Math</t>
        </is>
      </c>
      <c r="E3265" t="inlineStr">
        <is>
          <t>South Region</t>
        </is>
      </c>
      <c r="F3265" t="inlineStr">
        <is>
          <t>Rep_07</t>
        </is>
      </c>
      <c r="G3265" t="n">
        <v>1.7</v>
      </c>
      <c r="H3265" t="inlineStr">
        <is>
          <t>Closed</t>
        </is>
      </c>
      <c r="I3265" t="inlineStr">
        <is>
          <t>Won</t>
        </is>
      </c>
      <c r="K3265" t="n">
        <v>554.4400000000001</v>
      </c>
      <c r="L3265" t="inlineStr">
        <is>
          <t>2026-05-08 18:03:51.558896</t>
        </is>
      </c>
      <c r="M3265">
        <f>VLOOKUP(H3265,'Stage Order'!$A$2:$B$8,2,FALSE)</f>
        <v/>
      </c>
      <c r="N3265">
        <f>IF(G3265&lt;=1,"1. Under 1 hour",IF(G3265&lt;=24,"2. 1-24 hours",IF(G3265&lt;=72,"3. 1-3 days","4. Over 3 days")))</f>
        <v/>
      </c>
      <c r="O3265">
        <f>TEXT(B3265,"YYYY-MM")</f>
        <v/>
      </c>
    </row>
    <row r="3266">
      <c r="A3266" t="inlineStr">
        <is>
          <t>LD-303264</t>
        </is>
      </c>
      <c r="B3266" t="inlineStr">
        <is>
          <t>2025-07-22 19:05:00</t>
        </is>
      </c>
      <c r="C3266" t="inlineStr">
        <is>
          <t>Referral</t>
        </is>
      </c>
      <c r="D3266" t="inlineStr">
        <is>
          <t>K-12 Math</t>
        </is>
      </c>
      <c r="E3266" t="inlineStr">
        <is>
          <t>South Region</t>
        </is>
      </c>
      <c r="F3266" t="inlineStr">
        <is>
          <t>Rep_07</t>
        </is>
      </c>
      <c r="G3266" t="n">
        <v>2.58</v>
      </c>
      <c r="H3266" t="inlineStr">
        <is>
          <t>Contacted</t>
        </is>
      </c>
      <c r="I3266" t="inlineStr">
        <is>
          <t>Open</t>
        </is>
      </c>
      <c r="M3266">
        <f>VLOOKUP(H3266,'Stage Order'!$A$2:$B$8,2,FALSE)</f>
        <v/>
      </c>
      <c r="N3266">
        <f>IF(G3266&lt;=1,"1. Under 1 hour",IF(G3266&lt;=24,"2. 1-24 hours",IF(G3266&lt;=72,"3. 1-3 days","4. Over 3 days")))</f>
        <v/>
      </c>
      <c r="O3266">
        <f>TEXT(B3266,"YYYY-MM")</f>
        <v/>
      </c>
    </row>
    <row r="3267">
      <c r="A3267" t="inlineStr">
        <is>
          <t>LD-303265</t>
        </is>
      </c>
      <c r="B3267" t="inlineStr">
        <is>
          <t>2025-09-10 19:33:00</t>
        </is>
      </c>
      <c r="C3267" t="inlineStr">
        <is>
          <t>Referral</t>
        </is>
      </c>
      <c r="D3267" t="inlineStr">
        <is>
          <t>K-12 Math</t>
        </is>
      </c>
      <c r="E3267" t="inlineStr">
        <is>
          <t>International</t>
        </is>
      </c>
      <c r="F3267" t="inlineStr">
        <is>
          <t>Rep_15</t>
        </is>
      </c>
      <c r="G3267" t="n">
        <v>6.02</v>
      </c>
      <c r="H3267" t="inlineStr">
        <is>
          <t>Contacted</t>
        </is>
      </c>
      <c r="I3267" t="inlineStr">
        <is>
          <t>Open</t>
        </is>
      </c>
      <c r="M3267">
        <f>VLOOKUP(H3267,'Stage Order'!$A$2:$B$8,2,FALSE)</f>
        <v/>
      </c>
      <c r="N3267">
        <f>IF(G3267&lt;=1,"1. Under 1 hour",IF(G3267&lt;=24,"2. 1-24 hours",IF(G3267&lt;=72,"3. 1-3 days","4. Over 3 days")))</f>
        <v/>
      </c>
      <c r="O3267">
        <f>TEXT(B3267,"YYYY-MM")</f>
        <v/>
      </c>
    </row>
    <row r="3268">
      <c r="A3268" t="inlineStr">
        <is>
          <t>LD-303266</t>
        </is>
      </c>
      <c r="B3268" t="inlineStr">
        <is>
          <t>2025-06-18 10:55:00</t>
        </is>
      </c>
      <c r="C3268" t="inlineStr">
        <is>
          <t>Organic Search</t>
        </is>
      </c>
      <c r="D3268" t="inlineStr">
        <is>
          <t>Coding for Kids</t>
        </is>
      </c>
      <c r="E3268" t="inlineStr">
        <is>
          <t>South Region</t>
        </is>
      </c>
      <c r="F3268" t="inlineStr">
        <is>
          <t>Rep_02</t>
        </is>
      </c>
      <c r="G3268" t="n">
        <v>3.07</v>
      </c>
      <c r="H3268" t="inlineStr">
        <is>
          <t>Contacted</t>
        </is>
      </c>
      <c r="I3268" t="inlineStr">
        <is>
          <t>Open</t>
        </is>
      </c>
      <c r="M3268">
        <f>VLOOKUP(H3268,'Stage Order'!$A$2:$B$8,2,FALSE)</f>
        <v/>
      </c>
      <c r="N3268">
        <f>IF(G3268&lt;=1,"1. Under 1 hour",IF(G3268&lt;=24,"2. 1-24 hours",IF(G3268&lt;=72,"3. 1-3 days","4. Over 3 days")))</f>
        <v/>
      </c>
      <c r="O3268">
        <f>TEXT(B3268,"YYYY-MM")</f>
        <v/>
      </c>
    </row>
    <row r="3269">
      <c r="A3269" t="inlineStr">
        <is>
          <t>LD-303267</t>
        </is>
      </c>
      <c r="B3269" t="inlineStr">
        <is>
          <t>2025-09-11 09:26:00</t>
        </is>
      </c>
      <c r="C3269" t="inlineStr">
        <is>
          <t>Organic Search</t>
        </is>
      </c>
      <c r="D3269" t="inlineStr">
        <is>
          <t>Coding for Kids</t>
        </is>
      </c>
      <c r="E3269" t="inlineStr">
        <is>
          <t>North Region</t>
        </is>
      </c>
      <c r="F3269" t="inlineStr">
        <is>
          <t>Rep_06</t>
        </is>
      </c>
      <c r="G3269" t="n">
        <v>0.72</v>
      </c>
      <c r="H3269" t="inlineStr">
        <is>
          <t>Contacted</t>
        </is>
      </c>
      <c r="I3269" t="inlineStr">
        <is>
          <t>Open</t>
        </is>
      </c>
      <c r="M3269">
        <f>VLOOKUP(H3269,'Stage Order'!$A$2:$B$8,2,FALSE)</f>
        <v/>
      </c>
      <c r="N3269">
        <f>IF(G3269&lt;=1,"1. Under 1 hour",IF(G3269&lt;=24,"2. 1-24 hours",IF(G3269&lt;=72,"3. 1-3 days","4. Over 3 days")))</f>
        <v/>
      </c>
      <c r="O3269">
        <f>TEXT(B3269,"YYYY-MM")</f>
        <v/>
      </c>
    </row>
    <row r="3270">
      <c r="A3270" t="inlineStr">
        <is>
          <t>LD-303268</t>
        </is>
      </c>
      <c r="B3270" t="inlineStr">
        <is>
          <t>2025-08-28 15:34:00</t>
        </is>
      </c>
      <c r="C3270" t="inlineStr">
        <is>
          <t>Referral</t>
        </is>
      </c>
      <c r="D3270" t="inlineStr">
        <is>
          <t>Competitive Exam Prep</t>
        </is>
      </c>
      <c r="E3270" t="inlineStr">
        <is>
          <t>West Region</t>
        </is>
      </c>
      <c r="F3270" t="inlineStr">
        <is>
          <t>Rep_08</t>
        </is>
      </c>
      <c r="G3270" t="n">
        <v>7.34</v>
      </c>
      <c r="H3270" t="inlineStr">
        <is>
          <t>Lead</t>
        </is>
      </c>
      <c r="I3270" t="inlineStr">
        <is>
          <t>Open</t>
        </is>
      </c>
      <c r="M3270">
        <f>VLOOKUP(H3270,'Stage Order'!$A$2:$B$8,2,FALSE)</f>
        <v/>
      </c>
      <c r="N3270">
        <f>IF(G3270&lt;=1,"1. Under 1 hour",IF(G3270&lt;=24,"2. 1-24 hours",IF(G3270&lt;=72,"3. 1-3 days","4. Over 3 days")))</f>
        <v/>
      </c>
      <c r="O3270">
        <f>TEXT(B3270,"YYYY-MM")</f>
        <v/>
      </c>
    </row>
    <row r="3271">
      <c r="A3271" t="inlineStr">
        <is>
          <t>LD-303269</t>
        </is>
      </c>
      <c r="B3271" t="inlineStr">
        <is>
          <t>2026-01-13 20:51:00</t>
        </is>
      </c>
      <c r="C3271" t="inlineStr">
        <is>
          <t>Organic Search</t>
        </is>
      </c>
      <c r="D3271" t="inlineStr">
        <is>
          <t>K-12 Math</t>
        </is>
      </c>
      <c r="E3271" t="inlineStr">
        <is>
          <t>West Region</t>
        </is>
      </c>
      <c r="F3271" t="inlineStr">
        <is>
          <t>Rep_13</t>
        </is>
      </c>
      <c r="G3271" t="n">
        <v>1.08</v>
      </c>
      <c r="H3271" t="inlineStr">
        <is>
          <t>Contacted</t>
        </is>
      </c>
      <c r="I3271" t="inlineStr">
        <is>
          <t>Open</t>
        </is>
      </c>
      <c r="M3271">
        <f>VLOOKUP(H3271,'Stage Order'!$A$2:$B$8,2,FALSE)</f>
        <v/>
      </c>
      <c r="N3271">
        <f>IF(G3271&lt;=1,"1. Under 1 hour",IF(G3271&lt;=24,"2. 1-24 hours",IF(G3271&lt;=72,"3. 1-3 days","4. Over 3 days")))</f>
        <v/>
      </c>
      <c r="O3271">
        <f>TEXT(B3271,"YYYY-MM")</f>
        <v/>
      </c>
    </row>
    <row r="3272">
      <c r="A3272" t="inlineStr">
        <is>
          <t>LD-303270</t>
        </is>
      </c>
      <c r="B3272" t="inlineStr">
        <is>
          <t>2025-04-15 10:13:00</t>
        </is>
      </c>
      <c r="C3272" t="inlineStr">
        <is>
          <t>Paid Search</t>
        </is>
      </c>
      <c r="D3272" t="inlineStr">
        <is>
          <t>Language Learning</t>
        </is>
      </c>
      <c r="E3272" t="inlineStr">
        <is>
          <t>South Region</t>
        </is>
      </c>
      <c r="F3272" t="inlineStr">
        <is>
          <t>Rep_07</t>
        </is>
      </c>
      <c r="G3272" t="n">
        <v>1.57</v>
      </c>
      <c r="H3272" t="inlineStr">
        <is>
          <t>Lead</t>
        </is>
      </c>
      <c r="I3272" t="inlineStr">
        <is>
          <t>Open</t>
        </is>
      </c>
      <c r="M3272">
        <f>VLOOKUP(H3272,'Stage Order'!$A$2:$B$8,2,FALSE)</f>
        <v/>
      </c>
      <c r="N3272">
        <f>IF(G3272&lt;=1,"1. Under 1 hour",IF(G3272&lt;=24,"2. 1-24 hours",IF(G3272&lt;=72,"3. 1-3 days","4. Over 3 days")))</f>
        <v/>
      </c>
      <c r="O3272">
        <f>TEXT(B3272,"YYYY-MM")</f>
        <v/>
      </c>
    </row>
    <row r="3273">
      <c r="A3273" t="inlineStr">
        <is>
          <t>LD-303271</t>
        </is>
      </c>
      <c r="B3273" t="inlineStr">
        <is>
          <t>2026-05-15 07:43:00</t>
        </is>
      </c>
      <c r="C3273" t="inlineStr">
        <is>
          <t>Paid Search</t>
        </is>
      </c>
      <c r="D3273" t="inlineStr">
        <is>
          <t>Language Learning</t>
        </is>
      </c>
      <c r="E3273" t="inlineStr">
        <is>
          <t>South Region</t>
        </is>
      </c>
      <c r="F3273" t="inlineStr">
        <is>
          <t>Rep_07</t>
        </is>
      </c>
      <c r="G3273" t="n">
        <v>2.36</v>
      </c>
      <c r="H3273" t="inlineStr">
        <is>
          <t>Contacted</t>
        </is>
      </c>
      <c r="I3273" t="inlineStr">
        <is>
          <t>Open</t>
        </is>
      </c>
      <c r="M3273">
        <f>VLOOKUP(H3273,'Stage Order'!$A$2:$B$8,2,FALSE)</f>
        <v/>
      </c>
      <c r="N3273">
        <f>IF(G3273&lt;=1,"1. Under 1 hour",IF(G3273&lt;=24,"2. 1-24 hours",IF(G3273&lt;=72,"3. 1-3 days","4. Over 3 days")))</f>
        <v/>
      </c>
      <c r="O3273">
        <f>TEXT(B3273,"YYYY-MM")</f>
        <v/>
      </c>
    </row>
    <row r="3274">
      <c r="A3274" t="inlineStr">
        <is>
          <t>LD-303272</t>
        </is>
      </c>
      <c r="B3274" t="inlineStr">
        <is>
          <t>2026-05-01 18:33:00</t>
        </is>
      </c>
      <c r="C3274" t="inlineStr">
        <is>
          <t>Paid Search</t>
        </is>
      </c>
      <c r="D3274" t="inlineStr">
        <is>
          <t>Competitive Exam Prep</t>
        </is>
      </c>
      <c r="E3274" t="inlineStr">
        <is>
          <t>South Region</t>
        </is>
      </c>
      <c r="F3274" t="inlineStr">
        <is>
          <t>Rep_02</t>
        </is>
      </c>
      <c r="G3274" t="n">
        <v>1.76</v>
      </c>
      <c r="H3274" t="inlineStr">
        <is>
          <t>Contacted</t>
        </is>
      </c>
      <c r="I3274" t="inlineStr">
        <is>
          <t>Open</t>
        </is>
      </c>
      <c r="M3274">
        <f>VLOOKUP(H3274,'Stage Order'!$A$2:$B$8,2,FALSE)</f>
        <v/>
      </c>
      <c r="N3274">
        <f>IF(G3274&lt;=1,"1. Under 1 hour",IF(G3274&lt;=24,"2. 1-24 hours",IF(G3274&lt;=72,"3. 1-3 days","4. Over 3 days")))</f>
        <v/>
      </c>
      <c r="O3274">
        <f>TEXT(B3274,"YYYY-MM")</f>
        <v/>
      </c>
    </row>
    <row r="3275">
      <c r="A3275" t="inlineStr">
        <is>
          <t>LD-303273</t>
        </is>
      </c>
      <c r="B3275" t="inlineStr">
        <is>
          <t>2026-03-20 10:33:00</t>
        </is>
      </c>
      <c r="C3275" t="inlineStr">
        <is>
          <t>Paid Search</t>
        </is>
      </c>
      <c r="D3275" t="inlineStr">
        <is>
          <t>Coding for Kids</t>
        </is>
      </c>
      <c r="E3275" t="inlineStr">
        <is>
          <t>East Region</t>
        </is>
      </c>
      <c r="F3275" t="inlineStr">
        <is>
          <t>Rep_09</t>
        </is>
      </c>
      <c r="G3275" t="n">
        <v>4.75</v>
      </c>
      <c r="H3275" t="inlineStr">
        <is>
          <t>Contacted</t>
        </is>
      </c>
      <c r="I3275" t="inlineStr">
        <is>
          <t>Open</t>
        </is>
      </c>
      <c r="M3275">
        <f>VLOOKUP(H3275,'Stage Order'!$A$2:$B$8,2,FALSE)</f>
        <v/>
      </c>
      <c r="N3275">
        <f>IF(G3275&lt;=1,"1. Under 1 hour",IF(G3275&lt;=24,"2. 1-24 hours",IF(G3275&lt;=72,"3. 1-3 days","4. Over 3 days")))</f>
        <v/>
      </c>
      <c r="O3275">
        <f>TEXT(B3275,"YYYY-MM")</f>
        <v/>
      </c>
    </row>
    <row r="3276">
      <c r="A3276" t="inlineStr">
        <is>
          <t>LD-303274</t>
        </is>
      </c>
      <c r="B3276" t="inlineStr">
        <is>
          <t>2025-04-04 13:44:00</t>
        </is>
      </c>
      <c r="C3276" t="inlineStr">
        <is>
          <t>Organic Search</t>
        </is>
      </c>
      <c r="D3276" t="inlineStr">
        <is>
          <t>Competitive Exam Prep</t>
        </is>
      </c>
      <c r="E3276" t="inlineStr">
        <is>
          <t>East Region</t>
        </is>
      </c>
      <c r="F3276" t="inlineStr">
        <is>
          <t>Rep_09</t>
        </is>
      </c>
      <c r="G3276" t="n">
        <v>5.45</v>
      </c>
      <c r="H3276" t="inlineStr">
        <is>
          <t>Demo Scheduled</t>
        </is>
      </c>
      <c r="I3276" t="inlineStr">
        <is>
          <t>Open</t>
        </is>
      </c>
      <c r="M3276">
        <f>VLOOKUP(H3276,'Stage Order'!$A$2:$B$8,2,FALSE)</f>
        <v/>
      </c>
      <c r="N3276">
        <f>IF(G3276&lt;=1,"1. Under 1 hour",IF(G3276&lt;=24,"2. 1-24 hours",IF(G3276&lt;=72,"3. 1-3 days","4. Over 3 days")))</f>
        <v/>
      </c>
      <c r="O3276">
        <f>TEXT(B3276,"YYYY-MM")</f>
        <v/>
      </c>
    </row>
    <row r="3277">
      <c r="A3277" t="inlineStr">
        <is>
          <t>LD-303275</t>
        </is>
      </c>
      <c r="B3277" t="inlineStr">
        <is>
          <t>2026-01-05 12:12:00</t>
        </is>
      </c>
      <c r="C3277" t="inlineStr">
        <is>
          <t>Referral</t>
        </is>
      </c>
      <c r="D3277" t="inlineStr">
        <is>
          <t>K-12 Math</t>
        </is>
      </c>
      <c r="E3277" t="inlineStr">
        <is>
          <t>North Region</t>
        </is>
      </c>
      <c r="F3277" t="inlineStr">
        <is>
          <t>Rep_11</t>
        </is>
      </c>
      <c r="G3277" t="n">
        <v>0.23</v>
      </c>
      <c r="H3277" t="inlineStr">
        <is>
          <t>Closed</t>
        </is>
      </c>
      <c r="I3277" t="inlineStr">
        <is>
          <t>Won</t>
        </is>
      </c>
      <c r="K3277" t="n">
        <v>539.01</v>
      </c>
      <c r="L3277" t="inlineStr">
        <is>
          <t>2026-02-04 20:43:56.779291</t>
        </is>
      </c>
      <c r="M3277">
        <f>VLOOKUP(H3277,'Stage Order'!$A$2:$B$8,2,FALSE)</f>
        <v/>
      </c>
      <c r="N3277">
        <f>IF(G3277&lt;=1,"1. Under 1 hour",IF(G3277&lt;=24,"2. 1-24 hours",IF(G3277&lt;=72,"3. 1-3 days","4. Over 3 days")))</f>
        <v/>
      </c>
      <c r="O3277">
        <f>TEXT(B3277,"YYYY-MM")</f>
        <v/>
      </c>
    </row>
    <row r="3278">
      <c r="A3278" t="inlineStr">
        <is>
          <t>LD-303276</t>
        </is>
      </c>
      <c r="B3278" t="inlineStr">
        <is>
          <t>2026-01-13 07:35:00</t>
        </is>
      </c>
      <c r="C3278" t="inlineStr">
        <is>
          <t>Social Media</t>
        </is>
      </c>
      <c r="D3278" t="inlineStr">
        <is>
          <t>Coding for Kids</t>
        </is>
      </c>
      <c r="E3278" t="inlineStr">
        <is>
          <t>West Region</t>
        </is>
      </c>
      <c r="F3278" t="inlineStr">
        <is>
          <t>Rep_13</t>
        </is>
      </c>
      <c r="G3278" t="n">
        <v>1.76</v>
      </c>
      <c r="H3278" t="inlineStr">
        <is>
          <t>Contacted</t>
        </is>
      </c>
      <c r="I3278" t="inlineStr">
        <is>
          <t>Open</t>
        </is>
      </c>
      <c r="M3278">
        <f>VLOOKUP(H3278,'Stage Order'!$A$2:$B$8,2,FALSE)</f>
        <v/>
      </c>
      <c r="N3278">
        <f>IF(G3278&lt;=1,"1. Under 1 hour",IF(G3278&lt;=24,"2. 1-24 hours",IF(G3278&lt;=72,"3. 1-3 days","4. Over 3 days")))</f>
        <v/>
      </c>
      <c r="O3278">
        <f>TEXT(B3278,"YYYY-MM")</f>
        <v/>
      </c>
    </row>
    <row r="3279">
      <c r="A3279" t="inlineStr">
        <is>
          <t>LD-303277</t>
        </is>
      </c>
      <c r="B3279" t="inlineStr">
        <is>
          <t>2026-06-15 13:51:00</t>
        </is>
      </c>
      <c r="C3279" t="inlineStr">
        <is>
          <t>Paid Search</t>
        </is>
      </c>
      <c r="D3279" t="inlineStr">
        <is>
          <t>K-12 Math</t>
        </is>
      </c>
      <c r="E3279" t="inlineStr">
        <is>
          <t>North Region</t>
        </is>
      </c>
      <c r="F3279" t="inlineStr">
        <is>
          <t>Rep_11</t>
        </is>
      </c>
      <c r="G3279" t="n">
        <v>2.93</v>
      </c>
      <c r="H3279" t="inlineStr">
        <is>
          <t>Negotiation</t>
        </is>
      </c>
      <c r="I3279" t="inlineStr">
        <is>
          <t>Lost</t>
        </is>
      </c>
      <c r="J3279" t="inlineStr">
        <is>
          <t>Bad Timing</t>
        </is>
      </c>
      <c r="K3279" t="n">
        <v>565.83</v>
      </c>
      <c r="L3279" t="inlineStr">
        <is>
          <t>2026-08-01 22:32:51.437255</t>
        </is>
      </c>
      <c r="M3279">
        <f>VLOOKUP(H3279,'Stage Order'!$A$2:$B$8,2,FALSE)</f>
        <v/>
      </c>
      <c r="N3279">
        <f>IF(G3279&lt;=1,"1. Under 1 hour",IF(G3279&lt;=24,"2. 1-24 hours",IF(G3279&lt;=72,"3. 1-3 days","4. Over 3 days")))</f>
        <v/>
      </c>
      <c r="O3279">
        <f>TEXT(B3279,"YYYY-MM")</f>
        <v/>
      </c>
    </row>
    <row r="3280">
      <c r="A3280" t="inlineStr">
        <is>
          <t>LD-303278</t>
        </is>
      </c>
      <c r="B3280" t="inlineStr">
        <is>
          <t>2025-04-21 11:07:00</t>
        </is>
      </c>
      <c r="C3280" t="inlineStr">
        <is>
          <t>Webinar</t>
        </is>
      </c>
      <c r="D3280" t="inlineStr">
        <is>
          <t>Language Learning</t>
        </is>
      </c>
      <c r="E3280" t="inlineStr">
        <is>
          <t>South Region</t>
        </is>
      </c>
      <c r="F3280" t="inlineStr">
        <is>
          <t>Rep_02</t>
        </is>
      </c>
      <c r="G3280" t="n">
        <v>3.04</v>
      </c>
      <c r="H3280" t="inlineStr">
        <is>
          <t>Closed</t>
        </is>
      </c>
      <c r="I3280" t="inlineStr">
        <is>
          <t>Won</t>
        </is>
      </c>
      <c r="K3280" t="n">
        <v>411.69</v>
      </c>
      <c r="L3280" t="inlineStr">
        <is>
          <t>2025-06-08 09:12:17.790891</t>
        </is>
      </c>
      <c r="M3280">
        <f>VLOOKUP(H3280,'Stage Order'!$A$2:$B$8,2,FALSE)</f>
        <v/>
      </c>
      <c r="N3280">
        <f>IF(G3280&lt;=1,"1. Under 1 hour",IF(G3280&lt;=24,"2. 1-24 hours",IF(G3280&lt;=72,"3. 1-3 days","4. Over 3 days")))</f>
        <v/>
      </c>
      <c r="O3280">
        <f>TEXT(B3280,"YYYY-MM")</f>
        <v/>
      </c>
    </row>
    <row r="3281">
      <c r="A3281" t="inlineStr">
        <is>
          <t>LD-303279</t>
        </is>
      </c>
      <c r="B3281" t="inlineStr">
        <is>
          <t>2025-10-07 11:18:00</t>
        </is>
      </c>
      <c r="C3281" t="inlineStr">
        <is>
          <t>Paid Search</t>
        </is>
      </c>
      <c r="D3281" t="inlineStr">
        <is>
          <t>Language Learning</t>
        </is>
      </c>
      <c r="E3281" t="inlineStr">
        <is>
          <t>West Region</t>
        </is>
      </c>
      <c r="F3281" t="inlineStr">
        <is>
          <t>Rep_08</t>
        </is>
      </c>
      <c r="G3281" t="n">
        <v>3.77</v>
      </c>
      <c r="H3281" t="inlineStr">
        <is>
          <t>Contacted</t>
        </is>
      </c>
      <c r="I3281" t="inlineStr">
        <is>
          <t>Open</t>
        </is>
      </c>
      <c r="M3281">
        <f>VLOOKUP(H3281,'Stage Order'!$A$2:$B$8,2,FALSE)</f>
        <v/>
      </c>
      <c r="N3281">
        <f>IF(G3281&lt;=1,"1. Under 1 hour",IF(G3281&lt;=24,"2. 1-24 hours",IF(G3281&lt;=72,"3. 1-3 days","4. Over 3 days")))</f>
        <v/>
      </c>
      <c r="O3281">
        <f>TEXT(B3281,"YYYY-MM")</f>
        <v/>
      </c>
    </row>
    <row r="3282">
      <c r="A3282" t="inlineStr">
        <is>
          <t>LD-303280</t>
        </is>
      </c>
      <c r="B3282" t="inlineStr">
        <is>
          <t>2026-04-04 17:15:00</t>
        </is>
      </c>
      <c r="C3282" t="inlineStr">
        <is>
          <t>Cold Outreach</t>
        </is>
      </c>
      <c r="D3282" t="inlineStr">
        <is>
          <t>K-12 Math</t>
        </is>
      </c>
      <c r="E3282" t="inlineStr">
        <is>
          <t>North Region</t>
        </is>
      </c>
      <c r="F3282" t="inlineStr">
        <is>
          <t>Rep_11</t>
        </is>
      </c>
      <c r="G3282" t="n">
        <v>5.58</v>
      </c>
      <c r="H3282" t="inlineStr">
        <is>
          <t>Lead</t>
        </is>
      </c>
      <c r="I3282" t="inlineStr">
        <is>
          <t>Open</t>
        </is>
      </c>
      <c r="M3282">
        <f>VLOOKUP(H3282,'Stage Order'!$A$2:$B$8,2,FALSE)</f>
        <v/>
      </c>
      <c r="N3282">
        <f>IF(G3282&lt;=1,"1. Under 1 hour",IF(G3282&lt;=24,"2. 1-24 hours",IF(G3282&lt;=72,"3. 1-3 days","4. Over 3 days")))</f>
        <v/>
      </c>
      <c r="O3282">
        <f>TEXT(B3282,"YYYY-MM")</f>
        <v/>
      </c>
    </row>
    <row r="3283">
      <c r="A3283" t="inlineStr">
        <is>
          <t>LD-303281</t>
        </is>
      </c>
      <c r="B3283" t="inlineStr">
        <is>
          <t>2026-04-09 11:00:00</t>
        </is>
      </c>
      <c r="C3283" t="inlineStr">
        <is>
          <t>Paid Search</t>
        </is>
      </c>
      <c r="D3283" t="inlineStr">
        <is>
          <t>K-12 Math</t>
        </is>
      </c>
      <c r="E3283" t="inlineStr">
        <is>
          <t>North Region</t>
        </is>
      </c>
      <c r="F3283" t="inlineStr">
        <is>
          <t>Rep_01</t>
        </is>
      </c>
      <c r="G3283" t="n">
        <v>6.45</v>
      </c>
      <c r="H3283" t="inlineStr">
        <is>
          <t>Negotiation</t>
        </is>
      </c>
      <c r="I3283" t="inlineStr">
        <is>
          <t>Lost</t>
        </is>
      </c>
      <c r="J3283" t="inlineStr">
        <is>
          <t>Price Objection</t>
        </is>
      </c>
      <c r="K3283" t="n">
        <v>577.2</v>
      </c>
      <c r="L3283" t="inlineStr">
        <is>
          <t>2026-05-10 03:55:21.863877</t>
        </is>
      </c>
      <c r="M3283">
        <f>VLOOKUP(H3283,'Stage Order'!$A$2:$B$8,2,FALSE)</f>
        <v/>
      </c>
      <c r="N3283">
        <f>IF(G3283&lt;=1,"1. Under 1 hour",IF(G3283&lt;=24,"2. 1-24 hours",IF(G3283&lt;=72,"3. 1-3 days","4. Over 3 days")))</f>
        <v/>
      </c>
      <c r="O3283">
        <f>TEXT(B3283,"YYYY-MM")</f>
        <v/>
      </c>
    </row>
    <row r="3284">
      <c r="A3284" t="inlineStr">
        <is>
          <t>LD-303282</t>
        </is>
      </c>
      <c r="B3284" t="inlineStr">
        <is>
          <t>2025-06-13 12:50:00</t>
        </is>
      </c>
      <c r="C3284" t="inlineStr">
        <is>
          <t>Paid Search</t>
        </is>
      </c>
      <c r="D3284" t="inlineStr">
        <is>
          <t>Language Learning</t>
        </is>
      </c>
      <c r="E3284" t="inlineStr">
        <is>
          <t>International</t>
        </is>
      </c>
      <c r="F3284" t="inlineStr">
        <is>
          <t>Rep_10</t>
        </is>
      </c>
      <c r="G3284" t="n">
        <v>1.26</v>
      </c>
      <c r="H3284" t="inlineStr">
        <is>
          <t>Contacted</t>
        </is>
      </c>
      <c r="I3284" t="inlineStr">
        <is>
          <t>Open</t>
        </is>
      </c>
      <c r="M3284">
        <f>VLOOKUP(H3284,'Stage Order'!$A$2:$B$8,2,FALSE)</f>
        <v/>
      </c>
      <c r="N3284">
        <f>IF(G3284&lt;=1,"1. Under 1 hour",IF(G3284&lt;=24,"2. 1-24 hours",IF(G3284&lt;=72,"3. 1-3 days","4. Over 3 days")))</f>
        <v/>
      </c>
      <c r="O3284">
        <f>TEXT(B3284,"YYYY-MM")</f>
        <v/>
      </c>
    </row>
    <row r="3285">
      <c r="A3285" t="inlineStr">
        <is>
          <t>LD-303283</t>
        </is>
      </c>
      <c r="B3285" t="inlineStr">
        <is>
          <t>2025-03-04 12:03:00</t>
        </is>
      </c>
      <c r="C3285" t="inlineStr">
        <is>
          <t>Paid Search</t>
        </is>
      </c>
      <c r="D3285" t="inlineStr">
        <is>
          <t>K-12 Math</t>
        </is>
      </c>
      <c r="E3285" t="inlineStr">
        <is>
          <t>East Region</t>
        </is>
      </c>
      <c r="F3285" t="inlineStr">
        <is>
          <t>Rep_04</t>
        </is>
      </c>
      <c r="G3285" t="n">
        <v>0.71</v>
      </c>
      <c r="H3285" t="inlineStr">
        <is>
          <t>Proposal Sent</t>
        </is>
      </c>
      <c r="I3285" t="inlineStr">
        <is>
          <t>Lost</t>
        </is>
      </c>
      <c r="J3285" t="inlineStr">
        <is>
          <t>Bad Timing</t>
        </is>
      </c>
      <c r="K3285" t="n">
        <v>560.64</v>
      </c>
      <c r="L3285" t="inlineStr">
        <is>
          <t>2025-04-18 11:50:20.756749</t>
        </is>
      </c>
      <c r="M3285">
        <f>VLOOKUP(H3285,'Stage Order'!$A$2:$B$8,2,FALSE)</f>
        <v/>
      </c>
      <c r="N3285">
        <f>IF(G3285&lt;=1,"1. Under 1 hour",IF(G3285&lt;=24,"2. 1-24 hours",IF(G3285&lt;=72,"3. 1-3 days","4. Over 3 days")))</f>
        <v/>
      </c>
      <c r="O3285">
        <f>TEXT(B3285,"YYYY-MM")</f>
        <v/>
      </c>
    </row>
    <row r="3286">
      <c r="A3286" t="inlineStr">
        <is>
          <t>LD-303284</t>
        </is>
      </c>
      <c r="B3286" t="inlineStr">
        <is>
          <t>2026-02-25 10:34:00</t>
        </is>
      </c>
      <c r="C3286" t="inlineStr">
        <is>
          <t>Webinar</t>
        </is>
      </c>
      <c r="D3286" t="inlineStr">
        <is>
          <t>Competitive Exam Prep</t>
        </is>
      </c>
      <c r="E3286" t="inlineStr">
        <is>
          <t>International</t>
        </is>
      </c>
      <c r="F3286" t="inlineStr">
        <is>
          <t>Rep_05</t>
        </is>
      </c>
      <c r="G3286" t="n">
        <v>1.51</v>
      </c>
      <c r="H3286" t="inlineStr">
        <is>
          <t>Negotiation</t>
        </is>
      </c>
      <c r="I3286" t="inlineStr">
        <is>
          <t>Lost</t>
        </is>
      </c>
      <c r="J3286" t="inlineStr">
        <is>
          <t>Went With Competitor</t>
        </is>
      </c>
      <c r="K3286" t="n">
        <v>954.78</v>
      </c>
      <c r="L3286" t="inlineStr">
        <is>
          <t>2026-04-16 07:57:39.966455</t>
        </is>
      </c>
      <c r="M3286">
        <f>VLOOKUP(H3286,'Stage Order'!$A$2:$B$8,2,FALSE)</f>
        <v/>
      </c>
      <c r="N3286">
        <f>IF(G3286&lt;=1,"1. Under 1 hour",IF(G3286&lt;=24,"2. 1-24 hours",IF(G3286&lt;=72,"3. 1-3 days","4. Over 3 days")))</f>
        <v/>
      </c>
      <c r="O3286">
        <f>TEXT(B3286,"YYYY-MM")</f>
        <v/>
      </c>
    </row>
    <row r="3287">
      <c r="A3287" t="inlineStr">
        <is>
          <t>LD-303285</t>
        </is>
      </c>
      <c r="B3287" t="inlineStr">
        <is>
          <t>2025-02-07 19:51:00</t>
        </is>
      </c>
      <c r="C3287" t="inlineStr">
        <is>
          <t>Partner Channel</t>
        </is>
      </c>
      <c r="D3287" t="inlineStr">
        <is>
          <t>Competitive Exam Prep</t>
        </is>
      </c>
      <c r="E3287" t="inlineStr">
        <is>
          <t>West Region</t>
        </is>
      </c>
      <c r="F3287" t="inlineStr">
        <is>
          <t>Rep_13</t>
        </is>
      </c>
      <c r="G3287" t="n">
        <v>4.28</v>
      </c>
      <c r="H3287" t="inlineStr">
        <is>
          <t>Contacted</t>
        </is>
      </c>
      <c r="I3287" t="inlineStr">
        <is>
          <t>Open</t>
        </is>
      </c>
      <c r="M3287">
        <f>VLOOKUP(H3287,'Stage Order'!$A$2:$B$8,2,FALSE)</f>
        <v/>
      </c>
      <c r="N3287">
        <f>IF(G3287&lt;=1,"1. Under 1 hour",IF(G3287&lt;=24,"2. 1-24 hours",IF(G3287&lt;=72,"3. 1-3 days","4. Over 3 days")))</f>
        <v/>
      </c>
      <c r="O3287">
        <f>TEXT(B3287,"YYYY-MM")</f>
        <v/>
      </c>
    </row>
    <row r="3288">
      <c r="A3288" t="inlineStr">
        <is>
          <t>LD-303286</t>
        </is>
      </c>
      <c r="B3288" t="inlineStr">
        <is>
          <t>2026-06-22 14:43:00</t>
        </is>
      </c>
      <c r="C3288" t="inlineStr">
        <is>
          <t>Partner Channel</t>
        </is>
      </c>
      <c r="D3288" t="inlineStr">
        <is>
          <t>K-12 Math</t>
        </is>
      </c>
      <c r="E3288" t="inlineStr">
        <is>
          <t>North Region</t>
        </is>
      </c>
      <c r="F3288" t="inlineStr">
        <is>
          <t>Rep_01</t>
        </is>
      </c>
      <c r="G3288" t="n">
        <v>4.29</v>
      </c>
      <c r="H3288" t="inlineStr">
        <is>
          <t>Contacted</t>
        </is>
      </c>
      <c r="I3288" t="inlineStr">
        <is>
          <t>Open</t>
        </is>
      </c>
      <c r="M3288">
        <f>VLOOKUP(H3288,'Stage Order'!$A$2:$B$8,2,FALSE)</f>
        <v/>
      </c>
      <c r="N3288">
        <f>IF(G3288&lt;=1,"1. Under 1 hour",IF(G3288&lt;=24,"2. 1-24 hours",IF(G3288&lt;=72,"3. 1-3 days","4. Over 3 days")))</f>
        <v/>
      </c>
      <c r="O3288">
        <f>TEXT(B3288,"YYYY-MM")</f>
        <v/>
      </c>
    </row>
    <row r="3289">
      <c r="A3289" t="inlineStr">
        <is>
          <t>LD-303287</t>
        </is>
      </c>
      <c r="B3289" t="inlineStr">
        <is>
          <t>2025-05-23 18:11:00</t>
        </is>
      </c>
      <c r="C3289" t="inlineStr">
        <is>
          <t>Social Media</t>
        </is>
      </c>
      <c r="D3289" t="inlineStr">
        <is>
          <t>Competitive Exam Prep</t>
        </is>
      </c>
      <c r="E3289" t="inlineStr">
        <is>
          <t>North Region</t>
        </is>
      </c>
      <c r="F3289" t="inlineStr">
        <is>
          <t>Rep_11</t>
        </is>
      </c>
      <c r="G3289" t="n">
        <v>6.33</v>
      </c>
      <c r="H3289" t="inlineStr">
        <is>
          <t>Proposal Sent</t>
        </is>
      </c>
      <c r="I3289" t="inlineStr">
        <is>
          <t>Lost</t>
        </is>
      </c>
      <c r="J3289" t="inlineStr">
        <is>
          <t>Price Objection</t>
        </is>
      </c>
      <c r="K3289" t="n">
        <v>904.38</v>
      </c>
      <c r="L3289" t="inlineStr">
        <is>
          <t>2025-06-18 04:18:22.996652</t>
        </is>
      </c>
      <c r="M3289">
        <f>VLOOKUP(H3289,'Stage Order'!$A$2:$B$8,2,FALSE)</f>
        <v/>
      </c>
      <c r="N3289">
        <f>IF(G3289&lt;=1,"1. Under 1 hour",IF(G3289&lt;=24,"2. 1-24 hours",IF(G3289&lt;=72,"3. 1-3 days","4. Over 3 days")))</f>
        <v/>
      </c>
      <c r="O3289">
        <f>TEXT(B3289,"YYYY-MM")</f>
        <v/>
      </c>
    </row>
    <row r="3290">
      <c r="A3290" t="inlineStr">
        <is>
          <t>LD-303288</t>
        </is>
      </c>
      <c r="B3290" t="inlineStr">
        <is>
          <t>2025-12-26 12:32:00</t>
        </is>
      </c>
      <c r="C3290" t="inlineStr">
        <is>
          <t>Paid Search</t>
        </is>
      </c>
      <c r="D3290" t="inlineStr">
        <is>
          <t>K-12 Math</t>
        </is>
      </c>
      <c r="E3290" t="inlineStr">
        <is>
          <t>South Region</t>
        </is>
      </c>
      <c r="F3290" t="inlineStr">
        <is>
          <t>Rep_12</t>
        </is>
      </c>
      <c r="G3290" t="n">
        <v>1.35</v>
      </c>
      <c r="H3290" t="inlineStr">
        <is>
          <t>Contacted</t>
        </is>
      </c>
      <c r="I3290" t="inlineStr">
        <is>
          <t>Open</t>
        </is>
      </c>
      <c r="M3290">
        <f>VLOOKUP(H3290,'Stage Order'!$A$2:$B$8,2,FALSE)</f>
        <v/>
      </c>
      <c r="N3290">
        <f>IF(G3290&lt;=1,"1. Under 1 hour",IF(G3290&lt;=24,"2. 1-24 hours",IF(G3290&lt;=72,"3. 1-3 days","4. Over 3 days")))</f>
        <v/>
      </c>
      <c r="O3290">
        <f>TEXT(B3290,"YYYY-MM")</f>
        <v/>
      </c>
    </row>
    <row r="3291">
      <c r="A3291" t="inlineStr">
        <is>
          <t>LD-303289</t>
        </is>
      </c>
      <c r="B3291" t="inlineStr">
        <is>
          <t>2025-12-21 10:47:00</t>
        </is>
      </c>
      <c r="C3291" t="inlineStr">
        <is>
          <t>Webinar</t>
        </is>
      </c>
      <c r="D3291" t="inlineStr">
        <is>
          <t>Coding for Kids</t>
        </is>
      </c>
      <c r="E3291" t="inlineStr">
        <is>
          <t>South Region</t>
        </is>
      </c>
      <c r="F3291" t="inlineStr">
        <is>
          <t>Rep_02</t>
        </is>
      </c>
      <c r="G3291" t="n">
        <v>1.65</v>
      </c>
      <c r="H3291" t="inlineStr">
        <is>
          <t>Contacted</t>
        </is>
      </c>
      <c r="I3291" t="inlineStr">
        <is>
          <t>Open</t>
        </is>
      </c>
      <c r="M3291">
        <f>VLOOKUP(H3291,'Stage Order'!$A$2:$B$8,2,FALSE)</f>
        <v/>
      </c>
      <c r="N3291">
        <f>IF(G3291&lt;=1,"1. Under 1 hour",IF(G3291&lt;=24,"2. 1-24 hours",IF(G3291&lt;=72,"3. 1-3 days","4. Over 3 days")))</f>
        <v/>
      </c>
      <c r="O3291">
        <f>TEXT(B3291,"YYYY-MM")</f>
        <v/>
      </c>
    </row>
    <row r="3292">
      <c r="A3292" t="inlineStr">
        <is>
          <t>LD-303290</t>
        </is>
      </c>
      <c r="B3292" t="inlineStr">
        <is>
          <t>2025-12-23 18:50:00</t>
        </is>
      </c>
      <c r="C3292" t="inlineStr">
        <is>
          <t>Cold Outreach</t>
        </is>
      </c>
      <c r="D3292" t="inlineStr">
        <is>
          <t>Language Learning</t>
        </is>
      </c>
      <c r="E3292" t="inlineStr">
        <is>
          <t>International</t>
        </is>
      </c>
      <c r="F3292" t="inlineStr">
        <is>
          <t>Rep_15</t>
        </is>
      </c>
      <c r="G3292" t="n">
        <v>1.52</v>
      </c>
      <c r="H3292" t="inlineStr">
        <is>
          <t>Contacted</t>
        </is>
      </c>
      <c r="I3292" t="inlineStr">
        <is>
          <t>Open</t>
        </is>
      </c>
      <c r="M3292">
        <f>VLOOKUP(H3292,'Stage Order'!$A$2:$B$8,2,FALSE)</f>
        <v/>
      </c>
      <c r="N3292">
        <f>IF(G3292&lt;=1,"1. Under 1 hour",IF(G3292&lt;=24,"2. 1-24 hours",IF(G3292&lt;=72,"3. 1-3 days","4. Over 3 days")))</f>
        <v/>
      </c>
      <c r="O3292">
        <f>TEXT(B3292,"YYYY-MM")</f>
        <v/>
      </c>
    </row>
    <row r="3293">
      <c r="A3293" t="inlineStr">
        <is>
          <t>LD-303291</t>
        </is>
      </c>
      <c r="B3293" t="inlineStr">
        <is>
          <t>2025-10-24 20:50:00</t>
        </is>
      </c>
      <c r="C3293" t="inlineStr">
        <is>
          <t>Partner Channel</t>
        </is>
      </c>
      <c r="D3293" t="inlineStr">
        <is>
          <t>Competitive Exam Prep</t>
        </is>
      </c>
      <c r="E3293" t="inlineStr">
        <is>
          <t>West Region</t>
        </is>
      </c>
      <c r="F3293" t="inlineStr">
        <is>
          <t>Rep_03</t>
        </is>
      </c>
      <c r="G3293" t="n">
        <v>17.85</v>
      </c>
      <c r="H3293" t="inlineStr">
        <is>
          <t>Contacted</t>
        </is>
      </c>
      <c r="I3293" t="inlineStr">
        <is>
          <t>Open</t>
        </is>
      </c>
      <c r="M3293">
        <f>VLOOKUP(H3293,'Stage Order'!$A$2:$B$8,2,FALSE)</f>
        <v/>
      </c>
      <c r="N3293">
        <f>IF(G3293&lt;=1,"1. Under 1 hour",IF(G3293&lt;=24,"2. 1-24 hours",IF(G3293&lt;=72,"3. 1-3 days","4. Over 3 days")))</f>
        <v/>
      </c>
      <c r="O3293">
        <f>TEXT(B3293,"YYYY-MM")</f>
        <v/>
      </c>
    </row>
    <row r="3294">
      <c r="A3294" t="inlineStr">
        <is>
          <t>LD-303292</t>
        </is>
      </c>
      <c r="B3294" t="inlineStr">
        <is>
          <t>2025-02-14 09:29:00</t>
        </is>
      </c>
      <c r="C3294" t="inlineStr">
        <is>
          <t>Organic Search</t>
        </is>
      </c>
      <c r="D3294" t="inlineStr">
        <is>
          <t>Language Learning</t>
        </is>
      </c>
      <c r="E3294" t="inlineStr">
        <is>
          <t>West Region</t>
        </is>
      </c>
      <c r="F3294" t="inlineStr">
        <is>
          <t>Rep_08</t>
        </is>
      </c>
      <c r="G3294" t="n">
        <v>3.09</v>
      </c>
      <c r="H3294" t="inlineStr">
        <is>
          <t>Closed</t>
        </is>
      </c>
      <c r="I3294" t="inlineStr">
        <is>
          <t>Won</t>
        </is>
      </c>
      <c r="K3294" t="n">
        <v>408.84</v>
      </c>
      <c r="L3294" t="inlineStr">
        <is>
          <t>2025-03-25 18:34:26.613554</t>
        </is>
      </c>
      <c r="M3294">
        <f>VLOOKUP(H3294,'Stage Order'!$A$2:$B$8,2,FALSE)</f>
        <v/>
      </c>
      <c r="N3294">
        <f>IF(G3294&lt;=1,"1. Under 1 hour",IF(G3294&lt;=24,"2. 1-24 hours",IF(G3294&lt;=72,"3. 1-3 days","4. Over 3 days")))</f>
        <v/>
      </c>
      <c r="O3294">
        <f>TEXT(B3294,"YYYY-MM")</f>
        <v/>
      </c>
    </row>
    <row r="3295">
      <c r="A3295" t="inlineStr">
        <is>
          <t>LD-303293</t>
        </is>
      </c>
      <c r="B3295" t="inlineStr">
        <is>
          <t>2026-04-17 19:49:00</t>
        </is>
      </c>
      <c r="C3295" t="inlineStr">
        <is>
          <t>Organic Search</t>
        </is>
      </c>
      <c r="D3295" t="inlineStr">
        <is>
          <t>Coding for Kids</t>
        </is>
      </c>
      <c r="E3295" t="inlineStr">
        <is>
          <t>East Region</t>
        </is>
      </c>
      <c r="F3295" t="inlineStr">
        <is>
          <t>Rep_09</t>
        </is>
      </c>
      <c r="G3295" t="n">
        <v>1.32</v>
      </c>
      <c r="H3295" t="inlineStr">
        <is>
          <t>Contacted</t>
        </is>
      </c>
      <c r="I3295" t="inlineStr">
        <is>
          <t>Open</t>
        </is>
      </c>
      <c r="M3295">
        <f>VLOOKUP(H3295,'Stage Order'!$A$2:$B$8,2,FALSE)</f>
        <v/>
      </c>
      <c r="N3295">
        <f>IF(G3295&lt;=1,"1. Under 1 hour",IF(G3295&lt;=24,"2. 1-24 hours",IF(G3295&lt;=72,"3. 1-3 days","4. Over 3 days")))</f>
        <v/>
      </c>
      <c r="O3295">
        <f>TEXT(B3295,"YYYY-MM")</f>
        <v/>
      </c>
    </row>
    <row r="3296">
      <c r="A3296" t="inlineStr">
        <is>
          <t>LD-303294</t>
        </is>
      </c>
      <c r="B3296" t="inlineStr">
        <is>
          <t>2025-04-25 09:20:00</t>
        </is>
      </c>
      <c r="C3296" t="inlineStr">
        <is>
          <t>Paid Search</t>
        </is>
      </c>
      <c r="D3296" t="inlineStr">
        <is>
          <t>K-12 Math</t>
        </is>
      </c>
      <c r="E3296" t="inlineStr">
        <is>
          <t>North Region</t>
        </is>
      </c>
      <c r="F3296" t="inlineStr">
        <is>
          <t>Rep_06</t>
        </is>
      </c>
      <c r="G3296" t="n">
        <v>16.31</v>
      </c>
      <c r="H3296" t="inlineStr">
        <is>
          <t>Demo Completed</t>
        </is>
      </c>
      <c r="I3296" t="inlineStr">
        <is>
          <t>Lost</t>
        </is>
      </c>
      <c r="J3296" t="inlineStr">
        <is>
          <t>Bad Timing</t>
        </is>
      </c>
      <c r="K3296" t="n">
        <v>526.33</v>
      </c>
      <c r="L3296" t="inlineStr">
        <is>
          <t>2025-05-18 04:37:44.861706</t>
        </is>
      </c>
      <c r="M3296">
        <f>VLOOKUP(H3296,'Stage Order'!$A$2:$B$8,2,FALSE)</f>
        <v/>
      </c>
      <c r="N3296">
        <f>IF(G3296&lt;=1,"1. Under 1 hour",IF(G3296&lt;=24,"2. 1-24 hours",IF(G3296&lt;=72,"3. 1-3 days","4. Over 3 days")))</f>
        <v/>
      </c>
      <c r="O3296">
        <f>TEXT(B3296,"YYYY-MM")</f>
        <v/>
      </c>
    </row>
    <row r="3297">
      <c r="A3297" t="inlineStr">
        <is>
          <t>LD-303295</t>
        </is>
      </c>
      <c r="B3297" t="inlineStr">
        <is>
          <t>2026-06-15 15:37:00</t>
        </is>
      </c>
      <c r="C3297" t="inlineStr">
        <is>
          <t>Paid Search</t>
        </is>
      </c>
      <c r="D3297" t="inlineStr">
        <is>
          <t>Language Learning</t>
        </is>
      </c>
      <c r="E3297" t="inlineStr">
        <is>
          <t>East Region</t>
        </is>
      </c>
      <c r="F3297" t="inlineStr">
        <is>
          <t>Rep_09</t>
        </is>
      </c>
      <c r="G3297" t="n">
        <v>5.12</v>
      </c>
      <c r="H3297" t="inlineStr">
        <is>
          <t>Lead</t>
        </is>
      </c>
      <c r="I3297" t="inlineStr">
        <is>
          <t>Open</t>
        </is>
      </c>
      <c r="M3297">
        <f>VLOOKUP(H3297,'Stage Order'!$A$2:$B$8,2,FALSE)</f>
        <v/>
      </c>
      <c r="N3297">
        <f>IF(G3297&lt;=1,"1. Under 1 hour",IF(G3297&lt;=24,"2. 1-24 hours",IF(G3297&lt;=72,"3. 1-3 days","4. Over 3 days")))</f>
        <v/>
      </c>
      <c r="O3297">
        <f>TEXT(B3297,"YYYY-MM")</f>
        <v/>
      </c>
    </row>
    <row r="3298">
      <c r="A3298" t="inlineStr">
        <is>
          <t>LD-303296</t>
        </is>
      </c>
      <c r="B3298" t="inlineStr">
        <is>
          <t>2026-06-09 13:17:00</t>
        </is>
      </c>
      <c r="C3298" t="inlineStr">
        <is>
          <t>Referral</t>
        </is>
      </c>
      <c r="D3298" t="inlineStr">
        <is>
          <t>K-12 Math</t>
        </is>
      </c>
      <c r="E3298" t="inlineStr">
        <is>
          <t>South Region</t>
        </is>
      </c>
      <c r="F3298" t="inlineStr">
        <is>
          <t>Rep_12</t>
        </is>
      </c>
      <c r="G3298" t="n">
        <v>7.07</v>
      </c>
      <c r="H3298" t="inlineStr">
        <is>
          <t>Closed</t>
        </is>
      </c>
      <c r="I3298" t="inlineStr">
        <is>
          <t>Won</t>
        </is>
      </c>
      <c r="K3298" t="n">
        <v>478.83</v>
      </c>
      <c r="L3298" t="inlineStr">
        <is>
          <t>2026-07-20 21:40:39.315516</t>
        </is>
      </c>
      <c r="M3298">
        <f>VLOOKUP(H3298,'Stage Order'!$A$2:$B$8,2,FALSE)</f>
        <v/>
      </c>
      <c r="N3298">
        <f>IF(G3298&lt;=1,"1. Under 1 hour",IF(G3298&lt;=24,"2. 1-24 hours",IF(G3298&lt;=72,"3. 1-3 days","4. Over 3 days")))</f>
        <v/>
      </c>
      <c r="O3298">
        <f>TEXT(B3298,"YYYY-MM")</f>
        <v/>
      </c>
    </row>
    <row r="3299">
      <c r="A3299" t="inlineStr">
        <is>
          <t>LD-303297</t>
        </is>
      </c>
      <c r="B3299" t="inlineStr">
        <is>
          <t>2025-05-25 14:26:00</t>
        </is>
      </c>
      <c r="C3299" t="inlineStr">
        <is>
          <t>Social Media</t>
        </is>
      </c>
      <c r="D3299" t="inlineStr">
        <is>
          <t>Study Abroad Prep</t>
        </is>
      </c>
      <c r="E3299" t="inlineStr">
        <is>
          <t>North Region</t>
        </is>
      </c>
      <c r="F3299" t="inlineStr">
        <is>
          <t>Rep_06</t>
        </is>
      </c>
      <c r="G3299" t="n">
        <v>11.87</v>
      </c>
      <c r="H3299" t="inlineStr">
        <is>
          <t>Contacted</t>
        </is>
      </c>
      <c r="I3299" t="inlineStr">
        <is>
          <t>Open</t>
        </is>
      </c>
      <c r="M3299">
        <f>VLOOKUP(H3299,'Stage Order'!$A$2:$B$8,2,FALSE)</f>
        <v/>
      </c>
      <c r="N3299">
        <f>IF(G3299&lt;=1,"1. Under 1 hour",IF(G3299&lt;=24,"2. 1-24 hours",IF(G3299&lt;=72,"3. 1-3 days","4. Over 3 days")))</f>
        <v/>
      </c>
      <c r="O3299">
        <f>TEXT(B3299,"YYYY-MM")</f>
        <v/>
      </c>
    </row>
    <row r="3300">
      <c r="A3300" t="inlineStr">
        <is>
          <t>LD-303298</t>
        </is>
      </c>
      <c r="B3300" t="inlineStr">
        <is>
          <t>2026-04-17 10:11:00</t>
        </is>
      </c>
      <c r="C3300" t="inlineStr">
        <is>
          <t>Organic Search</t>
        </is>
      </c>
      <c r="D3300" t="inlineStr">
        <is>
          <t>Competitive Exam Prep</t>
        </is>
      </c>
      <c r="E3300" t="inlineStr">
        <is>
          <t>South Region</t>
        </is>
      </c>
      <c r="F3300" t="inlineStr">
        <is>
          <t>Rep_02</t>
        </is>
      </c>
      <c r="G3300" t="n">
        <v>0.86</v>
      </c>
      <c r="H3300" t="inlineStr">
        <is>
          <t>Closed</t>
        </is>
      </c>
      <c r="I3300" t="inlineStr">
        <is>
          <t>Won</t>
        </is>
      </c>
      <c r="K3300" t="n">
        <v>1182.57</v>
      </c>
      <c r="L3300" t="inlineStr">
        <is>
          <t>2026-05-24 10:14:45.021540</t>
        </is>
      </c>
      <c r="M3300">
        <f>VLOOKUP(H3300,'Stage Order'!$A$2:$B$8,2,FALSE)</f>
        <v/>
      </c>
      <c r="N3300">
        <f>IF(G3300&lt;=1,"1. Under 1 hour",IF(G3300&lt;=24,"2. 1-24 hours",IF(G3300&lt;=72,"3. 1-3 days","4. Over 3 days")))</f>
        <v/>
      </c>
      <c r="O3300">
        <f>TEXT(B3300,"YYYY-MM")</f>
        <v/>
      </c>
    </row>
    <row r="3301">
      <c r="A3301" t="inlineStr">
        <is>
          <t>LD-303299</t>
        </is>
      </c>
      <c r="B3301" t="inlineStr">
        <is>
          <t>2025-06-26 16:28:00</t>
        </is>
      </c>
      <c r="C3301" t="inlineStr">
        <is>
          <t>Cold Outreach</t>
        </is>
      </c>
      <c r="D3301" t="inlineStr">
        <is>
          <t>Competitive Exam Prep</t>
        </is>
      </c>
      <c r="E3301" t="inlineStr">
        <is>
          <t>North Region</t>
        </is>
      </c>
      <c r="F3301" t="inlineStr">
        <is>
          <t>Rep_11</t>
        </is>
      </c>
      <c r="G3301" t="n">
        <v>6.75</v>
      </c>
      <c r="H3301" t="inlineStr">
        <is>
          <t>Contacted</t>
        </is>
      </c>
      <c r="I3301" t="inlineStr">
        <is>
          <t>Open</t>
        </is>
      </c>
      <c r="M3301">
        <f>VLOOKUP(H3301,'Stage Order'!$A$2:$B$8,2,FALSE)</f>
        <v/>
      </c>
      <c r="N3301">
        <f>IF(G3301&lt;=1,"1. Under 1 hour",IF(G3301&lt;=24,"2. 1-24 hours",IF(G3301&lt;=72,"3. 1-3 days","4. Over 3 days")))</f>
        <v/>
      </c>
      <c r="O3301">
        <f>TEXT(B3301,"YYYY-MM")</f>
        <v/>
      </c>
    </row>
    <row r="3302">
      <c r="A3302" t="inlineStr">
        <is>
          <t>LD-303300</t>
        </is>
      </c>
      <c r="B3302" t="inlineStr">
        <is>
          <t>2026-01-28 19:57:00</t>
        </is>
      </c>
      <c r="C3302" t="inlineStr">
        <is>
          <t>Referral</t>
        </is>
      </c>
      <c r="D3302" t="inlineStr">
        <is>
          <t>Competitive Exam Prep</t>
        </is>
      </c>
      <c r="E3302" t="inlineStr">
        <is>
          <t>East Region</t>
        </is>
      </c>
      <c r="F3302" t="inlineStr">
        <is>
          <t>Rep_09</t>
        </is>
      </c>
      <c r="G3302" t="n">
        <v>2.5</v>
      </c>
      <c r="H3302" t="inlineStr">
        <is>
          <t>Contacted</t>
        </is>
      </c>
      <c r="I3302" t="inlineStr">
        <is>
          <t>Open</t>
        </is>
      </c>
      <c r="M3302">
        <f>VLOOKUP(H3302,'Stage Order'!$A$2:$B$8,2,FALSE)</f>
        <v/>
      </c>
      <c r="N3302">
        <f>IF(G3302&lt;=1,"1. Under 1 hour",IF(G3302&lt;=24,"2. 1-24 hours",IF(G3302&lt;=72,"3. 1-3 days","4. Over 3 days")))</f>
        <v/>
      </c>
      <c r="O3302">
        <f>TEXT(B3302,"YYYY-MM")</f>
        <v/>
      </c>
    </row>
    <row r="3303">
      <c r="A3303" t="inlineStr">
        <is>
          <t>LD-303301</t>
        </is>
      </c>
      <c r="B3303" t="inlineStr">
        <is>
          <t>2026-01-12 13:02:00</t>
        </is>
      </c>
      <c r="C3303" t="inlineStr">
        <is>
          <t>Organic Search</t>
        </is>
      </c>
      <c r="D3303" t="inlineStr">
        <is>
          <t>Study Abroad Prep</t>
        </is>
      </c>
      <c r="E3303" t="inlineStr">
        <is>
          <t>South Region</t>
        </is>
      </c>
      <c r="F3303" t="inlineStr">
        <is>
          <t>Rep_07</t>
        </is>
      </c>
      <c r="G3303" t="n">
        <v>3.45</v>
      </c>
      <c r="H3303" t="inlineStr">
        <is>
          <t>Negotiation</t>
        </is>
      </c>
      <c r="I3303" t="inlineStr">
        <is>
          <t>Lost</t>
        </is>
      </c>
      <c r="J3303" t="inlineStr">
        <is>
          <t>Budget Not Approved</t>
        </is>
      </c>
      <c r="K3303" t="n">
        <v>1362.74</v>
      </c>
      <c r="L3303" t="inlineStr">
        <is>
          <t>2026-03-02 10:31:31.221430</t>
        </is>
      </c>
      <c r="M3303">
        <f>VLOOKUP(H3303,'Stage Order'!$A$2:$B$8,2,FALSE)</f>
        <v/>
      </c>
      <c r="N3303">
        <f>IF(G3303&lt;=1,"1. Under 1 hour",IF(G3303&lt;=24,"2. 1-24 hours",IF(G3303&lt;=72,"3. 1-3 days","4. Over 3 days")))</f>
        <v/>
      </c>
      <c r="O3303">
        <f>TEXT(B3303,"YYYY-MM")</f>
        <v/>
      </c>
    </row>
    <row r="3304">
      <c r="A3304" t="inlineStr">
        <is>
          <t>LD-303302</t>
        </is>
      </c>
      <c r="B3304" t="inlineStr">
        <is>
          <t>2025-08-08 14:56:00</t>
        </is>
      </c>
      <c r="C3304" t="inlineStr">
        <is>
          <t>Organic Search</t>
        </is>
      </c>
      <c r="D3304" t="inlineStr">
        <is>
          <t>K-12 Math</t>
        </is>
      </c>
      <c r="E3304" t="inlineStr">
        <is>
          <t>East Region</t>
        </is>
      </c>
      <c r="F3304" t="inlineStr">
        <is>
          <t>Rep_04</t>
        </is>
      </c>
      <c r="G3304" t="n">
        <v>3.84</v>
      </c>
      <c r="H3304" t="inlineStr">
        <is>
          <t>Lead</t>
        </is>
      </c>
      <c r="I3304" t="inlineStr">
        <is>
          <t>Open</t>
        </is>
      </c>
      <c r="M3304">
        <f>VLOOKUP(H3304,'Stage Order'!$A$2:$B$8,2,FALSE)</f>
        <v/>
      </c>
      <c r="N3304">
        <f>IF(G3304&lt;=1,"1. Under 1 hour",IF(G3304&lt;=24,"2. 1-24 hours",IF(G3304&lt;=72,"3. 1-3 days","4. Over 3 days")))</f>
        <v/>
      </c>
      <c r="O3304">
        <f>TEXT(B3304,"YYYY-MM")</f>
        <v/>
      </c>
    </row>
    <row r="3305">
      <c r="A3305" t="inlineStr">
        <is>
          <t>LD-303303</t>
        </is>
      </c>
      <c r="B3305" t="inlineStr">
        <is>
          <t>2025-03-07 17:00:00</t>
        </is>
      </c>
      <c r="C3305" t="inlineStr">
        <is>
          <t>Social Media</t>
        </is>
      </c>
      <c r="D3305" t="inlineStr">
        <is>
          <t>Coding for Kids</t>
        </is>
      </c>
      <c r="E3305" t="inlineStr">
        <is>
          <t>North Region</t>
        </is>
      </c>
      <c r="F3305" t="inlineStr">
        <is>
          <t>Rep_01</t>
        </is>
      </c>
      <c r="G3305" t="n">
        <v>2.59</v>
      </c>
      <c r="H3305" t="inlineStr">
        <is>
          <t>Lead</t>
        </is>
      </c>
      <c r="I3305" t="inlineStr">
        <is>
          <t>Open</t>
        </is>
      </c>
      <c r="M3305">
        <f>VLOOKUP(H3305,'Stage Order'!$A$2:$B$8,2,FALSE)</f>
        <v/>
      </c>
      <c r="N3305">
        <f>IF(G3305&lt;=1,"1. Under 1 hour",IF(G3305&lt;=24,"2. 1-24 hours",IF(G3305&lt;=72,"3. 1-3 days","4. Over 3 days")))</f>
        <v/>
      </c>
      <c r="O3305">
        <f>TEXT(B3305,"YYYY-MM")</f>
        <v/>
      </c>
    </row>
    <row r="3306">
      <c r="A3306" t="inlineStr">
        <is>
          <t>LD-303304</t>
        </is>
      </c>
      <c r="B3306" t="inlineStr">
        <is>
          <t>2025-06-19 10:23:00</t>
        </is>
      </c>
      <c r="C3306" t="inlineStr">
        <is>
          <t>Referral</t>
        </is>
      </c>
      <c r="D3306" t="inlineStr">
        <is>
          <t>Competitive Exam Prep</t>
        </is>
      </c>
      <c r="E3306" t="inlineStr">
        <is>
          <t>North Region</t>
        </is>
      </c>
      <c r="F3306" t="inlineStr">
        <is>
          <t>Rep_11</t>
        </is>
      </c>
      <c r="G3306" t="n">
        <v>14.99</v>
      </c>
      <c r="H3306" t="inlineStr">
        <is>
          <t>Demo Completed</t>
        </is>
      </c>
      <c r="I3306" t="inlineStr">
        <is>
          <t>Lost</t>
        </is>
      </c>
      <c r="J3306" t="inlineStr">
        <is>
          <t>Budget Not Approved</t>
        </is>
      </c>
      <c r="K3306" t="n">
        <v>932.13</v>
      </c>
      <c r="L3306" t="inlineStr">
        <is>
          <t>2025-07-11 02:15:17.876394</t>
        </is>
      </c>
      <c r="M3306">
        <f>VLOOKUP(H3306,'Stage Order'!$A$2:$B$8,2,FALSE)</f>
        <v/>
      </c>
      <c r="N3306">
        <f>IF(G3306&lt;=1,"1. Under 1 hour",IF(G3306&lt;=24,"2. 1-24 hours",IF(G3306&lt;=72,"3. 1-3 days","4. Over 3 days")))</f>
        <v/>
      </c>
      <c r="O3306">
        <f>TEXT(B3306,"YYYY-MM")</f>
        <v/>
      </c>
    </row>
    <row r="3307">
      <c r="A3307" t="inlineStr">
        <is>
          <t>LD-303305</t>
        </is>
      </c>
      <c r="B3307" t="inlineStr">
        <is>
          <t>2025-10-28 16:57:00</t>
        </is>
      </c>
      <c r="C3307" t="inlineStr">
        <is>
          <t>Organic Search</t>
        </is>
      </c>
      <c r="D3307" t="inlineStr">
        <is>
          <t>Competitive Exam Prep</t>
        </is>
      </c>
      <c r="E3307" t="inlineStr">
        <is>
          <t>North Region</t>
        </is>
      </c>
      <c r="F3307" t="inlineStr">
        <is>
          <t>Rep_11</t>
        </is>
      </c>
      <c r="G3307" t="n">
        <v>13.91</v>
      </c>
      <c r="H3307" t="inlineStr">
        <is>
          <t>Contacted</t>
        </is>
      </c>
      <c r="I3307" t="inlineStr">
        <is>
          <t>Open</t>
        </is>
      </c>
      <c r="M3307">
        <f>VLOOKUP(H3307,'Stage Order'!$A$2:$B$8,2,FALSE)</f>
        <v/>
      </c>
      <c r="N3307">
        <f>IF(G3307&lt;=1,"1. Under 1 hour",IF(G3307&lt;=24,"2. 1-24 hours",IF(G3307&lt;=72,"3. 1-3 days","4. Over 3 days")))</f>
        <v/>
      </c>
      <c r="O3307">
        <f>TEXT(B3307,"YYYY-MM")</f>
        <v/>
      </c>
    </row>
    <row r="3308">
      <c r="A3308" t="inlineStr">
        <is>
          <t>LD-303306</t>
        </is>
      </c>
      <c r="B3308" t="inlineStr">
        <is>
          <t>2026-04-24 08:15:00</t>
        </is>
      </c>
      <c r="C3308" t="inlineStr">
        <is>
          <t>Paid Search</t>
        </is>
      </c>
      <c r="D3308" t="inlineStr">
        <is>
          <t>Study Abroad Prep</t>
        </is>
      </c>
      <c r="E3308" t="inlineStr">
        <is>
          <t>South Region</t>
        </is>
      </c>
      <c r="F3308" t="inlineStr">
        <is>
          <t>Rep_07</t>
        </is>
      </c>
      <c r="G3308" t="n">
        <v>19.36</v>
      </c>
      <c r="H3308" t="inlineStr">
        <is>
          <t>Contacted</t>
        </is>
      </c>
      <c r="I3308" t="inlineStr">
        <is>
          <t>Open</t>
        </is>
      </c>
      <c r="M3308">
        <f>VLOOKUP(H3308,'Stage Order'!$A$2:$B$8,2,FALSE)</f>
        <v/>
      </c>
      <c r="N3308">
        <f>IF(G3308&lt;=1,"1. Under 1 hour",IF(G3308&lt;=24,"2. 1-24 hours",IF(G3308&lt;=72,"3. 1-3 days","4. Over 3 days")))</f>
        <v/>
      </c>
      <c r="O3308">
        <f>TEXT(B3308,"YYYY-MM")</f>
        <v/>
      </c>
    </row>
    <row r="3309">
      <c r="A3309" t="inlineStr">
        <is>
          <t>LD-303307</t>
        </is>
      </c>
      <c r="B3309" t="inlineStr">
        <is>
          <t>2026-03-24 18:59:00</t>
        </is>
      </c>
      <c r="C3309" t="inlineStr">
        <is>
          <t>Referral</t>
        </is>
      </c>
      <c r="D3309" t="inlineStr">
        <is>
          <t>Coding for Kids</t>
        </is>
      </c>
      <c r="E3309" t="inlineStr">
        <is>
          <t>South Region</t>
        </is>
      </c>
      <c r="F3309" t="inlineStr">
        <is>
          <t>Rep_12</t>
        </is>
      </c>
      <c r="G3309" t="n">
        <v>2.13</v>
      </c>
      <c r="H3309" t="inlineStr">
        <is>
          <t>Contacted</t>
        </is>
      </c>
      <c r="I3309" t="inlineStr">
        <is>
          <t>Open</t>
        </is>
      </c>
      <c r="M3309">
        <f>VLOOKUP(H3309,'Stage Order'!$A$2:$B$8,2,FALSE)</f>
        <v/>
      </c>
      <c r="N3309">
        <f>IF(G3309&lt;=1,"1. Under 1 hour",IF(G3309&lt;=24,"2. 1-24 hours",IF(G3309&lt;=72,"3. 1-3 days","4. Over 3 days")))</f>
        <v/>
      </c>
      <c r="O3309">
        <f>TEXT(B3309,"YYYY-MM")</f>
        <v/>
      </c>
    </row>
    <row r="3310">
      <c r="A3310" t="inlineStr">
        <is>
          <t>LD-303308</t>
        </is>
      </c>
      <c r="B3310" t="inlineStr">
        <is>
          <t>2025-11-08 12:31:00</t>
        </is>
      </c>
      <c r="C3310" t="inlineStr">
        <is>
          <t>Social Media</t>
        </is>
      </c>
      <c r="D3310" t="inlineStr">
        <is>
          <t>Language Learning</t>
        </is>
      </c>
      <c r="E3310" t="inlineStr">
        <is>
          <t>North Region</t>
        </is>
      </c>
      <c r="F3310" t="inlineStr">
        <is>
          <t>Rep_11</t>
        </is>
      </c>
      <c r="G3310" t="n">
        <v>3.1</v>
      </c>
      <c r="H3310" t="inlineStr">
        <is>
          <t>Proposal Sent</t>
        </is>
      </c>
      <c r="I3310" t="inlineStr">
        <is>
          <t>Lost</t>
        </is>
      </c>
      <c r="J3310" t="inlineStr">
        <is>
          <t>No Response / Ghosted</t>
        </is>
      </c>
      <c r="K3310" t="n">
        <v>356.45</v>
      </c>
      <c r="L3310" t="inlineStr">
        <is>
          <t>2025-12-30 03:43:21.504865</t>
        </is>
      </c>
      <c r="M3310">
        <f>VLOOKUP(H3310,'Stage Order'!$A$2:$B$8,2,FALSE)</f>
        <v/>
      </c>
      <c r="N3310">
        <f>IF(G3310&lt;=1,"1. Under 1 hour",IF(G3310&lt;=24,"2. 1-24 hours",IF(G3310&lt;=72,"3. 1-3 days","4. Over 3 days")))</f>
        <v/>
      </c>
      <c r="O3310">
        <f>TEXT(B3310,"YYYY-MM")</f>
        <v/>
      </c>
    </row>
    <row r="3311">
      <c r="A3311" t="inlineStr">
        <is>
          <t>LD-303309</t>
        </is>
      </c>
      <c r="B3311" t="inlineStr">
        <is>
          <t>2025-02-06 07:33:00</t>
        </is>
      </c>
      <c r="C3311" t="inlineStr">
        <is>
          <t>Paid Search</t>
        </is>
      </c>
      <c r="D3311" t="inlineStr">
        <is>
          <t>Coding for Kids</t>
        </is>
      </c>
      <c r="E3311" t="inlineStr">
        <is>
          <t>North Region</t>
        </is>
      </c>
      <c r="F3311" t="inlineStr">
        <is>
          <t>Rep_01</t>
        </is>
      </c>
      <c r="G3311" t="n">
        <v>2.69</v>
      </c>
      <c r="H3311" t="inlineStr">
        <is>
          <t>Contacted</t>
        </is>
      </c>
      <c r="I3311" t="inlineStr">
        <is>
          <t>Open</t>
        </is>
      </c>
      <c r="M3311">
        <f>VLOOKUP(H3311,'Stage Order'!$A$2:$B$8,2,FALSE)</f>
        <v/>
      </c>
      <c r="N3311">
        <f>IF(G3311&lt;=1,"1. Under 1 hour",IF(G3311&lt;=24,"2. 1-24 hours",IF(G3311&lt;=72,"3. 1-3 days","4. Over 3 days")))</f>
        <v/>
      </c>
      <c r="O3311">
        <f>TEXT(B3311,"YYYY-MM")</f>
        <v/>
      </c>
    </row>
    <row r="3312">
      <c r="A3312" t="inlineStr">
        <is>
          <t>LD-303310</t>
        </is>
      </c>
      <c r="B3312" t="inlineStr">
        <is>
          <t>2026-06-19 07:20:00</t>
        </is>
      </c>
      <c r="C3312" t="inlineStr">
        <is>
          <t>Social Media</t>
        </is>
      </c>
      <c r="D3312" t="inlineStr">
        <is>
          <t>K-12 Math</t>
        </is>
      </c>
      <c r="E3312" t="inlineStr">
        <is>
          <t>South Region</t>
        </is>
      </c>
      <c r="F3312" t="inlineStr">
        <is>
          <t>Rep_12</t>
        </is>
      </c>
      <c r="G3312" t="n">
        <v>5.17</v>
      </c>
      <c r="H3312" t="inlineStr">
        <is>
          <t>Contacted</t>
        </is>
      </c>
      <c r="I3312" t="inlineStr">
        <is>
          <t>Open</t>
        </is>
      </c>
      <c r="M3312">
        <f>VLOOKUP(H3312,'Stage Order'!$A$2:$B$8,2,FALSE)</f>
        <v/>
      </c>
      <c r="N3312">
        <f>IF(G3312&lt;=1,"1. Under 1 hour",IF(G3312&lt;=24,"2. 1-24 hours",IF(G3312&lt;=72,"3. 1-3 days","4. Over 3 days")))</f>
        <v/>
      </c>
      <c r="O3312">
        <f>TEXT(B3312,"YYYY-MM")</f>
        <v/>
      </c>
    </row>
    <row r="3313">
      <c r="A3313" t="inlineStr">
        <is>
          <t>LD-303311</t>
        </is>
      </c>
      <c r="B3313" t="inlineStr">
        <is>
          <t>2026-01-01 13:03:00</t>
        </is>
      </c>
      <c r="C3313" t="inlineStr">
        <is>
          <t>Referral</t>
        </is>
      </c>
      <c r="D3313" t="inlineStr">
        <is>
          <t>K-12 Math</t>
        </is>
      </c>
      <c r="E3313" t="inlineStr">
        <is>
          <t>East Region</t>
        </is>
      </c>
      <c r="F3313" t="inlineStr">
        <is>
          <t>Rep_04</t>
        </is>
      </c>
      <c r="G3313" t="n">
        <v>2.87</v>
      </c>
      <c r="H3313" t="inlineStr">
        <is>
          <t>Contacted</t>
        </is>
      </c>
      <c r="I3313" t="inlineStr">
        <is>
          <t>Open</t>
        </is>
      </c>
      <c r="M3313">
        <f>VLOOKUP(H3313,'Stage Order'!$A$2:$B$8,2,FALSE)</f>
        <v/>
      </c>
      <c r="N3313">
        <f>IF(G3313&lt;=1,"1. Under 1 hour",IF(G3313&lt;=24,"2. 1-24 hours",IF(G3313&lt;=72,"3. 1-3 days","4. Over 3 days")))</f>
        <v/>
      </c>
      <c r="O3313">
        <f>TEXT(B3313,"YYYY-MM")</f>
        <v/>
      </c>
    </row>
    <row r="3314">
      <c r="A3314" t="inlineStr">
        <is>
          <t>LD-303312</t>
        </is>
      </c>
      <c r="B3314" t="inlineStr">
        <is>
          <t>2025-06-07 17:02:00</t>
        </is>
      </c>
      <c r="C3314" t="inlineStr">
        <is>
          <t>Cold Outreach</t>
        </is>
      </c>
      <c r="D3314" t="inlineStr">
        <is>
          <t>K-12 Math</t>
        </is>
      </c>
      <c r="E3314" t="inlineStr">
        <is>
          <t>South Region</t>
        </is>
      </c>
      <c r="F3314" t="inlineStr">
        <is>
          <t>Rep_12</t>
        </is>
      </c>
      <c r="G3314" t="n">
        <v>2.49</v>
      </c>
      <c r="H3314" t="inlineStr">
        <is>
          <t>Contacted</t>
        </is>
      </c>
      <c r="I3314" t="inlineStr">
        <is>
          <t>Open</t>
        </is>
      </c>
      <c r="M3314">
        <f>VLOOKUP(H3314,'Stage Order'!$A$2:$B$8,2,FALSE)</f>
        <v/>
      </c>
      <c r="N3314">
        <f>IF(G3314&lt;=1,"1. Under 1 hour",IF(G3314&lt;=24,"2. 1-24 hours",IF(G3314&lt;=72,"3. 1-3 days","4. Over 3 days")))</f>
        <v/>
      </c>
      <c r="O3314">
        <f>TEXT(B3314,"YYYY-MM")</f>
        <v/>
      </c>
    </row>
    <row r="3315">
      <c r="A3315" t="inlineStr">
        <is>
          <t>LD-303313</t>
        </is>
      </c>
      <c r="B3315" t="inlineStr">
        <is>
          <t>2026-05-07 09:03:00</t>
        </is>
      </c>
      <c r="C3315" t="inlineStr">
        <is>
          <t>Paid Search</t>
        </is>
      </c>
      <c r="D3315" t="inlineStr">
        <is>
          <t>K-12 Math</t>
        </is>
      </c>
      <c r="E3315" t="inlineStr">
        <is>
          <t>South Region</t>
        </is>
      </c>
      <c r="F3315" t="inlineStr">
        <is>
          <t>Rep_07</t>
        </is>
      </c>
      <c r="G3315" t="n">
        <v>4.31</v>
      </c>
      <c r="H3315" t="inlineStr">
        <is>
          <t>Negotiation</t>
        </is>
      </c>
      <c r="I3315" t="inlineStr">
        <is>
          <t>Lost</t>
        </is>
      </c>
      <c r="J3315" t="inlineStr">
        <is>
          <t>No Response / Ghosted</t>
        </is>
      </c>
      <c r="K3315" t="n">
        <v>598.58</v>
      </c>
      <c r="L3315" t="inlineStr">
        <is>
          <t>2026-06-18 17:20:57.443390</t>
        </is>
      </c>
      <c r="M3315">
        <f>VLOOKUP(H3315,'Stage Order'!$A$2:$B$8,2,FALSE)</f>
        <v/>
      </c>
      <c r="N3315">
        <f>IF(G3315&lt;=1,"1. Under 1 hour",IF(G3315&lt;=24,"2. 1-24 hours",IF(G3315&lt;=72,"3. 1-3 days","4. Over 3 days")))</f>
        <v/>
      </c>
      <c r="O3315">
        <f>TEXT(B3315,"YYYY-MM")</f>
        <v/>
      </c>
    </row>
    <row r="3316">
      <c r="A3316" t="inlineStr">
        <is>
          <t>LD-303314</t>
        </is>
      </c>
      <c r="B3316" t="inlineStr">
        <is>
          <t>2026-01-22 10:41:00</t>
        </is>
      </c>
      <c r="C3316" t="inlineStr">
        <is>
          <t>Webinar</t>
        </is>
      </c>
      <c r="D3316" t="inlineStr">
        <is>
          <t>Coding for Kids</t>
        </is>
      </c>
      <c r="E3316" t="inlineStr">
        <is>
          <t>East Region</t>
        </is>
      </c>
      <c r="F3316" t="inlineStr">
        <is>
          <t>Rep_04</t>
        </is>
      </c>
      <c r="G3316" t="n">
        <v>4.13</v>
      </c>
      <c r="H3316" t="inlineStr">
        <is>
          <t>Contacted</t>
        </is>
      </c>
      <c r="I3316" t="inlineStr">
        <is>
          <t>Open</t>
        </is>
      </c>
      <c r="M3316">
        <f>VLOOKUP(H3316,'Stage Order'!$A$2:$B$8,2,FALSE)</f>
        <v/>
      </c>
      <c r="N3316">
        <f>IF(G3316&lt;=1,"1. Under 1 hour",IF(G3316&lt;=24,"2. 1-24 hours",IF(G3316&lt;=72,"3. 1-3 days","4. Over 3 days")))</f>
        <v/>
      </c>
      <c r="O3316">
        <f>TEXT(B3316,"YYYY-MM")</f>
        <v/>
      </c>
    </row>
    <row r="3317">
      <c r="A3317" t="inlineStr">
        <is>
          <t>LD-303315</t>
        </is>
      </c>
      <c r="B3317" t="inlineStr">
        <is>
          <t>2025-05-13 11:06:00</t>
        </is>
      </c>
      <c r="C3317" t="inlineStr">
        <is>
          <t>Partner Channel</t>
        </is>
      </c>
      <c r="D3317" t="inlineStr">
        <is>
          <t>Study Abroad Prep</t>
        </is>
      </c>
      <c r="E3317" t="inlineStr">
        <is>
          <t>East Region</t>
        </is>
      </c>
      <c r="F3317" t="inlineStr">
        <is>
          <t>Rep_14</t>
        </is>
      </c>
      <c r="G3317" t="n">
        <v>0.54</v>
      </c>
      <c r="H3317" t="inlineStr">
        <is>
          <t>Lead</t>
        </is>
      </c>
      <c r="I3317" t="inlineStr">
        <is>
          <t>Open</t>
        </is>
      </c>
      <c r="M3317">
        <f>VLOOKUP(H3317,'Stage Order'!$A$2:$B$8,2,FALSE)</f>
        <v/>
      </c>
      <c r="N3317">
        <f>IF(G3317&lt;=1,"1. Under 1 hour",IF(G3317&lt;=24,"2. 1-24 hours",IF(G3317&lt;=72,"3. 1-3 days","4. Over 3 days")))</f>
        <v/>
      </c>
      <c r="O3317">
        <f>TEXT(B3317,"YYYY-MM")</f>
        <v/>
      </c>
    </row>
    <row r="3318">
      <c r="A3318" t="inlineStr">
        <is>
          <t>LD-303316</t>
        </is>
      </c>
      <c r="B3318" t="inlineStr">
        <is>
          <t>2025-09-01 20:17:00</t>
        </is>
      </c>
      <c r="C3318" t="inlineStr">
        <is>
          <t>Social Media</t>
        </is>
      </c>
      <c r="D3318" t="inlineStr">
        <is>
          <t>Competitive Exam Prep</t>
        </is>
      </c>
      <c r="E3318" t="inlineStr">
        <is>
          <t>South Region</t>
        </is>
      </c>
      <c r="F3318" t="inlineStr">
        <is>
          <t>Rep_07</t>
        </is>
      </c>
      <c r="G3318" t="n">
        <v>2.23</v>
      </c>
      <c r="H3318" t="inlineStr">
        <is>
          <t>Contacted</t>
        </is>
      </c>
      <c r="I3318" t="inlineStr">
        <is>
          <t>Open</t>
        </is>
      </c>
      <c r="M3318">
        <f>VLOOKUP(H3318,'Stage Order'!$A$2:$B$8,2,FALSE)</f>
        <v/>
      </c>
      <c r="N3318">
        <f>IF(G3318&lt;=1,"1. Under 1 hour",IF(G3318&lt;=24,"2. 1-24 hours",IF(G3318&lt;=72,"3. 1-3 days","4. Over 3 days")))</f>
        <v/>
      </c>
      <c r="O3318">
        <f>TEXT(B3318,"YYYY-MM")</f>
        <v/>
      </c>
    </row>
    <row r="3319">
      <c r="A3319" t="inlineStr">
        <is>
          <t>LD-303317</t>
        </is>
      </c>
      <c r="B3319" t="inlineStr">
        <is>
          <t>2026-05-26 20:31:00</t>
        </is>
      </c>
      <c r="C3319" t="inlineStr">
        <is>
          <t>Webinar</t>
        </is>
      </c>
      <c r="D3319" t="inlineStr">
        <is>
          <t>Competitive Exam Prep</t>
        </is>
      </c>
      <c r="E3319" t="inlineStr">
        <is>
          <t>North Region</t>
        </is>
      </c>
      <c r="F3319" t="inlineStr">
        <is>
          <t>Rep_06</t>
        </is>
      </c>
      <c r="G3319" t="n">
        <v>0.74</v>
      </c>
      <c r="H3319" t="inlineStr">
        <is>
          <t>Closed</t>
        </is>
      </c>
      <c r="I3319" t="inlineStr">
        <is>
          <t>Won</t>
        </is>
      </c>
      <c r="K3319" t="n">
        <v>1057.02</v>
      </c>
      <c r="L3319" t="inlineStr">
        <is>
          <t>2026-06-27 17:05:41.134631</t>
        </is>
      </c>
      <c r="M3319">
        <f>VLOOKUP(H3319,'Stage Order'!$A$2:$B$8,2,FALSE)</f>
        <v/>
      </c>
      <c r="N3319">
        <f>IF(G3319&lt;=1,"1. Under 1 hour",IF(G3319&lt;=24,"2. 1-24 hours",IF(G3319&lt;=72,"3. 1-3 days","4. Over 3 days")))</f>
        <v/>
      </c>
      <c r="O3319">
        <f>TEXT(B3319,"YYYY-MM")</f>
        <v/>
      </c>
    </row>
    <row r="3320">
      <c r="A3320" t="inlineStr">
        <is>
          <t>LD-303318</t>
        </is>
      </c>
      <c r="B3320" t="inlineStr">
        <is>
          <t>2025-10-17 08:24:00</t>
        </is>
      </c>
      <c r="C3320" t="inlineStr">
        <is>
          <t>Organic Search</t>
        </is>
      </c>
      <c r="D3320" t="inlineStr">
        <is>
          <t>Coding for Kids</t>
        </is>
      </c>
      <c r="E3320" t="inlineStr">
        <is>
          <t>West Region</t>
        </is>
      </c>
      <c r="F3320" t="inlineStr">
        <is>
          <t>Rep_03</t>
        </is>
      </c>
      <c r="G3320" t="n">
        <v>1.38</v>
      </c>
      <c r="H3320" t="inlineStr">
        <is>
          <t>Lead</t>
        </is>
      </c>
      <c r="I3320" t="inlineStr">
        <is>
          <t>Open</t>
        </is>
      </c>
      <c r="M3320">
        <f>VLOOKUP(H3320,'Stage Order'!$A$2:$B$8,2,FALSE)</f>
        <v/>
      </c>
      <c r="N3320">
        <f>IF(G3320&lt;=1,"1. Under 1 hour",IF(G3320&lt;=24,"2. 1-24 hours",IF(G3320&lt;=72,"3. 1-3 days","4. Over 3 days")))</f>
        <v/>
      </c>
      <c r="O3320">
        <f>TEXT(B3320,"YYYY-MM")</f>
        <v/>
      </c>
    </row>
    <row r="3321">
      <c r="A3321" t="inlineStr">
        <is>
          <t>LD-303319</t>
        </is>
      </c>
      <c r="B3321" t="inlineStr">
        <is>
          <t>2025-11-15 18:11:00</t>
        </is>
      </c>
      <c r="C3321" t="inlineStr">
        <is>
          <t>Cold Outreach</t>
        </is>
      </c>
      <c r="D3321" t="inlineStr">
        <is>
          <t>K-12 Math</t>
        </is>
      </c>
      <c r="E3321" t="inlineStr">
        <is>
          <t>West Region</t>
        </is>
      </c>
      <c r="F3321" t="inlineStr">
        <is>
          <t>Rep_13</t>
        </is>
      </c>
      <c r="G3321" t="n">
        <v>3.62</v>
      </c>
      <c r="H3321" t="inlineStr">
        <is>
          <t>Demo Completed</t>
        </is>
      </c>
      <c r="I3321" t="inlineStr">
        <is>
          <t>Lost</t>
        </is>
      </c>
      <c r="J3321" t="inlineStr">
        <is>
          <t>Budget Not Approved</t>
        </is>
      </c>
      <c r="K3321" t="n">
        <v>482.28</v>
      </c>
      <c r="L3321" t="inlineStr">
        <is>
          <t>2025-12-08 06:43:35.113031</t>
        </is>
      </c>
      <c r="M3321">
        <f>VLOOKUP(H3321,'Stage Order'!$A$2:$B$8,2,FALSE)</f>
        <v/>
      </c>
      <c r="N3321">
        <f>IF(G3321&lt;=1,"1. Under 1 hour",IF(G3321&lt;=24,"2. 1-24 hours",IF(G3321&lt;=72,"3. 1-3 days","4. Over 3 days")))</f>
        <v/>
      </c>
      <c r="O3321">
        <f>TEXT(B3321,"YYYY-MM")</f>
        <v/>
      </c>
    </row>
    <row r="3322">
      <c r="A3322" t="inlineStr">
        <is>
          <t>LD-303320</t>
        </is>
      </c>
      <c r="B3322" t="inlineStr">
        <is>
          <t>2025-02-14 13:36:00</t>
        </is>
      </c>
      <c r="C3322" t="inlineStr">
        <is>
          <t>Social Media</t>
        </is>
      </c>
      <c r="D3322" t="inlineStr">
        <is>
          <t>Competitive Exam Prep</t>
        </is>
      </c>
      <c r="E3322" t="inlineStr">
        <is>
          <t>South Region</t>
        </is>
      </c>
      <c r="F3322" t="inlineStr">
        <is>
          <t>Rep_02</t>
        </is>
      </c>
      <c r="G3322" t="n">
        <v>3.68</v>
      </c>
      <c r="H3322" t="inlineStr">
        <is>
          <t>Demo Scheduled</t>
        </is>
      </c>
      <c r="I3322" t="inlineStr">
        <is>
          <t>Open</t>
        </is>
      </c>
      <c r="M3322">
        <f>VLOOKUP(H3322,'Stage Order'!$A$2:$B$8,2,FALSE)</f>
        <v/>
      </c>
      <c r="N3322">
        <f>IF(G3322&lt;=1,"1. Under 1 hour",IF(G3322&lt;=24,"2. 1-24 hours",IF(G3322&lt;=72,"3. 1-3 days","4. Over 3 days")))</f>
        <v/>
      </c>
      <c r="O3322">
        <f>TEXT(B3322,"YYYY-MM")</f>
        <v/>
      </c>
    </row>
    <row r="3323">
      <c r="A3323" t="inlineStr">
        <is>
          <t>LD-303321</t>
        </is>
      </c>
      <c r="B3323" t="inlineStr">
        <is>
          <t>2026-06-26 19:37:00</t>
        </is>
      </c>
      <c r="C3323" t="inlineStr">
        <is>
          <t>Social Media</t>
        </is>
      </c>
      <c r="D3323" t="inlineStr">
        <is>
          <t>Coding for Kids</t>
        </is>
      </c>
      <c r="E3323" t="inlineStr">
        <is>
          <t>West Region</t>
        </is>
      </c>
      <c r="F3323" t="inlineStr">
        <is>
          <t>Rep_13</t>
        </is>
      </c>
      <c r="G3323" t="n">
        <v>1.89</v>
      </c>
      <c r="H3323" t="inlineStr">
        <is>
          <t>Contacted</t>
        </is>
      </c>
      <c r="I3323" t="inlineStr">
        <is>
          <t>Open</t>
        </is>
      </c>
      <c r="M3323">
        <f>VLOOKUP(H3323,'Stage Order'!$A$2:$B$8,2,FALSE)</f>
        <v/>
      </c>
      <c r="N3323">
        <f>IF(G3323&lt;=1,"1. Under 1 hour",IF(G3323&lt;=24,"2. 1-24 hours",IF(G3323&lt;=72,"3. 1-3 days","4. Over 3 days")))</f>
        <v/>
      </c>
      <c r="O3323">
        <f>TEXT(B3323,"YYYY-MM")</f>
        <v/>
      </c>
    </row>
    <row r="3324">
      <c r="A3324" t="inlineStr">
        <is>
          <t>LD-303322</t>
        </is>
      </c>
      <c r="B3324" t="inlineStr">
        <is>
          <t>2025-11-06 09:19:00</t>
        </is>
      </c>
      <c r="C3324" t="inlineStr">
        <is>
          <t>Paid Search</t>
        </is>
      </c>
      <c r="D3324" t="inlineStr">
        <is>
          <t>Coding for Kids</t>
        </is>
      </c>
      <c r="E3324" t="inlineStr">
        <is>
          <t>East Region</t>
        </is>
      </c>
      <c r="F3324" t="inlineStr">
        <is>
          <t>Rep_14</t>
        </is>
      </c>
      <c r="G3324" t="n">
        <v>2.69</v>
      </c>
      <c r="H3324" t="inlineStr">
        <is>
          <t>Negotiation</t>
        </is>
      </c>
      <c r="I3324" t="inlineStr">
        <is>
          <t>Lost</t>
        </is>
      </c>
      <c r="J3324" t="inlineStr">
        <is>
          <t>Price Objection</t>
        </is>
      </c>
      <c r="K3324" t="n">
        <v>768.8099999999999</v>
      </c>
      <c r="L3324" t="inlineStr">
        <is>
          <t>2025-12-13 07:09:28.109275</t>
        </is>
      </c>
      <c r="M3324">
        <f>VLOOKUP(H3324,'Stage Order'!$A$2:$B$8,2,FALSE)</f>
        <v/>
      </c>
      <c r="N3324">
        <f>IF(G3324&lt;=1,"1. Under 1 hour",IF(G3324&lt;=24,"2. 1-24 hours",IF(G3324&lt;=72,"3. 1-3 days","4. Over 3 days")))</f>
        <v/>
      </c>
      <c r="O3324">
        <f>TEXT(B3324,"YYYY-MM")</f>
        <v/>
      </c>
    </row>
    <row r="3325">
      <c r="A3325" t="inlineStr">
        <is>
          <t>LD-303323</t>
        </is>
      </c>
      <c r="B3325" t="inlineStr">
        <is>
          <t>2025-08-12 19:29:00</t>
        </is>
      </c>
      <c r="C3325" t="inlineStr">
        <is>
          <t>Paid Search</t>
        </is>
      </c>
      <c r="D3325" t="inlineStr">
        <is>
          <t>Study Abroad Prep</t>
        </is>
      </c>
      <c r="E3325" t="inlineStr">
        <is>
          <t>South Region</t>
        </is>
      </c>
      <c r="F3325" t="inlineStr">
        <is>
          <t>Rep_12</t>
        </is>
      </c>
      <c r="G3325" t="n">
        <v>3.24</v>
      </c>
      <c r="H3325" t="inlineStr">
        <is>
          <t>Contacted</t>
        </is>
      </c>
      <c r="I3325" t="inlineStr">
        <is>
          <t>Open</t>
        </is>
      </c>
      <c r="M3325">
        <f>VLOOKUP(H3325,'Stage Order'!$A$2:$B$8,2,FALSE)</f>
        <v/>
      </c>
      <c r="N3325">
        <f>IF(G3325&lt;=1,"1. Under 1 hour",IF(G3325&lt;=24,"2. 1-24 hours",IF(G3325&lt;=72,"3. 1-3 days","4. Over 3 days")))</f>
        <v/>
      </c>
      <c r="O3325">
        <f>TEXT(B3325,"YYYY-MM")</f>
        <v/>
      </c>
    </row>
    <row r="3326">
      <c r="A3326" t="inlineStr">
        <is>
          <t>LD-303324</t>
        </is>
      </c>
      <c r="B3326" t="inlineStr">
        <is>
          <t>2025-09-30 09:09:00</t>
        </is>
      </c>
      <c r="C3326" t="inlineStr">
        <is>
          <t>Organic Search</t>
        </is>
      </c>
      <c r="D3326" t="inlineStr">
        <is>
          <t>Competitive Exam Prep</t>
        </is>
      </c>
      <c r="E3326" t="inlineStr">
        <is>
          <t>North Region</t>
        </is>
      </c>
      <c r="F3326" t="inlineStr">
        <is>
          <t>Rep_06</t>
        </is>
      </c>
      <c r="G3326" t="n">
        <v>10.1</v>
      </c>
      <c r="H3326" t="inlineStr">
        <is>
          <t>Demo Scheduled</t>
        </is>
      </c>
      <c r="I3326" t="inlineStr">
        <is>
          <t>Open</t>
        </is>
      </c>
      <c r="M3326">
        <f>VLOOKUP(H3326,'Stage Order'!$A$2:$B$8,2,FALSE)</f>
        <v/>
      </c>
      <c r="N3326">
        <f>IF(G3326&lt;=1,"1. Under 1 hour",IF(G3326&lt;=24,"2. 1-24 hours",IF(G3326&lt;=72,"3. 1-3 days","4. Over 3 days")))</f>
        <v/>
      </c>
      <c r="O3326">
        <f>TEXT(B3326,"YYYY-MM")</f>
        <v/>
      </c>
    </row>
    <row r="3327">
      <c r="A3327" t="inlineStr">
        <is>
          <t>LD-303325</t>
        </is>
      </c>
      <c r="B3327" t="inlineStr">
        <is>
          <t>2026-04-22 13:52:00</t>
        </is>
      </c>
      <c r="C3327" t="inlineStr">
        <is>
          <t>Paid Search</t>
        </is>
      </c>
      <c r="D3327" t="inlineStr">
        <is>
          <t>K-12 Math</t>
        </is>
      </c>
      <c r="E3327" t="inlineStr">
        <is>
          <t>East Region</t>
        </is>
      </c>
      <c r="F3327" t="inlineStr">
        <is>
          <t>Rep_09</t>
        </is>
      </c>
      <c r="G3327" t="n">
        <v>0.97</v>
      </c>
      <c r="H3327" t="inlineStr">
        <is>
          <t>Contacted</t>
        </is>
      </c>
      <c r="I3327" t="inlineStr">
        <is>
          <t>Open</t>
        </is>
      </c>
      <c r="M3327">
        <f>VLOOKUP(H3327,'Stage Order'!$A$2:$B$8,2,FALSE)</f>
        <v/>
      </c>
      <c r="N3327">
        <f>IF(G3327&lt;=1,"1. Under 1 hour",IF(G3327&lt;=24,"2. 1-24 hours",IF(G3327&lt;=72,"3. 1-3 days","4. Over 3 days")))</f>
        <v/>
      </c>
      <c r="O3327">
        <f>TEXT(B3327,"YYYY-MM")</f>
        <v/>
      </c>
    </row>
    <row r="3328">
      <c r="A3328" t="inlineStr">
        <is>
          <t>LD-303326</t>
        </is>
      </c>
      <c r="B3328" t="inlineStr">
        <is>
          <t>2026-05-22 20:54:00</t>
        </is>
      </c>
      <c r="C3328" t="inlineStr">
        <is>
          <t>Social Media</t>
        </is>
      </c>
      <c r="D3328" t="inlineStr">
        <is>
          <t>Competitive Exam Prep</t>
        </is>
      </c>
      <c r="E3328" t="inlineStr">
        <is>
          <t>South Region</t>
        </is>
      </c>
      <c r="F3328" t="inlineStr">
        <is>
          <t>Rep_07</t>
        </is>
      </c>
      <c r="G3328" t="n">
        <v>3.25</v>
      </c>
      <c r="H3328" t="inlineStr">
        <is>
          <t>Lead</t>
        </is>
      </c>
      <c r="I3328" t="inlineStr">
        <is>
          <t>Open</t>
        </is>
      </c>
      <c r="M3328">
        <f>VLOOKUP(H3328,'Stage Order'!$A$2:$B$8,2,FALSE)</f>
        <v/>
      </c>
      <c r="N3328">
        <f>IF(G3328&lt;=1,"1. Under 1 hour",IF(G3328&lt;=24,"2. 1-24 hours",IF(G3328&lt;=72,"3. 1-3 days","4. Over 3 days")))</f>
        <v/>
      </c>
      <c r="O3328">
        <f>TEXT(B3328,"YYYY-MM")</f>
        <v/>
      </c>
    </row>
    <row r="3329">
      <c r="A3329" t="inlineStr">
        <is>
          <t>LD-303327</t>
        </is>
      </c>
      <c r="B3329" t="inlineStr">
        <is>
          <t>2026-02-26 19:15:00</t>
        </is>
      </c>
      <c r="C3329" t="inlineStr">
        <is>
          <t>Webinar</t>
        </is>
      </c>
      <c r="D3329" t="inlineStr">
        <is>
          <t>K-12 Math</t>
        </is>
      </c>
      <c r="E3329" t="inlineStr">
        <is>
          <t>North Region</t>
        </is>
      </c>
      <c r="F3329" t="inlineStr">
        <is>
          <t>Rep_01</t>
        </is>
      </c>
      <c r="G3329" t="n">
        <v>9.74</v>
      </c>
      <c r="H3329" t="inlineStr">
        <is>
          <t>Demo Scheduled</t>
        </is>
      </c>
      <c r="I3329" t="inlineStr">
        <is>
          <t>Open</t>
        </is>
      </c>
      <c r="M3329">
        <f>VLOOKUP(H3329,'Stage Order'!$A$2:$B$8,2,FALSE)</f>
        <v/>
      </c>
      <c r="N3329">
        <f>IF(G3329&lt;=1,"1. Under 1 hour",IF(G3329&lt;=24,"2. 1-24 hours",IF(G3329&lt;=72,"3. 1-3 days","4. Over 3 days")))</f>
        <v/>
      </c>
      <c r="O3329">
        <f>TEXT(B3329,"YYYY-MM")</f>
        <v/>
      </c>
    </row>
    <row r="3330">
      <c r="A3330" t="inlineStr">
        <is>
          <t>LD-303328</t>
        </is>
      </c>
      <c r="B3330" t="inlineStr">
        <is>
          <t>2026-05-01 20:11:00</t>
        </is>
      </c>
      <c r="C3330" t="inlineStr">
        <is>
          <t>Social Media</t>
        </is>
      </c>
      <c r="D3330" t="inlineStr">
        <is>
          <t>Language Learning</t>
        </is>
      </c>
      <c r="E3330" t="inlineStr">
        <is>
          <t>West Region</t>
        </is>
      </c>
      <c r="F3330" t="inlineStr">
        <is>
          <t>Rep_03</t>
        </is>
      </c>
      <c r="G3330" t="n">
        <v>9.359999999999999</v>
      </c>
      <c r="H3330" t="inlineStr">
        <is>
          <t>Contacted</t>
        </is>
      </c>
      <c r="I3330" t="inlineStr">
        <is>
          <t>Open</t>
        </is>
      </c>
      <c r="M3330">
        <f>VLOOKUP(H3330,'Stage Order'!$A$2:$B$8,2,FALSE)</f>
        <v/>
      </c>
      <c r="N3330">
        <f>IF(G3330&lt;=1,"1. Under 1 hour",IF(G3330&lt;=24,"2. 1-24 hours",IF(G3330&lt;=72,"3. 1-3 days","4. Over 3 days")))</f>
        <v/>
      </c>
      <c r="O3330">
        <f>TEXT(B3330,"YYYY-MM")</f>
        <v/>
      </c>
    </row>
    <row r="3331">
      <c r="A3331" t="inlineStr">
        <is>
          <t>LD-303329</t>
        </is>
      </c>
      <c r="B3331" t="inlineStr">
        <is>
          <t>2025-09-05 11:20:00</t>
        </is>
      </c>
      <c r="C3331" t="inlineStr">
        <is>
          <t>Organic Search</t>
        </is>
      </c>
      <c r="D3331" t="inlineStr">
        <is>
          <t>Coding for Kids</t>
        </is>
      </c>
      <c r="E3331" t="inlineStr">
        <is>
          <t>West Region</t>
        </is>
      </c>
      <c r="F3331" t="inlineStr">
        <is>
          <t>Rep_08</t>
        </is>
      </c>
      <c r="G3331" t="n">
        <v>2.85</v>
      </c>
      <c r="H3331" t="inlineStr">
        <is>
          <t>Contacted</t>
        </is>
      </c>
      <c r="I3331" t="inlineStr">
        <is>
          <t>Open</t>
        </is>
      </c>
      <c r="M3331">
        <f>VLOOKUP(H3331,'Stage Order'!$A$2:$B$8,2,FALSE)</f>
        <v/>
      </c>
      <c r="N3331">
        <f>IF(G3331&lt;=1,"1. Under 1 hour",IF(G3331&lt;=24,"2. 1-24 hours",IF(G3331&lt;=72,"3. 1-3 days","4. Over 3 days")))</f>
        <v/>
      </c>
      <c r="O3331">
        <f>TEXT(B3331,"YYYY-MM")</f>
        <v/>
      </c>
    </row>
    <row r="3332">
      <c r="A3332" t="inlineStr">
        <is>
          <t>LD-303330</t>
        </is>
      </c>
      <c r="B3332" t="inlineStr">
        <is>
          <t>2026-06-25 11:00:00</t>
        </is>
      </c>
      <c r="C3332" t="inlineStr">
        <is>
          <t>Organic Search</t>
        </is>
      </c>
      <c r="D3332" t="inlineStr">
        <is>
          <t>K-12 Math</t>
        </is>
      </c>
      <c r="E3332" t="inlineStr">
        <is>
          <t>East Region</t>
        </is>
      </c>
      <c r="F3332" t="inlineStr">
        <is>
          <t>Rep_04</t>
        </is>
      </c>
      <c r="G3332" t="n">
        <v>1.94</v>
      </c>
      <c r="H3332" t="inlineStr">
        <is>
          <t>Contacted</t>
        </is>
      </c>
      <c r="I3332" t="inlineStr">
        <is>
          <t>Open</t>
        </is>
      </c>
      <c r="M3332">
        <f>VLOOKUP(H3332,'Stage Order'!$A$2:$B$8,2,FALSE)</f>
        <v/>
      </c>
      <c r="N3332">
        <f>IF(G3332&lt;=1,"1. Under 1 hour",IF(G3332&lt;=24,"2. 1-24 hours",IF(G3332&lt;=72,"3. 1-3 days","4. Over 3 days")))</f>
        <v/>
      </c>
      <c r="O3332">
        <f>TEXT(B3332,"YYYY-MM")</f>
        <v/>
      </c>
    </row>
    <row r="3333">
      <c r="A3333" t="inlineStr">
        <is>
          <t>LD-303331</t>
        </is>
      </c>
      <c r="B3333" t="inlineStr">
        <is>
          <t>2025-01-08 08:41:00</t>
        </is>
      </c>
      <c r="C3333" t="inlineStr">
        <is>
          <t>Organic Search</t>
        </is>
      </c>
      <c r="D3333" t="inlineStr">
        <is>
          <t>K-12 Math</t>
        </is>
      </c>
      <c r="E3333" t="inlineStr">
        <is>
          <t>International</t>
        </is>
      </c>
      <c r="F3333" t="inlineStr">
        <is>
          <t>Rep_10</t>
        </is>
      </c>
      <c r="G3333" t="n">
        <v>9.17</v>
      </c>
      <c r="H3333" t="inlineStr">
        <is>
          <t>Contacted</t>
        </is>
      </c>
      <c r="I3333" t="inlineStr">
        <is>
          <t>Open</t>
        </is>
      </c>
      <c r="M3333">
        <f>VLOOKUP(H3333,'Stage Order'!$A$2:$B$8,2,FALSE)</f>
        <v/>
      </c>
      <c r="N3333">
        <f>IF(G3333&lt;=1,"1. Under 1 hour",IF(G3333&lt;=24,"2. 1-24 hours",IF(G3333&lt;=72,"3. 1-3 days","4. Over 3 days")))</f>
        <v/>
      </c>
      <c r="O3333">
        <f>TEXT(B3333,"YYYY-MM")</f>
        <v/>
      </c>
    </row>
    <row r="3334">
      <c r="A3334" t="inlineStr">
        <is>
          <t>LD-303332</t>
        </is>
      </c>
      <c r="B3334" t="inlineStr">
        <is>
          <t>2025-06-27 17:46:00</t>
        </is>
      </c>
      <c r="C3334" t="inlineStr">
        <is>
          <t>Organic Search</t>
        </is>
      </c>
      <c r="D3334" t="inlineStr">
        <is>
          <t>Study Abroad Prep</t>
        </is>
      </c>
      <c r="E3334" t="inlineStr">
        <is>
          <t>West Region</t>
        </is>
      </c>
      <c r="F3334" t="inlineStr">
        <is>
          <t>Rep_08</t>
        </is>
      </c>
      <c r="G3334" t="n">
        <v>5.95</v>
      </c>
      <c r="H3334" t="inlineStr">
        <is>
          <t>Closed</t>
        </is>
      </c>
      <c r="I3334" t="inlineStr">
        <is>
          <t>Won</t>
        </is>
      </c>
      <c r="K3334" t="n">
        <v>1670.59</v>
      </c>
      <c r="L3334" t="inlineStr">
        <is>
          <t>2025-08-15 21:46:15.092709</t>
        </is>
      </c>
      <c r="M3334">
        <f>VLOOKUP(H3334,'Stage Order'!$A$2:$B$8,2,FALSE)</f>
        <v/>
      </c>
      <c r="N3334">
        <f>IF(G3334&lt;=1,"1. Under 1 hour",IF(G3334&lt;=24,"2. 1-24 hours",IF(G3334&lt;=72,"3. 1-3 days","4. Over 3 days")))</f>
        <v/>
      </c>
      <c r="O3334">
        <f>TEXT(B3334,"YYYY-MM")</f>
        <v/>
      </c>
    </row>
    <row r="3335">
      <c r="A3335" t="inlineStr">
        <is>
          <t>LD-303333</t>
        </is>
      </c>
      <c r="B3335" t="inlineStr">
        <is>
          <t>2025-08-24 14:47:00</t>
        </is>
      </c>
      <c r="C3335" t="inlineStr">
        <is>
          <t>Webinar</t>
        </is>
      </c>
      <c r="D3335" t="inlineStr">
        <is>
          <t>Language Learning</t>
        </is>
      </c>
      <c r="E3335" t="inlineStr">
        <is>
          <t>North Region</t>
        </is>
      </c>
      <c r="F3335" t="inlineStr">
        <is>
          <t>Rep_11</t>
        </is>
      </c>
      <c r="G3335" t="n">
        <v>1.77</v>
      </c>
      <c r="H3335" t="inlineStr">
        <is>
          <t>Contacted</t>
        </is>
      </c>
      <c r="I3335" t="inlineStr">
        <is>
          <t>Open</t>
        </is>
      </c>
      <c r="M3335">
        <f>VLOOKUP(H3335,'Stage Order'!$A$2:$B$8,2,FALSE)</f>
        <v/>
      </c>
      <c r="N3335">
        <f>IF(G3335&lt;=1,"1. Under 1 hour",IF(G3335&lt;=24,"2. 1-24 hours",IF(G3335&lt;=72,"3. 1-3 days","4. Over 3 days")))</f>
        <v/>
      </c>
      <c r="O3335">
        <f>TEXT(B3335,"YYYY-MM")</f>
        <v/>
      </c>
    </row>
    <row r="3336">
      <c r="A3336" t="inlineStr">
        <is>
          <t>LD-303334</t>
        </is>
      </c>
      <c r="B3336" t="inlineStr">
        <is>
          <t>2025-11-04 17:13:00</t>
        </is>
      </c>
      <c r="C3336" t="inlineStr">
        <is>
          <t>Partner Channel</t>
        </is>
      </c>
      <c r="D3336" t="inlineStr">
        <is>
          <t>K-12 Math</t>
        </is>
      </c>
      <c r="E3336" t="inlineStr">
        <is>
          <t>West Region</t>
        </is>
      </c>
      <c r="F3336" t="inlineStr">
        <is>
          <t>Rep_08</t>
        </is>
      </c>
      <c r="G3336" t="n">
        <v>5.95</v>
      </c>
      <c r="H3336" t="inlineStr">
        <is>
          <t>Contacted</t>
        </is>
      </c>
      <c r="I3336" t="inlineStr">
        <is>
          <t>Open</t>
        </is>
      </c>
      <c r="M3336">
        <f>VLOOKUP(H3336,'Stage Order'!$A$2:$B$8,2,FALSE)</f>
        <v/>
      </c>
      <c r="N3336">
        <f>IF(G3336&lt;=1,"1. Under 1 hour",IF(G3336&lt;=24,"2. 1-24 hours",IF(G3336&lt;=72,"3. 1-3 days","4. Over 3 days")))</f>
        <v/>
      </c>
      <c r="O3336">
        <f>TEXT(B3336,"YYYY-MM")</f>
        <v/>
      </c>
    </row>
    <row r="3337">
      <c r="A3337" t="inlineStr">
        <is>
          <t>LD-303335</t>
        </is>
      </c>
      <c r="B3337" t="inlineStr">
        <is>
          <t>2025-07-24 09:00:00</t>
        </is>
      </c>
      <c r="C3337" t="inlineStr">
        <is>
          <t>Paid Search</t>
        </is>
      </c>
      <c r="D3337" t="inlineStr">
        <is>
          <t>K-12 Math</t>
        </is>
      </c>
      <c r="E3337" t="inlineStr">
        <is>
          <t>North Region</t>
        </is>
      </c>
      <c r="F3337" t="inlineStr">
        <is>
          <t>Rep_11</t>
        </is>
      </c>
      <c r="G3337" t="n">
        <v>1.49</v>
      </c>
      <c r="H3337" t="inlineStr">
        <is>
          <t>Contacted</t>
        </is>
      </c>
      <c r="I3337" t="inlineStr">
        <is>
          <t>Open</t>
        </is>
      </c>
      <c r="M3337">
        <f>VLOOKUP(H3337,'Stage Order'!$A$2:$B$8,2,FALSE)</f>
        <v/>
      </c>
      <c r="N3337">
        <f>IF(G3337&lt;=1,"1. Under 1 hour",IF(G3337&lt;=24,"2. 1-24 hours",IF(G3337&lt;=72,"3. 1-3 days","4. Over 3 days")))</f>
        <v/>
      </c>
      <c r="O3337">
        <f>TEXT(B3337,"YYYY-MM")</f>
        <v/>
      </c>
    </row>
    <row r="3338">
      <c r="A3338" t="inlineStr">
        <is>
          <t>LD-303336</t>
        </is>
      </c>
      <c r="B3338" t="inlineStr">
        <is>
          <t>2025-02-20 18:54:00</t>
        </is>
      </c>
      <c r="C3338" t="inlineStr">
        <is>
          <t>Organic Search</t>
        </is>
      </c>
      <c r="D3338" t="inlineStr">
        <is>
          <t>Coding for Kids</t>
        </is>
      </c>
      <c r="E3338" t="inlineStr">
        <is>
          <t>West Region</t>
        </is>
      </c>
      <c r="F3338" t="inlineStr">
        <is>
          <t>Rep_08</t>
        </is>
      </c>
      <c r="G3338" t="n">
        <v>1.53</v>
      </c>
      <c r="H3338" t="inlineStr">
        <is>
          <t>Contacted</t>
        </is>
      </c>
      <c r="I3338" t="inlineStr">
        <is>
          <t>Open</t>
        </is>
      </c>
      <c r="M3338">
        <f>VLOOKUP(H3338,'Stage Order'!$A$2:$B$8,2,FALSE)</f>
        <v/>
      </c>
      <c r="N3338">
        <f>IF(G3338&lt;=1,"1. Under 1 hour",IF(G3338&lt;=24,"2. 1-24 hours",IF(G3338&lt;=72,"3. 1-3 days","4. Over 3 days")))</f>
        <v/>
      </c>
      <c r="O3338">
        <f>TEXT(B3338,"YYYY-MM")</f>
        <v/>
      </c>
    </row>
    <row r="3339">
      <c r="A3339" t="inlineStr">
        <is>
          <t>LD-303337</t>
        </is>
      </c>
      <c r="B3339" t="inlineStr">
        <is>
          <t>2025-12-12 19:51:00</t>
        </is>
      </c>
      <c r="C3339" t="inlineStr">
        <is>
          <t>Paid Search</t>
        </is>
      </c>
      <c r="D3339" t="inlineStr">
        <is>
          <t>Coding for Kids</t>
        </is>
      </c>
      <c r="E3339" t="inlineStr">
        <is>
          <t>East Region</t>
        </is>
      </c>
      <c r="F3339" t="inlineStr">
        <is>
          <t>Rep_09</t>
        </is>
      </c>
      <c r="G3339" t="n">
        <v>2.33</v>
      </c>
      <c r="H3339" t="inlineStr">
        <is>
          <t>Demo Completed</t>
        </is>
      </c>
      <c r="I3339" t="inlineStr">
        <is>
          <t>Lost</t>
        </is>
      </c>
      <c r="J3339" t="inlineStr">
        <is>
          <t>No Response / Ghosted</t>
        </is>
      </c>
      <c r="K3339" t="n">
        <v>675</v>
      </c>
      <c r="L3339" t="inlineStr">
        <is>
          <t>2026-01-07 19:14:45.902551</t>
        </is>
      </c>
      <c r="M3339">
        <f>VLOOKUP(H3339,'Stage Order'!$A$2:$B$8,2,FALSE)</f>
        <v/>
      </c>
      <c r="N3339">
        <f>IF(G3339&lt;=1,"1. Under 1 hour",IF(G3339&lt;=24,"2. 1-24 hours",IF(G3339&lt;=72,"3. 1-3 days","4. Over 3 days")))</f>
        <v/>
      </c>
      <c r="O3339">
        <f>TEXT(B3339,"YYYY-MM")</f>
        <v/>
      </c>
    </row>
    <row r="3340">
      <c r="A3340" t="inlineStr">
        <is>
          <t>LD-303338</t>
        </is>
      </c>
      <c r="B3340" t="inlineStr">
        <is>
          <t>2025-12-09 08:29:00</t>
        </is>
      </c>
      <c r="C3340" t="inlineStr">
        <is>
          <t>Paid Search</t>
        </is>
      </c>
      <c r="D3340" t="inlineStr">
        <is>
          <t>K-12 Math</t>
        </is>
      </c>
      <c r="E3340" t="inlineStr">
        <is>
          <t>South Region</t>
        </is>
      </c>
      <c r="F3340" t="inlineStr">
        <is>
          <t>Rep_12</t>
        </is>
      </c>
      <c r="G3340" t="n">
        <v>8.630000000000001</v>
      </c>
      <c r="H3340" t="inlineStr">
        <is>
          <t>Demo Completed</t>
        </is>
      </c>
      <c r="I3340" t="inlineStr">
        <is>
          <t>Lost</t>
        </is>
      </c>
      <c r="J3340" t="inlineStr">
        <is>
          <t>Price Objection</t>
        </is>
      </c>
      <c r="K3340" t="n">
        <v>472.18</v>
      </c>
      <c r="L3340" t="inlineStr">
        <is>
          <t>2026-01-13 17:48:01.121104</t>
        </is>
      </c>
      <c r="M3340">
        <f>VLOOKUP(H3340,'Stage Order'!$A$2:$B$8,2,FALSE)</f>
        <v/>
      </c>
      <c r="N3340">
        <f>IF(G3340&lt;=1,"1. Under 1 hour",IF(G3340&lt;=24,"2. 1-24 hours",IF(G3340&lt;=72,"3. 1-3 days","4. Over 3 days")))</f>
        <v/>
      </c>
      <c r="O3340">
        <f>TEXT(B3340,"YYYY-MM")</f>
        <v/>
      </c>
    </row>
    <row r="3341">
      <c r="A3341" t="inlineStr">
        <is>
          <t>LD-303339</t>
        </is>
      </c>
      <c r="B3341" t="inlineStr">
        <is>
          <t>2025-07-21 17:57:00</t>
        </is>
      </c>
      <c r="C3341" t="inlineStr">
        <is>
          <t>Organic Search</t>
        </is>
      </c>
      <c r="D3341" t="inlineStr">
        <is>
          <t>Competitive Exam Prep</t>
        </is>
      </c>
      <c r="E3341" t="inlineStr">
        <is>
          <t>South Region</t>
        </is>
      </c>
      <c r="F3341" t="inlineStr">
        <is>
          <t>Rep_02</t>
        </is>
      </c>
      <c r="G3341" t="n">
        <v>0.78</v>
      </c>
      <c r="H3341" t="inlineStr">
        <is>
          <t>Contacted</t>
        </is>
      </c>
      <c r="I3341" t="inlineStr">
        <is>
          <t>Open</t>
        </is>
      </c>
      <c r="M3341">
        <f>VLOOKUP(H3341,'Stage Order'!$A$2:$B$8,2,FALSE)</f>
        <v/>
      </c>
      <c r="N3341">
        <f>IF(G3341&lt;=1,"1. Under 1 hour",IF(G3341&lt;=24,"2. 1-24 hours",IF(G3341&lt;=72,"3. 1-3 days","4. Over 3 days")))</f>
        <v/>
      </c>
      <c r="O3341">
        <f>TEXT(B3341,"YYYY-MM")</f>
        <v/>
      </c>
    </row>
    <row r="3342">
      <c r="A3342" t="inlineStr">
        <is>
          <t>LD-303340</t>
        </is>
      </c>
      <c r="B3342" t="inlineStr">
        <is>
          <t>2025-11-07 09:26:00</t>
        </is>
      </c>
      <c r="C3342" t="inlineStr">
        <is>
          <t>Referral</t>
        </is>
      </c>
      <c r="D3342" t="inlineStr">
        <is>
          <t>Competitive Exam Prep</t>
        </is>
      </c>
      <c r="E3342" t="inlineStr">
        <is>
          <t>West Region</t>
        </is>
      </c>
      <c r="F3342" t="inlineStr">
        <is>
          <t>Rep_13</t>
        </is>
      </c>
      <c r="G3342" t="n">
        <v>1.53</v>
      </c>
      <c r="H3342" t="inlineStr">
        <is>
          <t>Lead</t>
        </is>
      </c>
      <c r="I3342" t="inlineStr">
        <is>
          <t>Open</t>
        </is>
      </c>
      <c r="M3342">
        <f>VLOOKUP(H3342,'Stage Order'!$A$2:$B$8,2,FALSE)</f>
        <v/>
      </c>
      <c r="N3342">
        <f>IF(G3342&lt;=1,"1. Under 1 hour",IF(G3342&lt;=24,"2. 1-24 hours",IF(G3342&lt;=72,"3. 1-3 days","4. Over 3 days")))</f>
        <v/>
      </c>
      <c r="O3342">
        <f>TEXT(B3342,"YYYY-MM")</f>
        <v/>
      </c>
    </row>
    <row r="3343">
      <c r="A3343" t="inlineStr">
        <is>
          <t>LD-303341</t>
        </is>
      </c>
      <c r="B3343" t="inlineStr">
        <is>
          <t>2026-01-02 12:08:00</t>
        </is>
      </c>
      <c r="C3343" t="inlineStr">
        <is>
          <t>Organic Search</t>
        </is>
      </c>
      <c r="D3343" t="inlineStr">
        <is>
          <t>Coding for Kids</t>
        </is>
      </c>
      <c r="E3343" t="inlineStr">
        <is>
          <t>South Region</t>
        </is>
      </c>
      <c r="F3343" t="inlineStr">
        <is>
          <t>Rep_12</t>
        </is>
      </c>
      <c r="G3343" t="n">
        <v>5.15</v>
      </c>
      <c r="H3343" t="inlineStr">
        <is>
          <t>Contacted</t>
        </is>
      </c>
      <c r="I3343" t="inlineStr">
        <is>
          <t>Open</t>
        </is>
      </c>
      <c r="M3343">
        <f>VLOOKUP(H3343,'Stage Order'!$A$2:$B$8,2,FALSE)</f>
        <v/>
      </c>
      <c r="N3343">
        <f>IF(G3343&lt;=1,"1. Under 1 hour",IF(G3343&lt;=24,"2. 1-24 hours",IF(G3343&lt;=72,"3. 1-3 days","4. Over 3 days")))</f>
        <v/>
      </c>
      <c r="O3343">
        <f>TEXT(B3343,"YYYY-MM")</f>
        <v/>
      </c>
    </row>
    <row r="3344">
      <c r="A3344" t="inlineStr">
        <is>
          <t>LD-303342</t>
        </is>
      </c>
      <c r="B3344" t="inlineStr">
        <is>
          <t>2025-07-18 08:26:00</t>
        </is>
      </c>
      <c r="C3344" t="inlineStr">
        <is>
          <t>Organic Search</t>
        </is>
      </c>
      <c r="D3344" t="inlineStr">
        <is>
          <t>Competitive Exam Prep</t>
        </is>
      </c>
      <c r="E3344" t="inlineStr">
        <is>
          <t>East Region</t>
        </is>
      </c>
      <c r="F3344" t="inlineStr">
        <is>
          <t>Rep_14</t>
        </is>
      </c>
      <c r="G3344" t="n">
        <v>1.47</v>
      </c>
      <c r="H3344" t="inlineStr">
        <is>
          <t>Contacted</t>
        </is>
      </c>
      <c r="I3344" t="inlineStr">
        <is>
          <t>Open</t>
        </is>
      </c>
      <c r="M3344">
        <f>VLOOKUP(H3344,'Stage Order'!$A$2:$B$8,2,FALSE)</f>
        <v/>
      </c>
      <c r="N3344">
        <f>IF(G3344&lt;=1,"1. Under 1 hour",IF(G3344&lt;=24,"2. 1-24 hours",IF(G3344&lt;=72,"3. 1-3 days","4. Over 3 days")))</f>
        <v/>
      </c>
      <c r="O3344">
        <f>TEXT(B3344,"YYYY-MM")</f>
        <v/>
      </c>
    </row>
    <row r="3345">
      <c r="A3345" t="inlineStr">
        <is>
          <t>LD-303343</t>
        </is>
      </c>
      <c r="B3345" t="inlineStr">
        <is>
          <t>2025-11-23 15:41:00</t>
        </is>
      </c>
      <c r="C3345" t="inlineStr">
        <is>
          <t>Cold Outreach</t>
        </is>
      </c>
      <c r="D3345" t="inlineStr">
        <is>
          <t>Competitive Exam Prep</t>
        </is>
      </c>
      <c r="E3345" t="inlineStr">
        <is>
          <t>West Region</t>
        </is>
      </c>
      <c r="F3345" t="inlineStr">
        <is>
          <t>Rep_08</t>
        </is>
      </c>
      <c r="G3345" t="n">
        <v>4.37</v>
      </c>
      <c r="H3345" t="inlineStr">
        <is>
          <t>Contacted</t>
        </is>
      </c>
      <c r="I3345" t="inlineStr">
        <is>
          <t>Open</t>
        </is>
      </c>
      <c r="M3345">
        <f>VLOOKUP(H3345,'Stage Order'!$A$2:$B$8,2,FALSE)</f>
        <v/>
      </c>
      <c r="N3345">
        <f>IF(G3345&lt;=1,"1. Under 1 hour",IF(G3345&lt;=24,"2. 1-24 hours",IF(G3345&lt;=72,"3. 1-3 days","4. Over 3 days")))</f>
        <v/>
      </c>
      <c r="O3345">
        <f>TEXT(B3345,"YYYY-MM")</f>
        <v/>
      </c>
    </row>
    <row r="3346">
      <c r="A3346" t="inlineStr">
        <is>
          <t>LD-303344</t>
        </is>
      </c>
      <c r="B3346" t="inlineStr">
        <is>
          <t>2025-09-06 17:39:00</t>
        </is>
      </c>
      <c r="C3346" t="inlineStr">
        <is>
          <t>Referral</t>
        </is>
      </c>
      <c r="D3346" t="inlineStr">
        <is>
          <t>K-12 Math</t>
        </is>
      </c>
      <c r="E3346" t="inlineStr">
        <is>
          <t>East Region</t>
        </is>
      </c>
      <c r="F3346" t="inlineStr">
        <is>
          <t>Rep_04</t>
        </is>
      </c>
      <c r="G3346" t="n">
        <v>3.77</v>
      </c>
      <c r="H3346" t="inlineStr">
        <is>
          <t>Negotiation</t>
        </is>
      </c>
      <c r="I3346" t="inlineStr">
        <is>
          <t>Lost</t>
        </is>
      </c>
      <c r="J3346" t="inlineStr">
        <is>
          <t>No Response / Ghosted</t>
        </is>
      </c>
      <c r="K3346" t="n">
        <v>485.12</v>
      </c>
      <c r="L3346" t="inlineStr">
        <is>
          <t>2025-10-16 10:16:16.444289</t>
        </is>
      </c>
      <c r="M3346">
        <f>VLOOKUP(H3346,'Stage Order'!$A$2:$B$8,2,FALSE)</f>
        <v/>
      </c>
      <c r="N3346">
        <f>IF(G3346&lt;=1,"1. Under 1 hour",IF(G3346&lt;=24,"2. 1-24 hours",IF(G3346&lt;=72,"3. 1-3 days","4. Over 3 days")))</f>
        <v/>
      </c>
      <c r="O3346">
        <f>TEXT(B3346,"YYYY-MM")</f>
        <v/>
      </c>
    </row>
    <row r="3347">
      <c r="A3347" t="inlineStr">
        <is>
          <t>LD-303345</t>
        </is>
      </c>
      <c r="B3347" t="inlineStr">
        <is>
          <t>2025-10-22 17:11:00</t>
        </is>
      </c>
      <c r="C3347" t="inlineStr">
        <is>
          <t>Paid Search</t>
        </is>
      </c>
      <c r="D3347" t="inlineStr">
        <is>
          <t>Language Learning</t>
        </is>
      </c>
      <c r="E3347" t="inlineStr">
        <is>
          <t>North Region</t>
        </is>
      </c>
      <c r="F3347" t="inlineStr">
        <is>
          <t>Rep_01</t>
        </is>
      </c>
      <c r="G3347" t="n">
        <v>0.77</v>
      </c>
      <c r="H3347" t="inlineStr">
        <is>
          <t>Lead</t>
        </is>
      </c>
      <c r="I3347" t="inlineStr">
        <is>
          <t>Open</t>
        </is>
      </c>
      <c r="M3347">
        <f>VLOOKUP(H3347,'Stage Order'!$A$2:$B$8,2,FALSE)</f>
        <v/>
      </c>
      <c r="N3347">
        <f>IF(G3347&lt;=1,"1. Under 1 hour",IF(G3347&lt;=24,"2. 1-24 hours",IF(G3347&lt;=72,"3. 1-3 days","4. Over 3 days")))</f>
        <v/>
      </c>
      <c r="O3347">
        <f>TEXT(B3347,"YYYY-MM")</f>
        <v/>
      </c>
    </row>
    <row r="3348">
      <c r="A3348" t="inlineStr">
        <is>
          <t>LD-303346</t>
        </is>
      </c>
      <c r="B3348" t="inlineStr">
        <is>
          <t>2026-04-03 20:07:00</t>
        </is>
      </c>
      <c r="C3348" t="inlineStr">
        <is>
          <t>Referral</t>
        </is>
      </c>
      <c r="D3348" t="inlineStr">
        <is>
          <t>Language Learning</t>
        </is>
      </c>
      <c r="E3348" t="inlineStr">
        <is>
          <t>South Region</t>
        </is>
      </c>
      <c r="F3348" t="inlineStr">
        <is>
          <t>Rep_02</t>
        </is>
      </c>
      <c r="G3348" t="n">
        <v>2.49</v>
      </c>
      <c r="H3348" t="inlineStr">
        <is>
          <t>Closed</t>
        </is>
      </c>
      <c r="I3348" t="inlineStr">
        <is>
          <t>Won</t>
        </is>
      </c>
      <c r="K3348" t="n">
        <v>396.45</v>
      </c>
      <c r="L3348" t="inlineStr">
        <is>
          <t>2026-05-13 00:18:16.613806</t>
        </is>
      </c>
      <c r="M3348">
        <f>VLOOKUP(H3348,'Stage Order'!$A$2:$B$8,2,FALSE)</f>
        <v/>
      </c>
      <c r="N3348">
        <f>IF(G3348&lt;=1,"1. Under 1 hour",IF(G3348&lt;=24,"2. 1-24 hours",IF(G3348&lt;=72,"3. 1-3 days","4. Over 3 days")))</f>
        <v/>
      </c>
      <c r="O3348">
        <f>TEXT(B3348,"YYYY-MM")</f>
        <v/>
      </c>
    </row>
    <row r="3349">
      <c r="A3349" t="inlineStr">
        <is>
          <t>LD-303347</t>
        </is>
      </c>
      <c r="B3349" t="inlineStr">
        <is>
          <t>2026-01-28 14:26:00</t>
        </is>
      </c>
      <c r="C3349" t="inlineStr">
        <is>
          <t>Referral</t>
        </is>
      </c>
      <c r="D3349" t="inlineStr">
        <is>
          <t>K-12 Math</t>
        </is>
      </c>
      <c r="E3349" t="inlineStr">
        <is>
          <t>South Region</t>
        </is>
      </c>
      <c r="F3349" t="inlineStr">
        <is>
          <t>Rep_02</t>
        </is>
      </c>
      <c r="G3349" t="n">
        <v>0.78</v>
      </c>
      <c r="H3349" t="inlineStr">
        <is>
          <t>Closed</t>
        </is>
      </c>
      <c r="I3349" t="inlineStr">
        <is>
          <t>Won</t>
        </is>
      </c>
      <c r="K3349" t="n">
        <v>514.73</v>
      </c>
      <c r="L3349" t="inlineStr">
        <is>
          <t>2026-03-01 17:13:40.352749</t>
        </is>
      </c>
      <c r="M3349">
        <f>VLOOKUP(H3349,'Stage Order'!$A$2:$B$8,2,FALSE)</f>
        <v/>
      </c>
      <c r="N3349">
        <f>IF(G3349&lt;=1,"1. Under 1 hour",IF(G3349&lt;=24,"2. 1-24 hours",IF(G3349&lt;=72,"3. 1-3 days","4. Over 3 days")))</f>
        <v/>
      </c>
      <c r="O3349">
        <f>TEXT(B3349,"YYYY-MM")</f>
        <v/>
      </c>
    </row>
    <row r="3350">
      <c r="A3350" t="inlineStr">
        <is>
          <t>LD-303348</t>
        </is>
      </c>
      <c r="B3350" t="inlineStr">
        <is>
          <t>2025-12-19 18:58:00</t>
        </is>
      </c>
      <c r="C3350" t="inlineStr">
        <is>
          <t>Paid Search</t>
        </is>
      </c>
      <c r="D3350" t="inlineStr">
        <is>
          <t>Coding for Kids</t>
        </is>
      </c>
      <c r="E3350" t="inlineStr">
        <is>
          <t>West Region</t>
        </is>
      </c>
      <c r="F3350" t="inlineStr">
        <is>
          <t>Rep_08</t>
        </is>
      </c>
      <c r="G3350" t="n">
        <v>0.83</v>
      </c>
      <c r="H3350" t="inlineStr">
        <is>
          <t>Negotiation</t>
        </is>
      </c>
      <c r="I3350" t="inlineStr">
        <is>
          <t>Lost</t>
        </is>
      </c>
      <c r="J3350" t="inlineStr">
        <is>
          <t>Bad Timing</t>
        </is>
      </c>
      <c r="K3350" t="n">
        <v>532.59</v>
      </c>
      <c r="L3350" t="inlineStr">
        <is>
          <t>2026-02-18 06:03:23.207674</t>
        </is>
      </c>
      <c r="M3350">
        <f>VLOOKUP(H3350,'Stage Order'!$A$2:$B$8,2,FALSE)</f>
        <v/>
      </c>
      <c r="N3350">
        <f>IF(G3350&lt;=1,"1. Under 1 hour",IF(G3350&lt;=24,"2. 1-24 hours",IF(G3350&lt;=72,"3. 1-3 days","4. Over 3 days")))</f>
        <v/>
      </c>
      <c r="O3350">
        <f>TEXT(B3350,"YYYY-MM")</f>
        <v/>
      </c>
    </row>
    <row r="3351">
      <c r="A3351" t="inlineStr">
        <is>
          <t>LD-303349</t>
        </is>
      </c>
      <c r="B3351" t="inlineStr">
        <is>
          <t>2025-11-18 12:33:00</t>
        </is>
      </c>
      <c r="C3351" t="inlineStr">
        <is>
          <t>Organic Search</t>
        </is>
      </c>
      <c r="D3351" t="inlineStr">
        <is>
          <t>K-12 Math</t>
        </is>
      </c>
      <c r="E3351" t="inlineStr">
        <is>
          <t>North Region</t>
        </is>
      </c>
      <c r="F3351" t="inlineStr">
        <is>
          <t>Rep_11</t>
        </is>
      </c>
      <c r="G3351" t="n">
        <v>11.35</v>
      </c>
      <c r="H3351" t="inlineStr">
        <is>
          <t>Contacted</t>
        </is>
      </c>
      <c r="I3351" t="inlineStr">
        <is>
          <t>Open</t>
        </is>
      </c>
      <c r="M3351">
        <f>VLOOKUP(H3351,'Stage Order'!$A$2:$B$8,2,FALSE)</f>
        <v/>
      </c>
      <c r="N3351">
        <f>IF(G3351&lt;=1,"1. Under 1 hour",IF(G3351&lt;=24,"2. 1-24 hours",IF(G3351&lt;=72,"3. 1-3 days","4. Over 3 days")))</f>
        <v/>
      </c>
      <c r="O3351">
        <f>TEXT(B3351,"YYYY-MM")</f>
        <v/>
      </c>
    </row>
    <row r="3352">
      <c r="A3352" t="inlineStr">
        <is>
          <t>LD-303350</t>
        </is>
      </c>
      <c r="B3352" t="inlineStr">
        <is>
          <t>2025-10-31 14:29:00</t>
        </is>
      </c>
      <c r="C3352" t="inlineStr">
        <is>
          <t>Social Media</t>
        </is>
      </c>
      <c r="D3352" t="inlineStr">
        <is>
          <t>Study Abroad Prep</t>
        </is>
      </c>
      <c r="E3352" t="inlineStr">
        <is>
          <t>West Region</t>
        </is>
      </c>
      <c r="F3352" t="inlineStr">
        <is>
          <t>Rep_08</t>
        </is>
      </c>
      <c r="G3352" t="n">
        <v>21.73</v>
      </c>
      <c r="H3352" t="inlineStr">
        <is>
          <t>Demo Completed</t>
        </is>
      </c>
      <c r="I3352" t="inlineStr">
        <is>
          <t>Lost</t>
        </is>
      </c>
      <c r="J3352" t="inlineStr">
        <is>
          <t>Bad Timing</t>
        </is>
      </c>
      <c r="K3352" t="n">
        <v>1540.57</v>
      </c>
      <c r="L3352" t="inlineStr">
        <is>
          <t>2025-12-01 09:44:52.103126</t>
        </is>
      </c>
      <c r="M3352">
        <f>VLOOKUP(H3352,'Stage Order'!$A$2:$B$8,2,FALSE)</f>
        <v/>
      </c>
      <c r="N3352">
        <f>IF(G3352&lt;=1,"1. Under 1 hour",IF(G3352&lt;=24,"2. 1-24 hours",IF(G3352&lt;=72,"3. 1-3 days","4. Over 3 days")))</f>
        <v/>
      </c>
      <c r="O3352">
        <f>TEXT(B3352,"YYYY-MM")</f>
        <v/>
      </c>
    </row>
    <row r="3353">
      <c r="A3353" t="inlineStr">
        <is>
          <t>LD-303351</t>
        </is>
      </c>
      <c r="B3353" t="inlineStr">
        <is>
          <t>2025-10-22 17:59:00</t>
        </is>
      </c>
      <c r="C3353" t="inlineStr">
        <is>
          <t>Social Media</t>
        </is>
      </c>
      <c r="D3353" t="inlineStr">
        <is>
          <t>K-12 Math</t>
        </is>
      </c>
      <c r="E3353" t="inlineStr">
        <is>
          <t>West Region</t>
        </is>
      </c>
      <c r="F3353" t="inlineStr">
        <is>
          <t>Rep_13</t>
        </is>
      </c>
      <c r="G3353" t="n">
        <v>0.65</v>
      </c>
      <c r="H3353" t="inlineStr">
        <is>
          <t>Demo Completed</t>
        </is>
      </c>
      <c r="I3353" t="inlineStr">
        <is>
          <t>Lost</t>
        </is>
      </c>
      <c r="J3353" t="inlineStr">
        <is>
          <t>Went With Competitor</t>
        </is>
      </c>
      <c r="K3353" t="n">
        <v>573.41</v>
      </c>
      <c r="L3353" t="inlineStr">
        <is>
          <t>2025-11-29 19:05:16.956374</t>
        </is>
      </c>
      <c r="M3353">
        <f>VLOOKUP(H3353,'Stage Order'!$A$2:$B$8,2,FALSE)</f>
        <v/>
      </c>
      <c r="N3353">
        <f>IF(G3353&lt;=1,"1. Under 1 hour",IF(G3353&lt;=24,"2. 1-24 hours",IF(G3353&lt;=72,"3. 1-3 days","4. Over 3 days")))</f>
        <v/>
      </c>
      <c r="O3353">
        <f>TEXT(B3353,"YYYY-MM")</f>
        <v/>
      </c>
    </row>
    <row r="3354">
      <c r="A3354" t="inlineStr">
        <is>
          <t>LD-303352</t>
        </is>
      </c>
      <c r="B3354" t="inlineStr">
        <is>
          <t>2025-11-14 07:54:00</t>
        </is>
      </c>
      <c r="C3354" t="inlineStr">
        <is>
          <t>Referral</t>
        </is>
      </c>
      <c r="D3354" t="inlineStr">
        <is>
          <t>Coding for Kids</t>
        </is>
      </c>
      <c r="E3354" t="inlineStr">
        <is>
          <t>East Region</t>
        </is>
      </c>
      <c r="F3354" t="inlineStr">
        <is>
          <t>Rep_14</t>
        </is>
      </c>
      <c r="G3354" t="n">
        <v>52.16</v>
      </c>
      <c r="H3354" t="inlineStr">
        <is>
          <t>Contacted</t>
        </is>
      </c>
      <c r="I3354" t="inlineStr">
        <is>
          <t>Open</t>
        </is>
      </c>
      <c r="M3354">
        <f>VLOOKUP(H3354,'Stage Order'!$A$2:$B$8,2,FALSE)</f>
        <v/>
      </c>
      <c r="N3354">
        <f>IF(G3354&lt;=1,"1. Under 1 hour",IF(G3354&lt;=24,"2. 1-24 hours",IF(G3354&lt;=72,"3. 1-3 days","4. Over 3 days")))</f>
        <v/>
      </c>
      <c r="O3354">
        <f>TEXT(B3354,"YYYY-MM")</f>
        <v/>
      </c>
    </row>
    <row r="3355">
      <c r="A3355" t="inlineStr">
        <is>
          <t>LD-303353</t>
        </is>
      </c>
      <c r="B3355" t="inlineStr">
        <is>
          <t>2025-05-22 12:01:00</t>
        </is>
      </c>
      <c r="C3355" t="inlineStr">
        <is>
          <t>Webinar</t>
        </is>
      </c>
      <c r="D3355" t="inlineStr">
        <is>
          <t>Competitive Exam Prep</t>
        </is>
      </c>
      <c r="E3355" t="inlineStr">
        <is>
          <t>South Region</t>
        </is>
      </c>
      <c r="F3355" t="inlineStr">
        <is>
          <t>Rep_12</t>
        </is>
      </c>
      <c r="G3355" t="n">
        <v>0.84</v>
      </c>
      <c r="H3355" t="inlineStr">
        <is>
          <t>Contacted</t>
        </is>
      </c>
      <c r="I3355" t="inlineStr">
        <is>
          <t>Open</t>
        </is>
      </c>
      <c r="M3355">
        <f>VLOOKUP(H3355,'Stage Order'!$A$2:$B$8,2,FALSE)</f>
        <v/>
      </c>
      <c r="N3355">
        <f>IF(G3355&lt;=1,"1. Under 1 hour",IF(G3355&lt;=24,"2. 1-24 hours",IF(G3355&lt;=72,"3. 1-3 days","4. Over 3 days")))</f>
        <v/>
      </c>
      <c r="O3355">
        <f>TEXT(B3355,"YYYY-MM")</f>
        <v/>
      </c>
    </row>
    <row r="3356">
      <c r="A3356" t="inlineStr">
        <is>
          <t>LD-303354</t>
        </is>
      </c>
      <c r="B3356" t="inlineStr">
        <is>
          <t>2026-04-17 18:25:00</t>
        </is>
      </c>
      <c r="C3356" t="inlineStr">
        <is>
          <t>Partner Channel</t>
        </is>
      </c>
      <c r="D3356" t="inlineStr">
        <is>
          <t>Coding for Kids</t>
        </is>
      </c>
      <c r="E3356" t="inlineStr">
        <is>
          <t>East Region</t>
        </is>
      </c>
      <c r="F3356" t="inlineStr">
        <is>
          <t>Rep_09</t>
        </is>
      </c>
      <c r="G3356" t="n">
        <v>6.29</v>
      </c>
      <c r="H3356" t="inlineStr">
        <is>
          <t>Proposal Sent</t>
        </is>
      </c>
      <c r="I3356" t="inlineStr">
        <is>
          <t>Lost</t>
        </is>
      </c>
      <c r="J3356" t="inlineStr">
        <is>
          <t>No Response / Ghosted</t>
        </is>
      </c>
      <c r="K3356" t="n">
        <v>671.2</v>
      </c>
      <c r="L3356" t="inlineStr">
        <is>
          <t>2026-05-22 21:39:02.436113</t>
        </is>
      </c>
      <c r="M3356">
        <f>VLOOKUP(H3356,'Stage Order'!$A$2:$B$8,2,FALSE)</f>
        <v/>
      </c>
      <c r="N3356">
        <f>IF(G3356&lt;=1,"1. Under 1 hour",IF(G3356&lt;=24,"2. 1-24 hours",IF(G3356&lt;=72,"3. 1-3 days","4. Over 3 days")))</f>
        <v/>
      </c>
      <c r="O3356">
        <f>TEXT(B3356,"YYYY-MM")</f>
        <v/>
      </c>
    </row>
    <row r="3357">
      <c r="A3357" t="inlineStr">
        <is>
          <t>LD-303355</t>
        </is>
      </c>
      <c r="B3357" t="inlineStr">
        <is>
          <t>2026-03-27 08:48:00</t>
        </is>
      </c>
      <c r="C3357" t="inlineStr">
        <is>
          <t>Referral</t>
        </is>
      </c>
      <c r="D3357" t="inlineStr">
        <is>
          <t>K-12 Math</t>
        </is>
      </c>
      <c r="E3357" t="inlineStr">
        <is>
          <t>South Region</t>
        </is>
      </c>
      <c r="F3357" t="inlineStr">
        <is>
          <t>Rep_07</t>
        </is>
      </c>
      <c r="G3357" t="n">
        <v>9.539999999999999</v>
      </c>
      <c r="H3357" t="inlineStr">
        <is>
          <t>Closed</t>
        </is>
      </c>
      <c r="I3357" t="inlineStr">
        <is>
          <t>Won</t>
        </is>
      </c>
      <c r="K3357" t="n">
        <v>536.4</v>
      </c>
      <c r="L3357" t="inlineStr">
        <is>
          <t>2026-04-29 07:29:40.416352</t>
        </is>
      </c>
      <c r="M3357">
        <f>VLOOKUP(H3357,'Stage Order'!$A$2:$B$8,2,FALSE)</f>
        <v/>
      </c>
      <c r="N3357">
        <f>IF(G3357&lt;=1,"1. Under 1 hour",IF(G3357&lt;=24,"2. 1-24 hours",IF(G3357&lt;=72,"3. 1-3 days","4. Over 3 days")))</f>
        <v/>
      </c>
      <c r="O3357">
        <f>TEXT(B3357,"YYYY-MM")</f>
        <v/>
      </c>
    </row>
    <row r="3358">
      <c r="A3358" t="inlineStr">
        <is>
          <t>LD-303356</t>
        </is>
      </c>
      <c r="B3358" t="inlineStr">
        <is>
          <t>2026-06-26 13:01:00</t>
        </is>
      </c>
      <c r="C3358" t="inlineStr">
        <is>
          <t>Organic Search</t>
        </is>
      </c>
      <c r="D3358" t="inlineStr">
        <is>
          <t>Coding for Kids</t>
        </is>
      </c>
      <c r="E3358" t="inlineStr">
        <is>
          <t>South Region</t>
        </is>
      </c>
      <c r="F3358" t="inlineStr">
        <is>
          <t>Rep_12</t>
        </is>
      </c>
      <c r="G3358" t="n">
        <v>0.48</v>
      </c>
      <c r="H3358" t="inlineStr">
        <is>
          <t>Closed</t>
        </is>
      </c>
      <c r="I3358" t="inlineStr">
        <is>
          <t>Won</t>
        </is>
      </c>
      <c r="K3358" t="n">
        <v>657.91</v>
      </c>
      <c r="L3358" t="inlineStr">
        <is>
          <t>2026-07-26 18:19:42.278777</t>
        </is>
      </c>
      <c r="M3358">
        <f>VLOOKUP(H3358,'Stage Order'!$A$2:$B$8,2,FALSE)</f>
        <v/>
      </c>
      <c r="N3358">
        <f>IF(G3358&lt;=1,"1. Under 1 hour",IF(G3358&lt;=24,"2. 1-24 hours",IF(G3358&lt;=72,"3. 1-3 days","4. Over 3 days")))</f>
        <v/>
      </c>
      <c r="O3358">
        <f>TEXT(B3358,"YYYY-MM")</f>
        <v/>
      </c>
    </row>
    <row r="3359">
      <c r="A3359" t="inlineStr">
        <is>
          <t>LD-303357</t>
        </is>
      </c>
      <c r="B3359" t="inlineStr">
        <is>
          <t>2025-10-14 16:36:00</t>
        </is>
      </c>
      <c r="C3359" t="inlineStr">
        <is>
          <t>Referral</t>
        </is>
      </c>
      <c r="D3359" t="inlineStr">
        <is>
          <t>K-12 Math</t>
        </is>
      </c>
      <c r="E3359" t="inlineStr">
        <is>
          <t>West Region</t>
        </is>
      </c>
      <c r="F3359" t="inlineStr">
        <is>
          <t>Rep_13</t>
        </is>
      </c>
      <c r="G3359" t="n">
        <v>3.97</v>
      </c>
      <c r="H3359" t="inlineStr">
        <is>
          <t>Closed</t>
        </is>
      </c>
      <c r="I3359" t="inlineStr">
        <is>
          <t>Won</t>
        </is>
      </c>
      <c r="K3359" t="n">
        <v>470.94</v>
      </c>
      <c r="L3359" t="inlineStr">
        <is>
          <t>2025-11-20 07:28:51.526993</t>
        </is>
      </c>
      <c r="M3359">
        <f>VLOOKUP(H3359,'Stage Order'!$A$2:$B$8,2,FALSE)</f>
        <v/>
      </c>
      <c r="N3359">
        <f>IF(G3359&lt;=1,"1. Under 1 hour",IF(G3359&lt;=24,"2. 1-24 hours",IF(G3359&lt;=72,"3. 1-3 days","4. Over 3 days")))</f>
        <v/>
      </c>
      <c r="O3359">
        <f>TEXT(B3359,"YYYY-MM")</f>
        <v/>
      </c>
    </row>
    <row r="3360">
      <c r="A3360" t="inlineStr">
        <is>
          <t>LD-303358</t>
        </is>
      </c>
      <c r="B3360" t="inlineStr">
        <is>
          <t>2025-06-27 15:05:00</t>
        </is>
      </c>
      <c r="C3360" t="inlineStr">
        <is>
          <t>Paid Search</t>
        </is>
      </c>
      <c r="D3360" t="inlineStr">
        <is>
          <t>Study Abroad Prep</t>
        </is>
      </c>
      <c r="E3360" t="inlineStr">
        <is>
          <t>North Region</t>
        </is>
      </c>
      <c r="F3360" t="inlineStr">
        <is>
          <t>Rep_01</t>
        </is>
      </c>
      <c r="G3360" t="n">
        <v>5.8</v>
      </c>
      <c r="H3360" t="inlineStr">
        <is>
          <t>Contacted</t>
        </is>
      </c>
      <c r="I3360" t="inlineStr">
        <is>
          <t>Open</t>
        </is>
      </c>
      <c r="M3360">
        <f>VLOOKUP(H3360,'Stage Order'!$A$2:$B$8,2,FALSE)</f>
        <v/>
      </c>
      <c r="N3360">
        <f>IF(G3360&lt;=1,"1. Under 1 hour",IF(G3360&lt;=24,"2. 1-24 hours",IF(G3360&lt;=72,"3. 1-3 days","4. Over 3 days")))</f>
        <v/>
      </c>
      <c r="O3360">
        <f>TEXT(B3360,"YYYY-MM")</f>
        <v/>
      </c>
    </row>
    <row r="3361">
      <c r="A3361" t="inlineStr">
        <is>
          <t>LD-303359</t>
        </is>
      </c>
      <c r="B3361" t="inlineStr">
        <is>
          <t>2025-12-31 09:58:00</t>
        </is>
      </c>
      <c r="C3361" t="inlineStr">
        <is>
          <t>Organic Search</t>
        </is>
      </c>
      <c r="D3361" t="inlineStr">
        <is>
          <t>K-12 Math</t>
        </is>
      </c>
      <c r="E3361" t="inlineStr">
        <is>
          <t>South Region</t>
        </is>
      </c>
      <c r="F3361" t="inlineStr">
        <is>
          <t>Rep_12</t>
        </is>
      </c>
      <c r="G3361" t="n">
        <v>2.6</v>
      </c>
      <c r="H3361" t="inlineStr">
        <is>
          <t>Contacted</t>
        </is>
      </c>
      <c r="I3361" t="inlineStr">
        <is>
          <t>Open</t>
        </is>
      </c>
      <c r="M3361">
        <f>VLOOKUP(H3361,'Stage Order'!$A$2:$B$8,2,FALSE)</f>
        <v/>
      </c>
      <c r="N3361">
        <f>IF(G3361&lt;=1,"1. Under 1 hour",IF(G3361&lt;=24,"2. 1-24 hours",IF(G3361&lt;=72,"3. 1-3 days","4. Over 3 days")))</f>
        <v/>
      </c>
      <c r="O3361">
        <f>TEXT(B3361,"YYYY-MM")</f>
        <v/>
      </c>
    </row>
    <row r="3362">
      <c r="A3362" t="inlineStr">
        <is>
          <t>LD-303360</t>
        </is>
      </c>
      <c r="B3362" t="inlineStr">
        <is>
          <t>2025-01-05 19:01:00</t>
        </is>
      </c>
      <c r="C3362" t="inlineStr">
        <is>
          <t>Organic Search</t>
        </is>
      </c>
      <c r="D3362" t="inlineStr">
        <is>
          <t>Study Abroad Prep</t>
        </is>
      </c>
      <c r="E3362" t="inlineStr">
        <is>
          <t>South Region</t>
        </is>
      </c>
      <c r="F3362" t="inlineStr">
        <is>
          <t>Rep_12</t>
        </is>
      </c>
      <c r="G3362" t="n">
        <v>0.53</v>
      </c>
      <c r="H3362" t="inlineStr">
        <is>
          <t>Closed</t>
        </is>
      </c>
      <c r="I3362" t="inlineStr">
        <is>
          <t>Won</t>
        </is>
      </c>
      <c r="K3362" t="n">
        <v>1428.26</v>
      </c>
      <c r="L3362" t="inlineStr">
        <is>
          <t>2025-02-12 07:07:22.655118</t>
        </is>
      </c>
      <c r="M3362">
        <f>VLOOKUP(H3362,'Stage Order'!$A$2:$B$8,2,FALSE)</f>
        <v/>
      </c>
      <c r="N3362">
        <f>IF(G3362&lt;=1,"1. Under 1 hour",IF(G3362&lt;=24,"2. 1-24 hours",IF(G3362&lt;=72,"3. 1-3 days","4. Over 3 days")))</f>
        <v/>
      </c>
      <c r="O3362">
        <f>TEXT(B3362,"YYYY-MM")</f>
        <v/>
      </c>
    </row>
    <row r="3363">
      <c r="A3363" t="inlineStr">
        <is>
          <t>LD-303361</t>
        </is>
      </c>
      <c r="B3363" t="inlineStr">
        <is>
          <t>2026-03-06 11:30:00</t>
        </is>
      </c>
      <c r="C3363" t="inlineStr">
        <is>
          <t>Social Media</t>
        </is>
      </c>
      <c r="D3363" t="inlineStr">
        <is>
          <t>Coding for Kids</t>
        </is>
      </c>
      <c r="E3363" t="inlineStr">
        <is>
          <t>East Region</t>
        </is>
      </c>
      <c r="F3363" t="inlineStr">
        <is>
          <t>Rep_14</t>
        </is>
      </c>
      <c r="G3363" t="n">
        <v>1.97</v>
      </c>
      <c r="H3363" t="inlineStr">
        <is>
          <t>Lead</t>
        </is>
      </c>
      <c r="I3363" t="inlineStr">
        <is>
          <t>Open</t>
        </is>
      </c>
      <c r="M3363">
        <f>VLOOKUP(H3363,'Stage Order'!$A$2:$B$8,2,FALSE)</f>
        <v/>
      </c>
      <c r="N3363">
        <f>IF(G3363&lt;=1,"1. Under 1 hour",IF(G3363&lt;=24,"2. 1-24 hours",IF(G3363&lt;=72,"3. 1-3 days","4. Over 3 days")))</f>
        <v/>
      </c>
      <c r="O3363">
        <f>TEXT(B3363,"YYYY-MM")</f>
        <v/>
      </c>
    </row>
    <row r="3364">
      <c r="A3364" t="inlineStr">
        <is>
          <t>LD-303362</t>
        </is>
      </c>
      <c r="B3364" t="inlineStr">
        <is>
          <t>2026-03-13 19:11:00</t>
        </is>
      </c>
      <c r="C3364" t="inlineStr">
        <is>
          <t>Cold Outreach</t>
        </is>
      </c>
      <c r="D3364" t="inlineStr">
        <is>
          <t>Coding for Kids</t>
        </is>
      </c>
      <c r="E3364" t="inlineStr">
        <is>
          <t>West Region</t>
        </is>
      </c>
      <c r="F3364" t="inlineStr">
        <is>
          <t>Rep_03</t>
        </is>
      </c>
      <c r="G3364" t="n">
        <v>2.43</v>
      </c>
      <c r="H3364" t="inlineStr">
        <is>
          <t>Proposal Sent</t>
        </is>
      </c>
      <c r="I3364" t="inlineStr">
        <is>
          <t>Lost</t>
        </is>
      </c>
      <c r="J3364" t="inlineStr">
        <is>
          <t>Bad Timing</t>
        </is>
      </c>
      <c r="K3364" t="n">
        <v>723.2</v>
      </c>
      <c r="L3364" t="inlineStr">
        <is>
          <t>2026-04-07 16:02:54.622947</t>
        </is>
      </c>
      <c r="M3364">
        <f>VLOOKUP(H3364,'Stage Order'!$A$2:$B$8,2,FALSE)</f>
        <v/>
      </c>
      <c r="N3364">
        <f>IF(G3364&lt;=1,"1. Under 1 hour",IF(G3364&lt;=24,"2. 1-24 hours",IF(G3364&lt;=72,"3. 1-3 days","4. Over 3 days")))</f>
        <v/>
      </c>
      <c r="O3364">
        <f>TEXT(B3364,"YYYY-MM")</f>
        <v/>
      </c>
    </row>
    <row r="3365">
      <c r="A3365" t="inlineStr">
        <is>
          <t>LD-303363</t>
        </is>
      </c>
      <c r="B3365" t="inlineStr">
        <is>
          <t>2026-05-29 12:21:00</t>
        </is>
      </c>
      <c r="C3365" t="inlineStr">
        <is>
          <t>Referral</t>
        </is>
      </c>
      <c r="D3365" t="inlineStr">
        <is>
          <t>Study Abroad Prep</t>
        </is>
      </c>
      <c r="E3365" t="inlineStr">
        <is>
          <t>West Region</t>
        </is>
      </c>
      <c r="F3365" t="inlineStr">
        <is>
          <t>Rep_13</t>
        </is>
      </c>
      <c r="G3365" t="n">
        <v>0.18</v>
      </c>
      <c r="H3365" t="inlineStr">
        <is>
          <t>Contacted</t>
        </is>
      </c>
      <c r="I3365" t="inlineStr">
        <is>
          <t>Open</t>
        </is>
      </c>
      <c r="M3365">
        <f>VLOOKUP(H3365,'Stage Order'!$A$2:$B$8,2,FALSE)</f>
        <v/>
      </c>
      <c r="N3365">
        <f>IF(G3365&lt;=1,"1. Under 1 hour",IF(G3365&lt;=24,"2. 1-24 hours",IF(G3365&lt;=72,"3. 1-3 days","4. Over 3 days")))</f>
        <v/>
      </c>
      <c r="O3365">
        <f>TEXT(B3365,"YYYY-MM")</f>
        <v/>
      </c>
    </row>
    <row r="3366">
      <c r="A3366" t="inlineStr">
        <is>
          <t>LD-303364</t>
        </is>
      </c>
      <c r="B3366" t="inlineStr">
        <is>
          <t>2026-03-20 12:38:00</t>
        </is>
      </c>
      <c r="C3366" t="inlineStr">
        <is>
          <t>Paid Search</t>
        </is>
      </c>
      <c r="D3366" t="inlineStr">
        <is>
          <t>Competitive Exam Prep</t>
        </is>
      </c>
      <c r="E3366" t="inlineStr">
        <is>
          <t>North Region</t>
        </is>
      </c>
      <c r="F3366" t="inlineStr">
        <is>
          <t>Rep_11</t>
        </is>
      </c>
      <c r="G3366" t="n">
        <v>8.94</v>
      </c>
      <c r="H3366" t="inlineStr">
        <is>
          <t>Proposal Sent</t>
        </is>
      </c>
      <c r="I3366" t="inlineStr">
        <is>
          <t>Lost</t>
        </is>
      </c>
      <c r="J3366" t="inlineStr">
        <is>
          <t>No Response / Ghosted</t>
        </is>
      </c>
      <c r="K3366" t="n">
        <v>893.39</v>
      </c>
      <c r="L3366" t="inlineStr">
        <is>
          <t>2026-04-23 04:01:46.891444</t>
        </is>
      </c>
      <c r="M3366">
        <f>VLOOKUP(H3366,'Stage Order'!$A$2:$B$8,2,FALSE)</f>
        <v/>
      </c>
      <c r="N3366">
        <f>IF(G3366&lt;=1,"1. Under 1 hour",IF(G3366&lt;=24,"2. 1-24 hours",IF(G3366&lt;=72,"3. 1-3 days","4. Over 3 days")))</f>
        <v/>
      </c>
      <c r="O3366">
        <f>TEXT(B3366,"YYYY-MM")</f>
        <v/>
      </c>
    </row>
    <row r="3367">
      <c r="A3367" t="inlineStr">
        <is>
          <t>LD-303365</t>
        </is>
      </c>
      <c r="B3367" t="inlineStr">
        <is>
          <t>2026-02-09 13:38:00</t>
        </is>
      </c>
      <c r="C3367" t="inlineStr">
        <is>
          <t>Referral</t>
        </is>
      </c>
      <c r="D3367" t="inlineStr">
        <is>
          <t>Language Learning</t>
        </is>
      </c>
      <c r="E3367" t="inlineStr">
        <is>
          <t>South Region</t>
        </is>
      </c>
      <c r="F3367" t="inlineStr">
        <is>
          <t>Rep_12</t>
        </is>
      </c>
      <c r="G3367" t="n">
        <v>2.35</v>
      </c>
      <c r="H3367" t="inlineStr">
        <is>
          <t>Closed</t>
        </is>
      </c>
      <c r="I3367" t="inlineStr">
        <is>
          <t>Won</t>
        </is>
      </c>
      <c r="K3367" t="n">
        <v>347.28</v>
      </c>
      <c r="L3367" t="inlineStr">
        <is>
          <t>2026-03-23 23:27:35.328744</t>
        </is>
      </c>
      <c r="M3367">
        <f>VLOOKUP(H3367,'Stage Order'!$A$2:$B$8,2,FALSE)</f>
        <v/>
      </c>
      <c r="N3367">
        <f>IF(G3367&lt;=1,"1. Under 1 hour",IF(G3367&lt;=24,"2. 1-24 hours",IF(G3367&lt;=72,"3. 1-3 days","4. Over 3 days")))</f>
        <v/>
      </c>
      <c r="O3367">
        <f>TEXT(B3367,"YYYY-MM")</f>
        <v/>
      </c>
    </row>
    <row r="3368">
      <c r="A3368" t="inlineStr">
        <is>
          <t>LD-303366</t>
        </is>
      </c>
      <c r="B3368" t="inlineStr">
        <is>
          <t>2025-11-28 07:59:00</t>
        </is>
      </c>
      <c r="C3368" t="inlineStr">
        <is>
          <t>Referral</t>
        </is>
      </c>
      <c r="D3368" t="inlineStr">
        <is>
          <t>K-12 Math</t>
        </is>
      </c>
      <c r="E3368" t="inlineStr">
        <is>
          <t>North Region</t>
        </is>
      </c>
      <c r="F3368" t="inlineStr">
        <is>
          <t>Rep_06</t>
        </is>
      </c>
      <c r="G3368" t="n">
        <v>1.72</v>
      </c>
      <c r="H3368" t="inlineStr">
        <is>
          <t>Contacted</t>
        </is>
      </c>
      <c r="I3368" t="inlineStr">
        <is>
          <t>Open</t>
        </is>
      </c>
      <c r="M3368">
        <f>VLOOKUP(H3368,'Stage Order'!$A$2:$B$8,2,FALSE)</f>
        <v/>
      </c>
      <c r="N3368">
        <f>IF(G3368&lt;=1,"1. Under 1 hour",IF(G3368&lt;=24,"2. 1-24 hours",IF(G3368&lt;=72,"3. 1-3 days","4. Over 3 days")))</f>
        <v/>
      </c>
      <c r="O3368">
        <f>TEXT(B3368,"YYYY-MM")</f>
        <v/>
      </c>
    </row>
    <row r="3369">
      <c r="A3369" t="inlineStr">
        <is>
          <t>LD-303367</t>
        </is>
      </c>
      <c r="B3369" t="inlineStr">
        <is>
          <t>2025-09-24 10:28:00</t>
        </is>
      </c>
      <c r="C3369" t="inlineStr">
        <is>
          <t>Organic Search</t>
        </is>
      </c>
      <c r="D3369" t="inlineStr">
        <is>
          <t>Coding for Kids</t>
        </is>
      </c>
      <c r="E3369" t="inlineStr">
        <is>
          <t>East Region</t>
        </is>
      </c>
      <c r="F3369" t="inlineStr">
        <is>
          <t>Rep_09</t>
        </is>
      </c>
      <c r="G3369" t="n">
        <v>4.72</v>
      </c>
      <c r="H3369" t="inlineStr">
        <is>
          <t>Contacted</t>
        </is>
      </c>
      <c r="I3369" t="inlineStr">
        <is>
          <t>Open</t>
        </is>
      </c>
      <c r="M3369">
        <f>VLOOKUP(H3369,'Stage Order'!$A$2:$B$8,2,FALSE)</f>
        <v/>
      </c>
      <c r="N3369">
        <f>IF(G3369&lt;=1,"1. Under 1 hour",IF(G3369&lt;=24,"2. 1-24 hours",IF(G3369&lt;=72,"3. 1-3 days","4. Over 3 days")))</f>
        <v/>
      </c>
      <c r="O3369">
        <f>TEXT(B3369,"YYYY-MM")</f>
        <v/>
      </c>
    </row>
    <row r="3370">
      <c r="A3370" t="inlineStr">
        <is>
          <t>LD-303368</t>
        </is>
      </c>
      <c r="B3370" t="inlineStr">
        <is>
          <t>2025-11-04 16:08:00</t>
        </is>
      </c>
      <c r="C3370" t="inlineStr">
        <is>
          <t>Paid Search</t>
        </is>
      </c>
      <c r="D3370" t="inlineStr">
        <is>
          <t>Coding for Kids</t>
        </is>
      </c>
      <c r="E3370" t="inlineStr">
        <is>
          <t>North Region</t>
        </is>
      </c>
      <c r="F3370" t="inlineStr">
        <is>
          <t>Rep_01</t>
        </is>
      </c>
      <c r="G3370" t="n">
        <v>5.3</v>
      </c>
      <c r="H3370" t="inlineStr">
        <is>
          <t>Contacted</t>
        </is>
      </c>
      <c r="I3370" t="inlineStr">
        <is>
          <t>Open</t>
        </is>
      </c>
      <c r="M3370">
        <f>VLOOKUP(H3370,'Stage Order'!$A$2:$B$8,2,FALSE)</f>
        <v/>
      </c>
      <c r="N3370">
        <f>IF(G3370&lt;=1,"1. Under 1 hour",IF(G3370&lt;=24,"2. 1-24 hours",IF(G3370&lt;=72,"3. 1-3 days","4. Over 3 days")))</f>
        <v/>
      </c>
      <c r="O3370">
        <f>TEXT(B3370,"YYYY-MM")</f>
        <v/>
      </c>
    </row>
    <row r="3371">
      <c r="A3371" t="inlineStr">
        <is>
          <t>LD-303369</t>
        </is>
      </c>
      <c r="B3371" t="inlineStr">
        <is>
          <t>2025-10-23 13:10:00</t>
        </is>
      </c>
      <c r="C3371" t="inlineStr">
        <is>
          <t>Paid Search</t>
        </is>
      </c>
      <c r="D3371" t="inlineStr">
        <is>
          <t>K-12 Math</t>
        </is>
      </c>
      <c r="E3371" t="inlineStr">
        <is>
          <t>North Region</t>
        </is>
      </c>
      <c r="F3371" t="inlineStr">
        <is>
          <t>Rep_06</t>
        </is>
      </c>
      <c r="G3371" t="n">
        <v>2.06</v>
      </c>
      <c r="H3371" t="inlineStr">
        <is>
          <t>Lead</t>
        </is>
      </c>
      <c r="I3371" t="inlineStr">
        <is>
          <t>Open</t>
        </is>
      </c>
      <c r="M3371">
        <f>VLOOKUP(H3371,'Stage Order'!$A$2:$B$8,2,FALSE)</f>
        <v/>
      </c>
      <c r="N3371">
        <f>IF(G3371&lt;=1,"1. Under 1 hour",IF(G3371&lt;=24,"2. 1-24 hours",IF(G3371&lt;=72,"3. 1-3 days","4. Over 3 days")))</f>
        <v/>
      </c>
      <c r="O3371">
        <f>TEXT(B3371,"YYYY-MM")</f>
        <v/>
      </c>
    </row>
    <row r="3372">
      <c r="A3372" t="inlineStr">
        <is>
          <t>LD-303370</t>
        </is>
      </c>
      <c r="B3372" t="inlineStr">
        <is>
          <t>2025-10-03 19:18:00</t>
        </is>
      </c>
      <c r="C3372" t="inlineStr">
        <is>
          <t>Paid Search</t>
        </is>
      </c>
      <c r="D3372" t="inlineStr">
        <is>
          <t>Coding for Kids</t>
        </is>
      </c>
      <c r="E3372" t="inlineStr">
        <is>
          <t>East Region</t>
        </is>
      </c>
      <c r="F3372" t="inlineStr">
        <is>
          <t>Rep_09</t>
        </is>
      </c>
      <c r="G3372" t="n">
        <v>1.17</v>
      </c>
      <c r="H3372" t="inlineStr">
        <is>
          <t>Contacted</t>
        </is>
      </c>
      <c r="I3372" t="inlineStr">
        <is>
          <t>Open</t>
        </is>
      </c>
      <c r="M3372">
        <f>VLOOKUP(H3372,'Stage Order'!$A$2:$B$8,2,FALSE)</f>
        <v/>
      </c>
      <c r="N3372">
        <f>IF(G3372&lt;=1,"1. Under 1 hour",IF(G3372&lt;=24,"2. 1-24 hours",IF(G3372&lt;=72,"3. 1-3 days","4. Over 3 days")))</f>
        <v/>
      </c>
      <c r="O3372">
        <f>TEXT(B3372,"YYYY-MM")</f>
        <v/>
      </c>
    </row>
    <row r="3373">
      <c r="A3373" t="inlineStr">
        <is>
          <t>LD-303371</t>
        </is>
      </c>
      <c r="B3373" t="inlineStr">
        <is>
          <t>2025-08-08 19:36:00</t>
        </is>
      </c>
      <c r="C3373" t="inlineStr">
        <is>
          <t>Referral</t>
        </is>
      </c>
      <c r="D3373" t="inlineStr">
        <is>
          <t>K-12 Math</t>
        </is>
      </c>
      <c r="E3373" t="inlineStr">
        <is>
          <t>East Region</t>
        </is>
      </c>
      <c r="F3373" t="inlineStr">
        <is>
          <t>Rep_14</t>
        </is>
      </c>
      <c r="G3373" t="n">
        <v>14.05</v>
      </c>
      <c r="H3373" t="inlineStr">
        <is>
          <t>Contacted</t>
        </is>
      </c>
      <c r="I3373" t="inlineStr">
        <is>
          <t>Open</t>
        </is>
      </c>
      <c r="M3373">
        <f>VLOOKUP(H3373,'Stage Order'!$A$2:$B$8,2,FALSE)</f>
        <v/>
      </c>
      <c r="N3373">
        <f>IF(G3373&lt;=1,"1. Under 1 hour",IF(G3373&lt;=24,"2. 1-24 hours",IF(G3373&lt;=72,"3. 1-3 days","4. Over 3 days")))</f>
        <v/>
      </c>
      <c r="O3373">
        <f>TEXT(B3373,"YYYY-MM")</f>
        <v/>
      </c>
    </row>
    <row r="3374">
      <c r="A3374" t="inlineStr">
        <is>
          <t>LD-303372</t>
        </is>
      </c>
      <c r="B3374" t="inlineStr">
        <is>
          <t>2025-11-05 15:28:00</t>
        </is>
      </c>
      <c r="C3374" t="inlineStr">
        <is>
          <t>Referral</t>
        </is>
      </c>
      <c r="D3374" t="inlineStr">
        <is>
          <t>K-12 Math</t>
        </is>
      </c>
      <c r="E3374" t="inlineStr">
        <is>
          <t>International</t>
        </is>
      </c>
      <c r="F3374" t="inlineStr">
        <is>
          <t>Rep_05</t>
        </is>
      </c>
      <c r="G3374" t="n">
        <v>1.59</v>
      </c>
      <c r="H3374" t="inlineStr">
        <is>
          <t>Contacted</t>
        </is>
      </c>
      <c r="I3374" t="inlineStr">
        <is>
          <t>Open</t>
        </is>
      </c>
      <c r="M3374">
        <f>VLOOKUP(H3374,'Stage Order'!$A$2:$B$8,2,FALSE)</f>
        <v/>
      </c>
      <c r="N3374">
        <f>IF(G3374&lt;=1,"1. Under 1 hour",IF(G3374&lt;=24,"2. 1-24 hours",IF(G3374&lt;=72,"3. 1-3 days","4. Over 3 days")))</f>
        <v/>
      </c>
      <c r="O3374">
        <f>TEXT(B3374,"YYYY-MM")</f>
        <v/>
      </c>
    </row>
    <row r="3375">
      <c r="A3375" t="inlineStr">
        <is>
          <t>LD-303373</t>
        </is>
      </c>
      <c r="B3375" t="inlineStr">
        <is>
          <t>2025-11-19 19:29:00</t>
        </is>
      </c>
      <c r="C3375" t="inlineStr">
        <is>
          <t>Paid Search</t>
        </is>
      </c>
      <c r="D3375" t="inlineStr">
        <is>
          <t>Language Learning</t>
        </is>
      </c>
      <c r="E3375" t="inlineStr">
        <is>
          <t>North Region</t>
        </is>
      </c>
      <c r="F3375" t="inlineStr">
        <is>
          <t>Rep_06</t>
        </is>
      </c>
      <c r="G3375" t="n">
        <v>0.93</v>
      </c>
      <c r="H3375" t="inlineStr">
        <is>
          <t>Lead</t>
        </is>
      </c>
      <c r="I3375" t="inlineStr">
        <is>
          <t>Open</t>
        </is>
      </c>
      <c r="M3375">
        <f>VLOOKUP(H3375,'Stage Order'!$A$2:$B$8,2,FALSE)</f>
        <v/>
      </c>
      <c r="N3375">
        <f>IF(G3375&lt;=1,"1. Under 1 hour",IF(G3375&lt;=24,"2. 1-24 hours",IF(G3375&lt;=72,"3. 1-3 days","4. Over 3 days")))</f>
        <v/>
      </c>
      <c r="O3375">
        <f>TEXT(B3375,"YYYY-MM")</f>
        <v/>
      </c>
    </row>
    <row r="3376">
      <c r="A3376" t="inlineStr">
        <is>
          <t>LD-303374</t>
        </is>
      </c>
      <c r="B3376" t="inlineStr">
        <is>
          <t>2025-03-05 14:38:00</t>
        </is>
      </c>
      <c r="C3376" t="inlineStr">
        <is>
          <t>Webinar</t>
        </is>
      </c>
      <c r="D3376" t="inlineStr">
        <is>
          <t>K-12 Math</t>
        </is>
      </c>
      <c r="E3376" t="inlineStr">
        <is>
          <t>West Region</t>
        </is>
      </c>
      <c r="F3376" t="inlineStr">
        <is>
          <t>Rep_13</t>
        </is>
      </c>
      <c r="G3376" t="n">
        <v>1.52</v>
      </c>
      <c r="H3376" t="inlineStr">
        <is>
          <t>Proposal Sent</t>
        </is>
      </c>
      <c r="I3376" t="inlineStr">
        <is>
          <t>Lost</t>
        </is>
      </c>
      <c r="J3376" t="inlineStr">
        <is>
          <t>No Response / Ghosted</t>
        </is>
      </c>
      <c r="K3376" t="n">
        <v>471.63</v>
      </c>
      <c r="L3376" t="inlineStr">
        <is>
          <t>2025-03-31 00:20:27.818015</t>
        </is>
      </c>
      <c r="M3376">
        <f>VLOOKUP(H3376,'Stage Order'!$A$2:$B$8,2,FALSE)</f>
        <v/>
      </c>
      <c r="N3376">
        <f>IF(G3376&lt;=1,"1. Under 1 hour",IF(G3376&lt;=24,"2. 1-24 hours",IF(G3376&lt;=72,"3. 1-3 days","4. Over 3 days")))</f>
        <v/>
      </c>
      <c r="O3376">
        <f>TEXT(B3376,"YYYY-MM")</f>
        <v/>
      </c>
    </row>
    <row r="3377">
      <c r="A3377" t="inlineStr">
        <is>
          <t>LD-303375</t>
        </is>
      </c>
      <c r="B3377" t="inlineStr">
        <is>
          <t>2026-06-24 16:20:00</t>
        </is>
      </c>
      <c r="C3377" t="inlineStr">
        <is>
          <t>Cold Outreach</t>
        </is>
      </c>
      <c r="D3377" t="inlineStr">
        <is>
          <t>Coding for Kids</t>
        </is>
      </c>
      <c r="E3377" t="inlineStr">
        <is>
          <t>International</t>
        </is>
      </c>
      <c r="F3377" t="inlineStr">
        <is>
          <t>Rep_15</t>
        </is>
      </c>
      <c r="G3377" t="n">
        <v>0.43</v>
      </c>
      <c r="H3377" t="inlineStr">
        <is>
          <t>Demo Scheduled</t>
        </is>
      </c>
      <c r="I3377" t="inlineStr">
        <is>
          <t>Open</t>
        </is>
      </c>
      <c r="M3377">
        <f>VLOOKUP(H3377,'Stage Order'!$A$2:$B$8,2,FALSE)</f>
        <v/>
      </c>
      <c r="N3377">
        <f>IF(G3377&lt;=1,"1. Under 1 hour",IF(G3377&lt;=24,"2. 1-24 hours",IF(G3377&lt;=72,"3. 1-3 days","4. Over 3 days")))</f>
        <v/>
      </c>
      <c r="O3377">
        <f>TEXT(B3377,"YYYY-MM")</f>
        <v/>
      </c>
    </row>
    <row r="3378">
      <c r="A3378" t="inlineStr">
        <is>
          <t>LD-303376</t>
        </is>
      </c>
      <c r="B3378" t="inlineStr">
        <is>
          <t>2026-03-06 10:40:00</t>
        </is>
      </c>
      <c r="C3378" t="inlineStr">
        <is>
          <t>Social Media</t>
        </is>
      </c>
      <c r="D3378" t="inlineStr">
        <is>
          <t>Study Abroad Prep</t>
        </is>
      </c>
      <c r="E3378" t="inlineStr">
        <is>
          <t>West Region</t>
        </is>
      </c>
      <c r="F3378" t="inlineStr">
        <is>
          <t>Rep_08</t>
        </is>
      </c>
      <c r="G3378" t="n">
        <v>1.98</v>
      </c>
      <c r="H3378" t="inlineStr">
        <is>
          <t>Demo Completed</t>
        </is>
      </c>
      <c r="I3378" t="inlineStr">
        <is>
          <t>Lost</t>
        </is>
      </c>
      <c r="J3378" t="inlineStr">
        <is>
          <t>Bad Timing</t>
        </is>
      </c>
      <c r="K3378" t="n">
        <v>1312.02</v>
      </c>
      <c r="L3378" t="inlineStr">
        <is>
          <t>2026-04-06 16:33:23.239434</t>
        </is>
      </c>
      <c r="M3378">
        <f>VLOOKUP(H3378,'Stage Order'!$A$2:$B$8,2,FALSE)</f>
        <v/>
      </c>
      <c r="N3378">
        <f>IF(G3378&lt;=1,"1. Under 1 hour",IF(G3378&lt;=24,"2. 1-24 hours",IF(G3378&lt;=72,"3. 1-3 days","4. Over 3 days")))</f>
        <v/>
      </c>
      <c r="O3378">
        <f>TEXT(B3378,"YYYY-MM")</f>
        <v/>
      </c>
    </row>
    <row r="3379">
      <c r="A3379" t="inlineStr">
        <is>
          <t>LD-303377</t>
        </is>
      </c>
      <c r="B3379" t="inlineStr">
        <is>
          <t>2025-05-18 15:18:00</t>
        </is>
      </c>
      <c r="C3379" t="inlineStr">
        <is>
          <t>Paid Search</t>
        </is>
      </c>
      <c r="D3379" t="inlineStr">
        <is>
          <t>Study Abroad Prep</t>
        </is>
      </c>
      <c r="E3379" t="inlineStr">
        <is>
          <t>South Region</t>
        </is>
      </c>
      <c r="F3379" t="inlineStr">
        <is>
          <t>Rep_02</t>
        </is>
      </c>
      <c r="G3379" t="n">
        <v>0.67</v>
      </c>
      <c r="H3379" t="inlineStr">
        <is>
          <t>Proposal Sent</t>
        </is>
      </c>
      <c r="I3379" t="inlineStr">
        <is>
          <t>Lost</t>
        </is>
      </c>
      <c r="J3379" t="inlineStr">
        <is>
          <t>Bad Timing</t>
        </is>
      </c>
      <c r="K3379" t="n">
        <v>1701.88</v>
      </c>
      <c r="L3379" t="inlineStr">
        <is>
          <t>2025-07-05 16:27:38.597119</t>
        </is>
      </c>
      <c r="M3379">
        <f>VLOOKUP(H3379,'Stage Order'!$A$2:$B$8,2,FALSE)</f>
        <v/>
      </c>
      <c r="N3379">
        <f>IF(G3379&lt;=1,"1. Under 1 hour",IF(G3379&lt;=24,"2. 1-24 hours",IF(G3379&lt;=72,"3. 1-3 days","4. Over 3 days")))</f>
        <v/>
      </c>
      <c r="O3379">
        <f>TEXT(B3379,"YYYY-MM")</f>
        <v/>
      </c>
    </row>
    <row r="3380">
      <c r="A3380" t="inlineStr">
        <is>
          <t>LD-303378</t>
        </is>
      </c>
      <c r="B3380" t="inlineStr">
        <is>
          <t>2025-04-11 15:33:00</t>
        </is>
      </c>
      <c r="C3380" t="inlineStr">
        <is>
          <t>Social Media</t>
        </is>
      </c>
      <c r="D3380" t="inlineStr">
        <is>
          <t>K-12 Math</t>
        </is>
      </c>
      <c r="E3380" t="inlineStr">
        <is>
          <t>South Region</t>
        </is>
      </c>
      <c r="F3380" t="inlineStr">
        <is>
          <t>Rep_02</t>
        </is>
      </c>
      <c r="G3380" t="n">
        <v>1.29</v>
      </c>
      <c r="H3380" t="inlineStr">
        <is>
          <t>Contacted</t>
        </is>
      </c>
      <c r="I3380" t="inlineStr">
        <is>
          <t>Open</t>
        </is>
      </c>
      <c r="M3380">
        <f>VLOOKUP(H3380,'Stage Order'!$A$2:$B$8,2,FALSE)</f>
        <v/>
      </c>
      <c r="N3380">
        <f>IF(G3380&lt;=1,"1. Under 1 hour",IF(G3380&lt;=24,"2. 1-24 hours",IF(G3380&lt;=72,"3. 1-3 days","4. Over 3 days")))</f>
        <v/>
      </c>
      <c r="O3380">
        <f>TEXT(B3380,"YYYY-MM")</f>
        <v/>
      </c>
    </row>
    <row r="3381">
      <c r="A3381" t="inlineStr">
        <is>
          <t>LD-303379</t>
        </is>
      </c>
      <c r="B3381" t="inlineStr">
        <is>
          <t>2026-06-12 16:11:00</t>
        </is>
      </c>
      <c r="C3381" t="inlineStr">
        <is>
          <t>Cold Outreach</t>
        </is>
      </c>
      <c r="D3381" t="inlineStr">
        <is>
          <t>Coding for Kids</t>
        </is>
      </c>
      <c r="E3381" t="inlineStr">
        <is>
          <t>East Region</t>
        </is>
      </c>
      <c r="F3381" t="inlineStr">
        <is>
          <t>Rep_09</t>
        </is>
      </c>
      <c r="G3381" t="n">
        <v>6.45</v>
      </c>
      <c r="H3381" t="inlineStr">
        <is>
          <t>Lead</t>
        </is>
      </c>
      <c r="I3381" t="inlineStr">
        <is>
          <t>Open</t>
        </is>
      </c>
      <c r="M3381">
        <f>VLOOKUP(H3381,'Stage Order'!$A$2:$B$8,2,FALSE)</f>
        <v/>
      </c>
      <c r="N3381">
        <f>IF(G3381&lt;=1,"1. Under 1 hour",IF(G3381&lt;=24,"2. 1-24 hours",IF(G3381&lt;=72,"3. 1-3 days","4. Over 3 days")))</f>
        <v/>
      </c>
      <c r="O3381">
        <f>TEXT(B3381,"YYYY-MM")</f>
        <v/>
      </c>
    </row>
    <row r="3382">
      <c r="A3382" t="inlineStr">
        <is>
          <t>LD-303380</t>
        </is>
      </c>
      <c r="B3382" t="inlineStr">
        <is>
          <t>2025-02-24 07:54:00</t>
        </is>
      </c>
      <c r="C3382" t="inlineStr">
        <is>
          <t>Cold Outreach</t>
        </is>
      </c>
      <c r="D3382" t="inlineStr">
        <is>
          <t>Competitive Exam Prep</t>
        </is>
      </c>
      <c r="E3382" t="inlineStr">
        <is>
          <t>North Region</t>
        </is>
      </c>
      <c r="F3382" t="inlineStr">
        <is>
          <t>Rep_11</t>
        </is>
      </c>
      <c r="G3382" t="n">
        <v>2.12</v>
      </c>
      <c r="H3382" t="inlineStr">
        <is>
          <t>Contacted</t>
        </is>
      </c>
      <c r="I3382" t="inlineStr">
        <is>
          <t>Open</t>
        </is>
      </c>
      <c r="M3382">
        <f>VLOOKUP(H3382,'Stage Order'!$A$2:$B$8,2,FALSE)</f>
        <v/>
      </c>
      <c r="N3382">
        <f>IF(G3382&lt;=1,"1. Under 1 hour",IF(G3382&lt;=24,"2. 1-24 hours",IF(G3382&lt;=72,"3. 1-3 days","4. Over 3 days")))</f>
        <v/>
      </c>
      <c r="O3382">
        <f>TEXT(B3382,"YYYY-MM")</f>
        <v/>
      </c>
    </row>
    <row r="3383">
      <c r="A3383" t="inlineStr">
        <is>
          <t>LD-303381</t>
        </is>
      </c>
      <c r="B3383" t="inlineStr">
        <is>
          <t>2025-10-12 11:15:00</t>
        </is>
      </c>
      <c r="C3383" t="inlineStr">
        <is>
          <t>Paid Search</t>
        </is>
      </c>
      <c r="D3383" t="inlineStr">
        <is>
          <t>Coding for Kids</t>
        </is>
      </c>
      <c r="E3383" t="inlineStr">
        <is>
          <t>West Region</t>
        </is>
      </c>
      <c r="F3383" t="inlineStr">
        <is>
          <t>Rep_08</t>
        </is>
      </c>
      <c r="G3383" t="n">
        <v>12.61</v>
      </c>
      <c r="H3383" t="inlineStr">
        <is>
          <t>Contacted</t>
        </is>
      </c>
      <c r="I3383" t="inlineStr">
        <is>
          <t>Open</t>
        </is>
      </c>
      <c r="M3383">
        <f>VLOOKUP(H3383,'Stage Order'!$A$2:$B$8,2,FALSE)</f>
        <v/>
      </c>
      <c r="N3383">
        <f>IF(G3383&lt;=1,"1. Under 1 hour",IF(G3383&lt;=24,"2. 1-24 hours",IF(G3383&lt;=72,"3. 1-3 days","4. Over 3 days")))</f>
        <v/>
      </c>
      <c r="O3383">
        <f>TEXT(B3383,"YYYY-MM")</f>
        <v/>
      </c>
    </row>
    <row r="3384">
      <c r="A3384" t="inlineStr">
        <is>
          <t>LD-303382</t>
        </is>
      </c>
      <c r="B3384" t="inlineStr">
        <is>
          <t>2025-07-11 10:17:00</t>
        </is>
      </c>
      <c r="C3384" t="inlineStr">
        <is>
          <t>Paid Search</t>
        </is>
      </c>
      <c r="D3384" t="inlineStr">
        <is>
          <t>Language Learning</t>
        </is>
      </c>
      <c r="E3384" t="inlineStr">
        <is>
          <t>North Region</t>
        </is>
      </c>
      <c r="F3384" t="inlineStr">
        <is>
          <t>Rep_01</t>
        </is>
      </c>
      <c r="G3384" t="n">
        <v>0.55</v>
      </c>
      <c r="H3384" t="inlineStr">
        <is>
          <t>Contacted</t>
        </is>
      </c>
      <c r="I3384" t="inlineStr">
        <is>
          <t>Open</t>
        </is>
      </c>
      <c r="M3384">
        <f>VLOOKUP(H3384,'Stage Order'!$A$2:$B$8,2,FALSE)</f>
        <v/>
      </c>
      <c r="N3384">
        <f>IF(G3384&lt;=1,"1. Under 1 hour",IF(G3384&lt;=24,"2. 1-24 hours",IF(G3384&lt;=72,"3. 1-3 days","4. Over 3 days")))</f>
        <v/>
      </c>
      <c r="O3384">
        <f>TEXT(B3384,"YYYY-MM")</f>
        <v/>
      </c>
    </row>
    <row r="3385">
      <c r="A3385" t="inlineStr">
        <is>
          <t>LD-303383</t>
        </is>
      </c>
      <c r="B3385" t="inlineStr">
        <is>
          <t>2026-02-13 18:39:00</t>
        </is>
      </c>
      <c r="C3385" t="inlineStr">
        <is>
          <t>Paid Search</t>
        </is>
      </c>
      <c r="D3385" t="inlineStr">
        <is>
          <t>Study Abroad Prep</t>
        </is>
      </c>
      <c r="E3385" t="inlineStr">
        <is>
          <t>East Region</t>
        </is>
      </c>
      <c r="F3385" t="inlineStr">
        <is>
          <t>Rep_09</t>
        </is>
      </c>
      <c r="G3385" t="n">
        <v>0.58</v>
      </c>
      <c r="H3385" t="inlineStr">
        <is>
          <t>Proposal Sent</t>
        </is>
      </c>
      <c r="I3385" t="inlineStr">
        <is>
          <t>Lost</t>
        </is>
      </c>
      <c r="J3385" t="inlineStr">
        <is>
          <t>Price Objection</t>
        </is>
      </c>
      <c r="K3385" t="n">
        <v>1235.78</v>
      </c>
      <c r="L3385" t="inlineStr">
        <is>
          <t>2026-03-12 18:50:57.179641</t>
        </is>
      </c>
      <c r="M3385">
        <f>VLOOKUP(H3385,'Stage Order'!$A$2:$B$8,2,FALSE)</f>
        <v/>
      </c>
      <c r="N3385">
        <f>IF(G3385&lt;=1,"1. Under 1 hour",IF(G3385&lt;=24,"2. 1-24 hours",IF(G3385&lt;=72,"3. 1-3 days","4. Over 3 days")))</f>
        <v/>
      </c>
      <c r="O3385">
        <f>TEXT(B3385,"YYYY-MM")</f>
        <v/>
      </c>
    </row>
    <row r="3386">
      <c r="A3386" t="inlineStr">
        <is>
          <t>LD-303384</t>
        </is>
      </c>
      <c r="B3386" t="inlineStr">
        <is>
          <t>2025-01-17 08:37:00</t>
        </is>
      </c>
      <c r="C3386" t="inlineStr">
        <is>
          <t>Social Media</t>
        </is>
      </c>
      <c r="D3386" t="inlineStr">
        <is>
          <t>K-12 Math</t>
        </is>
      </c>
      <c r="E3386" t="inlineStr">
        <is>
          <t>International</t>
        </is>
      </c>
      <c r="F3386" t="inlineStr">
        <is>
          <t>Rep_10</t>
        </is>
      </c>
      <c r="G3386" t="n">
        <v>1.39</v>
      </c>
      <c r="H3386" t="inlineStr">
        <is>
          <t>Lead</t>
        </is>
      </c>
      <c r="I3386" t="inlineStr">
        <is>
          <t>Open</t>
        </is>
      </c>
      <c r="M3386">
        <f>VLOOKUP(H3386,'Stage Order'!$A$2:$B$8,2,FALSE)</f>
        <v/>
      </c>
      <c r="N3386">
        <f>IF(G3386&lt;=1,"1. Under 1 hour",IF(G3386&lt;=24,"2. 1-24 hours",IF(G3386&lt;=72,"3. 1-3 days","4. Over 3 days")))</f>
        <v/>
      </c>
      <c r="O3386">
        <f>TEXT(B3386,"YYYY-MM")</f>
        <v/>
      </c>
    </row>
    <row r="3387">
      <c r="A3387" t="inlineStr">
        <is>
          <t>LD-303385</t>
        </is>
      </c>
      <c r="B3387" t="inlineStr">
        <is>
          <t>2026-05-06 15:26:00</t>
        </is>
      </c>
      <c r="C3387" t="inlineStr">
        <is>
          <t>Paid Search</t>
        </is>
      </c>
      <c r="D3387" t="inlineStr">
        <is>
          <t>Competitive Exam Prep</t>
        </is>
      </c>
      <c r="E3387" t="inlineStr">
        <is>
          <t>South Region</t>
        </is>
      </c>
      <c r="F3387" t="inlineStr">
        <is>
          <t>Rep_07</t>
        </is>
      </c>
      <c r="G3387" t="n">
        <v>4.55</v>
      </c>
      <c r="H3387" t="inlineStr">
        <is>
          <t>Contacted</t>
        </is>
      </c>
      <c r="I3387" t="inlineStr">
        <is>
          <t>Open</t>
        </is>
      </c>
      <c r="M3387">
        <f>VLOOKUP(H3387,'Stage Order'!$A$2:$B$8,2,FALSE)</f>
        <v/>
      </c>
      <c r="N3387">
        <f>IF(G3387&lt;=1,"1. Under 1 hour",IF(G3387&lt;=24,"2. 1-24 hours",IF(G3387&lt;=72,"3. 1-3 days","4. Over 3 days")))</f>
        <v/>
      </c>
      <c r="O3387">
        <f>TEXT(B3387,"YYYY-MM")</f>
        <v/>
      </c>
    </row>
    <row r="3388">
      <c r="A3388" t="inlineStr">
        <is>
          <t>LD-303386</t>
        </is>
      </c>
      <c r="B3388" t="inlineStr">
        <is>
          <t>2025-03-25 08:27:00</t>
        </is>
      </c>
      <c r="C3388" t="inlineStr">
        <is>
          <t>Organic Search</t>
        </is>
      </c>
      <c r="D3388" t="inlineStr">
        <is>
          <t>K-12 Math</t>
        </is>
      </c>
      <c r="E3388" t="inlineStr">
        <is>
          <t>North Region</t>
        </is>
      </c>
      <c r="F3388" t="inlineStr">
        <is>
          <t>Rep_01</t>
        </is>
      </c>
      <c r="G3388" t="n">
        <v>5.96</v>
      </c>
      <c r="H3388" t="inlineStr">
        <is>
          <t>Closed</t>
        </is>
      </c>
      <c r="I3388" t="inlineStr">
        <is>
          <t>Won</t>
        </is>
      </c>
      <c r="K3388" t="n">
        <v>477.93</v>
      </c>
      <c r="L3388" t="inlineStr">
        <is>
          <t>2025-05-06 06:43:40.120605</t>
        </is>
      </c>
      <c r="M3388">
        <f>VLOOKUP(H3388,'Stage Order'!$A$2:$B$8,2,FALSE)</f>
        <v/>
      </c>
      <c r="N3388">
        <f>IF(G3388&lt;=1,"1. Under 1 hour",IF(G3388&lt;=24,"2. 1-24 hours",IF(G3388&lt;=72,"3. 1-3 days","4. Over 3 days")))</f>
        <v/>
      </c>
      <c r="O3388">
        <f>TEXT(B3388,"YYYY-MM")</f>
        <v/>
      </c>
    </row>
    <row r="3389">
      <c r="A3389" t="inlineStr">
        <is>
          <t>LD-303387</t>
        </is>
      </c>
      <c r="B3389" t="inlineStr">
        <is>
          <t>2025-12-14 18:54:00</t>
        </is>
      </c>
      <c r="C3389" t="inlineStr">
        <is>
          <t>Organic Search</t>
        </is>
      </c>
      <c r="D3389" t="inlineStr">
        <is>
          <t>Competitive Exam Prep</t>
        </is>
      </c>
      <c r="E3389" t="inlineStr">
        <is>
          <t>North Region</t>
        </is>
      </c>
      <c r="F3389" t="inlineStr">
        <is>
          <t>Rep_11</t>
        </is>
      </c>
      <c r="G3389" t="n">
        <v>4.48</v>
      </c>
      <c r="H3389" t="inlineStr">
        <is>
          <t>Contacted</t>
        </is>
      </c>
      <c r="I3389" t="inlineStr">
        <is>
          <t>Open</t>
        </is>
      </c>
      <c r="M3389">
        <f>VLOOKUP(H3389,'Stage Order'!$A$2:$B$8,2,FALSE)</f>
        <v/>
      </c>
      <c r="N3389">
        <f>IF(G3389&lt;=1,"1. Under 1 hour",IF(G3389&lt;=24,"2. 1-24 hours",IF(G3389&lt;=72,"3. 1-3 days","4. Over 3 days")))</f>
        <v/>
      </c>
      <c r="O3389">
        <f>TEXT(B3389,"YYYY-MM")</f>
        <v/>
      </c>
    </row>
    <row r="3390">
      <c r="A3390" t="inlineStr">
        <is>
          <t>LD-303388</t>
        </is>
      </c>
      <c r="B3390" t="inlineStr">
        <is>
          <t>2026-04-29 07:37:00</t>
        </is>
      </c>
      <c r="C3390" t="inlineStr">
        <is>
          <t>Organic Search</t>
        </is>
      </c>
      <c r="D3390" t="inlineStr">
        <is>
          <t>Competitive Exam Prep</t>
        </is>
      </c>
      <c r="E3390" t="inlineStr">
        <is>
          <t>East Region</t>
        </is>
      </c>
      <c r="F3390" t="inlineStr">
        <is>
          <t>Rep_09</t>
        </is>
      </c>
      <c r="G3390" t="n">
        <v>3.69</v>
      </c>
      <c r="H3390" t="inlineStr">
        <is>
          <t>Closed</t>
        </is>
      </c>
      <c r="I3390" t="inlineStr">
        <is>
          <t>Won</t>
        </is>
      </c>
      <c r="K3390" t="n">
        <v>1027.34</v>
      </c>
      <c r="L3390" t="inlineStr">
        <is>
          <t>2026-06-10 03:54:46.050122</t>
        </is>
      </c>
      <c r="M3390">
        <f>VLOOKUP(H3390,'Stage Order'!$A$2:$B$8,2,FALSE)</f>
        <v/>
      </c>
      <c r="N3390">
        <f>IF(G3390&lt;=1,"1. Under 1 hour",IF(G3390&lt;=24,"2. 1-24 hours",IF(G3390&lt;=72,"3. 1-3 days","4. Over 3 days")))</f>
        <v/>
      </c>
      <c r="O3390">
        <f>TEXT(B3390,"YYYY-MM")</f>
        <v/>
      </c>
    </row>
    <row r="3391">
      <c r="A3391" t="inlineStr">
        <is>
          <t>LD-303389</t>
        </is>
      </c>
      <c r="B3391" t="inlineStr">
        <is>
          <t>2025-10-14 13:57:00</t>
        </is>
      </c>
      <c r="C3391" t="inlineStr">
        <is>
          <t>Paid Search</t>
        </is>
      </c>
      <c r="D3391" t="inlineStr">
        <is>
          <t>Study Abroad Prep</t>
        </is>
      </c>
      <c r="E3391" t="inlineStr">
        <is>
          <t>North Region</t>
        </is>
      </c>
      <c r="F3391" t="inlineStr">
        <is>
          <t>Rep_01</t>
        </is>
      </c>
      <c r="G3391" t="n">
        <v>2.25</v>
      </c>
      <c r="H3391" t="inlineStr">
        <is>
          <t>Proposal Sent</t>
        </is>
      </c>
      <c r="I3391" t="inlineStr">
        <is>
          <t>Lost</t>
        </is>
      </c>
      <c r="J3391" t="inlineStr">
        <is>
          <t>Price Objection</t>
        </is>
      </c>
      <c r="K3391" t="n">
        <v>1269.71</v>
      </c>
      <c r="L3391" t="inlineStr">
        <is>
          <t>2025-11-23 08:12:29.966196</t>
        </is>
      </c>
      <c r="M3391">
        <f>VLOOKUP(H3391,'Stage Order'!$A$2:$B$8,2,FALSE)</f>
        <v/>
      </c>
      <c r="N3391">
        <f>IF(G3391&lt;=1,"1. Under 1 hour",IF(G3391&lt;=24,"2. 1-24 hours",IF(G3391&lt;=72,"3. 1-3 days","4. Over 3 days")))</f>
        <v/>
      </c>
      <c r="O3391">
        <f>TEXT(B3391,"YYYY-MM")</f>
        <v/>
      </c>
    </row>
    <row r="3392">
      <c r="A3392" t="inlineStr">
        <is>
          <t>LD-303390</t>
        </is>
      </c>
      <c r="B3392" t="inlineStr">
        <is>
          <t>2025-11-03 10:00:00</t>
        </is>
      </c>
      <c r="C3392" t="inlineStr">
        <is>
          <t>Paid Search</t>
        </is>
      </c>
      <c r="D3392" t="inlineStr">
        <is>
          <t>Coding for Kids</t>
        </is>
      </c>
      <c r="E3392" t="inlineStr">
        <is>
          <t>North Region</t>
        </is>
      </c>
      <c r="F3392" t="inlineStr">
        <is>
          <t>Rep_01</t>
        </is>
      </c>
      <c r="G3392" t="n">
        <v>5.92</v>
      </c>
      <c r="H3392" t="inlineStr">
        <is>
          <t>Contacted</t>
        </is>
      </c>
      <c r="I3392" t="inlineStr">
        <is>
          <t>Open</t>
        </is>
      </c>
      <c r="M3392">
        <f>VLOOKUP(H3392,'Stage Order'!$A$2:$B$8,2,FALSE)</f>
        <v/>
      </c>
      <c r="N3392">
        <f>IF(G3392&lt;=1,"1. Under 1 hour",IF(G3392&lt;=24,"2. 1-24 hours",IF(G3392&lt;=72,"3. 1-3 days","4. Over 3 days")))</f>
        <v/>
      </c>
      <c r="O3392">
        <f>TEXT(B3392,"YYYY-MM")</f>
        <v/>
      </c>
    </row>
    <row r="3393">
      <c r="A3393" t="inlineStr">
        <is>
          <t>LD-303391</t>
        </is>
      </c>
      <c r="B3393" t="inlineStr">
        <is>
          <t>2025-10-03 10:14:00</t>
        </is>
      </c>
      <c r="C3393" t="inlineStr">
        <is>
          <t>Paid Search</t>
        </is>
      </c>
      <c r="D3393" t="inlineStr">
        <is>
          <t>K-12 Math</t>
        </is>
      </c>
      <c r="E3393" t="inlineStr">
        <is>
          <t>North Region</t>
        </is>
      </c>
      <c r="F3393" t="inlineStr">
        <is>
          <t>Rep_06</t>
        </is>
      </c>
      <c r="G3393" t="n">
        <v>3.32</v>
      </c>
      <c r="H3393" t="inlineStr">
        <is>
          <t>Lead</t>
        </is>
      </c>
      <c r="I3393" t="inlineStr">
        <is>
          <t>Open</t>
        </is>
      </c>
      <c r="M3393">
        <f>VLOOKUP(H3393,'Stage Order'!$A$2:$B$8,2,FALSE)</f>
        <v/>
      </c>
      <c r="N3393">
        <f>IF(G3393&lt;=1,"1. Under 1 hour",IF(G3393&lt;=24,"2. 1-24 hours",IF(G3393&lt;=72,"3. 1-3 days","4. Over 3 days")))</f>
        <v/>
      </c>
      <c r="O3393">
        <f>TEXT(B3393,"YYYY-MM")</f>
        <v/>
      </c>
    </row>
    <row r="3394">
      <c r="A3394" t="inlineStr">
        <is>
          <t>LD-303392</t>
        </is>
      </c>
      <c r="B3394" t="inlineStr">
        <is>
          <t>2025-07-03 14:38:00</t>
        </is>
      </c>
      <c r="C3394" t="inlineStr">
        <is>
          <t>Referral</t>
        </is>
      </c>
      <c r="D3394" t="inlineStr">
        <is>
          <t>Competitive Exam Prep</t>
        </is>
      </c>
      <c r="E3394" t="inlineStr">
        <is>
          <t>West Region</t>
        </is>
      </c>
      <c r="F3394" t="inlineStr">
        <is>
          <t>Rep_08</t>
        </is>
      </c>
      <c r="G3394" t="n">
        <v>3.67</v>
      </c>
      <c r="H3394" t="inlineStr">
        <is>
          <t>Closed</t>
        </is>
      </c>
      <c r="I3394" t="inlineStr">
        <is>
          <t>Won</t>
        </is>
      </c>
      <c r="K3394" t="n">
        <v>886.49</v>
      </c>
      <c r="L3394" t="inlineStr">
        <is>
          <t>2025-08-12 22:46:14.877608</t>
        </is>
      </c>
      <c r="M3394">
        <f>VLOOKUP(H3394,'Stage Order'!$A$2:$B$8,2,FALSE)</f>
        <v/>
      </c>
      <c r="N3394">
        <f>IF(G3394&lt;=1,"1. Under 1 hour",IF(G3394&lt;=24,"2. 1-24 hours",IF(G3394&lt;=72,"3. 1-3 days","4. Over 3 days")))</f>
        <v/>
      </c>
      <c r="O3394">
        <f>TEXT(B3394,"YYYY-MM")</f>
        <v/>
      </c>
    </row>
    <row r="3395">
      <c r="A3395" t="inlineStr">
        <is>
          <t>LD-303393</t>
        </is>
      </c>
      <c r="B3395" t="inlineStr">
        <is>
          <t>2025-09-22 16:23:00</t>
        </is>
      </c>
      <c r="C3395" t="inlineStr">
        <is>
          <t>Organic Search</t>
        </is>
      </c>
      <c r="D3395" t="inlineStr">
        <is>
          <t>Competitive Exam Prep</t>
        </is>
      </c>
      <c r="E3395" t="inlineStr">
        <is>
          <t>International</t>
        </is>
      </c>
      <c r="F3395" t="inlineStr">
        <is>
          <t>Rep_10</t>
        </is>
      </c>
      <c r="G3395" t="n">
        <v>4.65</v>
      </c>
      <c r="H3395" t="inlineStr">
        <is>
          <t>Lead</t>
        </is>
      </c>
      <c r="I3395" t="inlineStr">
        <is>
          <t>Open</t>
        </is>
      </c>
      <c r="M3395">
        <f>VLOOKUP(H3395,'Stage Order'!$A$2:$B$8,2,FALSE)</f>
        <v/>
      </c>
      <c r="N3395">
        <f>IF(G3395&lt;=1,"1. Under 1 hour",IF(G3395&lt;=24,"2. 1-24 hours",IF(G3395&lt;=72,"3. 1-3 days","4. Over 3 days")))</f>
        <v/>
      </c>
      <c r="O3395">
        <f>TEXT(B3395,"YYYY-MM")</f>
        <v/>
      </c>
    </row>
    <row r="3396">
      <c r="A3396" t="inlineStr">
        <is>
          <t>LD-303394</t>
        </is>
      </c>
      <c r="B3396" t="inlineStr">
        <is>
          <t>2025-03-31 14:02:00</t>
        </is>
      </c>
      <c r="C3396" t="inlineStr">
        <is>
          <t>Paid Search</t>
        </is>
      </c>
      <c r="D3396" t="inlineStr">
        <is>
          <t>Language Learning</t>
        </is>
      </c>
      <c r="E3396" t="inlineStr">
        <is>
          <t>North Region</t>
        </is>
      </c>
      <c r="F3396" t="inlineStr">
        <is>
          <t>Rep_01</t>
        </is>
      </c>
      <c r="G3396" t="n">
        <v>5.66</v>
      </c>
      <c r="H3396" t="inlineStr">
        <is>
          <t>Contacted</t>
        </is>
      </c>
      <c r="I3396" t="inlineStr">
        <is>
          <t>Open</t>
        </is>
      </c>
      <c r="M3396">
        <f>VLOOKUP(H3396,'Stage Order'!$A$2:$B$8,2,FALSE)</f>
        <v/>
      </c>
      <c r="N3396">
        <f>IF(G3396&lt;=1,"1. Under 1 hour",IF(G3396&lt;=24,"2. 1-24 hours",IF(G3396&lt;=72,"3. 1-3 days","4. Over 3 days")))</f>
        <v/>
      </c>
      <c r="O3396">
        <f>TEXT(B3396,"YYYY-MM")</f>
        <v/>
      </c>
    </row>
    <row r="3397">
      <c r="A3397" t="inlineStr">
        <is>
          <t>LD-303395</t>
        </is>
      </c>
      <c r="B3397" t="inlineStr">
        <is>
          <t>2026-02-22 11:20:00</t>
        </is>
      </c>
      <c r="C3397" t="inlineStr">
        <is>
          <t>Social Media</t>
        </is>
      </c>
      <c r="D3397" t="inlineStr">
        <is>
          <t>Competitive Exam Prep</t>
        </is>
      </c>
      <c r="E3397" t="inlineStr">
        <is>
          <t>East Region</t>
        </is>
      </c>
      <c r="F3397" t="inlineStr">
        <is>
          <t>Rep_14</t>
        </is>
      </c>
      <c r="G3397" t="n">
        <v>7.78</v>
      </c>
      <c r="H3397" t="inlineStr">
        <is>
          <t>Contacted</t>
        </is>
      </c>
      <c r="I3397" t="inlineStr">
        <is>
          <t>Open</t>
        </is>
      </c>
      <c r="M3397">
        <f>VLOOKUP(H3397,'Stage Order'!$A$2:$B$8,2,FALSE)</f>
        <v/>
      </c>
      <c r="N3397">
        <f>IF(G3397&lt;=1,"1. Under 1 hour",IF(G3397&lt;=24,"2. 1-24 hours",IF(G3397&lt;=72,"3. 1-3 days","4. Over 3 days")))</f>
        <v/>
      </c>
      <c r="O3397">
        <f>TEXT(B3397,"YYYY-MM")</f>
        <v/>
      </c>
    </row>
    <row r="3398">
      <c r="A3398" t="inlineStr">
        <is>
          <t>LD-303396</t>
        </is>
      </c>
      <c r="B3398" t="inlineStr">
        <is>
          <t>2025-05-23 16:11:00</t>
        </is>
      </c>
      <c r="C3398" t="inlineStr">
        <is>
          <t>Social Media</t>
        </is>
      </c>
      <c r="D3398" t="inlineStr">
        <is>
          <t>K-12 Math</t>
        </is>
      </c>
      <c r="E3398" t="inlineStr">
        <is>
          <t>East Region</t>
        </is>
      </c>
      <c r="F3398" t="inlineStr">
        <is>
          <t>Rep_04</t>
        </is>
      </c>
      <c r="G3398" t="n">
        <v>6.83</v>
      </c>
      <c r="H3398" t="inlineStr">
        <is>
          <t>Lead</t>
        </is>
      </c>
      <c r="I3398" t="inlineStr">
        <is>
          <t>Open</t>
        </is>
      </c>
      <c r="M3398">
        <f>VLOOKUP(H3398,'Stage Order'!$A$2:$B$8,2,FALSE)</f>
        <v/>
      </c>
      <c r="N3398">
        <f>IF(G3398&lt;=1,"1. Under 1 hour",IF(G3398&lt;=24,"2. 1-24 hours",IF(G3398&lt;=72,"3. 1-3 days","4. Over 3 days")))</f>
        <v/>
      </c>
      <c r="O3398">
        <f>TEXT(B3398,"YYYY-MM")</f>
        <v/>
      </c>
    </row>
    <row r="3399">
      <c r="A3399" t="inlineStr">
        <is>
          <t>LD-303397</t>
        </is>
      </c>
      <c r="B3399" t="inlineStr">
        <is>
          <t>2026-04-24 15:04:00</t>
        </is>
      </c>
      <c r="C3399" t="inlineStr">
        <is>
          <t>Paid Search</t>
        </is>
      </c>
      <c r="D3399" t="inlineStr">
        <is>
          <t>Study Abroad Prep</t>
        </is>
      </c>
      <c r="E3399" t="inlineStr">
        <is>
          <t>North Region</t>
        </is>
      </c>
      <c r="F3399" t="inlineStr">
        <is>
          <t>Rep_11</t>
        </is>
      </c>
      <c r="G3399" t="n">
        <v>5.37</v>
      </c>
      <c r="H3399" t="inlineStr">
        <is>
          <t>Contacted</t>
        </is>
      </c>
      <c r="I3399" t="inlineStr">
        <is>
          <t>Open</t>
        </is>
      </c>
      <c r="M3399">
        <f>VLOOKUP(H3399,'Stage Order'!$A$2:$B$8,2,FALSE)</f>
        <v/>
      </c>
      <c r="N3399">
        <f>IF(G3399&lt;=1,"1. Under 1 hour",IF(G3399&lt;=24,"2. 1-24 hours",IF(G3399&lt;=72,"3. 1-3 days","4. Over 3 days")))</f>
        <v/>
      </c>
      <c r="O3399">
        <f>TEXT(B3399,"YYYY-MM")</f>
        <v/>
      </c>
    </row>
    <row r="3400">
      <c r="A3400" t="inlineStr">
        <is>
          <t>LD-303398</t>
        </is>
      </c>
      <c r="B3400" t="inlineStr">
        <is>
          <t>2025-12-27 07:26:00</t>
        </is>
      </c>
      <c r="C3400" t="inlineStr">
        <is>
          <t>Paid Search</t>
        </is>
      </c>
      <c r="D3400" t="inlineStr">
        <is>
          <t>Language Learning</t>
        </is>
      </c>
      <c r="E3400" t="inlineStr">
        <is>
          <t>South Region</t>
        </is>
      </c>
      <c r="F3400" t="inlineStr">
        <is>
          <t>Rep_12</t>
        </is>
      </c>
      <c r="G3400" t="n">
        <v>2.8</v>
      </c>
      <c r="H3400" t="inlineStr">
        <is>
          <t>Contacted</t>
        </is>
      </c>
      <c r="I3400" t="inlineStr">
        <is>
          <t>Open</t>
        </is>
      </c>
      <c r="M3400">
        <f>VLOOKUP(H3400,'Stage Order'!$A$2:$B$8,2,FALSE)</f>
        <v/>
      </c>
      <c r="N3400">
        <f>IF(G3400&lt;=1,"1. Under 1 hour",IF(G3400&lt;=24,"2. 1-24 hours",IF(G3400&lt;=72,"3. 1-3 days","4. Over 3 days")))</f>
        <v/>
      </c>
      <c r="O3400">
        <f>TEXT(B3400,"YYYY-MM")</f>
        <v/>
      </c>
    </row>
    <row r="3401">
      <c r="A3401" t="inlineStr">
        <is>
          <t>LD-303399</t>
        </is>
      </c>
      <c r="B3401" t="inlineStr">
        <is>
          <t>2026-02-02 13:30:00</t>
        </is>
      </c>
      <c r="C3401" t="inlineStr">
        <is>
          <t>Paid Search</t>
        </is>
      </c>
      <c r="D3401" t="inlineStr">
        <is>
          <t>Competitive Exam Prep</t>
        </is>
      </c>
      <c r="E3401" t="inlineStr">
        <is>
          <t>West Region</t>
        </is>
      </c>
      <c r="F3401" t="inlineStr">
        <is>
          <t>Rep_03</t>
        </is>
      </c>
      <c r="G3401" t="n">
        <v>2.49</v>
      </c>
      <c r="H3401" t="inlineStr">
        <is>
          <t>Contacted</t>
        </is>
      </c>
      <c r="I3401" t="inlineStr">
        <is>
          <t>Open</t>
        </is>
      </c>
      <c r="M3401">
        <f>VLOOKUP(H3401,'Stage Order'!$A$2:$B$8,2,FALSE)</f>
        <v/>
      </c>
      <c r="N3401">
        <f>IF(G3401&lt;=1,"1. Under 1 hour",IF(G3401&lt;=24,"2. 1-24 hours",IF(G3401&lt;=72,"3. 1-3 days","4. Over 3 days")))</f>
        <v/>
      </c>
      <c r="O3401">
        <f>TEXT(B3401,"YYYY-MM")</f>
        <v/>
      </c>
    </row>
    <row r="3402">
      <c r="A3402" t="inlineStr">
        <is>
          <t>LD-303400</t>
        </is>
      </c>
      <c r="B3402" t="inlineStr">
        <is>
          <t>2025-08-22 11:09:00</t>
        </is>
      </c>
      <c r="C3402" t="inlineStr">
        <is>
          <t>Referral</t>
        </is>
      </c>
      <c r="D3402" t="inlineStr">
        <is>
          <t>K-12 Math</t>
        </is>
      </c>
      <c r="E3402" t="inlineStr">
        <is>
          <t>North Region</t>
        </is>
      </c>
      <c r="F3402" t="inlineStr">
        <is>
          <t>Rep_01</t>
        </is>
      </c>
      <c r="G3402" t="n">
        <v>3.82</v>
      </c>
      <c r="H3402" t="inlineStr">
        <is>
          <t>Closed</t>
        </is>
      </c>
      <c r="I3402" t="inlineStr">
        <is>
          <t>Won</t>
        </is>
      </c>
      <c r="K3402" t="n">
        <v>420.32</v>
      </c>
      <c r="L3402" t="inlineStr">
        <is>
          <t>2025-10-16 09:56:06.537431</t>
        </is>
      </c>
      <c r="M3402">
        <f>VLOOKUP(H3402,'Stage Order'!$A$2:$B$8,2,FALSE)</f>
        <v/>
      </c>
      <c r="N3402">
        <f>IF(G3402&lt;=1,"1. Under 1 hour",IF(G3402&lt;=24,"2. 1-24 hours",IF(G3402&lt;=72,"3. 1-3 days","4. Over 3 days")))</f>
        <v/>
      </c>
      <c r="O3402">
        <f>TEXT(B3402,"YYYY-MM")</f>
        <v/>
      </c>
    </row>
    <row r="3403">
      <c r="A3403" t="inlineStr">
        <is>
          <t>LD-303401</t>
        </is>
      </c>
      <c r="B3403" t="inlineStr">
        <is>
          <t>2025-12-19 17:57:00</t>
        </is>
      </c>
      <c r="C3403" t="inlineStr">
        <is>
          <t>Cold Outreach</t>
        </is>
      </c>
      <c r="D3403" t="inlineStr">
        <is>
          <t>K-12 Math</t>
        </is>
      </c>
      <c r="E3403" t="inlineStr">
        <is>
          <t>West Region</t>
        </is>
      </c>
      <c r="F3403" t="inlineStr">
        <is>
          <t>Rep_03</t>
        </is>
      </c>
      <c r="G3403" t="n">
        <v>1.65</v>
      </c>
      <c r="H3403" t="inlineStr">
        <is>
          <t>Lead</t>
        </is>
      </c>
      <c r="I3403" t="inlineStr">
        <is>
          <t>Open</t>
        </is>
      </c>
      <c r="M3403">
        <f>VLOOKUP(H3403,'Stage Order'!$A$2:$B$8,2,FALSE)</f>
        <v/>
      </c>
      <c r="N3403">
        <f>IF(G3403&lt;=1,"1. Under 1 hour",IF(G3403&lt;=24,"2. 1-24 hours",IF(G3403&lt;=72,"3. 1-3 days","4. Over 3 days")))</f>
        <v/>
      </c>
      <c r="O3403">
        <f>TEXT(B3403,"YYYY-MM")</f>
        <v/>
      </c>
    </row>
    <row r="3404">
      <c r="A3404" t="inlineStr">
        <is>
          <t>LD-303402</t>
        </is>
      </c>
      <c r="B3404" t="inlineStr">
        <is>
          <t>2026-05-27 08:00:00</t>
        </is>
      </c>
      <c r="C3404" t="inlineStr">
        <is>
          <t>Partner Channel</t>
        </is>
      </c>
      <c r="D3404" t="inlineStr">
        <is>
          <t>Competitive Exam Prep</t>
        </is>
      </c>
      <c r="E3404" t="inlineStr">
        <is>
          <t>North Region</t>
        </is>
      </c>
      <c r="F3404" t="inlineStr">
        <is>
          <t>Rep_11</t>
        </is>
      </c>
      <c r="G3404" t="n">
        <v>1.39</v>
      </c>
      <c r="H3404" t="inlineStr">
        <is>
          <t>Contacted</t>
        </is>
      </c>
      <c r="I3404" t="inlineStr">
        <is>
          <t>Open</t>
        </is>
      </c>
      <c r="M3404">
        <f>VLOOKUP(H3404,'Stage Order'!$A$2:$B$8,2,FALSE)</f>
        <v/>
      </c>
      <c r="N3404">
        <f>IF(G3404&lt;=1,"1. Under 1 hour",IF(G3404&lt;=24,"2. 1-24 hours",IF(G3404&lt;=72,"3. 1-3 days","4. Over 3 days")))</f>
        <v/>
      </c>
      <c r="O3404">
        <f>TEXT(B3404,"YYYY-MM")</f>
        <v/>
      </c>
    </row>
    <row r="3405">
      <c r="A3405" t="inlineStr">
        <is>
          <t>LD-303403</t>
        </is>
      </c>
      <c r="B3405" t="inlineStr">
        <is>
          <t>2025-02-03 12:37:00</t>
        </is>
      </c>
      <c r="C3405" t="inlineStr">
        <is>
          <t>Paid Search</t>
        </is>
      </c>
      <c r="D3405" t="inlineStr">
        <is>
          <t>Language Learning</t>
        </is>
      </c>
      <c r="E3405" t="inlineStr">
        <is>
          <t>South Region</t>
        </is>
      </c>
      <c r="F3405" t="inlineStr">
        <is>
          <t>Rep_02</t>
        </is>
      </c>
      <c r="G3405" t="n">
        <v>4.84</v>
      </c>
      <c r="H3405" t="inlineStr">
        <is>
          <t>Proposal Sent</t>
        </is>
      </c>
      <c r="I3405" t="inlineStr">
        <is>
          <t>Lost</t>
        </is>
      </c>
      <c r="J3405" t="inlineStr">
        <is>
          <t>Price Objection</t>
        </is>
      </c>
      <c r="K3405" t="n">
        <v>346.4</v>
      </c>
      <c r="L3405" t="inlineStr">
        <is>
          <t>2025-02-25 04:49:08.130039</t>
        </is>
      </c>
      <c r="M3405">
        <f>VLOOKUP(H3405,'Stage Order'!$A$2:$B$8,2,FALSE)</f>
        <v/>
      </c>
      <c r="N3405">
        <f>IF(G3405&lt;=1,"1. Under 1 hour",IF(G3405&lt;=24,"2. 1-24 hours",IF(G3405&lt;=72,"3. 1-3 days","4. Over 3 days")))</f>
        <v/>
      </c>
      <c r="O3405">
        <f>TEXT(B3405,"YYYY-MM")</f>
        <v/>
      </c>
    </row>
    <row r="3406">
      <c r="A3406" t="inlineStr">
        <is>
          <t>LD-303404</t>
        </is>
      </c>
      <c r="B3406" t="inlineStr">
        <is>
          <t>2025-08-26 14:04:00</t>
        </is>
      </c>
      <c r="C3406" t="inlineStr">
        <is>
          <t>Cold Outreach</t>
        </is>
      </c>
      <c r="D3406" t="inlineStr">
        <is>
          <t>Study Abroad Prep</t>
        </is>
      </c>
      <c r="E3406" t="inlineStr">
        <is>
          <t>South Region</t>
        </is>
      </c>
      <c r="F3406" t="inlineStr">
        <is>
          <t>Rep_02</t>
        </is>
      </c>
      <c r="G3406" t="n">
        <v>4.71</v>
      </c>
      <c r="H3406" t="inlineStr">
        <is>
          <t>Lead</t>
        </is>
      </c>
      <c r="I3406" t="inlineStr">
        <is>
          <t>Open</t>
        </is>
      </c>
      <c r="M3406">
        <f>VLOOKUP(H3406,'Stage Order'!$A$2:$B$8,2,FALSE)</f>
        <v/>
      </c>
      <c r="N3406">
        <f>IF(G3406&lt;=1,"1. Under 1 hour",IF(G3406&lt;=24,"2. 1-24 hours",IF(G3406&lt;=72,"3. 1-3 days","4. Over 3 days")))</f>
        <v/>
      </c>
      <c r="O3406">
        <f>TEXT(B3406,"YYYY-MM")</f>
        <v/>
      </c>
    </row>
    <row r="3407">
      <c r="A3407" t="inlineStr">
        <is>
          <t>LD-303405</t>
        </is>
      </c>
      <c r="B3407" t="inlineStr">
        <is>
          <t>2025-11-14 07:42:00</t>
        </is>
      </c>
      <c r="C3407" t="inlineStr">
        <is>
          <t>Organic Search</t>
        </is>
      </c>
      <c r="D3407" t="inlineStr">
        <is>
          <t>Language Learning</t>
        </is>
      </c>
      <c r="E3407" t="inlineStr">
        <is>
          <t>West Region</t>
        </is>
      </c>
      <c r="F3407" t="inlineStr">
        <is>
          <t>Rep_08</t>
        </is>
      </c>
      <c r="G3407" t="n">
        <v>1.15</v>
      </c>
      <c r="H3407" t="inlineStr">
        <is>
          <t>Closed</t>
        </is>
      </c>
      <c r="I3407" t="inlineStr">
        <is>
          <t>Won</t>
        </is>
      </c>
      <c r="K3407" t="n">
        <v>422.04</v>
      </c>
      <c r="L3407" t="inlineStr">
        <is>
          <t>2025-12-23 05:26:57.108884</t>
        </is>
      </c>
      <c r="M3407">
        <f>VLOOKUP(H3407,'Stage Order'!$A$2:$B$8,2,FALSE)</f>
        <v/>
      </c>
      <c r="N3407">
        <f>IF(G3407&lt;=1,"1. Under 1 hour",IF(G3407&lt;=24,"2. 1-24 hours",IF(G3407&lt;=72,"3. 1-3 days","4. Over 3 days")))</f>
        <v/>
      </c>
      <c r="O3407">
        <f>TEXT(B3407,"YYYY-MM")</f>
        <v/>
      </c>
    </row>
    <row r="3408">
      <c r="A3408" t="inlineStr">
        <is>
          <t>LD-303406</t>
        </is>
      </c>
      <c r="B3408" t="inlineStr">
        <is>
          <t>2025-09-12 14:22:00</t>
        </is>
      </c>
      <c r="C3408" t="inlineStr">
        <is>
          <t>Paid Search</t>
        </is>
      </c>
      <c r="D3408" t="inlineStr">
        <is>
          <t>Coding for Kids</t>
        </is>
      </c>
      <c r="E3408" t="inlineStr">
        <is>
          <t>West Region</t>
        </is>
      </c>
      <c r="F3408" t="inlineStr">
        <is>
          <t>Rep_13</t>
        </is>
      </c>
      <c r="G3408" t="n">
        <v>15.67</v>
      </c>
      <c r="H3408" t="inlineStr">
        <is>
          <t>Proposal Sent</t>
        </is>
      </c>
      <c r="I3408" t="inlineStr">
        <is>
          <t>Lost</t>
        </is>
      </c>
      <c r="J3408" t="inlineStr">
        <is>
          <t>Price Objection</t>
        </is>
      </c>
      <c r="K3408" t="n">
        <v>720.2</v>
      </c>
      <c r="L3408" t="inlineStr">
        <is>
          <t>2025-10-19 17:42:39.303099</t>
        </is>
      </c>
      <c r="M3408">
        <f>VLOOKUP(H3408,'Stage Order'!$A$2:$B$8,2,FALSE)</f>
        <v/>
      </c>
      <c r="N3408">
        <f>IF(G3408&lt;=1,"1. Under 1 hour",IF(G3408&lt;=24,"2. 1-24 hours",IF(G3408&lt;=72,"3. 1-3 days","4. Over 3 days")))</f>
        <v/>
      </c>
      <c r="O3408">
        <f>TEXT(B3408,"YYYY-MM")</f>
        <v/>
      </c>
    </row>
    <row r="3409">
      <c r="A3409" t="inlineStr">
        <is>
          <t>LD-303407</t>
        </is>
      </c>
      <c r="B3409" t="inlineStr">
        <is>
          <t>2026-06-05 09:35:00</t>
        </is>
      </c>
      <c r="C3409" t="inlineStr">
        <is>
          <t>Partner Channel</t>
        </is>
      </c>
      <c r="D3409" t="inlineStr">
        <is>
          <t>Competitive Exam Prep</t>
        </is>
      </c>
      <c r="E3409" t="inlineStr">
        <is>
          <t>North Region</t>
        </is>
      </c>
      <c r="F3409" t="inlineStr">
        <is>
          <t>Rep_01</t>
        </is>
      </c>
      <c r="G3409" t="n">
        <v>2.75</v>
      </c>
      <c r="H3409" t="inlineStr">
        <is>
          <t>Proposal Sent</t>
        </is>
      </c>
      <c r="I3409" t="inlineStr">
        <is>
          <t>Lost</t>
        </is>
      </c>
      <c r="J3409" t="inlineStr">
        <is>
          <t>Price Objection</t>
        </is>
      </c>
      <c r="K3409" t="n">
        <v>981.73</v>
      </c>
      <c r="L3409" t="inlineStr">
        <is>
          <t>2026-07-11 04:46:00.885053</t>
        </is>
      </c>
      <c r="M3409">
        <f>VLOOKUP(H3409,'Stage Order'!$A$2:$B$8,2,FALSE)</f>
        <v/>
      </c>
      <c r="N3409">
        <f>IF(G3409&lt;=1,"1. Under 1 hour",IF(G3409&lt;=24,"2. 1-24 hours",IF(G3409&lt;=72,"3. 1-3 days","4. Over 3 days")))</f>
        <v/>
      </c>
      <c r="O3409">
        <f>TEXT(B3409,"YYYY-MM")</f>
        <v/>
      </c>
    </row>
    <row r="3410">
      <c r="A3410" t="inlineStr">
        <is>
          <t>LD-303408</t>
        </is>
      </c>
      <c r="B3410" t="inlineStr">
        <is>
          <t>2026-01-17 19:41:00</t>
        </is>
      </c>
      <c r="C3410" t="inlineStr">
        <is>
          <t>Paid Search</t>
        </is>
      </c>
      <c r="D3410" t="inlineStr">
        <is>
          <t>Language Learning</t>
        </is>
      </c>
      <c r="E3410" t="inlineStr">
        <is>
          <t>East Region</t>
        </is>
      </c>
      <c r="F3410" t="inlineStr">
        <is>
          <t>Rep_09</t>
        </is>
      </c>
      <c r="G3410" t="n">
        <v>6.25</v>
      </c>
      <c r="H3410" t="inlineStr">
        <is>
          <t>Contacted</t>
        </is>
      </c>
      <c r="I3410" t="inlineStr">
        <is>
          <t>Open</t>
        </is>
      </c>
      <c r="M3410">
        <f>VLOOKUP(H3410,'Stage Order'!$A$2:$B$8,2,FALSE)</f>
        <v/>
      </c>
      <c r="N3410">
        <f>IF(G3410&lt;=1,"1. Under 1 hour",IF(G3410&lt;=24,"2. 1-24 hours",IF(G3410&lt;=72,"3. 1-3 days","4. Over 3 days")))</f>
        <v/>
      </c>
      <c r="O3410">
        <f>TEXT(B3410,"YYYY-MM")</f>
        <v/>
      </c>
    </row>
    <row r="3411">
      <c r="A3411" t="inlineStr">
        <is>
          <t>LD-303409</t>
        </is>
      </c>
      <c r="B3411" t="inlineStr">
        <is>
          <t>2025-07-15 20:48:00</t>
        </is>
      </c>
      <c r="C3411" t="inlineStr">
        <is>
          <t>Paid Search</t>
        </is>
      </c>
      <c r="D3411" t="inlineStr">
        <is>
          <t>Coding for Kids</t>
        </is>
      </c>
      <c r="E3411" t="inlineStr">
        <is>
          <t>East Region</t>
        </is>
      </c>
      <c r="F3411" t="inlineStr">
        <is>
          <t>Rep_09</t>
        </is>
      </c>
      <c r="G3411" t="n">
        <v>3.1</v>
      </c>
      <c r="H3411" t="inlineStr">
        <is>
          <t>Contacted</t>
        </is>
      </c>
      <c r="I3411" t="inlineStr">
        <is>
          <t>Open</t>
        </is>
      </c>
      <c r="M3411">
        <f>VLOOKUP(H3411,'Stage Order'!$A$2:$B$8,2,FALSE)</f>
        <v/>
      </c>
      <c r="N3411">
        <f>IF(G3411&lt;=1,"1. Under 1 hour",IF(G3411&lt;=24,"2. 1-24 hours",IF(G3411&lt;=72,"3. 1-3 days","4. Over 3 days")))</f>
        <v/>
      </c>
      <c r="O3411">
        <f>TEXT(B3411,"YYYY-MM")</f>
        <v/>
      </c>
    </row>
    <row r="3412">
      <c r="A3412" t="inlineStr">
        <is>
          <t>LD-303410</t>
        </is>
      </c>
      <c r="B3412" t="inlineStr">
        <is>
          <t>2025-05-22 13:05:00</t>
        </is>
      </c>
      <c r="C3412" t="inlineStr">
        <is>
          <t>Organic Search</t>
        </is>
      </c>
      <c r="D3412" t="inlineStr">
        <is>
          <t>Study Abroad Prep</t>
        </is>
      </c>
      <c r="E3412" t="inlineStr">
        <is>
          <t>North Region</t>
        </is>
      </c>
      <c r="F3412" t="inlineStr">
        <is>
          <t>Rep_11</t>
        </is>
      </c>
      <c r="G3412" t="n">
        <v>20.12</v>
      </c>
      <c r="H3412" t="inlineStr">
        <is>
          <t>Negotiation</t>
        </is>
      </c>
      <c r="I3412" t="inlineStr">
        <is>
          <t>Lost</t>
        </is>
      </c>
      <c r="J3412" t="inlineStr">
        <is>
          <t>No Response / Ghosted</t>
        </is>
      </c>
      <c r="K3412" t="n">
        <v>1190.45</v>
      </c>
      <c r="L3412" t="inlineStr">
        <is>
          <t>2025-07-09 05:30:43.115885</t>
        </is>
      </c>
      <c r="M3412">
        <f>VLOOKUP(H3412,'Stage Order'!$A$2:$B$8,2,FALSE)</f>
        <v/>
      </c>
      <c r="N3412">
        <f>IF(G3412&lt;=1,"1. Under 1 hour",IF(G3412&lt;=24,"2. 1-24 hours",IF(G3412&lt;=72,"3. 1-3 days","4. Over 3 days")))</f>
        <v/>
      </c>
      <c r="O3412">
        <f>TEXT(B3412,"YYYY-MM")</f>
        <v/>
      </c>
    </row>
    <row r="3413">
      <c r="A3413" t="inlineStr">
        <is>
          <t>LD-303411</t>
        </is>
      </c>
      <c r="B3413" t="inlineStr">
        <is>
          <t>2025-12-04 11:56:00</t>
        </is>
      </c>
      <c r="C3413" t="inlineStr">
        <is>
          <t>Webinar</t>
        </is>
      </c>
      <c r="D3413" t="inlineStr">
        <is>
          <t>Coding for Kids</t>
        </is>
      </c>
      <c r="E3413" t="inlineStr">
        <is>
          <t>North Region</t>
        </is>
      </c>
      <c r="F3413" t="inlineStr">
        <is>
          <t>Rep_11</t>
        </is>
      </c>
      <c r="G3413" t="n">
        <v>1.29</v>
      </c>
      <c r="H3413" t="inlineStr">
        <is>
          <t>Closed</t>
        </is>
      </c>
      <c r="I3413" t="inlineStr">
        <is>
          <t>Won</t>
        </is>
      </c>
      <c r="K3413" t="n">
        <v>704.58</v>
      </c>
      <c r="L3413" t="inlineStr">
        <is>
          <t>2026-01-15 10:41:03.882805</t>
        </is>
      </c>
      <c r="M3413">
        <f>VLOOKUP(H3413,'Stage Order'!$A$2:$B$8,2,FALSE)</f>
        <v/>
      </c>
      <c r="N3413">
        <f>IF(G3413&lt;=1,"1. Under 1 hour",IF(G3413&lt;=24,"2. 1-24 hours",IF(G3413&lt;=72,"3. 1-3 days","4. Over 3 days")))</f>
        <v/>
      </c>
      <c r="O3413">
        <f>TEXT(B3413,"YYYY-MM")</f>
        <v/>
      </c>
    </row>
    <row r="3414">
      <c r="A3414" t="inlineStr">
        <is>
          <t>LD-303412</t>
        </is>
      </c>
      <c r="B3414" t="inlineStr">
        <is>
          <t>2025-10-22 13:43:00</t>
        </is>
      </c>
      <c r="C3414" t="inlineStr">
        <is>
          <t>Social Media</t>
        </is>
      </c>
      <c r="D3414" t="inlineStr">
        <is>
          <t>Coding for Kids</t>
        </is>
      </c>
      <c r="E3414" t="inlineStr">
        <is>
          <t>West Region</t>
        </is>
      </c>
      <c r="F3414" t="inlineStr">
        <is>
          <t>Rep_08</t>
        </is>
      </c>
      <c r="G3414" t="n">
        <v>2.44</v>
      </c>
      <c r="H3414" t="inlineStr">
        <is>
          <t>Contacted</t>
        </is>
      </c>
      <c r="I3414" t="inlineStr">
        <is>
          <t>Open</t>
        </is>
      </c>
      <c r="M3414">
        <f>VLOOKUP(H3414,'Stage Order'!$A$2:$B$8,2,FALSE)</f>
        <v/>
      </c>
      <c r="N3414">
        <f>IF(G3414&lt;=1,"1. Under 1 hour",IF(G3414&lt;=24,"2. 1-24 hours",IF(G3414&lt;=72,"3. 1-3 days","4. Over 3 days")))</f>
        <v/>
      </c>
      <c r="O3414">
        <f>TEXT(B3414,"YYYY-MM")</f>
        <v/>
      </c>
    </row>
    <row r="3415">
      <c r="A3415" t="inlineStr">
        <is>
          <t>LD-303413</t>
        </is>
      </c>
      <c r="B3415" t="inlineStr">
        <is>
          <t>2025-07-24 18:17:00</t>
        </is>
      </c>
      <c r="C3415" t="inlineStr">
        <is>
          <t>Referral</t>
        </is>
      </c>
      <c r="D3415" t="inlineStr">
        <is>
          <t>K-12 Math</t>
        </is>
      </c>
      <c r="E3415" t="inlineStr">
        <is>
          <t>West Region</t>
        </is>
      </c>
      <c r="F3415" t="inlineStr">
        <is>
          <t>Rep_13</t>
        </is>
      </c>
      <c r="G3415" t="n">
        <v>13.28</v>
      </c>
      <c r="H3415" t="inlineStr">
        <is>
          <t>Negotiation</t>
        </is>
      </c>
      <c r="I3415" t="inlineStr">
        <is>
          <t>Lost</t>
        </is>
      </c>
      <c r="J3415" t="inlineStr">
        <is>
          <t>Budget Not Approved</t>
        </is>
      </c>
      <c r="K3415" t="n">
        <v>551.3200000000001</v>
      </c>
      <c r="L3415" t="inlineStr">
        <is>
          <t>2025-09-03 05:52:14.943785</t>
        </is>
      </c>
      <c r="M3415">
        <f>VLOOKUP(H3415,'Stage Order'!$A$2:$B$8,2,FALSE)</f>
        <v/>
      </c>
      <c r="N3415">
        <f>IF(G3415&lt;=1,"1. Under 1 hour",IF(G3415&lt;=24,"2. 1-24 hours",IF(G3415&lt;=72,"3. 1-3 days","4. Over 3 days")))</f>
        <v/>
      </c>
      <c r="O3415">
        <f>TEXT(B3415,"YYYY-MM")</f>
        <v/>
      </c>
    </row>
    <row r="3416">
      <c r="A3416" t="inlineStr">
        <is>
          <t>LD-303414</t>
        </is>
      </c>
      <c r="B3416" t="inlineStr">
        <is>
          <t>2026-05-24 14:21:00</t>
        </is>
      </c>
      <c r="C3416" t="inlineStr">
        <is>
          <t>Organic Search</t>
        </is>
      </c>
      <c r="D3416" t="inlineStr">
        <is>
          <t>Study Abroad Prep</t>
        </is>
      </c>
      <c r="E3416" t="inlineStr">
        <is>
          <t>International</t>
        </is>
      </c>
      <c r="F3416" t="inlineStr">
        <is>
          <t>Rep_05</t>
        </is>
      </c>
      <c r="G3416" t="n">
        <v>1.95</v>
      </c>
      <c r="H3416" t="inlineStr">
        <is>
          <t>Contacted</t>
        </is>
      </c>
      <c r="I3416" t="inlineStr">
        <is>
          <t>Open</t>
        </is>
      </c>
      <c r="M3416">
        <f>VLOOKUP(H3416,'Stage Order'!$A$2:$B$8,2,FALSE)</f>
        <v/>
      </c>
      <c r="N3416">
        <f>IF(G3416&lt;=1,"1. Under 1 hour",IF(G3416&lt;=24,"2. 1-24 hours",IF(G3416&lt;=72,"3. 1-3 days","4. Over 3 days")))</f>
        <v/>
      </c>
      <c r="O3416">
        <f>TEXT(B3416,"YYYY-MM")</f>
        <v/>
      </c>
    </row>
    <row r="3417">
      <c r="A3417" t="inlineStr">
        <is>
          <t>LD-303415</t>
        </is>
      </c>
      <c r="B3417" t="inlineStr">
        <is>
          <t>2025-06-20 18:18:00</t>
        </is>
      </c>
      <c r="C3417" t="inlineStr">
        <is>
          <t>Organic Search</t>
        </is>
      </c>
      <c r="D3417" t="inlineStr">
        <is>
          <t>Competitive Exam Prep</t>
        </is>
      </c>
      <c r="E3417" t="inlineStr">
        <is>
          <t>East Region</t>
        </is>
      </c>
      <c r="F3417" t="inlineStr">
        <is>
          <t>Rep_14</t>
        </is>
      </c>
      <c r="G3417" t="n">
        <v>5.53</v>
      </c>
      <c r="H3417" t="inlineStr">
        <is>
          <t>Lead</t>
        </is>
      </c>
      <c r="I3417" t="inlineStr">
        <is>
          <t>Open</t>
        </is>
      </c>
      <c r="M3417">
        <f>VLOOKUP(H3417,'Stage Order'!$A$2:$B$8,2,FALSE)</f>
        <v/>
      </c>
      <c r="N3417">
        <f>IF(G3417&lt;=1,"1. Under 1 hour",IF(G3417&lt;=24,"2. 1-24 hours",IF(G3417&lt;=72,"3. 1-3 days","4. Over 3 days")))</f>
        <v/>
      </c>
      <c r="O3417">
        <f>TEXT(B3417,"YYYY-MM")</f>
        <v/>
      </c>
    </row>
    <row r="3418">
      <c r="A3418" t="inlineStr">
        <is>
          <t>LD-303416</t>
        </is>
      </c>
      <c r="B3418" t="inlineStr">
        <is>
          <t>2026-05-04 15:11:00</t>
        </is>
      </c>
      <c r="C3418" t="inlineStr">
        <is>
          <t>Cold Outreach</t>
        </is>
      </c>
      <c r="D3418" t="inlineStr">
        <is>
          <t>K-12 Math</t>
        </is>
      </c>
      <c r="E3418" t="inlineStr">
        <is>
          <t>South Region</t>
        </is>
      </c>
      <c r="F3418" t="inlineStr">
        <is>
          <t>Rep_07</t>
        </is>
      </c>
      <c r="G3418" t="n">
        <v>3.29</v>
      </c>
      <c r="H3418" t="inlineStr">
        <is>
          <t>Lead</t>
        </is>
      </c>
      <c r="I3418" t="inlineStr">
        <is>
          <t>Open</t>
        </is>
      </c>
      <c r="M3418">
        <f>VLOOKUP(H3418,'Stage Order'!$A$2:$B$8,2,FALSE)</f>
        <v/>
      </c>
      <c r="N3418">
        <f>IF(G3418&lt;=1,"1. Under 1 hour",IF(G3418&lt;=24,"2. 1-24 hours",IF(G3418&lt;=72,"3. 1-3 days","4. Over 3 days")))</f>
        <v/>
      </c>
      <c r="O3418">
        <f>TEXT(B3418,"YYYY-MM")</f>
        <v/>
      </c>
    </row>
    <row r="3419">
      <c r="A3419" t="inlineStr">
        <is>
          <t>LD-303417</t>
        </is>
      </c>
      <c r="B3419" t="inlineStr">
        <is>
          <t>2025-06-14 17:40:00</t>
        </is>
      </c>
      <c r="C3419" t="inlineStr">
        <is>
          <t>Paid Search</t>
        </is>
      </c>
      <c r="D3419" t="inlineStr">
        <is>
          <t>K-12 Math</t>
        </is>
      </c>
      <c r="E3419" t="inlineStr">
        <is>
          <t>South Region</t>
        </is>
      </c>
      <c r="F3419" t="inlineStr">
        <is>
          <t>Rep_02</t>
        </is>
      </c>
      <c r="G3419" t="n">
        <v>0.57</v>
      </c>
      <c r="H3419" t="inlineStr">
        <is>
          <t>Demo Completed</t>
        </is>
      </c>
      <c r="I3419" t="inlineStr">
        <is>
          <t>Lost</t>
        </is>
      </c>
      <c r="J3419" t="inlineStr">
        <is>
          <t>No Response / Ghosted</t>
        </is>
      </c>
      <c r="K3419" t="n">
        <v>482.17</v>
      </c>
      <c r="L3419" t="inlineStr">
        <is>
          <t>2025-07-02 11:31:17.260957</t>
        </is>
      </c>
      <c r="M3419">
        <f>VLOOKUP(H3419,'Stage Order'!$A$2:$B$8,2,FALSE)</f>
        <v/>
      </c>
      <c r="N3419">
        <f>IF(G3419&lt;=1,"1. Under 1 hour",IF(G3419&lt;=24,"2. 1-24 hours",IF(G3419&lt;=72,"3. 1-3 days","4. Over 3 days")))</f>
        <v/>
      </c>
      <c r="O3419">
        <f>TEXT(B3419,"YYYY-MM")</f>
        <v/>
      </c>
    </row>
    <row r="3420">
      <c r="A3420" t="inlineStr">
        <is>
          <t>LD-303418</t>
        </is>
      </c>
      <c r="B3420" t="inlineStr">
        <is>
          <t>2025-02-21 16:25:00</t>
        </is>
      </c>
      <c r="C3420" t="inlineStr">
        <is>
          <t>Organic Search</t>
        </is>
      </c>
      <c r="D3420" t="inlineStr">
        <is>
          <t>Coding for Kids</t>
        </is>
      </c>
      <c r="E3420" t="inlineStr">
        <is>
          <t>West Region</t>
        </is>
      </c>
      <c r="F3420" t="inlineStr">
        <is>
          <t>Rep_13</t>
        </is>
      </c>
      <c r="G3420" t="n">
        <v>2.65</v>
      </c>
      <c r="H3420" t="inlineStr">
        <is>
          <t>Contacted</t>
        </is>
      </c>
      <c r="I3420" t="inlineStr">
        <is>
          <t>Open</t>
        </is>
      </c>
      <c r="M3420">
        <f>VLOOKUP(H3420,'Stage Order'!$A$2:$B$8,2,FALSE)</f>
        <v/>
      </c>
      <c r="N3420">
        <f>IF(G3420&lt;=1,"1. Under 1 hour",IF(G3420&lt;=24,"2. 1-24 hours",IF(G3420&lt;=72,"3. 1-3 days","4. Over 3 days")))</f>
        <v/>
      </c>
      <c r="O3420">
        <f>TEXT(B3420,"YYYY-MM")</f>
        <v/>
      </c>
    </row>
    <row r="3421">
      <c r="A3421" t="inlineStr">
        <is>
          <t>LD-303419</t>
        </is>
      </c>
      <c r="B3421" t="inlineStr">
        <is>
          <t>2025-05-09 13:30:00</t>
        </is>
      </c>
      <c r="C3421" t="inlineStr">
        <is>
          <t>Social Media</t>
        </is>
      </c>
      <c r="D3421" t="inlineStr">
        <is>
          <t>Language Learning</t>
        </is>
      </c>
      <c r="E3421" t="inlineStr">
        <is>
          <t>South Region</t>
        </is>
      </c>
      <c r="F3421" t="inlineStr">
        <is>
          <t>Rep_12</t>
        </is>
      </c>
      <c r="G3421" t="n">
        <v>4.02</v>
      </c>
      <c r="H3421" t="inlineStr">
        <is>
          <t>Contacted</t>
        </is>
      </c>
      <c r="I3421" t="inlineStr">
        <is>
          <t>Open</t>
        </is>
      </c>
      <c r="M3421">
        <f>VLOOKUP(H3421,'Stage Order'!$A$2:$B$8,2,FALSE)</f>
        <v/>
      </c>
      <c r="N3421">
        <f>IF(G3421&lt;=1,"1. Under 1 hour",IF(G3421&lt;=24,"2. 1-24 hours",IF(G3421&lt;=72,"3. 1-3 days","4. Over 3 days")))</f>
        <v/>
      </c>
      <c r="O3421">
        <f>TEXT(B3421,"YYYY-MM")</f>
        <v/>
      </c>
    </row>
    <row r="3422">
      <c r="A3422" t="inlineStr">
        <is>
          <t>LD-303420</t>
        </is>
      </c>
      <c r="B3422" t="inlineStr">
        <is>
          <t>2025-07-28 09:42:00</t>
        </is>
      </c>
      <c r="C3422" t="inlineStr">
        <is>
          <t>Social Media</t>
        </is>
      </c>
      <c r="D3422" t="inlineStr">
        <is>
          <t>K-12 Math</t>
        </is>
      </c>
      <c r="E3422" t="inlineStr">
        <is>
          <t>North Region</t>
        </is>
      </c>
      <c r="F3422" t="inlineStr">
        <is>
          <t>Rep_01</t>
        </is>
      </c>
      <c r="G3422" t="n">
        <v>9.49</v>
      </c>
      <c r="H3422" t="inlineStr">
        <is>
          <t>Contacted</t>
        </is>
      </c>
      <c r="I3422" t="inlineStr">
        <is>
          <t>Open</t>
        </is>
      </c>
      <c r="M3422">
        <f>VLOOKUP(H3422,'Stage Order'!$A$2:$B$8,2,FALSE)</f>
        <v/>
      </c>
      <c r="N3422">
        <f>IF(G3422&lt;=1,"1. Under 1 hour",IF(G3422&lt;=24,"2. 1-24 hours",IF(G3422&lt;=72,"3. 1-3 days","4. Over 3 days")))</f>
        <v/>
      </c>
      <c r="O3422">
        <f>TEXT(B3422,"YYYY-MM")</f>
        <v/>
      </c>
    </row>
    <row r="3423">
      <c r="A3423" t="inlineStr">
        <is>
          <t>LD-303421</t>
        </is>
      </c>
      <c r="B3423" t="inlineStr">
        <is>
          <t>2025-01-20 13:22:00</t>
        </is>
      </c>
      <c r="C3423" t="inlineStr">
        <is>
          <t>Webinar</t>
        </is>
      </c>
      <c r="D3423" t="inlineStr">
        <is>
          <t>Competitive Exam Prep</t>
        </is>
      </c>
      <c r="E3423" t="inlineStr">
        <is>
          <t>South Region</t>
        </is>
      </c>
      <c r="F3423" t="inlineStr">
        <is>
          <t>Rep_12</t>
        </is>
      </c>
      <c r="G3423" t="n">
        <v>3.22</v>
      </c>
      <c r="H3423" t="inlineStr">
        <is>
          <t>Closed</t>
        </is>
      </c>
      <c r="I3423" t="inlineStr">
        <is>
          <t>Won</t>
        </is>
      </c>
      <c r="K3423" t="n">
        <v>1001.2</v>
      </c>
      <c r="L3423" t="inlineStr">
        <is>
          <t>2025-03-06 09:38:58.135348</t>
        </is>
      </c>
      <c r="M3423">
        <f>VLOOKUP(H3423,'Stage Order'!$A$2:$B$8,2,FALSE)</f>
        <v/>
      </c>
      <c r="N3423">
        <f>IF(G3423&lt;=1,"1. Under 1 hour",IF(G3423&lt;=24,"2. 1-24 hours",IF(G3423&lt;=72,"3. 1-3 days","4. Over 3 days")))</f>
        <v/>
      </c>
      <c r="O3423">
        <f>TEXT(B3423,"YYYY-MM")</f>
        <v/>
      </c>
    </row>
    <row r="3424">
      <c r="A3424" t="inlineStr">
        <is>
          <t>LD-303422</t>
        </is>
      </c>
      <c r="B3424" t="inlineStr">
        <is>
          <t>2025-04-08 17:54:00</t>
        </is>
      </c>
      <c r="C3424" t="inlineStr">
        <is>
          <t>Referral</t>
        </is>
      </c>
      <c r="D3424" t="inlineStr">
        <is>
          <t>Coding for Kids</t>
        </is>
      </c>
      <c r="E3424" t="inlineStr">
        <is>
          <t>West Region</t>
        </is>
      </c>
      <c r="F3424" t="inlineStr">
        <is>
          <t>Rep_03</t>
        </is>
      </c>
      <c r="G3424" t="n">
        <v>5.96</v>
      </c>
      <c r="H3424" t="inlineStr">
        <is>
          <t>Contacted</t>
        </is>
      </c>
      <c r="I3424" t="inlineStr">
        <is>
          <t>Open</t>
        </is>
      </c>
      <c r="M3424">
        <f>VLOOKUP(H3424,'Stage Order'!$A$2:$B$8,2,FALSE)</f>
        <v/>
      </c>
      <c r="N3424">
        <f>IF(G3424&lt;=1,"1. Under 1 hour",IF(G3424&lt;=24,"2. 1-24 hours",IF(G3424&lt;=72,"3. 1-3 days","4. Over 3 days")))</f>
        <v/>
      </c>
      <c r="O3424">
        <f>TEXT(B3424,"YYYY-MM")</f>
        <v/>
      </c>
    </row>
    <row r="3425">
      <c r="A3425" t="inlineStr">
        <is>
          <t>LD-303423</t>
        </is>
      </c>
      <c r="B3425" t="inlineStr">
        <is>
          <t>2025-03-25 10:26:00</t>
        </is>
      </c>
      <c r="C3425" t="inlineStr">
        <is>
          <t>Organic Search</t>
        </is>
      </c>
      <c r="D3425" t="inlineStr">
        <is>
          <t>Competitive Exam Prep</t>
        </is>
      </c>
      <c r="E3425" t="inlineStr">
        <is>
          <t>South Region</t>
        </is>
      </c>
      <c r="F3425" t="inlineStr">
        <is>
          <t>Rep_02</t>
        </is>
      </c>
      <c r="G3425" t="n">
        <v>0.42</v>
      </c>
      <c r="H3425" t="inlineStr">
        <is>
          <t>Negotiation</t>
        </is>
      </c>
      <c r="I3425" t="inlineStr">
        <is>
          <t>Lost</t>
        </is>
      </c>
      <c r="J3425" t="inlineStr">
        <is>
          <t>Price Objection</t>
        </is>
      </c>
      <c r="K3425" t="n">
        <v>972.99</v>
      </c>
      <c r="L3425" t="inlineStr">
        <is>
          <t>2025-04-26 10:59:11.381095</t>
        </is>
      </c>
      <c r="M3425">
        <f>VLOOKUP(H3425,'Stage Order'!$A$2:$B$8,2,FALSE)</f>
        <v/>
      </c>
      <c r="N3425">
        <f>IF(G3425&lt;=1,"1. Under 1 hour",IF(G3425&lt;=24,"2. 1-24 hours",IF(G3425&lt;=72,"3. 1-3 days","4. Over 3 days")))</f>
        <v/>
      </c>
      <c r="O3425">
        <f>TEXT(B3425,"YYYY-MM")</f>
        <v/>
      </c>
    </row>
    <row r="3426">
      <c r="A3426" t="inlineStr">
        <is>
          <t>LD-303424</t>
        </is>
      </c>
      <c r="B3426" t="inlineStr">
        <is>
          <t>2025-10-02 11:43:00</t>
        </is>
      </c>
      <c r="C3426" t="inlineStr">
        <is>
          <t>Social Media</t>
        </is>
      </c>
      <c r="D3426" t="inlineStr">
        <is>
          <t>Competitive Exam Prep</t>
        </is>
      </c>
      <c r="E3426" t="inlineStr">
        <is>
          <t>West Region</t>
        </is>
      </c>
      <c r="F3426" t="inlineStr">
        <is>
          <t>Rep_08</t>
        </is>
      </c>
      <c r="G3426" t="n">
        <v>3.68</v>
      </c>
      <c r="H3426" t="inlineStr">
        <is>
          <t>Contacted</t>
        </is>
      </c>
      <c r="I3426" t="inlineStr">
        <is>
          <t>Open</t>
        </is>
      </c>
      <c r="M3426">
        <f>VLOOKUP(H3426,'Stage Order'!$A$2:$B$8,2,FALSE)</f>
        <v/>
      </c>
      <c r="N3426">
        <f>IF(G3426&lt;=1,"1. Under 1 hour",IF(G3426&lt;=24,"2. 1-24 hours",IF(G3426&lt;=72,"3. 1-3 days","4. Over 3 days")))</f>
        <v/>
      </c>
      <c r="O3426">
        <f>TEXT(B3426,"YYYY-MM")</f>
        <v/>
      </c>
    </row>
    <row r="3427">
      <c r="A3427" t="inlineStr">
        <is>
          <t>LD-303425</t>
        </is>
      </c>
      <c r="B3427" t="inlineStr">
        <is>
          <t>2025-09-18 18:16:00</t>
        </is>
      </c>
      <c r="C3427" t="inlineStr">
        <is>
          <t>Webinar</t>
        </is>
      </c>
      <c r="D3427" t="inlineStr">
        <is>
          <t>Coding for Kids</t>
        </is>
      </c>
      <c r="E3427" t="inlineStr">
        <is>
          <t>East Region</t>
        </is>
      </c>
      <c r="F3427" t="inlineStr">
        <is>
          <t>Rep_04</t>
        </is>
      </c>
      <c r="G3427" t="n">
        <v>3.62</v>
      </c>
      <c r="H3427" t="inlineStr">
        <is>
          <t>Closed</t>
        </is>
      </c>
      <c r="I3427" t="inlineStr">
        <is>
          <t>Won</t>
        </is>
      </c>
      <c r="K3427" t="n">
        <v>707.5700000000001</v>
      </c>
      <c r="L3427" t="inlineStr">
        <is>
          <t>2025-10-21 21:25:11.113666</t>
        </is>
      </c>
      <c r="M3427">
        <f>VLOOKUP(H3427,'Stage Order'!$A$2:$B$8,2,FALSE)</f>
        <v/>
      </c>
      <c r="N3427">
        <f>IF(G3427&lt;=1,"1. Under 1 hour",IF(G3427&lt;=24,"2. 1-24 hours",IF(G3427&lt;=72,"3. 1-3 days","4. Over 3 days")))</f>
        <v/>
      </c>
      <c r="O3427">
        <f>TEXT(B3427,"YYYY-MM")</f>
        <v/>
      </c>
    </row>
    <row r="3428">
      <c r="A3428" t="inlineStr">
        <is>
          <t>LD-303426</t>
        </is>
      </c>
      <c r="B3428" t="inlineStr">
        <is>
          <t>2025-10-17 13:16:00</t>
        </is>
      </c>
      <c r="C3428" t="inlineStr">
        <is>
          <t>Paid Search</t>
        </is>
      </c>
      <c r="D3428" t="inlineStr">
        <is>
          <t>Language Learning</t>
        </is>
      </c>
      <c r="E3428" t="inlineStr">
        <is>
          <t>West Region</t>
        </is>
      </c>
      <c r="F3428" t="inlineStr">
        <is>
          <t>Rep_08</t>
        </is>
      </c>
      <c r="G3428" t="n">
        <v>2.52</v>
      </c>
      <c r="H3428" t="inlineStr">
        <is>
          <t>Negotiation</t>
        </is>
      </c>
      <c r="I3428" t="inlineStr">
        <is>
          <t>Lost</t>
        </is>
      </c>
      <c r="J3428" t="inlineStr">
        <is>
          <t>No Response / Ghosted</t>
        </is>
      </c>
      <c r="K3428" t="n">
        <v>371.57</v>
      </c>
      <c r="L3428" t="inlineStr">
        <is>
          <t>2025-12-13 18:55:23.234759</t>
        </is>
      </c>
      <c r="M3428">
        <f>VLOOKUP(H3428,'Stage Order'!$A$2:$B$8,2,FALSE)</f>
        <v/>
      </c>
      <c r="N3428">
        <f>IF(G3428&lt;=1,"1. Under 1 hour",IF(G3428&lt;=24,"2. 1-24 hours",IF(G3428&lt;=72,"3. 1-3 days","4. Over 3 days")))</f>
        <v/>
      </c>
      <c r="O3428">
        <f>TEXT(B3428,"YYYY-MM")</f>
        <v/>
      </c>
    </row>
    <row r="3429">
      <c r="A3429" t="inlineStr">
        <is>
          <t>LD-303427</t>
        </is>
      </c>
      <c r="B3429" t="inlineStr">
        <is>
          <t>2025-11-30 20:28:00</t>
        </is>
      </c>
      <c r="C3429" t="inlineStr">
        <is>
          <t>Cold Outreach</t>
        </is>
      </c>
      <c r="D3429" t="inlineStr">
        <is>
          <t>Study Abroad Prep</t>
        </is>
      </c>
      <c r="E3429" t="inlineStr">
        <is>
          <t>International</t>
        </is>
      </c>
      <c r="F3429" t="inlineStr">
        <is>
          <t>Rep_10</t>
        </is>
      </c>
      <c r="G3429" t="n">
        <v>3.59</v>
      </c>
      <c r="H3429" t="inlineStr">
        <is>
          <t>Contacted</t>
        </is>
      </c>
      <c r="I3429" t="inlineStr">
        <is>
          <t>Open</t>
        </is>
      </c>
      <c r="M3429">
        <f>VLOOKUP(H3429,'Stage Order'!$A$2:$B$8,2,FALSE)</f>
        <v/>
      </c>
      <c r="N3429">
        <f>IF(G3429&lt;=1,"1. Under 1 hour",IF(G3429&lt;=24,"2. 1-24 hours",IF(G3429&lt;=72,"3. 1-3 days","4. Over 3 days")))</f>
        <v/>
      </c>
      <c r="O3429">
        <f>TEXT(B3429,"YYYY-MM")</f>
        <v/>
      </c>
    </row>
    <row r="3430">
      <c r="A3430" t="inlineStr">
        <is>
          <t>LD-303428</t>
        </is>
      </c>
      <c r="B3430" t="inlineStr">
        <is>
          <t>2025-05-16 17:46:00</t>
        </is>
      </c>
      <c r="C3430" t="inlineStr">
        <is>
          <t>Cold Outreach</t>
        </is>
      </c>
      <c r="D3430" t="inlineStr">
        <is>
          <t>Coding for Kids</t>
        </is>
      </c>
      <c r="E3430" t="inlineStr">
        <is>
          <t>South Region</t>
        </is>
      </c>
      <c r="F3430" t="inlineStr">
        <is>
          <t>Rep_02</t>
        </is>
      </c>
      <c r="G3430" t="n">
        <v>2.44</v>
      </c>
      <c r="H3430" t="inlineStr">
        <is>
          <t>Lead</t>
        </is>
      </c>
      <c r="I3430" t="inlineStr">
        <is>
          <t>Open</t>
        </is>
      </c>
      <c r="M3430">
        <f>VLOOKUP(H3430,'Stage Order'!$A$2:$B$8,2,FALSE)</f>
        <v/>
      </c>
      <c r="N3430">
        <f>IF(G3430&lt;=1,"1. Under 1 hour",IF(G3430&lt;=24,"2. 1-24 hours",IF(G3430&lt;=72,"3. 1-3 days","4. Over 3 days")))</f>
        <v/>
      </c>
      <c r="O3430">
        <f>TEXT(B3430,"YYYY-MM")</f>
        <v/>
      </c>
    </row>
    <row r="3431">
      <c r="A3431" t="inlineStr">
        <is>
          <t>LD-303429</t>
        </is>
      </c>
      <c r="B3431" t="inlineStr">
        <is>
          <t>2025-02-14 16:40:00</t>
        </is>
      </c>
      <c r="C3431" t="inlineStr">
        <is>
          <t>Referral</t>
        </is>
      </c>
      <c r="D3431" t="inlineStr">
        <is>
          <t>K-12 Math</t>
        </is>
      </c>
      <c r="E3431" t="inlineStr">
        <is>
          <t>East Region</t>
        </is>
      </c>
      <c r="F3431" t="inlineStr">
        <is>
          <t>Rep_14</t>
        </is>
      </c>
      <c r="G3431" t="n">
        <v>4.54</v>
      </c>
      <c r="H3431" t="inlineStr">
        <is>
          <t>Closed</t>
        </is>
      </c>
      <c r="I3431" t="inlineStr">
        <is>
          <t>Won</t>
        </is>
      </c>
      <c r="K3431" t="n">
        <v>476.94</v>
      </c>
      <c r="L3431" t="inlineStr">
        <is>
          <t>2025-04-03 23:50:24.765604</t>
        </is>
      </c>
      <c r="M3431">
        <f>VLOOKUP(H3431,'Stage Order'!$A$2:$B$8,2,FALSE)</f>
        <v/>
      </c>
      <c r="N3431">
        <f>IF(G3431&lt;=1,"1. Under 1 hour",IF(G3431&lt;=24,"2. 1-24 hours",IF(G3431&lt;=72,"3. 1-3 days","4. Over 3 days")))</f>
        <v/>
      </c>
      <c r="O3431">
        <f>TEXT(B3431,"YYYY-MM")</f>
        <v/>
      </c>
    </row>
    <row r="3432">
      <c r="A3432" t="inlineStr">
        <is>
          <t>LD-303430</t>
        </is>
      </c>
      <c r="B3432" t="inlineStr">
        <is>
          <t>2025-06-27 08:57:00</t>
        </is>
      </c>
      <c r="C3432" t="inlineStr">
        <is>
          <t>Cold Outreach</t>
        </is>
      </c>
      <c r="D3432" t="inlineStr">
        <is>
          <t>Competitive Exam Prep</t>
        </is>
      </c>
      <c r="E3432" t="inlineStr">
        <is>
          <t>South Region</t>
        </is>
      </c>
      <c r="F3432" t="inlineStr">
        <is>
          <t>Rep_02</t>
        </is>
      </c>
      <c r="G3432" t="n">
        <v>1.94</v>
      </c>
      <c r="H3432" t="inlineStr">
        <is>
          <t>Contacted</t>
        </is>
      </c>
      <c r="I3432" t="inlineStr">
        <is>
          <t>Open</t>
        </is>
      </c>
      <c r="M3432">
        <f>VLOOKUP(H3432,'Stage Order'!$A$2:$B$8,2,FALSE)</f>
        <v/>
      </c>
      <c r="N3432">
        <f>IF(G3432&lt;=1,"1. Under 1 hour",IF(G3432&lt;=24,"2. 1-24 hours",IF(G3432&lt;=72,"3. 1-3 days","4. Over 3 days")))</f>
        <v/>
      </c>
      <c r="O3432">
        <f>TEXT(B3432,"YYYY-MM")</f>
        <v/>
      </c>
    </row>
    <row r="3433">
      <c r="A3433" t="inlineStr">
        <is>
          <t>LD-303431</t>
        </is>
      </c>
      <c r="B3433" t="inlineStr">
        <is>
          <t>2025-02-21 19:08:00</t>
        </is>
      </c>
      <c r="C3433" t="inlineStr">
        <is>
          <t>Referral</t>
        </is>
      </c>
      <c r="D3433" t="inlineStr">
        <is>
          <t>Competitive Exam Prep</t>
        </is>
      </c>
      <c r="E3433" t="inlineStr">
        <is>
          <t>North Region</t>
        </is>
      </c>
      <c r="F3433" t="inlineStr">
        <is>
          <t>Rep_11</t>
        </is>
      </c>
      <c r="G3433" t="n">
        <v>9.66</v>
      </c>
      <c r="H3433" t="inlineStr">
        <is>
          <t>Closed</t>
        </is>
      </c>
      <c r="I3433" t="inlineStr">
        <is>
          <t>Won</t>
        </is>
      </c>
      <c r="K3433" t="n">
        <v>1080.73</v>
      </c>
      <c r="L3433" t="inlineStr">
        <is>
          <t>2025-04-18 16:15:12.510969</t>
        </is>
      </c>
      <c r="M3433">
        <f>VLOOKUP(H3433,'Stage Order'!$A$2:$B$8,2,FALSE)</f>
        <v/>
      </c>
      <c r="N3433">
        <f>IF(G3433&lt;=1,"1. Under 1 hour",IF(G3433&lt;=24,"2. 1-24 hours",IF(G3433&lt;=72,"3. 1-3 days","4. Over 3 days")))</f>
        <v/>
      </c>
      <c r="O3433">
        <f>TEXT(B3433,"YYYY-MM")</f>
        <v/>
      </c>
    </row>
    <row r="3434">
      <c r="A3434" t="inlineStr">
        <is>
          <t>LD-303432</t>
        </is>
      </c>
      <c r="B3434" t="inlineStr">
        <is>
          <t>2025-12-30 15:30:00</t>
        </is>
      </c>
      <c r="C3434" t="inlineStr">
        <is>
          <t>Organic Search</t>
        </is>
      </c>
      <c r="D3434" t="inlineStr">
        <is>
          <t>K-12 Math</t>
        </is>
      </c>
      <c r="E3434" t="inlineStr">
        <is>
          <t>South Region</t>
        </is>
      </c>
      <c r="F3434" t="inlineStr">
        <is>
          <t>Rep_02</t>
        </is>
      </c>
      <c r="G3434" t="n">
        <v>7.99</v>
      </c>
      <c r="H3434" t="inlineStr">
        <is>
          <t>Closed</t>
        </is>
      </c>
      <c r="I3434" t="inlineStr">
        <is>
          <t>Won</t>
        </is>
      </c>
      <c r="K3434" t="n">
        <v>550.5</v>
      </c>
      <c r="L3434" t="inlineStr">
        <is>
          <t>2026-02-18 21:01:53.729607</t>
        </is>
      </c>
      <c r="M3434">
        <f>VLOOKUP(H3434,'Stage Order'!$A$2:$B$8,2,FALSE)</f>
        <v/>
      </c>
      <c r="N3434">
        <f>IF(G3434&lt;=1,"1. Under 1 hour",IF(G3434&lt;=24,"2. 1-24 hours",IF(G3434&lt;=72,"3. 1-3 days","4. Over 3 days")))</f>
        <v/>
      </c>
      <c r="O3434">
        <f>TEXT(B3434,"YYYY-MM")</f>
        <v/>
      </c>
    </row>
    <row r="3435">
      <c r="A3435" t="inlineStr">
        <is>
          <t>LD-303433</t>
        </is>
      </c>
      <c r="B3435" t="inlineStr">
        <is>
          <t>2025-10-17 07:22:00</t>
        </is>
      </c>
      <c r="C3435" t="inlineStr">
        <is>
          <t>Social Media</t>
        </is>
      </c>
      <c r="D3435" t="inlineStr">
        <is>
          <t>Competitive Exam Prep</t>
        </is>
      </c>
      <c r="E3435" t="inlineStr">
        <is>
          <t>West Region</t>
        </is>
      </c>
      <c r="F3435" t="inlineStr">
        <is>
          <t>Rep_08</t>
        </is>
      </c>
      <c r="G3435" t="n">
        <v>2.57</v>
      </c>
      <c r="H3435" t="inlineStr">
        <is>
          <t>Negotiation</t>
        </is>
      </c>
      <c r="I3435" t="inlineStr">
        <is>
          <t>Lost</t>
        </is>
      </c>
      <c r="J3435" t="inlineStr">
        <is>
          <t>Went With Competitor</t>
        </is>
      </c>
      <c r="K3435" t="n">
        <v>1088.39</v>
      </c>
      <c r="L3435" t="inlineStr">
        <is>
          <t>2025-11-26 23:22:00.683470</t>
        </is>
      </c>
      <c r="M3435">
        <f>VLOOKUP(H3435,'Stage Order'!$A$2:$B$8,2,FALSE)</f>
        <v/>
      </c>
      <c r="N3435">
        <f>IF(G3435&lt;=1,"1. Under 1 hour",IF(G3435&lt;=24,"2. 1-24 hours",IF(G3435&lt;=72,"3. 1-3 days","4. Over 3 days")))</f>
        <v/>
      </c>
      <c r="O3435">
        <f>TEXT(B3435,"YYYY-MM")</f>
        <v/>
      </c>
    </row>
    <row r="3436">
      <c r="A3436" t="inlineStr">
        <is>
          <t>LD-303434</t>
        </is>
      </c>
      <c r="B3436" t="inlineStr">
        <is>
          <t>2025-12-24 08:02:00</t>
        </is>
      </c>
      <c r="C3436" t="inlineStr">
        <is>
          <t>Partner Channel</t>
        </is>
      </c>
      <c r="D3436" t="inlineStr">
        <is>
          <t>K-12 Math</t>
        </is>
      </c>
      <c r="E3436" t="inlineStr">
        <is>
          <t>East Region</t>
        </is>
      </c>
      <c r="F3436" t="inlineStr">
        <is>
          <t>Rep_09</t>
        </is>
      </c>
      <c r="G3436" t="n">
        <v>0.6</v>
      </c>
      <c r="H3436" t="inlineStr">
        <is>
          <t>Contacted</t>
        </is>
      </c>
      <c r="I3436" t="inlineStr">
        <is>
          <t>Open</t>
        </is>
      </c>
      <c r="M3436">
        <f>VLOOKUP(H3436,'Stage Order'!$A$2:$B$8,2,FALSE)</f>
        <v/>
      </c>
      <c r="N3436">
        <f>IF(G3436&lt;=1,"1. Under 1 hour",IF(G3436&lt;=24,"2. 1-24 hours",IF(G3436&lt;=72,"3. 1-3 days","4. Over 3 days")))</f>
        <v/>
      </c>
      <c r="O3436">
        <f>TEXT(B3436,"YYYY-MM")</f>
        <v/>
      </c>
    </row>
    <row r="3437">
      <c r="A3437" t="inlineStr">
        <is>
          <t>LD-303435</t>
        </is>
      </c>
      <c r="B3437" t="inlineStr">
        <is>
          <t>2025-11-05 12:21:00</t>
        </is>
      </c>
      <c r="C3437" t="inlineStr">
        <is>
          <t>Referral</t>
        </is>
      </c>
      <c r="D3437" t="inlineStr">
        <is>
          <t>Language Learning</t>
        </is>
      </c>
      <c r="E3437" t="inlineStr">
        <is>
          <t>North Region</t>
        </is>
      </c>
      <c r="F3437" t="inlineStr">
        <is>
          <t>Rep_11</t>
        </is>
      </c>
      <c r="G3437" t="n">
        <v>2</v>
      </c>
      <c r="H3437" t="inlineStr">
        <is>
          <t>Closed</t>
        </is>
      </c>
      <c r="I3437" t="inlineStr">
        <is>
          <t>Won</t>
        </is>
      </c>
      <c r="K3437" t="n">
        <v>328.42</v>
      </c>
      <c r="L3437" t="inlineStr">
        <is>
          <t>2025-12-12 10:03:56.410758</t>
        </is>
      </c>
      <c r="M3437">
        <f>VLOOKUP(H3437,'Stage Order'!$A$2:$B$8,2,FALSE)</f>
        <v/>
      </c>
      <c r="N3437">
        <f>IF(G3437&lt;=1,"1. Under 1 hour",IF(G3437&lt;=24,"2. 1-24 hours",IF(G3437&lt;=72,"3. 1-3 days","4. Over 3 days")))</f>
        <v/>
      </c>
      <c r="O3437">
        <f>TEXT(B3437,"YYYY-MM")</f>
        <v/>
      </c>
    </row>
    <row r="3438">
      <c r="A3438" t="inlineStr">
        <is>
          <t>LD-303436</t>
        </is>
      </c>
      <c r="B3438" t="inlineStr">
        <is>
          <t>2025-10-03 09:20:00</t>
        </is>
      </c>
      <c r="C3438" t="inlineStr">
        <is>
          <t>Social Media</t>
        </is>
      </c>
      <c r="D3438" t="inlineStr">
        <is>
          <t>Competitive Exam Prep</t>
        </is>
      </c>
      <c r="E3438" t="inlineStr">
        <is>
          <t>South Region</t>
        </is>
      </c>
      <c r="F3438" t="inlineStr">
        <is>
          <t>Rep_02</t>
        </is>
      </c>
      <c r="G3438" t="n">
        <v>5.31</v>
      </c>
      <c r="H3438" t="inlineStr">
        <is>
          <t>Negotiation</t>
        </is>
      </c>
      <c r="I3438" t="inlineStr">
        <is>
          <t>Lost</t>
        </is>
      </c>
      <c r="J3438" t="inlineStr">
        <is>
          <t>Price Objection</t>
        </is>
      </c>
      <c r="K3438" t="n">
        <v>990.6</v>
      </c>
      <c r="L3438" t="inlineStr">
        <is>
          <t>2025-11-20 08:54:06.686753</t>
        </is>
      </c>
      <c r="M3438">
        <f>VLOOKUP(H3438,'Stage Order'!$A$2:$B$8,2,FALSE)</f>
        <v/>
      </c>
      <c r="N3438">
        <f>IF(G3438&lt;=1,"1. Under 1 hour",IF(G3438&lt;=24,"2. 1-24 hours",IF(G3438&lt;=72,"3. 1-3 days","4. Over 3 days")))</f>
        <v/>
      </c>
      <c r="O3438">
        <f>TEXT(B3438,"YYYY-MM")</f>
        <v/>
      </c>
    </row>
    <row r="3439">
      <c r="A3439" t="inlineStr">
        <is>
          <t>LD-303437</t>
        </is>
      </c>
      <c r="B3439" t="inlineStr">
        <is>
          <t>2025-03-31 09:57:00</t>
        </is>
      </c>
      <c r="C3439" t="inlineStr">
        <is>
          <t>Paid Search</t>
        </is>
      </c>
      <c r="D3439" t="inlineStr">
        <is>
          <t>K-12 Math</t>
        </is>
      </c>
      <c r="E3439" t="inlineStr">
        <is>
          <t>South Region</t>
        </is>
      </c>
      <c r="F3439" t="inlineStr">
        <is>
          <t>Rep_02</t>
        </is>
      </c>
      <c r="G3439" t="n">
        <v>3.54</v>
      </c>
      <c r="H3439" t="inlineStr">
        <is>
          <t>Demo Scheduled</t>
        </is>
      </c>
      <c r="I3439" t="inlineStr">
        <is>
          <t>Open</t>
        </is>
      </c>
      <c r="M3439">
        <f>VLOOKUP(H3439,'Stage Order'!$A$2:$B$8,2,FALSE)</f>
        <v/>
      </c>
      <c r="N3439">
        <f>IF(G3439&lt;=1,"1. Under 1 hour",IF(G3439&lt;=24,"2. 1-24 hours",IF(G3439&lt;=72,"3. 1-3 days","4. Over 3 days")))</f>
        <v/>
      </c>
      <c r="O3439">
        <f>TEXT(B3439,"YYYY-MM")</f>
        <v/>
      </c>
    </row>
    <row r="3440">
      <c r="A3440" t="inlineStr">
        <is>
          <t>LD-303438</t>
        </is>
      </c>
      <c r="B3440" t="inlineStr">
        <is>
          <t>2025-11-17 16:13:00</t>
        </is>
      </c>
      <c r="C3440" t="inlineStr">
        <is>
          <t>Organic Search</t>
        </is>
      </c>
      <c r="D3440" t="inlineStr">
        <is>
          <t>Study Abroad Prep</t>
        </is>
      </c>
      <c r="E3440" t="inlineStr">
        <is>
          <t>North Region</t>
        </is>
      </c>
      <c r="F3440" t="inlineStr">
        <is>
          <t>Rep_11</t>
        </is>
      </c>
      <c r="G3440" t="n">
        <v>1.11</v>
      </c>
      <c r="H3440" t="inlineStr">
        <is>
          <t>Negotiation</t>
        </is>
      </c>
      <c r="I3440" t="inlineStr">
        <is>
          <t>Lost</t>
        </is>
      </c>
      <c r="J3440" t="inlineStr">
        <is>
          <t>Price Objection</t>
        </is>
      </c>
      <c r="K3440" t="n">
        <v>1600.16</v>
      </c>
      <c r="L3440" t="inlineStr">
        <is>
          <t>2025-12-18 12:18:28.045514</t>
        </is>
      </c>
      <c r="M3440">
        <f>VLOOKUP(H3440,'Stage Order'!$A$2:$B$8,2,FALSE)</f>
        <v/>
      </c>
      <c r="N3440">
        <f>IF(G3440&lt;=1,"1. Under 1 hour",IF(G3440&lt;=24,"2. 1-24 hours",IF(G3440&lt;=72,"3. 1-3 days","4. Over 3 days")))</f>
        <v/>
      </c>
      <c r="O3440">
        <f>TEXT(B3440,"YYYY-MM")</f>
        <v/>
      </c>
    </row>
    <row r="3441">
      <c r="A3441" t="inlineStr">
        <is>
          <t>LD-303439</t>
        </is>
      </c>
      <c r="B3441" t="inlineStr">
        <is>
          <t>2026-02-09 08:09:00</t>
        </is>
      </c>
      <c r="C3441" t="inlineStr">
        <is>
          <t>Cold Outreach</t>
        </is>
      </c>
      <c r="D3441" t="inlineStr">
        <is>
          <t>Coding for Kids</t>
        </is>
      </c>
      <c r="E3441" t="inlineStr">
        <is>
          <t>East Region</t>
        </is>
      </c>
      <c r="F3441" t="inlineStr">
        <is>
          <t>Rep_14</t>
        </is>
      </c>
      <c r="G3441" t="n">
        <v>1.85</v>
      </c>
      <c r="H3441" t="inlineStr">
        <is>
          <t>Lead</t>
        </is>
      </c>
      <c r="I3441" t="inlineStr">
        <is>
          <t>Open</t>
        </is>
      </c>
      <c r="M3441">
        <f>VLOOKUP(H3441,'Stage Order'!$A$2:$B$8,2,FALSE)</f>
        <v/>
      </c>
      <c r="N3441">
        <f>IF(G3441&lt;=1,"1. Under 1 hour",IF(G3441&lt;=24,"2. 1-24 hours",IF(G3441&lt;=72,"3. 1-3 days","4. Over 3 days")))</f>
        <v/>
      </c>
      <c r="O3441">
        <f>TEXT(B3441,"YYYY-MM")</f>
        <v/>
      </c>
    </row>
    <row r="3442">
      <c r="A3442" t="inlineStr">
        <is>
          <t>LD-303440</t>
        </is>
      </c>
      <c r="B3442" t="inlineStr">
        <is>
          <t>2025-04-28 08:29:00</t>
        </is>
      </c>
      <c r="C3442" t="inlineStr">
        <is>
          <t>Partner Channel</t>
        </is>
      </c>
      <c r="D3442" t="inlineStr">
        <is>
          <t>Language Learning</t>
        </is>
      </c>
      <c r="E3442" t="inlineStr">
        <is>
          <t>South Region</t>
        </is>
      </c>
      <c r="F3442" t="inlineStr">
        <is>
          <t>Rep_02</t>
        </is>
      </c>
      <c r="G3442" t="n">
        <v>15.08</v>
      </c>
      <c r="H3442" t="inlineStr">
        <is>
          <t>Closed</t>
        </is>
      </c>
      <c r="I3442" t="inlineStr">
        <is>
          <t>Won</t>
        </is>
      </c>
      <c r="K3442" t="n">
        <v>293.53</v>
      </c>
      <c r="L3442" t="inlineStr">
        <is>
          <t>2025-06-09 19:45:24.590609</t>
        </is>
      </c>
      <c r="M3442">
        <f>VLOOKUP(H3442,'Stage Order'!$A$2:$B$8,2,FALSE)</f>
        <v/>
      </c>
      <c r="N3442">
        <f>IF(G3442&lt;=1,"1. Under 1 hour",IF(G3442&lt;=24,"2. 1-24 hours",IF(G3442&lt;=72,"3. 1-3 days","4. Over 3 days")))</f>
        <v/>
      </c>
      <c r="O3442">
        <f>TEXT(B3442,"YYYY-MM")</f>
        <v/>
      </c>
    </row>
    <row r="3443">
      <c r="A3443" t="inlineStr">
        <is>
          <t>LD-303441</t>
        </is>
      </c>
      <c r="B3443" t="inlineStr">
        <is>
          <t>2026-04-20 17:06:00</t>
        </is>
      </c>
      <c r="C3443" t="inlineStr">
        <is>
          <t>Paid Search</t>
        </is>
      </c>
      <c r="D3443" t="inlineStr">
        <is>
          <t>K-12 Math</t>
        </is>
      </c>
      <c r="E3443" t="inlineStr">
        <is>
          <t>East Region</t>
        </is>
      </c>
      <c r="F3443" t="inlineStr">
        <is>
          <t>Rep_09</t>
        </is>
      </c>
      <c r="G3443" t="n">
        <v>7.59</v>
      </c>
      <c r="H3443" t="inlineStr">
        <is>
          <t>Contacted</t>
        </is>
      </c>
      <c r="I3443" t="inlineStr">
        <is>
          <t>Open</t>
        </is>
      </c>
      <c r="M3443">
        <f>VLOOKUP(H3443,'Stage Order'!$A$2:$B$8,2,FALSE)</f>
        <v/>
      </c>
      <c r="N3443">
        <f>IF(G3443&lt;=1,"1. Under 1 hour",IF(G3443&lt;=24,"2. 1-24 hours",IF(G3443&lt;=72,"3. 1-3 days","4. Over 3 days")))</f>
        <v/>
      </c>
      <c r="O3443">
        <f>TEXT(B3443,"YYYY-MM")</f>
        <v/>
      </c>
    </row>
    <row r="3444">
      <c r="A3444" t="inlineStr">
        <is>
          <t>LD-303442</t>
        </is>
      </c>
      <c r="B3444" t="inlineStr">
        <is>
          <t>2026-04-10 15:05:00</t>
        </is>
      </c>
      <c r="C3444" t="inlineStr">
        <is>
          <t>Organic Search</t>
        </is>
      </c>
      <c r="D3444" t="inlineStr">
        <is>
          <t>K-12 Math</t>
        </is>
      </c>
      <c r="E3444" t="inlineStr">
        <is>
          <t>East Region</t>
        </is>
      </c>
      <c r="F3444" t="inlineStr">
        <is>
          <t>Rep_04</t>
        </is>
      </c>
      <c r="G3444" t="n">
        <v>4.78</v>
      </c>
      <c r="H3444" t="inlineStr">
        <is>
          <t>Lead</t>
        </is>
      </c>
      <c r="I3444" t="inlineStr">
        <is>
          <t>Open</t>
        </is>
      </c>
      <c r="M3444">
        <f>VLOOKUP(H3444,'Stage Order'!$A$2:$B$8,2,FALSE)</f>
        <v/>
      </c>
      <c r="N3444">
        <f>IF(G3444&lt;=1,"1. Under 1 hour",IF(G3444&lt;=24,"2. 1-24 hours",IF(G3444&lt;=72,"3. 1-3 days","4. Over 3 days")))</f>
        <v/>
      </c>
      <c r="O3444">
        <f>TEXT(B3444,"YYYY-MM")</f>
        <v/>
      </c>
    </row>
    <row r="3445">
      <c r="A3445" t="inlineStr">
        <is>
          <t>LD-303443</t>
        </is>
      </c>
      <c r="B3445" t="inlineStr">
        <is>
          <t>2026-05-08 14:12:00</t>
        </is>
      </c>
      <c r="C3445" t="inlineStr">
        <is>
          <t>Paid Search</t>
        </is>
      </c>
      <c r="D3445" t="inlineStr">
        <is>
          <t>Coding for Kids</t>
        </is>
      </c>
      <c r="E3445" t="inlineStr">
        <is>
          <t>South Region</t>
        </is>
      </c>
      <c r="F3445" t="inlineStr">
        <is>
          <t>Rep_12</t>
        </is>
      </c>
      <c r="G3445" t="n">
        <v>1.93</v>
      </c>
      <c r="H3445" t="inlineStr">
        <is>
          <t>Contacted</t>
        </is>
      </c>
      <c r="I3445" t="inlineStr">
        <is>
          <t>Open</t>
        </is>
      </c>
      <c r="M3445">
        <f>VLOOKUP(H3445,'Stage Order'!$A$2:$B$8,2,FALSE)</f>
        <v/>
      </c>
      <c r="N3445">
        <f>IF(G3445&lt;=1,"1. Under 1 hour",IF(G3445&lt;=24,"2. 1-24 hours",IF(G3445&lt;=72,"3. 1-3 days","4. Over 3 days")))</f>
        <v/>
      </c>
      <c r="O3445">
        <f>TEXT(B3445,"YYYY-MM")</f>
        <v/>
      </c>
    </row>
    <row r="3446">
      <c r="A3446" t="inlineStr">
        <is>
          <t>LD-303444</t>
        </is>
      </c>
      <c r="B3446" t="inlineStr">
        <is>
          <t>2026-03-11 19:00:00</t>
        </is>
      </c>
      <c r="C3446" t="inlineStr">
        <is>
          <t>Paid Search</t>
        </is>
      </c>
      <c r="D3446" t="inlineStr">
        <is>
          <t>Coding for Kids</t>
        </is>
      </c>
      <c r="E3446" t="inlineStr">
        <is>
          <t>North Region</t>
        </is>
      </c>
      <c r="F3446" t="inlineStr">
        <is>
          <t>Rep_11</t>
        </is>
      </c>
      <c r="G3446" t="n">
        <v>1.46</v>
      </c>
      <c r="H3446" t="inlineStr">
        <is>
          <t>Demo Completed</t>
        </is>
      </c>
      <c r="I3446" t="inlineStr">
        <is>
          <t>Lost</t>
        </is>
      </c>
      <c r="J3446" t="inlineStr">
        <is>
          <t>Price Objection</t>
        </is>
      </c>
      <c r="K3446" t="n">
        <v>579.9299999999999</v>
      </c>
      <c r="L3446" t="inlineStr">
        <is>
          <t>2026-04-08 13:19:24.114934</t>
        </is>
      </c>
      <c r="M3446">
        <f>VLOOKUP(H3446,'Stage Order'!$A$2:$B$8,2,FALSE)</f>
        <v/>
      </c>
      <c r="N3446">
        <f>IF(G3446&lt;=1,"1. Under 1 hour",IF(G3446&lt;=24,"2. 1-24 hours",IF(G3446&lt;=72,"3. 1-3 days","4. Over 3 days")))</f>
        <v/>
      </c>
      <c r="O3446">
        <f>TEXT(B3446,"YYYY-MM")</f>
        <v/>
      </c>
    </row>
    <row r="3447">
      <c r="A3447" t="inlineStr">
        <is>
          <t>LD-303445</t>
        </is>
      </c>
      <c r="B3447" t="inlineStr">
        <is>
          <t>2025-01-06 10:13:00</t>
        </is>
      </c>
      <c r="C3447" t="inlineStr">
        <is>
          <t>Organic Search</t>
        </is>
      </c>
      <c r="D3447" t="inlineStr">
        <is>
          <t>K-12 Math</t>
        </is>
      </c>
      <c r="E3447" t="inlineStr">
        <is>
          <t>North Region</t>
        </is>
      </c>
      <c r="F3447" t="inlineStr">
        <is>
          <t>Rep_11</t>
        </is>
      </c>
      <c r="G3447" t="n">
        <v>2.75</v>
      </c>
      <c r="H3447" t="inlineStr">
        <is>
          <t>Contacted</t>
        </is>
      </c>
      <c r="I3447" t="inlineStr">
        <is>
          <t>Open</t>
        </is>
      </c>
      <c r="M3447">
        <f>VLOOKUP(H3447,'Stage Order'!$A$2:$B$8,2,FALSE)</f>
        <v/>
      </c>
      <c r="N3447">
        <f>IF(G3447&lt;=1,"1. Under 1 hour",IF(G3447&lt;=24,"2. 1-24 hours",IF(G3447&lt;=72,"3. 1-3 days","4. Over 3 days")))</f>
        <v/>
      </c>
      <c r="O3447">
        <f>TEXT(B3447,"YYYY-MM")</f>
        <v/>
      </c>
    </row>
    <row r="3448">
      <c r="A3448" t="inlineStr">
        <is>
          <t>LD-303446</t>
        </is>
      </c>
      <c r="B3448" t="inlineStr">
        <is>
          <t>2025-05-14 15:55:00</t>
        </is>
      </c>
      <c r="C3448" t="inlineStr">
        <is>
          <t>Social Media</t>
        </is>
      </c>
      <c r="D3448" t="inlineStr">
        <is>
          <t>Study Abroad Prep</t>
        </is>
      </c>
      <c r="E3448" t="inlineStr">
        <is>
          <t>South Region</t>
        </is>
      </c>
      <c r="F3448" t="inlineStr">
        <is>
          <t>Rep_12</t>
        </is>
      </c>
      <c r="G3448" t="n">
        <v>0.97</v>
      </c>
      <c r="H3448" t="inlineStr">
        <is>
          <t>Contacted</t>
        </is>
      </c>
      <c r="I3448" t="inlineStr">
        <is>
          <t>Open</t>
        </is>
      </c>
      <c r="M3448">
        <f>VLOOKUP(H3448,'Stage Order'!$A$2:$B$8,2,FALSE)</f>
        <v/>
      </c>
      <c r="N3448">
        <f>IF(G3448&lt;=1,"1. Under 1 hour",IF(G3448&lt;=24,"2. 1-24 hours",IF(G3448&lt;=72,"3. 1-3 days","4. Over 3 days")))</f>
        <v/>
      </c>
      <c r="O3448">
        <f>TEXT(B3448,"YYYY-MM")</f>
        <v/>
      </c>
    </row>
    <row r="3449">
      <c r="A3449" t="inlineStr">
        <is>
          <t>LD-303447</t>
        </is>
      </c>
      <c r="B3449" t="inlineStr">
        <is>
          <t>2025-06-21 19:57:00</t>
        </is>
      </c>
      <c r="C3449" t="inlineStr">
        <is>
          <t>Referral</t>
        </is>
      </c>
      <c r="D3449" t="inlineStr">
        <is>
          <t>Coding for Kids</t>
        </is>
      </c>
      <c r="E3449" t="inlineStr">
        <is>
          <t>South Region</t>
        </is>
      </c>
      <c r="F3449" t="inlineStr">
        <is>
          <t>Rep_07</t>
        </is>
      </c>
      <c r="G3449" t="n">
        <v>1.83</v>
      </c>
      <c r="H3449" t="inlineStr">
        <is>
          <t>Closed</t>
        </is>
      </c>
      <c r="I3449" t="inlineStr">
        <is>
          <t>Won</t>
        </is>
      </c>
      <c r="K3449" t="n">
        <v>747.37</v>
      </c>
      <c r="L3449" t="inlineStr">
        <is>
          <t>2025-07-22 08:36:28.420199</t>
        </is>
      </c>
      <c r="M3449">
        <f>VLOOKUP(H3449,'Stage Order'!$A$2:$B$8,2,FALSE)</f>
        <v/>
      </c>
      <c r="N3449">
        <f>IF(G3449&lt;=1,"1. Under 1 hour",IF(G3449&lt;=24,"2. 1-24 hours",IF(G3449&lt;=72,"3. 1-3 days","4. Over 3 days")))</f>
        <v/>
      </c>
      <c r="O3449">
        <f>TEXT(B3449,"YYYY-MM")</f>
        <v/>
      </c>
    </row>
    <row r="3450">
      <c r="A3450" t="inlineStr">
        <is>
          <t>LD-303448</t>
        </is>
      </c>
      <c r="B3450" t="inlineStr">
        <is>
          <t>2025-12-02 12:47:00</t>
        </is>
      </c>
      <c r="C3450" t="inlineStr">
        <is>
          <t>Social Media</t>
        </is>
      </c>
      <c r="D3450" t="inlineStr">
        <is>
          <t>Coding for Kids</t>
        </is>
      </c>
      <c r="E3450" t="inlineStr">
        <is>
          <t>East Region</t>
        </is>
      </c>
      <c r="F3450" t="inlineStr">
        <is>
          <t>Rep_09</t>
        </is>
      </c>
      <c r="G3450" t="n">
        <v>4.51</v>
      </c>
      <c r="H3450" t="inlineStr">
        <is>
          <t>Lead</t>
        </is>
      </c>
      <c r="I3450" t="inlineStr">
        <is>
          <t>Open</t>
        </is>
      </c>
      <c r="M3450">
        <f>VLOOKUP(H3450,'Stage Order'!$A$2:$B$8,2,FALSE)</f>
        <v/>
      </c>
      <c r="N3450">
        <f>IF(G3450&lt;=1,"1. Under 1 hour",IF(G3450&lt;=24,"2. 1-24 hours",IF(G3450&lt;=72,"3. 1-3 days","4. Over 3 days")))</f>
        <v/>
      </c>
      <c r="O3450">
        <f>TEXT(B3450,"YYYY-MM")</f>
        <v/>
      </c>
    </row>
    <row r="3451">
      <c r="A3451" t="inlineStr">
        <is>
          <t>LD-303449</t>
        </is>
      </c>
      <c r="B3451" t="inlineStr">
        <is>
          <t>2025-04-21 20:20:00</t>
        </is>
      </c>
      <c r="C3451" t="inlineStr">
        <is>
          <t>Social Media</t>
        </is>
      </c>
      <c r="D3451" t="inlineStr">
        <is>
          <t>Competitive Exam Prep</t>
        </is>
      </c>
      <c r="E3451" t="inlineStr">
        <is>
          <t>International</t>
        </is>
      </c>
      <c r="F3451" t="inlineStr">
        <is>
          <t>Rep_05</t>
        </is>
      </c>
      <c r="G3451" t="n">
        <v>7.11</v>
      </c>
      <c r="H3451" t="inlineStr">
        <is>
          <t>Contacted</t>
        </is>
      </c>
      <c r="I3451" t="inlineStr">
        <is>
          <t>Open</t>
        </is>
      </c>
      <c r="M3451">
        <f>VLOOKUP(H3451,'Stage Order'!$A$2:$B$8,2,FALSE)</f>
        <v/>
      </c>
      <c r="N3451">
        <f>IF(G3451&lt;=1,"1. Under 1 hour",IF(G3451&lt;=24,"2. 1-24 hours",IF(G3451&lt;=72,"3. 1-3 days","4. Over 3 days")))</f>
        <v/>
      </c>
      <c r="O3451">
        <f>TEXT(B3451,"YYYY-MM")</f>
        <v/>
      </c>
    </row>
    <row r="3452">
      <c r="A3452" t="inlineStr">
        <is>
          <t>LD-303450</t>
        </is>
      </c>
      <c r="B3452" t="inlineStr">
        <is>
          <t>2025-11-25 09:29:00</t>
        </is>
      </c>
      <c r="C3452" t="inlineStr">
        <is>
          <t>Social Media</t>
        </is>
      </c>
      <c r="D3452" t="inlineStr">
        <is>
          <t>Study Abroad Prep</t>
        </is>
      </c>
      <c r="E3452" t="inlineStr">
        <is>
          <t>East Region</t>
        </is>
      </c>
      <c r="F3452" t="inlineStr">
        <is>
          <t>Rep_04</t>
        </is>
      </c>
      <c r="G3452" t="n">
        <v>3.92</v>
      </c>
      <c r="H3452" t="inlineStr">
        <is>
          <t>Lead</t>
        </is>
      </c>
      <c r="I3452" t="inlineStr">
        <is>
          <t>Open</t>
        </is>
      </c>
      <c r="M3452">
        <f>VLOOKUP(H3452,'Stage Order'!$A$2:$B$8,2,FALSE)</f>
        <v/>
      </c>
      <c r="N3452">
        <f>IF(G3452&lt;=1,"1. Under 1 hour",IF(G3452&lt;=24,"2. 1-24 hours",IF(G3452&lt;=72,"3. 1-3 days","4. Over 3 days")))</f>
        <v/>
      </c>
      <c r="O3452">
        <f>TEXT(B3452,"YYYY-MM")</f>
        <v/>
      </c>
    </row>
    <row r="3453">
      <c r="A3453" t="inlineStr">
        <is>
          <t>LD-303451</t>
        </is>
      </c>
      <c r="B3453" t="inlineStr">
        <is>
          <t>2025-09-09 08:01:00</t>
        </is>
      </c>
      <c r="C3453" t="inlineStr">
        <is>
          <t>Paid Search</t>
        </is>
      </c>
      <c r="D3453" t="inlineStr">
        <is>
          <t>Language Learning</t>
        </is>
      </c>
      <c r="E3453" t="inlineStr">
        <is>
          <t>West Region</t>
        </is>
      </c>
      <c r="F3453" t="inlineStr">
        <is>
          <t>Rep_08</t>
        </is>
      </c>
      <c r="G3453" t="n">
        <v>3.24</v>
      </c>
      <c r="H3453" t="inlineStr">
        <is>
          <t>Closed</t>
        </is>
      </c>
      <c r="I3453" t="inlineStr">
        <is>
          <t>Won</t>
        </is>
      </c>
      <c r="K3453" t="n">
        <v>314.98</v>
      </c>
      <c r="L3453" t="inlineStr">
        <is>
          <t>2025-10-06 18:09:00.289710</t>
        </is>
      </c>
      <c r="M3453">
        <f>VLOOKUP(H3453,'Stage Order'!$A$2:$B$8,2,FALSE)</f>
        <v/>
      </c>
      <c r="N3453">
        <f>IF(G3453&lt;=1,"1. Under 1 hour",IF(G3453&lt;=24,"2. 1-24 hours",IF(G3453&lt;=72,"3. 1-3 days","4. Over 3 days")))</f>
        <v/>
      </c>
      <c r="O3453">
        <f>TEXT(B3453,"YYYY-MM")</f>
        <v/>
      </c>
    </row>
    <row r="3454">
      <c r="A3454" t="inlineStr">
        <is>
          <t>LD-303452</t>
        </is>
      </c>
      <c r="B3454" t="inlineStr">
        <is>
          <t>2025-03-09 12:11:00</t>
        </is>
      </c>
      <c r="C3454" t="inlineStr">
        <is>
          <t>Partner Channel</t>
        </is>
      </c>
      <c r="D3454" t="inlineStr">
        <is>
          <t>Language Learning</t>
        </is>
      </c>
      <c r="E3454" t="inlineStr">
        <is>
          <t>North Region</t>
        </is>
      </c>
      <c r="F3454" t="inlineStr">
        <is>
          <t>Rep_11</t>
        </is>
      </c>
      <c r="G3454" t="n">
        <v>3.42</v>
      </c>
      <c r="H3454" t="inlineStr">
        <is>
          <t>Closed</t>
        </is>
      </c>
      <c r="I3454" t="inlineStr">
        <is>
          <t>Won</t>
        </is>
      </c>
      <c r="K3454" t="n">
        <v>326.35</v>
      </c>
      <c r="L3454" t="inlineStr">
        <is>
          <t>2025-04-21 05:34:06.338194</t>
        </is>
      </c>
      <c r="M3454">
        <f>VLOOKUP(H3454,'Stage Order'!$A$2:$B$8,2,FALSE)</f>
        <v/>
      </c>
      <c r="N3454">
        <f>IF(G3454&lt;=1,"1. Under 1 hour",IF(G3454&lt;=24,"2. 1-24 hours",IF(G3454&lt;=72,"3. 1-3 days","4. Over 3 days")))</f>
        <v/>
      </c>
      <c r="O3454">
        <f>TEXT(B3454,"YYYY-MM")</f>
        <v/>
      </c>
    </row>
    <row r="3455">
      <c r="A3455" t="inlineStr">
        <is>
          <t>LD-303453</t>
        </is>
      </c>
      <c r="B3455" t="inlineStr">
        <is>
          <t>2025-03-12 14:30:00</t>
        </is>
      </c>
      <c r="C3455" t="inlineStr">
        <is>
          <t>Webinar</t>
        </is>
      </c>
      <c r="D3455" t="inlineStr">
        <is>
          <t>K-12 Math</t>
        </is>
      </c>
      <c r="E3455" t="inlineStr">
        <is>
          <t>West Region</t>
        </is>
      </c>
      <c r="F3455" t="inlineStr">
        <is>
          <t>Rep_13</t>
        </is>
      </c>
      <c r="G3455" t="n">
        <v>4.86</v>
      </c>
      <c r="H3455" t="inlineStr">
        <is>
          <t>Lead</t>
        </is>
      </c>
      <c r="I3455" t="inlineStr">
        <is>
          <t>Open</t>
        </is>
      </c>
      <c r="M3455">
        <f>VLOOKUP(H3455,'Stage Order'!$A$2:$B$8,2,FALSE)</f>
        <v/>
      </c>
      <c r="N3455">
        <f>IF(G3455&lt;=1,"1. Under 1 hour",IF(G3455&lt;=24,"2. 1-24 hours",IF(G3455&lt;=72,"3. 1-3 days","4. Over 3 days")))</f>
        <v/>
      </c>
      <c r="O3455">
        <f>TEXT(B3455,"YYYY-MM")</f>
        <v/>
      </c>
    </row>
    <row r="3456">
      <c r="A3456" t="inlineStr">
        <is>
          <t>LD-303454</t>
        </is>
      </c>
      <c r="B3456" t="inlineStr">
        <is>
          <t>2026-01-13 13:26:00</t>
        </is>
      </c>
      <c r="C3456" t="inlineStr">
        <is>
          <t>Webinar</t>
        </is>
      </c>
      <c r="D3456" t="inlineStr">
        <is>
          <t>Competitive Exam Prep</t>
        </is>
      </c>
      <c r="E3456" t="inlineStr">
        <is>
          <t>International</t>
        </is>
      </c>
      <c r="F3456" t="inlineStr">
        <is>
          <t>Rep_05</t>
        </is>
      </c>
      <c r="G3456" t="n">
        <v>0.85</v>
      </c>
      <c r="H3456" t="inlineStr">
        <is>
          <t>Closed</t>
        </is>
      </c>
      <c r="I3456" t="inlineStr">
        <is>
          <t>Won</t>
        </is>
      </c>
      <c r="K3456" t="n">
        <v>1072.28</v>
      </c>
      <c r="L3456" t="inlineStr">
        <is>
          <t>2026-02-26 12:33:45.331533</t>
        </is>
      </c>
      <c r="M3456">
        <f>VLOOKUP(H3456,'Stage Order'!$A$2:$B$8,2,FALSE)</f>
        <v/>
      </c>
      <c r="N3456">
        <f>IF(G3456&lt;=1,"1. Under 1 hour",IF(G3456&lt;=24,"2. 1-24 hours",IF(G3456&lt;=72,"3. 1-3 days","4. Over 3 days")))</f>
        <v/>
      </c>
      <c r="O3456">
        <f>TEXT(B3456,"YYYY-MM")</f>
        <v/>
      </c>
    </row>
    <row r="3457">
      <c r="A3457" t="inlineStr">
        <is>
          <t>LD-303455</t>
        </is>
      </c>
      <c r="B3457" t="inlineStr">
        <is>
          <t>2026-06-09 14:16:00</t>
        </is>
      </c>
      <c r="C3457" t="inlineStr">
        <is>
          <t>Partner Channel</t>
        </is>
      </c>
      <c r="D3457" t="inlineStr">
        <is>
          <t>Study Abroad Prep</t>
        </is>
      </c>
      <c r="E3457" t="inlineStr">
        <is>
          <t>South Region</t>
        </is>
      </c>
      <c r="F3457" t="inlineStr">
        <is>
          <t>Rep_02</t>
        </is>
      </c>
      <c r="G3457" t="n">
        <v>3.56</v>
      </c>
      <c r="H3457" t="inlineStr">
        <is>
          <t>Closed</t>
        </is>
      </c>
      <c r="I3457" t="inlineStr">
        <is>
          <t>Won</t>
        </is>
      </c>
      <c r="K3457" t="n">
        <v>1589.21</v>
      </c>
      <c r="L3457" t="inlineStr">
        <is>
          <t>2026-08-04 08:37:34.359418</t>
        </is>
      </c>
      <c r="M3457">
        <f>VLOOKUP(H3457,'Stage Order'!$A$2:$B$8,2,FALSE)</f>
        <v/>
      </c>
      <c r="N3457">
        <f>IF(G3457&lt;=1,"1. Under 1 hour",IF(G3457&lt;=24,"2. 1-24 hours",IF(G3457&lt;=72,"3. 1-3 days","4. Over 3 days")))</f>
        <v/>
      </c>
      <c r="O3457">
        <f>TEXT(B3457,"YYYY-MM")</f>
        <v/>
      </c>
    </row>
    <row r="3458">
      <c r="A3458" t="inlineStr">
        <is>
          <t>LD-303456</t>
        </is>
      </c>
      <c r="B3458" t="inlineStr">
        <is>
          <t>2025-08-29 13:42:00</t>
        </is>
      </c>
      <c r="C3458" t="inlineStr">
        <is>
          <t>Cold Outreach</t>
        </is>
      </c>
      <c r="D3458" t="inlineStr">
        <is>
          <t>Language Learning</t>
        </is>
      </c>
      <c r="E3458" t="inlineStr">
        <is>
          <t>North Region</t>
        </is>
      </c>
      <c r="F3458" t="inlineStr">
        <is>
          <t>Rep_11</t>
        </is>
      </c>
      <c r="G3458" t="n">
        <v>1.22</v>
      </c>
      <c r="H3458" t="inlineStr">
        <is>
          <t>Lead</t>
        </is>
      </c>
      <c r="I3458" t="inlineStr">
        <is>
          <t>Open</t>
        </is>
      </c>
      <c r="M3458">
        <f>VLOOKUP(H3458,'Stage Order'!$A$2:$B$8,2,FALSE)</f>
        <v/>
      </c>
      <c r="N3458">
        <f>IF(G3458&lt;=1,"1. Under 1 hour",IF(G3458&lt;=24,"2. 1-24 hours",IF(G3458&lt;=72,"3. 1-3 days","4. Over 3 days")))</f>
        <v/>
      </c>
      <c r="O3458">
        <f>TEXT(B3458,"YYYY-MM")</f>
        <v/>
      </c>
    </row>
    <row r="3459">
      <c r="A3459" t="inlineStr">
        <is>
          <t>LD-303457</t>
        </is>
      </c>
      <c r="B3459" t="inlineStr">
        <is>
          <t>2026-04-19 10:36:00</t>
        </is>
      </c>
      <c r="C3459" t="inlineStr">
        <is>
          <t>Organic Search</t>
        </is>
      </c>
      <c r="D3459" t="inlineStr">
        <is>
          <t>K-12 Math</t>
        </is>
      </c>
      <c r="E3459" t="inlineStr">
        <is>
          <t>West Region</t>
        </is>
      </c>
      <c r="F3459" t="inlineStr">
        <is>
          <t>Rep_08</t>
        </is>
      </c>
      <c r="G3459" t="n">
        <v>0.39</v>
      </c>
      <c r="H3459" t="inlineStr">
        <is>
          <t>Contacted</t>
        </is>
      </c>
      <c r="I3459" t="inlineStr">
        <is>
          <t>Open</t>
        </is>
      </c>
      <c r="M3459">
        <f>VLOOKUP(H3459,'Stage Order'!$A$2:$B$8,2,FALSE)</f>
        <v/>
      </c>
      <c r="N3459">
        <f>IF(G3459&lt;=1,"1. Under 1 hour",IF(G3459&lt;=24,"2. 1-24 hours",IF(G3459&lt;=72,"3. 1-3 days","4. Over 3 days")))</f>
        <v/>
      </c>
      <c r="O3459">
        <f>TEXT(B3459,"YYYY-MM")</f>
        <v/>
      </c>
    </row>
    <row r="3460">
      <c r="A3460" t="inlineStr">
        <is>
          <t>LD-303458</t>
        </is>
      </c>
      <c r="B3460" t="inlineStr">
        <is>
          <t>2025-09-24 16:48:00</t>
        </is>
      </c>
      <c r="C3460" t="inlineStr">
        <is>
          <t>Organic Search</t>
        </is>
      </c>
      <c r="D3460" t="inlineStr">
        <is>
          <t>Competitive Exam Prep</t>
        </is>
      </c>
      <c r="E3460" t="inlineStr">
        <is>
          <t>West Region</t>
        </is>
      </c>
      <c r="F3460" t="inlineStr">
        <is>
          <t>Rep_08</t>
        </is>
      </c>
      <c r="G3460" t="n">
        <v>10.5</v>
      </c>
      <c r="H3460" t="inlineStr">
        <is>
          <t>Proposal Sent</t>
        </is>
      </c>
      <c r="I3460" t="inlineStr">
        <is>
          <t>Lost</t>
        </is>
      </c>
      <c r="J3460" t="inlineStr">
        <is>
          <t>Bad Timing</t>
        </is>
      </c>
      <c r="K3460" t="n">
        <v>921.3099999999999</v>
      </c>
      <c r="L3460" t="inlineStr">
        <is>
          <t>2025-11-03 16:00:45.153917</t>
        </is>
      </c>
      <c r="M3460">
        <f>VLOOKUP(H3460,'Stage Order'!$A$2:$B$8,2,FALSE)</f>
        <v/>
      </c>
      <c r="N3460">
        <f>IF(G3460&lt;=1,"1. Under 1 hour",IF(G3460&lt;=24,"2. 1-24 hours",IF(G3460&lt;=72,"3. 1-3 days","4. Over 3 days")))</f>
        <v/>
      </c>
      <c r="O3460">
        <f>TEXT(B3460,"YYYY-MM")</f>
        <v/>
      </c>
    </row>
    <row r="3461">
      <c r="A3461" t="inlineStr">
        <is>
          <t>LD-303459</t>
        </is>
      </c>
      <c r="B3461" t="inlineStr">
        <is>
          <t>2025-10-31 19:57:00</t>
        </is>
      </c>
      <c r="C3461" t="inlineStr">
        <is>
          <t>Paid Search</t>
        </is>
      </c>
      <c r="D3461" t="inlineStr">
        <is>
          <t>Coding for Kids</t>
        </is>
      </c>
      <c r="E3461" t="inlineStr">
        <is>
          <t>East Region</t>
        </is>
      </c>
      <c r="F3461" t="inlineStr">
        <is>
          <t>Rep_14</t>
        </is>
      </c>
      <c r="G3461" t="n">
        <v>0.48</v>
      </c>
      <c r="H3461" t="inlineStr">
        <is>
          <t>Negotiation</t>
        </is>
      </c>
      <c r="I3461" t="inlineStr">
        <is>
          <t>Lost</t>
        </is>
      </c>
      <c r="J3461" t="inlineStr">
        <is>
          <t>Price Objection</t>
        </is>
      </c>
      <c r="K3461" t="n">
        <v>678.47</v>
      </c>
      <c r="L3461" t="inlineStr">
        <is>
          <t>2025-12-15 15:50:44.262673</t>
        </is>
      </c>
      <c r="M3461">
        <f>VLOOKUP(H3461,'Stage Order'!$A$2:$B$8,2,FALSE)</f>
        <v/>
      </c>
      <c r="N3461">
        <f>IF(G3461&lt;=1,"1. Under 1 hour",IF(G3461&lt;=24,"2. 1-24 hours",IF(G3461&lt;=72,"3. 1-3 days","4. Over 3 days")))</f>
        <v/>
      </c>
      <c r="O3461">
        <f>TEXT(B3461,"YYYY-MM")</f>
        <v/>
      </c>
    </row>
    <row r="3462">
      <c r="A3462" t="inlineStr">
        <is>
          <t>LD-303460</t>
        </is>
      </c>
      <c r="B3462" t="inlineStr">
        <is>
          <t>2026-05-29 07:17:00</t>
        </is>
      </c>
      <c r="C3462" t="inlineStr">
        <is>
          <t>Social Media</t>
        </is>
      </c>
      <c r="D3462" t="inlineStr">
        <is>
          <t>Competitive Exam Prep</t>
        </is>
      </c>
      <c r="E3462" t="inlineStr">
        <is>
          <t>North Region</t>
        </is>
      </c>
      <c r="F3462" t="inlineStr">
        <is>
          <t>Rep_06</t>
        </is>
      </c>
      <c r="G3462" t="n">
        <v>5.97</v>
      </c>
      <c r="H3462" t="inlineStr">
        <is>
          <t>Lead</t>
        </is>
      </c>
      <c r="I3462" t="inlineStr">
        <is>
          <t>Open</t>
        </is>
      </c>
      <c r="M3462">
        <f>VLOOKUP(H3462,'Stage Order'!$A$2:$B$8,2,FALSE)</f>
        <v/>
      </c>
      <c r="N3462">
        <f>IF(G3462&lt;=1,"1. Under 1 hour",IF(G3462&lt;=24,"2. 1-24 hours",IF(G3462&lt;=72,"3. 1-3 days","4. Over 3 days")))</f>
        <v/>
      </c>
      <c r="O3462">
        <f>TEXT(B3462,"YYYY-MM")</f>
        <v/>
      </c>
    </row>
    <row r="3463">
      <c r="A3463" t="inlineStr">
        <is>
          <t>LD-303461</t>
        </is>
      </c>
      <c r="B3463" t="inlineStr">
        <is>
          <t>2026-04-08 19:13:00</t>
        </is>
      </c>
      <c r="C3463" t="inlineStr">
        <is>
          <t>Organic Search</t>
        </is>
      </c>
      <c r="D3463" t="inlineStr">
        <is>
          <t>Competitive Exam Prep</t>
        </is>
      </c>
      <c r="E3463" t="inlineStr">
        <is>
          <t>North Region</t>
        </is>
      </c>
      <c r="F3463" t="inlineStr">
        <is>
          <t>Rep_01</t>
        </is>
      </c>
      <c r="G3463" t="n">
        <v>6.89</v>
      </c>
      <c r="H3463" t="inlineStr">
        <is>
          <t>Contacted</t>
        </is>
      </c>
      <c r="I3463" t="inlineStr">
        <is>
          <t>Open</t>
        </is>
      </c>
      <c r="M3463">
        <f>VLOOKUP(H3463,'Stage Order'!$A$2:$B$8,2,FALSE)</f>
        <v/>
      </c>
      <c r="N3463">
        <f>IF(G3463&lt;=1,"1. Under 1 hour",IF(G3463&lt;=24,"2. 1-24 hours",IF(G3463&lt;=72,"3. 1-3 days","4. Over 3 days")))</f>
        <v/>
      </c>
      <c r="O3463">
        <f>TEXT(B3463,"YYYY-MM")</f>
        <v/>
      </c>
    </row>
    <row r="3464">
      <c r="A3464" t="inlineStr">
        <is>
          <t>LD-303462</t>
        </is>
      </c>
      <c r="B3464" t="inlineStr">
        <is>
          <t>2026-02-11 15:58:00</t>
        </is>
      </c>
      <c r="C3464" t="inlineStr">
        <is>
          <t>Cold Outreach</t>
        </is>
      </c>
      <c r="D3464" t="inlineStr">
        <is>
          <t>Competitive Exam Prep</t>
        </is>
      </c>
      <c r="E3464" t="inlineStr">
        <is>
          <t>West Region</t>
        </is>
      </c>
      <c r="F3464" t="inlineStr">
        <is>
          <t>Rep_13</t>
        </is>
      </c>
      <c r="G3464" t="n">
        <v>2</v>
      </c>
      <c r="H3464" t="inlineStr">
        <is>
          <t>Lead</t>
        </is>
      </c>
      <c r="I3464" t="inlineStr">
        <is>
          <t>Open</t>
        </is>
      </c>
      <c r="M3464">
        <f>VLOOKUP(H3464,'Stage Order'!$A$2:$B$8,2,FALSE)</f>
        <v/>
      </c>
      <c r="N3464">
        <f>IF(G3464&lt;=1,"1. Under 1 hour",IF(G3464&lt;=24,"2. 1-24 hours",IF(G3464&lt;=72,"3. 1-3 days","4. Over 3 days")))</f>
        <v/>
      </c>
      <c r="O3464">
        <f>TEXT(B3464,"YYYY-MM")</f>
        <v/>
      </c>
    </row>
    <row r="3465">
      <c r="A3465" t="inlineStr">
        <is>
          <t>LD-303463</t>
        </is>
      </c>
      <c r="B3465" t="inlineStr">
        <is>
          <t>2026-05-15 10:07:00</t>
        </is>
      </c>
      <c r="C3465" t="inlineStr">
        <is>
          <t>Social Media</t>
        </is>
      </c>
      <c r="D3465" t="inlineStr">
        <is>
          <t>Competitive Exam Prep</t>
        </is>
      </c>
      <c r="E3465" t="inlineStr">
        <is>
          <t>East Region</t>
        </is>
      </c>
      <c r="F3465" t="inlineStr">
        <is>
          <t>Rep_09</t>
        </is>
      </c>
      <c r="G3465" t="n">
        <v>3.12</v>
      </c>
      <c r="H3465" t="inlineStr">
        <is>
          <t>Contacted</t>
        </is>
      </c>
      <c r="I3465" t="inlineStr">
        <is>
          <t>Open</t>
        </is>
      </c>
      <c r="M3465">
        <f>VLOOKUP(H3465,'Stage Order'!$A$2:$B$8,2,FALSE)</f>
        <v/>
      </c>
      <c r="N3465">
        <f>IF(G3465&lt;=1,"1. Under 1 hour",IF(G3465&lt;=24,"2. 1-24 hours",IF(G3465&lt;=72,"3. 1-3 days","4. Over 3 days")))</f>
        <v/>
      </c>
      <c r="O3465">
        <f>TEXT(B3465,"YYYY-MM")</f>
        <v/>
      </c>
    </row>
    <row r="3466">
      <c r="A3466" t="inlineStr">
        <is>
          <t>LD-303464</t>
        </is>
      </c>
      <c r="B3466" t="inlineStr">
        <is>
          <t>2025-04-18 16:15:00</t>
        </is>
      </c>
      <c r="C3466" t="inlineStr">
        <is>
          <t>Organic Search</t>
        </is>
      </c>
      <c r="D3466" t="inlineStr">
        <is>
          <t>K-12 Math</t>
        </is>
      </c>
      <c r="E3466" t="inlineStr">
        <is>
          <t>International</t>
        </is>
      </c>
      <c r="F3466" t="inlineStr">
        <is>
          <t>Rep_15</t>
        </is>
      </c>
      <c r="G3466" t="n">
        <v>1.97</v>
      </c>
      <c r="H3466" t="inlineStr">
        <is>
          <t>Contacted</t>
        </is>
      </c>
      <c r="I3466" t="inlineStr">
        <is>
          <t>Open</t>
        </is>
      </c>
      <c r="M3466">
        <f>VLOOKUP(H3466,'Stage Order'!$A$2:$B$8,2,FALSE)</f>
        <v/>
      </c>
      <c r="N3466">
        <f>IF(G3466&lt;=1,"1. Under 1 hour",IF(G3466&lt;=24,"2. 1-24 hours",IF(G3466&lt;=72,"3. 1-3 days","4. Over 3 days")))</f>
        <v/>
      </c>
      <c r="O3466">
        <f>TEXT(B3466,"YYYY-MM")</f>
        <v/>
      </c>
    </row>
    <row r="3467">
      <c r="A3467" t="inlineStr">
        <is>
          <t>LD-303465</t>
        </is>
      </c>
      <c r="B3467" t="inlineStr">
        <is>
          <t>2026-01-14 15:37:00</t>
        </is>
      </c>
      <c r="C3467" t="inlineStr">
        <is>
          <t>Referral</t>
        </is>
      </c>
      <c r="D3467" t="inlineStr">
        <is>
          <t>Study Abroad Prep</t>
        </is>
      </c>
      <c r="E3467" t="inlineStr">
        <is>
          <t>West Region</t>
        </is>
      </c>
      <c r="F3467" t="inlineStr">
        <is>
          <t>Rep_03</t>
        </is>
      </c>
      <c r="G3467" t="n">
        <v>2.03</v>
      </c>
      <c r="H3467" t="inlineStr">
        <is>
          <t>Contacted</t>
        </is>
      </c>
      <c r="I3467" t="inlineStr">
        <is>
          <t>Open</t>
        </is>
      </c>
      <c r="M3467">
        <f>VLOOKUP(H3467,'Stage Order'!$A$2:$B$8,2,FALSE)</f>
        <v/>
      </c>
      <c r="N3467">
        <f>IF(G3467&lt;=1,"1. Under 1 hour",IF(G3467&lt;=24,"2. 1-24 hours",IF(G3467&lt;=72,"3. 1-3 days","4. Over 3 days")))</f>
        <v/>
      </c>
      <c r="O3467">
        <f>TEXT(B3467,"YYYY-MM")</f>
        <v/>
      </c>
    </row>
    <row r="3468">
      <c r="A3468" t="inlineStr">
        <is>
          <t>LD-303466</t>
        </is>
      </c>
      <c r="B3468" t="inlineStr">
        <is>
          <t>2025-06-05 07:18:00</t>
        </is>
      </c>
      <c r="C3468" t="inlineStr">
        <is>
          <t>Webinar</t>
        </is>
      </c>
      <c r="D3468" t="inlineStr">
        <is>
          <t>K-12 Math</t>
        </is>
      </c>
      <c r="E3468" t="inlineStr">
        <is>
          <t>North Region</t>
        </is>
      </c>
      <c r="F3468" t="inlineStr">
        <is>
          <t>Rep_11</t>
        </is>
      </c>
      <c r="G3468" t="n">
        <v>0.91</v>
      </c>
      <c r="H3468" t="inlineStr">
        <is>
          <t>Negotiation</t>
        </is>
      </c>
      <c r="I3468" t="inlineStr">
        <is>
          <t>Lost</t>
        </is>
      </c>
      <c r="J3468" t="inlineStr">
        <is>
          <t>Bad Timing</t>
        </is>
      </c>
      <c r="K3468" t="n">
        <v>587.3</v>
      </c>
      <c r="L3468" t="inlineStr">
        <is>
          <t>2025-07-24 20:20:33.335407</t>
        </is>
      </c>
      <c r="M3468">
        <f>VLOOKUP(H3468,'Stage Order'!$A$2:$B$8,2,FALSE)</f>
        <v/>
      </c>
      <c r="N3468">
        <f>IF(G3468&lt;=1,"1. Under 1 hour",IF(G3468&lt;=24,"2. 1-24 hours",IF(G3468&lt;=72,"3. 1-3 days","4. Over 3 days")))</f>
        <v/>
      </c>
      <c r="O3468">
        <f>TEXT(B3468,"YYYY-MM")</f>
        <v/>
      </c>
    </row>
    <row r="3469">
      <c r="A3469" t="inlineStr">
        <is>
          <t>LD-303467</t>
        </is>
      </c>
      <c r="B3469" t="inlineStr">
        <is>
          <t>2025-12-29 19:46:00</t>
        </is>
      </c>
      <c r="C3469" t="inlineStr">
        <is>
          <t>Social Media</t>
        </is>
      </c>
      <c r="D3469" t="inlineStr">
        <is>
          <t>Study Abroad Prep</t>
        </is>
      </c>
      <c r="E3469" t="inlineStr">
        <is>
          <t>International</t>
        </is>
      </c>
      <c r="F3469" t="inlineStr">
        <is>
          <t>Rep_10</t>
        </is>
      </c>
      <c r="G3469" t="n">
        <v>1.74</v>
      </c>
      <c r="H3469" t="inlineStr">
        <is>
          <t>Contacted</t>
        </is>
      </c>
      <c r="I3469" t="inlineStr">
        <is>
          <t>Open</t>
        </is>
      </c>
      <c r="M3469">
        <f>VLOOKUP(H3469,'Stage Order'!$A$2:$B$8,2,FALSE)</f>
        <v/>
      </c>
      <c r="N3469">
        <f>IF(G3469&lt;=1,"1. Under 1 hour",IF(G3469&lt;=24,"2. 1-24 hours",IF(G3469&lt;=72,"3. 1-3 days","4. Over 3 days")))</f>
        <v/>
      </c>
      <c r="O3469">
        <f>TEXT(B3469,"YYYY-MM")</f>
        <v/>
      </c>
    </row>
    <row r="3470">
      <c r="A3470" t="inlineStr">
        <is>
          <t>LD-303468</t>
        </is>
      </c>
      <c r="B3470" t="inlineStr">
        <is>
          <t>2026-05-19 07:13:00</t>
        </is>
      </c>
      <c r="C3470" t="inlineStr">
        <is>
          <t>Cold Outreach</t>
        </is>
      </c>
      <c r="D3470" t="inlineStr">
        <is>
          <t>Study Abroad Prep</t>
        </is>
      </c>
      <c r="E3470" t="inlineStr">
        <is>
          <t>North Region</t>
        </is>
      </c>
      <c r="F3470" t="inlineStr">
        <is>
          <t>Rep_06</t>
        </is>
      </c>
      <c r="G3470" t="n">
        <v>3.84</v>
      </c>
      <c r="H3470" t="inlineStr">
        <is>
          <t>Lead</t>
        </is>
      </c>
      <c r="I3470" t="inlineStr">
        <is>
          <t>Open</t>
        </is>
      </c>
      <c r="M3470">
        <f>VLOOKUP(H3470,'Stage Order'!$A$2:$B$8,2,FALSE)</f>
        <v/>
      </c>
      <c r="N3470">
        <f>IF(G3470&lt;=1,"1. Under 1 hour",IF(G3470&lt;=24,"2. 1-24 hours",IF(G3470&lt;=72,"3. 1-3 days","4. Over 3 days")))</f>
        <v/>
      </c>
      <c r="O3470">
        <f>TEXT(B3470,"YYYY-MM")</f>
        <v/>
      </c>
    </row>
    <row r="3471">
      <c r="A3471" t="inlineStr">
        <is>
          <t>LD-303469</t>
        </is>
      </c>
      <c r="B3471" t="inlineStr">
        <is>
          <t>2026-04-02 17:45:00</t>
        </is>
      </c>
      <c r="C3471" t="inlineStr">
        <is>
          <t>Social Media</t>
        </is>
      </c>
      <c r="D3471" t="inlineStr">
        <is>
          <t>K-12 Math</t>
        </is>
      </c>
      <c r="E3471" t="inlineStr">
        <is>
          <t>South Region</t>
        </is>
      </c>
      <c r="F3471" t="inlineStr">
        <is>
          <t>Rep_02</t>
        </is>
      </c>
      <c r="G3471" t="n">
        <v>0.93</v>
      </c>
      <c r="H3471" t="inlineStr">
        <is>
          <t>Contacted</t>
        </is>
      </c>
      <c r="I3471" t="inlineStr">
        <is>
          <t>Open</t>
        </is>
      </c>
      <c r="M3471">
        <f>VLOOKUP(H3471,'Stage Order'!$A$2:$B$8,2,FALSE)</f>
        <v/>
      </c>
      <c r="N3471">
        <f>IF(G3471&lt;=1,"1. Under 1 hour",IF(G3471&lt;=24,"2. 1-24 hours",IF(G3471&lt;=72,"3. 1-3 days","4. Over 3 days")))</f>
        <v/>
      </c>
      <c r="O3471">
        <f>TEXT(B3471,"YYYY-MM")</f>
        <v/>
      </c>
    </row>
    <row r="3472">
      <c r="A3472" t="inlineStr">
        <is>
          <t>LD-303470</t>
        </is>
      </c>
      <c r="B3472" t="inlineStr">
        <is>
          <t>2025-07-09 12:27:00</t>
        </is>
      </c>
      <c r="C3472" t="inlineStr">
        <is>
          <t>Organic Search</t>
        </is>
      </c>
      <c r="D3472" t="inlineStr">
        <is>
          <t>Language Learning</t>
        </is>
      </c>
      <c r="E3472" t="inlineStr">
        <is>
          <t>North Region</t>
        </is>
      </c>
      <c r="F3472" t="inlineStr">
        <is>
          <t>Rep_01</t>
        </is>
      </c>
      <c r="G3472" t="n">
        <v>1.5</v>
      </c>
      <c r="H3472" t="inlineStr">
        <is>
          <t>Demo Completed</t>
        </is>
      </c>
      <c r="I3472" t="inlineStr">
        <is>
          <t>Lost</t>
        </is>
      </c>
      <c r="J3472" t="inlineStr">
        <is>
          <t>Price Objection</t>
        </is>
      </c>
      <c r="K3472" t="n">
        <v>374.62</v>
      </c>
      <c r="L3472" t="inlineStr">
        <is>
          <t>2025-08-11 07:04:44.300422</t>
        </is>
      </c>
      <c r="M3472">
        <f>VLOOKUP(H3472,'Stage Order'!$A$2:$B$8,2,FALSE)</f>
        <v/>
      </c>
      <c r="N3472">
        <f>IF(G3472&lt;=1,"1. Under 1 hour",IF(G3472&lt;=24,"2. 1-24 hours",IF(G3472&lt;=72,"3. 1-3 days","4. Over 3 days")))</f>
        <v/>
      </c>
      <c r="O3472">
        <f>TEXT(B3472,"YYYY-MM")</f>
        <v/>
      </c>
    </row>
    <row r="3473">
      <c r="A3473" t="inlineStr">
        <is>
          <t>LD-303471</t>
        </is>
      </c>
      <c r="B3473" t="inlineStr">
        <is>
          <t>2025-12-05 12:08:00</t>
        </is>
      </c>
      <c r="C3473" t="inlineStr">
        <is>
          <t>Cold Outreach</t>
        </is>
      </c>
      <c r="D3473" t="inlineStr">
        <is>
          <t>Coding for Kids</t>
        </is>
      </c>
      <c r="E3473" t="inlineStr">
        <is>
          <t>North Region</t>
        </is>
      </c>
      <c r="F3473" t="inlineStr">
        <is>
          <t>Rep_11</t>
        </is>
      </c>
      <c r="G3473" t="n">
        <v>3.92</v>
      </c>
      <c r="H3473" t="inlineStr">
        <is>
          <t>Lead</t>
        </is>
      </c>
      <c r="I3473" t="inlineStr">
        <is>
          <t>Open</t>
        </is>
      </c>
      <c r="M3473">
        <f>VLOOKUP(H3473,'Stage Order'!$A$2:$B$8,2,FALSE)</f>
        <v/>
      </c>
      <c r="N3473">
        <f>IF(G3473&lt;=1,"1. Under 1 hour",IF(G3473&lt;=24,"2. 1-24 hours",IF(G3473&lt;=72,"3. 1-3 days","4. Over 3 days")))</f>
        <v/>
      </c>
      <c r="O3473">
        <f>TEXT(B3473,"YYYY-MM")</f>
        <v/>
      </c>
    </row>
    <row r="3474">
      <c r="A3474" t="inlineStr">
        <is>
          <t>LD-303472</t>
        </is>
      </c>
      <c r="B3474" t="inlineStr">
        <is>
          <t>2025-05-09 19:57:00</t>
        </is>
      </c>
      <c r="C3474" t="inlineStr">
        <is>
          <t>Organic Search</t>
        </is>
      </c>
      <c r="D3474" t="inlineStr">
        <is>
          <t>K-12 Math</t>
        </is>
      </c>
      <c r="E3474" t="inlineStr">
        <is>
          <t>East Region</t>
        </is>
      </c>
      <c r="F3474" t="inlineStr">
        <is>
          <t>Rep_09</t>
        </is>
      </c>
      <c r="G3474" t="n">
        <v>3.26</v>
      </c>
      <c r="H3474" t="inlineStr">
        <is>
          <t>Contacted</t>
        </is>
      </c>
      <c r="I3474" t="inlineStr">
        <is>
          <t>Open</t>
        </is>
      </c>
      <c r="M3474">
        <f>VLOOKUP(H3474,'Stage Order'!$A$2:$B$8,2,FALSE)</f>
        <v/>
      </c>
      <c r="N3474">
        <f>IF(G3474&lt;=1,"1. Under 1 hour",IF(G3474&lt;=24,"2. 1-24 hours",IF(G3474&lt;=72,"3. 1-3 days","4. Over 3 days")))</f>
        <v/>
      </c>
      <c r="O3474">
        <f>TEXT(B3474,"YYYY-MM")</f>
        <v/>
      </c>
    </row>
    <row r="3475">
      <c r="A3475" t="inlineStr">
        <is>
          <t>LD-303473</t>
        </is>
      </c>
      <c r="B3475" t="inlineStr">
        <is>
          <t>2025-09-12 12:41:00</t>
        </is>
      </c>
      <c r="C3475" t="inlineStr">
        <is>
          <t>Social Media</t>
        </is>
      </c>
      <c r="D3475" t="inlineStr">
        <is>
          <t>Competitive Exam Prep</t>
        </is>
      </c>
      <c r="E3475" t="inlineStr">
        <is>
          <t>North Region</t>
        </is>
      </c>
      <c r="F3475" t="inlineStr">
        <is>
          <t>Rep_11</t>
        </is>
      </c>
      <c r="G3475" t="n">
        <v>2.68</v>
      </c>
      <c r="H3475" t="inlineStr">
        <is>
          <t>Demo Scheduled</t>
        </is>
      </c>
      <c r="I3475" t="inlineStr">
        <is>
          <t>Open</t>
        </is>
      </c>
      <c r="M3475">
        <f>VLOOKUP(H3475,'Stage Order'!$A$2:$B$8,2,FALSE)</f>
        <v/>
      </c>
      <c r="N3475">
        <f>IF(G3475&lt;=1,"1. Under 1 hour",IF(G3475&lt;=24,"2. 1-24 hours",IF(G3475&lt;=72,"3. 1-3 days","4. Over 3 days")))</f>
        <v/>
      </c>
      <c r="O3475">
        <f>TEXT(B3475,"YYYY-MM")</f>
        <v/>
      </c>
    </row>
    <row r="3476">
      <c r="A3476" t="inlineStr">
        <is>
          <t>LD-303474</t>
        </is>
      </c>
      <c r="B3476" t="inlineStr">
        <is>
          <t>2025-08-18 17:27:00</t>
        </is>
      </c>
      <c r="C3476" t="inlineStr">
        <is>
          <t>Social Media</t>
        </is>
      </c>
      <c r="D3476" t="inlineStr">
        <is>
          <t>K-12 Math</t>
        </is>
      </c>
      <c r="E3476" t="inlineStr">
        <is>
          <t>West Region</t>
        </is>
      </c>
      <c r="F3476" t="inlineStr">
        <is>
          <t>Rep_13</t>
        </is>
      </c>
      <c r="G3476" t="n">
        <v>1.59</v>
      </c>
      <c r="H3476" t="inlineStr">
        <is>
          <t>Demo Completed</t>
        </is>
      </c>
      <c r="I3476" t="inlineStr">
        <is>
          <t>Lost</t>
        </is>
      </c>
      <c r="J3476" t="inlineStr">
        <is>
          <t>No Response / Ghosted</t>
        </is>
      </c>
      <c r="K3476" t="n">
        <v>450.47</v>
      </c>
      <c r="L3476" t="inlineStr">
        <is>
          <t>2025-09-22 09:02:01.212446</t>
        </is>
      </c>
      <c r="M3476">
        <f>VLOOKUP(H3476,'Stage Order'!$A$2:$B$8,2,FALSE)</f>
        <v/>
      </c>
      <c r="N3476">
        <f>IF(G3476&lt;=1,"1. Under 1 hour",IF(G3476&lt;=24,"2. 1-24 hours",IF(G3476&lt;=72,"3. 1-3 days","4. Over 3 days")))</f>
        <v/>
      </c>
      <c r="O3476">
        <f>TEXT(B3476,"YYYY-MM")</f>
        <v/>
      </c>
    </row>
    <row r="3477">
      <c r="A3477" t="inlineStr">
        <is>
          <t>LD-303475</t>
        </is>
      </c>
      <c r="B3477" t="inlineStr">
        <is>
          <t>2026-01-09 15:19:00</t>
        </is>
      </c>
      <c r="C3477" t="inlineStr">
        <is>
          <t>Paid Search</t>
        </is>
      </c>
      <c r="D3477" t="inlineStr">
        <is>
          <t>K-12 Math</t>
        </is>
      </c>
      <c r="E3477" t="inlineStr">
        <is>
          <t>West Region</t>
        </is>
      </c>
      <c r="F3477" t="inlineStr">
        <is>
          <t>Rep_08</t>
        </is>
      </c>
      <c r="G3477" t="n">
        <v>2.05</v>
      </c>
      <c r="H3477" t="inlineStr">
        <is>
          <t>Contacted</t>
        </is>
      </c>
      <c r="I3477" t="inlineStr">
        <is>
          <t>Open</t>
        </is>
      </c>
      <c r="M3477">
        <f>VLOOKUP(H3477,'Stage Order'!$A$2:$B$8,2,FALSE)</f>
        <v/>
      </c>
      <c r="N3477">
        <f>IF(G3477&lt;=1,"1. Under 1 hour",IF(G3477&lt;=24,"2. 1-24 hours",IF(G3477&lt;=72,"3. 1-3 days","4. Over 3 days")))</f>
        <v/>
      </c>
      <c r="O3477">
        <f>TEXT(B3477,"YYYY-MM")</f>
        <v/>
      </c>
    </row>
    <row r="3478">
      <c r="A3478" t="inlineStr">
        <is>
          <t>LD-303476</t>
        </is>
      </c>
      <c r="B3478" t="inlineStr">
        <is>
          <t>2025-11-03 19:50:00</t>
        </is>
      </c>
      <c r="C3478" t="inlineStr">
        <is>
          <t>Webinar</t>
        </is>
      </c>
      <c r="D3478" t="inlineStr">
        <is>
          <t>K-12 Math</t>
        </is>
      </c>
      <c r="E3478" t="inlineStr">
        <is>
          <t>South Region</t>
        </is>
      </c>
      <c r="F3478" t="inlineStr">
        <is>
          <t>Rep_02</t>
        </is>
      </c>
      <c r="G3478" t="n">
        <v>3.76</v>
      </c>
      <c r="H3478" t="inlineStr">
        <is>
          <t>Closed</t>
        </is>
      </c>
      <c r="I3478" t="inlineStr">
        <is>
          <t>Won</t>
        </is>
      </c>
      <c r="K3478" t="n">
        <v>587.95</v>
      </c>
      <c r="L3478" t="inlineStr">
        <is>
          <t>2025-12-22 22:12:56.248375</t>
        </is>
      </c>
      <c r="M3478">
        <f>VLOOKUP(H3478,'Stage Order'!$A$2:$B$8,2,FALSE)</f>
        <v/>
      </c>
      <c r="N3478">
        <f>IF(G3478&lt;=1,"1. Under 1 hour",IF(G3478&lt;=24,"2. 1-24 hours",IF(G3478&lt;=72,"3. 1-3 days","4. Over 3 days")))</f>
        <v/>
      </c>
      <c r="O3478">
        <f>TEXT(B3478,"YYYY-MM")</f>
        <v/>
      </c>
    </row>
    <row r="3479">
      <c r="A3479" t="inlineStr">
        <is>
          <t>LD-303477</t>
        </is>
      </c>
      <c r="B3479" t="inlineStr">
        <is>
          <t>2026-04-23 07:59:00</t>
        </is>
      </c>
      <c r="C3479" t="inlineStr">
        <is>
          <t>Paid Search</t>
        </is>
      </c>
      <c r="D3479" t="inlineStr">
        <is>
          <t>Study Abroad Prep</t>
        </is>
      </c>
      <c r="E3479" t="inlineStr">
        <is>
          <t>International</t>
        </is>
      </c>
      <c r="F3479" t="inlineStr">
        <is>
          <t>Rep_10</t>
        </is>
      </c>
      <c r="G3479" t="n">
        <v>7.94</v>
      </c>
      <c r="H3479" t="inlineStr">
        <is>
          <t>Lead</t>
        </is>
      </c>
      <c r="I3479" t="inlineStr">
        <is>
          <t>Open</t>
        </is>
      </c>
      <c r="M3479">
        <f>VLOOKUP(H3479,'Stage Order'!$A$2:$B$8,2,FALSE)</f>
        <v/>
      </c>
      <c r="N3479">
        <f>IF(G3479&lt;=1,"1. Under 1 hour",IF(G3479&lt;=24,"2. 1-24 hours",IF(G3479&lt;=72,"3. 1-3 days","4. Over 3 days")))</f>
        <v/>
      </c>
      <c r="O3479">
        <f>TEXT(B3479,"YYYY-MM")</f>
        <v/>
      </c>
    </row>
    <row r="3480">
      <c r="A3480" t="inlineStr">
        <is>
          <t>LD-303478</t>
        </is>
      </c>
      <c r="B3480" t="inlineStr">
        <is>
          <t>2026-06-03 15:54:00</t>
        </is>
      </c>
      <c r="C3480" t="inlineStr">
        <is>
          <t>Referral</t>
        </is>
      </c>
      <c r="D3480" t="inlineStr">
        <is>
          <t>Language Learning</t>
        </is>
      </c>
      <c r="E3480" t="inlineStr">
        <is>
          <t>West Region</t>
        </is>
      </c>
      <c r="F3480" t="inlineStr">
        <is>
          <t>Rep_13</t>
        </is>
      </c>
      <c r="G3480" t="n">
        <v>7.57</v>
      </c>
      <c r="H3480" t="inlineStr">
        <is>
          <t>Closed</t>
        </is>
      </c>
      <c r="I3480" t="inlineStr">
        <is>
          <t>Won</t>
        </is>
      </c>
      <c r="K3480" t="n">
        <v>348.08</v>
      </c>
      <c r="L3480" t="inlineStr">
        <is>
          <t>2026-07-14 18:42:26.242641</t>
        </is>
      </c>
      <c r="M3480">
        <f>VLOOKUP(H3480,'Stage Order'!$A$2:$B$8,2,FALSE)</f>
        <v/>
      </c>
      <c r="N3480">
        <f>IF(G3480&lt;=1,"1. Under 1 hour",IF(G3480&lt;=24,"2. 1-24 hours",IF(G3480&lt;=72,"3. 1-3 days","4. Over 3 days")))</f>
        <v/>
      </c>
      <c r="O3480">
        <f>TEXT(B3480,"YYYY-MM")</f>
        <v/>
      </c>
    </row>
    <row r="3481">
      <c r="A3481" t="inlineStr">
        <is>
          <t>LD-303479</t>
        </is>
      </c>
      <c r="B3481" t="inlineStr">
        <is>
          <t>2025-06-02 07:29:00</t>
        </is>
      </c>
      <c r="C3481" t="inlineStr">
        <is>
          <t>Organic Search</t>
        </is>
      </c>
      <c r="D3481" t="inlineStr">
        <is>
          <t>Language Learning</t>
        </is>
      </c>
      <c r="E3481" t="inlineStr">
        <is>
          <t>East Region</t>
        </is>
      </c>
      <c r="F3481" t="inlineStr">
        <is>
          <t>Rep_14</t>
        </is>
      </c>
      <c r="G3481" t="n">
        <v>4.86</v>
      </c>
      <c r="H3481" t="inlineStr">
        <is>
          <t>Negotiation</t>
        </is>
      </c>
      <c r="I3481" t="inlineStr">
        <is>
          <t>Lost</t>
        </is>
      </c>
      <c r="J3481" t="inlineStr">
        <is>
          <t>No Response / Ghosted</t>
        </is>
      </c>
      <c r="K3481" t="n">
        <v>306.43</v>
      </c>
      <c r="L3481" t="inlineStr">
        <is>
          <t>2025-07-24 19:58:10.066725</t>
        </is>
      </c>
      <c r="M3481">
        <f>VLOOKUP(H3481,'Stage Order'!$A$2:$B$8,2,FALSE)</f>
        <v/>
      </c>
      <c r="N3481">
        <f>IF(G3481&lt;=1,"1. Under 1 hour",IF(G3481&lt;=24,"2. 1-24 hours",IF(G3481&lt;=72,"3. 1-3 days","4. Over 3 days")))</f>
        <v/>
      </c>
      <c r="O3481">
        <f>TEXT(B3481,"YYYY-MM")</f>
        <v/>
      </c>
    </row>
    <row r="3482">
      <c r="A3482" t="inlineStr">
        <is>
          <t>LD-303480</t>
        </is>
      </c>
      <c r="B3482" t="inlineStr">
        <is>
          <t>2025-07-07 20:34:00</t>
        </is>
      </c>
      <c r="C3482" t="inlineStr">
        <is>
          <t>Referral</t>
        </is>
      </c>
      <c r="D3482" t="inlineStr">
        <is>
          <t>K-12 Math</t>
        </is>
      </c>
      <c r="E3482" t="inlineStr">
        <is>
          <t>North Region</t>
        </is>
      </c>
      <c r="F3482" t="inlineStr">
        <is>
          <t>Rep_01</t>
        </is>
      </c>
      <c r="G3482" t="n">
        <v>4.32</v>
      </c>
      <c r="H3482" t="inlineStr">
        <is>
          <t>Contacted</t>
        </is>
      </c>
      <c r="I3482" t="inlineStr">
        <is>
          <t>Open</t>
        </is>
      </c>
      <c r="M3482">
        <f>VLOOKUP(H3482,'Stage Order'!$A$2:$B$8,2,FALSE)</f>
        <v/>
      </c>
      <c r="N3482">
        <f>IF(G3482&lt;=1,"1. Under 1 hour",IF(G3482&lt;=24,"2. 1-24 hours",IF(G3482&lt;=72,"3. 1-3 days","4. Over 3 days")))</f>
        <v/>
      </c>
      <c r="O3482">
        <f>TEXT(B3482,"YYYY-MM")</f>
        <v/>
      </c>
    </row>
    <row r="3483">
      <c r="A3483" t="inlineStr">
        <is>
          <t>LD-303481</t>
        </is>
      </c>
      <c r="B3483" t="inlineStr">
        <is>
          <t>2026-02-27 19:30:00</t>
        </is>
      </c>
      <c r="C3483" t="inlineStr">
        <is>
          <t>Organic Search</t>
        </is>
      </c>
      <c r="D3483" t="inlineStr">
        <is>
          <t>Language Learning</t>
        </is>
      </c>
      <c r="E3483" t="inlineStr">
        <is>
          <t>South Region</t>
        </is>
      </c>
      <c r="F3483" t="inlineStr">
        <is>
          <t>Rep_07</t>
        </is>
      </c>
      <c r="G3483" t="n">
        <v>1.55</v>
      </c>
      <c r="H3483" t="inlineStr">
        <is>
          <t>Demo Completed</t>
        </is>
      </c>
      <c r="I3483" t="inlineStr">
        <is>
          <t>Lost</t>
        </is>
      </c>
      <c r="J3483" t="inlineStr">
        <is>
          <t>Bad Timing</t>
        </is>
      </c>
      <c r="K3483" t="n">
        <v>374.98</v>
      </c>
      <c r="L3483" t="inlineStr">
        <is>
          <t>2026-04-07 22:22:15.482556</t>
        </is>
      </c>
      <c r="M3483">
        <f>VLOOKUP(H3483,'Stage Order'!$A$2:$B$8,2,FALSE)</f>
        <v/>
      </c>
      <c r="N3483">
        <f>IF(G3483&lt;=1,"1. Under 1 hour",IF(G3483&lt;=24,"2. 1-24 hours",IF(G3483&lt;=72,"3. 1-3 days","4. Over 3 days")))</f>
        <v/>
      </c>
      <c r="O3483">
        <f>TEXT(B3483,"YYYY-MM")</f>
        <v/>
      </c>
    </row>
    <row r="3484">
      <c r="A3484" t="inlineStr">
        <is>
          <t>LD-303482</t>
        </is>
      </c>
      <c r="B3484" t="inlineStr">
        <is>
          <t>2025-11-04 07:18:00</t>
        </is>
      </c>
      <c r="C3484" t="inlineStr">
        <is>
          <t>Referral</t>
        </is>
      </c>
      <c r="D3484" t="inlineStr">
        <is>
          <t>Study Abroad Prep</t>
        </is>
      </c>
      <c r="E3484" t="inlineStr">
        <is>
          <t>South Region</t>
        </is>
      </c>
      <c r="F3484" t="inlineStr">
        <is>
          <t>Rep_07</t>
        </is>
      </c>
      <c r="G3484" t="n">
        <v>23.38</v>
      </c>
      <c r="H3484" t="inlineStr">
        <is>
          <t>Contacted</t>
        </is>
      </c>
      <c r="I3484" t="inlineStr">
        <is>
          <t>Open</t>
        </is>
      </c>
      <c r="M3484">
        <f>VLOOKUP(H3484,'Stage Order'!$A$2:$B$8,2,FALSE)</f>
        <v/>
      </c>
      <c r="N3484">
        <f>IF(G3484&lt;=1,"1. Under 1 hour",IF(G3484&lt;=24,"2. 1-24 hours",IF(G3484&lt;=72,"3. 1-3 days","4. Over 3 days")))</f>
        <v/>
      </c>
      <c r="O3484">
        <f>TEXT(B3484,"YYYY-MM")</f>
        <v/>
      </c>
    </row>
    <row r="3485">
      <c r="A3485" t="inlineStr">
        <is>
          <t>LD-303483</t>
        </is>
      </c>
      <c r="B3485" t="inlineStr">
        <is>
          <t>2025-09-11 20:09:00</t>
        </is>
      </c>
      <c r="C3485" t="inlineStr">
        <is>
          <t>Organic Search</t>
        </is>
      </c>
      <c r="D3485" t="inlineStr">
        <is>
          <t>Coding for Kids</t>
        </is>
      </c>
      <c r="E3485" t="inlineStr">
        <is>
          <t>South Region</t>
        </is>
      </c>
      <c r="F3485" t="inlineStr">
        <is>
          <t>Rep_02</t>
        </is>
      </c>
      <c r="G3485" t="n">
        <v>3.07</v>
      </c>
      <c r="H3485" t="inlineStr">
        <is>
          <t>Demo Completed</t>
        </is>
      </c>
      <c r="I3485" t="inlineStr">
        <is>
          <t>Lost</t>
        </is>
      </c>
      <c r="J3485" t="inlineStr">
        <is>
          <t>No Response / Ghosted</t>
        </is>
      </c>
      <c r="K3485" t="n">
        <v>623.77</v>
      </c>
      <c r="L3485" t="inlineStr">
        <is>
          <t>2025-10-07 10:25:52.425057</t>
        </is>
      </c>
      <c r="M3485">
        <f>VLOOKUP(H3485,'Stage Order'!$A$2:$B$8,2,FALSE)</f>
        <v/>
      </c>
      <c r="N3485">
        <f>IF(G3485&lt;=1,"1. Under 1 hour",IF(G3485&lt;=24,"2. 1-24 hours",IF(G3485&lt;=72,"3. 1-3 days","4. Over 3 days")))</f>
        <v/>
      </c>
      <c r="O3485">
        <f>TEXT(B3485,"YYYY-MM")</f>
        <v/>
      </c>
    </row>
    <row r="3486">
      <c r="A3486" t="inlineStr">
        <is>
          <t>LD-303484</t>
        </is>
      </c>
      <c r="B3486" t="inlineStr">
        <is>
          <t>2025-11-05 08:02:00</t>
        </is>
      </c>
      <c r="C3486" t="inlineStr">
        <is>
          <t>Partner Channel</t>
        </is>
      </c>
      <c r="D3486" t="inlineStr">
        <is>
          <t>K-12 Math</t>
        </is>
      </c>
      <c r="E3486" t="inlineStr">
        <is>
          <t>South Region</t>
        </is>
      </c>
      <c r="F3486" t="inlineStr">
        <is>
          <t>Rep_12</t>
        </is>
      </c>
      <c r="G3486" t="n">
        <v>20.14</v>
      </c>
      <c r="H3486" t="inlineStr">
        <is>
          <t>Contacted</t>
        </is>
      </c>
      <c r="I3486" t="inlineStr">
        <is>
          <t>Open</t>
        </is>
      </c>
      <c r="M3486">
        <f>VLOOKUP(H3486,'Stage Order'!$A$2:$B$8,2,FALSE)</f>
        <v/>
      </c>
      <c r="N3486">
        <f>IF(G3486&lt;=1,"1. Under 1 hour",IF(G3486&lt;=24,"2. 1-24 hours",IF(G3486&lt;=72,"3. 1-3 days","4. Over 3 days")))</f>
        <v/>
      </c>
      <c r="O3486">
        <f>TEXT(B3486,"YYYY-MM")</f>
        <v/>
      </c>
    </row>
    <row r="3487">
      <c r="A3487" t="inlineStr">
        <is>
          <t>LD-303485</t>
        </is>
      </c>
      <c r="B3487" t="inlineStr">
        <is>
          <t>2025-12-26 18:41:00</t>
        </is>
      </c>
      <c r="C3487" t="inlineStr">
        <is>
          <t>Organic Search</t>
        </is>
      </c>
      <c r="D3487" t="inlineStr">
        <is>
          <t>K-12 Math</t>
        </is>
      </c>
      <c r="E3487" t="inlineStr">
        <is>
          <t>South Region</t>
        </is>
      </c>
      <c r="F3487" t="inlineStr">
        <is>
          <t>Rep_12</t>
        </is>
      </c>
      <c r="G3487" t="n">
        <v>1.47</v>
      </c>
      <c r="H3487" t="inlineStr">
        <is>
          <t>Negotiation</t>
        </is>
      </c>
      <c r="I3487" t="inlineStr">
        <is>
          <t>Lost</t>
        </is>
      </c>
      <c r="J3487" t="inlineStr">
        <is>
          <t>Went With Competitor</t>
        </is>
      </c>
      <c r="K3487" t="n">
        <v>455.41</v>
      </c>
      <c r="L3487" t="inlineStr">
        <is>
          <t>2026-02-03 07:33:25.520518</t>
        </is>
      </c>
      <c r="M3487">
        <f>VLOOKUP(H3487,'Stage Order'!$A$2:$B$8,2,FALSE)</f>
        <v/>
      </c>
      <c r="N3487">
        <f>IF(G3487&lt;=1,"1. Under 1 hour",IF(G3487&lt;=24,"2. 1-24 hours",IF(G3487&lt;=72,"3. 1-3 days","4. Over 3 days")))</f>
        <v/>
      </c>
      <c r="O3487">
        <f>TEXT(B3487,"YYYY-MM")</f>
        <v/>
      </c>
    </row>
    <row r="3488">
      <c r="A3488" t="inlineStr">
        <is>
          <t>LD-303486</t>
        </is>
      </c>
      <c r="B3488" t="inlineStr">
        <is>
          <t>2025-07-17 12:24:00</t>
        </is>
      </c>
      <c r="C3488" t="inlineStr">
        <is>
          <t>Referral</t>
        </is>
      </c>
      <c r="D3488" t="inlineStr">
        <is>
          <t>Study Abroad Prep</t>
        </is>
      </c>
      <c r="E3488" t="inlineStr">
        <is>
          <t>North Region</t>
        </is>
      </c>
      <c r="F3488" t="inlineStr">
        <is>
          <t>Rep_01</t>
        </is>
      </c>
      <c r="G3488" t="n">
        <v>1.73</v>
      </c>
      <c r="H3488" t="inlineStr">
        <is>
          <t>Closed</t>
        </is>
      </c>
      <c r="I3488" t="inlineStr">
        <is>
          <t>Won</t>
        </is>
      </c>
      <c r="K3488" t="n">
        <v>1525.94</v>
      </c>
      <c r="L3488" t="inlineStr">
        <is>
          <t>2025-08-12 05:37:29.923231</t>
        </is>
      </c>
      <c r="M3488">
        <f>VLOOKUP(H3488,'Stage Order'!$A$2:$B$8,2,FALSE)</f>
        <v/>
      </c>
      <c r="N3488">
        <f>IF(G3488&lt;=1,"1. Under 1 hour",IF(G3488&lt;=24,"2. 1-24 hours",IF(G3488&lt;=72,"3. 1-3 days","4. Over 3 days")))</f>
        <v/>
      </c>
      <c r="O3488">
        <f>TEXT(B3488,"YYYY-MM")</f>
        <v/>
      </c>
    </row>
    <row r="3489">
      <c r="A3489" t="inlineStr">
        <is>
          <t>LD-303487</t>
        </is>
      </c>
      <c r="B3489" t="inlineStr">
        <is>
          <t>2026-01-29 17:40:00</t>
        </is>
      </c>
      <c r="C3489" t="inlineStr">
        <is>
          <t>Social Media</t>
        </is>
      </c>
      <c r="D3489" t="inlineStr">
        <is>
          <t>Competitive Exam Prep</t>
        </is>
      </c>
      <c r="E3489" t="inlineStr">
        <is>
          <t>South Region</t>
        </is>
      </c>
      <c r="F3489" t="inlineStr">
        <is>
          <t>Rep_02</t>
        </is>
      </c>
      <c r="G3489" t="n">
        <v>2.7</v>
      </c>
      <c r="H3489" t="inlineStr">
        <is>
          <t>Contacted</t>
        </is>
      </c>
      <c r="I3489" t="inlineStr">
        <is>
          <t>Open</t>
        </is>
      </c>
      <c r="M3489">
        <f>VLOOKUP(H3489,'Stage Order'!$A$2:$B$8,2,FALSE)</f>
        <v/>
      </c>
      <c r="N3489">
        <f>IF(G3489&lt;=1,"1. Under 1 hour",IF(G3489&lt;=24,"2. 1-24 hours",IF(G3489&lt;=72,"3. 1-3 days","4. Over 3 days")))</f>
        <v/>
      </c>
      <c r="O3489">
        <f>TEXT(B3489,"YYYY-MM")</f>
        <v/>
      </c>
    </row>
    <row r="3490">
      <c r="A3490" t="inlineStr">
        <is>
          <t>LD-303488</t>
        </is>
      </c>
      <c r="B3490" t="inlineStr">
        <is>
          <t>2026-01-21 17:40:00</t>
        </is>
      </c>
      <c r="C3490" t="inlineStr">
        <is>
          <t>Paid Search</t>
        </is>
      </c>
      <c r="D3490" t="inlineStr">
        <is>
          <t>Competitive Exam Prep</t>
        </is>
      </c>
      <c r="E3490" t="inlineStr">
        <is>
          <t>South Region</t>
        </is>
      </c>
      <c r="F3490" t="inlineStr">
        <is>
          <t>Rep_07</t>
        </is>
      </c>
      <c r="G3490" t="n">
        <v>3.86</v>
      </c>
      <c r="H3490" t="inlineStr">
        <is>
          <t>Lead</t>
        </is>
      </c>
      <c r="I3490" t="inlineStr">
        <is>
          <t>Open</t>
        </is>
      </c>
      <c r="M3490">
        <f>VLOOKUP(H3490,'Stage Order'!$A$2:$B$8,2,FALSE)</f>
        <v/>
      </c>
      <c r="N3490">
        <f>IF(G3490&lt;=1,"1. Under 1 hour",IF(G3490&lt;=24,"2. 1-24 hours",IF(G3490&lt;=72,"3. 1-3 days","4. Over 3 days")))</f>
        <v/>
      </c>
      <c r="O3490">
        <f>TEXT(B3490,"YYYY-MM")</f>
        <v/>
      </c>
    </row>
    <row r="3491">
      <c r="A3491" t="inlineStr">
        <is>
          <t>LD-303489</t>
        </is>
      </c>
      <c r="B3491" t="inlineStr">
        <is>
          <t>2025-12-10 18:45:00</t>
        </is>
      </c>
      <c r="C3491" t="inlineStr">
        <is>
          <t>Partner Channel</t>
        </is>
      </c>
      <c r="D3491" t="inlineStr">
        <is>
          <t>Language Learning</t>
        </is>
      </c>
      <c r="E3491" t="inlineStr">
        <is>
          <t>West Region</t>
        </is>
      </c>
      <c r="F3491" t="inlineStr">
        <is>
          <t>Rep_03</t>
        </is>
      </c>
      <c r="G3491" t="n">
        <v>4.42</v>
      </c>
      <c r="H3491" t="inlineStr">
        <is>
          <t>Proposal Sent</t>
        </is>
      </c>
      <c r="I3491" t="inlineStr">
        <is>
          <t>Lost</t>
        </is>
      </c>
      <c r="J3491" t="inlineStr">
        <is>
          <t>Price Objection</t>
        </is>
      </c>
      <c r="K3491" t="n">
        <v>316.78</v>
      </c>
      <c r="L3491" t="inlineStr">
        <is>
          <t>2025-12-30 18:56:34.660129</t>
        </is>
      </c>
      <c r="M3491">
        <f>VLOOKUP(H3491,'Stage Order'!$A$2:$B$8,2,FALSE)</f>
        <v/>
      </c>
      <c r="N3491">
        <f>IF(G3491&lt;=1,"1. Under 1 hour",IF(G3491&lt;=24,"2. 1-24 hours",IF(G3491&lt;=72,"3. 1-3 days","4. Over 3 days")))</f>
        <v/>
      </c>
      <c r="O3491">
        <f>TEXT(B3491,"YYYY-MM")</f>
        <v/>
      </c>
    </row>
    <row r="3492">
      <c r="A3492" t="inlineStr">
        <is>
          <t>LD-303490</t>
        </is>
      </c>
      <c r="B3492" t="inlineStr">
        <is>
          <t>2026-06-12 08:08:00</t>
        </is>
      </c>
      <c r="C3492" t="inlineStr">
        <is>
          <t>Cold Outreach</t>
        </is>
      </c>
      <c r="D3492" t="inlineStr">
        <is>
          <t>K-12 Math</t>
        </is>
      </c>
      <c r="E3492" t="inlineStr">
        <is>
          <t>West Region</t>
        </is>
      </c>
      <c r="F3492" t="inlineStr">
        <is>
          <t>Rep_08</t>
        </is>
      </c>
      <c r="G3492" t="n">
        <v>7.46</v>
      </c>
      <c r="H3492" t="inlineStr">
        <is>
          <t>Contacted</t>
        </is>
      </c>
      <c r="I3492" t="inlineStr">
        <is>
          <t>Open</t>
        </is>
      </c>
      <c r="M3492">
        <f>VLOOKUP(H3492,'Stage Order'!$A$2:$B$8,2,FALSE)</f>
        <v/>
      </c>
      <c r="N3492">
        <f>IF(G3492&lt;=1,"1. Under 1 hour",IF(G3492&lt;=24,"2. 1-24 hours",IF(G3492&lt;=72,"3. 1-3 days","4. Over 3 days")))</f>
        <v/>
      </c>
      <c r="O3492">
        <f>TEXT(B3492,"YYYY-MM")</f>
        <v/>
      </c>
    </row>
    <row r="3493">
      <c r="A3493" t="inlineStr">
        <is>
          <t>LD-303491</t>
        </is>
      </c>
      <c r="B3493" t="inlineStr">
        <is>
          <t>2025-09-05 19:52:00</t>
        </is>
      </c>
      <c r="C3493" t="inlineStr">
        <is>
          <t>Organic Search</t>
        </is>
      </c>
      <c r="D3493" t="inlineStr">
        <is>
          <t>K-12 Math</t>
        </is>
      </c>
      <c r="E3493" t="inlineStr">
        <is>
          <t>East Region</t>
        </is>
      </c>
      <c r="F3493" t="inlineStr">
        <is>
          <t>Rep_04</t>
        </is>
      </c>
      <c r="G3493" t="n">
        <v>11.88</v>
      </c>
      <c r="H3493" t="inlineStr">
        <is>
          <t>Demo Scheduled</t>
        </is>
      </c>
      <c r="I3493" t="inlineStr">
        <is>
          <t>Open</t>
        </is>
      </c>
      <c r="M3493">
        <f>VLOOKUP(H3493,'Stage Order'!$A$2:$B$8,2,FALSE)</f>
        <v/>
      </c>
      <c r="N3493">
        <f>IF(G3493&lt;=1,"1. Under 1 hour",IF(G3493&lt;=24,"2. 1-24 hours",IF(G3493&lt;=72,"3. 1-3 days","4. Over 3 days")))</f>
        <v/>
      </c>
      <c r="O3493">
        <f>TEXT(B3493,"YYYY-MM")</f>
        <v/>
      </c>
    </row>
    <row r="3494">
      <c r="A3494" t="inlineStr">
        <is>
          <t>LD-303492</t>
        </is>
      </c>
      <c r="B3494" t="inlineStr">
        <is>
          <t>2025-08-08 15:18:00</t>
        </is>
      </c>
      <c r="C3494" t="inlineStr">
        <is>
          <t>Paid Search</t>
        </is>
      </c>
      <c r="D3494" t="inlineStr">
        <is>
          <t>Language Learning</t>
        </is>
      </c>
      <c r="E3494" t="inlineStr">
        <is>
          <t>South Region</t>
        </is>
      </c>
      <c r="F3494" t="inlineStr">
        <is>
          <t>Rep_07</t>
        </is>
      </c>
      <c r="G3494" t="n">
        <v>4.06</v>
      </c>
      <c r="H3494" t="inlineStr">
        <is>
          <t>Lead</t>
        </is>
      </c>
      <c r="I3494" t="inlineStr">
        <is>
          <t>Open</t>
        </is>
      </c>
      <c r="M3494">
        <f>VLOOKUP(H3494,'Stage Order'!$A$2:$B$8,2,FALSE)</f>
        <v/>
      </c>
      <c r="N3494">
        <f>IF(G3494&lt;=1,"1. Under 1 hour",IF(G3494&lt;=24,"2. 1-24 hours",IF(G3494&lt;=72,"3. 1-3 days","4. Over 3 days")))</f>
        <v/>
      </c>
      <c r="O3494">
        <f>TEXT(B3494,"YYYY-MM")</f>
        <v/>
      </c>
    </row>
    <row r="3495">
      <c r="A3495" t="inlineStr">
        <is>
          <t>LD-303493</t>
        </is>
      </c>
      <c r="B3495" t="inlineStr">
        <is>
          <t>2026-03-31 13:18:00</t>
        </is>
      </c>
      <c r="C3495" t="inlineStr">
        <is>
          <t>Webinar</t>
        </is>
      </c>
      <c r="D3495" t="inlineStr">
        <is>
          <t>Competitive Exam Prep</t>
        </is>
      </c>
      <c r="E3495" t="inlineStr">
        <is>
          <t>North Region</t>
        </is>
      </c>
      <c r="F3495" t="inlineStr">
        <is>
          <t>Rep_06</t>
        </is>
      </c>
      <c r="G3495" t="n">
        <v>3.31</v>
      </c>
      <c r="H3495" t="inlineStr">
        <is>
          <t>Closed</t>
        </is>
      </c>
      <c r="I3495" t="inlineStr">
        <is>
          <t>Won</t>
        </is>
      </c>
      <c r="K3495" t="n">
        <v>1043.55</v>
      </c>
      <c r="L3495" t="inlineStr">
        <is>
          <t>2026-05-08 00:07:34.818129</t>
        </is>
      </c>
      <c r="M3495">
        <f>VLOOKUP(H3495,'Stage Order'!$A$2:$B$8,2,FALSE)</f>
        <v/>
      </c>
      <c r="N3495">
        <f>IF(G3495&lt;=1,"1. Under 1 hour",IF(G3495&lt;=24,"2. 1-24 hours",IF(G3495&lt;=72,"3. 1-3 days","4. Over 3 days")))</f>
        <v/>
      </c>
      <c r="O3495">
        <f>TEXT(B3495,"YYYY-MM")</f>
        <v/>
      </c>
    </row>
    <row r="3496">
      <c r="A3496" t="inlineStr">
        <is>
          <t>LD-303494</t>
        </is>
      </c>
      <c r="B3496" t="inlineStr">
        <is>
          <t>2026-02-20 18:43:00</t>
        </is>
      </c>
      <c r="C3496" t="inlineStr">
        <is>
          <t>Referral</t>
        </is>
      </c>
      <c r="D3496" t="inlineStr">
        <is>
          <t>K-12 Math</t>
        </is>
      </c>
      <c r="E3496" t="inlineStr">
        <is>
          <t>East Region</t>
        </is>
      </c>
      <c r="F3496" t="inlineStr">
        <is>
          <t>Rep_04</t>
        </is>
      </c>
      <c r="G3496" t="n">
        <v>3.68</v>
      </c>
      <c r="H3496" t="inlineStr">
        <is>
          <t>Closed</t>
        </is>
      </c>
      <c r="I3496" t="inlineStr">
        <is>
          <t>Won</t>
        </is>
      </c>
      <c r="K3496" t="n">
        <v>474.26</v>
      </c>
      <c r="L3496" t="inlineStr">
        <is>
          <t>2026-04-07 23:00:33.204082</t>
        </is>
      </c>
      <c r="M3496">
        <f>VLOOKUP(H3496,'Stage Order'!$A$2:$B$8,2,FALSE)</f>
        <v/>
      </c>
      <c r="N3496">
        <f>IF(G3496&lt;=1,"1. Under 1 hour",IF(G3496&lt;=24,"2. 1-24 hours",IF(G3496&lt;=72,"3. 1-3 days","4. Over 3 days")))</f>
        <v/>
      </c>
      <c r="O3496">
        <f>TEXT(B3496,"YYYY-MM")</f>
        <v/>
      </c>
    </row>
    <row r="3497">
      <c r="A3497" t="inlineStr">
        <is>
          <t>LD-303495</t>
        </is>
      </c>
      <c r="B3497" t="inlineStr">
        <is>
          <t>2025-01-31 19:26:00</t>
        </is>
      </c>
      <c r="C3497" t="inlineStr">
        <is>
          <t>Organic Search</t>
        </is>
      </c>
      <c r="D3497" t="inlineStr">
        <is>
          <t>Competitive Exam Prep</t>
        </is>
      </c>
      <c r="E3497" t="inlineStr">
        <is>
          <t>South Region</t>
        </is>
      </c>
      <c r="F3497" t="inlineStr">
        <is>
          <t>Rep_02</t>
        </is>
      </c>
      <c r="G3497" t="n">
        <v>0.42</v>
      </c>
      <c r="H3497" t="inlineStr">
        <is>
          <t>Negotiation</t>
        </is>
      </c>
      <c r="I3497" t="inlineStr">
        <is>
          <t>Lost</t>
        </is>
      </c>
      <c r="J3497" t="inlineStr">
        <is>
          <t>Went With Competitor</t>
        </is>
      </c>
      <c r="K3497" t="n">
        <v>1002.66</v>
      </c>
      <c r="L3497" t="inlineStr">
        <is>
          <t>2025-03-22 07:30:26.150743</t>
        </is>
      </c>
      <c r="M3497">
        <f>VLOOKUP(H3497,'Stage Order'!$A$2:$B$8,2,FALSE)</f>
        <v/>
      </c>
      <c r="N3497">
        <f>IF(G3497&lt;=1,"1. Under 1 hour",IF(G3497&lt;=24,"2. 1-24 hours",IF(G3497&lt;=72,"3. 1-3 days","4. Over 3 days")))</f>
        <v/>
      </c>
      <c r="O3497">
        <f>TEXT(B3497,"YYYY-MM")</f>
        <v/>
      </c>
    </row>
    <row r="3498">
      <c r="A3498" t="inlineStr">
        <is>
          <t>LD-303496</t>
        </is>
      </c>
      <c r="B3498" t="inlineStr">
        <is>
          <t>2025-12-10 18:07:00</t>
        </is>
      </c>
      <c r="C3498" t="inlineStr">
        <is>
          <t>Cold Outreach</t>
        </is>
      </c>
      <c r="D3498" t="inlineStr">
        <is>
          <t>K-12 Math</t>
        </is>
      </c>
      <c r="E3498" t="inlineStr">
        <is>
          <t>West Region</t>
        </is>
      </c>
      <c r="F3498" t="inlineStr">
        <is>
          <t>Rep_13</t>
        </is>
      </c>
      <c r="G3498" t="n">
        <v>19.69</v>
      </c>
      <c r="H3498" t="inlineStr">
        <is>
          <t>Lead</t>
        </is>
      </c>
      <c r="I3498" t="inlineStr">
        <is>
          <t>Open</t>
        </is>
      </c>
      <c r="M3498">
        <f>VLOOKUP(H3498,'Stage Order'!$A$2:$B$8,2,FALSE)</f>
        <v/>
      </c>
      <c r="N3498">
        <f>IF(G3498&lt;=1,"1. Under 1 hour",IF(G3498&lt;=24,"2. 1-24 hours",IF(G3498&lt;=72,"3. 1-3 days","4. Over 3 days")))</f>
        <v/>
      </c>
      <c r="O3498">
        <f>TEXT(B3498,"YYYY-MM")</f>
        <v/>
      </c>
    </row>
    <row r="3499">
      <c r="A3499" t="inlineStr">
        <is>
          <t>LD-303497</t>
        </is>
      </c>
      <c r="B3499" t="inlineStr">
        <is>
          <t>2025-10-24 14:29:00</t>
        </is>
      </c>
      <c r="C3499" t="inlineStr">
        <is>
          <t>Cold Outreach</t>
        </is>
      </c>
      <c r="D3499" t="inlineStr">
        <is>
          <t>Coding for Kids</t>
        </is>
      </c>
      <c r="E3499" t="inlineStr">
        <is>
          <t>South Region</t>
        </is>
      </c>
      <c r="F3499" t="inlineStr">
        <is>
          <t>Rep_12</t>
        </is>
      </c>
      <c r="G3499" t="n">
        <v>3.17</v>
      </c>
      <c r="H3499" t="inlineStr">
        <is>
          <t>Contacted</t>
        </is>
      </c>
      <c r="I3499" t="inlineStr">
        <is>
          <t>Open</t>
        </is>
      </c>
      <c r="M3499">
        <f>VLOOKUP(H3499,'Stage Order'!$A$2:$B$8,2,FALSE)</f>
        <v/>
      </c>
      <c r="N3499">
        <f>IF(G3499&lt;=1,"1. Under 1 hour",IF(G3499&lt;=24,"2. 1-24 hours",IF(G3499&lt;=72,"3. 1-3 days","4. Over 3 days")))</f>
        <v/>
      </c>
      <c r="O3499">
        <f>TEXT(B3499,"YYYY-MM")</f>
        <v/>
      </c>
    </row>
    <row r="3500">
      <c r="A3500" t="inlineStr">
        <is>
          <t>LD-303498</t>
        </is>
      </c>
      <c r="B3500" t="inlineStr">
        <is>
          <t>2025-01-03 10:05:00</t>
        </is>
      </c>
      <c r="C3500" t="inlineStr">
        <is>
          <t>Partner Channel</t>
        </is>
      </c>
      <c r="D3500" t="inlineStr">
        <is>
          <t>Study Abroad Prep</t>
        </is>
      </c>
      <c r="E3500" t="inlineStr">
        <is>
          <t>East Region</t>
        </is>
      </c>
      <c r="F3500" t="inlineStr">
        <is>
          <t>Rep_04</t>
        </is>
      </c>
      <c r="G3500" t="n">
        <v>2.27</v>
      </c>
      <c r="H3500" t="inlineStr">
        <is>
          <t>Contacted</t>
        </is>
      </c>
      <c r="I3500" t="inlineStr">
        <is>
          <t>Open</t>
        </is>
      </c>
      <c r="M3500">
        <f>VLOOKUP(H3500,'Stage Order'!$A$2:$B$8,2,FALSE)</f>
        <v/>
      </c>
      <c r="N3500">
        <f>IF(G3500&lt;=1,"1. Under 1 hour",IF(G3500&lt;=24,"2. 1-24 hours",IF(G3500&lt;=72,"3. 1-3 days","4. Over 3 days")))</f>
        <v/>
      </c>
      <c r="O3500">
        <f>TEXT(B3500,"YYYY-MM")</f>
        <v/>
      </c>
    </row>
    <row r="3501">
      <c r="A3501" t="inlineStr">
        <is>
          <t>LD-303499</t>
        </is>
      </c>
      <c r="B3501" t="inlineStr">
        <is>
          <t>2026-06-08 11:58:00</t>
        </is>
      </c>
      <c r="C3501" t="inlineStr">
        <is>
          <t>Paid Search</t>
        </is>
      </c>
      <c r="D3501" t="inlineStr">
        <is>
          <t>K-12 Math</t>
        </is>
      </c>
      <c r="E3501" t="inlineStr">
        <is>
          <t>South Region</t>
        </is>
      </c>
      <c r="F3501" t="inlineStr">
        <is>
          <t>Rep_12</t>
        </is>
      </c>
      <c r="G3501" t="n">
        <v>1.12</v>
      </c>
      <c r="H3501" t="inlineStr">
        <is>
          <t>Contacted</t>
        </is>
      </c>
      <c r="I3501" t="inlineStr">
        <is>
          <t>Open</t>
        </is>
      </c>
      <c r="M3501">
        <f>VLOOKUP(H3501,'Stage Order'!$A$2:$B$8,2,FALSE)</f>
        <v/>
      </c>
      <c r="N3501">
        <f>IF(G3501&lt;=1,"1. Under 1 hour",IF(G3501&lt;=24,"2. 1-24 hours",IF(G3501&lt;=72,"3. 1-3 days","4. Over 3 days")))</f>
        <v/>
      </c>
      <c r="O3501">
        <f>TEXT(B3501,"YYYY-MM")</f>
        <v/>
      </c>
    </row>
    <row r="3502">
      <c r="A3502" t="inlineStr">
        <is>
          <t>LD-303500</t>
        </is>
      </c>
      <c r="B3502" t="inlineStr">
        <is>
          <t>2025-01-21 17:32:00</t>
        </is>
      </c>
      <c r="C3502" t="inlineStr">
        <is>
          <t>Paid Search</t>
        </is>
      </c>
      <c r="D3502" t="inlineStr">
        <is>
          <t>Competitive Exam Prep</t>
        </is>
      </c>
      <c r="E3502" t="inlineStr">
        <is>
          <t>South Region</t>
        </is>
      </c>
      <c r="F3502" t="inlineStr">
        <is>
          <t>Rep_07</t>
        </is>
      </c>
      <c r="G3502" t="n">
        <v>2.29</v>
      </c>
      <c r="H3502" t="inlineStr">
        <is>
          <t>Contacted</t>
        </is>
      </c>
      <c r="I3502" t="inlineStr">
        <is>
          <t>Open</t>
        </is>
      </c>
      <c r="M3502">
        <f>VLOOKUP(H3502,'Stage Order'!$A$2:$B$8,2,FALSE)</f>
        <v/>
      </c>
      <c r="N3502">
        <f>IF(G3502&lt;=1,"1. Under 1 hour",IF(G3502&lt;=24,"2. 1-24 hours",IF(G3502&lt;=72,"3. 1-3 days","4. Over 3 days")))</f>
        <v/>
      </c>
      <c r="O3502">
        <f>TEXT(B3502,"YYYY-MM")</f>
        <v/>
      </c>
    </row>
    <row r="3503">
      <c r="A3503" t="inlineStr">
        <is>
          <t>LD-303501</t>
        </is>
      </c>
      <c r="B3503" t="inlineStr">
        <is>
          <t>2025-01-10 10:12:00</t>
        </is>
      </c>
      <c r="C3503" t="inlineStr">
        <is>
          <t>Referral</t>
        </is>
      </c>
      <c r="D3503" t="inlineStr">
        <is>
          <t>K-12 Math</t>
        </is>
      </c>
      <c r="E3503" t="inlineStr">
        <is>
          <t>North Region</t>
        </is>
      </c>
      <c r="F3503" t="inlineStr">
        <is>
          <t>Rep_06</t>
        </is>
      </c>
      <c r="G3503" t="n">
        <v>2.78</v>
      </c>
      <c r="H3503" t="inlineStr">
        <is>
          <t>Negotiation</t>
        </is>
      </c>
      <c r="I3503" t="inlineStr">
        <is>
          <t>Lost</t>
        </is>
      </c>
      <c r="J3503" t="inlineStr">
        <is>
          <t>Bad Timing</t>
        </is>
      </c>
      <c r="K3503" t="n">
        <v>568.79</v>
      </c>
      <c r="L3503" t="inlineStr">
        <is>
          <t>2025-02-03 21:59:25.862121</t>
        </is>
      </c>
      <c r="M3503">
        <f>VLOOKUP(H3503,'Stage Order'!$A$2:$B$8,2,FALSE)</f>
        <v/>
      </c>
      <c r="N3503">
        <f>IF(G3503&lt;=1,"1. Under 1 hour",IF(G3503&lt;=24,"2. 1-24 hours",IF(G3503&lt;=72,"3. 1-3 days","4. Over 3 days")))</f>
        <v/>
      </c>
      <c r="O3503">
        <f>TEXT(B3503,"YYYY-MM")</f>
        <v/>
      </c>
    </row>
    <row r="3504">
      <c r="A3504" t="inlineStr">
        <is>
          <t>LD-303502</t>
        </is>
      </c>
      <c r="B3504" t="inlineStr">
        <is>
          <t>2025-09-18 20:53:00</t>
        </is>
      </c>
      <c r="C3504" t="inlineStr">
        <is>
          <t>Organic Search</t>
        </is>
      </c>
      <c r="D3504" t="inlineStr">
        <is>
          <t>Language Learning</t>
        </is>
      </c>
      <c r="E3504" t="inlineStr">
        <is>
          <t>International</t>
        </is>
      </c>
      <c r="F3504" t="inlineStr">
        <is>
          <t>Rep_15</t>
        </is>
      </c>
      <c r="G3504" t="n">
        <v>0.5</v>
      </c>
      <c r="H3504" t="inlineStr">
        <is>
          <t>Negotiation</t>
        </is>
      </c>
      <c r="I3504" t="inlineStr">
        <is>
          <t>Lost</t>
        </is>
      </c>
      <c r="J3504" t="inlineStr">
        <is>
          <t>Went With Competitor</t>
        </is>
      </c>
      <c r="K3504" t="n">
        <v>308.61</v>
      </c>
      <c r="L3504" t="inlineStr">
        <is>
          <t>2025-11-03 10:03:50.571919</t>
        </is>
      </c>
      <c r="M3504">
        <f>VLOOKUP(H3504,'Stage Order'!$A$2:$B$8,2,FALSE)</f>
        <v/>
      </c>
      <c r="N3504">
        <f>IF(G3504&lt;=1,"1. Under 1 hour",IF(G3504&lt;=24,"2. 1-24 hours",IF(G3504&lt;=72,"3. 1-3 days","4. Over 3 days")))</f>
        <v/>
      </c>
      <c r="O3504">
        <f>TEXT(B3504,"YYYY-MM")</f>
        <v/>
      </c>
    </row>
    <row r="3505">
      <c r="A3505" t="inlineStr">
        <is>
          <t>LD-303503</t>
        </is>
      </c>
      <c r="B3505" t="inlineStr">
        <is>
          <t>2025-07-18 07:54:00</t>
        </is>
      </c>
      <c r="C3505" t="inlineStr">
        <is>
          <t>Social Media</t>
        </is>
      </c>
      <c r="D3505" t="inlineStr">
        <is>
          <t>K-12 Math</t>
        </is>
      </c>
      <c r="E3505" t="inlineStr">
        <is>
          <t>North Region</t>
        </is>
      </c>
      <c r="F3505" t="inlineStr">
        <is>
          <t>Rep_01</t>
        </is>
      </c>
      <c r="G3505" t="n">
        <v>1.04</v>
      </c>
      <c r="H3505" t="inlineStr">
        <is>
          <t>Contacted</t>
        </is>
      </c>
      <c r="I3505" t="inlineStr">
        <is>
          <t>Open</t>
        </is>
      </c>
      <c r="M3505">
        <f>VLOOKUP(H3505,'Stage Order'!$A$2:$B$8,2,FALSE)</f>
        <v/>
      </c>
      <c r="N3505">
        <f>IF(G3505&lt;=1,"1. Under 1 hour",IF(G3505&lt;=24,"2. 1-24 hours",IF(G3505&lt;=72,"3. 1-3 days","4. Over 3 days")))</f>
        <v/>
      </c>
      <c r="O3505">
        <f>TEXT(B3505,"YYYY-MM")</f>
        <v/>
      </c>
    </row>
    <row r="3506">
      <c r="A3506" t="inlineStr">
        <is>
          <t>LD-303504</t>
        </is>
      </c>
      <c r="B3506" t="inlineStr">
        <is>
          <t>2025-02-03 16:37:00</t>
        </is>
      </c>
      <c r="C3506" t="inlineStr">
        <is>
          <t>Cold Outreach</t>
        </is>
      </c>
      <c r="D3506" t="inlineStr">
        <is>
          <t>Language Learning</t>
        </is>
      </c>
      <c r="E3506" t="inlineStr">
        <is>
          <t>South Region</t>
        </is>
      </c>
      <c r="F3506" t="inlineStr">
        <is>
          <t>Rep_02</t>
        </is>
      </c>
      <c r="G3506" t="n">
        <v>12.66</v>
      </c>
      <c r="H3506" t="inlineStr">
        <is>
          <t>Lead</t>
        </is>
      </c>
      <c r="I3506" t="inlineStr">
        <is>
          <t>Open</t>
        </is>
      </c>
      <c r="M3506">
        <f>VLOOKUP(H3506,'Stage Order'!$A$2:$B$8,2,FALSE)</f>
        <v/>
      </c>
      <c r="N3506">
        <f>IF(G3506&lt;=1,"1. Under 1 hour",IF(G3506&lt;=24,"2. 1-24 hours",IF(G3506&lt;=72,"3. 1-3 days","4. Over 3 days")))</f>
        <v/>
      </c>
      <c r="O3506">
        <f>TEXT(B3506,"YYYY-MM")</f>
        <v/>
      </c>
    </row>
    <row r="3507">
      <c r="A3507" t="inlineStr">
        <is>
          <t>LD-303505</t>
        </is>
      </c>
      <c r="B3507" t="inlineStr">
        <is>
          <t>2025-03-17 08:28:00</t>
        </is>
      </c>
      <c r="C3507" t="inlineStr">
        <is>
          <t>Paid Search</t>
        </is>
      </c>
      <c r="D3507" t="inlineStr">
        <is>
          <t>Language Learning</t>
        </is>
      </c>
      <c r="E3507" t="inlineStr">
        <is>
          <t>West Region</t>
        </is>
      </c>
      <c r="F3507" t="inlineStr">
        <is>
          <t>Rep_08</t>
        </is>
      </c>
      <c r="G3507" t="n">
        <v>4.71</v>
      </c>
      <c r="H3507" t="inlineStr">
        <is>
          <t>Proposal Sent</t>
        </is>
      </c>
      <c r="I3507" t="inlineStr">
        <is>
          <t>Lost</t>
        </is>
      </c>
      <c r="J3507" t="inlineStr">
        <is>
          <t>Price Objection</t>
        </is>
      </c>
      <c r="K3507" t="n">
        <v>291.43</v>
      </c>
      <c r="L3507" t="inlineStr">
        <is>
          <t>2025-04-18 19:46:56.308221</t>
        </is>
      </c>
      <c r="M3507">
        <f>VLOOKUP(H3507,'Stage Order'!$A$2:$B$8,2,FALSE)</f>
        <v/>
      </c>
      <c r="N3507">
        <f>IF(G3507&lt;=1,"1. Under 1 hour",IF(G3507&lt;=24,"2. 1-24 hours",IF(G3507&lt;=72,"3. 1-3 days","4. Over 3 days")))</f>
        <v/>
      </c>
      <c r="O3507">
        <f>TEXT(B3507,"YYYY-MM")</f>
        <v/>
      </c>
    </row>
    <row r="3508">
      <c r="A3508" t="inlineStr">
        <is>
          <t>LD-303506</t>
        </is>
      </c>
      <c r="B3508" t="inlineStr">
        <is>
          <t>2025-05-20 16:33:00</t>
        </is>
      </c>
      <c r="C3508" t="inlineStr">
        <is>
          <t>Partner Channel</t>
        </is>
      </c>
      <c r="D3508" t="inlineStr">
        <is>
          <t>Coding for Kids</t>
        </is>
      </c>
      <c r="E3508" t="inlineStr">
        <is>
          <t>East Region</t>
        </is>
      </c>
      <c r="F3508" t="inlineStr">
        <is>
          <t>Rep_09</t>
        </is>
      </c>
      <c r="G3508" t="n">
        <v>6.34</v>
      </c>
      <c r="H3508" t="inlineStr">
        <is>
          <t>Contacted</t>
        </is>
      </c>
      <c r="I3508" t="inlineStr">
        <is>
          <t>Open</t>
        </is>
      </c>
      <c r="M3508">
        <f>VLOOKUP(H3508,'Stage Order'!$A$2:$B$8,2,FALSE)</f>
        <v/>
      </c>
      <c r="N3508">
        <f>IF(G3508&lt;=1,"1. Under 1 hour",IF(G3508&lt;=24,"2. 1-24 hours",IF(G3508&lt;=72,"3. 1-3 days","4. Over 3 days")))</f>
        <v/>
      </c>
      <c r="O3508">
        <f>TEXT(B3508,"YYYY-MM")</f>
        <v/>
      </c>
    </row>
    <row r="3509">
      <c r="A3509" t="inlineStr">
        <is>
          <t>LD-303507</t>
        </is>
      </c>
      <c r="B3509" t="inlineStr">
        <is>
          <t>2025-04-26 07:30:00</t>
        </is>
      </c>
      <c r="C3509" t="inlineStr">
        <is>
          <t>Social Media</t>
        </is>
      </c>
      <c r="D3509" t="inlineStr">
        <is>
          <t>K-12 Math</t>
        </is>
      </c>
      <c r="E3509" t="inlineStr">
        <is>
          <t>North Region</t>
        </is>
      </c>
      <c r="F3509" t="inlineStr">
        <is>
          <t>Rep_01</t>
        </is>
      </c>
      <c r="G3509" t="n">
        <v>8.039999999999999</v>
      </c>
      <c r="H3509" t="inlineStr">
        <is>
          <t>Demo Completed</t>
        </is>
      </c>
      <c r="I3509" t="inlineStr">
        <is>
          <t>Lost</t>
        </is>
      </c>
      <c r="J3509" t="inlineStr">
        <is>
          <t>Went With Competitor</t>
        </is>
      </c>
      <c r="K3509" t="n">
        <v>411.02</v>
      </c>
      <c r="L3509" t="inlineStr">
        <is>
          <t>2025-05-16 16:59:33.341058</t>
        </is>
      </c>
      <c r="M3509">
        <f>VLOOKUP(H3509,'Stage Order'!$A$2:$B$8,2,FALSE)</f>
        <v/>
      </c>
      <c r="N3509">
        <f>IF(G3509&lt;=1,"1. Under 1 hour",IF(G3509&lt;=24,"2. 1-24 hours",IF(G3509&lt;=72,"3. 1-3 days","4. Over 3 days")))</f>
        <v/>
      </c>
      <c r="O3509">
        <f>TEXT(B3509,"YYYY-MM")</f>
        <v/>
      </c>
    </row>
    <row r="3510">
      <c r="A3510" t="inlineStr">
        <is>
          <t>LD-303508</t>
        </is>
      </c>
      <c r="B3510" t="inlineStr">
        <is>
          <t>2025-11-21 19:33:00</t>
        </is>
      </c>
      <c r="C3510" t="inlineStr">
        <is>
          <t>Paid Search</t>
        </is>
      </c>
      <c r="D3510" t="inlineStr">
        <is>
          <t>Competitive Exam Prep</t>
        </is>
      </c>
      <c r="E3510" t="inlineStr">
        <is>
          <t>International</t>
        </is>
      </c>
      <c r="F3510" t="inlineStr">
        <is>
          <t>Rep_15</t>
        </is>
      </c>
      <c r="G3510" t="n">
        <v>16.65</v>
      </c>
      <c r="H3510" t="inlineStr">
        <is>
          <t>Demo Scheduled</t>
        </is>
      </c>
      <c r="I3510" t="inlineStr">
        <is>
          <t>Open</t>
        </is>
      </c>
      <c r="M3510">
        <f>VLOOKUP(H3510,'Stage Order'!$A$2:$B$8,2,FALSE)</f>
        <v/>
      </c>
      <c r="N3510">
        <f>IF(G3510&lt;=1,"1. Under 1 hour",IF(G3510&lt;=24,"2. 1-24 hours",IF(G3510&lt;=72,"3. 1-3 days","4. Over 3 days")))</f>
        <v/>
      </c>
      <c r="O3510">
        <f>TEXT(B3510,"YYYY-MM")</f>
        <v/>
      </c>
    </row>
    <row r="3511">
      <c r="A3511" t="inlineStr">
        <is>
          <t>LD-303509</t>
        </is>
      </c>
      <c r="B3511" t="inlineStr">
        <is>
          <t>2025-03-18 20:30:00</t>
        </is>
      </c>
      <c r="C3511" t="inlineStr">
        <is>
          <t>Cold Outreach</t>
        </is>
      </c>
      <c r="D3511" t="inlineStr">
        <is>
          <t>Language Learning</t>
        </is>
      </c>
      <c r="E3511" t="inlineStr">
        <is>
          <t>North Region</t>
        </is>
      </c>
      <c r="F3511" t="inlineStr">
        <is>
          <t>Rep_06</t>
        </is>
      </c>
      <c r="G3511" t="n">
        <v>3.31</v>
      </c>
      <c r="H3511" t="inlineStr">
        <is>
          <t>Contacted</t>
        </is>
      </c>
      <c r="I3511" t="inlineStr">
        <is>
          <t>Open</t>
        </is>
      </c>
      <c r="M3511">
        <f>VLOOKUP(H3511,'Stage Order'!$A$2:$B$8,2,FALSE)</f>
        <v/>
      </c>
      <c r="N3511">
        <f>IF(G3511&lt;=1,"1. Under 1 hour",IF(G3511&lt;=24,"2. 1-24 hours",IF(G3511&lt;=72,"3. 1-3 days","4. Over 3 days")))</f>
        <v/>
      </c>
      <c r="O3511">
        <f>TEXT(B3511,"YYYY-MM")</f>
        <v/>
      </c>
    </row>
    <row r="3512">
      <c r="A3512" t="inlineStr">
        <is>
          <t>LD-303510</t>
        </is>
      </c>
      <c r="B3512" t="inlineStr">
        <is>
          <t>2025-04-24 09:39:00</t>
        </is>
      </c>
      <c r="C3512" t="inlineStr">
        <is>
          <t>Partner Channel</t>
        </is>
      </c>
      <c r="D3512" t="inlineStr">
        <is>
          <t>Competitive Exam Prep</t>
        </is>
      </c>
      <c r="E3512" t="inlineStr">
        <is>
          <t>North Region</t>
        </is>
      </c>
      <c r="F3512" t="inlineStr">
        <is>
          <t>Rep_01</t>
        </is>
      </c>
      <c r="G3512" t="n">
        <v>2.97</v>
      </c>
      <c r="H3512" t="inlineStr">
        <is>
          <t>Contacted</t>
        </is>
      </c>
      <c r="I3512" t="inlineStr">
        <is>
          <t>Open</t>
        </is>
      </c>
      <c r="M3512">
        <f>VLOOKUP(H3512,'Stage Order'!$A$2:$B$8,2,FALSE)</f>
        <v/>
      </c>
      <c r="N3512">
        <f>IF(G3512&lt;=1,"1. Under 1 hour",IF(G3512&lt;=24,"2. 1-24 hours",IF(G3512&lt;=72,"3. 1-3 days","4. Over 3 days")))</f>
        <v/>
      </c>
      <c r="O3512">
        <f>TEXT(B3512,"YYYY-MM")</f>
        <v/>
      </c>
    </row>
    <row r="3513">
      <c r="A3513" t="inlineStr">
        <is>
          <t>LD-303511</t>
        </is>
      </c>
      <c r="B3513" t="inlineStr">
        <is>
          <t>2026-05-08 10:17:00</t>
        </is>
      </c>
      <c r="C3513" t="inlineStr">
        <is>
          <t>Social Media</t>
        </is>
      </c>
      <c r="D3513" t="inlineStr">
        <is>
          <t>Study Abroad Prep</t>
        </is>
      </c>
      <c r="E3513" t="inlineStr">
        <is>
          <t>West Region</t>
        </is>
      </c>
      <c r="F3513" t="inlineStr">
        <is>
          <t>Rep_08</t>
        </is>
      </c>
      <c r="G3513" t="n">
        <v>0.71</v>
      </c>
      <c r="H3513" t="inlineStr">
        <is>
          <t>Closed</t>
        </is>
      </c>
      <c r="I3513" t="inlineStr">
        <is>
          <t>Won</t>
        </is>
      </c>
      <c r="K3513" t="n">
        <v>1218</v>
      </c>
      <c r="L3513" t="inlineStr">
        <is>
          <t>2026-06-13 20:40:45.371057</t>
        </is>
      </c>
      <c r="M3513">
        <f>VLOOKUP(H3513,'Stage Order'!$A$2:$B$8,2,FALSE)</f>
        <v/>
      </c>
      <c r="N3513">
        <f>IF(G3513&lt;=1,"1. Under 1 hour",IF(G3513&lt;=24,"2. 1-24 hours",IF(G3513&lt;=72,"3. 1-3 days","4. Over 3 days")))</f>
        <v/>
      </c>
      <c r="O3513">
        <f>TEXT(B3513,"YYYY-MM")</f>
        <v/>
      </c>
    </row>
    <row r="3514">
      <c r="A3514" t="inlineStr">
        <is>
          <t>LD-303512</t>
        </is>
      </c>
      <c r="B3514" t="inlineStr">
        <is>
          <t>2025-01-11 13:08:00</t>
        </is>
      </c>
      <c r="C3514" t="inlineStr">
        <is>
          <t>Social Media</t>
        </is>
      </c>
      <c r="D3514" t="inlineStr">
        <is>
          <t>Competitive Exam Prep</t>
        </is>
      </c>
      <c r="E3514" t="inlineStr">
        <is>
          <t>International</t>
        </is>
      </c>
      <c r="F3514" t="inlineStr">
        <is>
          <t>Rep_15</t>
        </is>
      </c>
      <c r="G3514" t="n">
        <v>0.77</v>
      </c>
      <c r="H3514" t="inlineStr">
        <is>
          <t>Negotiation</t>
        </is>
      </c>
      <c r="I3514" t="inlineStr">
        <is>
          <t>Lost</t>
        </is>
      </c>
      <c r="J3514" t="inlineStr">
        <is>
          <t>Went With Competitor</t>
        </is>
      </c>
      <c r="K3514" t="n">
        <v>1056.12</v>
      </c>
      <c r="L3514" t="inlineStr">
        <is>
          <t>2025-02-22 05:09:59.460075</t>
        </is>
      </c>
      <c r="M3514">
        <f>VLOOKUP(H3514,'Stage Order'!$A$2:$B$8,2,FALSE)</f>
        <v/>
      </c>
      <c r="N3514">
        <f>IF(G3514&lt;=1,"1. Under 1 hour",IF(G3514&lt;=24,"2. 1-24 hours",IF(G3514&lt;=72,"3. 1-3 days","4. Over 3 days")))</f>
        <v/>
      </c>
      <c r="O3514">
        <f>TEXT(B3514,"YYYY-MM")</f>
        <v/>
      </c>
    </row>
    <row r="3515">
      <c r="A3515" t="inlineStr">
        <is>
          <t>LD-303513</t>
        </is>
      </c>
      <c r="B3515" t="inlineStr">
        <is>
          <t>2025-08-23 11:53:00</t>
        </is>
      </c>
      <c r="C3515" t="inlineStr">
        <is>
          <t>Referral</t>
        </is>
      </c>
      <c r="D3515" t="inlineStr">
        <is>
          <t>Coding for Kids</t>
        </is>
      </c>
      <c r="E3515" t="inlineStr">
        <is>
          <t>South Region</t>
        </is>
      </c>
      <c r="F3515" t="inlineStr">
        <is>
          <t>Rep_02</t>
        </is>
      </c>
      <c r="G3515" t="n">
        <v>2.03</v>
      </c>
      <c r="H3515" t="inlineStr">
        <is>
          <t>Contacted</t>
        </is>
      </c>
      <c r="I3515" t="inlineStr">
        <is>
          <t>Open</t>
        </is>
      </c>
      <c r="M3515">
        <f>VLOOKUP(H3515,'Stage Order'!$A$2:$B$8,2,FALSE)</f>
        <v/>
      </c>
      <c r="N3515">
        <f>IF(G3515&lt;=1,"1. Under 1 hour",IF(G3515&lt;=24,"2. 1-24 hours",IF(G3515&lt;=72,"3. 1-3 days","4. Over 3 days")))</f>
        <v/>
      </c>
      <c r="O3515">
        <f>TEXT(B3515,"YYYY-MM")</f>
        <v/>
      </c>
    </row>
    <row r="3516">
      <c r="A3516" t="inlineStr">
        <is>
          <t>LD-303514</t>
        </is>
      </c>
      <c r="B3516" t="inlineStr">
        <is>
          <t>2025-02-28 20:33:00</t>
        </is>
      </c>
      <c r="C3516" t="inlineStr">
        <is>
          <t>Social Media</t>
        </is>
      </c>
      <c r="D3516" t="inlineStr">
        <is>
          <t>K-12 Math</t>
        </is>
      </c>
      <c r="E3516" t="inlineStr">
        <is>
          <t>North Region</t>
        </is>
      </c>
      <c r="F3516" t="inlineStr">
        <is>
          <t>Rep_11</t>
        </is>
      </c>
      <c r="G3516" t="n">
        <v>15.35</v>
      </c>
      <c r="H3516" t="inlineStr">
        <is>
          <t>Contacted</t>
        </is>
      </c>
      <c r="I3516" t="inlineStr">
        <is>
          <t>Open</t>
        </is>
      </c>
      <c r="M3516">
        <f>VLOOKUP(H3516,'Stage Order'!$A$2:$B$8,2,FALSE)</f>
        <v/>
      </c>
      <c r="N3516">
        <f>IF(G3516&lt;=1,"1. Under 1 hour",IF(G3516&lt;=24,"2. 1-24 hours",IF(G3516&lt;=72,"3. 1-3 days","4. Over 3 days")))</f>
        <v/>
      </c>
      <c r="O3516">
        <f>TEXT(B3516,"YYYY-MM")</f>
        <v/>
      </c>
    </row>
    <row r="3517">
      <c r="A3517" t="inlineStr">
        <is>
          <t>LD-303515</t>
        </is>
      </c>
      <c r="B3517" t="inlineStr">
        <is>
          <t>2026-01-09 16:40:00</t>
        </is>
      </c>
      <c r="C3517" t="inlineStr">
        <is>
          <t>Organic Search</t>
        </is>
      </c>
      <c r="D3517" t="inlineStr">
        <is>
          <t>Language Learning</t>
        </is>
      </c>
      <c r="E3517" t="inlineStr">
        <is>
          <t>East Region</t>
        </is>
      </c>
      <c r="F3517" t="inlineStr">
        <is>
          <t>Rep_04</t>
        </is>
      </c>
      <c r="G3517" t="n">
        <v>5.24</v>
      </c>
      <c r="H3517" t="inlineStr">
        <is>
          <t>Demo Completed</t>
        </is>
      </c>
      <c r="I3517" t="inlineStr">
        <is>
          <t>Lost</t>
        </is>
      </c>
      <c r="J3517" t="inlineStr">
        <is>
          <t>Went With Competitor</t>
        </is>
      </c>
      <c r="K3517" t="n">
        <v>405.17</v>
      </c>
      <c r="L3517" t="inlineStr">
        <is>
          <t>2026-02-19 06:13:52.670904</t>
        </is>
      </c>
      <c r="M3517">
        <f>VLOOKUP(H3517,'Stage Order'!$A$2:$B$8,2,FALSE)</f>
        <v/>
      </c>
      <c r="N3517">
        <f>IF(G3517&lt;=1,"1. Under 1 hour",IF(G3517&lt;=24,"2. 1-24 hours",IF(G3517&lt;=72,"3. 1-3 days","4. Over 3 days")))</f>
        <v/>
      </c>
      <c r="O3517">
        <f>TEXT(B3517,"YYYY-MM")</f>
        <v/>
      </c>
    </row>
    <row r="3518">
      <c r="A3518" t="inlineStr">
        <is>
          <t>LD-303516</t>
        </is>
      </c>
      <c r="B3518" t="inlineStr">
        <is>
          <t>2025-03-10 16:13:00</t>
        </is>
      </c>
      <c r="C3518" t="inlineStr">
        <is>
          <t>Social Media</t>
        </is>
      </c>
      <c r="D3518" t="inlineStr">
        <is>
          <t>K-12 Math</t>
        </is>
      </c>
      <c r="E3518" t="inlineStr">
        <is>
          <t>South Region</t>
        </is>
      </c>
      <c r="F3518" t="inlineStr">
        <is>
          <t>Rep_07</t>
        </is>
      </c>
      <c r="G3518" t="n">
        <v>0.65</v>
      </c>
      <c r="H3518" t="inlineStr">
        <is>
          <t>Contacted</t>
        </is>
      </c>
      <c r="I3518" t="inlineStr">
        <is>
          <t>Open</t>
        </is>
      </c>
      <c r="M3518">
        <f>VLOOKUP(H3518,'Stage Order'!$A$2:$B$8,2,FALSE)</f>
        <v/>
      </c>
      <c r="N3518">
        <f>IF(G3518&lt;=1,"1. Under 1 hour",IF(G3518&lt;=24,"2. 1-24 hours",IF(G3518&lt;=72,"3. 1-3 days","4. Over 3 days")))</f>
        <v/>
      </c>
      <c r="O3518">
        <f>TEXT(B3518,"YYYY-MM")</f>
        <v/>
      </c>
    </row>
    <row r="3519">
      <c r="A3519" t="inlineStr">
        <is>
          <t>LD-303517</t>
        </is>
      </c>
      <c r="B3519" t="inlineStr">
        <is>
          <t>2026-01-30 14:01:00</t>
        </is>
      </c>
      <c r="C3519" t="inlineStr">
        <is>
          <t>Paid Search</t>
        </is>
      </c>
      <c r="D3519" t="inlineStr">
        <is>
          <t>K-12 Math</t>
        </is>
      </c>
      <c r="E3519" t="inlineStr">
        <is>
          <t>East Region</t>
        </is>
      </c>
      <c r="F3519" t="inlineStr">
        <is>
          <t>Rep_04</t>
        </is>
      </c>
      <c r="G3519" t="n">
        <v>5.09</v>
      </c>
      <c r="H3519" t="inlineStr">
        <is>
          <t>Contacted</t>
        </is>
      </c>
      <c r="I3519" t="inlineStr">
        <is>
          <t>Open</t>
        </is>
      </c>
      <c r="M3519">
        <f>VLOOKUP(H3519,'Stage Order'!$A$2:$B$8,2,FALSE)</f>
        <v/>
      </c>
      <c r="N3519">
        <f>IF(G3519&lt;=1,"1. Under 1 hour",IF(G3519&lt;=24,"2. 1-24 hours",IF(G3519&lt;=72,"3. 1-3 days","4. Over 3 days")))</f>
        <v/>
      </c>
      <c r="O3519">
        <f>TEXT(B3519,"YYYY-MM")</f>
        <v/>
      </c>
    </row>
    <row r="3520">
      <c r="A3520" t="inlineStr">
        <is>
          <t>LD-303518</t>
        </is>
      </c>
      <c r="B3520" t="inlineStr">
        <is>
          <t>2025-11-19 11:19:00</t>
        </is>
      </c>
      <c r="C3520" t="inlineStr">
        <is>
          <t>Webinar</t>
        </is>
      </c>
      <c r="D3520" t="inlineStr">
        <is>
          <t>Study Abroad Prep</t>
        </is>
      </c>
      <c r="E3520" t="inlineStr">
        <is>
          <t>West Region</t>
        </is>
      </c>
      <c r="F3520" t="inlineStr">
        <is>
          <t>Rep_03</t>
        </is>
      </c>
      <c r="G3520" t="n">
        <v>2.67</v>
      </c>
      <c r="H3520" t="inlineStr">
        <is>
          <t>Contacted</t>
        </is>
      </c>
      <c r="I3520" t="inlineStr">
        <is>
          <t>Open</t>
        </is>
      </c>
      <c r="M3520">
        <f>VLOOKUP(H3520,'Stage Order'!$A$2:$B$8,2,FALSE)</f>
        <v/>
      </c>
      <c r="N3520">
        <f>IF(G3520&lt;=1,"1. Under 1 hour",IF(G3520&lt;=24,"2. 1-24 hours",IF(G3520&lt;=72,"3. 1-3 days","4. Over 3 days")))</f>
        <v/>
      </c>
      <c r="O3520">
        <f>TEXT(B3520,"YYYY-MM")</f>
        <v/>
      </c>
    </row>
    <row r="3521">
      <c r="A3521" t="inlineStr">
        <is>
          <t>LD-303519</t>
        </is>
      </c>
      <c r="B3521" t="inlineStr">
        <is>
          <t>2025-05-06 08:48:00</t>
        </is>
      </c>
      <c r="C3521" t="inlineStr">
        <is>
          <t>Webinar</t>
        </is>
      </c>
      <c r="D3521" t="inlineStr">
        <is>
          <t>K-12 Math</t>
        </is>
      </c>
      <c r="E3521" t="inlineStr">
        <is>
          <t>South Region</t>
        </is>
      </c>
      <c r="F3521" t="inlineStr">
        <is>
          <t>Rep_07</t>
        </is>
      </c>
      <c r="G3521" t="n">
        <v>2.82</v>
      </c>
      <c r="H3521" t="inlineStr">
        <is>
          <t>Negotiation</t>
        </is>
      </c>
      <c r="I3521" t="inlineStr">
        <is>
          <t>Lost</t>
        </is>
      </c>
      <c r="J3521" t="inlineStr">
        <is>
          <t>No Response / Ghosted</t>
        </is>
      </c>
      <c r="K3521" t="n">
        <v>577.21</v>
      </c>
      <c r="L3521" t="inlineStr">
        <is>
          <t>2025-06-10 10:02:33.374146</t>
        </is>
      </c>
      <c r="M3521">
        <f>VLOOKUP(H3521,'Stage Order'!$A$2:$B$8,2,FALSE)</f>
        <v/>
      </c>
      <c r="N3521">
        <f>IF(G3521&lt;=1,"1. Under 1 hour",IF(G3521&lt;=24,"2. 1-24 hours",IF(G3521&lt;=72,"3. 1-3 days","4. Over 3 days")))</f>
        <v/>
      </c>
      <c r="O3521">
        <f>TEXT(B3521,"YYYY-MM")</f>
        <v/>
      </c>
    </row>
    <row r="3522">
      <c r="A3522" t="inlineStr">
        <is>
          <t>LD-303520</t>
        </is>
      </c>
      <c r="B3522" t="inlineStr">
        <is>
          <t>2026-01-02 20:51:00</t>
        </is>
      </c>
      <c r="C3522" t="inlineStr">
        <is>
          <t>Referral</t>
        </is>
      </c>
      <c r="D3522" t="inlineStr">
        <is>
          <t>Coding for Kids</t>
        </is>
      </c>
      <c r="E3522" t="inlineStr">
        <is>
          <t>East Region</t>
        </is>
      </c>
      <c r="F3522" t="inlineStr">
        <is>
          <t>Rep_14</t>
        </is>
      </c>
      <c r="G3522" t="n">
        <v>1.65</v>
      </c>
      <c r="H3522" t="inlineStr">
        <is>
          <t>Demo Completed</t>
        </is>
      </c>
      <c r="I3522" t="inlineStr">
        <is>
          <t>Lost</t>
        </is>
      </c>
      <c r="J3522" t="inlineStr">
        <is>
          <t>Price Objection</t>
        </is>
      </c>
      <c r="K3522" t="n">
        <v>538.03</v>
      </c>
      <c r="L3522" t="inlineStr">
        <is>
          <t>2026-02-04 14:48:01.167033</t>
        </is>
      </c>
      <c r="M3522">
        <f>VLOOKUP(H3522,'Stage Order'!$A$2:$B$8,2,FALSE)</f>
        <v/>
      </c>
      <c r="N3522">
        <f>IF(G3522&lt;=1,"1. Under 1 hour",IF(G3522&lt;=24,"2. 1-24 hours",IF(G3522&lt;=72,"3. 1-3 days","4. Over 3 days")))</f>
        <v/>
      </c>
      <c r="O3522">
        <f>TEXT(B3522,"YYYY-MM")</f>
        <v/>
      </c>
    </row>
    <row r="3523">
      <c r="A3523" t="inlineStr">
        <is>
          <t>LD-303521</t>
        </is>
      </c>
      <c r="B3523" t="inlineStr">
        <is>
          <t>2025-12-19 15:01:00</t>
        </is>
      </c>
      <c r="C3523" t="inlineStr">
        <is>
          <t>Referral</t>
        </is>
      </c>
      <c r="D3523" t="inlineStr">
        <is>
          <t>K-12 Math</t>
        </is>
      </c>
      <c r="E3523" t="inlineStr">
        <is>
          <t>East Region</t>
        </is>
      </c>
      <c r="F3523" t="inlineStr">
        <is>
          <t>Rep_04</t>
        </is>
      </c>
      <c r="G3523" t="n">
        <v>1.61</v>
      </c>
      <c r="H3523" t="inlineStr">
        <is>
          <t>Negotiation</t>
        </is>
      </c>
      <c r="I3523" t="inlineStr">
        <is>
          <t>Lost</t>
        </is>
      </c>
      <c r="J3523" t="inlineStr">
        <is>
          <t>Went With Competitor</t>
        </is>
      </c>
      <c r="K3523" t="n">
        <v>587.8200000000001</v>
      </c>
      <c r="L3523" t="inlineStr">
        <is>
          <t>2026-02-01 08:55:17.977257</t>
        </is>
      </c>
      <c r="M3523">
        <f>VLOOKUP(H3523,'Stage Order'!$A$2:$B$8,2,FALSE)</f>
        <v/>
      </c>
      <c r="N3523">
        <f>IF(G3523&lt;=1,"1. Under 1 hour",IF(G3523&lt;=24,"2. 1-24 hours",IF(G3523&lt;=72,"3. 1-3 days","4. Over 3 days")))</f>
        <v/>
      </c>
      <c r="O3523">
        <f>TEXT(B3523,"YYYY-MM")</f>
        <v/>
      </c>
    </row>
    <row r="3524">
      <c r="A3524" t="inlineStr">
        <is>
          <t>LD-303522</t>
        </is>
      </c>
      <c r="B3524" t="inlineStr">
        <is>
          <t>2026-05-05 13:37:00</t>
        </is>
      </c>
      <c r="C3524" t="inlineStr">
        <is>
          <t>Partner Channel</t>
        </is>
      </c>
      <c r="D3524" t="inlineStr">
        <is>
          <t>Competitive Exam Prep</t>
        </is>
      </c>
      <c r="E3524" t="inlineStr">
        <is>
          <t>South Region</t>
        </is>
      </c>
      <c r="F3524" t="inlineStr">
        <is>
          <t>Rep_02</t>
        </is>
      </c>
      <c r="G3524" t="n">
        <v>1.74</v>
      </c>
      <c r="H3524" t="inlineStr">
        <is>
          <t>Closed</t>
        </is>
      </c>
      <c r="I3524" t="inlineStr">
        <is>
          <t>Won</t>
        </is>
      </c>
      <c r="K3524" t="n">
        <v>998.08</v>
      </c>
      <c r="L3524" t="inlineStr">
        <is>
          <t>2026-06-15 14:42:38.796354</t>
        </is>
      </c>
      <c r="M3524">
        <f>VLOOKUP(H3524,'Stage Order'!$A$2:$B$8,2,FALSE)</f>
        <v/>
      </c>
      <c r="N3524">
        <f>IF(G3524&lt;=1,"1. Under 1 hour",IF(G3524&lt;=24,"2. 1-24 hours",IF(G3524&lt;=72,"3. 1-3 days","4. Over 3 days")))</f>
        <v/>
      </c>
      <c r="O3524">
        <f>TEXT(B3524,"YYYY-MM")</f>
        <v/>
      </c>
    </row>
    <row r="3525">
      <c r="A3525" t="inlineStr">
        <is>
          <t>LD-303523</t>
        </is>
      </c>
      <c r="B3525" t="inlineStr">
        <is>
          <t>2025-04-07 14:29:00</t>
        </is>
      </c>
      <c r="C3525" t="inlineStr">
        <is>
          <t>Organic Search</t>
        </is>
      </c>
      <c r="D3525" t="inlineStr">
        <is>
          <t>Competitive Exam Prep</t>
        </is>
      </c>
      <c r="E3525" t="inlineStr">
        <is>
          <t>South Region</t>
        </is>
      </c>
      <c r="F3525" t="inlineStr">
        <is>
          <t>Rep_07</t>
        </is>
      </c>
      <c r="G3525" t="n">
        <v>3.28</v>
      </c>
      <c r="H3525" t="inlineStr">
        <is>
          <t>Demo Completed</t>
        </is>
      </c>
      <c r="I3525" t="inlineStr">
        <is>
          <t>Lost</t>
        </is>
      </c>
      <c r="J3525" t="inlineStr">
        <is>
          <t>Price Objection</t>
        </is>
      </c>
      <c r="K3525" t="n">
        <v>1153.99</v>
      </c>
      <c r="L3525" t="inlineStr">
        <is>
          <t>2025-05-06 14:00:58.480337</t>
        </is>
      </c>
      <c r="M3525">
        <f>VLOOKUP(H3525,'Stage Order'!$A$2:$B$8,2,FALSE)</f>
        <v/>
      </c>
      <c r="N3525">
        <f>IF(G3525&lt;=1,"1. Under 1 hour",IF(G3525&lt;=24,"2. 1-24 hours",IF(G3525&lt;=72,"3. 1-3 days","4. Over 3 days")))</f>
        <v/>
      </c>
      <c r="O3525">
        <f>TEXT(B3525,"YYYY-MM")</f>
        <v/>
      </c>
    </row>
    <row r="3526">
      <c r="A3526" t="inlineStr">
        <is>
          <t>LD-303524</t>
        </is>
      </c>
      <c r="B3526" t="inlineStr">
        <is>
          <t>2025-06-08 13:19:00</t>
        </is>
      </c>
      <c r="C3526" t="inlineStr">
        <is>
          <t>Organic Search</t>
        </is>
      </c>
      <c r="D3526" t="inlineStr">
        <is>
          <t>Language Learning</t>
        </is>
      </c>
      <c r="E3526" t="inlineStr">
        <is>
          <t>International</t>
        </is>
      </c>
      <c r="F3526" t="inlineStr">
        <is>
          <t>Rep_05</t>
        </is>
      </c>
      <c r="G3526" t="n">
        <v>4.71</v>
      </c>
      <c r="H3526" t="inlineStr">
        <is>
          <t>Lead</t>
        </is>
      </c>
      <c r="I3526" t="inlineStr">
        <is>
          <t>Open</t>
        </is>
      </c>
      <c r="M3526">
        <f>VLOOKUP(H3526,'Stage Order'!$A$2:$B$8,2,FALSE)</f>
        <v/>
      </c>
      <c r="N3526">
        <f>IF(G3526&lt;=1,"1. Under 1 hour",IF(G3526&lt;=24,"2. 1-24 hours",IF(G3526&lt;=72,"3. 1-3 days","4. Over 3 days")))</f>
        <v/>
      </c>
      <c r="O3526">
        <f>TEXT(B3526,"YYYY-MM")</f>
        <v/>
      </c>
    </row>
    <row r="3527">
      <c r="A3527" t="inlineStr">
        <is>
          <t>LD-303525</t>
        </is>
      </c>
      <c r="B3527" t="inlineStr">
        <is>
          <t>2026-05-24 07:29:00</t>
        </is>
      </c>
      <c r="C3527" t="inlineStr">
        <is>
          <t>Referral</t>
        </is>
      </c>
      <c r="D3527" t="inlineStr">
        <is>
          <t>Study Abroad Prep</t>
        </is>
      </c>
      <c r="E3527" t="inlineStr">
        <is>
          <t>South Region</t>
        </is>
      </c>
      <c r="F3527" t="inlineStr">
        <is>
          <t>Rep_12</t>
        </is>
      </c>
      <c r="G3527" t="n">
        <v>9.76</v>
      </c>
      <c r="H3527" t="inlineStr">
        <is>
          <t>Contacted</t>
        </is>
      </c>
      <c r="I3527" t="inlineStr">
        <is>
          <t>Open</t>
        </is>
      </c>
      <c r="M3527">
        <f>VLOOKUP(H3527,'Stage Order'!$A$2:$B$8,2,FALSE)</f>
        <v/>
      </c>
      <c r="N3527">
        <f>IF(G3527&lt;=1,"1. Under 1 hour",IF(G3527&lt;=24,"2. 1-24 hours",IF(G3527&lt;=72,"3. 1-3 days","4. Over 3 days")))</f>
        <v/>
      </c>
      <c r="O3527">
        <f>TEXT(B3527,"YYYY-MM")</f>
        <v/>
      </c>
    </row>
    <row r="3528">
      <c r="A3528" t="inlineStr">
        <is>
          <t>LD-303526</t>
        </is>
      </c>
      <c r="B3528" t="inlineStr">
        <is>
          <t>2025-01-17 20:13:00</t>
        </is>
      </c>
      <c r="C3528" t="inlineStr">
        <is>
          <t>Organic Search</t>
        </is>
      </c>
      <c r="D3528" t="inlineStr">
        <is>
          <t>Coding for Kids</t>
        </is>
      </c>
      <c r="E3528" t="inlineStr">
        <is>
          <t>North Region</t>
        </is>
      </c>
      <c r="F3528" t="inlineStr">
        <is>
          <t>Rep_01</t>
        </is>
      </c>
      <c r="G3528" t="n">
        <v>4.59</v>
      </c>
      <c r="H3528" t="inlineStr">
        <is>
          <t>Contacted</t>
        </is>
      </c>
      <c r="I3528" t="inlineStr">
        <is>
          <t>Open</t>
        </is>
      </c>
      <c r="M3528">
        <f>VLOOKUP(H3528,'Stage Order'!$A$2:$B$8,2,FALSE)</f>
        <v/>
      </c>
      <c r="N3528">
        <f>IF(G3528&lt;=1,"1. Under 1 hour",IF(G3528&lt;=24,"2. 1-24 hours",IF(G3528&lt;=72,"3. 1-3 days","4. Over 3 days")))</f>
        <v/>
      </c>
      <c r="O3528">
        <f>TEXT(B3528,"YYYY-MM")</f>
        <v/>
      </c>
    </row>
    <row r="3529">
      <c r="A3529" t="inlineStr">
        <is>
          <t>LD-303527</t>
        </is>
      </c>
      <c r="B3529" t="inlineStr">
        <is>
          <t>2026-03-13 16:04:00</t>
        </is>
      </c>
      <c r="C3529" t="inlineStr">
        <is>
          <t>Partner Channel</t>
        </is>
      </c>
      <c r="D3529" t="inlineStr">
        <is>
          <t>K-12 Math</t>
        </is>
      </c>
      <c r="E3529" t="inlineStr">
        <is>
          <t>West Region</t>
        </is>
      </c>
      <c r="F3529" t="inlineStr">
        <is>
          <t>Rep_13</t>
        </is>
      </c>
      <c r="G3529" t="n">
        <v>5.08</v>
      </c>
      <c r="H3529" t="inlineStr">
        <is>
          <t>Contacted</t>
        </is>
      </c>
      <c r="I3529" t="inlineStr">
        <is>
          <t>Open</t>
        </is>
      </c>
      <c r="M3529">
        <f>VLOOKUP(H3529,'Stage Order'!$A$2:$B$8,2,FALSE)</f>
        <v/>
      </c>
      <c r="N3529">
        <f>IF(G3529&lt;=1,"1. Under 1 hour",IF(G3529&lt;=24,"2. 1-24 hours",IF(G3529&lt;=72,"3. 1-3 days","4. Over 3 days")))</f>
        <v/>
      </c>
      <c r="O3529">
        <f>TEXT(B3529,"YYYY-MM")</f>
        <v/>
      </c>
    </row>
    <row r="3530">
      <c r="A3530" t="inlineStr">
        <is>
          <t>LD-303528</t>
        </is>
      </c>
      <c r="B3530" t="inlineStr">
        <is>
          <t>2025-02-05 16:42:00</t>
        </is>
      </c>
      <c r="C3530" t="inlineStr">
        <is>
          <t>Partner Channel</t>
        </is>
      </c>
      <c r="D3530" t="inlineStr">
        <is>
          <t>Competitive Exam Prep</t>
        </is>
      </c>
      <c r="E3530" t="inlineStr">
        <is>
          <t>South Region</t>
        </is>
      </c>
      <c r="F3530" t="inlineStr">
        <is>
          <t>Rep_12</t>
        </is>
      </c>
      <c r="G3530" t="n">
        <v>0.8100000000000001</v>
      </c>
      <c r="H3530" t="inlineStr">
        <is>
          <t>Contacted</t>
        </is>
      </c>
      <c r="I3530" t="inlineStr">
        <is>
          <t>Open</t>
        </is>
      </c>
      <c r="M3530">
        <f>VLOOKUP(H3530,'Stage Order'!$A$2:$B$8,2,FALSE)</f>
        <v/>
      </c>
      <c r="N3530">
        <f>IF(G3530&lt;=1,"1. Under 1 hour",IF(G3530&lt;=24,"2. 1-24 hours",IF(G3530&lt;=72,"3. 1-3 days","4. Over 3 days")))</f>
        <v/>
      </c>
      <c r="O3530">
        <f>TEXT(B3530,"YYYY-MM")</f>
        <v/>
      </c>
    </row>
    <row r="3531">
      <c r="A3531" t="inlineStr">
        <is>
          <t>LD-303529</t>
        </is>
      </c>
      <c r="B3531" t="inlineStr">
        <is>
          <t>2026-05-29 19:48:00</t>
        </is>
      </c>
      <c r="C3531" t="inlineStr">
        <is>
          <t>Paid Search</t>
        </is>
      </c>
      <c r="D3531" t="inlineStr">
        <is>
          <t>Language Learning</t>
        </is>
      </c>
      <c r="E3531" t="inlineStr">
        <is>
          <t>East Region</t>
        </is>
      </c>
      <c r="F3531" t="inlineStr">
        <is>
          <t>Rep_04</t>
        </is>
      </c>
      <c r="G3531" t="n">
        <v>0.8100000000000001</v>
      </c>
      <c r="H3531" t="inlineStr">
        <is>
          <t>Lead</t>
        </is>
      </c>
      <c r="I3531" t="inlineStr">
        <is>
          <t>Open</t>
        </is>
      </c>
      <c r="M3531">
        <f>VLOOKUP(H3531,'Stage Order'!$A$2:$B$8,2,FALSE)</f>
        <v/>
      </c>
      <c r="N3531">
        <f>IF(G3531&lt;=1,"1. Under 1 hour",IF(G3531&lt;=24,"2. 1-24 hours",IF(G3531&lt;=72,"3. 1-3 days","4. Over 3 days")))</f>
        <v/>
      </c>
      <c r="O3531">
        <f>TEXT(B3531,"YYYY-MM")</f>
        <v/>
      </c>
    </row>
    <row r="3532">
      <c r="A3532" t="inlineStr">
        <is>
          <t>LD-303530</t>
        </is>
      </c>
      <c r="B3532" t="inlineStr">
        <is>
          <t>2025-07-07 10:13:00</t>
        </is>
      </c>
      <c r="C3532" t="inlineStr">
        <is>
          <t>Referral</t>
        </is>
      </c>
      <c r="D3532" t="inlineStr">
        <is>
          <t>K-12 Math</t>
        </is>
      </c>
      <c r="E3532" t="inlineStr">
        <is>
          <t>South Region</t>
        </is>
      </c>
      <c r="F3532" t="inlineStr">
        <is>
          <t>Rep_07</t>
        </is>
      </c>
      <c r="G3532" t="n">
        <v>1.38</v>
      </c>
      <c r="H3532" t="inlineStr">
        <is>
          <t>Negotiation</t>
        </is>
      </c>
      <c r="I3532" t="inlineStr">
        <is>
          <t>Lost</t>
        </is>
      </c>
      <c r="J3532" t="inlineStr">
        <is>
          <t>Price Objection</t>
        </is>
      </c>
      <c r="K3532" t="n">
        <v>579.26</v>
      </c>
      <c r="L3532" t="inlineStr">
        <is>
          <t>2025-08-15 00:52:26.462462</t>
        </is>
      </c>
      <c r="M3532">
        <f>VLOOKUP(H3532,'Stage Order'!$A$2:$B$8,2,FALSE)</f>
        <v/>
      </c>
      <c r="N3532">
        <f>IF(G3532&lt;=1,"1. Under 1 hour",IF(G3532&lt;=24,"2. 1-24 hours",IF(G3532&lt;=72,"3. 1-3 days","4. Over 3 days")))</f>
        <v/>
      </c>
      <c r="O3532">
        <f>TEXT(B3532,"YYYY-MM")</f>
        <v/>
      </c>
    </row>
    <row r="3533">
      <c r="A3533" t="inlineStr">
        <is>
          <t>LD-303531</t>
        </is>
      </c>
      <c r="B3533" t="inlineStr">
        <is>
          <t>2026-05-06 08:09:00</t>
        </is>
      </c>
      <c r="C3533" t="inlineStr">
        <is>
          <t>Organic Search</t>
        </is>
      </c>
      <c r="D3533" t="inlineStr">
        <is>
          <t>K-12 Math</t>
        </is>
      </c>
      <c r="E3533" t="inlineStr">
        <is>
          <t>South Region</t>
        </is>
      </c>
      <c r="F3533" t="inlineStr">
        <is>
          <t>Rep_07</t>
        </is>
      </c>
      <c r="G3533" t="n">
        <v>1.57</v>
      </c>
      <c r="H3533" t="inlineStr">
        <is>
          <t>Negotiation</t>
        </is>
      </c>
      <c r="I3533" t="inlineStr">
        <is>
          <t>Lost</t>
        </is>
      </c>
      <c r="J3533" t="inlineStr">
        <is>
          <t>Bad Timing</t>
        </is>
      </c>
      <c r="K3533" t="n">
        <v>577.6900000000001</v>
      </c>
      <c r="L3533" t="inlineStr">
        <is>
          <t>2026-06-22 03:15:56.778105</t>
        </is>
      </c>
      <c r="M3533">
        <f>VLOOKUP(H3533,'Stage Order'!$A$2:$B$8,2,FALSE)</f>
        <v/>
      </c>
      <c r="N3533">
        <f>IF(G3533&lt;=1,"1. Under 1 hour",IF(G3533&lt;=24,"2. 1-24 hours",IF(G3533&lt;=72,"3. 1-3 days","4. Over 3 days")))</f>
        <v/>
      </c>
      <c r="O3533">
        <f>TEXT(B3533,"YYYY-MM")</f>
        <v/>
      </c>
    </row>
    <row r="3534">
      <c r="A3534" t="inlineStr">
        <is>
          <t>LD-303532</t>
        </is>
      </c>
      <c r="B3534" t="inlineStr">
        <is>
          <t>2026-03-31 17:11:00</t>
        </is>
      </c>
      <c r="C3534" t="inlineStr">
        <is>
          <t>Organic Search</t>
        </is>
      </c>
      <c r="D3534" t="inlineStr">
        <is>
          <t>Competitive Exam Prep</t>
        </is>
      </c>
      <c r="E3534" t="inlineStr">
        <is>
          <t>South Region</t>
        </is>
      </c>
      <c r="F3534" t="inlineStr">
        <is>
          <t>Rep_07</t>
        </is>
      </c>
      <c r="G3534" t="n">
        <v>1.68</v>
      </c>
      <c r="H3534" t="inlineStr">
        <is>
          <t>Contacted</t>
        </is>
      </c>
      <c r="I3534" t="inlineStr">
        <is>
          <t>Open</t>
        </is>
      </c>
      <c r="M3534">
        <f>VLOOKUP(H3534,'Stage Order'!$A$2:$B$8,2,FALSE)</f>
        <v/>
      </c>
      <c r="N3534">
        <f>IF(G3534&lt;=1,"1. Under 1 hour",IF(G3534&lt;=24,"2. 1-24 hours",IF(G3534&lt;=72,"3. 1-3 days","4. Over 3 days")))</f>
        <v/>
      </c>
      <c r="O3534">
        <f>TEXT(B3534,"YYYY-MM")</f>
        <v/>
      </c>
    </row>
    <row r="3535">
      <c r="A3535" t="inlineStr">
        <is>
          <t>LD-303533</t>
        </is>
      </c>
      <c r="B3535" t="inlineStr">
        <is>
          <t>2026-02-20 20:54:00</t>
        </is>
      </c>
      <c r="C3535" t="inlineStr">
        <is>
          <t>Paid Search</t>
        </is>
      </c>
      <c r="D3535" t="inlineStr">
        <is>
          <t>Coding for Kids</t>
        </is>
      </c>
      <c r="E3535" t="inlineStr">
        <is>
          <t>South Region</t>
        </is>
      </c>
      <c r="F3535" t="inlineStr">
        <is>
          <t>Rep_02</t>
        </is>
      </c>
      <c r="G3535" t="n">
        <v>1.94</v>
      </c>
      <c r="H3535" t="inlineStr">
        <is>
          <t>Demo Completed</t>
        </is>
      </c>
      <c r="I3535" t="inlineStr">
        <is>
          <t>Lost</t>
        </is>
      </c>
      <c r="J3535" t="inlineStr">
        <is>
          <t>Budget Not Approved</t>
        </is>
      </c>
      <c r="K3535" t="n">
        <v>676.08</v>
      </c>
      <c r="L3535" t="inlineStr">
        <is>
          <t>2026-03-26 18:09:52.932036</t>
        </is>
      </c>
      <c r="M3535">
        <f>VLOOKUP(H3535,'Stage Order'!$A$2:$B$8,2,FALSE)</f>
        <v/>
      </c>
      <c r="N3535">
        <f>IF(G3535&lt;=1,"1. Under 1 hour",IF(G3535&lt;=24,"2. 1-24 hours",IF(G3535&lt;=72,"3. 1-3 days","4. Over 3 days")))</f>
        <v/>
      </c>
      <c r="O3535">
        <f>TEXT(B3535,"YYYY-MM")</f>
        <v/>
      </c>
    </row>
    <row r="3536">
      <c r="A3536" t="inlineStr">
        <is>
          <t>LD-303534</t>
        </is>
      </c>
      <c r="B3536" t="inlineStr">
        <is>
          <t>2025-12-04 17:32:00</t>
        </is>
      </c>
      <c r="C3536" t="inlineStr">
        <is>
          <t>Paid Search</t>
        </is>
      </c>
      <c r="D3536" t="inlineStr">
        <is>
          <t>K-12 Math</t>
        </is>
      </c>
      <c r="E3536" t="inlineStr">
        <is>
          <t>South Region</t>
        </is>
      </c>
      <c r="F3536" t="inlineStr">
        <is>
          <t>Rep_02</t>
        </is>
      </c>
      <c r="G3536" t="n">
        <v>3.83</v>
      </c>
      <c r="H3536" t="inlineStr">
        <is>
          <t>Contacted</t>
        </is>
      </c>
      <c r="I3536" t="inlineStr">
        <is>
          <t>Open</t>
        </is>
      </c>
      <c r="M3536">
        <f>VLOOKUP(H3536,'Stage Order'!$A$2:$B$8,2,FALSE)</f>
        <v/>
      </c>
      <c r="N3536">
        <f>IF(G3536&lt;=1,"1. Under 1 hour",IF(G3536&lt;=24,"2. 1-24 hours",IF(G3536&lt;=72,"3. 1-3 days","4. Over 3 days")))</f>
        <v/>
      </c>
      <c r="O3536">
        <f>TEXT(B3536,"YYYY-MM")</f>
        <v/>
      </c>
    </row>
    <row r="3537">
      <c r="A3537" t="inlineStr">
        <is>
          <t>LD-303535</t>
        </is>
      </c>
      <c r="B3537" t="inlineStr">
        <is>
          <t>2025-01-10 16:00:00</t>
        </is>
      </c>
      <c r="C3537" t="inlineStr">
        <is>
          <t>Organic Search</t>
        </is>
      </c>
      <c r="D3537" t="inlineStr">
        <is>
          <t>Coding for Kids</t>
        </is>
      </c>
      <c r="E3537" t="inlineStr">
        <is>
          <t>International</t>
        </is>
      </c>
      <c r="F3537" t="inlineStr">
        <is>
          <t>Rep_15</t>
        </is>
      </c>
      <c r="G3537" t="n">
        <v>13.76</v>
      </c>
      <c r="H3537" t="inlineStr">
        <is>
          <t>Contacted</t>
        </is>
      </c>
      <c r="I3537" t="inlineStr">
        <is>
          <t>Open</t>
        </is>
      </c>
      <c r="M3537">
        <f>VLOOKUP(H3537,'Stage Order'!$A$2:$B$8,2,FALSE)</f>
        <v/>
      </c>
      <c r="N3537">
        <f>IF(G3537&lt;=1,"1. Under 1 hour",IF(G3537&lt;=24,"2. 1-24 hours",IF(G3537&lt;=72,"3. 1-3 days","4. Over 3 days")))</f>
        <v/>
      </c>
      <c r="O3537">
        <f>TEXT(B3537,"YYYY-MM")</f>
        <v/>
      </c>
    </row>
    <row r="3538">
      <c r="A3538" t="inlineStr">
        <is>
          <t>LD-303536</t>
        </is>
      </c>
      <c r="B3538" t="inlineStr">
        <is>
          <t>2025-01-10 20:25:00</t>
        </is>
      </c>
      <c r="C3538" t="inlineStr">
        <is>
          <t>Paid Search</t>
        </is>
      </c>
      <c r="D3538" t="inlineStr">
        <is>
          <t>K-12 Math</t>
        </is>
      </c>
      <c r="E3538" t="inlineStr">
        <is>
          <t>North Region</t>
        </is>
      </c>
      <c r="F3538" t="inlineStr">
        <is>
          <t>Rep_11</t>
        </is>
      </c>
      <c r="G3538" t="n">
        <v>6.46</v>
      </c>
      <c r="H3538" t="inlineStr">
        <is>
          <t>Demo Completed</t>
        </is>
      </c>
      <c r="I3538" t="inlineStr">
        <is>
          <t>Lost</t>
        </is>
      </c>
      <c r="J3538" t="inlineStr">
        <is>
          <t>Budget Not Approved</t>
        </is>
      </c>
      <c r="K3538" t="n">
        <v>523.01</v>
      </c>
      <c r="L3538" t="inlineStr">
        <is>
          <t>2025-02-05 14:07:34.330745</t>
        </is>
      </c>
      <c r="M3538">
        <f>VLOOKUP(H3538,'Stage Order'!$A$2:$B$8,2,FALSE)</f>
        <v/>
      </c>
      <c r="N3538">
        <f>IF(G3538&lt;=1,"1. Under 1 hour",IF(G3538&lt;=24,"2. 1-24 hours",IF(G3538&lt;=72,"3. 1-3 days","4. Over 3 days")))</f>
        <v/>
      </c>
      <c r="O3538">
        <f>TEXT(B3538,"YYYY-MM")</f>
        <v/>
      </c>
    </row>
    <row r="3539">
      <c r="A3539" t="inlineStr">
        <is>
          <t>LD-303537</t>
        </is>
      </c>
      <c r="B3539" t="inlineStr">
        <is>
          <t>2025-06-04 10:02:00</t>
        </is>
      </c>
      <c r="C3539" t="inlineStr">
        <is>
          <t>Social Media</t>
        </is>
      </c>
      <c r="D3539" t="inlineStr">
        <is>
          <t>Coding for Kids</t>
        </is>
      </c>
      <c r="E3539" t="inlineStr">
        <is>
          <t>West Region</t>
        </is>
      </c>
      <c r="F3539" t="inlineStr">
        <is>
          <t>Rep_03</t>
        </is>
      </c>
      <c r="G3539" t="n">
        <v>13.41</v>
      </c>
      <c r="H3539" t="inlineStr">
        <is>
          <t>Lead</t>
        </is>
      </c>
      <c r="I3539" t="inlineStr">
        <is>
          <t>Open</t>
        </is>
      </c>
      <c r="M3539">
        <f>VLOOKUP(H3539,'Stage Order'!$A$2:$B$8,2,FALSE)</f>
        <v/>
      </c>
      <c r="N3539">
        <f>IF(G3539&lt;=1,"1. Under 1 hour",IF(G3539&lt;=24,"2. 1-24 hours",IF(G3539&lt;=72,"3. 1-3 days","4. Over 3 days")))</f>
        <v/>
      </c>
      <c r="O3539">
        <f>TEXT(B3539,"YYYY-MM")</f>
        <v/>
      </c>
    </row>
    <row r="3540">
      <c r="A3540" t="inlineStr">
        <is>
          <t>LD-303538</t>
        </is>
      </c>
      <c r="B3540" t="inlineStr">
        <is>
          <t>2026-04-23 14:14:00</t>
        </is>
      </c>
      <c r="C3540" t="inlineStr">
        <is>
          <t>Cold Outreach</t>
        </is>
      </c>
      <c r="D3540" t="inlineStr">
        <is>
          <t>Study Abroad Prep</t>
        </is>
      </c>
      <c r="E3540" t="inlineStr">
        <is>
          <t>North Region</t>
        </is>
      </c>
      <c r="F3540" t="inlineStr">
        <is>
          <t>Rep_11</t>
        </is>
      </c>
      <c r="G3540" t="n">
        <v>0.95</v>
      </c>
      <c r="H3540" t="inlineStr">
        <is>
          <t>Demo Scheduled</t>
        </is>
      </c>
      <c r="I3540" t="inlineStr">
        <is>
          <t>Open</t>
        </is>
      </c>
      <c r="M3540">
        <f>VLOOKUP(H3540,'Stage Order'!$A$2:$B$8,2,FALSE)</f>
        <v/>
      </c>
      <c r="N3540">
        <f>IF(G3540&lt;=1,"1. Under 1 hour",IF(G3540&lt;=24,"2. 1-24 hours",IF(G3540&lt;=72,"3. 1-3 days","4. Over 3 days")))</f>
        <v/>
      </c>
      <c r="O3540">
        <f>TEXT(B3540,"YYYY-MM")</f>
        <v/>
      </c>
    </row>
    <row r="3541">
      <c r="A3541" t="inlineStr">
        <is>
          <t>LD-303539</t>
        </is>
      </c>
      <c r="B3541" t="inlineStr">
        <is>
          <t>2025-07-21 15:10:00</t>
        </is>
      </c>
      <c r="C3541" t="inlineStr">
        <is>
          <t>Webinar</t>
        </is>
      </c>
      <c r="D3541" t="inlineStr">
        <is>
          <t>Coding for Kids</t>
        </is>
      </c>
      <c r="E3541" t="inlineStr">
        <is>
          <t>West Region</t>
        </is>
      </c>
      <c r="F3541" t="inlineStr">
        <is>
          <t>Rep_08</t>
        </is>
      </c>
      <c r="G3541" t="n">
        <v>3.66</v>
      </c>
      <c r="H3541" t="inlineStr">
        <is>
          <t>Closed</t>
        </is>
      </c>
      <c r="I3541" t="inlineStr">
        <is>
          <t>Won</t>
        </is>
      </c>
      <c r="K3541" t="n">
        <v>618.35</v>
      </c>
      <c r="L3541" t="inlineStr">
        <is>
          <t>2025-08-29 22:05:21.926583</t>
        </is>
      </c>
      <c r="M3541">
        <f>VLOOKUP(H3541,'Stage Order'!$A$2:$B$8,2,FALSE)</f>
        <v/>
      </c>
      <c r="N3541">
        <f>IF(G3541&lt;=1,"1. Under 1 hour",IF(G3541&lt;=24,"2. 1-24 hours",IF(G3541&lt;=72,"3. 1-3 days","4. Over 3 days")))</f>
        <v/>
      </c>
      <c r="O3541">
        <f>TEXT(B3541,"YYYY-MM")</f>
        <v/>
      </c>
    </row>
    <row r="3542">
      <c r="A3542" t="inlineStr">
        <is>
          <t>LD-303540</t>
        </is>
      </c>
      <c r="B3542" t="inlineStr">
        <is>
          <t>2025-02-17 15:24:00</t>
        </is>
      </c>
      <c r="C3542" t="inlineStr">
        <is>
          <t>Paid Search</t>
        </is>
      </c>
      <c r="D3542" t="inlineStr">
        <is>
          <t>Study Abroad Prep</t>
        </is>
      </c>
      <c r="E3542" t="inlineStr">
        <is>
          <t>South Region</t>
        </is>
      </c>
      <c r="F3542" t="inlineStr">
        <is>
          <t>Rep_02</t>
        </is>
      </c>
      <c r="G3542" t="n">
        <v>5.45</v>
      </c>
      <c r="H3542" t="inlineStr">
        <is>
          <t>Lead</t>
        </is>
      </c>
      <c r="I3542" t="inlineStr">
        <is>
          <t>Open</t>
        </is>
      </c>
      <c r="M3542">
        <f>VLOOKUP(H3542,'Stage Order'!$A$2:$B$8,2,FALSE)</f>
        <v/>
      </c>
      <c r="N3542">
        <f>IF(G3542&lt;=1,"1. Under 1 hour",IF(G3542&lt;=24,"2. 1-24 hours",IF(G3542&lt;=72,"3. 1-3 days","4. Over 3 days")))</f>
        <v/>
      </c>
      <c r="O3542">
        <f>TEXT(B3542,"YYYY-MM")</f>
        <v/>
      </c>
    </row>
    <row r="3543">
      <c r="A3543" t="inlineStr">
        <is>
          <t>LD-303541</t>
        </is>
      </c>
      <c r="B3543" t="inlineStr">
        <is>
          <t>2025-02-19 07:12:00</t>
        </is>
      </c>
      <c r="C3543" t="inlineStr">
        <is>
          <t>Organic Search</t>
        </is>
      </c>
      <c r="D3543" t="inlineStr">
        <is>
          <t>Language Learning</t>
        </is>
      </c>
      <c r="E3543" t="inlineStr">
        <is>
          <t>North Region</t>
        </is>
      </c>
      <c r="F3543" t="inlineStr">
        <is>
          <t>Rep_06</t>
        </is>
      </c>
      <c r="G3543" t="n">
        <v>9.609999999999999</v>
      </c>
      <c r="H3543" t="inlineStr">
        <is>
          <t>Contacted</t>
        </is>
      </c>
      <c r="I3543" t="inlineStr">
        <is>
          <t>Open</t>
        </is>
      </c>
      <c r="M3543">
        <f>VLOOKUP(H3543,'Stage Order'!$A$2:$B$8,2,FALSE)</f>
        <v/>
      </c>
      <c r="N3543">
        <f>IF(G3543&lt;=1,"1. Under 1 hour",IF(G3543&lt;=24,"2. 1-24 hours",IF(G3543&lt;=72,"3. 1-3 days","4. Over 3 days")))</f>
        <v/>
      </c>
      <c r="O3543">
        <f>TEXT(B3543,"YYYY-MM")</f>
        <v/>
      </c>
    </row>
    <row r="3544">
      <c r="A3544" t="inlineStr">
        <is>
          <t>LD-303542</t>
        </is>
      </c>
      <c r="B3544" t="inlineStr">
        <is>
          <t>2025-11-21 18:23:00</t>
        </is>
      </c>
      <c r="C3544" t="inlineStr">
        <is>
          <t>Referral</t>
        </is>
      </c>
      <c r="D3544" t="inlineStr">
        <is>
          <t>K-12 Math</t>
        </is>
      </c>
      <c r="E3544" t="inlineStr">
        <is>
          <t>International</t>
        </is>
      </c>
      <c r="F3544" t="inlineStr">
        <is>
          <t>Rep_10</t>
        </is>
      </c>
      <c r="G3544" t="n">
        <v>17.29</v>
      </c>
      <c r="H3544" t="inlineStr">
        <is>
          <t>Negotiation</t>
        </is>
      </c>
      <c r="I3544" t="inlineStr">
        <is>
          <t>Lost</t>
        </is>
      </c>
      <c r="J3544" t="inlineStr">
        <is>
          <t>Budget Not Approved</t>
        </is>
      </c>
      <c r="K3544" t="n">
        <v>588.5</v>
      </c>
      <c r="L3544" t="inlineStr">
        <is>
          <t>2025-12-29 17:00:32.354870</t>
        </is>
      </c>
      <c r="M3544">
        <f>VLOOKUP(H3544,'Stage Order'!$A$2:$B$8,2,FALSE)</f>
        <v/>
      </c>
      <c r="N3544">
        <f>IF(G3544&lt;=1,"1. Under 1 hour",IF(G3544&lt;=24,"2. 1-24 hours",IF(G3544&lt;=72,"3. 1-3 days","4. Over 3 days")))</f>
        <v/>
      </c>
      <c r="O3544">
        <f>TEXT(B3544,"YYYY-MM")</f>
        <v/>
      </c>
    </row>
    <row r="3545">
      <c r="A3545" t="inlineStr">
        <is>
          <t>LD-303543</t>
        </is>
      </c>
      <c r="B3545" t="inlineStr">
        <is>
          <t>2025-08-08 18:45:00</t>
        </is>
      </c>
      <c r="C3545" t="inlineStr">
        <is>
          <t>Social Media</t>
        </is>
      </c>
      <c r="D3545" t="inlineStr">
        <is>
          <t>Competitive Exam Prep</t>
        </is>
      </c>
      <c r="E3545" t="inlineStr">
        <is>
          <t>North Region</t>
        </is>
      </c>
      <c r="F3545" t="inlineStr">
        <is>
          <t>Rep_01</t>
        </is>
      </c>
      <c r="G3545" t="n">
        <v>5.18</v>
      </c>
      <c r="H3545" t="inlineStr">
        <is>
          <t>Lead</t>
        </is>
      </c>
      <c r="I3545" t="inlineStr">
        <is>
          <t>Open</t>
        </is>
      </c>
      <c r="M3545">
        <f>VLOOKUP(H3545,'Stage Order'!$A$2:$B$8,2,FALSE)</f>
        <v/>
      </c>
      <c r="N3545">
        <f>IF(G3545&lt;=1,"1. Under 1 hour",IF(G3545&lt;=24,"2. 1-24 hours",IF(G3545&lt;=72,"3. 1-3 days","4. Over 3 days")))</f>
        <v/>
      </c>
      <c r="O3545">
        <f>TEXT(B3545,"YYYY-MM")</f>
        <v/>
      </c>
    </row>
    <row r="3546">
      <c r="A3546" t="inlineStr">
        <is>
          <t>LD-303544</t>
        </is>
      </c>
      <c r="B3546" t="inlineStr">
        <is>
          <t>2026-01-08 09:26:00</t>
        </is>
      </c>
      <c r="C3546" t="inlineStr">
        <is>
          <t>Cold Outreach</t>
        </is>
      </c>
      <c r="D3546" t="inlineStr">
        <is>
          <t>Coding for Kids</t>
        </is>
      </c>
      <c r="E3546" t="inlineStr">
        <is>
          <t>South Region</t>
        </is>
      </c>
      <c r="F3546" t="inlineStr">
        <is>
          <t>Rep_07</t>
        </is>
      </c>
      <c r="G3546" t="n">
        <v>4.02</v>
      </c>
      <c r="H3546" t="inlineStr">
        <is>
          <t>Contacted</t>
        </is>
      </c>
      <c r="I3546" t="inlineStr">
        <is>
          <t>Open</t>
        </is>
      </c>
      <c r="M3546">
        <f>VLOOKUP(H3546,'Stage Order'!$A$2:$B$8,2,FALSE)</f>
        <v/>
      </c>
      <c r="N3546">
        <f>IF(G3546&lt;=1,"1. Under 1 hour",IF(G3546&lt;=24,"2. 1-24 hours",IF(G3546&lt;=72,"3. 1-3 days","4. Over 3 days")))</f>
        <v/>
      </c>
      <c r="O3546">
        <f>TEXT(B3546,"YYYY-MM")</f>
        <v/>
      </c>
    </row>
    <row r="3547">
      <c r="A3547" t="inlineStr">
        <is>
          <t>LD-303545</t>
        </is>
      </c>
      <c r="B3547" t="inlineStr">
        <is>
          <t>2025-04-21 10:50:00</t>
        </is>
      </c>
      <c r="C3547" t="inlineStr">
        <is>
          <t>Partner Channel</t>
        </is>
      </c>
      <c r="D3547" t="inlineStr">
        <is>
          <t>Study Abroad Prep</t>
        </is>
      </c>
      <c r="E3547" t="inlineStr">
        <is>
          <t>South Region</t>
        </is>
      </c>
      <c r="F3547" t="inlineStr">
        <is>
          <t>Rep_07</t>
        </is>
      </c>
      <c r="G3547" t="n">
        <v>8.84</v>
      </c>
      <c r="H3547" t="inlineStr">
        <is>
          <t>Demo Completed</t>
        </is>
      </c>
      <c r="I3547" t="inlineStr">
        <is>
          <t>Lost</t>
        </is>
      </c>
      <c r="J3547" t="inlineStr">
        <is>
          <t>Bad Timing</t>
        </is>
      </c>
      <c r="K3547" t="n">
        <v>1650.43</v>
      </c>
      <c r="L3547" t="inlineStr">
        <is>
          <t>2025-05-23 11:48:33.722149</t>
        </is>
      </c>
      <c r="M3547">
        <f>VLOOKUP(H3547,'Stage Order'!$A$2:$B$8,2,FALSE)</f>
        <v/>
      </c>
      <c r="N3547">
        <f>IF(G3547&lt;=1,"1. Under 1 hour",IF(G3547&lt;=24,"2. 1-24 hours",IF(G3547&lt;=72,"3. 1-3 days","4. Over 3 days")))</f>
        <v/>
      </c>
      <c r="O3547">
        <f>TEXT(B3547,"YYYY-MM")</f>
        <v/>
      </c>
    </row>
    <row r="3548">
      <c r="A3548" t="inlineStr">
        <is>
          <t>LD-303546</t>
        </is>
      </c>
      <c r="B3548" t="inlineStr">
        <is>
          <t>2025-01-23 17:30:00</t>
        </is>
      </c>
      <c r="C3548" t="inlineStr">
        <is>
          <t>Paid Search</t>
        </is>
      </c>
      <c r="D3548" t="inlineStr">
        <is>
          <t>Competitive Exam Prep</t>
        </is>
      </c>
      <c r="E3548" t="inlineStr">
        <is>
          <t>North Region</t>
        </is>
      </c>
      <c r="F3548" t="inlineStr">
        <is>
          <t>Rep_01</t>
        </is>
      </c>
      <c r="G3548" t="n">
        <v>19.53</v>
      </c>
      <c r="H3548" t="inlineStr">
        <is>
          <t>Lead</t>
        </is>
      </c>
      <c r="I3548" t="inlineStr">
        <is>
          <t>Open</t>
        </is>
      </c>
      <c r="M3548">
        <f>VLOOKUP(H3548,'Stage Order'!$A$2:$B$8,2,FALSE)</f>
        <v/>
      </c>
      <c r="N3548">
        <f>IF(G3548&lt;=1,"1. Under 1 hour",IF(G3548&lt;=24,"2. 1-24 hours",IF(G3548&lt;=72,"3. 1-3 days","4. Over 3 days")))</f>
        <v/>
      </c>
      <c r="O3548">
        <f>TEXT(B3548,"YYYY-MM")</f>
        <v/>
      </c>
    </row>
    <row r="3549">
      <c r="A3549" t="inlineStr">
        <is>
          <t>LD-303547</t>
        </is>
      </c>
      <c r="B3549" t="inlineStr">
        <is>
          <t>2025-07-28 11:32:00</t>
        </is>
      </c>
      <c r="C3549" t="inlineStr">
        <is>
          <t>Paid Search</t>
        </is>
      </c>
      <c r="D3549" t="inlineStr">
        <is>
          <t>Language Learning</t>
        </is>
      </c>
      <c r="E3549" t="inlineStr">
        <is>
          <t>North Region</t>
        </is>
      </c>
      <c r="F3549" t="inlineStr">
        <is>
          <t>Rep_01</t>
        </is>
      </c>
      <c r="G3549" t="n">
        <v>5.51</v>
      </c>
      <c r="H3549" t="inlineStr">
        <is>
          <t>Lead</t>
        </is>
      </c>
      <c r="I3549" t="inlineStr">
        <is>
          <t>Open</t>
        </is>
      </c>
      <c r="M3549">
        <f>VLOOKUP(H3549,'Stage Order'!$A$2:$B$8,2,FALSE)</f>
        <v/>
      </c>
      <c r="N3549">
        <f>IF(G3549&lt;=1,"1. Under 1 hour",IF(G3549&lt;=24,"2. 1-24 hours",IF(G3549&lt;=72,"3. 1-3 days","4. Over 3 days")))</f>
        <v/>
      </c>
      <c r="O3549">
        <f>TEXT(B3549,"YYYY-MM")</f>
        <v/>
      </c>
    </row>
    <row r="3550">
      <c r="A3550" t="inlineStr">
        <is>
          <t>LD-303548</t>
        </is>
      </c>
      <c r="B3550" t="inlineStr">
        <is>
          <t>2025-07-18 15:11:00</t>
        </is>
      </c>
      <c r="C3550" t="inlineStr">
        <is>
          <t>Cold Outreach</t>
        </is>
      </c>
      <c r="D3550" t="inlineStr">
        <is>
          <t>Competitive Exam Prep</t>
        </is>
      </c>
      <c r="E3550" t="inlineStr">
        <is>
          <t>South Region</t>
        </is>
      </c>
      <c r="F3550" t="inlineStr">
        <is>
          <t>Rep_02</t>
        </is>
      </c>
      <c r="G3550" t="n">
        <v>2.69</v>
      </c>
      <c r="H3550" t="inlineStr">
        <is>
          <t>Contacted</t>
        </is>
      </c>
      <c r="I3550" t="inlineStr">
        <is>
          <t>Open</t>
        </is>
      </c>
      <c r="M3550">
        <f>VLOOKUP(H3550,'Stage Order'!$A$2:$B$8,2,FALSE)</f>
        <v/>
      </c>
      <c r="N3550">
        <f>IF(G3550&lt;=1,"1. Under 1 hour",IF(G3550&lt;=24,"2. 1-24 hours",IF(G3550&lt;=72,"3. 1-3 days","4. Over 3 days")))</f>
        <v/>
      </c>
      <c r="O3550">
        <f>TEXT(B3550,"YYYY-MM")</f>
        <v/>
      </c>
    </row>
    <row r="3551">
      <c r="A3551" t="inlineStr">
        <is>
          <t>LD-303549</t>
        </is>
      </c>
      <c r="B3551" t="inlineStr">
        <is>
          <t>2025-10-15 13:40:00</t>
        </is>
      </c>
      <c r="C3551" t="inlineStr">
        <is>
          <t>Partner Channel</t>
        </is>
      </c>
      <c r="D3551" t="inlineStr">
        <is>
          <t>Competitive Exam Prep</t>
        </is>
      </c>
      <c r="E3551" t="inlineStr">
        <is>
          <t>East Region</t>
        </is>
      </c>
      <c r="F3551" t="inlineStr">
        <is>
          <t>Rep_09</t>
        </is>
      </c>
      <c r="G3551" t="n">
        <v>10.9</v>
      </c>
      <c r="H3551" t="inlineStr">
        <is>
          <t>Contacted</t>
        </is>
      </c>
      <c r="I3551" t="inlineStr">
        <is>
          <t>Open</t>
        </is>
      </c>
      <c r="M3551">
        <f>VLOOKUP(H3551,'Stage Order'!$A$2:$B$8,2,FALSE)</f>
        <v/>
      </c>
      <c r="N3551">
        <f>IF(G3551&lt;=1,"1. Under 1 hour",IF(G3551&lt;=24,"2. 1-24 hours",IF(G3551&lt;=72,"3. 1-3 days","4. Over 3 days")))</f>
        <v/>
      </c>
      <c r="O3551">
        <f>TEXT(B3551,"YYYY-MM")</f>
        <v/>
      </c>
    </row>
    <row r="3552">
      <c r="A3552" t="inlineStr">
        <is>
          <t>LD-303550</t>
        </is>
      </c>
      <c r="B3552" t="inlineStr">
        <is>
          <t>2025-10-14 07:28:00</t>
        </is>
      </c>
      <c r="C3552" t="inlineStr">
        <is>
          <t>Organic Search</t>
        </is>
      </c>
      <c r="D3552" t="inlineStr">
        <is>
          <t>Study Abroad Prep</t>
        </is>
      </c>
      <c r="E3552" t="inlineStr">
        <is>
          <t>South Region</t>
        </is>
      </c>
      <c r="F3552" t="inlineStr">
        <is>
          <t>Rep_07</t>
        </is>
      </c>
      <c r="G3552" t="n">
        <v>4.34</v>
      </c>
      <c r="H3552" t="inlineStr">
        <is>
          <t>Contacted</t>
        </is>
      </c>
      <c r="I3552" t="inlineStr">
        <is>
          <t>Open</t>
        </is>
      </c>
      <c r="M3552">
        <f>VLOOKUP(H3552,'Stage Order'!$A$2:$B$8,2,FALSE)</f>
        <v/>
      </c>
      <c r="N3552">
        <f>IF(G3552&lt;=1,"1. Under 1 hour",IF(G3552&lt;=24,"2. 1-24 hours",IF(G3552&lt;=72,"3. 1-3 days","4. Over 3 days")))</f>
        <v/>
      </c>
      <c r="O3552">
        <f>TEXT(B3552,"YYYY-MM")</f>
        <v/>
      </c>
    </row>
    <row r="3553">
      <c r="A3553" t="inlineStr">
        <is>
          <t>LD-303551</t>
        </is>
      </c>
      <c r="B3553" t="inlineStr">
        <is>
          <t>2025-12-26 15:33:00</t>
        </is>
      </c>
      <c r="C3553" t="inlineStr">
        <is>
          <t>Webinar</t>
        </is>
      </c>
      <c r="D3553" t="inlineStr">
        <is>
          <t>Competitive Exam Prep</t>
        </is>
      </c>
      <c r="E3553" t="inlineStr">
        <is>
          <t>West Region</t>
        </is>
      </c>
      <c r="F3553" t="inlineStr">
        <is>
          <t>Rep_08</t>
        </is>
      </c>
      <c r="G3553" t="n">
        <v>5.82</v>
      </c>
      <c r="H3553" t="inlineStr">
        <is>
          <t>Negotiation</t>
        </is>
      </c>
      <c r="I3553" t="inlineStr">
        <is>
          <t>Lost</t>
        </is>
      </c>
      <c r="J3553" t="inlineStr">
        <is>
          <t>Budget Not Approved</t>
        </is>
      </c>
      <c r="K3553" t="n">
        <v>1105.87</v>
      </c>
      <c r="L3553" t="inlineStr">
        <is>
          <t>2026-02-07 23:45:18.401249</t>
        </is>
      </c>
      <c r="M3553">
        <f>VLOOKUP(H3553,'Stage Order'!$A$2:$B$8,2,FALSE)</f>
        <v/>
      </c>
      <c r="N3553">
        <f>IF(G3553&lt;=1,"1. Under 1 hour",IF(G3553&lt;=24,"2. 1-24 hours",IF(G3553&lt;=72,"3. 1-3 days","4. Over 3 days")))</f>
        <v/>
      </c>
      <c r="O3553">
        <f>TEXT(B3553,"YYYY-MM")</f>
        <v/>
      </c>
    </row>
    <row r="3554">
      <c r="A3554" t="inlineStr">
        <is>
          <t>LD-303552</t>
        </is>
      </c>
      <c r="B3554" t="inlineStr">
        <is>
          <t>2025-12-29 08:32:00</t>
        </is>
      </c>
      <c r="C3554" t="inlineStr">
        <is>
          <t>Paid Search</t>
        </is>
      </c>
      <c r="D3554" t="inlineStr">
        <is>
          <t>Coding for Kids</t>
        </is>
      </c>
      <c r="E3554" t="inlineStr">
        <is>
          <t>East Region</t>
        </is>
      </c>
      <c r="F3554" t="inlineStr">
        <is>
          <t>Rep_14</t>
        </is>
      </c>
      <c r="G3554" t="n">
        <v>7.01</v>
      </c>
      <c r="H3554" t="inlineStr">
        <is>
          <t>Contacted</t>
        </is>
      </c>
      <c r="I3554" t="inlineStr">
        <is>
          <t>Open</t>
        </is>
      </c>
      <c r="M3554">
        <f>VLOOKUP(H3554,'Stage Order'!$A$2:$B$8,2,FALSE)</f>
        <v/>
      </c>
      <c r="N3554">
        <f>IF(G3554&lt;=1,"1. Under 1 hour",IF(G3554&lt;=24,"2. 1-24 hours",IF(G3554&lt;=72,"3. 1-3 days","4. Over 3 days")))</f>
        <v/>
      </c>
      <c r="O3554">
        <f>TEXT(B3554,"YYYY-MM")</f>
        <v/>
      </c>
    </row>
    <row r="3555">
      <c r="A3555" t="inlineStr">
        <is>
          <t>LD-303553</t>
        </is>
      </c>
      <c r="B3555" t="inlineStr">
        <is>
          <t>2025-06-09 11:43:00</t>
        </is>
      </c>
      <c r="C3555" t="inlineStr">
        <is>
          <t>Webinar</t>
        </is>
      </c>
      <c r="D3555" t="inlineStr">
        <is>
          <t>Competitive Exam Prep</t>
        </is>
      </c>
      <c r="E3555" t="inlineStr">
        <is>
          <t>South Region</t>
        </is>
      </c>
      <c r="F3555" t="inlineStr">
        <is>
          <t>Rep_02</t>
        </is>
      </c>
      <c r="G3555" t="n">
        <v>7.05</v>
      </c>
      <c r="H3555" t="inlineStr">
        <is>
          <t>Contacted</t>
        </is>
      </c>
      <c r="I3555" t="inlineStr">
        <is>
          <t>Open</t>
        </is>
      </c>
      <c r="M3555">
        <f>VLOOKUP(H3555,'Stage Order'!$A$2:$B$8,2,FALSE)</f>
        <v/>
      </c>
      <c r="N3555">
        <f>IF(G3555&lt;=1,"1. Under 1 hour",IF(G3555&lt;=24,"2. 1-24 hours",IF(G3555&lt;=72,"3. 1-3 days","4. Over 3 days")))</f>
        <v/>
      </c>
      <c r="O3555">
        <f>TEXT(B3555,"YYYY-MM")</f>
        <v/>
      </c>
    </row>
    <row r="3556">
      <c r="A3556" t="inlineStr">
        <is>
          <t>LD-303554</t>
        </is>
      </c>
      <c r="B3556" t="inlineStr">
        <is>
          <t>2025-10-03 10:56:00</t>
        </is>
      </c>
      <c r="C3556" t="inlineStr">
        <is>
          <t>Referral</t>
        </is>
      </c>
      <c r="D3556" t="inlineStr">
        <is>
          <t>Language Learning</t>
        </is>
      </c>
      <c r="E3556" t="inlineStr">
        <is>
          <t>West Region</t>
        </is>
      </c>
      <c r="F3556" t="inlineStr">
        <is>
          <t>Rep_13</t>
        </is>
      </c>
      <c r="G3556" t="n">
        <v>2.51</v>
      </c>
      <c r="H3556" t="inlineStr">
        <is>
          <t>Contacted</t>
        </is>
      </c>
      <c r="I3556" t="inlineStr">
        <is>
          <t>Open</t>
        </is>
      </c>
      <c r="M3556">
        <f>VLOOKUP(H3556,'Stage Order'!$A$2:$B$8,2,FALSE)</f>
        <v/>
      </c>
      <c r="N3556">
        <f>IF(G3556&lt;=1,"1. Under 1 hour",IF(G3556&lt;=24,"2. 1-24 hours",IF(G3556&lt;=72,"3. 1-3 days","4. Over 3 days")))</f>
        <v/>
      </c>
      <c r="O3556">
        <f>TEXT(B3556,"YYYY-MM")</f>
        <v/>
      </c>
    </row>
    <row r="3557">
      <c r="A3557" t="inlineStr">
        <is>
          <t>LD-303555</t>
        </is>
      </c>
      <c r="B3557" t="inlineStr">
        <is>
          <t>2025-03-24 09:38:00</t>
        </is>
      </c>
      <c r="C3557" t="inlineStr">
        <is>
          <t>Partner Channel</t>
        </is>
      </c>
      <c r="D3557" t="inlineStr">
        <is>
          <t>Coding for Kids</t>
        </is>
      </c>
      <c r="E3557" t="inlineStr">
        <is>
          <t>East Region</t>
        </is>
      </c>
      <c r="F3557" t="inlineStr">
        <is>
          <t>Rep_09</t>
        </is>
      </c>
      <c r="G3557" t="n">
        <v>1.28</v>
      </c>
      <c r="H3557" t="inlineStr">
        <is>
          <t>Proposal Sent</t>
        </is>
      </c>
      <c r="I3557" t="inlineStr">
        <is>
          <t>Lost</t>
        </is>
      </c>
      <c r="J3557" t="inlineStr">
        <is>
          <t>Price Objection</t>
        </is>
      </c>
      <c r="K3557" t="n">
        <v>546.89</v>
      </c>
      <c r="L3557" t="inlineStr">
        <is>
          <t>2025-05-07 03:37:54.125676</t>
        </is>
      </c>
      <c r="M3557">
        <f>VLOOKUP(H3557,'Stage Order'!$A$2:$B$8,2,FALSE)</f>
        <v/>
      </c>
      <c r="N3557">
        <f>IF(G3557&lt;=1,"1. Under 1 hour",IF(G3557&lt;=24,"2. 1-24 hours",IF(G3557&lt;=72,"3. 1-3 days","4. Over 3 days")))</f>
        <v/>
      </c>
      <c r="O3557">
        <f>TEXT(B3557,"YYYY-MM")</f>
        <v/>
      </c>
    </row>
    <row r="3558">
      <c r="A3558" t="inlineStr">
        <is>
          <t>LD-303556</t>
        </is>
      </c>
      <c r="B3558" t="inlineStr">
        <is>
          <t>2026-06-12 20:06:00</t>
        </is>
      </c>
      <c r="C3558" t="inlineStr">
        <is>
          <t>Referral</t>
        </is>
      </c>
      <c r="D3558" t="inlineStr">
        <is>
          <t>K-12 Math</t>
        </is>
      </c>
      <c r="E3558" t="inlineStr">
        <is>
          <t>South Region</t>
        </is>
      </c>
      <c r="F3558" t="inlineStr">
        <is>
          <t>Rep_02</t>
        </is>
      </c>
      <c r="G3558" t="n">
        <v>2.37</v>
      </c>
      <c r="H3558" t="inlineStr">
        <is>
          <t>Contacted</t>
        </is>
      </c>
      <c r="I3558" t="inlineStr">
        <is>
          <t>Open</t>
        </is>
      </c>
      <c r="M3558">
        <f>VLOOKUP(H3558,'Stage Order'!$A$2:$B$8,2,FALSE)</f>
        <v/>
      </c>
      <c r="N3558">
        <f>IF(G3558&lt;=1,"1. Under 1 hour",IF(G3558&lt;=24,"2. 1-24 hours",IF(G3558&lt;=72,"3. 1-3 days","4. Over 3 days")))</f>
        <v/>
      </c>
      <c r="O3558">
        <f>TEXT(B3558,"YYYY-MM")</f>
        <v/>
      </c>
    </row>
    <row r="3559">
      <c r="A3559" t="inlineStr">
        <is>
          <t>LD-303557</t>
        </is>
      </c>
      <c r="B3559" t="inlineStr">
        <is>
          <t>2025-08-01 14:37:00</t>
        </is>
      </c>
      <c r="C3559" t="inlineStr">
        <is>
          <t>Partner Channel</t>
        </is>
      </c>
      <c r="D3559" t="inlineStr">
        <is>
          <t>Competitive Exam Prep</t>
        </is>
      </c>
      <c r="E3559" t="inlineStr">
        <is>
          <t>North Region</t>
        </is>
      </c>
      <c r="F3559" t="inlineStr">
        <is>
          <t>Rep_01</t>
        </is>
      </c>
      <c r="G3559" t="n">
        <v>2.45</v>
      </c>
      <c r="H3559" t="inlineStr">
        <is>
          <t>Contacted</t>
        </is>
      </c>
      <c r="I3559" t="inlineStr">
        <is>
          <t>Open</t>
        </is>
      </c>
      <c r="M3559">
        <f>VLOOKUP(H3559,'Stage Order'!$A$2:$B$8,2,FALSE)</f>
        <v/>
      </c>
      <c r="N3559">
        <f>IF(G3559&lt;=1,"1. Under 1 hour",IF(G3559&lt;=24,"2. 1-24 hours",IF(G3559&lt;=72,"3. 1-3 days","4. Over 3 days")))</f>
        <v/>
      </c>
      <c r="O3559">
        <f>TEXT(B3559,"YYYY-MM")</f>
        <v/>
      </c>
    </row>
    <row r="3560">
      <c r="A3560" t="inlineStr">
        <is>
          <t>LD-303558</t>
        </is>
      </c>
      <c r="B3560" t="inlineStr">
        <is>
          <t>2026-02-13 19:16:00</t>
        </is>
      </c>
      <c r="C3560" t="inlineStr">
        <is>
          <t>Referral</t>
        </is>
      </c>
      <c r="D3560" t="inlineStr">
        <is>
          <t>K-12 Math</t>
        </is>
      </c>
      <c r="E3560" t="inlineStr">
        <is>
          <t>South Region</t>
        </is>
      </c>
      <c r="F3560" t="inlineStr">
        <is>
          <t>Rep_12</t>
        </is>
      </c>
      <c r="G3560" t="n">
        <v>4.78</v>
      </c>
      <c r="H3560" t="inlineStr">
        <is>
          <t>Closed</t>
        </is>
      </c>
      <c r="I3560" t="inlineStr">
        <is>
          <t>Won</t>
        </is>
      </c>
      <c r="K3560" t="n">
        <v>438.81</v>
      </c>
      <c r="L3560" t="inlineStr">
        <is>
          <t>2026-03-22 23:36:50.604120</t>
        </is>
      </c>
      <c r="M3560">
        <f>VLOOKUP(H3560,'Stage Order'!$A$2:$B$8,2,FALSE)</f>
        <v/>
      </c>
      <c r="N3560">
        <f>IF(G3560&lt;=1,"1. Under 1 hour",IF(G3560&lt;=24,"2. 1-24 hours",IF(G3560&lt;=72,"3. 1-3 days","4. Over 3 days")))</f>
        <v/>
      </c>
      <c r="O3560">
        <f>TEXT(B3560,"YYYY-MM")</f>
        <v/>
      </c>
    </row>
    <row r="3561">
      <c r="A3561" t="inlineStr">
        <is>
          <t>LD-303559</t>
        </is>
      </c>
      <c r="B3561" t="inlineStr">
        <is>
          <t>2026-03-06 10:38:00</t>
        </is>
      </c>
      <c r="C3561" t="inlineStr">
        <is>
          <t>Social Media</t>
        </is>
      </c>
      <c r="D3561" t="inlineStr">
        <is>
          <t>K-12 Math</t>
        </is>
      </c>
      <c r="E3561" t="inlineStr">
        <is>
          <t>North Region</t>
        </is>
      </c>
      <c r="F3561" t="inlineStr">
        <is>
          <t>Rep_06</t>
        </is>
      </c>
      <c r="G3561" t="n">
        <v>5.03</v>
      </c>
      <c r="H3561" t="inlineStr">
        <is>
          <t>Contacted</t>
        </is>
      </c>
      <c r="I3561" t="inlineStr">
        <is>
          <t>Open</t>
        </is>
      </c>
      <c r="M3561">
        <f>VLOOKUP(H3561,'Stage Order'!$A$2:$B$8,2,FALSE)</f>
        <v/>
      </c>
      <c r="N3561">
        <f>IF(G3561&lt;=1,"1. Under 1 hour",IF(G3561&lt;=24,"2. 1-24 hours",IF(G3561&lt;=72,"3. 1-3 days","4. Over 3 days")))</f>
        <v/>
      </c>
      <c r="O3561">
        <f>TEXT(B3561,"YYYY-MM")</f>
        <v/>
      </c>
    </row>
    <row r="3562">
      <c r="A3562" t="inlineStr">
        <is>
          <t>LD-303560</t>
        </is>
      </c>
      <c r="B3562" t="inlineStr">
        <is>
          <t>2025-01-24 15:29:00</t>
        </is>
      </c>
      <c r="C3562" t="inlineStr">
        <is>
          <t>Paid Search</t>
        </is>
      </c>
      <c r="D3562" t="inlineStr">
        <is>
          <t>Competitive Exam Prep</t>
        </is>
      </c>
      <c r="E3562" t="inlineStr">
        <is>
          <t>East Region</t>
        </is>
      </c>
      <c r="F3562" t="inlineStr">
        <is>
          <t>Rep_04</t>
        </is>
      </c>
      <c r="G3562" t="n">
        <v>1.87</v>
      </c>
      <c r="H3562" t="inlineStr">
        <is>
          <t>Demo Scheduled</t>
        </is>
      </c>
      <c r="I3562" t="inlineStr">
        <is>
          <t>Open</t>
        </is>
      </c>
      <c r="M3562">
        <f>VLOOKUP(H3562,'Stage Order'!$A$2:$B$8,2,FALSE)</f>
        <v/>
      </c>
      <c r="N3562">
        <f>IF(G3562&lt;=1,"1. Under 1 hour",IF(G3562&lt;=24,"2. 1-24 hours",IF(G3562&lt;=72,"3. 1-3 days","4. Over 3 days")))</f>
        <v/>
      </c>
      <c r="O3562">
        <f>TEXT(B3562,"YYYY-MM")</f>
        <v/>
      </c>
    </row>
    <row r="3563">
      <c r="A3563" t="inlineStr">
        <is>
          <t>LD-303561</t>
        </is>
      </c>
      <c r="B3563" t="inlineStr">
        <is>
          <t>2025-03-18 07:42:00</t>
        </is>
      </c>
      <c r="C3563" t="inlineStr">
        <is>
          <t>Referral</t>
        </is>
      </c>
      <c r="D3563" t="inlineStr">
        <is>
          <t>Language Learning</t>
        </is>
      </c>
      <c r="E3563" t="inlineStr">
        <is>
          <t>West Region</t>
        </is>
      </c>
      <c r="F3563" t="inlineStr">
        <is>
          <t>Rep_08</t>
        </is>
      </c>
      <c r="G3563" t="n">
        <v>4.09</v>
      </c>
      <c r="H3563" t="inlineStr">
        <is>
          <t>Contacted</t>
        </is>
      </c>
      <c r="I3563" t="inlineStr">
        <is>
          <t>Open</t>
        </is>
      </c>
      <c r="M3563">
        <f>VLOOKUP(H3563,'Stage Order'!$A$2:$B$8,2,FALSE)</f>
        <v/>
      </c>
      <c r="N3563">
        <f>IF(G3563&lt;=1,"1. Under 1 hour",IF(G3563&lt;=24,"2. 1-24 hours",IF(G3563&lt;=72,"3. 1-3 days","4. Over 3 days")))</f>
        <v/>
      </c>
      <c r="O3563">
        <f>TEXT(B3563,"YYYY-MM")</f>
        <v/>
      </c>
    </row>
    <row r="3564">
      <c r="A3564" t="inlineStr">
        <is>
          <t>LD-303562</t>
        </is>
      </c>
      <c r="B3564" t="inlineStr">
        <is>
          <t>2026-01-10 11:25:00</t>
        </is>
      </c>
      <c r="C3564" t="inlineStr">
        <is>
          <t>Social Media</t>
        </is>
      </c>
      <c r="D3564" t="inlineStr">
        <is>
          <t>K-12 Math</t>
        </is>
      </c>
      <c r="E3564" t="inlineStr">
        <is>
          <t>West Region</t>
        </is>
      </c>
      <c r="F3564" t="inlineStr">
        <is>
          <t>Rep_13</t>
        </is>
      </c>
      <c r="G3564" t="n">
        <v>8.81</v>
      </c>
      <c r="H3564" t="inlineStr">
        <is>
          <t>Contacted</t>
        </is>
      </c>
      <c r="I3564" t="inlineStr">
        <is>
          <t>Open</t>
        </is>
      </c>
      <c r="M3564">
        <f>VLOOKUP(H3564,'Stage Order'!$A$2:$B$8,2,FALSE)</f>
        <v/>
      </c>
      <c r="N3564">
        <f>IF(G3564&lt;=1,"1. Under 1 hour",IF(G3564&lt;=24,"2. 1-24 hours",IF(G3564&lt;=72,"3. 1-3 days","4. Over 3 days")))</f>
        <v/>
      </c>
      <c r="O3564">
        <f>TEXT(B3564,"YYYY-MM")</f>
        <v/>
      </c>
    </row>
    <row r="3565">
      <c r="A3565" t="inlineStr">
        <is>
          <t>LD-303563</t>
        </is>
      </c>
      <c r="B3565" t="inlineStr">
        <is>
          <t>2026-05-19 10:28:00</t>
        </is>
      </c>
      <c r="C3565" t="inlineStr">
        <is>
          <t>Paid Search</t>
        </is>
      </c>
      <c r="D3565" t="inlineStr">
        <is>
          <t>K-12 Math</t>
        </is>
      </c>
      <c r="E3565" t="inlineStr">
        <is>
          <t>North Region</t>
        </is>
      </c>
      <c r="F3565" t="inlineStr">
        <is>
          <t>Rep_01</t>
        </is>
      </c>
      <c r="G3565" t="n">
        <v>2.27</v>
      </c>
      <c r="H3565" t="inlineStr">
        <is>
          <t>Contacted</t>
        </is>
      </c>
      <c r="I3565" t="inlineStr">
        <is>
          <t>Open</t>
        </is>
      </c>
      <c r="M3565">
        <f>VLOOKUP(H3565,'Stage Order'!$A$2:$B$8,2,FALSE)</f>
        <v/>
      </c>
      <c r="N3565">
        <f>IF(G3565&lt;=1,"1. Under 1 hour",IF(G3565&lt;=24,"2. 1-24 hours",IF(G3565&lt;=72,"3. 1-3 days","4. Over 3 days")))</f>
        <v/>
      </c>
      <c r="O3565">
        <f>TEXT(B3565,"YYYY-MM")</f>
        <v/>
      </c>
    </row>
    <row r="3566">
      <c r="A3566" t="inlineStr">
        <is>
          <t>LD-303564</t>
        </is>
      </c>
      <c r="B3566" t="inlineStr">
        <is>
          <t>2026-02-28 09:46:00</t>
        </is>
      </c>
      <c r="C3566" t="inlineStr">
        <is>
          <t>Organic Search</t>
        </is>
      </c>
      <c r="D3566" t="inlineStr">
        <is>
          <t>Coding for Kids</t>
        </is>
      </c>
      <c r="E3566" t="inlineStr">
        <is>
          <t>South Region</t>
        </is>
      </c>
      <c r="F3566" t="inlineStr">
        <is>
          <t>Rep_12</t>
        </is>
      </c>
      <c r="G3566" t="n">
        <v>3.39</v>
      </c>
      <c r="H3566" t="inlineStr">
        <is>
          <t>Closed</t>
        </is>
      </c>
      <c r="I3566" t="inlineStr">
        <is>
          <t>Won</t>
        </is>
      </c>
      <c r="K3566" t="n">
        <v>682.4400000000001</v>
      </c>
      <c r="L3566" t="inlineStr">
        <is>
          <t>2026-04-03 18:52:52.841078</t>
        </is>
      </c>
      <c r="M3566">
        <f>VLOOKUP(H3566,'Stage Order'!$A$2:$B$8,2,FALSE)</f>
        <v/>
      </c>
      <c r="N3566">
        <f>IF(G3566&lt;=1,"1. Under 1 hour",IF(G3566&lt;=24,"2. 1-24 hours",IF(G3566&lt;=72,"3. 1-3 days","4. Over 3 days")))</f>
        <v/>
      </c>
      <c r="O3566">
        <f>TEXT(B3566,"YYYY-MM")</f>
        <v/>
      </c>
    </row>
    <row r="3567">
      <c r="A3567" t="inlineStr">
        <is>
          <t>LD-303565</t>
        </is>
      </c>
      <c r="B3567" t="inlineStr">
        <is>
          <t>2025-08-11 20:01:00</t>
        </is>
      </c>
      <c r="C3567" t="inlineStr">
        <is>
          <t>Paid Search</t>
        </is>
      </c>
      <c r="D3567" t="inlineStr">
        <is>
          <t>K-12 Math</t>
        </is>
      </c>
      <c r="E3567" t="inlineStr">
        <is>
          <t>West Region</t>
        </is>
      </c>
      <c r="F3567" t="inlineStr">
        <is>
          <t>Rep_13</t>
        </is>
      </c>
      <c r="G3567" t="n">
        <v>2.14</v>
      </c>
      <c r="H3567" t="inlineStr">
        <is>
          <t>Demo Completed</t>
        </is>
      </c>
      <c r="I3567" t="inlineStr">
        <is>
          <t>Lost</t>
        </is>
      </c>
      <c r="J3567" t="inlineStr">
        <is>
          <t>Price Objection</t>
        </is>
      </c>
      <c r="K3567" t="n">
        <v>467.49</v>
      </c>
      <c r="L3567" t="inlineStr">
        <is>
          <t>2025-09-01 11:07:23.002017</t>
        </is>
      </c>
      <c r="M3567">
        <f>VLOOKUP(H3567,'Stage Order'!$A$2:$B$8,2,FALSE)</f>
        <v/>
      </c>
      <c r="N3567">
        <f>IF(G3567&lt;=1,"1. Under 1 hour",IF(G3567&lt;=24,"2. 1-24 hours",IF(G3567&lt;=72,"3. 1-3 days","4. Over 3 days")))</f>
        <v/>
      </c>
      <c r="O3567">
        <f>TEXT(B3567,"YYYY-MM")</f>
        <v/>
      </c>
    </row>
    <row r="3568">
      <c r="A3568" t="inlineStr">
        <is>
          <t>LD-303566</t>
        </is>
      </c>
      <c r="B3568" t="inlineStr">
        <is>
          <t>2025-10-25 16:25:00</t>
        </is>
      </c>
      <c r="C3568" t="inlineStr">
        <is>
          <t>Paid Search</t>
        </is>
      </c>
      <c r="D3568" t="inlineStr">
        <is>
          <t>Language Learning</t>
        </is>
      </c>
      <c r="E3568" t="inlineStr">
        <is>
          <t>South Region</t>
        </is>
      </c>
      <c r="F3568" t="inlineStr">
        <is>
          <t>Rep_12</t>
        </is>
      </c>
      <c r="G3568" t="n">
        <v>1.45</v>
      </c>
      <c r="H3568" t="inlineStr">
        <is>
          <t>Contacted</t>
        </is>
      </c>
      <c r="I3568" t="inlineStr">
        <is>
          <t>Open</t>
        </is>
      </c>
      <c r="M3568">
        <f>VLOOKUP(H3568,'Stage Order'!$A$2:$B$8,2,FALSE)</f>
        <v/>
      </c>
      <c r="N3568">
        <f>IF(G3568&lt;=1,"1. Under 1 hour",IF(G3568&lt;=24,"2. 1-24 hours",IF(G3568&lt;=72,"3. 1-3 days","4. Over 3 days")))</f>
        <v/>
      </c>
      <c r="O3568">
        <f>TEXT(B3568,"YYYY-MM")</f>
        <v/>
      </c>
    </row>
    <row r="3569">
      <c r="A3569" t="inlineStr">
        <is>
          <t>LD-303567</t>
        </is>
      </c>
      <c r="B3569" t="inlineStr">
        <is>
          <t>2026-01-30 13:21:00</t>
        </is>
      </c>
      <c r="C3569" t="inlineStr">
        <is>
          <t>Paid Search</t>
        </is>
      </c>
      <c r="D3569" t="inlineStr">
        <is>
          <t>Competitive Exam Prep</t>
        </is>
      </c>
      <c r="E3569" t="inlineStr">
        <is>
          <t>West Region</t>
        </is>
      </c>
      <c r="F3569" t="inlineStr">
        <is>
          <t>Rep_08</t>
        </is>
      </c>
      <c r="G3569" t="n">
        <v>1.05</v>
      </c>
      <c r="H3569" t="inlineStr">
        <is>
          <t>Contacted</t>
        </is>
      </c>
      <c r="I3569" t="inlineStr">
        <is>
          <t>Open</t>
        </is>
      </c>
      <c r="M3569">
        <f>VLOOKUP(H3569,'Stage Order'!$A$2:$B$8,2,FALSE)</f>
        <v/>
      </c>
      <c r="N3569">
        <f>IF(G3569&lt;=1,"1. Under 1 hour",IF(G3569&lt;=24,"2. 1-24 hours",IF(G3569&lt;=72,"3. 1-3 days","4. Over 3 days")))</f>
        <v/>
      </c>
      <c r="O3569">
        <f>TEXT(B3569,"YYYY-MM")</f>
        <v/>
      </c>
    </row>
    <row r="3570">
      <c r="A3570" t="inlineStr">
        <is>
          <t>LD-303568</t>
        </is>
      </c>
      <c r="B3570" t="inlineStr">
        <is>
          <t>2026-05-21 08:21:00</t>
        </is>
      </c>
      <c r="C3570" t="inlineStr">
        <is>
          <t>Organic Search</t>
        </is>
      </c>
      <c r="D3570" t="inlineStr">
        <is>
          <t>Language Learning</t>
        </is>
      </c>
      <c r="E3570" t="inlineStr">
        <is>
          <t>North Region</t>
        </is>
      </c>
      <c r="F3570" t="inlineStr">
        <is>
          <t>Rep_11</t>
        </is>
      </c>
      <c r="G3570" t="n">
        <v>3.36</v>
      </c>
      <c r="H3570" t="inlineStr">
        <is>
          <t>Proposal Sent</t>
        </is>
      </c>
      <c r="I3570" t="inlineStr">
        <is>
          <t>Lost</t>
        </is>
      </c>
      <c r="J3570" t="inlineStr">
        <is>
          <t>Bad Timing</t>
        </is>
      </c>
      <c r="K3570" t="n">
        <v>375.89</v>
      </c>
      <c r="L3570" t="inlineStr">
        <is>
          <t>2026-06-18 16:53:10.627735</t>
        </is>
      </c>
      <c r="M3570">
        <f>VLOOKUP(H3570,'Stage Order'!$A$2:$B$8,2,FALSE)</f>
        <v/>
      </c>
      <c r="N3570">
        <f>IF(G3570&lt;=1,"1. Under 1 hour",IF(G3570&lt;=24,"2. 1-24 hours",IF(G3570&lt;=72,"3. 1-3 days","4. Over 3 days")))</f>
        <v/>
      </c>
      <c r="O3570">
        <f>TEXT(B3570,"YYYY-MM")</f>
        <v/>
      </c>
    </row>
    <row r="3571">
      <c r="A3571" t="inlineStr">
        <is>
          <t>LD-303569</t>
        </is>
      </c>
      <c r="B3571" t="inlineStr">
        <is>
          <t>2025-08-18 19:40:00</t>
        </is>
      </c>
      <c r="C3571" t="inlineStr">
        <is>
          <t>Organic Search</t>
        </is>
      </c>
      <c r="D3571" t="inlineStr">
        <is>
          <t>K-12 Math</t>
        </is>
      </c>
      <c r="E3571" t="inlineStr">
        <is>
          <t>North Region</t>
        </is>
      </c>
      <c r="F3571" t="inlineStr">
        <is>
          <t>Rep_01</t>
        </is>
      </c>
      <c r="G3571" t="n">
        <v>1.72</v>
      </c>
      <c r="H3571" t="inlineStr">
        <is>
          <t>Proposal Sent</t>
        </is>
      </c>
      <c r="I3571" t="inlineStr">
        <is>
          <t>Lost</t>
        </is>
      </c>
      <c r="J3571" t="inlineStr">
        <is>
          <t>Price Objection</t>
        </is>
      </c>
      <c r="K3571" t="n">
        <v>598.1799999999999</v>
      </c>
      <c r="L3571" t="inlineStr">
        <is>
          <t>2025-09-27 11:37:59.830453</t>
        </is>
      </c>
      <c r="M3571">
        <f>VLOOKUP(H3571,'Stage Order'!$A$2:$B$8,2,FALSE)</f>
        <v/>
      </c>
      <c r="N3571">
        <f>IF(G3571&lt;=1,"1. Under 1 hour",IF(G3571&lt;=24,"2. 1-24 hours",IF(G3571&lt;=72,"3. 1-3 days","4. Over 3 days")))</f>
        <v/>
      </c>
      <c r="O3571">
        <f>TEXT(B3571,"YYYY-MM")</f>
        <v/>
      </c>
    </row>
    <row r="3572">
      <c r="A3572" t="inlineStr">
        <is>
          <t>LD-303570</t>
        </is>
      </c>
      <c r="B3572" t="inlineStr">
        <is>
          <t>2025-04-22 15:08:00</t>
        </is>
      </c>
      <c r="C3572" t="inlineStr">
        <is>
          <t>Social Media</t>
        </is>
      </c>
      <c r="D3572" t="inlineStr">
        <is>
          <t>K-12 Math</t>
        </is>
      </c>
      <c r="E3572" t="inlineStr">
        <is>
          <t>North Region</t>
        </is>
      </c>
      <c r="F3572" t="inlineStr">
        <is>
          <t>Rep_06</t>
        </is>
      </c>
      <c r="G3572" t="n">
        <v>4.77</v>
      </c>
      <c r="H3572" t="inlineStr">
        <is>
          <t>Lead</t>
        </is>
      </c>
      <c r="I3572" t="inlineStr">
        <is>
          <t>Open</t>
        </is>
      </c>
      <c r="M3572">
        <f>VLOOKUP(H3572,'Stage Order'!$A$2:$B$8,2,FALSE)</f>
        <v/>
      </c>
      <c r="N3572">
        <f>IF(G3572&lt;=1,"1. Under 1 hour",IF(G3572&lt;=24,"2. 1-24 hours",IF(G3572&lt;=72,"3. 1-3 days","4. Over 3 days")))</f>
        <v/>
      </c>
      <c r="O3572">
        <f>TEXT(B3572,"YYYY-MM")</f>
        <v/>
      </c>
    </row>
    <row r="3573">
      <c r="A3573" t="inlineStr">
        <is>
          <t>LD-303571</t>
        </is>
      </c>
      <c r="B3573" t="inlineStr">
        <is>
          <t>2026-01-09 17:19:00</t>
        </is>
      </c>
      <c r="C3573" t="inlineStr">
        <is>
          <t>Cold Outreach</t>
        </is>
      </c>
      <c r="D3573" t="inlineStr">
        <is>
          <t>Coding for Kids</t>
        </is>
      </c>
      <c r="E3573" t="inlineStr">
        <is>
          <t>South Region</t>
        </is>
      </c>
      <c r="F3573" t="inlineStr">
        <is>
          <t>Rep_07</t>
        </is>
      </c>
      <c r="G3573" t="n">
        <v>4.17</v>
      </c>
      <c r="H3573" t="inlineStr">
        <is>
          <t>Contacted</t>
        </is>
      </c>
      <c r="I3573" t="inlineStr">
        <is>
          <t>Open</t>
        </is>
      </c>
      <c r="M3573">
        <f>VLOOKUP(H3573,'Stage Order'!$A$2:$B$8,2,FALSE)</f>
        <v/>
      </c>
      <c r="N3573">
        <f>IF(G3573&lt;=1,"1. Under 1 hour",IF(G3573&lt;=24,"2. 1-24 hours",IF(G3573&lt;=72,"3. 1-3 days","4. Over 3 days")))</f>
        <v/>
      </c>
      <c r="O3573">
        <f>TEXT(B3573,"YYYY-MM")</f>
        <v/>
      </c>
    </row>
    <row r="3574">
      <c r="A3574" t="inlineStr">
        <is>
          <t>LD-303572</t>
        </is>
      </c>
      <c r="B3574" t="inlineStr">
        <is>
          <t>2025-08-12 19:14:00</t>
        </is>
      </c>
      <c r="C3574" t="inlineStr">
        <is>
          <t>Paid Search</t>
        </is>
      </c>
      <c r="D3574" t="inlineStr">
        <is>
          <t>Study Abroad Prep</t>
        </is>
      </c>
      <c r="E3574" t="inlineStr">
        <is>
          <t>South Region</t>
        </is>
      </c>
      <c r="F3574" t="inlineStr">
        <is>
          <t>Rep_07</t>
        </is>
      </c>
      <c r="G3574" t="n">
        <v>4.33</v>
      </c>
      <c r="H3574" t="inlineStr">
        <is>
          <t>Closed</t>
        </is>
      </c>
      <c r="I3574" t="inlineStr">
        <is>
          <t>Won</t>
        </is>
      </c>
      <c r="K3574" t="n">
        <v>1513.92</v>
      </c>
      <c r="L3574" t="inlineStr">
        <is>
          <t>2025-09-17 16:20:55.140223</t>
        </is>
      </c>
      <c r="M3574">
        <f>VLOOKUP(H3574,'Stage Order'!$A$2:$B$8,2,FALSE)</f>
        <v/>
      </c>
      <c r="N3574">
        <f>IF(G3574&lt;=1,"1. Under 1 hour",IF(G3574&lt;=24,"2. 1-24 hours",IF(G3574&lt;=72,"3. 1-3 days","4. Over 3 days")))</f>
        <v/>
      </c>
      <c r="O3574">
        <f>TEXT(B3574,"YYYY-MM")</f>
        <v/>
      </c>
    </row>
    <row r="3575">
      <c r="A3575" t="inlineStr">
        <is>
          <t>LD-303573</t>
        </is>
      </c>
      <c r="B3575" t="inlineStr">
        <is>
          <t>2025-04-25 14:07:00</t>
        </is>
      </c>
      <c r="C3575" t="inlineStr">
        <is>
          <t>Social Media</t>
        </is>
      </c>
      <c r="D3575" t="inlineStr">
        <is>
          <t>Competitive Exam Prep</t>
        </is>
      </c>
      <c r="E3575" t="inlineStr">
        <is>
          <t>South Region</t>
        </is>
      </c>
      <c r="F3575" t="inlineStr">
        <is>
          <t>Rep_07</t>
        </is>
      </c>
      <c r="G3575" t="n">
        <v>2.39</v>
      </c>
      <c r="H3575" t="inlineStr">
        <is>
          <t>Lead</t>
        </is>
      </c>
      <c r="I3575" t="inlineStr">
        <is>
          <t>Open</t>
        </is>
      </c>
      <c r="M3575">
        <f>VLOOKUP(H3575,'Stage Order'!$A$2:$B$8,2,FALSE)</f>
        <v/>
      </c>
      <c r="N3575">
        <f>IF(G3575&lt;=1,"1. Under 1 hour",IF(G3575&lt;=24,"2. 1-24 hours",IF(G3575&lt;=72,"3. 1-3 days","4. Over 3 days")))</f>
        <v/>
      </c>
      <c r="O3575">
        <f>TEXT(B3575,"YYYY-MM")</f>
        <v/>
      </c>
    </row>
    <row r="3576">
      <c r="A3576" t="inlineStr">
        <is>
          <t>LD-303574</t>
        </is>
      </c>
      <c r="B3576" t="inlineStr">
        <is>
          <t>2025-01-09 08:22:00</t>
        </is>
      </c>
      <c r="C3576" t="inlineStr">
        <is>
          <t>Webinar</t>
        </is>
      </c>
      <c r="D3576" t="inlineStr">
        <is>
          <t>Coding for Kids</t>
        </is>
      </c>
      <c r="E3576" t="inlineStr">
        <is>
          <t>South Region</t>
        </is>
      </c>
      <c r="F3576" t="inlineStr">
        <is>
          <t>Rep_07</t>
        </is>
      </c>
      <c r="G3576" t="n">
        <v>6.8</v>
      </c>
      <c r="H3576" t="inlineStr">
        <is>
          <t>Contacted</t>
        </is>
      </c>
      <c r="I3576" t="inlineStr">
        <is>
          <t>Open</t>
        </is>
      </c>
      <c r="M3576">
        <f>VLOOKUP(H3576,'Stage Order'!$A$2:$B$8,2,FALSE)</f>
        <v/>
      </c>
      <c r="N3576">
        <f>IF(G3576&lt;=1,"1. Under 1 hour",IF(G3576&lt;=24,"2. 1-24 hours",IF(G3576&lt;=72,"3. 1-3 days","4. Over 3 days")))</f>
        <v/>
      </c>
      <c r="O3576">
        <f>TEXT(B3576,"YYYY-MM")</f>
        <v/>
      </c>
    </row>
    <row r="3577">
      <c r="A3577" t="inlineStr">
        <is>
          <t>LD-303575</t>
        </is>
      </c>
      <c r="B3577" t="inlineStr">
        <is>
          <t>2026-02-27 13:23:00</t>
        </is>
      </c>
      <c r="C3577" t="inlineStr">
        <is>
          <t>Cold Outreach</t>
        </is>
      </c>
      <c r="D3577" t="inlineStr">
        <is>
          <t>Coding for Kids</t>
        </is>
      </c>
      <c r="E3577" t="inlineStr">
        <is>
          <t>West Region</t>
        </is>
      </c>
      <c r="F3577" t="inlineStr">
        <is>
          <t>Rep_13</t>
        </is>
      </c>
      <c r="G3577" t="n">
        <v>2.75</v>
      </c>
      <c r="H3577" t="inlineStr">
        <is>
          <t>Contacted</t>
        </is>
      </c>
      <c r="I3577" t="inlineStr">
        <is>
          <t>Open</t>
        </is>
      </c>
      <c r="M3577">
        <f>VLOOKUP(H3577,'Stage Order'!$A$2:$B$8,2,FALSE)</f>
        <v/>
      </c>
      <c r="N3577">
        <f>IF(G3577&lt;=1,"1. Under 1 hour",IF(G3577&lt;=24,"2. 1-24 hours",IF(G3577&lt;=72,"3. 1-3 days","4. Over 3 days")))</f>
        <v/>
      </c>
      <c r="O3577">
        <f>TEXT(B3577,"YYYY-MM")</f>
        <v/>
      </c>
    </row>
    <row r="3578">
      <c r="A3578" t="inlineStr">
        <is>
          <t>LD-303576</t>
        </is>
      </c>
      <c r="B3578" t="inlineStr">
        <is>
          <t>2025-08-06 08:16:00</t>
        </is>
      </c>
      <c r="C3578" t="inlineStr">
        <is>
          <t>Paid Search</t>
        </is>
      </c>
      <c r="D3578" t="inlineStr">
        <is>
          <t>Coding for Kids</t>
        </is>
      </c>
      <c r="E3578" t="inlineStr">
        <is>
          <t>South Region</t>
        </is>
      </c>
      <c r="F3578" t="inlineStr">
        <is>
          <t>Rep_12</t>
        </is>
      </c>
      <c r="G3578" t="n">
        <v>1.88</v>
      </c>
      <c r="H3578" t="inlineStr">
        <is>
          <t>Contacted</t>
        </is>
      </c>
      <c r="I3578" t="inlineStr">
        <is>
          <t>Open</t>
        </is>
      </c>
      <c r="M3578">
        <f>VLOOKUP(H3578,'Stage Order'!$A$2:$B$8,2,FALSE)</f>
        <v/>
      </c>
      <c r="N3578">
        <f>IF(G3578&lt;=1,"1. Under 1 hour",IF(G3578&lt;=24,"2. 1-24 hours",IF(G3578&lt;=72,"3. 1-3 days","4. Over 3 days")))</f>
        <v/>
      </c>
      <c r="O3578">
        <f>TEXT(B3578,"YYYY-MM")</f>
        <v/>
      </c>
    </row>
    <row r="3579">
      <c r="A3579" t="inlineStr">
        <is>
          <t>LD-303577</t>
        </is>
      </c>
      <c r="B3579" t="inlineStr">
        <is>
          <t>2025-05-28 15:53:00</t>
        </is>
      </c>
      <c r="C3579" t="inlineStr">
        <is>
          <t>Social Media</t>
        </is>
      </c>
      <c r="D3579" t="inlineStr">
        <is>
          <t>K-12 Math</t>
        </is>
      </c>
      <c r="E3579" t="inlineStr">
        <is>
          <t>North Region</t>
        </is>
      </c>
      <c r="F3579" t="inlineStr">
        <is>
          <t>Rep_06</t>
        </is>
      </c>
      <c r="G3579" t="n">
        <v>4.56</v>
      </c>
      <c r="H3579" t="inlineStr">
        <is>
          <t>Lead</t>
        </is>
      </c>
      <c r="I3579" t="inlineStr">
        <is>
          <t>Open</t>
        </is>
      </c>
      <c r="M3579">
        <f>VLOOKUP(H3579,'Stage Order'!$A$2:$B$8,2,FALSE)</f>
        <v/>
      </c>
      <c r="N3579">
        <f>IF(G3579&lt;=1,"1. Under 1 hour",IF(G3579&lt;=24,"2. 1-24 hours",IF(G3579&lt;=72,"3. 1-3 days","4. Over 3 days")))</f>
        <v/>
      </c>
      <c r="O3579">
        <f>TEXT(B3579,"YYYY-MM")</f>
        <v/>
      </c>
    </row>
    <row r="3580">
      <c r="A3580" t="inlineStr">
        <is>
          <t>LD-303578</t>
        </is>
      </c>
      <c r="B3580" t="inlineStr">
        <is>
          <t>2025-11-18 13:53:00</t>
        </is>
      </c>
      <c r="C3580" t="inlineStr">
        <is>
          <t>Webinar</t>
        </is>
      </c>
      <c r="D3580" t="inlineStr">
        <is>
          <t>K-12 Math</t>
        </is>
      </c>
      <c r="E3580" t="inlineStr">
        <is>
          <t>North Region</t>
        </is>
      </c>
      <c r="F3580" t="inlineStr">
        <is>
          <t>Rep_06</t>
        </is>
      </c>
      <c r="G3580" t="n">
        <v>1.84</v>
      </c>
      <c r="H3580" t="inlineStr">
        <is>
          <t>Demo Scheduled</t>
        </is>
      </c>
      <c r="I3580" t="inlineStr">
        <is>
          <t>Open</t>
        </is>
      </c>
      <c r="M3580">
        <f>VLOOKUP(H3580,'Stage Order'!$A$2:$B$8,2,FALSE)</f>
        <v/>
      </c>
      <c r="N3580">
        <f>IF(G3580&lt;=1,"1. Under 1 hour",IF(G3580&lt;=24,"2. 1-24 hours",IF(G3580&lt;=72,"3. 1-3 days","4. Over 3 days")))</f>
        <v/>
      </c>
      <c r="O3580">
        <f>TEXT(B3580,"YYYY-MM")</f>
        <v/>
      </c>
    </row>
    <row r="3581">
      <c r="A3581" t="inlineStr">
        <is>
          <t>LD-303579</t>
        </is>
      </c>
      <c r="B3581" t="inlineStr">
        <is>
          <t>2025-03-13 20:09:00</t>
        </is>
      </c>
      <c r="C3581" t="inlineStr">
        <is>
          <t>Referral</t>
        </is>
      </c>
      <c r="D3581" t="inlineStr">
        <is>
          <t>K-12 Math</t>
        </is>
      </c>
      <c r="E3581" t="inlineStr">
        <is>
          <t>East Region</t>
        </is>
      </c>
      <c r="F3581" t="inlineStr">
        <is>
          <t>Rep_14</t>
        </is>
      </c>
      <c r="G3581" t="n">
        <v>1.01</v>
      </c>
      <c r="H3581" t="inlineStr">
        <is>
          <t>Proposal Sent</t>
        </is>
      </c>
      <c r="I3581" t="inlineStr">
        <is>
          <t>Lost</t>
        </is>
      </c>
      <c r="J3581" t="inlineStr">
        <is>
          <t>Price Objection</t>
        </is>
      </c>
      <c r="K3581" t="n">
        <v>527.14</v>
      </c>
      <c r="L3581" t="inlineStr">
        <is>
          <t>2025-04-08 23:59:01.513568</t>
        </is>
      </c>
      <c r="M3581">
        <f>VLOOKUP(H3581,'Stage Order'!$A$2:$B$8,2,FALSE)</f>
        <v/>
      </c>
      <c r="N3581">
        <f>IF(G3581&lt;=1,"1. Under 1 hour",IF(G3581&lt;=24,"2. 1-24 hours",IF(G3581&lt;=72,"3. 1-3 days","4. Over 3 days")))</f>
        <v/>
      </c>
      <c r="O3581">
        <f>TEXT(B3581,"YYYY-MM")</f>
        <v/>
      </c>
    </row>
    <row r="3582">
      <c r="A3582" t="inlineStr">
        <is>
          <t>LD-303580</t>
        </is>
      </c>
      <c r="B3582" t="inlineStr">
        <is>
          <t>2025-06-25 07:26:00</t>
        </is>
      </c>
      <c r="C3582" t="inlineStr">
        <is>
          <t>Partner Channel</t>
        </is>
      </c>
      <c r="D3582" t="inlineStr">
        <is>
          <t>Competitive Exam Prep</t>
        </is>
      </c>
      <c r="E3582" t="inlineStr">
        <is>
          <t>West Region</t>
        </is>
      </c>
      <c r="F3582" t="inlineStr">
        <is>
          <t>Rep_13</t>
        </is>
      </c>
      <c r="G3582" t="n">
        <v>1.21</v>
      </c>
      <c r="H3582" t="inlineStr">
        <is>
          <t>Contacted</t>
        </is>
      </c>
      <c r="I3582" t="inlineStr">
        <is>
          <t>Open</t>
        </is>
      </c>
      <c r="M3582">
        <f>VLOOKUP(H3582,'Stage Order'!$A$2:$B$8,2,FALSE)</f>
        <v/>
      </c>
      <c r="N3582">
        <f>IF(G3582&lt;=1,"1. Under 1 hour",IF(G3582&lt;=24,"2. 1-24 hours",IF(G3582&lt;=72,"3. 1-3 days","4. Over 3 days")))</f>
        <v/>
      </c>
      <c r="O3582">
        <f>TEXT(B3582,"YYYY-MM")</f>
        <v/>
      </c>
    </row>
    <row r="3583">
      <c r="A3583" t="inlineStr">
        <is>
          <t>LD-303581</t>
        </is>
      </c>
      <c r="B3583" t="inlineStr">
        <is>
          <t>2025-10-10 09:58:00</t>
        </is>
      </c>
      <c r="C3583" t="inlineStr">
        <is>
          <t>Social Media</t>
        </is>
      </c>
      <c r="D3583" t="inlineStr">
        <is>
          <t>Study Abroad Prep</t>
        </is>
      </c>
      <c r="E3583" t="inlineStr">
        <is>
          <t>East Region</t>
        </is>
      </c>
      <c r="F3583" t="inlineStr">
        <is>
          <t>Rep_14</t>
        </is>
      </c>
      <c r="G3583" t="n">
        <v>2.73</v>
      </c>
      <c r="H3583" t="inlineStr">
        <is>
          <t>Lead</t>
        </is>
      </c>
      <c r="I3583" t="inlineStr">
        <is>
          <t>Open</t>
        </is>
      </c>
      <c r="M3583">
        <f>VLOOKUP(H3583,'Stage Order'!$A$2:$B$8,2,FALSE)</f>
        <v/>
      </c>
      <c r="N3583">
        <f>IF(G3583&lt;=1,"1. Under 1 hour",IF(G3583&lt;=24,"2. 1-24 hours",IF(G3583&lt;=72,"3. 1-3 days","4. Over 3 days")))</f>
        <v/>
      </c>
      <c r="O3583">
        <f>TEXT(B3583,"YYYY-MM")</f>
        <v/>
      </c>
    </row>
    <row r="3584">
      <c r="A3584" t="inlineStr">
        <is>
          <t>LD-303582</t>
        </is>
      </c>
      <c r="B3584" t="inlineStr">
        <is>
          <t>2025-04-10 13:36:00</t>
        </is>
      </c>
      <c r="C3584" t="inlineStr">
        <is>
          <t>Organic Search</t>
        </is>
      </c>
      <c r="D3584" t="inlineStr">
        <is>
          <t>K-12 Math</t>
        </is>
      </c>
      <c r="E3584" t="inlineStr">
        <is>
          <t>South Region</t>
        </is>
      </c>
      <c r="F3584" t="inlineStr">
        <is>
          <t>Rep_12</t>
        </is>
      </c>
      <c r="G3584" t="n">
        <v>6.15</v>
      </c>
      <c r="H3584" t="inlineStr">
        <is>
          <t>Closed</t>
        </is>
      </c>
      <c r="I3584" t="inlineStr">
        <is>
          <t>Won</t>
        </is>
      </c>
      <c r="K3584" t="n">
        <v>514.42</v>
      </c>
      <c r="L3584" t="inlineStr">
        <is>
          <t>2025-05-17 11:48:56.233033</t>
        </is>
      </c>
      <c r="M3584">
        <f>VLOOKUP(H3584,'Stage Order'!$A$2:$B$8,2,FALSE)</f>
        <v/>
      </c>
      <c r="N3584">
        <f>IF(G3584&lt;=1,"1. Under 1 hour",IF(G3584&lt;=24,"2. 1-24 hours",IF(G3584&lt;=72,"3. 1-3 days","4. Over 3 days")))</f>
        <v/>
      </c>
      <c r="O3584">
        <f>TEXT(B3584,"YYYY-MM")</f>
        <v/>
      </c>
    </row>
    <row r="3585">
      <c r="A3585" t="inlineStr">
        <is>
          <t>LD-303583</t>
        </is>
      </c>
      <c r="B3585" t="inlineStr">
        <is>
          <t>2026-05-01 07:06:00</t>
        </is>
      </c>
      <c r="C3585" t="inlineStr">
        <is>
          <t>Partner Channel</t>
        </is>
      </c>
      <c r="D3585" t="inlineStr">
        <is>
          <t>Language Learning</t>
        </is>
      </c>
      <c r="E3585" t="inlineStr">
        <is>
          <t>North Region</t>
        </is>
      </c>
      <c r="F3585" t="inlineStr">
        <is>
          <t>Rep_11</t>
        </is>
      </c>
      <c r="G3585" t="n">
        <v>1.46</v>
      </c>
      <c r="H3585" t="inlineStr">
        <is>
          <t>Proposal Sent</t>
        </is>
      </c>
      <c r="I3585" t="inlineStr">
        <is>
          <t>Lost</t>
        </is>
      </c>
      <c r="J3585" t="inlineStr">
        <is>
          <t>No Response / Ghosted</t>
        </is>
      </c>
      <c r="K3585" t="n">
        <v>332.26</v>
      </c>
      <c r="L3585" t="inlineStr">
        <is>
          <t>2026-06-02 14:06:08.674216</t>
        </is>
      </c>
      <c r="M3585">
        <f>VLOOKUP(H3585,'Stage Order'!$A$2:$B$8,2,FALSE)</f>
        <v/>
      </c>
      <c r="N3585">
        <f>IF(G3585&lt;=1,"1. Under 1 hour",IF(G3585&lt;=24,"2. 1-24 hours",IF(G3585&lt;=72,"3. 1-3 days","4. Over 3 days")))</f>
        <v/>
      </c>
      <c r="O3585">
        <f>TEXT(B3585,"YYYY-MM")</f>
        <v/>
      </c>
    </row>
    <row r="3586">
      <c r="A3586" t="inlineStr">
        <is>
          <t>LD-303584</t>
        </is>
      </c>
      <c r="B3586" t="inlineStr">
        <is>
          <t>2025-11-21 14:25:00</t>
        </is>
      </c>
      <c r="C3586" t="inlineStr">
        <is>
          <t>Cold Outreach</t>
        </is>
      </c>
      <c r="D3586" t="inlineStr">
        <is>
          <t>Coding for Kids</t>
        </is>
      </c>
      <c r="E3586" t="inlineStr">
        <is>
          <t>North Region</t>
        </is>
      </c>
      <c r="F3586" t="inlineStr">
        <is>
          <t>Rep_06</t>
        </is>
      </c>
      <c r="G3586" t="n">
        <v>3.42</v>
      </c>
      <c r="H3586" t="inlineStr">
        <is>
          <t>Lead</t>
        </is>
      </c>
      <c r="I3586" t="inlineStr">
        <is>
          <t>Open</t>
        </is>
      </c>
      <c r="M3586">
        <f>VLOOKUP(H3586,'Stage Order'!$A$2:$B$8,2,FALSE)</f>
        <v/>
      </c>
      <c r="N3586">
        <f>IF(G3586&lt;=1,"1. Under 1 hour",IF(G3586&lt;=24,"2. 1-24 hours",IF(G3586&lt;=72,"3. 1-3 days","4. Over 3 days")))</f>
        <v/>
      </c>
      <c r="O3586">
        <f>TEXT(B3586,"YYYY-MM")</f>
        <v/>
      </c>
    </row>
    <row r="3587">
      <c r="A3587" t="inlineStr">
        <is>
          <t>LD-303585</t>
        </is>
      </c>
      <c r="B3587" t="inlineStr">
        <is>
          <t>2025-08-24 11:11:00</t>
        </is>
      </c>
      <c r="C3587" t="inlineStr">
        <is>
          <t>Cold Outreach</t>
        </is>
      </c>
      <c r="D3587" t="inlineStr">
        <is>
          <t>K-12 Math</t>
        </is>
      </c>
      <c r="E3587" t="inlineStr">
        <is>
          <t>East Region</t>
        </is>
      </c>
      <c r="F3587" t="inlineStr">
        <is>
          <t>Rep_14</t>
        </is>
      </c>
      <c r="G3587" t="n">
        <v>11.67</v>
      </c>
      <c r="H3587" t="inlineStr">
        <is>
          <t>Contacted</t>
        </is>
      </c>
      <c r="I3587" t="inlineStr">
        <is>
          <t>Open</t>
        </is>
      </c>
      <c r="M3587">
        <f>VLOOKUP(H3587,'Stage Order'!$A$2:$B$8,2,FALSE)</f>
        <v/>
      </c>
      <c r="N3587">
        <f>IF(G3587&lt;=1,"1. Under 1 hour",IF(G3587&lt;=24,"2. 1-24 hours",IF(G3587&lt;=72,"3. 1-3 days","4. Over 3 days")))</f>
        <v/>
      </c>
      <c r="O3587">
        <f>TEXT(B3587,"YYYY-MM")</f>
        <v/>
      </c>
    </row>
    <row r="3588">
      <c r="A3588" t="inlineStr">
        <is>
          <t>LD-303586</t>
        </is>
      </c>
      <c r="B3588" t="inlineStr">
        <is>
          <t>2025-11-18 13:30:00</t>
        </is>
      </c>
      <c r="C3588" t="inlineStr">
        <is>
          <t>Organic Search</t>
        </is>
      </c>
      <c r="D3588" t="inlineStr">
        <is>
          <t>Language Learning</t>
        </is>
      </c>
      <c r="E3588" t="inlineStr">
        <is>
          <t>East Region</t>
        </is>
      </c>
      <c r="F3588" t="inlineStr">
        <is>
          <t>Rep_09</t>
        </is>
      </c>
      <c r="G3588" t="n">
        <v>4.48</v>
      </c>
      <c r="H3588" t="inlineStr">
        <is>
          <t>Closed</t>
        </is>
      </c>
      <c r="I3588" t="inlineStr">
        <is>
          <t>Won</t>
        </is>
      </c>
      <c r="K3588" t="n">
        <v>419.74</v>
      </c>
      <c r="L3588" t="inlineStr">
        <is>
          <t>2025-12-24 23:04:32.939410</t>
        </is>
      </c>
      <c r="M3588">
        <f>VLOOKUP(H3588,'Stage Order'!$A$2:$B$8,2,FALSE)</f>
        <v/>
      </c>
      <c r="N3588">
        <f>IF(G3588&lt;=1,"1. Under 1 hour",IF(G3588&lt;=24,"2. 1-24 hours",IF(G3588&lt;=72,"3. 1-3 days","4. Over 3 days")))</f>
        <v/>
      </c>
      <c r="O3588">
        <f>TEXT(B3588,"YYYY-MM")</f>
        <v/>
      </c>
    </row>
    <row r="3589">
      <c r="A3589" t="inlineStr">
        <is>
          <t>LD-303587</t>
        </is>
      </c>
      <c r="B3589" t="inlineStr">
        <is>
          <t>2026-04-21 08:09:00</t>
        </is>
      </c>
      <c r="C3589" t="inlineStr">
        <is>
          <t>Social Media</t>
        </is>
      </c>
      <c r="D3589" t="inlineStr">
        <is>
          <t>Study Abroad Prep</t>
        </is>
      </c>
      <c r="E3589" t="inlineStr">
        <is>
          <t>East Region</t>
        </is>
      </c>
      <c r="F3589" t="inlineStr">
        <is>
          <t>Rep_09</t>
        </is>
      </c>
      <c r="G3589" t="n">
        <v>1.16</v>
      </c>
      <c r="H3589" t="inlineStr">
        <is>
          <t>Contacted</t>
        </is>
      </c>
      <c r="I3589" t="inlineStr">
        <is>
          <t>Open</t>
        </is>
      </c>
      <c r="M3589">
        <f>VLOOKUP(H3589,'Stage Order'!$A$2:$B$8,2,FALSE)</f>
        <v/>
      </c>
      <c r="N3589">
        <f>IF(G3589&lt;=1,"1. Under 1 hour",IF(G3589&lt;=24,"2. 1-24 hours",IF(G3589&lt;=72,"3. 1-3 days","4. Over 3 days")))</f>
        <v/>
      </c>
      <c r="O3589">
        <f>TEXT(B3589,"YYYY-MM")</f>
        <v/>
      </c>
    </row>
    <row r="3590">
      <c r="A3590" t="inlineStr">
        <is>
          <t>LD-303588</t>
        </is>
      </c>
      <c r="B3590" t="inlineStr">
        <is>
          <t>2025-10-08 14:04:00</t>
        </is>
      </c>
      <c r="C3590" t="inlineStr">
        <is>
          <t>Organic Search</t>
        </is>
      </c>
      <c r="D3590" t="inlineStr">
        <is>
          <t>Competitive Exam Prep</t>
        </is>
      </c>
      <c r="E3590" t="inlineStr">
        <is>
          <t>North Region</t>
        </is>
      </c>
      <c r="F3590" t="inlineStr">
        <is>
          <t>Rep_06</t>
        </is>
      </c>
      <c r="G3590" t="n">
        <v>0.84</v>
      </c>
      <c r="H3590" t="inlineStr">
        <is>
          <t>Demo Scheduled</t>
        </is>
      </c>
      <c r="I3590" t="inlineStr">
        <is>
          <t>Open</t>
        </is>
      </c>
      <c r="M3590">
        <f>VLOOKUP(H3590,'Stage Order'!$A$2:$B$8,2,FALSE)</f>
        <v/>
      </c>
      <c r="N3590">
        <f>IF(G3590&lt;=1,"1. Under 1 hour",IF(G3590&lt;=24,"2. 1-24 hours",IF(G3590&lt;=72,"3. 1-3 days","4. Over 3 days")))</f>
        <v/>
      </c>
      <c r="O3590">
        <f>TEXT(B3590,"YYYY-MM")</f>
        <v/>
      </c>
    </row>
    <row r="3591">
      <c r="A3591" t="inlineStr">
        <is>
          <t>LD-303589</t>
        </is>
      </c>
      <c r="B3591" t="inlineStr">
        <is>
          <t>2025-10-31 12:37:00</t>
        </is>
      </c>
      <c r="C3591" t="inlineStr">
        <is>
          <t>Paid Search</t>
        </is>
      </c>
      <c r="D3591" t="inlineStr">
        <is>
          <t>Coding for Kids</t>
        </is>
      </c>
      <c r="E3591" t="inlineStr">
        <is>
          <t>North Region</t>
        </is>
      </c>
      <c r="F3591" t="inlineStr">
        <is>
          <t>Rep_11</t>
        </is>
      </c>
      <c r="G3591" t="n">
        <v>2.21</v>
      </c>
      <c r="H3591" t="inlineStr">
        <is>
          <t>Closed</t>
        </is>
      </c>
      <c r="I3591" t="inlineStr">
        <is>
          <t>Won</t>
        </is>
      </c>
      <c r="K3591" t="n">
        <v>585.03</v>
      </c>
      <c r="L3591" t="inlineStr">
        <is>
          <t>2025-12-18 10:17:41.740992</t>
        </is>
      </c>
      <c r="M3591">
        <f>VLOOKUP(H3591,'Stage Order'!$A$2:$B$8,2,FALSE)</f>
        <v/>
      </c>
      <c r="N3591">
        <f>IF(G3591&lt;=1,"1. Under 1 hour",IF(G3591&lt;=24,"2. 1-24 hours",IF(G3591&lt;=72,"3. 1-3 days","4. Over 3 days")))</f>
        <v/>
      </c>
      <c r="O3591">
        <f>TEXT(B3591,"YYYY-MM")</f>
        <v/>
      </c>
    </row>
    <row r="3592">
      <c r="A3592" t="inlineStr">
        <is>
          <t>LD-303590</t>
        </is>
      </c>
      <c r="B3592" t="inlineStr">
        <is>
          <t>2025-06-10 07:15:00</t>
        </is>
      </c>
      <c r="C3592" t="inlineStr">
        <is>
          <t>Partner Channel</t>
        </is>
      </c>
      <c r="D3592" t="inlineStr">
        <is>
          <t>Competitive Exam Prep</t>
        </is>
      </c>
      <c r="E3592" t="inlineStr">
        <is>
          <t>North Region</t>
        </is>
      </c>
      <c r="F3592" t="inlineStr">
        <is>
          <t>Rep_01</t>
        </is>
      </c>
      <c r="G3592" t="n">
        <v>6.99</v>
      </c>
      <c r="H3592" t="inlineStr">
        <is>
          <t>Contacted</t>
        </is>
      </c>
      <c r="I3592" t="inlineStr">
        <is>
          <t>Open</t>
        </is>
      </c>
      <c r="M3592">
        <f>VLOOKUP(H3592,'Stage Order'!$A$2:$B$8,2,FALSE)</f>
        <v/>
      </c>
      <c r="N3592">
        <f>IF(G3592&lt;=1,"1. Under 1 hour",IF(G3592&lt;=24,"2. 1-24 hours",IF(G3592&lt;=72,"3. 1-3 days","4. Over 3 days")))</f>
        <v/>
      </c>
      <c r="O3592">
        <f>TEXT(B3592,"YYYY-MM")</f>
        <v/>
      </c>
    </row>
    <row r="3593">
      <c r="A3593" t="inlineStr">
        <is>
          <t>LD-303591</t>
        </is>
      </c>
      <c r="B3593" t="inlineStr">
        <is>
          <t>2025-02-26 08:27:00</t>
        </is>
      </c>
      <c r="C3593" t="inlineStr">
        <is>
          <t>Partner Channel</t>
        </is>
      </c>
      <c r="D3593" t="inlineStr">
        <is>
          <t>Coding for Kids</t>
        </is>
      </c>
      <c r="E3593" t="inlineStr">
        <is>
          <t>West Region</t>
        </is>
      </c>
      <c r="F3593" t="inlineStr">
        <is>
          <t>Rep_13</t>
        </is>
      </c>
      <c r="G3593" t="n">
        <v>4.1</v>
      </c>
      <c r="H3593" t="inlineStr">
        <is>
          <t>Negotiation</t>
        </is>
      </c>
      <c r="I3593" t="inlineStr">
        <is>
          <t>Lost</t>
        </is>
      </c>
      <c r="J3593" t="inlineStr">
        <is>
          <t>Bad Timing</t>
        </is>
      </c>
      <c r="K3593" t="n">
        <v>530.66</v>
      </c>
      <c r="L3593" t="inlineStr">
        <is>
          <t>2025-04-20 13:41:01.175624</t>
        </is>
      </c>
      <c r="M3593">
        <f>VLOOKUP(H3593,'Stage Order'!$A$2:$B$8,2,FALSE)</f>
        <v/>
      </c>
      <c r="N3593">
        <f>IF(G3593&lt;=1,"1. Under 1 hour",IF(G3593&lt;=24,"2. 1-24 hours",IF(G3593&lt;=72,"3. 1-3 days","4. Over 3 days")))</f>
        <v/>
      </c>
      <c r="O3593">
        <f>TEXT(B3593,"YYYY-MM")</f>
        <v/>
      </c>
    </row>
    <row r="3594">
      <c r="A3594" t="inlineStr">
        <is>
          <t>LD-303592</t>
        </is>
      </c>
      <c r="B3594" t="inlineStr">
        <is>
          <t>2025-04-24 11:34:00</t>
        </is>
      </c>
      <c r="C3594" t="inlineStr">
        <is>
          <t>Organic Search</t>
        </is>
      </c>
      <c r="D3594" t="inlineStr">
        <is>
          <t>Coding for Kids</t>
        </is>
      </c>
      <c r="E3594" t="inlineStr">
        <is>
          <t>East Region</t>
        </is>
      </c>
      <c r="F3594" t="inlineStr">
        <is>
          <t>Rep_09</t>
        </is>
      </c>
      <c r="G3594" t="n">
        <v>3.32</v>
      </c>
      <c r="H3594" t="inlineStr">
        <is>
          <t>Lead</t>
        </is>
      </c>
      <c r="I3594" t="inlineStr">
        <is>
          <t>Open</t>
        </is>
      </c>
      <c r="M3594">
        <f>VLOOKUP(H3594,'Stage Order'!$A$2:$B$8,2,FALSE)</f>
        <v/>
      </c>
      <c r="N3594">
        <f>IF(G3594&lt;=1,"1. Under 1 hour",IF(G3594&lt;=24,"2. 1-24 hours",IF(G3594&lt;=72,"3. 1-3 days","4. Over 3 days")))</f>
        <v/>
      </c>
      <c r="O3594">
        <f>TEXT(B3594,"YYYY-MM")</f>
        <v/>
      </c>
    </row>
    <row r="3595">
      <c r="A3595" t="inlineStr">
        <is>
          <t>LD-303593</t>
        </is>
      </c>
      <c r="B3595" t="inlineStr">
        <is>
          <t>2025-09-19 07:41:00</t>
        </is>
      </c>
      <c r="C3595" t="inlineStr">
        <is>
          <t>Partner Channel</t>
        </is>
      </c>
      <c r="D3595" t="inlineStr">
        <is>
          <t>Language Learning</t>
        </is>
      </c>
      <c r="E3595" t="inlineStr">
        <is>
          <t>South Region</t>
        </is>
      </c>
      <c r="F3595" t="inlineStr">
        <is>
          <t>Rep_02</t>
        </is>
      </c>
      <c r="G3595" t="n">
        <v>4.95</v>
      </c>
      <c r="H3595" t="inlineStr">
        <is>
          <t>Contacted</t>
        </is>
      </c>
      <c r="I3595" t="inlineStr">
        <is>
          <t>Open</t>
        </is>
      </c>
      <c r="M3595">
        <f>VLOOKUP(H3595,'Stage Order'!$A$2:$B$8,2,FALSE)</f>
        <v/>
      </c>
      <c r="N3595">
        <f>IF(G3595&lt;=1,"1. Under 1 hour",IF(G3595&lt;=24,"2. 1-24 hours",IF(G3595&lt;=72,"3. 1-3 days","4. Over 3 days")))</f>
        <v/>
      </c>
      <c r="O3595">
        <f>TEXT(B3595,"YYYY-MM")</f>
        <v/>
      </c>
    </row>
    <row r="3596">
      <c r="A3596" t="inlineStr">
        <is>
          <t>LD-303594</t>
        </is>
      </c>
      <c r="B3596" t="inlineStr">
        <is>
          <t>2025-03-17 14:04:00</t>
        </is>
      </c>
      <c r="C3596" t="inlineStr">
        <is>
          <t>Webinar</t>
        </is>
      </c>
      <c r="D3596" t="inlineStr">
        <is>
          <t>Language Learning</t>
        </is>
      </c>
      <c r="E3596" t="inlineStr">
        <is>
          <t>West Region</t>
        </is>
      </c>
      <c r="F3596" t="inlineStr">
        <is>
          <t>Rep_08</t>
        </is>
      </c>
      <c r="G3596" t="n">
        <v>2.1</v>
      </c>
      <c r="H3596" t="inlineStr">
        <is>
          <t>Lead</t>
        </is>
      </c>
      <c r="I3596" t="inlineStr">
        <is>
          <t>Open</t>
        </is>
      </c>
      <c r="M3596">
        <f>VLOOKUP(H3596,'Stage Order'!$A$2:$B$8,2,FALSE)</f>
        <v/>
      </c>
      <c r="N3596">
        <f>IF(G3596&lt;=1,"1. Under 1 hour",IF(G3596&lt;=24,"2. 1-24 hours",IF(G3596&lt;=72,"3. 1-3 days","4. Over 3 days")))</f>
        <v/>
      </c>
      <c r="O3596">
        <f>TEXT(B3596,"YYYY-MM")</f>
        <v/>
      </c>
    </row>
    <row r="3597">
      <c r="A3597" t="inlineStr">
        <is>
          <t>LD-303595</t>
        </is>
      </c>
      <c r="B3597" t="inlineStr">
        <is>
          <t>2025-12-17 14:39:00</t>
        </is>
      </c>
      <c r="C3597" t="inlineStr">
        <is>
          <t>Partner Channel</t>
        </is>
      </c>
      <c r="D3597" t="inlineStr">
        <is>
          <t>Competitive Exam Prep</t>
        </is>
      </c>
      <c r="E3597" t="inlineStr">
        <is>
          <t>International</t>
        </is>
      </c>
      <c r="F3597" t="inlineStr">
        <is>
          <t>Rep_10</t>
        </is>
      </c>
      <c r="G3597" t="n">
        <v>3.97</v>
      </c>
      <c r="H3597" t="inlineStr">
        <is>
          <t>Contacted</t>
        </is>
      </c>
      <c r="I3597" t="inlineStr">
        <is>
          <t>Open</t>
        </is>
      </c>
      <c r="M3597">
        <f>VLOOKUP(H3597,'Stage Order'!$A$2:$B$8,2,FALSE)</f>
        <v/>
      </c>
      <c r="N3597">
        <f>IF(G3597&lt;=1,"1. Under 1 hour",IF(G3597&lt;=24,"2. 1-24 hours",IF(G3597&lt;=72,"3. 1-3 days","4. Over 3 days")))</f>
        <v/>
      </c>
      <c r="O3597">
        <f>TEXT(B3597,"YYYY-MM")</f>
        <v/>
      </c>
    </row>
    <row r="3598">
      <c r="A3598" t="inlineStr">
        <is>
          <t>LD-303596</t>
        </is>
      </c>
      <c r="B3598" t="inlineStr">
        <is>
          <t>2025-06-27 08:22:00</t>
        </is>
      </c>
      <c r="C3598" t="inlineStr">
        <is>
          <t>Social Media</t>
        </is>
      </c>
      <c r="D3598" t="inlineStr">
        <is>
          <t>Study Abroad Prep</t>
        </is>
      </c>
      <c r="E3598" t="inlineStr">
        <is>
          <t>South Region</t>
        </is>
      </c>
      <c r="F3598" t="inlineStr">
        <is>
          <t>Rep_12</t>
        </is>
      </c>
      <c r="G3598" t="n">
        <v>1.18</v>
      </c>
      <c r="H3598" t="inlineStr">
        <is>
          <t>Demo Completed</t>
        </is>
      </c>
      <c r="I3598" t="inlineStr">
        <is>
          <t>Lost</t>
        </is>
      </c>
      <c r="J3598" t="inlineStr">
        <is>
          <t>Bad Timing</t>
        </is>
      </c>
      <c r="K3598" t="n">
        <v>1358.35</v>
      </c>
      <c r="L3598" t="inlineStr">
        <is>
          <t>2025-07-25 08:54:27.514503</t>
        </is>
      </c>
      <c r="M3598">
        <f>VLOOKUP(H3598,'Stage Order'!$A$2:$B$8,2,FALSE)</f>
        <v/>
      </c>
      <c r="N3598">
        <f>IF(G3598&lt;=1,"1. Under 1 hour",IF(G3598&lt;=24,"2. 1-24 hours",IF(G3598&lt;=72,"3. 1-3 days","4. Over 3 days")))</f>
        <v/>
      </c>
      <c r="O3598">
        <f>TEXT(B3598,"YYYY-MM")</f>
        <v/>
      </c>
    </row>
    <row r="3599">
      <c r="A3599" t="inlineStr">
        <is>
          <t>LD-303597</t>
        </is>
      </c>
      <c r="B3599" t="inlineStr">
        <is>
          <t>2025-10-09 12:58:00</t>
        </is>
      </c>
      <c r="C3599" t="inlineStr">
        <is>
          <t>Social Media</t>
        </is>
      </c>
      <c r="D3599" t="inlineStr">
        <is>
          <t>Language Learning</t>
        </is>
      </c>
      <c r="E3599" t="inlineStr">
        <is>
          <t>International</t>
        </is>
      </c>
      <c r="F3599" t="inlineStr">
        <is>
          <t>Rep_10</t>
        </is>
      </c>
      <c r="G3599" t="n">
        <v>3.21</v>
      </c>
      <c r="H3599" t="inlineStr">
        <is>
          <t>Lead</t>
        </is>
      </c>
      <c r="I3599" t="inlineStr">
        <is>
          <t>Open</t>
        </is>
      </c>
      <c r="M3599">
        <f>VLOOKUP(H3599,'Stage Order'!$A$2:$B$8,2,FALSE)</f>
        <v/>
      </c>
      <c r="N3599">
        <f>IF(G3599&lt;=1,"1. Under 1 hour",IF(G3599&lt;=24,"2. 1-24 hours",IF(G3599&lt;=72,"3. 1-3 days","4. Over 3 days")))</f>
        <v/>
      </c>
      <c r="O3599">
        <f>TEXT(B3599,"YYYY-MM")</f>
        <v/>
      </c>
    </row>
    <row r="3600">
      <c r="A3600" t="inlineStr">
        <is>
          <t>LD-303598</t>
        </is>
      </c>
      <c r="B3600" t="inlineStr">
        <is>
          <t>2026-03-29 12:29:00</t>
        </is>
      </c>
      <c r="C3600" t="inlineStr">
        <is>
          <t>Organic Search</t>
        </is>
      </c>
      <c r="D3600" t="inlineStr">
        <is>
          <t>Language Learning</t>
        </is>
      </c>
      <c r="E3600" t="inlineStr">
        <is>
          <t>West Region</t>
        </is>
      </c>
      <c r="F3600" t="inlineStr">
        <is>
          <t>Rep_03</t>
        </is>
      </c>
      <c r="G3600" t="n">
        <v>5.68</v>
      </c>
      <c r="H3600" t="inlineStr">
        <is>
          <t>Contacted</t>
        </is>
      </c>
      <c r="I3600" t="inlineStr">
        <is>
          <t>Open</t>
        </is>
      </c>
      <c r="M3600">
        <f>VLOOKUP(H3600,'Stage Order'!$A$2:$B$8,2,FALSE)</f>
        <v/>
      </c>
      <c r="N3600">
        <f>IF(G3600&lt;=1,"1. Under 1 hour",IF(G3600&lt;=24,"2. 1-24 hours",IF(G3600&lt;=72,"3. 1-3 days","4. Over 3 days")))</f>
        <v/>
      </c>
      <c r="O3600">
        <f>TEXT(B3600,"YYYY-MM")</f>
        <v/>
      </c>
    </row>
    <row r="3601">
      <c r="A3601" t="inlineStr">
        <is>
          <t>LD-303599</t>
        </is>
      </c>
      <c r="B3601" t="inlineStr">
        <is>
          <t>2025-01-22 15:39:00</t>
        </is>
      </c>
      <c r="C3601" t="inlineStr">
        <is>
          <t>Social Media</t>
        </is>
      </c>
      <c r="D3601" t="inlineStr">
        <is>
          <t>Competitive Exam Prep</t>
        </is>
      </c>
      <c r="E3601" t="inlineStr">
        <is>
          <t>North Region</t>
        </is>
      </c>
      <c r="F3601" t="inlineStr">
        <is>
          <t>Rep_01</t>
        </is>
      </c>
      <c r="G3601" t="n">
        <v>16.75</v>
      </c>
      <c r="H3601" t="inlineStr">
        <is>
          <t>Contacted</t>
        </is>
      </c>
      <c r="I3601" t="inlineStr">
        <is>
          <t>Open</t>
        </is>
      </c>
      <c r="M3601">
        <f>VLOOKUP(H3601,'Stage Order'!$A$2:$B$8,2,FALSE)</f>
        <v/>
      </c>
      <c r="N3601">
        <f>IF(G3601&lt;=1,"1. Under 1 hour",IF(G3601&lt;=24,"2. 1-24 hours",IF(G3601&lt;=72,"3. 1-3 days","4. Over 3 days")))</f>
        <v/>
      </c>
      <c r="O3601">
        <f>TEXT(B3601,"YYYY-MM")</f>
        <v/>
      </c>
    </row>
    <row r="3602">
      <c r="A3602" t="inlineStr">
        <is>
          <t>LD-303600</t>
        </is>
      </c>
      <c r="B3602" t="inlineStr">
        <is>
          <t>2025-05-16 08:50:00</t>
        </is>
      </c>
      <c r="C3602" t="inlineStr">
        <is>
          <t>Social Media</t>
        </is>
      </c>
      <c r="D3602" t="inlineStr">
        <is>
          <t>Coding for Kids</t>
        </is>
      </c>
      <c r="E3602" t="inlineStr">
        <is>
          <t>East Region</t>
        </is>
      </c>
      <c r="F3602" t="inlineStr">
        <is>
          <t>Rep_09</t>
        </is>
      </c>
      <c r="G3602" t="n">
        <v>6.99</v>
      </c>
      <c r="H3602" t="inlineStr">
        <is>
          <t>Contacted</t>
        </is>
      </c>
      <c r="I3602" t="inlineStr">
        <is>
          <t>Open</t>
        </is>
      </c>
      <c r="M3602">
        <f>VLOOKUP(H3602,'Stage Order'!$A$2:$B$8,2,FALSE)</f>
        <v/>
      </c>
      <c r="N3602">
        <f>IF(G3602&lt;=1,"1. Under 1 hour",IF(G3602&lt;=24,"2. 1-24 hours",IF(G3602&lt;=72,"3. 1-3 days","4. Over 3 days")))</f>
        <v/>
      </c>
      <c r="O3602">
        <f>TEXT(B3602,"YYYY-MM")</f>
        <v/>
      </c>
    </row>
    <row r="3603">
      <c r="A3603" t="inlineStr">
        <is>
          <t>LD-303601</t>
        </is>
      </c>
      <c r="B3603" t="inlineStr">
        <is>
          <t>2026-05-11 16:26:00</t>
        </is>
      </c>
      <c r="C3603" t="inlineStr">
        <is>
          <t>Organic Search</t>
        </is>
      </c>
      <c r="D3603" t="inlineStr">
        <is>
          <t>Language Learning</t>
        </is>
      </c>
      <c r="E3603" t="inlineStr">
        <is>
          <t>West Region</t>
        </is>
      </c>
      <c r="F3603" t="inlineStr">
        <is>
          <t>Rep_03</t>
        </is>
      </c>
      <c r="G3603" t="n">
        <v>1.24</v>
      </c>
      <c r="H3603" t="inlineStr">
        <is>
          <t>Contacted</t>
        </is>
      </c>
      <c r="I3603" t="inlineStr">
        <is>
          <t>Open</t>
        </is>
      </c>
      <c r="M3603">
        <f>VLOOKUP(H3603,'Stage Order'!$A$2:$B$8,2,FALSE)</f>
        <v/>
      </c>
      <c r="N3603">
        <f>IF(G3603&lt;=1,"1. Under 1 hour",IF(G3603&lt;=24,"2. 1-24 hours",IF(G3603&lt;=72,"3. 1-3 days","4. Over 3 days")))</f>
        <v/>
      </c>
      <c r="O3603">
        <f>TEXT(B3603,"YYYY-MM")</f>
        <v/>
      </c>
    </row>
    <row r="3604">
      <c r="A3604" t="inlineStr">
        <is>
          <t>LD-303602</t>
        </is>
      </c>
      <c r="B3604" t="inlineStr">
        <is>
          <t>2025-12-12 15:36:00</t>
        </is>
      </c>
      <c r="C3604" t="inlineStr">
        <is>
          <t>Social Media</t>
        </is>
      </c>
      <c r="D3604" t="inlineStr">
        <is>
          <t>Language Learning</t>
        </is>
      </c>
      <c r="E3604" t="inlineStr">
        <is>
          <t>East Region</t>
        </is>
      </c>
      <c r="F3604" t="inlineStr">
        <is>
          <t>Rep_14</t>
        </is>
      </c>
      <c r="G3604" t="n">
        <v>1.89</v>
      </c>
      <c r="H3604" t="inlineStr">
        <is>
          <t>Contacted</t>
        </is>
      </c>
      <c r="I3604" t="inlineStr">
        <is>
          <t>Open</t>
        </is>
      </c>
      <c r="M3604">
        <f>VLOOKUP(H3604,'Stage Order'!$A$2:$B$8,2,FALSE)</f>
        <v/>
      </c>
      <c r="N3604">
        <f>IF(G3604&lt;=1,"1. Under 1 hour",IF(G3604&lt;=24,"2. 1-24 hours",IF(G3604&lt;=72,"3. 1-3 days","4. Over 3 days")))</f>
        <v/>
      </c>
      <c r="O3604">
        <f>TEXT(B3604,"YYYY-MM")</f>
        <v/>
      </c>
    </row>
    <row r="3605">
      <c r="A3605" t="inlineStr">
        <is>
          <t>LD-303603</t>
        </is>
      </c>
      <c r="B3605" t="inlineStr">
        <is>
          <t>2025-12-29 17:50:00</t>
        </is>
      </c>
      <c r="C3605" t="inlineStr">
        <is>
          <t>Referral</t>
        </is>
      </c>
      <c r="D3605" t="inlineStr">
        <is>
          <t>Language Learning</t>
        </is>
      </c>
      <c r="E3605" t="inlineStr">
        <is>
          <t>West Region</t>
        </is>
      </c>
      <c r="F3605" t="inlineStr">
        <is>
          <t>Rep_08</t>
        </is>
      </c>
      <c r="G3605" t="n">
        <v>1.44</v>
      </c>
      <c r="H3605" t="inlineStr">
        <is>
          <t>Closed</t>
        </is>
      </c>
      <c r="I3605" t="inlineStr">
        <is>
          <t>Won</t>
        </is>
      </c>
      <c r="K3605" t="n">
        <v>330.87</v>
      </c>
      <c r="L3605" t="inlineStr">
        <is>
          <t>2026-02-20 13:26:17.868150</t>
        </is>
      </c>
      <c r="M3605">
        <f>VLOOKUP(H3605,'Stage Order'!$A$2:$B$8,2,FALSE)</f>
        <v/>
      </c>
      <c r="N3605">
        <f>IF(G3605&lt;=1,"1. Under 1 hour",IF(G3605&lt;=24,"2. 1-24 hours",IF(G3605&lt;=72,"3. 1-3 days","4. Over 3 days")))</f>
        <v/>
      </c>
      <c r="O3605">
        <f>TEXT(B3605,"YYYY-MM")</f>
        <v/>
      </c>
    </row>
    <row r="3606">
      <c r="A3606" t="inlineStr">
        <is>
          <t>LD-303604</t>
        </is>
      </c>
      <c r="B3606" t="inlineStr">
        <is>
          <t>2025-01-03 08:31:00</t>
        </is>
      </c>
      <c r="C3606" t="inlineStr">
        <is>
          <t>Paid Search</t>
        </is>
      </c>
      <c r="D3606" t="inlineStr">
        <is>
          <t>Competitive Exam Prep</t>
        </is>
      </c>
      <c r="E3606" t="inlineStr">
        <is>
          <t>West Region</t>
        </is>
      </c>
      <c r="F3606" t="inlineStr">
        <is>
          <t>Rep_13</t>
        </is>
      </c>
      <c r="G3606" t="n">
        <v>0.47</v>
      </c>
      <c r="H3606" t="inlineStr">
        <is>
          <t>Contacted</t>
        </is>
      </c>
      <c r="I3606" t="inlineStr">
        <is>
          <t>Open</t>
        </is>
      </c>
      <c r="M3606">
        <f>VLOOKUP(H3606,'Stage Order'!$A$2:$B$8,2,FALSE)</f>
        <v/>
      </c>
      <c r="N3606">
        <f>IF(G3606&lt;=1,"1. Under 1 hour",IF(G3606&lt;=24,"2. 1-24 hours",IF(G3606&lt;=72,"3. 1-3 days","4. Over 3 days")))</f>
        <v/>
      </c>
      <c r="O3606">
        <f>TEXT(B3606,"YYYY-MM")</f>
        <v/>
      </c>
    </row>
    <row r="3607">
      <c r="A3607" t="inlineStr">
        <is>
          <t>LD-303605</t>
        </is>
      </c>
      <c r="B3607" t="inlineStr">
        <is>
          <t>2025-06-18 11:30:00</t>
        </is>
      </c>
      <c r="C3607" t="inlineStr">
        <is>
          <t>Organic Search</t>
        </is>
      </c>
      <c r="D3607" t="inlineStr">
        <is>
          <t>Language Learning</t>
        </is>
      </c>
      <c r="E3607" t="inlineStr">
        <is>
          <t>International</t>
        </is>
      </c>
      <c r="F3607" t="inlineStr">
        <is>
          <t>Rep_15</t>
        </is>
      </c>
      <c r="G3607" t="n">
        <v>5.95</v>
      </c>
      <c r="H3607" t="inlineStr">
        <is>
          <t>Contacted</t>
        </is>
      </c>
      <c r="I3607" t="inlineStr">
        <is>
          <t>Open</t>
        </is>
      </c>
      <c r="M3607">
        <f>VLOOKUP(H3607,'Stage Order'!$A$2:$B$8,2,FALSE)</f>
        <v/>
      </c>
      <c r="N3607">
        <f>IF(G3607&lt;=1,"1. Under 1 hour",IF(G3607&lt;=24,"2. 1-24 hours",IF(G3607&lt;=72,"3. 1-3 days","4. Over 3 days")))</f>
        <v/>
      </c>
      <c r="O3607">
        <f>TEXT(B3607,"YYYY-MM")</f>
        <v/>
      </c>
    </row>
    <row r="3608">
      <c r="A3608" t="inlineStr">
        <is>
          <t>LD-303606</t>
        </is>
      </c>
      <c r="B3608" t="inlineStr">
        <is>
          <t>2025-02-27 12:34:00</t>
        </is>
      </c>
      <c r="C3608" t="inlineStr">
        <is>
          <t>Organic Search</t>
        </is>
      </c>
      <c r="D3608" t="inlineStr">
        <is>
          <t>Coding for Kids</t>
        </is>
      </c>
      <c r="E3608" t="inlineStr">
        <is>
          <t>West Region</t>
        </is>
      </c>
      <c r="F3608" t="inlineStr">
        <is>
          <t>Rep_03</t>
        </is>
      </c>
      <c r="G3608" t="n">
        <v>19.42</v>
      </c>
      <c r="H3608" t="inlineStr">
        <is>
          <t>Lead</t>
        </is>
      </c>
      <c r="I3608" t="inlineStr">
        <is>
          <t>Open</t>
        </is>
      </c>
      <c r="M3608">
        <f>VLOOKUP(H3608,'Stage Order'!$A$2:$B$8,2,FALSE)</f>
        <v/>
      </c>
      <c r="N3608">
        <f>IF(G3608&lt;=1,"1. Under 1 hour",IF(G3608&lt;=24,"2. 1-24 hours",IF(G3608&lt;=72,"3. 1-3 days","4. Over 3 days")))</f>
        <v/>
      </c>
      <c r="O3608">
        <f>TEXT(B3608,"YYYY-MM")</f>
        <v/>
      </c>
    </row>
    <row r="3609">
      <c r="A3609" t="inlineStr">
        <is>
          <t>LD-303607</t>
        </is>
      </c>
      <c r="B3609" t="inlineStr">
        <is>
          <t>2025-03-21 09:51:00</t>
        </is>
      </c>
      <c r="C3609" t="inlineStr">
        <is>
          <t>Paid Search</t>
        </is>
      </c>
      <c r="D3609" t="inlineStr">
        <is>
          <t>K-12 Math</t>
        </is>
      </c>
      <c r="E3609" t="inlineStr">
        <is>
          <t>East Region</t>
        </is>
      </c>
      <c r="F3609" t="inlineStr">
        <is>
          <t>Rep_09</t>
        </is>
      </c>
      <c r="G3609" t="n">
        <v>1.75</v>
      </c>
      <c r="H3609" t="inlineStr">
        <is>
          <t>Contacted</t>
        </is>
      </c>
      <c r="I3609" t="inlineStr">
        <is>
          <t>Open</t>
        </is>
      </c>
      <c r="M3609">
        <f>VLOOKUP(H3609,'Stage Order'!$A$2:$B$8,2,FALSE)</f>
        <v/>
      </c>
      <c r="N3609">
        <f>IF(G3609&lt;=1,"1. Under 1 hour",IF(G3609&lt;=24,"2. 1-24 hours",IF(G3609&lt;=72,"3. 1-3 days","4. Over 3 days")))</f>
        <v/>
      </c>
      <c r="O3609">
        <f>TEXT(B3609,"YYYY-MM")</f>
        <v/>
      </c>
    </row>
    <row r="3610">
      <c r="A3610" t="inlineStr">
        <is>
          <t>LD-303608</t>
        </is>
      </c>
      <c r="B3610" t="inlineStr">
        <is>
          <t>2025-03-24 09:14:00</t>
        </is>
      </c>
      <c r="C3610" t="inlineStr">
        <is>
          <t>Paid Search</t>
        </is>
      </c>
      <c r="D3610" t="inlineStr">
        <is>
          <t>Study Abroad Prep</t>
        </is>
      </c>
      <c r="E3610" t="inlineStr">
        <is>
          <t>North Region</t>
        </is>
      </c>
      <c r="F3610" t="inlineStr">
        <is>
          <t>Rep_11</t>
        </is>
      </c>
      <c r="G3610" t="n">
        <v>22.59</v>
      </c>
      <c r="H3610" t="inlineStr">
        <is>
          <t>Contacted</t>
        </is>
      </c>
      <c r="I3610" t="inlineStr">
        <is>
          <t>Open</t>
        </is>
      </c>
      <c r="M3610">
        <f>VLOOKUP(H3610,'Stage Order'!$A$2:$B$8,2,FALSE)</f>
        <v/>
      </c>
      <c r="N3610">
        <f>IF(G3610&lt;=1,"1. Under 1 hour",IF(G3610&lt;=24,"2. 1-24 hours",IF(G3610&lt;=72,"3. 1-3 days","4. Over 3 days")))</f>
        <v/>
      </c>
      <c r="O3610">
        <f>TEXT(B3610,"YYYY-MM")</f>
        <v/>
      </c>
    </row>
    <row r="3611">
      <c r="A3611" t="inlineStr">
        <is>
          <t>LD-303609</t>
        </is>
      </c>
      <c r="B3611" t="inlineStr">
        <is>
          <t>2026-03-01 14:06:00</t>
        </is>
      </c>
      <c r="C3611" t="inlineStr">
        <is>
          <t>Organic Search</t>
        </is>
      </c>
      <c r="D3611" t="inlineStr">
        <is>
          <t>K-12 Math</t>
        </is>
      </c>
      <c r="E3611" t="inlineStr">
        <is>
          <t>North Region</t>
        </is>
      </c>
      <c r="F3611" t="inlineStr">
        <is>
          <t>Rep_06</t>
        </is>
      </c>
      <c r="G3611" t="n">
        <v>2.3</v>
      </c>
      <c r="H3611" t="inlineStr">
        <is>
          <t>Contacted</t>
        </is>
      </c>
      <c r="I3611" t="inlineStr">
        <is>
          <t>Open</t>
        </is>
      </c>
      <c r="M3611">
        <f>VLOOKUP(H3611,'Stage Order'!$A$2:$B$8,2,FALSE)</f>
        <v/>
      </c>
      <c r="N3611">
        <f>IF(G3611&lt;=1,"1. Under 1 hour",IF(G3611&lt;=24,"2. 1-24 hours",IF(G3611&lt;=72,"3. 1-3 days","4. Over 3 days")))</f>
        <v/>
      </c>
      <c r="O3611">
        <f>TEXT(B3611,"YYYY-MM")</f>
        <v/>
      </c>
    </row>
    <row r="3612">
      <c r="A3612" t="inlineStr">
        <is>
          <t>LD-303610</t>
        </is>
      </c>
      <c r="B3612" t="inlineStr">
        <is>
          <t>2025-03-01 08:47:00</t>
        </is>
      </c>
      <c r="C3612" t="inlineStr">
        <is>
          <t>Organic Search</t>
        </is>
      </c>
      <c r="D3612" t="inlineStr">
        <is>
          <t>Competitive Exam Prep</t>
        </is>
      </c>
      <c r="E3612" t="inlineStr">
        <is>
          <t>West Region</t>
        </is>
      </c>
      <c r="F3612" t="inlineStr">
        <is>
          <t>Rep_03</t>
        </is>
      </c>
      <c r="G3612" t="n">
        <v>1.59</v>
      </c>
      <c r="H3612" t="inlineStr">
        <is>
          <t>Contacted</t>
        </is>
      </c>
      <c r="I3612" t="inlineStr">
        <is>
          <t>Open</t>
        </is>
      </c>
      <c r="M3612">
        <f>VLOOKUP(H3612,'Stage Order'!$A$2:$B$8,2,FALSE)</f>
        <v/>
      </c>
      <c r="N3612">
        <f>IF(G3612&lt;=1,"1. Under 1 hour",IF(G3612&lt;=24,"2. 1-24 hours",IF(G3612&lt;=72,"3. 1-3 days","4. Over 3 days")))</f>
        <v/>
      </c>
      <c r="O3612">
        <f>TEXT(B3612,"YYYY-MM")</f>
        <v/>
      </c>
    </row>
    <row r="3613">
      <c r="A3613" t="inlineStr">
        <is>
          <t>LD-303611</t>
        </is>
      </c>
      <c r="B3613" t="inlineStr">
        <is>
          <t>2025-10-30 16:17:00</t>
        </is>
      </c>
      <c r="C3613" t="inlineStr">
        <is>
          <t>Cold Outreach</t>
        </is>
      </c>
      <c r="D3613" t="inlineStr">
        <is>
          <t>Coding for Kids</t>
        </is>
      </c>
      <c r="E3613" t="inlineStr">
        <is>
          <t>West Region</t>
        </is>
      </c>
      <c r="F3613" t="inlineStr">
        <is>
          <t>Rep_13</t>
        </is>
      </c>
      <c r="G3613" t="n">
        <v>2.22</v>
      </c>
      <c r="H3613" t="inlineStr">
        <is>
          <t>Contacted</t>
        </is>
      </c>
      <c r="I3613" t="inlineStr">
        <is>
          <t>Open</t>
        </is>
      </c>
      <c r="M3613">
        <f>VLOOKUP(H3613,'Stage Order'!$A$2:$B$8,2,FALSE)</f>
        <v/>
      </c>
      <c r="N3613">
        <f>IF(G3613&lt;=1,"1. Under 1 hour",IF(G3613&lt;=24,"2. 1-24 hours",IF(G3613&lt;=72,"3. 1-3 days","4. Over 3 days")))</f>
        <v/>
      </c>
      <c r="O3613">
        <f>TEXT(B3613,"YYYY-MM")</f>
        <v/>
      </c>
    </row>
    <row r="3614">
      <c r="A3614" t="inlineStr">
        <is>
          <t>LD-303612</t>
        </is>
      </c>
      <c r="B3614" t="inlineStr">
        <is>
          <t>2026-03-07 20:57:00</t>
        </is>
      </c>
      <c r="C3614" t="inlineStr">
        <is>
          <t>Paid Search</t>
        </is>
      </c>
      <c r="D3614" t="inlineStr">
        <is>
          <t>K-12 Math</t>
        </is>
      </c>
      <c r="E3614" t="inlineStr">
        <is>
          <t>East Region</t>
        </is>
      </c>
      <c r="F3614" t="inlineStr">
        <is>
          <t>Rep_14</t>
        </is>
      </c>
      <c r="G3614" t="n">
        <v>2.22</v>
      </c>
      <c r="H3614" t="inlineStr">
        <is>
          <t>Lead</t>
        </is>
      </c>
      <c r="I3614" t="inlineStr">
        <is>
          <t>Open</t>
        </is>
      </c>
      <c r="M3614">
        <f>VLOOKUP(H3614,'Stage Order'!$A$2:$B$8,2,FALSE)</f>
        <v/>
      </c>
      <c r="N3614">
        <f>IF(G3614&lt;=1,"1. Under 1 hour",IF(G3614&lt;=24,"2. 1-24 hours",IF(G3614&lt;=72,"3. 1-3 days","4. Over 3 days")))</f>
        <v/>
      </c>
      <c r="O3614">
        <f>TEXT(B3614,"YYYY-MM")</f>
        <v/>
      </c>
    </row>
    <row r="3615">
      <c r="A3615" t="inlineStr">
        <is>
          <t>LD-303613</t>
        </is>
      </c>
      <c r="B3615" t="inlineStr">
        <is>
          <t>2025-08-22 14:34:00</t>
        </is>
      </c>
      <c r="C3615" t="inlineStr">
        <is>
          <t>Paid Search</t>
        </is>
      </c>
      <c r="D3615" t="inlineStr">
        <is>
          <t>Coding for Kids</t>
        </is>
      </c>
      <c r="E3615" t="inlineStr">
        <is>
          <t>North Region</t>
        </is>
      </c>
      <c r="F3615" t="inlineStr">
        <is>
          <t>Rep_01</t>
        </is>
      </c>
      <c r="G3615" t="n">
        <v>2.22</v>
      </c>
      <c r="H3615" t="inlineStr">
        <is>
          <t>Contacted</t>
        </is>
      </c>
      <c r="I3615" t="inlineStr">
        <is>
          <t>Open</t>
        </is>
      </c>
      <c r="M3615">
        <f>VLOOKUP(H3615,'Stage Order'!$A$2:$B$8,2,FALSE)</f>
        <v/>
      </c>
      <c r="N3615">
        <f>IF(G3615&lt;=1,"1. Under 1 hour",IF(G3615&lt;=24,"2. 1-24 hours",IF(G3615&lt;=72,"3. 1-3 days","4. Over 3 days")))</f>
        <v/>
      </c>
      <c r="O3615">
        <f>TEXT(B3615,"YYYY-MM")</f>
        <v/>
      </c>
    </row>
    <row r="3616">
      <c r="A3616" t="inlineStr">
        <is>
          <t>LD-303614</t>
        </is>
      </c>
      <c r="B3616" t="inlineStr">
        <is>
          <t>2026-03-21 16:46:00</t>
        </is>
      </c>
      <c r="C3616" t="inlineStr">
        <is>
          <t>Social Media</t>
        </is>
      </c>
      <c r="D3616" t="inlineStr">
        <is>
          <t>Coding for Kids</t>
        </is>
      </c>
      <c r="E3616" t="inlineStr">
        <is>
          <t>North Region</t>
        </is>
      </c>
      <c r="F3616" t="inlineStr">
        <is>
          <t>Rep_11</t>
        </is>
      </c>
      <c r="G3616" t="n">
        <v>1.86</v>
      </c>
      <c r="H3616" t="inlineStr">
        <is>
          <t>Demo Scheduled</t>
        </is>
      </c>
      <c r="I3616" t="inlineStr">
        <is>
          <t>Open</t>
        </is>
      </c>
      <c r="M3616">
        <f>VLOOKUP(H3616,'Stage Order'!$A$2:$B$8,2,FALSE)</f>
        <v/>
      </c>
      <c r="N3616">
        <f>IF(G3616&lt;=1,"1. Under 1 hour",IF(G3616&lt;=24,"2. 1-24 hours",IF(G3616&lt;=72,"3. 1-3 days","4. Over 3 days")))</f>
        <v/>
      </c>
      <c r="O3616">
        <f>TEXT(B3616,"YYYY-MM")</f>
        <v/>
      </c>
    </row>
    <row r="3617">
      <c r="A3617" t="inlineStr">
        <is>
          <t>LD-303615</t>
        </is>
      </c>
      <c r="B3617" t="inlineStr">
        <is>
          <t>2026-06-29 07:57:00</t>
        </is>
      </c>
      <c r="C3617" t="inlineStr">
        <is>
          <t>Social Media</t>
        </is>
      </c>
      <c r="D3617" t="inlineStr">
        <is>
          <t>K-12 Math</t>
        </is>
      </c>
      <c r="E3617" t="inlineStr">
        <is>
          <t>North Region</t>
        </is>
      </c>
      <c r="F3617" t="inlineStr">
        <is>
          <t>Rep_06</t>
        </is>
      </c>
      <c r="G3617" t="n">
        <v>4.39</v>
      </c>
      <c r="H3617" t="inlineStr">
        <is>
          <t>Contacted</t>
        </is>
      </c>
      <c r="I3617" t="inlineStr">
        <is>
          <t>Open</t>
        </is>
      </c>
      <c r="M3617">
        <f>VLOOKUP(H3617,'Stage Order'!$A$2:$B$8,2,FALSE)</f>
        <v/>
      </c>
      <c r="N3617">
        <f>IF(G3617&lt;=1,"1. Under 1 hour",IF(G3617&lt;=24,"2. 1-24 hours",IF(G3617&lt;=72,"3. 1-3 days","4. Over 3 days")))</f>
        <v/>
      </c>
      <c r="O3617">
        <f>TEXT(B3617,"YYYY-MM")</f>
        <v/>
      </c>
    </row>
    <row r="3618">
      <c r="A3618" t="inlineStr">
        <is>
          <t>LD-303616</t>
        </is>
      </c>
      <c r="B3618" t="inlineStr">
        <is>
          <t>2025-06-13 13:22:00</t>
        </is>
      </c>
      <c r="C3618" t="inlineStr">
        <is>
          <t>Referral</t>
        </is>
      </c>
      <c r="D3618" t="inlineStr">
        <is>
          <t>K-12 Math</t>
        </is>
      </c>
      <c r="E3618" t="inlineStr">
        <is>
          <t>North Region</t>
        </is>
      </c>
      <c r="F3618" t="inlineStr">
        <is>
          <t>Rep_06</t>
        </is>
      </c>
      <c r="G3618" t="n">
        <v>4.02</v>
      </c>
      <c r="H3618" t="inlineStr">
        <is>
          <t>Contacted</t>
        </is>
      </c>
      <c r="I3618" t="inlineStr">
        <is>
          <t>Open</t>
        </is>
      </c>
      <c r="M3618">
        <f>VLOOKUP(H3618,'Stage Order'!$A$2:$B$8,2,FALSE)</f>
        <v/>
      </c>
      <c r="N3618">
        <f>IF(G3618&lt;=1,"1. Under 1 hour",IF(G3618&lt;=24,"2. 1-24 hours",IF(G3618&lt;=72,"3. 1-3 days","4. Over 3 days")))</f>
        <v/>
      </c>
      <c r="O3618">
        <f>TEXT(B3618,"YYYY-MM")</f>
        <v/>
      </c>
    </row>
    <row r="3619">
      <c r="A3619" t="inlineStr">
        <is>
          <t>LD-303617</t>
        </is>
      </c>
      <c r="B3619" t="inlineStr">
        <is>
          <t>2025-01-23 08:24:00</t>
        </is>
      </c>
      <c r="C3619" t="inlineStr">
        <is>
          <t>Paid Search</t>
        </is>
      </c>
      <c r="D3619" t="inlineStr">
        <is>
          <t>Study Abroad Prep</t>
        </is>
      </c>
      <c r="E3619" t="inlineStr">
        <is>
          <t>West Region</t>
        </is>
      </c>
      <c r="F3619" t="inlineStr">
        <is>
          <t>Rep_08</t>
        </is>
      </c>
      <c r="G3619" t="n">
        <v>0.6</v>
      </c>
      <c r="H3619" t="inlineStr">
        <is>
          <t>Negotiation</t>
        </is>
      </c>
      <c r="I3619" t="inlineStr">
        <is>
          <t>Lost</t>
        </is>
      </c>
      <c r="J3619" t="inlineStr">
        <is>
          <t>No Response / Ghosted</t>
        </is>
      </c>
      <c r="K3619" t="n">
        <v>1422.39</v>
      </c>
      <c r="L3619" t="inlineStr">
        <is>
          <t>2025-03-09 04:54:59.514505</t>
        </is>
      </c>
      <c r="M3619">
        <f>VLOOKUP(H3619,'Stage Order'!$A$2:$B$8,2,FALSE)</f>
        <v/>
      </c>
      <c r="N3619">
        <f>IF(G3619&lt;=1,"1. Under 1 hour",IF(G3619&lt;=24,"2. 1-24 hours",IF(G3619&lt;=72,"3. 1-3 days","4. Over 3 days")))</f>
        <v/>
      </c>
      <c r="O3619">
        <f>TEXT(B3619,"YYYY-MM")</f>
        <v/>
      </c>
    </row>
    <row r="3620">
      <c r="A3620" t="inlineStr">
        <is>
          <t>LD-303618</t>
        </is>
      </c>
      <c r="B3620" t="inlineStr">
        <is>
          <t>2025-02-21 20:24:00</t>
        </is>
      </c>
      <c r="C3620" t="inlineStr">
        <is>
          <t>Social Media</t>
        </is>
      </c>
      <c r="D3620" t="inlineStr">
        <is>
          <t>Language Learning</t>
        </is>
      </c>
      <c r="E3620" t="inlineStr">
        <is>
          <t>North Region</t>
        </is>
      </c>
      <c r="F3620" t="inlineStr">
        <is>
          <t>Rep_11</t>
        </is>
      </c>
      <c r="G3620" t="n">
        <v>1.67</v>
      </c>
      <c r="H3620" t="inlineStr">
        <is>
          <t>Contacted</t>
        </is>
      </c>
      <c r="I3620" t="inlineStr">
        <is>
          <t>Open</t>
        </is>
      </c>
      <c r="M3620">
        <f>VLOOKUP(H3620,'Stage Order'!$A$2:$B$8,2,FALSE)</f>
        <v/>
      </c>
      <c r="N3620">
        <f>IF(G3620&lt;=1,"1. Under 1 hour",IF(G3620&lt;=24,"2. 1-24 hours",IF(G3620&lt;=72,"3. 1-3 days","4. Over 3 days")))</f>
        <v/>
      </c>
      <c r="O3620">
        <f>TEXT(B3620,"YYYY-MM")</f>
        <v/>
      </c>
    </row>
    <row r="3621">
      <c r="A3621" t="inlineStr">
        <is>
          <t>LD-303619</t>
        </is>
      </c>
      <c r="B3621" t="inlineStr">
        <is>
          <t>2026-03-28 10:46:00</t>
        </is>
      </c>
      <c r="C3621" t="inlineStr">
        <is>
          <t>Paid Search</t>
        </is>
      </c>
      <c r="D3621" t="inlineStr">
        <is>
          <t>Coding for Kids</t>
        </is>
      </c>
      <c r="E3621" t="inlineStr">
        <is>
          <t>South Region</t>
        </is>
      </c>
      <c r="F3621" t="inlineStr">
        <is>
          <t>Rep_02</t>
        </is>
      </c>
      <c r="G3621" t="n">
        <v>2.64</v>
      </c>
      <c r="H3621" t="inlineStr">
        <is>
          <t>Contacted</t>
        </is>
      </c>
      <c r="I3621" t="inlineStr">
        <is>
          <t>Open</t>
        </is>
      </c>
      <c r="M3621">
        <f>VLOOKUP(H3621,'Stage Order'!$A$2:$B$8,2,FALSE)</f>
        <v/>
      </c>
      <c r="N3621">
        <f>IF(G3621&lt;=1,"1. Under 1 hour",IF(G3621&lt;=24,"2. 1-24 hours",IF(G3621&lt;=72,"3. 1-3 days","4. Over 3 days")))</f>
        <v/>
      </c>
      <c r="O3621">
        <f>TEXT(B3621,"YYYY-MM")</f>
        <v/>
      </c>
    </row>
    <row r="3622">
      <c r="A3622" t="inlineStr">
        <is>
          <t>LD-303620</t>
        </is>
      </c>
      <c r="B3622" t="inlineStr">
        <is>
          <t>2025-06-16 18:49:00</t>
        </is>
      </c>
      <c r="C3622" t="inlineStr">
        <is>
          <t>Organic Search</t>
        </is>
      </c>
      <c r="D3622" t="inlineStr">
        <is>
          <t>Coding for Kids</t>
        </is>
      </c>
      <c r="E3622" t="inlineStr">
        <is>
          <t>South Region</t>
        </is>
      </c>
      <c r="F3622" t="inlineStr">
        <is>
          <t>Rep_12</t>
        </is>
      </c>
      <c r="G3622" t="n">
        <v>1.13</v>
      </c>
      <c r="H3622" t="inlineStr">
        <is>
          <t>Closed</t>
        </is>
      </c>
      <c r="I3622" t="inlineStr">
        <is>
          <t>Won</t>
        </is>
      </c>
      <c r="K3622" t="n">
        <v>587.22</v>
      </c>
      <c r="L3622" t="inlineStr">
        <is>
          <t>2025-07-19 20:38:04.868346</t>
        </is>
      </c>
      <c r="M3622">
        <f>VLOOKUP(H3622,'Stage Order'!$A$2:$B$8,2,FALSE)</f>
        <v/>
      </c>
      <c r="N3622">
        <f>IF(G3622&lt;=1,"1. Under 1 hour",IF(G3622&lt;=24,"2. 1-24 hours",IF(G3622&lt;=72,"3. 1-3 days","4. Over 3 days")))</f>
        <v/>
      </c>
      <c r="O3622">
        <f>TEXT(B3622,"YYYY-MM")</f>
        <v/>
      </c>
    </row>
    <row r="3623">
      <c r="A3623" t="inlineStr">
        <is>
          <t>LD-303621</t>
        </is>
      </c>
      <c r="B3623" t="inlineStr">
        <is>
          <t>2025-02-20 12:04:00</t>
        </is>
      </c>
      <c r="C3623" t="inlineStr">
        <is>
          <t>Referral</t>
        </is>
      </c>
      <c r="D3623" t="inlineStr">
        <is>
          <t>K-12 Math</t>
        </is>
      </c>
      <c r="E3623" t="inlineStr">
        <is>
          <t>West Region</t>
        </is>
      </c>
      <c r="F3623" t="inlineStr">
        <is>
          <t>Rep_03</t>
        </is>
      </c>
      <c r="G3623" t="n">
        <v>0.84</v>
      </c>
      <c r="H3623" t="inlineStr">
        <is>
          <t>Contacted</t>
        </is>
      </c>
      <c r="I3623" t="inlineStr">
        <is>
          <t>Open</t>
        </is>
      </c>
      <c r="M3623">
        <f>VLOOKUP(H3623,'Stage Order'!$A$2:$B$8,2,FALSE)</f>
        <v/>
      </c>
      <c r="N3623">
        <f>IF(G3623&lt;=1,"1. Under 1 hour",IF(G3623&lt;=24,"2. 1-24 hours",IF(G3623&lt;=72,"3. 1-3 days","4. Over 3 days")))</f>
        <v/>
      </c>
      <c r="O3623">
        <f>TEXT(B3623,"YYYY-MM")</f>
        <v/>
      </c>
    </row>
    <row r="3624">
      <c r="A3624" t="inlineStr">
        <is>
          <t>LD-303622</t>
        </is>
      </c>
      <c r="B3624" t="inlineStr">
        <is>
          <t>2025-06-27 15:16:00</t>
        </is>
      </c>
      <c r="C3624" t="inlineStr">
        <is>
          <t>Organic Search</t>
        </is>
      </c>
      <c r="D3624" t="inlineStr">
        <is>
          <t>Study Abroad Prep</t>
        </is>
      </c>
      <c r="E3624" t="inlineStr">
        <is>
          <t>North Region</t>
        </is>
      </c>
      <c r="F3624" t="inlineStr">
        <is>
          <t>Rep_06</t>
        </is>
      </c>
      <c r="G3624" t="n">
        <v>7.45</v>
      </c>
      <c r="H3624" t="inlineStr">
        <is>
          <t>Lead</t>
        </is>
      </c>
      <c r="I3624" t="inlineStr">
        <is>
          <t>Open</t>
        </is>
      </c>
      <c r="M3624">
        <f>VLOOKUP(H3624,'Stage Order'!$A$2:$B$8,2,FALSE)</f>
        <v/>
      </c>
      <c r="N3624">
        <f>IF(G3624&lt;=1,"1. Under 1 hour",IF(G3624&lt;=24,"2. 1-24 hours",IF(G3624&lt;=72,"3. 1-3 days","4. Over 3 days")))</f>
        <v/>
      </c>
      <c r="O3624">
        <f>TEXT(B3624,"YYYY-MM")</f>
        <v/>
      </c>
    </row>
    <row r="3625">
      <c r="A3625" t="inlineStr">
        <is>
          <t>LD-303623</t>
        </is>
      </c>
      <c r="B3625" t="inlineStr">
        <is>
          <t>2025-12-29 14:32:00</t>
        </is>
      </c>
      <c r="C3625" t="inlineStr">
        <is>
          <t>Organic Search</t>
        </is>
      </c>
      <c r="D3625" t="inlineStr">
        <is>
          <t>Language Learning</t>
        </is>
      </c>
      <c r="E3625" t="inlineStr">
        <is>
          <t>North Region</t>
        </is>
      </c>
      <c r="F3625" t="inlineStr">
        <is>
          <t>Rep_01</t>
        </is>
      </c>
      <c r="G3625" t="n">
        <v>3.49</v>
      </c>
      <c r="H3625" t="inlineStr">
        <is>
          <t>Proposal Sent</t>
        </is>
      </c>
      <c r="I3625" t="inlineStr">
        <is>
          <t>Lost</t>
        </is>
      </c>
      <c r="J3625" t="inlineStr">
        <is>
          <t>Price Objection</t>
        </is>
      </c>
      <c r="K3625" t="n">
        <v>349.47</v>
      </c>
      <c r="L3625" t="inlineStr">
        <is>
          <t>2026-02-18 19:56:44.255706</t>
        </is>
      </c>
      <c r="M3625">
        <f>VLOOKUP(H3625,'Stage Order'!$A$2:$B$8,2,FALSE)</f>
        <v/>
      </c>
      <c r="N3625">
        <f>IF(G3625&lt;=1,"1. Under 1 hour",IF(G3625&lt;=24,"2. 1-24 hours",IF(G3625&lt;=72,"3. 1-3 days","4. Over 3 days")))</f>
        <v/>
      </c>
      <c r="O3625">
        <f>TEXT(B3625,"YYYY-MM")</f>
        <v/>
      </c>
    </row>
    <row r="3626">
      <c r="A3626" t="inlineStr">
        <is>
          <t>LD-303624</t>
        </is>
      </c>
      <c r="B3626" t="inlineStr">
        <is>
          <t>2026-02-22 16:10:00</t>
        </is>
      </c>
      <c r="C3626" t="inlineStr">
        <is>
          <t>Paid Search</t>
        </is>
      </c>
      <c r="D3626" t="inlineStr">
        <is>
          <t>Coding for Kids</t>
        </is>
      </c>
      <c r="E3626" t="inlineStr">
        <is>
          <t>International</t>
        </is>
      </c>
      <c r="F3626" t="inlineStr">
        <is>
          <t>Rep_05</t>
        </is>
      </c>
      <c r="G3626" t="n">
        <v>5.03</v>
      </c>
      <c r="H3626" t="inlineStr">
        <is>
          <t>Contacted</t>
        </is>
      </c>
      <c r="I3626" t="inlineStr">
        <is>
          <t>Open</t>
        </is>
      </c>
      <c r="M3626">
        <f>VLOOKUP(H3626,'Stage Order'!$A$2:$B$8,2,FALSE)</f>
        <v/>
      </c>
      <c r="N3626">
        <f>IF(G3626&lt;=1,"1. Under 1 hour",IF(G3626&lt;=24,"2. 1-24 hours",IF(G3626&lt;=72,"3. 1-3 days","4. Over 3 days")))</f>
        <v/>
      </c>
      <c r="O3626">
        <f>TEXT(B3626,"YYYY-MM")</f>
        <v/>
      </c>
    </row>
    <row r="3627">
      <c r="A3627" t="inlineStr">
        <is>
          <t>LD-303625</t>
        </is>
      </c>
      <c r="B3627" t="inlineStr">
        <is>
          <t>2025-04-26 18:59:00</t>
        </is>
      </c>
      <c r="C3627" t="inlineStr">
        <is>
          <t>Paid Search</t>
        </is>
      </c>
      <c r="D3627" t="inlineStr">
        <is>
          <t>K-12 Math</t>
        </is>
      </c>
      <c r="E3627" t="inlineStr">
        <is>
          <t>North Region</t>
        </is>
      </c>
      <c r="F3627" t="inlineStr">
        <is>
          <t>Rep_06</t>
        </is>
      </c>
      <c r="G3627" t="n">
        <v>6.59</v>
      </c>
      <c r="H3627" t="inlineStr">
        <is>
          <t>Lead</t>
        </is>
      </c>
      <c r="I3627" t="inlineStr">
        <is>
          <t>Open</t>
        </is>
      </c>
      <c r="M3627">
        <f>VLOOKUP(H3627,'Stage Order'!$A$2:$B$8,2,FALSE)</f>
        <v/>
      </c>
      <c r="N3627">
        <f>IF(G3627&lt;=1,"1. Under 1 hour",IF(G3627&lt;=24,"2. 1-24 hours",IF(G3627&lt;=72,"3. 1-3 days","4. Over 3 days")))</f>
        <v/>
      </c>
      <c r="O3627">
        <f>TEXT(B3627,"YYYY-MM")</f>
        <v/>
      </c>
    </row>
    <row r="3628">
      <c r="A3628" t="inlineStr">
        <is>
          <t>LD-303626</t>
        </is>
      </c>
      <c r="B3628" t="inlineStr">
        <is>
          <t>2025-03-11 12:58:00</t>
        </is>
      </c>
      <c r="C3628" t="inlineStr">
        <is>
          <t>Cold Outreach</t>
        </is>
      </c>
      <c r="D3628" t="inlineStr">
        <is>
          <t>K-12 Math</t>
        </is>
      </c>
      <c r="E3628" t="inlineStr">
        <is>
          <t>East Region</t>
        </is>
      </c>
      <c r="F3628" t="inlineStr">
        <is>
          <t>Rep_09</t>
        </is>
      </c>
      <c r="G3628" t="n">
        <v>3.31</v>
      </c>
      <c r="H3628" t="inlineStr">
        <is>
          <t>Lead</t>
        </is>
      </c>
      <c r="I3628" t="inlineStr">
        <is>
          <t>Open</t>
        </is>
      </c>
      <c r="M3628">
        <f>VLOOKUP(H3628,'Stage Order'!$A$2:$B$8,2,FALSE)</f>
        <v/>
      </c>
      <c r="N3628">
        <f>IF(G3628&lt;=1,"1. Under 1 hour",IF(G3628&lt;=24,"2. 1-24 hours",IF(G3628&lt;=72,"3. 1-3 days","4. Over 3 days")))</f>
        <v/>
      </c>
      <c r="O3628">
        <f>TEXT(B3628,"YYYY-MM")</f>
        <v/>
      </c>
    </row>
    <row r="3629">
      <c r="A3629" t="inlineStr">
        <is>
          <t>LD-303627</t>
        </is>
      </c>
      <c r="B3629" t="inlineStr">
        <is>
          <t>2025-01-31 17:52:00</t>
        </is>
      </c>
      <c r="C3629" t="inlineStr">
        <is>
          <t>Organic Search</t>
        </is>
      </c>
      <c r="D3629" t="inlineStr">
        <is>
          <t>Coding for Kids</t>
        </is>
      </c>
      <c r="E3629" t="inlineStr">
        <is>
          <t>South Region</t>
        </is>
      </c>
      <c r="F3629" t="inlineStr">
        <is>
          <t>Rep_02</t>
        </is>
      </c>
      <c r="G3629" t="n">
        <v>1.48</v>
      </c>
      <c r="H3629" t="inlineStr">
        <is>
          <t>Demo Scheduled</t>
        </is>
      </c>
      <c r="I3629" t="inlineStr">
        <is>
          <t>Open</t>
        </is>
      </c>
      <c r="M3629">
        <f>VLOOKUP(H3629,'Stage Order'!$A$2:$B$8,2,FALSE)</f>
        <v/>
      </c>
      <c r="N3629">
        <f>IF(G3629&lt;=1,"1. Under 1 hour",IF(G3629&lt;=24,"2. 1-24 hours",IF(G3629&lt;=72,"3. 1-3 days","4. Over 3 days")))</f>
        <v/>
      </c>
      <c r="O3629">
        <f>TEXT(B3629,"YYYY-MM")</f>
        <v/>
      </c>
    </row>
    <row r="3630">
      <c r="A3630" t="inlineStr">
        <is>
          <t>LD-303628</t>
        </is>
      </c>
      <c r="B3630" t="inlineStr">
        <is>
          <t>2025-05-15 11:05:00</t>
        </is>
      </c>
      <c r="C3630" t="inlineStr">
        <is>
          <t>Organic Search</t>
        </is>
      </c>
      <c r="D3630" t="inlineStr">
        <is>
          <t>K-12 Math</t>
        </is>
      </c>
      <c r="E3630" t="inlineStr">
        <is>
          <t>East Region</t>
        </is>
      </c>
      <c r="F3630" t="inlineStr">
        <is>
          <t>Rep_04</t>
        </is>
      </c>
      <c r="G3630" t="n">
        <v>1.75</v>
      </c>
      <c r="H3630" t="inlineStr">
        <is>
          <t>Demo Completed</t>
        </is>
      </c>
      <c r="I3630" t="inlineStr">
        <is>
          <t>Lost</t>
        </is>
      </c>
      <c r="J3630" t="inlineStr">
        <is>
          <t>Price Objection</t>
        </is>
      </c>
      <c r="K3630" t="n">
        <v>558.35</v>
      </c>
      <c r="L3630" t="inlineStr">
        <is>
          <t>2025-06-08 07:11:36.142171</t>
        </is>
      </c>
      <c r="M3630">
        <f>VLOOKUP(H3630,'Stage Order'!$A$2:$B$8,2,FALSE)</f>
        <v/>
      </c>
      <c r="N3630">
        <f>IF(G3630&lt;=1,"1. Under 1 hour",IF(G3630&lt;=24,"2. 1-24 hours",IF(G3630&lt;=72,"3. 1-3 days","4. Over 3 days")))</f>
        <v/>
      </c>
      <c r="O3630">
        <f>TEXT(B3630,"YYYY-MM")</f>
        <v/>
      </c>
    </row>
    <row r="3631">
      <c r="A3631" t="inlineStr">
        <is>
          <t>LD-303629</t>
        </is>
      </c>
      <c r="B3631" t="inlineStr">
        <is>
          <t>2025-08-28 09:38:00</t>
        </is>
      </c>
      <c r="C3631" t="inlineStr">
        <is>
          <t>Paid Search</t>
        </is>
      </c>
      <c r="D3631" t="inlineStr">
        <is>
          <t>Coding for Kids</t>
        </is>
      </c>
      <c r="E3631" t="inlineStr">
        <is>
          <t>North Region</t>
        </is>
      </c>
      <c r="F3631" t="inlineStr">
        <is>
          <t>Rep_06</t>
        </is>
      </c>
      <c r="G3631" t="n">
        <v>0.26</v>
      </c>
      <c r="H3631" t="inlineStr">
        <is>
          <t>Contacted</t>
        </is>
      </c>
      <c r="I3631" t="inlineStr">
        <is>
          <t>Open</t>
        </is>
      </c>
      <c r="M3631">
        <f>VLOOKUP(H3631,'Stage Order'!$A$2:$B$8,2,FALSE)</f>
        <v/>
      </c>
      <c r="N3631">
        <f>IF(G3631&lt;=1,"1. Under 1 hour",IF(G3631&lt;=24,"2. 1-24 hours",IF(G3631&lt;=72,"3. 1-3 days","4. Over 3 days")))</f>
        <v/>
      </c>
      <c r="O3631">
        <f>TEXT(B3631,"YYYY-MM")</f>
        <v/>
      </c>
    </row>
    <row r="3632">
      <c r="A3632" t="inlineStr">
        <is>
          <t>LD-303630</t>
        </is>
      </c>
      <c r="B3632" t="inlineStr">
        <is>
          <t>2025-12-09 14:38:00</t>
        </is>
      </c>
      <c r="C3632" t="inlineStr">
        <is>
          <t>Organic Search</t>
        </is>
      </c>
      <c r="D3632" t="inlineStr">
        <is>
          <t>Study Abroad Prep</t>
        </is>
      </c>
      <c r="E3632" t="inlineStr">
        <is>
          <t>South Region</t>
        </is>
      </c>
      <c r="F3632" t="inlineStr">
        <is>
          <t>Rep_02</t>
        </is>
      </c>
      <c r="G3632" t="n">
        <v>0.79</v>
      </c>
      <c r="H3632" t="inlineStr">
        <is>
          <t>Negotiation</t>
        </is>
      </c>
      <c r="I3632" t="inlineStr">
        <is>
          <t>Lost</t>
        </is>
      </c>
      <c r="J3632" t="inlineStr">
        <is>
          <t>Price Objection</t>
        </is>
      </c>
      <c r="K3632" t="n">
        <v>1702.83</v>
      </c>
      <c r="L3632" t="inlineStr">
        <is>
          <t>2026-01-13 20:38:11.430304</t>
        </is>
      </c>
      <c r="M3632">
        <f>VLOOKUP(H3632,'Stage Order'!$A$2:$B$8,2,FALSE)</f>
        <v/>
      </c>
      <c r="N3632">
        <f>IF(G3632&lt;=1,"1. Under 1 hour",IF(G3632&lt;=24,"2. 1-24 hours",IF(G3632&lt;=72,"3. 1-3 days","4. Over 3 days")))</f>
        <v/>
      </c>
      <c r="O3632">
        <f>TEXT(B3632,"YYYY-MM")</f>
        <v/>
      </c>
    </row>
    <row r="3633">
      <c r="A3633" t="inlineStr">
        <is>
          <t>LD-303631</t>
        </is>
      </c>
      <c r="B3633" t="inlineStr">
        <is>
          <t>2025-10-24 14:01:00</t>
        </is>
      </c>
      <c r="C3633" t="inlineStr">
        <is>
          <t>Cold Outreach</t>
        </is>
      </c>
      <c r="D3633" t="inlineStr">
        <is>
          <t>Language Learning</t>
        </is>
      </c>
      <c r="E3633" t="inlineStr">
        <is>
          <t>East Region</t>
        </is>
      </c>
      <c r="F3633" t="inlineStr">
        <is>
          <t>Rep_04</t>
        </is>
      </c>
      <c r="G3633" t="n">
        <v>2.62</v>
      </c>
      <c r="H3633" t="inlineStr">
        <is>
          <t>Lead</t>
        </is>
      </c>
      <c r="I3633" t="inlineStr">
        <is>
          <t>Open</t>
        </is>
      </c>
      <c r="M3633">
        <f>VLOOKUP(H3633,'Stage Order'!$A$2:$B$8,2,FALSE)</f>
        <v/>
      </c>
      <c r="N3633">
        <f>IF(G3633&lt;=1,"1. Under 1 hour",IF(G3633&lt;=24,"2. 1-24 hours",IF(G3633&lt;=72,"3. 1-3 days","4. Over 3 days")))</f>
        <v/>
      </c>
      <c r="O3633">
        <f>TEXT(B3633,"YYYY-MM")</f>
        <v/>
      </c>
    </row>
    <row r="3634">
      <c r="A3634" t="inlineStr">
        <is>
          <t>LD-303632</t>
        </is>
      </c>
      <c r="B3634" t="inlineStr">
        <is>
          <t>2026-01-06 09:42:00</t>
        </is>
      </c>
      <c r="C3634" t="inlineStr">
        <is>
          <t>Paid Search</t>
        </is>
      </c>
      <c r="D3634" t="inlineStr">
        <is>
          <t>Study Abroad Prep</t>
        </is>
      </c>
      <c r="E3634" t="inlineStr">
        <is>
          <t>North Region</t>
        </is>
      </c>
      <c r="F3634" t="inlineStr">
        <is>
          <t>Rep_06</t>
        </is>
      </c>
      <c r="G3634" t="n">
        <v>1.43</v>
      </c>
      <c r="H3634" t="inlineStr">
        <is>
          <t>Lead</t>
        </is>
      </c>
      <c r="I3634" t="inlineStr">
        <is>
          <t>Open</t>
        </is>
      </c>
      <c r="M3634">
        <f>VLOOKUP(H3634,'Stage Order'!$A$2:$B$8,2,FALSE)</f>
        <v/>
      </c>
      <c r="N3634">
        <f>IF(G3634&lt;=1,"1. Under 1 hour",IF(G3634&lt;=24,"2. 1-24 hours",IF(G3634&lt;=72,"3. 1-3 days","4. Over 3 days")))</f>
        <v/>
      </c>
      <c r="O3634">
        <f>TEXT(B3634,"YYYY-MM")</f>
        <v/>
      </c>
    </row>
    <row r="3635">
      <c r="A3635" t="inlineStr">
        <is>
          <t>LD-303633</t>
        </is>
      </c>
      <c r="B3635" t="inlineStr">
        <is>
          <t>2025-06-03 08:32:00</t>
        </is>
      </c>
      <c r="C3635" t="inlineStr">
        <is>
          <t>Social Media</t>
        </is>
      </c>
      <c r="D3635" t="inlineStr">
        <is>
          <t>Coding for Kids</t>
        </is>
      </c>
      <c r="E3635" t="inlineStr">
        <is>
          <t>International</t>
        </is>
      </c>
      <c r="F3635" t="inlineStr">
        <is>
          <t>Rep_05</t>
        </is>
      </c>
      <c r="G3635" t="n">
        <v>4.49</v>
      </c>
      <c r="H3635" t="inlineStr">
        <is>
          <t>Contacted</t>
        </is>
      </c>
      <c r="I3635" t="inlineStr">
        <is>
          <t>Open</t>
        </is>
      </c>
      <c r="M3635">
        <f>VLOOKUP(H3635,'Stage Order'!$A$2:$B$8,2,FALSE)</f>
        <v/>
      </c>
      <c r="N3635">
        <f>IF(G3635&lt;=1,"1. Under 1 hour",IF(G3635&lt;=24,"2. 1-24 hours",IF(G3635&lt;=72,"3. 1-3 days","4. Over 3 days")))</f>
        <v/>
      </c>
      <c r="O3635">
        <f>TEXT(B3635,"YYYY-MM")</f>
        <v/>
      </c>
    </row>
    <row r="3636">
      <c r="A3636" t="inlineStr">
        <is>
          <t>LD-303634</t>
        </is>
      </c>
      <c r="B3636" t="inlineStr">
        <is>
          <t>2025-01-18 19:45:00</t>
        </is>
      </c>
      <c r="C3636" t="inlineStr">
        <is>
          <t>Partner Channel</t>
        </is>
      </c>
      <c r="D3636" t="inlineStr">
        <is>
          <t>K-12 Math</t>
        </is>
      </c>
      <c r="E3636" t="inlineStr">
        <is>
          <t>East Region</t>
        </is>
      </c>
      <c r="F3636" t="inlineStr">
        <is>
          <t>Rep_04</t>
        </is>
      </c>
      <c r="G3636" t="n">
        <v>1.42</v>
      </c>
      <c r="H3636" t="inlineStr">
        <is>
          <t>Contacted</t>
        </is>
      </c>
      <c r="I3636" t="inlineStr">
        <is>
          <t>Open</t>
        </is>
      </c>
      <c r="M3636">
        <f>VLOOKUP(H3636,'Stage Order'!$A$2:$B$8,2,FALSE)</f>
        <v/>
      </c>
      <c r="N3636">
        <f>IF(G3636&lt;=1,"1. Under 1 hour",IF(G3636&lt;=24,"2. 1-24 hours",IF(G3636&lt;=72,"3. 1-3 days","4. Over 3 days")))</f>
        <v/>
      </c>
      <c r="O3636">
        <f>TEXT(B3636,"YYYY-MM")</f>
        <v/>
      </c>
    </row>
    <row r="3637">
      <c r="A3637" t="inlineStr">
        <is>
          <t>LD-303635</t>
        </is>
      </c>
      <c r="B3637" t="inlineStr">
        <is>
          <t>2025-07-11 08:44:00</t>
        </is>
      </c>
      <c r="C3637" t="inlineStr">
        <is>
          <t>Organic Search</t>
        </is>
      </c>
      <c r="D3637" t="inlineStr">
        <is>
          <t>Study Abroad Prep</t>
        </is>
      </c>
      <c r="E3637" t="inlineStr">
        <is>
          <t>South Region</t>
        </is>
      </c>
      <c r="F3637" t="inlineStr">
        <is>
          <t>Rep_02</t>
        </is>
      </c>
      <c r="G3637" t="n">
        <v>1.89</v>
      </c>
      <c r="H3637" t="inlineStr">
        <is>
          <t>Closed</t>
        </is>
      </c>
      <c r="I3637" t="inlineStr">
        <is>
          <t>Won</t>
        </is>
      </c>
      <c r="K3637" t="n">
        <v>1209.69</v>
      </c>
      <c r="L3637" t="inlineStr">
        <is>
          <t>2025-08-21 05:33:43.629508</t>
        </is>
      </c>
      <c r="M3637">
        <f>VLOOKUP(H3637,'Stage Order'!$A$2:$B$8,2,FALSE)</f>
        <v/>
      </c>
      <c r="N3637">
        <f>IF(G3637&lt;=1,"1. Under 1 hour",IF(G3637&lt;=24,"2. 1-24 hours",IF(G3637&lt;=72,"3. 1-3 days","4. Over 3 days")))</f>
        <v/>
      </c>
      <c r="O3637">
        <f>TEXT(B3637,"YYYY-MM")</f>
        <v/>
      </c>
    </row>
    <row r="3638">
      <c r="A3638" t="inlineStr">
        <is>
          <t>LD-303636</t>
        </is>
      </c>
      <c r="B3638" t="inlineStr">
        <is>
          <t>2025-02-19 18:49:00</t>
        </is>
      </c>
      <c r="C3638" t="inlineStr">
        <is>
          <t>Paid Search</t>
        </is>
      </c>
      <c r="D3638" t="inlineStr">
        <is>
          <t>Coding for Kids</t>
        </is>
      </c>
      <c r="E3638" t="inlineStr">
        <is>
          <t>North Region</t>
        </is>
      </c>
      <c r="F3638" t="inlineStr">
        <is>
          <t>Rep_01</t>
        </is>
      </c>
      <c r="G3638" t="n">
        <v>4.69</v>
      </c>
      <c r="H3638" t="inlineStr">
        <is>
          <t>Proposal Sent</t>
        </is>
      </c>
      <c r="I3638" t="inlineStr">
        <is>
          <t>Lost</t>
        </is>
      </c>
      <c r="J3638" t="inlineStr">
        <is>
          <t>Went With Competitor</t>
        </is>
      </c>
      <c r="K3638" t="n">
        <v>612.24</v>
      </c>
      <c r="L3638" t="inlineStr">
        <is>
          <t>2025-04-04 01:55:54.275089</t>
        </is>
      </c>
      <c r="M3638">
        <f>VLOOKUP(H3638,'Stage Order'!$A$2:$B$8,2,FALSE)</f>
        <v/>
      </c>
      <c r="N3638">
        <f>IF(G3638&lt;=1,"1. Under 1 hour",IF(G3638&lt;=24,"2. 1-24 hours",IF(G3638&lt;=72,"3. 1-3 days","4. Over 3 days")))</f>
        <v/>
      </c>
      <c r="O3638">
        <f>TEXT(B3638,"YYYY-MM")</f>
        <v/>
      </c>
    </row>
    <row r="3639">
      <c r="A3639" t="inlineStr">
        <is>
          <t>LD-303637</t>
        </is>
      </c>
      <c r="B3639" t="inlineStr">
        <is>
          <t>2025-11-14 12:32:00</t>
        </is>
      </c>
      <c r="C3639" t="inlineStr">
        <is>
          <t>Paid Search</t>
        </is>
      </c>
      <c r="D3639" t="inlineStr">
        <is>
          <t>Coding for Kids</t>
        </is>
      </c>
      <c r="E3639" t="inlineStr">
        <is>
          <t>East Region</t>
        </is>
      </c>
      <c r="F3639" t="inlineStr">
        <is>
          <t>Rep_14</t>
        </is>
      </c>
      <c r="G3639" t="n">
        <v>0.9</v>
      </c>
      <c r="H3639" t="inlineStr">
        <is>
          <t>Contacted</t>
        </is>
      </c>
      <c r="I3639" t="inlineStr">
        <is>
          <t>Open</t>
        </is>
      </c>
      <c r="M3639">
        <f>VLOOKUP(H3639,'Stage Order'!$A$2:$B$8,2,FALSE)</f>
        <v/>
      </c>
      <c r="N3639">
        <f>IF(G3639&lt;=1,"1. Under 1 hour",IF(G3639&lt;=24,"2. 1-24 hours",IF(G3639&lt;=72,"3. 1-3 days","4. Over 3 days")))</f>
        <v/>
      </c>
      <c r="O3639">
        <f>TEXT(B3639,"YYYY-MM")</f>
        <v/>
      </c>
    </row>
    <row r="3640">
      <c r="A3640" t="inlineStr">
        <is>
          <t>LD-303638</t>
        </is>
      </c>
      <c r="B3640" t="inlineStr">
        <is>
          <t>2026-01-26 08:32:00</t>
        </is>
      </c>
      <c r="C3640" t="inlineStr">
        <is>
          <t>Organic Search</t>
        </is>
      </c>
      <c r="D3640" t="inlineStr">
        <is>
          <t>Competitive Exam Prep</t>
        </is>
      </c>
      <c r="E3640" t="inlineStr">
        <is>
          <t>East Region</t>
        </is>
      </c>
      <c r="F3640" t="inlineStr">
        <is>
          <t>Rep_04</t>
        </is>
      </c>
      <c r="G3640" t="n">
        <v>2.92</v>
      </c>
      <c r="H3640" t="inlineStr">
        <is>
          <t>Proposal Sent</t>
        </is>
      </c>
      <c r="I3640" t="inlineStr">
        <is>
          <t>Lost</t>
        </is>
      </c>
      <c r="J3640" t="inlineStr">
        <is>
          <t>Price Objection</t>
        </is>
      </c>
      <c r="K3640" t="n">
        <v>1014.43</v>
      </c>
      <c r="L3640" t="inlineStr">
        <is>
          <t>2026-02-20 01:38:49.530402</t>
        </is>
      </c>
      <c r="M3640">
        <f>VLOOKUP(H3640,'Stage Order'!$A$2:$B$8,2,FALSE)</f>
        <v/>
      </c>
      <c r="N3640">
        <f>IF(G3640&lt;=1,"1. Under 1 hour",IF(G3640&lt;=24,"2. 1-24 hours",IF(G3640&lt;=72,"3. 1-3 days","4. Over 3 days")))</f>
        <v/>
      </c>
      <c r="O3640">
        <f>TEXT(B3640,"YYYY-MM")</f>
        <v/>
      </c>
    </row>
    <row r="3641">
      <c r="A3641" t="inlineStr">
        <is>
          <t>LD-303639</t>
        </is>
      </c>
      <c r="B3641" t="inlineStr">
        <is>
          <t>2025-09-03 15:11:00</t>
        </is>
      </c>
      <c r="C3641" t="inlineStr">
        <is>
          <t>Cold Outreach</t>
        </is>
      </c>
      <c r="D3641" t="inlineStr">
        <is>
          <t>Coding for Kids</t>
        </is>
      </c>
      <c r="E3641" t="inlineStr">
        <is>
          <t>South Region</t>
        </is>
      </c>
      <c r="F3641" t="inlineStr">
        <is>
          <t>Rep_07</t>
        </is>
      </c>
      <c r="G3641" t="n">
        <v>2.21</v>
      </c>
      <c r="H3641" t="inlineStr">
        <is>
          <t>Contacted</t>
        </is>
      </c>
      <c r="I3641" t="inlineStr">
        <is>
          <t>Open</t>
        </is>
      </c>
      <c r="M3641">
        <f>VLOOKUP(H3641,'Stage Order'!$A$2:$B$8,2,FALSE)</f>
        <v/>
      </c>
      <c r="N3641">
        <f>IF(G3641&lt;=1,"1. Under 1 hour",IF(G3641&lt;=24,"2. 1-24 hours",IF(G3641&lt;=72,"3. 1-3 days","4. Over 3 days")))</f>
        <v/>
      </c>
      <c r="O3641">
        <f>TEXT(B3641,"YYYY-MM")</f>
        <v/>
      </c>
    </row>
    <row r="3642">
      <c r="A3642" t="inlineStr">
        <is>
          <t>LD-303640</t>
        </is>
      </c>
      <c r="B3642" t="inlineStr">
        <is>
          <t>2025-07-11 15:45:00</t>
        </is>
      </c>
      <c r="C3642" t="inlineStr">
        <is>
          <t>Social Media</t>
        </is>
      </c>
      <c r="D3642" t="inlineStr">
        <is>
          <t>K-12 Math</t>
        </is>
      </c>
      <c r="E3642" t="inlineStr">
        <is>
          <t>West Region</t>
        </is>
      </c>
      <c r="F3642" t="inlineStr">
        <is>
          <t>Rep_08</t>
        </is>
      </c>
      <c r="G3642" t="n">
        <v>1.81</v>
      </c>
      <c r="H3642" t="inlineStr">
        <is>
          <t>Negotiation</t>
        </is>
      </c>
      <c r="I3642" t="inlineStr">
        <is>
          <t>Lost</t>
        </is>
      </c>
      <c r="J3642" t="inlineStr">
        <is>
          <t>Budget Not Approved</t>
        </is>
      </c>
      <c r="K3642" t="n">
        <v>487.1</v>
      </c>
      <c r="L3642" t="inlineStr">
        <is>
          <t>2025-08-23 14:26:11.302992</t>
        </is>
      </c>
      <c r="M3642">
        <f>VLOOKUP(H3642,'Stage Order'!$A$2:$B$8,2,FALSE)</f>
        <v/>
      </c>
      <c r="N3642">
        <f>IF(G3642&lt;=1,"1. Under 1 hour",IF(G3642&lt;=24,"2. 1-24 hours",IF(G3642&lt;=72,"3. 1-3 days","4. Over 3 days")))</f>
        <v/>
      </c>
      <c r="O3642">
        <f>TEXT(B3642,"YYYY-MM")</f>
        <v/>
      </c>
    </row>
    <row r="3643">
      <c r="A3643" t="inlineStr">
        <is>
          <t>LD-303641</t>
        </is>
      </c>
      <c r="B3643" t="inlineStr">
        <is>
          <t>2025-07-21 19:58:00</t>
        </is>
      </c>
      <c r="C3643" t="inlineStr">
        <is>
          <t>Paid Search</t>
        </is>
      </c>
      <c r="D3643" t="inlineStr">
        <is>
          <t>K-12 Math</t>
        </is>
      </c>
      <c r="E3643" t="inlineStr">
        <is>
          <t>South Region</t>
        </is>
      </c>
      <c r="F3643" t="inlineStr">
        <is>
          <t>Rep_02</t>
        </is>
      </c>
      <c r="G3643" t="n">
        <v>2.13</v>
      </c>
      <c r="H3643" t="inlineStr">
        <is>
          <t>Contacted</t>
        </is>
      </c>
      <c r="I3643" t="inlineStr">
        <is>
          <t>Open</t>
        </is>
      </c>
      <c r="M3643">
        <f>VLOOKUP(H3643,'Stage Order'!$A$2:$B$8,2,FALSE)</f>
        <v/>
      </c>
      <c r="N3643">
        <f>IF(G3643&lt;=1,"1. Under 1 hour",IF(G3643&lt;=24,"2. 1-24 hours",IF(G3643&lt;=72,"3. 1-3 days","4. Over 3 days")))</f>
        <v/>
      </c>
      <c r="O3643">
        <f>TEXT(B3643,"YYYY-MM")</f>
        <v/>
      </c>
    </row>
    <row r="3644">
      <c r="A3644" t="inlineStr">
        <is>
          <t>LD-303642</t>
        </is>
      </c>
      <c r="B3644" t="inlineStr">
        <is>
          <t>2025-07-11 09:43:00</t>
        </is>
      </c>
      <c r="C3644" t="inlineStr">
        <is>
          <t>Referral</t>
        </is>
      </c>
      <c r="D3644" t="inlineStr">
        <is>
          <t>Competitive Exam Prep</t>
        </is>
      </c>
      <c r="E3644" t="inlineStr">
        <is>
          <t>West Region</t>
        </is>
      </c>
      <c r="F3644" t="inlineStr">
        <is>
          <t>Rep_08</t>
        </is>
      </c>
      <c r="G3644" t="n">
        <v>2.17</v>
      </c>
      <c r="H3644" t="inlineStr">
        <is>
          <t>Closed</t>
        </is>
      </c>
      <c r="I3644" t="inlineStr">
        <is>
          <t>Won</t>
        </is>
      </c>
      <c r="K3644" t="n">
        <v>1033.43</v>
      </c>
      <c r="L3644" t="inlineStr">
        <is>
          <t>2025-08-23 19:26:41.943421</t>
        </is>
      </c>
      <c r="M3644">
        <f>VLOOKUP(H3644,'Stage Order'!$A$2:$B$8,2,FALSE)</f>
        <v/>
      </c>
      <c r="N3644">
        <f>IF(G3644&lt;=1,"1. Under 1 hour",IF(G3644&lt;=24,"2. 1-24 hours",IF(G3644&lt;=72,"3. 1-3 days","4. Over 3 days")))</f>
        <v/>
      </c>
      <c r="O3644">
        <f>TEXT(B3644,"YYYY-MM")</f>
        <v/>
      </c>
    </row>
    <row r="3645">
      <c r="A3645" t="inlineStr">
        <is>
          <t>LD-303643</t>
        </is>
      </c>
      <c r="B3645" t="inlineStr">
        <is>
          <t>2026-02-13 18:55:00</t>
        </is>
      </c>
      <c r="C3645" t="inlineStr">
        <is>
          <t>Webinar</t>
        </is>
      </c>
      <c r="D3645" t="inlineStr">
        <is>
          <t>Language Learning</t>
        </is>
      </c>
      <c r="E3645" t="inlineStr">
        <is>
          <t>North Region</t>
        </is>
      </c>
      <c r="F3645" t="inlineStr">
        <is>
          <t>Rep_11</t>
        </is>
      </c>
      <c r="G3645" t="n">
        <v>0.53</v>
      </c>
      <c r="H3645" t="inlineStr">
        <is>
          <t>Contacted</t>
        </is>
      </c>
      <c r="I3645" t="inlineStr">
        <is>
          <t>Open</t>
        </is>
      </c>
      <c r="M3645">
        <f>VLOOKUP(H3645,'Stage Order'!$A$2:$B$8,2,FALSE)</f>
        <v/>
      </c>
      <c r="N3645">
        <f>IF(G3645&lt;=1,"1. Under 1 hour",IF(G3645&lt;=24,"2. 1-24 hours",IF(G3645&lt;=72,"3. 1-3 days","4. Over 3 days")))</f>
        <v/>
      </c>
      <c r="O3645">
        <f>TEXT(B3645,"YYYY-MM")</f>
        <v/>
      </c>
    </row>
    <row r="3646">
      <c r="A3646" t="inlineStr">
        <is>
          <t>LD-303644</t>
        </is>
      </c>
      <c r="B3646" t="inlineStr">
        <is>
          <t>2025-03-13 11:48:00</t>
        </is>
      </c>
      <c r="C3646" t="inlineStr">
        <is>
          <t>Organic Search</t>
        </is>
      </c>
      <c r="D3646" t="inlineStr">
        <is>
          <t>K-12 Math</t>
        </is>
      </c>
      <c r="E3646" t="inlineStr">
        <is>
          <t>North Region</t>
        </is>
      </c>
      <c r="F3646" t="inlineStr">
        <is>
          <t>Rep_06</t>
        </is>
      </c>
      <c r="G3646" t="n">
        <v>1.75</v>
      </c>
      <c r="H3646" t="inlineStr">
        <is>
          <t>Contacted</t>
        </is>
      </c>
      <c r="I3646" t="inlineStr">
        <is>
          <t>Open</t>
        </is>
      </c>
      <c r="M3646">
        <f>VLOOKUP(H3646,'Stage Order'!$A$2:$B$8,2,FALSE)</f>
        <v/>
      </c>
      <c r="N3646">
        <f>IF(G3646&lt;=1,"1. Under 1 hour",IF(G3646&lt;=24,"2. 1-24 hours",IF(G3646&lt;=72,"3. 1-3 days","4. Over 3 days")))</f>
        <v/>
      </c>
      <c r="O3646">
        <f>TEXT(B3646,"YYYY-MM")</f>
        <v/>
      </c>
    </row>
    <row r="3647">
      <c r="A3647" t="inlineStr">
        <is>
          <t>LD-303645</t>
        </is>
      </c>
      <c r="B3647" t="inlineStr">
        <is>
          <t>2025-02-07 16:58:00</t>
        </is>
      </c>
      <c r="C3647" t="inlineStr">
        <is>
          <t>Paid Search</t>
        </is>
      </c>
      <c r="D3647" t="inlineStr">
        <is>
          <t>Study Abroad Prep</t>
        </is>
      </c>
      <c r="E3647" t="inlineStr">
        <is>
          <t>South Region</t>
        </is>
      </c>
      <c r="F3647" t="inlineStr">
        <is>
          <t>Rep_02</t>
        </is>
      </c>
      <c r="G3647" t="n">
        <v>12.05</v>
      </c>
      <c r="H3647" t="inlineStr">
        <is>
          <t>Closed</t>
        </is>
      </c>
      <c r="I3647" t="inlineStr">
        <is>
          <t>Won</t>
        </is>
      </c>
      <c r="K3647" t="n">
        <v>1523.11</v>
      </c>
      <c r="L3647" t="inlineStr">
        <is>
          <t>2025-03-13 18:18:04.326102</t>
        </is>
      </c>
      <c r="M3647">
        <f>VLOOKUP(H3647,'Stage Order'!$A$2:$B$8,2,FALSE)</f>
        <v/>
      </c>
      <c r="N3647">
        <f>IF(G3647&lt;=1,"1. Under 1 hour",IF(G3647&lt;=24,"2. 1-24 hours",IF(G3647&lt;=72,"3. 1-3 days","4. Over 3 days")))</f>
        <v/>
      </c>
      <c r="O3647">
        <f>TEXT(B3647,"YYYY-MM")</f>
        <v/>
      </c>
    </row>
    <row r="3648">
      <c r="A3648" t="inlineStr">
        <is>
          <t>LD-303646</t>
        </is>
      </c>
      <c r="B3648" t="inlineStr">
        <is>
          <t>2025-02-13 20:18:00</t>
        </is>
      </c>
      <c r="C3648" t="inlineStr">
        <is>
          <t>Partner Channel</t>
        </is>
      </c>
      <c r="D3648" t="inlineStr">
        <is>
          <t>K-12 Math</t>
        </is>
      </c>
      <c r="E3648" t="inlineStr">
        <is>
          <t>East Region</t>
        </is>
      </c>
      <c r="F3648" t="inlineStr">
        <is>
          <t>Rep_09</t>
        </is>
      </c>
      <c r="G3648" t="n">
        <v>1.53</v>
      </c>
      <c r="H3648" t="inlineStr">
        <is>
          <t>Demo Completed</t>
        </is>
      </c>
      <c r="I3648" t="inlineStr">
        <is>
          <t>Lost</t>
        </is>
      </c>
      <c r="J3648" t="inlineStr">
        <is>
          <t>Price Objection</t>
        </is>
      </c>
      <c r="K3648" t="n">
        <v>475.56</v>
      </c>
      <c r="L3648" t="inlineStr">
        <is>
          <t>2025-03-24 08:51:07.182383</t>
        </is>
      </c>
      <c r="M3648">
        <f>VLOOKUP(H3648,'Stage Order'!$A$2:$B$8,2,FALSE)</f>
        <v/>
      </c>
      <c r="N3648">
        <f>IF(G3648&lt;=1,"1. Under 1 hour",IF(G3648&lt;=24,"2. 1-24 hours",IF(G3648&lt;=72,"3. 1-3 days","4. Over 3 days")))</f>
        <v/>
      </c>
      <c r="O3648">
        <f>TEXT(B3648,"YYYY-MM")</f>
        <v/>
      </c>
    </row>
    <row r="3649">
      <c r="A3649" t="inlineStr">
        <is>
          <t>LD-303647</t>
        </is>
      </c>
      <c r="B3649" t="inlineStr">
        <is>
          <t>2025-11-11 13:56:00</t>
        </is>
      </c>
      <c r="C3649" t="inlineStr">
        <is>
          <t>Paid Search</t>
        </is>
      </c>
      <c r="D3649" t="inlineStr">
        <is>
          <t>Competitive Exam Prep</t>
        </is>
      </c>
      <c r="E3649" t="inlineStr">
        <is>
          <t>West Region</t>
        </is>
      </c>
      <c r="F3649" t="inlineStr">
        <is>
          <t>Rep_13</t>
        </is>
      </c>
      <c r="G3649" t="n">
        <v>8.68</v>
      </c>
      <c r="H3649" t="inlineStr">
        <is>
          <t>Lead</t>
        </is>
      </c>
      <c r="I3649" t="inlineStr">
        <is>
          <t>Open</t>
        </is>
      </c>
      <c r="M3649">
        <f>VLOOKUP(H3649,'Stage Order'!$A$2:$B$8,2,FALSE)</f>
        <v/>
      </c>
      <c r="N3649">
        <f>IF(G3649&lt;=1,"1. Under 1 hour",IF(G3649&lt;=24,"2. 1-24 hours",IF(G3649&lt;=72,"3. 1-3 days","4. Over 3 days")))</f>
        <v/>
      </c>
      <c r="O3649">
        <f>TEXT(B3649,"YYYY-MM")</f>
        <v/>
      </c>
    </row>
    <row r="3650">
      <c r="A3650" t="inlineStr">
        <is>
          <t>LD-303648</t>
        </is>
      </c>
      <c r="B3650" t="inlineStr">
        <is>
          <t>2025-01-07 07:32:00</t>
        </is>
      </c>
      <c r="C3650" t="inlineStr">
        <is>
          <t>Organic Search</t>
        </is>
      </c>
      <c r="D3650" t="inlineStr">
        <is>
          <t>Competitive Exam Prep</t>
        </is>
      </c>
      <c r="E3650" t="inlineStr">
        <is>
          <t>North Region</t>
        </is>
      </c>
      <c r="F3650" t="inlineStr">
        <is>
          <t>Rep_06</t>
        </is>
      </c>
      <c r="G3650" t="n">
        <v>5.71</v>
      </c>
      <c r="H3650" t="inlineStr">
        <is>
          <t>Contacted</t>
        </is>
      </c>
      <c r="I3650" t="inlineStr">
        <is>
          <t>Open</t>
        </is>
      </c>
      <c r="M3650">
        <f>VLOOKUP(H3650,'Stage Order'!$A$2:$B$8,2,FALSE)</f>
        <v/>
      </c>
      <c r="N3650">
        <f>IF(G3650&lt;=1,"1. Under 1 hour",IF(G3650&lt;=24,"2. 1-24 hours",IF(G3650&lt;=72,"3. 1-3 days","4. Over 3 days")))</f>
        <v/>
      </c>
      <c r="O3650">
        <f>TEXT(B3650,"YYYY-MM")</f>
        <v/>
      </c>
    </row>
    <row r="3651">
      <c r="A3651" t="inlineStr">
        <is>
          <t>LD-303649</t>
        </is>
      </c>
      <c r="B3651" t="inlineStr">
        <is>
          <t>2025-10-02 09:14:00</t>
        </is>
      </c>
      <c r="C3651" t="inlineStr">
        <is>
          <t>Organic Search</t>
        </is>
      </c>
      <c r="D3651" t="inlineStr">
        <is>
          <t>K-12 Math</t>
        </is>
      </c>
      <c r="E3651" t="inlineStr">
        <is>
          <t>West Region</t>
        </is>
      </c>
      <c r="F3651" t="inlineStr">
        <is>
          <t>Rep_13</t>
        </is>
      </c>
      <c r="G3651" t="n">
        <v>5.58</v>
      </c>
      <c r="H3651" t="inlineStr">
        <is>
          <t>Demo Completed</t>
        </is>
      </c>
      <c r="I3651" t="inlineStr">
        <is>
          <t>Lost</t>
        </is>
      </c>
      <c r="J3651" t="inlineStr">
        <is>
          <t>Price Objection</t>
        </is>
      </c>
      <c r="K3651" t="n">
        <v>590.8200000000001</v>
      </c>
      <c r="L3651" t="inlineStr">
        <is>
          <t>2025-11-12 17:39:22.473556</t>
        </is>
      </c>
      <c r="M3651">
        <f>VLOOKUP(H3651,'Stage Order'!$A$2:$B$8,2,FALSE)</f>
        <v/>
      </c>
      <c r="N3651">
        <f>IF(G3651&lt;=1,"1. Under 1 hour",IF(G3651&lt;=24,"2. 1-24 hours",IF(G3651&lt;=72,"3. 1-3 days","4. Over 3 days")))</f>
        <v/>
      </c>
      <c r="O3651">
        <f>TEXT(B3651,"YYYY-MM")</f>
        <v/>
      </c>
    </row>
    <row r="3652">
      <c r="A3652" t="inlineStr">
        <is>
          <t>LD-303650</t>
        </is>
      </c>
      <c r="B3652" t="inlineStr">
        <is>
          <t>2025-11-04 20:11:00</t>
        </is>
      </c>
      <c r="C3652" t="inlineStr">
        <is>
          <t>Cold Outreach</t>
        </is>
      </c>
      <c r="D3652" t="inlineStr">
        <is>
          <t>Language Learning</t>
        </is>
      </c>
      <c r="E3652" t="inlineStr">
        <is>
          <t>West Region</t>
        </is>
      </c>
      <c r="F3652" t="inlineStr">
        <is>
          <t>Rep_13</t>
        </is>
      </c>
      <c r="G3652" t="n">
        <v>3.25</v>
      </c>
      <c r="H3652" t="inlineStr">
        <is>
          <t>Demo Scheduled</t>
        </is>
      </c>
      <c r="I3652" t="inlineStr">
        <is>
          <t>Open</t>
        </is>
      </c>
      <c r="M3652">
        <f>VLOOKUP(H3652,'Stage Order'!$A$2:$B$8,2,FALSE)</f>
        <v/>
      </c>
      <c r="N3652">
        <f>IF(G3652&lt;=1,"1. Under 1 hour",IF(G3652&lt;=24,"2. 1-24 hours",IF(G3652&lt;=72,"3. 1-3 days","4. Over 3 days")))</f>
        <v/>
      </c>
      <c r="O3652">
        <f>TEXT(B3652,"YYYY-MM")</f>
        <v/>
      </c>
    </row>
    <row r="3653">
      <c r="A3653" t="inlineStr">
        <is>
          <t>LD-303651</t>
        </is>
      </c>
      <c r="B3653" t="inlineStr">
        <is>
          <t>2025-06-02 11:00:00</t>
        </is>
      </c>
      <c r="C3653" t="inlineStr">
        <is>
          <t>Webinar</t>
        </is>
      </c>
      <c r="D3653" t="inlineStr">
        <is>
          <t>Study Abroad Prep</t>
        </is>
      </c>
      <c r="E3653" t="inlineStr">
        <is>
          <t>South Region</t>
        </is>
      </c>
      <c r="F3653" t="inlineStr">
        <is>
          <t>Rep_02</t>
        </is>
      </c>
      <c r="G3653" t="n">
        <v>1.23</v>
      </c>
      <c r="H3653" t="inlineStr">
        <is>
          <t>Closed</t>
        </is>
      </c>
      <c r="I3653" t="inlineStr">
        <is>
          <t>Won</t>
        </is>
      </c>
      <c r="K3653" t="n">
        <v>1657.45</v>
      </c>
      <c r="L3653" t="inlineStr">
        <is>
          <t>2025-06-30 07:43:08.716323</t>
        </is>
      </c>
      <c r="M3653">
        <f>VLOOKUP(H3653,'Stage Order'!$A$2:$B$8,2,FALSE)</f>
        <v/>
      </c>
      <c r="N3653">
        <f>IF(G3653&lt;=1,"1. Under 1 hour",IF(G3653&lt;=24,"2. 1-24 hours",IF(G3653&lt;=72,"3. 1-3 days","4. Over 3 days")))</f>
        <v/>
      </c>
      <c r="O3653">
        <f>TEXT(B3653,"YYYY-MM")</f>
        <v/>
      </c>
    </row>
    <row r="3654">
      <c r="A3654" t="inlineStr">
        <is>
          <t>LD-303652</t>
        </is>
      </c>
      <c r="B3654" t="inlineStr">
        <is>
          <t>2025-09-05 17:32:00</t>
        </is>
      </c>
      <c r="C3654" t="inlineStr">
        <is>
          <t>Organic Search</t>
        </is>
      </c>
      <c r="D3654" t="inlineStr">
        <is>
          <t>Coding for Kids</t>
        </is>
      </c>
      <c r="E3654" t="inlineStr">
        <is>
          <t>International</t>
        </is>
      </c>
      <c r="F3654" t="inlineStr">
        <is>
          <t>Rep_05</t>
        </is>
      </c>
      <c r="G3654" t="n">
        <v>1.4</v>
      </c>
      <c r="H3654" t="inlineStr">
        <is>
          <t>Contacted</t>
        </is>
      </c>
      <c r="I3654" t="inlineStr">
        <is>
          <t>Open</t>
        </is>
      </c>
      <c r="M3654">
        <f>VLOOKUP(H3654,'Stage Order'!$A$2:$B$8,2,FALSE)</f>
        <v/>
      </c>
      <c r="N3654">
        <f>IF(G3654&lt;=1,"1. Under 1 hour",IF(G3654&lt;=24,"2. 1-24 hours",IF(G3654&lt;=72,"3. 1-3 days","4. Over 3 days")))</f>
        <v/>
      </c>
      <c r="O3654">
        <f>TEXT(B3654,"YYYY-MM")</f>
        <v/>
      </c>
    </row>
    <row r="3655">
      <c r="A3655" t="inlineStr">
        <is>
          <t>LD-303653</t>
        </is>
      </c>
      <c r="B3655" t="inlineStr">
        <is>
          <t>2026-01-18 20:36:00</t>
        </is>
      </c>
      <c r="C3655" t="inlineStr">
        <is>
          <t>Cold Outreach</t>
        </is>
      </c>
      <c r="D3655" t="inlineStr">
        <is>
          <t>Language Learning</t>
        </is>
      </c>
      <c r="E3655" t="inlineStr">
        <is>
          <t>North Region</t>
        </is>
      </c>
      <c r="F3655" t="inlineStr">
        <is>
          <t>Rep_01</t>
        </is>
      </c>
      <c r="G3655" t="n">
        <v>5.4</v>
      </c>
      <c r="H3655" t="inlineStr">
        <is>
          <t>Proposal Sent</t>
        </is>
      </c>
      <c r="I3655" t="inlineStr">
        <is>
          <t>Lost</t>
        </is>
      </c>
      <c r="J3655" t="inlineStr">
        <is>
          <t>Bad Timing</t>
        </is>
      </c>
      <c r="K3655" t="n">
        <v>351.39</v>
      </c>
      <c r="L3655" t="inlineStr">
        <is>
          <t>2026-02-28 16:36:11.846162</t>
        </is>
      </c>
      <c r="M3655">
        <f>VLOOKUP(H3655,'Stage Order'!$A$2:$B$8,2,FALSE)</f>
        <v/>
      </c>
      <c r="N3655">
        <f>IF(G3655&lt;=1,"1. Under 1 hour",IF(G3655&lt;=24,"2. 1-24 hours",IF(G3655&lt;=72,"3. 1-3 days","4. Over 3 days")))</f>
        <v/>
      </c>
      <c r="O3655">
        <f>TEXT(B3655,"YYYY-MM")</f>
        <v/>
      </c>
    </row>
    <row r="3656">
      <c r="A3656" t="inlineStr">
        <is>
          <t>LD-303654</t>
        </is>
      </c>
      <c r="B3656" t="inlineStr">
        <is>
          <t>2025-05-09 18:54:00</t>
        </is>
      </c>
      <c r="C3656" t="inlineStr">
        <is>
          <t>Cold Outreach</t>
        </is>
      </c>
      <c r="D3656" t="inlineStr">
        <is>
          <t>Language Learning</t>
        </is>
      </c>
      <c r="E3656" t="inlineStr">
        <is>
          <t>South Region</t>
        </is>
      </c>
      <c r="F3656" t="inlineStr">
        <is>
          <t>Rep_02</t>
        </is>
      </c>
      <c r="G3656" t="n">
        <v>2.56</v>
      </c>
      <c r="H3656" t="inlineStr">
        <is>
          <t>Lead</t>
        </is>
      </c>
      <c r="I3656" t="inlineStr">
        <is>
          <t>Open</t>
        </is>
      </c>
      <c r="M3656">
        <f>VLOOKUP(H3656,'Stage Order'!$A$2:$B$8,2,FALSE)</f>
        <v/>
      </c>
      <c r="N3656">
        <f>IF(G3656&lt;=1,"1. Under 1 hour",IF(G3656&lt;=24,"2. 1-24 hours",IF(G3656&lt;=72,"3. 1-3 days","4. Over 3 days")))</f>
        <v/>
      </c>
      <c r="O3656">
        <f>TEXT(B3656,"YYYY-MM")</f>
        <v/>
      </c>
    </row>
    <row r="3657">
      <c r="A3657" t="inlineStr">
        <is>
          <t>LD-303655</t>
        </is>
      </c>
      <c r="B3657" t="inlineStr">
        <is>
          <t>2025-05-29 19:38:00</t>
        </is>
      </c>
      <c r="C3657" t="inlineStr">
        <is>
          <t>Organic Search</t>
        </is>
      </c>
      <c r="D3657" t="inlineStr">
        <is>
          <t>Study Abroad Prep</t>
        </is>
      </c>
      <c r="E3657" t="inlineStr">
        <is>
          <t>East Region</t>
        </is>
      </c>
      <c r="F3657" t="inlineStr">
        <is>
          <t>Rep_09</t>
        </is>
      </c>
      <c r="G3657" t="n">
        <v>8.789999999999999</v>
      </c>
      <c r="H3657" t="inlineStr">
        <is>
          <t>Contacted</t>
        </is>
      </c>
      <c r="I3657" t="inlineStr">
        <is>
          <t>Open</t>
        </is>
      </c>
      <c r="M3657">
        <f>VLOOKUP(H3657,'Stage Order'!$A$2:$B$8,2,FALSE)</f>
        <v/>
      </c>
      <c r="N3657">
        <f>IF(G3657&lt;=1,"1. Under 1 hour",IF(G3657&lt;=24,"2. 1-24 hours",IF(G3657&lt;=72,"3. 1-3 days","4. Over 3 days")))</f>
        <v/>
      </c>
      <c r="O3657">
        <f>TEXT(B3657,"YYYY-MM")</f>
        <v/>
      </c>
    </row>
    <row r="3658">
      <c r="A3658" t="inlineStr">
        <is>
          <t>LD-303656</t>
        </is>
      </c>
      <c r="B3658" t="inlineStr">
        <is>
          <t>2025-02-07 19:01:00</t>
        </is>
      </c>
      <c r="C3658" t="inlineStr">
        <is>
          <t>Paid Search</t>
        </is>
      </c>
      <c r="D3658" t="inlineStr">
        <is>
          <t>Competitive Exam Prep</t>
        </is>
      </c>
      <c r="E3658" t="inlineStr">
        <is>
          <t>West Region</t>
        </is>
      </c>
      <c r="F3658" t="inlineStr">
        <is>
          <t>Rep_08</t>
        </is>
      </c>
      <c r="G3658" t="n">
        <v>2.15</v>
      </c>
      <c r="H3658" t="inlineStr">
        <is>
          <t>Closed</t>
        </is>
      </c>
      <c r="I3658" t="inlineStr">
        <is>
          <t>Won</t>
        </is>
      </c>
      <c r="K3658" t="n">
        <v>902.66</v>
      </c>
      <c r="L3658" t="inlineStr">
        <is>
          <t>2025-03-18 06:47:20.134367</t>
        </is>
      </c>
      <c r="M3658">
        <f>VLOOKUP(H3658,'Stage Order'!$A$2:$B$8,2,FALSE)</f>
        <v/>
      </c>
      <c r="N3658">
        <f>IF(G3658&lt;=1,"1. Under 1 hour",IF(G3658&lt;=24,"2. 1-24 hours",IF(G3658&lt;=72,"3. 1-3 days","4. Over 3 days")))</f>
        <v/>
      </c>
      <c r="O3658">
        <f>TEXT(B3658,"YYYY-MM")</f>
        <v/>
      </c>
    </row>
    <row r="3659">
      <c r="A3659" t="inlineStr">
        <is>
          <t>LD-303657</t>
        </is>
      </c>
      <c r="B3659" t="inlineStr">
        <is>
          <t>2025-03-11 12:16:00</t>
        </is>
      </c>
      <c r="C3659" t="inlineStr">
        <is>
          <t>Partner Channel</t>
        </is>
      </c>
      <c r="D3659" t="inlineStr">
        <is>
          <t>K-12 Math</t>
        </is>
      </c>
      <c r="E3659" t="inlineStr">
        <is>
          <t>West Region</t>
        </is>
      </c>
      <c r="F3659" t="inlineStr">
        <is>
          <t>Rep_13</t>
        </is>
      </c>
      <c r="G3659" t="n">
        <v>10.52</v>
      </c>
      <c r="H3659" t="inlineStr">
        <is>
          <t>Contacted</t>
        </is>
      </c>
      <c r="I3659" t="inlineStr">
        <is>
          <t>Open</t>
        </is>
      </c>
      <c r="M3659">
        <f>VLOOKUP(H3659,'Stage Order'!$A$2:$B$8,2,FALSE)</f>
        <v/>
      </c>
      <c r="N3659">
        <f>IF(G3659&lt;=1,"1. Under 1 hour",IF(G3659&lt;=24,"2. 1-24 hours",IF(G3659&lt;=72,"3. 1-3 days","4. Over 3 days")))</f>
        <v/>
      </c>
      <c r="O3659">
        <f>TEXT(B3659,"YYYY-MM")</f>
        <v/>
      </c>
    </row>
    <row r="3660">
      <c r="A3660" t="inlineStr">
        <is>
          <t>LD-303658</t>
        </is>
      </c>
      <c r="B3660" t="inlineStr">
        <is>
          <t>2025-02-04 17:15:00</t>
        </is>
      </c>
      <c r="C3660" t="inlineStr">
        <is>
          <t>Referral</t>
        </is>
      </c>
      <c r="D3660" t="inlineStr">
        <is>
          <t>Competitive Exam Prep</t>
        </is>
      </c>
      <c r="E3660" t="inlineStr">
        <is>
          <t>North Region</t>
        </is>
      </c>
      <c r="F3660" t="inlineStr">
        <is>
          <t>Rep_11</t>
        </is>
      </c>
      <c r="G3660" t="n">
        <v>1.5</v>
      </c>
      <c r="H3660" t="inlineStr">
        <is>
          <t>Negotiation</t>
        </is>
      </c>
      <c r="I3660" t="inlineStr">
        <is>
          <t>Lost</t>
        </is>
      </c>
      <c r="J3660" t="inlineStr">
        <is>
          <t>Went With Competitor</t>
        </is>
      </c>
      <c r="K3660" t="n">
        <v>1077.65</v>
      </c>
      <c r="L3660" t="inlineStr">
        <is>
          <t>2025-04-06 05:06:17.266674</t>
        </is>
      </c>
      <c r="M3660">
        <f>VLOOKUP(H3660,'Stage Order'!$A$2:$B$8,2,FALSE)</f>
        <v/>
      </c>
      <c r="N3660">
        <f>IF(G3660&lt;=1,"1. Under 1 hour",IF(G3660&lt;=24,"2. 1-24 hours",IF(G3660&lt;=72,"3. 1-3 days","4. Over 3 days")))</f>
        <v/>
      </c>
      <c r="O3660">
        <f>TEXT(B3660,"YYYY-MM")</f>
        <v/>
      </c>
    </row>
    <row r="3661">
      <c r="A3661" t="inlineStr">
        <is>
          <t>LD-303659</t>
        </is>
      </c>
      <c r="B3661" t="inlineStr">
        <is>
          <t>2025-10-30 16:09:00</t>
        </is>
      </c>
      <c r="C3661" t="inlineStr">
        <is>
          <t>Social Media</t>
        </is>
      </c>
      <c r="D3661" t="inlineStr">
        <is>
          <t>Competitive Exam Prep</t>
        </is>
      </c>
      <c r="E3661" t="inlineStr">
        <is>
          <t>West Region</t>
        </is>
      </c>
      <c r="F3661" t="inlineStr">
        <is>
          <t>Rep_03</t>
        </is>
      </c>
      <c r="G3661" t="n">
        <v>0.95</v>
      </c>
      <c r="H3661" t="inlineStr">
        <is>
          <t>Contacted</t>
        </is>
      </c>
      <c r="I3661" t="inlineStr">
        <is>
          <t>Open</t>
        </is>
      </c>
      <c r="M3661">
        <f>VLOOKUP(H3661,'Stage Order'!$A$2:$B$8,2,FALSE)</f>
        <v/>
      </c>
      <c r="N3661">
        <f>IF(G3661&lt;=1,"1. Under 1 hour",IF(G3661&lt;=24,"2. 1-24 hours",IF(G3661&lt;=72,"3. 1-3 days","4. Over 3 days")))</f>
        <v/>
      </c>
      <c r="O3661">
        <f>TEXT(B3661,"YYYY-MM")</f>
        <v/>
      </c>
    </row>
    <row r="3662">
      <c r="A3662" t="inlineStr">
        <is>
          <t>LD-303660</t>
        </is>
      </c>
      <c r="B3662" t="inlineStr">
        <is>
          <t>2025-06-13 11:59:00</t>
        </is>
      </c>
      <c r="C3662" t="inlineStr">
        <is>
          <t>Referral</t>
        </is>
      </c>
      <c r="D3662" t="inlineStr">
        <is>
          <t>Competitive Exam Prep</t>
        </is>
      </c>
      <c r="E3662" t="inlineStr">
        <is>
          <t>South Region</t>
        </is>
      </c>
      <c r="F3662" t="inlineStr">
        <is>
          <t>Rep_02</t>
        </is>
      </c>
      <c r="G3662" t="n">
        <v>2.22</v>
      </c>
      <c r="H3662" t="inlineStr">
        <is>
          <t>Lead</t>
        </is>
      </c>
      <c r="I3662" t="inlineStr">
        <is>
          <t>Open</t>
        </is>
      </c>
      <c r="M3662">
        <f>VLOOKUP(H3662,'Stage Order'!$A$2:$B$8,2,FALSE)</f>
        <v/>
      </c>
      <c r="N3662">
        <f>IF(G3662&lt;=1,"1. Under 1 hour",IF(G3662&lt;=24,"2. 1-24 hours",IF(G3662&lt;=72,"3. 1-3 days","4. Over 3 days")))</f>
        <v/>
      </c>
      <c r="O3662">
        <f>TEXT(B3662,"YYYY-MM")</f>
        <v/>
      </c>
    </row>
    <row r="3663">
      <c r="A3663" t="inlineStr">
        <is>
          <t>LD-303661</t>
        </is>
      </c>
      <c r="B3663" t="inlineStr">
        <is>
          <t>2025-02-25 08:18:00</t>
        </is>
      </c>
      <c r="C3663" t="inlineStr">
        <is>
          <t>Cold Outreach</t>
        </is>
      </c>
      <c r="D3663" t="inlineStr">
        <is>
          <t>Coding for Kids</t>
        </is>
      </c>
      <c r="E3663" t="inlineStr">
        <is>
          <t>North Region</t>
        </is>
      </c>
      <c r="F3663" t="inlineStr">
        <is>
          <t>Rep_01</t>
        </is>
      </c>
      <c r="G3663" t="n">
        <v>1.35</v>
      </c>
      <c r="H3663" t="inlineStr">
        <is>
          <t>Lead</t>
        </is>
      </c>
      <c r="I3663" t="inlineStr">
        <is>
          <t>Open</t>
        </is>
      </c>
      <c r="M3663">
        <f>VLOOKUP(H3663,'Stage Order'!$A$2:$B$8,2,FALSE)</f>
        <v/>
      </c>
      <c r="N3663">
        <f>IF(G3663&lt;=1,"1. Under 1 hour",IF(G3663&lt;=24,"2. 1-24 hours",IF(G3663&lt;=72,"3. 1-3 days","4. Over 3 days")))</f>
        <v/>
      </c>
      <c r="O3663">
        <f>TEXT(B3663,"YYYY-MM")</f>
        <v/>
      </c>
    </row>
    <row r="3664">
      <c r="A3664" t="inlineStr">
        <is>
          <t>LD-303662</t>
        </is>
      </c>
      <c r="B3664" t="inlineStr">
        <is>
          <t>2025-09-02 16:31:00</t>
        </is>
      </c>
      <c r="C3664" t="inlineStr">
        <is>
          <t>Organic Search</t>
        </is>
      </c>
      <c r="D3664" t="inlineStr">
        <is>
          <t>Competitive Exam Prep</t>
        </is>
      </c>
      <c r="E3664" t="inlineStr">
        <is>
          <t>West Region</t>
        </is>
      </c>
      <c r="F3664" t="inlineStr">
        <is>
          <t>Rep_03</t>
        </is>
      </c>
      <c r="G3664" t="n">
        <v>13.42</v>
      </c>
      <c r="H3664" t="inlineStr">
        <is>
          <t>Closed</t>
        </is>
      </c>
      <c r="I3664" t="inlineStr">
        <is>
          <t>Won</t>
        </is>
      </c>
      <c r="K3664" t="n">
        <v>875.59</v>
      </c>
      <c r="L3664" t="inlineStr">
        <is>
          <t>2025-10-12 14:06:34.849615</t>
        </is>
      </c>
      <c r="M3664">
        <f>VLOOKUP(H3664,'Stage Order'!$A$2:$B$8,2,FALSE)</f>
        <v/>
      </c>
      <c r="N3664">
        <f>IF(G3664&lt;=1,"1. Under 1 hour",IF(G3664&lt;=24,"2. 1-24 hours",IF(G3664&lt;=72,"3. 1-3 days","4. Over 3 days")))</f>
        <v/>
      </c>
      <c r="O3664">
        <f>TEXT(B3664,"YYYY-MM")</f>
        <v/>
      </c>
    </row>
    <row r="3665">
      <c r="A3665" t="inlineStr">
        <is>
          <t>LD-303663</t>
        </is>
      </c>
      <c r="B3665" t="inlineStr">
        <is>
          <t>2025-05-27 19:00:00</t>
        </is>
      </c>
      <c r="C3665" t="inlineStr">
        <is>
          <t>Partner Channel</t>
        </is>
      </c>
      <c r="D3665" t="inlineStr">
        <is>
          <t>Competitive Exam Prep</t>
        </is>
      </c>
      <c r="E3665" t="inlineStr">
        <is>
          <t>South Region</t>
        </is>
      </c>
      <c r="F3665" t="inlineStr">
        <is>
          <t>Rep_02</t>
        </is>
      </c>
      <c r="G3665" t="n">
        <v>4.14</v>
      </c>
      <c r="H3665" t="inlineStr">
        <is>
          <t>Closed</t>
        </is>
      </c>
      <c r="I3665" t="inlineStr">
        <is>
          <t>Won</t>
        </is>
      </c>
      <c r="K3665" t="n">
        <v>1063.57</v>
      </c>
      <c r="L3665" t="inlineStr">
        <is>
          <t>2025-07-04 22:34:17.578451</t>
        </is>
      </c>
      <c r="M3665">
        <f>VLOOKUP(H3665,'Stage Order'!$A$2:$B$8,2,FALSE)</f>
        <v/>
      </c>
      <c r="N3665">
        <f>IF(G3665&lt;=1,"1. Under 1 hour",IF(G3665&lt;=24,"2. 1-24 hours",IF(G3665&lt;=72,"3. 1-3 days","4. Over 3 days")))</f>
        <v/>
      </c>
      <c r="O3665">
        <f>TEXT(B3665,"YYYY-MM")</f>
        <v/>
      </c>
    </row>
    <row r="3666">
      <c r="A3666" t="inlineStr">
        <is>
          <t>LD-303664</t>
        </is>
      </c>
      <c r="B3666" t="inlineStr">
        <is>
          <t>2025-04-18 08:48:00</t>
        </is>
      </c>
      <c r="C3666" t="inlineStr">
        <is>
          <t>Referral</t>
        </is>
      </c>
      <c r="D3666" t="inlineStr">
        <is>
          <t>Study Abroad Prep</t>
        </is>
      </c>
      <c r="E3666" t="inlineStr">
        <is>
          <t>North Region</t>
        </is>
      </c>
      <c r="F3666" t="inlineStr">
        <is>
          <t>Rep_06</t>
        </is>
      </c>
      <c r="G3666" t="n">
        <v>4.64</v>
      </c>
      <c r="H3666" t="inlineStr">
        <is>
          <t>Negotiation</t>
        </is>
      </c>
      <c r="I3666" t="inlineStr">
        <is>
          <t>Lost</t>
        </is>
      </c>
      <c r="J3666" t="inlineStr">
        <is>
          <t>Bad Timing</t>
        </is>
      </c>
      <c r="K3666" t="n">
        <v>1549.33</v>
      </c>
      <c r="L3666" t="inlineStr">
        <is>
          <t>2025-06-06 21:39:17.046076</t>
        </is>
      </c>
      <c r="M3666">
        <f>VLOOKUP(H3666,'Stage Order'!$A$2:$B$8,2,FALSE)</f>
        <v/>
      </c>
      <c r="N3666">
        <f>IF(G3666&lt;=1,"1. Under 1 hour",IF(G3666&lt;=24,"2. 1-24 hours",IF(G3666&lt;=72,"3. 1-3 days","4. Over 3 days")))</f>
        <v/>
      </c>
      <c r="O3666">
        <f>TEXT(B3666,"YYYY-MM")</f>
        <v/>
      </c>
    </row>
    <row r="3667">
      <c r="A3667" t="inlineStr">
        <is>
          <t>LD-303665</t>
        </is>
      </c>
      <c r="B3667" t="inlineStr">
        <is>
          <t>2025-09-15 13:10:00</t>
        </is>
      </c>
      <c r="C3667" t="inlineStr">
        <is>
          <t>Paid Search</t>
        </is>
      </c>
      <c r="D3667" t="inlineStr">
        <is>
          <t>Competitive Exam Prep</t>
        </is>
      </c>
      <c r="E3667" t="inlineStr">
        <is>
          <t>South Region</t>
        </is>
      </c>
      <c r="F3667" t="inlineStr">
        <is>
          <t>Rep_12</t>
        </is>
      </c>
      <c r="G3667" t="n">
        <v>17.26</v>
      </c>
      <c r="H3667" t="inlineStr">
        <is>
          <t>Contacted</t>
        </is>
      </c>
      <c r="I3667" t="inlineStr">
        <is>
          <t>Open</t>
        </is>
      </c>
      <c r="M3667">
        <f>VLOOKUP(H3667,'Stage Order'!$A$2:$B$8,2,FALSE)</f>
        <v/>
      </c>
      <c r="N3667">
        <f>IF(G3667&lt;=1,"1. Under 1 hour",IF(G3667&lt;=24,"2. 1-24 hours",IF(G3667&lt;=72,"3. 1-3 days","4. Over 3 days")))</f>
        <v/>
      </c>
      <c r="O3667">
        <f>TEXT(B3667,"YYYY-MM")</f>
        <v/>
      </c>
    </row>
    <row r="3668">
      <c r="A3668" t="inlineStr">
        <is>
          <t>LD-303666</t>
        </is>
      </c>
      <c r="B3668" t="inlineStr">
        <is>
          <t>2026-02-03 15:58:00</t>
        </is>
      </c>
      <c r="C3668" t="inlineStr">
        <is>
          <t>Paid Search</t>
        </is>
      </c>
      <c r="D3668" t="inlineStr">
        <is>
          <t>Competitive Exam Prep</t>
        </is>
      </c>
      <c r="E3668" t="inlineStr">
        <is>
          <t>North Region</t>
        </is>
      </c>
      <c r="F3668" t="inlineStr">
        <is>
          <t>Rep_11</t>
        </is>
      </c>
      <c r="G3668" t="n">
        <v>1.1</v>
      </c>
      <c r="H3668" t="inlineStr">
        <is>
          <t>Contacted</t>
        </is>
      </c>
      <c r="I3668" t="inlineStr">
        <is>
          <t>Open</t>
        </is>
      </c>
      <c r="M3668">
        <f>VLOOKUP(H3668,'Stage Order'!$A$2:$B$8,2,FALSE)</f>
        <v/>
      </c>
      <c r="N3668">
        <f>IF(G3668&lt;=1,"1. Under 1 hour",IF(G3668&lt;=24,"2. 1-24 hours",IF(G3668&lt;=72,"3. 1-3 days","4. Over 3 days")))</f>
        <v/>
      </c>
      <c r="O3668">
        <f>TEXT(B3668,"YYYY-MM")</f>
        <v/>
      </c>
    </row>
    <row r="3669">
      <c r="A3669" t="inlineStr">
        <is>
          <t>LD-303667</t>
        </is>
      </c>
      <c r="B3669" t="inlineStr">
        <is>
          <t>2026-04-23 07:46:00</t>
        </is>
      </c>
      <c r="C3669" t="inlineStr">
        <is>
          <t>Paid Search</t>
        </is>
      </c>
      <c r="D3669" t="inlineStr">
        <is>
          <t>Coding for Kids</t>
        </is>
      </c>
      <c r="E3669" t="inlineStr">
        <is>
          <t>North Region</t>
        </is>
      </c>
      <c r="F3669" t="inlineStr">
        <is>
          <t>Rep_01</t>
        </is>
      </c>
      <c r="G3669" t="n">
        <v>10.59</v>
      </c>
      <c r="H3669" t="inlineStr">
        <is>
          <t>Contacted</t>
        </is>
      </c>
      <c r="I3669" t="inlineStr">
        <is>
          <t>Open</t>
        </is>
      </c>
      <c r="M3669">
        <f>VLOOKUP(H3669,'Stage Order'!$A$2:$B$8,2,FALSE)</f>
        <v/>
      </c>
      <c r="N3669">
        <f>IF(G3669&lt;=1,"1. Under 1 hour",IF(G3669&lt;=24,"2. 1-24 hours",IF(G3669&lt;=72,"3. 1-3 days","4. Over 3 days")))</f>
        <v/>
      </c>
      <c r="O3669">
        <f>TEXT(B3669,"YYYY-MM")</f>
        <v/>
      </c>
    </row>
    <row r="3670">
      <c r="A3670" t="inlineStr">
        <is>
          <t>LD-303668</t>
        </is>
      </c>
      <c r="B3670" t="inlineStr">
        <is>
          <t>2025-11-19 16:24:00</t>
        </is>
      </c>
      <c r="C3670" t="inlineStr">
        <is>
          <t>Social Media</t>
        </is>
      </c>
      <c r="D3670" t="inlineStr">
        <is>
          <t>Coding for Kids</t>
        </is>
      </c>
      <c r="E3670" t="inlineStr">
        <is>
          <t>West Region</t>
        </is>
      </c>
      <c r="F3670" t="inlineStr">
        <is>
          <t>Rep_13</t>
        </is>
      </c>
      <c r="G3670" t="n">
        <v>0.87</v>
      </c>
      <c r="H3670" t="inlineStr">
        <is>
          <t>Demo Completed</t>
        </is>
      </c>
      <c r="I3670" t="inlineStr">
        <is>
          <t>Lost</t>
        </is>
      </c>
      <c r="J3670" t="inlineStr">
        <is>
          <t>Price Objection</t>
        </is>
      </c>
      <c r="K3670" t="n">
        <v>712.75</v>
      </c>
      <c r="L3670" t="inlineStr">
        <is>
          <t>2025-12-23 01:55:08.450591</t>
        </is>
      </c>
      <c r="M3670">
        <f>VLOOKUP(H3670,'Stage Order'!$A$2:$B$8,2,FALSE)</f>
        <v/>
      </c>
      <c r="N3670">
        <f>IF(G3670&lt;=1,"1. Under 1 hour",IF(G3670&lt;=24,"2. 1-24 hours",IF(G3670&lt;=72,"3. 1-3 days","4. Over 3 days")))</f>
        <v/>
      </c>
      <c r="O3670">
        <f>TEXT(B3670,"YYYY-MM")</f>
        <v/>
      </c>
    </row>
    <row r="3671">
      <c r="A3671" t="inlineStr">
        <is>
          <t>LD-303669</t>
        </is>
      </c>
      <c r="B3671" t="inlineStr">
        <is>
          <t>2026-01-12 10:19:00</t>
        </is>
      </c>
      <c r="C3671" t="inlineStr">
        <is>
          <t>Social Media</t>
        </is>
      </c>
      <c r="D3671" t="inlineStr">
        <is>
          <t>Competitive Exam Prep</t>
        </is>
      </c>
      <c r="E3671" t="inlineStr">
        <is>
          <t>West Region</t>
        </is>
      </c>
      <c r="F3671" t="inlineStr">
        <is>
          <t>Rep_08</t>
        </is>
      </c>
      <c r="G3671" t="n">
        <v>1.59</v>
      </c>
      <c r="H3671" t="inlineStr">
        <is>
          <t>Demo Completed</t>
        </is>
      </c>
      <c r="I3671" t="inlineStr">
        <is>
          <t>Lost</t>
        </is>
      </c>
      <c r="J3671" t="inlineStr">
        <is>
          <t>Price Objection</t>
        </is>
      </c>
      <c r="K3671" t="n">
        <v>937.3099999999999</v>
      </c>
      <c r="L3671" t="inlineStr">
        <is>
          <t>2026-02-15 06:29:09.239131</t>
        </is>
      </c>
      <c r="M3671">
        <f>VLOOKUP(H3671,'Stage Order'!$A$2:$B$8,2,FALSE)</f>
        <v/>
      </c>
      <c r="N3671">
        <f>IF(G3671&lt;=1,"1. Under 1 hour",IF(G3671&lt;=24,"2. 1-24 hours",IF(G3671&lt;=72,"3. 1-3 days","4. Over 3 days")))</f>
        <v/>
      </c>
      <c r="O3671">
        <f>TEXT(B3671,"YYYY-MM")</f>
        <v/>
      </c>
    </row>
    <row r="3672">
      <c r="A3672" t="inlineStr">
        <is>
          <t>LD-303670</t>
        </is>
      </c>
      <c r="B3672" t="inlineStr">
        <is>
          <t>2025-03-09 10:00:00</t>
        </is>
      </c>
      <c r="C3672" t="inlineStr">
        <is>
          <t>Social Media</t>
        </is>
      </c>
      <c r="D3672" t="inlineStr">
        <is>
          <t>K-12 Math</t>
        </is>
      </c>
      <c r="E3672" t="inlineStr">
        <is>
          <t>International</t>
        </is>
      </c>
      <c r="F3672" t="inlineStr">
        <is>
          <t>Rep_15</t>
        </is>
      </c>
      <c r="G3672" t="n">
        <v>6.66</v>
      </c>
      <c r="H3672" t="inlineStr">
        <is>
          <t>Proposal Sent</t>
        </is>
      </c>
      <c r="I3672" t="inlineStr">
        <is>
          <t>Lost</t>
        </is>
      </c>
      <c r="J3672" t="inlineStr">
        <is>
          <t>Bad Timing</t>
        </is>
      </c>
      <c r="K3672" t="n">
        <v>493.13</v>
      </c>
      <c r="L3672" t="inlineStr">
        <is>
          <t>2025-04-06 22:08:39.368310</t>
        </is>
      </c>
      <c r="M3672">
        <f>VLOOKUP(H3672,'Stage Order'!$A$2:$B$8,2,FALSE)</f>
        <v/>
      </c>
      <c r="N3672">
        <f>IF(G3672&lt;=1,"1. Under 1 hour",IF(G3672&lt;=24,"2. 1-24 hours",IF(G3672&lt;=72,"3. 1-3 days","4. Over 3 days")))</f>
        <v/>
      </c>
      <c r="O3672">
        <f>TEXT(B3672,"YYYY-MM")</f>
        <v/>
      </c>
    </row>
    <row r="3673">
      <c r="A3673" t="inlineStr">
        <is>
          <t>LD-303671</t>
        </is>
      </c>
      <c r="B3673" t="inlineStr">
        <is>
          <t>2025-07-18 19:58:00</t>
        </is>
      </c>
      <c r="C3673" t="inlineStr">
        <is>
          <t>Paid Search</t>
        </is>
      </c>
      <c r="D3673" t="inlineStr">
        <is>
          <t>K-12 Math</t>
        </is>
      </c>
      <c r="E3673" t="inlineStr">
        <is>
          <t>South Region</t>
        </is>
      </c>
      <c r="F3673" t="inlineStr">
        <is>
          <t>Rep_12</t>
        </is>
      </c>
      <c r="G3673" t="n">
        <v>6.1</v>
      </c>
      <c r="H3673" t="inlineStr">
        <is>
          <t>Contacted</t>
        </is>
      </c>
      <c r="I3673" t="inlineStr">
        <is>
          <t>Open</t>
        </is>
      </c>
      <c r="M3673">
        <f>VLOOKUP(H3673,'Stage Order'!$A$2:$B$8,2,FALSE)</f>
        <v/>
      </c>
      <c r="N3673">
        <f>IF(G3673&lt;=1,"1. Under 1 hour",IF(G3673&lt;=24,"2. 1-24 hours",IF(G3673&lt;=72,"3. 1-3 days","4. Over 3 days")))</f>
        <v/>
      </c>
      <c r="O3673">
        <f>TEXT(B3673,"YYYY-MM")</f>
        <v/>
      </c>
    </row>
    <row r="3674">
      <c r="A3674" t="inlineStr">
        <is>
          <t>LD-303672</t>
        </is>
      </c>
      <c r="B3674" t="inlineStr">
        <is>
          <t>2025-05-05 18:35:00</t>
        </is>
      </c>
      <c r="C3674" t="inlineStr">
        <is>
          <t>Webinar</t>
        </is>
      </c>
      <c r="D3674" t="inlineStr">
        <is>
          <t>Competitive Exam Prep</t>
        </is>
      </c>
      <c r="E3674" t="inlineStr">
        <is>
          <t>West Region</t>
        </is>
      </c>
      <c r="F3674" t="inlineStr">
        <is>
          <t>Rep_08</t>
        </is>
      </c>
      <c r="G3674" t="n">
        <v>1.87</v>
      </c>
      <c r="H3674" t="inlineStr">
        <is>
          <t>Contacted</t>
        </is>
      </c>
      <c r="I3674" t="inlineStr">
        <is>
          <t>Open</t>
        </is>
      </c>
      <c r="M3674">
        <f>VLOOKUP(H3674,'Stage Order'!$A$2:$B$8,2,FALSE)</f>
        <v/>
      </c>
      <c r="N3674">
        <f>IF(G3674&lt;=1,"1. Under 1 hour",IF(G3674&lt;=24,"2. 1-24 hours",IF(G3674&lt;=72,"3. 1-3 days","4. Over 3 days")))</f>
        <v/>
      </c>
      <c r="O3674">
        <f>TEXT(B3674,"YYYY-MM")</f>
        <v/>
      </c>
    </row>
    <row r="3675">
      <c r="A3675" t="inlineStr">
        <is>
          <t>LD-303673</t>
        </is>
      </c>
      <c r="B3675" t="inlineStr">
        <is>
          <t>2026-05-08 16:27:00</t>
        </is>
      </c>
      <c r="C3675" t="inlineStr">
        <is>
          <t>Organic Search</t>
        </is>
      </c>
      <c r="D3675" t="inlineStr">
        <is>
          <t>Study Abroad Prep</t>
        </is>
      </c>
      <c r="E3675" t="inlineStr">
        <is>
          <t>South Region</t>
        </is>
      </c>
      <c r="F3675" t="inlineStr">
        <is>
          <t>Rep_02</t>
        </is>
      </c>
      <c r="G3675" t="n">
        <v>0.85</v>
      </c>
      <c r="H3675" t="inlineStr">
        <is>
          <t>Closed</t>
        </is>
      </c>
      <c r="I3675" t="inlineStr">
        <is>
          <t>Won</t>
        </is>
      </c>
      <c r="K3675" t="n">
        <v>1220.16</v>
      </c>
      <c r="L3675" t="inlineStr">
        <is>
          <t>2026-06-13 20:21:35.982794</t>
        </is>
      </c>
      <c r="M3675">
        <f>VLOOKUP(H3675,'Stage Order'!$A$2:$B$8,2,FALSE)</f>
        <v/>
      </c>
      <c r="N3675">
        <f>IF(G3675&lt;=1,"1. Under 1 hour",IF(G3675&lt;=24,"2. 1-24 hours",IF(G3675&lt;=72,"3. 1-3 days","4. Over 3 days")))</f>
        <v/>
      </c>
      <c r="O3675">
        <f>TEXT(B3675,"YYYY-MM")</f>
        <v/>
      </c>
    </row>
    <row r="3676">
      <c r="A3676" t="inlineStr">
        <is>
          <t>LD-303674</t>
        </is>
      </c>
      <c r="B3676" t="inlineStr">
        <is>
          <t>2025-03-26 07:15:00</t>
        </is>
      </c>
      <c r="C3676" t="inlineStr">
        <is>
          <t>Webinar</t>
        </is>
      </c>
      <c r="D3676" t="inlineStr">
        <is>
          <t>Study Abroad Prep</t>
        </is>
      </c>
      <c r="E3676" t="inlineStr">
        <is>
          <t>International</t>
        </is>
      </c>
      <c r="F3676" t="inlineStr">
        <is>
          <t>Rep_10</t>
        </is>
      </c>
      <c r="G3676" t="n">
        <v>2.23</v>
      </c>
      <c r="H3676" t="inlineStr">
        <is>
          <t>Negotiation</t>
        </is>
      </c>
      <c r="I3676" t="inlineStr">
        <is>
          <t>Lost</t>
        </is>
      </c>
      <c r="J3676" t="inlineStr">
        <is>
          <t>Price Objection</t>
        </is>
      </c>
      <c r="K3676" t="n">
        <v>1693.52</v>
      </c>
      <c r="L3676" t="inlineStr">
        <is>
          <t>2025-04-27 22:13:30.541678</t>
        </is>
      </c>
      <c r="M3676">
        <f>VLOOKUP(H3676,'Stage Order'!$A$2:$B$8,2,FALSE)</f>
        <v/>
      </c>
      <c r="N3676">
        <f>IF(G3676&lt;=1,"1. Under 1 hour",IF(G3676&lt;=24,"2. 1-24 hours",IF(G3676&lt;=72,"3. 1-3 days","4. Over 3 days")))</f>
        <v/>
      </c>
      <c r="O3676">
        <f>TEXT(B3676,"YYYY-MM")</f>
        <v/>
      </c>
    </row>
    <row r="3677">
      <c r="A3677" t="inlineStr">
        <is>
          <t>LD-303675</t>
        </is>
      </c>
      <c r="B3677" t="inlineStr">
        <is>
          <t>2025-11-26 17:46:00</t>
        </is>
      </c>
      <c r="C3677" t="inlineStr">
        <is>
          <t>Paid Search</t>
        </is>
      </c>
      <c r="D3677" t="inlineStr">
        <is>
          <t>K-12 Math</t>
        </is>
      </c>
      <c r="E3677" t="inlineStr">
        <is>
          <t>International</t>
        </is>
      </c>
      <c r="F3677" t="inlineStr">
        <is>
          <t>Rep_15</t>
        </is>
      </c>
      <c r="G3677" t="n">
        <v>4.4</v>
      </c>
      <c r="H3677" t="inlineStr">
        <is>
          <t>Contacted</t>
        </is>
      </c>
      <c r="I3677" t="inlineStr">
        <is>
          <t>Open</t>
        </is>
      </c>
      <c r="M3677">
        <f>VLOOKUP(H3677,'Stage Order'!$A$2:$B$8,2,FALSE)</f>
        <v/>
      </c>
      <c r="N3677">
        <f>IF(G3677&lt;=1,"1. Under 1 hour",IF(G3677&lt;=24,"2. 1-24 hours",IF(G3677&lt;=72,"3. 1-3 days","4. Over 3 days")))</f>
        <v/>
      </c>
      <c r="O3677">
        <f>TEXT(B3677,"YYYY-MM")</f>
        <v/>
      </c>
    </row>
    <row r="3678">
      <c r="A3678" t="inlineStr">
        <is>
          <t>LD-303676</t>
        </is>
      </c>
      <c r="B3678" t="inlineStr">
        <is>
          <t>2025-02-20 08:20:00</t>
        </is>
      </c>
      <c r="C3678" t="inlineStr">
        <is>
          <t>Organic Search</t>
        </is>
      </c>
      <c r="D3678" t="inlineStr">
        <is>
          <t>Competitive Exam Prep</t>
        </is>
      </c>
      <c r="E3678" t="inlineStr">
        <is>
          <t>South Region</t>
        </is>
      </c>
      <c r="F3678" t="inlineStr">
        <is>
          <t>Rep_02</t>
        </is>
      </c>
      <c r="G3678" t="n">
        <v>3.71</v>
      </c>
      <c r="H3678" t="inlineStr">
        <is>
          <t>Negotiation</t>
        </is>
      </c>
      <c r="I3678" t="inlineStr">
        <is>
          <t>Lost</t>
        </is>
      </c>
      <c r="J3678" t="inlineStr">
        <is>
          <t>Bad Timing</t>
        </is>
      </c>
      <c r="K3678" t="n">
        <v>1019.28</v>
      </c>
      <c r="L3678" t="inlineStr">
        <is>
          <t>2025-03-24 14:36:20.003623</t>
        </is>
      </c>
      <c r="M3678">
        <f>VLOOKUP(H3678,'Stage Order'!$A$2:$B$8,2,FALSE)</f>
        <v/>
      </c>
      <c r="N3678">
        <f>IF(G3678&lt;=1,"1. Under 1 hour",IF(G3678&lt;=24,"2. 1-24 hours",IF(G3678&lt;=72,"3. 1-3 days","4. Over 3 days")))</f>
        <v/>
      </c>
      <c r="O3678">
        <f>TEXT(B3678,"YYYY-MM")</f>
        <v/>
      </c>
    </row>
    <row r="3679">
      <c r="A3679" t="inlineStr">
        <is>
          <t>LD-303677</t>
        </is>
      </c>
      <c r="B3679" t="inlineStr">
        <is>
          <t>2025-05-02 15:54:00</t>
        </is>
      </c>
      <c r="C3679" t="inlineStr">
        <is>
          <t>Organic Search</t>
        </is>
      </c>
      <c r="D3679" t="inlineStr">
        <is>
          <t>K-12 Math</t>
        </is>
      </c>
      <c r="E3679" t="inlineStr">
        <is>
          <t>North Region</t>
        </is>
      </c>
      <c r="F3679" t="inlineStr">
        <is>
          <t>Rep_06</t>
        </is>
      </c>
      <c r="G3679" t="n">
        <v>1.56</v>
      </c>
      <c r="H3679" t="inlineStr">
        <is>
          <t>Contacted</t>
        </is>
      </c>
      <c r="I3679" t="inlineStr">
        <is>
          <t>Open</t>
        </is>
      </c>
      <c r="M3679">
        <f>VLOOKUP(H3679,'Stage Order'!$A$2:$B$8,2,FALSE)</f>
        <v/>
      </c>
      <c r="N3679">
        <f>IF(G3679&lt;=1,"1. Under 1 hour",IF(G3679&lt;=24,"2. 1-24 hours",IF(G3679&lt;=72,"3. 1-3 days","4. Over 3 days")))</f>
        <v/>
      </c>
      <c r="O3679">
        <f>TEXT(B3679,"YYYY-MM")</f>
        <v/>
      </c>
    </row>
    <row r="3680">
      <c r="A3680" t="inlineStr">
        <is>
          <t>LD-303678</t>
        </is>
      </c>
      <c r="B3680" t="inlineStr">
        <is>
          <t>2025-04-11 17:45:00</t>
        </is>
      </c>
      <c r="C3680" t="inlineStr">
        <is>
          <t>Social Media</t>
        </is>
      </c>
      <c r="D3680" t="inlineStr">
        <is>
          <t>K-12 Math</t>
        </is>
      </c>
      <c r="E3680" t="inlineStr">
        <is>
          <t>West Region</t>
        </is>
      </c>
      <c r="F3680" t="inlineStr">
        <is>
          <t>Rep_13</t>
        </is>
      </c>
      <c r="G3680" t="n">
        <v>6.02</v>
      </c>
      <c r="H3680" t="inlineStr">
        <is>
          <t>Contacted</t>
        </is>
      </c>
      <c r="I3680" t="inlineStr">
        <is>
          <t>Open</t>
        </is>
      </c>
      <c r="M3680">
        <f>VLOOKUP(H3680,'Stage Order'!$A$2:$B$8,2,FALSE)</f>
        <v/>
      </c>
      <c r="N3680">
        <f>IF(G3680&lt;=1,"1. Under 1 hour",IF(G3680&lt;=24,"2. 1-24 hours",IF(G3680&lt;=72,"3. 1-3 days","4. Over 3 days")))</f>
        <v/>
      </c>
      <c r="O3680">
        <f>TEXT(B3680,"YYYY-MM")</f>
        <v/>
      </c>
    </row>
    <row r="3681">
      <c r="A3681" t="inlineStr">
        <is>
          <t>LD-303679</t>
        </is>
      </c>
      <c r="B3681" t="inlineStr">
        <is>
          <t>2025-10-05 07:51:00</t>
        </is>
      </c>
      <c r="C3681" t="inlineStr">
        <is>
          <t>Social Media</t>
        </is>
      </c>
      <c r="D3681" t="inlineStr">
        <is>
          <t>K-12 Math</t>
        </is>
      </c>
      <c r="E3681" t="inlineStr">
        <is>
          <t>North Region</t>
        </is>
      </c>
      <c r="F3681" t="inlineStr">
        <is>
          <t>Rep_11</t>
        </is>
      </c>
      <c r="G3681" t="n">
        <v>3.38</v>
      </c>
      <c r="H3681" t="inlineStr">
        <is>
          <t>Lead</t>
        </is>
      </c>
      <c r="I3681" t="inlineStr">
        <is>
          <t>Open</t>
        </is>
      </c>
      <c r="M3681">
        <f>VLOOKUP(H3681,'Stage Order'!$A$2:$B$8,2,FALSE)</f>
        <v/>
      </c>
      <c r="N3681">
        <f>IF(G3681&lt;=1,"1. Under 1 hour",IF(G3681&lt;=24,"2. 1-24 hours",IF(G3681&lt;=72,"3. 1-3 days","4. Over 3 days")))</f>
        <v/>
      </c>
      <c r="O3681">
        <f>TEXT(B3681,"YYYY-MM")</f>
        <v/>
      </c>
    </row>
    <row r="3682">
      <c r="A3682" t="inlineStr">
        <is>
          <t>LD-303680</t>
        </is>
      </c>
      <c r="B3682" t="inlineStr">
        <is>
          <t>2025-03-07 14:35:00</t>
        </is>
      </c>
      <c r="C3682" t="inlineStr">
        <is>
          <t>Partner Channel</t>
        </is>
      </c>
      <c r="D3682" t="inlineStr">
        <is>
          <t>K-12 Math</t>
        </is>
      </c>
      <c r="E3682" t="inlineStr">
        <is>
          <t>West Region</t>
        </is>
      </c>
      <c r="F3682" t="inlineStr">
        <is>
          <t>Rep_08</t>
        </is>
      </c>
      <c r="G3682" t="n">
        <v>0.39</v>
      </c>
      <c r="H3682" t="inlineStr">
        <is>
          <t>Closed</t>
        </is>
      </c>
      <c r="I3682" t="inlineStr">
        <is>
          <t>Won</t>
        </is>
      </c>
      <c r="K3682" t="n">
        <v>592.54</v>
      </c>
      <c r="L3682" t="inlineStr">
        <is>
          <t>2025-03-30 08:24:52.849288</t>
        </is>
      </c>
      <c r="M3682">
        <f>VLOOKUP(H3682,'Stage Order'!$A$2:$B$8,2,FALSE)</f>
        <v/>
      </c>
      <c r="N3682">
        <f>IF(G3682&lt;=1,"1. Under 1 hour",IF(G3682&lt;=24,"2. 1-24 hours",IF(G3682&lt;=72,"3. 1-3 days","4. Over 3 days")))</f>
        <v/>
      </c>
      <c r="O3682">
        <f>TEXT(B3682,"YYYY-MM")</f>
        <v/>
      </c>
    </row>
    <row r="3683">
      <c r="A3683" t="inlineStr">
        <is>
          <t>LD-303681</t>
        </is>
      </c>
      <c r="B3683" t="inlineStr">
        <is>
          <t>2025-08-01 14:57:00</t>
        </is>
      </c>
      <c r="C3683" t="inlineStr">
        <is>
          <t>Organic Search</t>
        </is>
      </c>
      <c r="D3683" t="inlineStr">
        <is>
          <t>Competitive Exam Prep</t>
        </is>
      </c>
      <c r="E3683" t="inlineStr">
        <is>
          <t>South Region</t>
        </is>
      </c>
      <c r="F3683" t="inlineStr">
        <is>
          <t>Rep_07</t>
        </is>
      </c>
      <c r="G3683" t="n">
        <v>7.29</v>
      </c>
      <c r="H3683" t="inlineStr">
        <is>
          <t>Contacted</t>
        </is>
      </c>
      <c r="I3683" t="inlineStr">
        <is>
          <t>Open</t>
        </is>
      </c>
      <c r="M3683">
        <f>VLOOKUP(H3683,'Stage Order'!$A$2:$B$8,2,FALSE)</f>
        <v/>
      </c>
      <c r="N3683">
        <f>IF(G3683&lt;=1,"1. Under 1 hour",IF(G3683&lt;=24,"2. 1-24 hours",IF(G3683&lt;=72,"3. 1-3 days","4. Over 3 days")))</f>
        <v/>
      </c>
      <c r="O3683">
        <f>TEXT(B3683,"YYYY-MM")</f>
        <v/>
      </c>
    </row>
    <row r="3684">
      <c r="A3684" t="inlineStr">
        <is>
          <t>LD-303682</t>
        </is>
      </c>
      <c r="B3684" t="inlineStr">
        <is>
          <t>2025-11-20 18:11:00</t>
        </is>
      </c>
      <c r="C3684" t="inlineStr">
        <is>
          <t>Paid Search</t>
        </is>
      </c>
      <c r="D3684" t="inlineStr">
        <is>
          <t>K-12 Math</t>
        </is>
      </c>
      <c r="E3684" t="inlineStr">
        <is>
          <t>North Region</t>
        </is>
      </c>
      <c r="F3684" t="inlineStr">
        <is>
          <t>Rep_01</t>
        </is>
      </c>
      <c r="G3684" t="n">
        <v>3.82</v>
      </c>
      <c r="H3684" t="inlineStr">
        <is>
          <t>Contacted</t>
        </is>
      </c>
      <c r="I3684" t="inlineStr">
        <is>
          <t>Open</t>
        </is>
      </c>
      <c r="M3684">
        <f>VLOOKUP(H3684,'Stage Order'!$A$2:$B$8,2,FALSE)</f>
        <v/>
      </c>
      <c r="N3684">
        <f>IF(G3684&lt;=1,"1. Under 1 hour",IF(G3684&lt;=24,"2. 1-24 hours",IF(G3684&lt;=72,"3. 1-3 days","4. Over 3 days")))</f>
        <v/>
      </c>
      <c r="O3684">
        <f>TEXT(B3684,"YYYY-MM")</f>
        <v/>
      </c>
    </row>
    <row r="3685">
      <c r="A3685" t="inlineStr">
        <is>
          <t>LD-303683</t>
        </is>
      </c>
      <c r="B3685" t="inlineStr">
        <is>
          <t>2025-04-30 07:40:00</t>
        </is>
      </c>
      <c r="C3685" t="inlineStr">
        <is>
          <t>Webinar</t>
        </is>
      </c>
      <c r="D3685" t="inlineStr">
        <is>
          <t>Coding for Kids</t>
        </is>
      </c>
      <c r="E3685" t="inlineStr">
        <is>
          <t>South Region</t>
        </is>
      </c>
      <c r="F3685" t="inlineStr">
        <is>
          <t>Rep_07</t>
        </is>
      </c>
      <c r="G3685" t="n">
        <v>2.33</v>
      </c>
      <c r="H3685" t="inlineStr">
        <is>
          <t>Closed</t>
        </is>
      </c>
      <c r="I3685" t="inlineStr">
        <is>
          <t>Won</t>
        </is>
      </c>
      <c r="K3685" t="n">
        <v>606.8200000000001</v>
      </c>
      <c r="L3685" t="inlineStr">
        <is>
          <t>2025-06-10 13:03:48.051004</t>
        </is>
      </c>
      <c r="M3685">
        <f>VLOOKUP(H3685,'Stage Order'!$A$2:$B$8,2,FALSE)</f>
        <v/>
      </c>
      <c r="N3685">
        <f>IF(G3685&lt;=1,"1. Under 1 hour",IF(G3685&lt;=24,"2. 1-24 hours",IF(G3685&lt;=72,"3. 1-3 days","4. Over 3 days")))</f>
        <v/>
      </c>
      <c r="O3685">
        <f>TEXT(B3685,"YYYY-MM")</f>
        <v/>
      </c>
    </row>
    <row r="3686">
      <c r="A3686" t="inlineStr">
        <is>
          <t>LD-303684</t>
        </is>
      </c>
      <c r="B3686" t="inlineStr">
        <is>
          <t>2025-11-20 07:37:00</t>
        </is>
      </c>
      <c r="C3686" t="inlineStr">
        <is>
          <t>Paid Search</t>
        </is>
      </c>
      <c r="D3686" t="inlineStr">
        <is>
          <t>Language Learning</t>
        </is>
      </c>
      <c r="E3686" t="inlineStr">
        <is>
          <t>International</t>
        </is>
      </c>
      <c r="F3686" t="inlineStr">
        <is>
          <t>Rep_05</t>
        </is>
      </c>
      <c r="G3686" t="n">
        <v>7.2</v>
      </c>
      <c r="H3686" t="inlineStr">
        <is>
          <t>Lead</t>
        </is>
      </c>
      <c r="I3686" t="inlineStr">
        <is>
          <t>Open</t>
        </is>
      </c>
      <c r="M3686">
        <f>VLOOKUP(H3686,'Stage Order'!$A$2:$B$8,2,FALSE)</f>
        <v/>
      </c>
      <c r="N3686">
        <f>IF(G3686&lt;=1,"1. Under 1 hour",IF(G3686&lt;=24,"2. 1-24 hours",IF(G3686&lt;=72,"3. 1-3 days","4. Over 3 days")))</f>
        <v/>
      </c>
      <c r="O3686">
        <f>TEXT(B3686,"YYYY-MM")</f>
        <v/>
      </c>
    </row>
    <row r="3687">
      <c r="A3687" t="inlineStr">
        <is>
          <t>LD-303685</t>
        </is>
      </c>
      <c r="B3687" t="inlineStr">
        <is>
          <t>2025-03-21 11:34:00</t>
        </is>
      </c>
      <c r="C3687" t="inlineStr">
        <is>
          <t>Organic Search</t>
        </is>
      </c>
      <c r="D3687" t="inlineStr">
        <is>
          <t>Competitive Exam Prep</t>
        </is>
      </c>
      <c r="E3687" t="inlineStr">
        <is>
          <t>North Region</t>
        </is>
      </c>
      <c r="F3687" t="inlineStr">
        <is>
          <t>Rep_11</t>
        </is>
      </c>
      <c r="G3687" t="n">
        <v>2.35</v>
      </c>
      <c r="H3687" t="inlineStr">
        <is>
          <t>Contacted</t>
        </is>
      </c>
      <c r="I3687" t="inlineStr">
        <is>
          <t>Open</t>
        </is>
      </c>
      <c r="M3687">
        <f>VLOOKUP(H3687,'Stage Order'!$A$2:$B$8,2,FALSE)</f>
        <v/>
      </c>
      <c r="N3687">
        <f>IF(G3687&lt;=1,"1. Under 1 hour",IF(G3687&lt;=24,"2. 1-24 hours",IF(G3687&lt;=72,"3. 1-3 days","4. Over 3 days")))</f>
        <v/>
      </c>
      <c r="O3687">
        <f>TEXT(B3687,"YYYY-MM")</f>
        <v/>
      </c>
    </row>
    <row r="3688">
      <c r="A3688" t="inlineStr">
        <is>
          <t>LD-303686</t>
        </is>
      </c>
      <c r="B3688" t="inlineStr">
        <is>
          <t>2025-04-04 14:03:00</t>
        </is>
      </c>
      <c r="C3688" t="inlineStr">
        <is>
          <t>Referral</t>
        </is>
      </c>
      <c r="D3688" t="inlineStr">
        <is>
          <t>Competitive Exam Prep</t>
        </is>
      </c>
      <c r="E3688" t="inlineStr">
        <is>
          <t>East Region</t>
        </is>
      </c>
      <c r="F3688" t="inlineStr">
        <is>
          <t>Rep_04</t>
        </is>
      </c>
      <c r="G3688" t="n">
        <v>1.16</v>
      </c>
      <c r="H3688" t="inlineStr">
        <is>
          <t>Contacted</t>
        </is>
      </c>
      <c r="I3688" t="inlineStr">
        <is>
          <t>Open</t>
        </is>
      </c>
      <c r="M3688">
        <f>VLOOKUP(H3688,'Stage Order'!$A$2:$B$8,2,FALSE)</f>
        <v/>
      </c>
      <c r="N3688">
        <f>IF(G3688&lt;=1,"1. Under 1 hour",IF(G3688&lt;=24,"2. 1-24 hours",IF(G3688&lt;=72,"3. 1-3 days","4. Over 3 days")))</f>
        <v/>
      </c>
      <c r="O3688">
        <f>TEXT(B3688,"YYYY-MM")</f>
        <v/>
      </c>
    </row>
    <row r="3689">
      <c r="A3689" t="inlineStr">
        <is>
          <t>LD-303687</t>
        </is>
      </c>
      <c r="B3689" t="inlineStr">
        <is>
          <t>2025-02-05 08:13:00</t>
        </is>
      </c>
      <c r="C3689" t="inlineStr">
        <is>
          <t>Organic Search</t>
        </is>
      </c>
      <c r="D3689" t="inlineStr">
        <is>
          <t>K-12 Math</t>
        </is>
      </c>
      <c r="E3689" t="inlineStr">
        <is>
          <t>North Region</t>
        </is>
      </c>
      <c r="F3689" t="inlineStr">
        <is>
          <t>Rep_06</t>
        </is>
      </c>
      <c r="G3689" t="n">
        <v>2.78</v>
      </c>
      <c r="H3689" t="inlineStr">
        <is>
          <t>Lead</t>
        </is>
      </c>
      <c r="I3689" t="inlineStr">
        <is>
          <t>Open</t>
        </is>
      </c>
      <c r="M3689">
        <f>VLOOKUP(H3689,'Stage Order'!$A$2:$B$8,2,FALSE)</f>
        <v/>
      </c>
      <c r="N3689">
        <f>IF(G3689&lt;=1,"1. Under 1 hour",IF(G3689&lt;=24,"2. 1-24 hours",IF(G3689&lt;=72,"3. 1-3 days","4. Over 3 days")))</f>
        <v/>
      </c>
      <c r="O3689">
        <f>TEXT(B3689,"YYYY-MM")</f>
        <v/>
      </c>
    </row>
    <row r="3690">
      <c r="A3690" t="inlineStr">
        <is>
          <t>LD-303688</t>
        </is>
      </c>
      <c r="B3690" t="inlineStr">
        <is>
          <t>2026-05-04 12:48:00</t>
        </is>
      </c>
      <c r="C3690" t="inlineStr">
        <is>
          <t>Referral</t>
        </is>
      </c>
      <c r="D3690" t="inlineStr">
        <is>
          <t>K-12 Math</t>
        </is>
      </c>
      <c r="E3690" t="inlineStr">
        <is>
          <t>East Region</t>
        </is>
      </c>
      <c r="F3690" t="inlineStr">
        <is>
          <t>Rep_14</t>
        </is>
      </c>
      <c r="G3690" t="n">
        <v>2.56</v>
      </c>
      <c r="H3690" t="inlineStr">
        <is>
          <t>Proposal Sent</t>
        </is>
      </c>
      <c r="I3690" t="inlineStr">
        <is>
          <t>Lost</t>
        </is>
      </c>
      <c r="J3690" t="inlineStr">
        <is>
          <t>Bad Timing</t>
        </is>
      </c>
      <c r="K3690" t="n">
        <v>543.33</v>
      </c>
      <c r="L3690" t="inlineStr">
        <is>
          <t>2026-06-10 03:09:45.673166</t>
        </is>
      </c>
      <c r="M3690">
        <f>VLOOKUP(H3690,'Stage Order'!$A$2:$B$8,2,FALSE)</f>
        <v/>
      </c>
      <c r="N3690">
        <f>IF(G3690&lt;=1,"1. Under 1 hour",IF(G3690&lt;=24,"2. 1-24 hours",IF(G3690&lt;=72,"3. 1-3 days","4. Over 3 days")))</f>
        <v/>
      </c>
      <c r="O3690">
        <f>TEXT(B3690,"YYYY-MM")</f>
        <v/>
      </c>
    </row>
    <row r="3691">
      <c r="A3691" t="inlineStr">
        <is>
          <t>LD-303689</t>
        </is>
      </c>
      <c r="B3691" t="inlineStr">
        <is>
          <t>2025-12-27 09:54:00</t>
        </is>
      </c>
      <c r="C3691" t="inlineStr">
        <is>
          <t>Webinar</t>
        </is>
      </c>
      <c r="D3691" t="inlineStr">
        <is>
          <t>Competitive Exam Prep</t>
        </is>
      </c>
      <c r="E3691" t="inlineStr">
        <is>
          <t>South Region</t>
        </is>
      </c>
      <c r="F3691" t="inlineStr">
        <is>
          <t>Rep_12</t>
        </is>
      </c>
      <c r="G3691" t="n">
        <v>1.44</v>
      </c>
      <c r="H3691" t="inlineStr">
        <is>
          <t>Contacted</t>
        </is>
      </c>
      <c r="I3691" t="inlineStr">
        <is>
          <t>Open</t>
        </is>
      </c>
      <c r="M3691">
        <f>VLOOKUP(H3691,'Stage Order'!$A$2:$B$8,2,FALSE)</f>
        <v/>
      </c>
      <c r="N3691">
        <f>IF(G3691&lt;=1,"1. Under 1 hour",IF(G3691&lt;=24,"2. 1-24 hours",IF(G3691&lt;=72,"3. 1-3 days","4. Over 3 days")))</f>
        <v/>
      </c>
      <c r="O3691">
        <f>TEXT(B3691,"YYYY-MM")</f>
        <v/>
      </c>
    </row>
    <row r="3692">
      <c r="A3692" t="inlineStr">
        <is>
          <t>LD-303690</t>
        </is>
      </c>
      <c r="B3692" t="inlineStr">
        <is>
          <t>2026-03-01 18:03:00</t>
        </is>
      </c>
      <c r="C3692" t="inlineStr">
        <is>
          <t>Paid Search</t>
        </is>
      </c>
      <c r="D3692" t="inlineStr">
        <is>
          <t>Competitive Exam Prep</t>
        </is>
      </c>
      <c r="E3692" t="inlineStr">
        <is>
          <t>South Region</t>
        </is>
      </c>
      <c r="F3692" t="inlineStr">
        <is>
          <t>Rep_12</t>
        </is>
      </c>
      <c r="G3692" t="n">
        <v>13.22</v>
      </c>
      <c r="H3692" t="inlineStr">
        <is>
          <t>Contacted</t>
        </is>
      </c>
      <c r="I3692" t="inlineStr">
        <is>
          <t>Open</t>
        </is>
      </c>
      <c r="M3692">
        <f>VLOOKUP(H3692,'Stage Order'!$A$2:$B$8,2,FALSE)</f>
        <v/>
      </c>
      <c r="N3692">
        <f>IF(G3692&lt;=1,"1. Under 1 hour",IF(G3692&lt;=24,"2. 1-24 hours",IF(G3692&lt;=72,"3. 1-3 days","4. Over 3 days")))</f>
        <v/>
      </c>
      <c r="O3692">
        <f>TEXT(B3692,"YYYY-MM")</f>
        <v/>
      </c>
    </row>
    <row r="3693">
      <c r="A3693" t="inlineStr">
        <is>
          <t>LD-303691</t>
        </is>
      </c>
      <c r="B3693" t="inlineStr">
        <is>
          <t>2025-04-09 07:23:00</t>
        </is>
      </c>
      <c r="C3693" t="inlineStr">
        <is>
          <t>Organic Search</t>
        </is>
      </c>
      <c r="D3693" t="inlineStr">
        <is>
          <t>Competitive Exam Prep</t>
        </is>
      </c>
      <c r="E3693" t="inlineStr">
        <is>
          <t>South Region</t>
        </is>
      </c>
      <c r="F3693" t="inlineStr">
        <is>
          <t>Rep_07</t>
        </is>
      </c>
      <c r="G3693" t="n">
        <v>5.32</v>
      </c>
      <c r="H3693" t="inlineStr">
        <is>
          <t>Contacted</t>
        </is>
      </c>
      <c r="I3693" t="inlineStr">
        <is>
          <t>Open</t>
        </is>
      </c>
      <c r="M3693">
        <f>VLOOKUP(H3693,'Stage Order'!$A$2:$B$8,2,FALSE)</f>
        <v/>
      </c>
      <c r="N3693">
        <f>IF(G3693&lt;=1,"1. Under 1 hour",IF(G3693&lt;=24,"2. 1-24 hours",IF(G3693&lt;=72,"3. 1-3 days","4. Over 3 days")))</f>
        <v/>
      </c>
      <c r="O3693">
        <f>TEXT(B3693,"YYYY-MM")</f>
        <v/>
      </c>
    </row>
    <row r="3694">
      <c r="A3694" t="inlineStr">
        <is>
          <t>LD-303692</t>
        </is>
      </c>
      <c r="B3694" t="inlineStr">
        <is>
          <t>2025-12-19 09:36:00</t>
        </is>
      </c>
      <c r="C3694" t="inlineStr">
        <is>
          <t>Social Media</t>
        </is>
      </c>
      <c r="D3694" t="inlineStr">
        <is>
          <t>Coding for Kids</t>
        </is>
      </c>
      <c r="E3694" t="inlineStr">
        <is>
          <t>South Region</t>
        </is>
      </c>
      <c r="F3694" t="inlineStr">
        <is>
          <t>Rep_02</t>
        </is>
      </c>
      <c r="G3694" t="n">
        <v>4.61</v>
      </c>
      <c r="H3694" t="inlineStr">
        <is>
          <t>Contacted</t>
        </is>
      </c>
      <c r="I3694" t="inlineStr">
        <is>
          <t>Open</t>
        </is>
      </c>
      <c r="M3694">
        <f>VLOOKUP(H3694,'Stage Order'!$A$2:$B$8,2,FALSE)</f>
        <v/>
      </c>
      <c r="N3694">
        <f>IF(G3694&lt;=1,"1. Under 1 hour",IF(G3694&lt;=24,"2. 1-24 hours",IF(G3694&lt;=72,"3. 1-3 days","4. Over 3 days")))</f>
        <v/>
      </c>
      <c r="O3694">
        <f>TEXT(B3694,"YYYY-MM")</f>
        <v/>
      </c>
    </row>
    <row r="3695">
      <c r="A3695" t="inlineStr">
        <is>
          <t>LD-303693</t>
        </is>
      </c>
      <c r="B3695" t="inlineStr">
        <is>
          <t>2025-08-14 17:23:00</t>
        </is>
      </c>
      <c r="C3695" t="inlineStr">
        <is>
          <t>Referral</t>
        </is>
      </c>
      <c r="D3695" t="inlineStr">
        <is>
          <t>Language Learning</t>
        </is>
      </c>
      <c r="E3695" t="inlineStr">
        <is>
          <t>South Region</t>
        </is>
      </c>
      <c r="F3695" t="inlineStr">
        <is>
          <t>Rep_07</t>
        </is>
      </c>
      <c r="G3695" t="n">
        <v>1.69</v>
      </c>
      <c r="H3695" t="inlineStr">
        <is>
          <t>Closed</t>
        </is>
      </c>
      <c r="I3695" t="inlineStr">
        <is>
          <t>Won</t>
        </is>
      </c>
      <c r="K3695" t="n">
        <v>391.7</v>
      </c>
      <c r="L3695" t="inlineStr">
        <is>
          <t>2025-09-18 19:46:35.556080</t>
        </is>
      </c>
      <c r="M3695">
        <f>VLOOKUP(H3695,'Stage Order'!$A$2:$B$8,2,FALSE)</f>
        <v/>
      </c>
      <c r="N3695">
        <f>IF(G3695&lt;=1,"1. Under 1 hour",IF(G3695&lt;=24,"2. 1-24 hours",IF(G3695&lt;=72,"3. 1-3 days","4. Over 3 days")))</f>
        <v/>
      </c>
      <c r="O3695">
        <f>TEXT(B3695,"YYYY-MM")</f>
        <v/>
      </c>
    </row>
    <row r="3696">
      <c r="A3696" t="inlineStr">
        <is>
          <t>LD-303694</t>
        </is>
      </c>
      <c r="B3696" t="inlineStr">
        <is>
          <t>2025-01-09 13:02:00</t>
        </is>
      </c>
      <c r="C3696" t="inlineStr">
        <is>
          <t>Paid Search</t>
        </is>
      </c>
      <c r="D3696" t="inlineStr">
        <is>
          <t>Competitive Exam Prep</t>
        </is>
      </c>
      <c r="E3696" t="inlineStr">
        <is>
          <t>South Region</t>
        </is>
      </c>
      <c r="F3696" t="inlineStr">
        <is>
          <t>Rep_07</t>
        </is>
      </c>
      <c r="G3696" t="n">
        <v>3</v>
      </c>
      <c r="H3696" t="inlineStr">
        <is>
          <t>Contacted</t>
        </is>
      </c>
      <c r="I3696" t="inlineStr">
        <is>
          <t>Open</t>
        </is>
      </c>
      <c r="M3696">
        <f>VLOOKUP(H3696,'Stage Order'!$A$2:$B$8,2,FALSE)</f>
        <v/>
      </c>
      <c r="N3696">
        <f>IF(G3696&lt;=1,"1. Under 1 hour",IF(G3696&lt;=24,"2. 1-24 hours",IF(G3696&lt;=72,"3. 1-3 days","4. Over 3 days")))</f>
        <v/>
      </c>
      <c r="O3696">
        <f>TEXT(B3696,"YYYY-MM")</f>
        <v/>
      </c>
    </row>
    <row r="3697">
      <c r="A3697" t="inlineStr">
        <is>
          <t>LD-303695</t>
        </is>
      </c>
      <c r="B3697" t="inlineStr">
        <is>
          <t>2025-08-14 16:28:00</t>
        </is>
      </c>
      <c r="C3697" t="inlineStr">
        <is>
          <t>Paid Search</t>
        </is>
      </c>
      <c r="D3697" t="inlineStr">
        <is>
          <t>Language Learning</t>
        </is>
      </c>
      <c r="E3697" t="inlineStr">
        <is>
          <t>South Region</t>
        </is>
      </c>
      <c r="F3697" t="inlineStr">
        <is>
          <t>Rep_07</t>
        </is>
      </c>
      <c r="G3697" t="n">
        <v>1.38</v>
      </c>
      <c r="H3697" t="inlineStr">
        <is>
          <t>Lead</t>
        </is>
      </c>
      <c r="I3697" t="inlineStr">
        <is>
          <t>Open</t>
        </is>
      </c>
      <c r="M3697">
        <f>VLOOKUP(H3697,'Stage Order'!$A$2:$B$8,2,FALSE)</f>
        <v/>
      </c>
      <c r="N3697">
        <f>IF(G3697&lt;=1,"1. Under 1 hour",IF(G3697&lt;=24,"2. 1-24 hours",IF(G3697&lt;=72,"3. 1-3 days","4. Over 3 days")))</f>
        <v/>
      </c>
      <c r="O3697">
        <f>TEXT(B3697,"YYYY-MM")</f>
        <v/>
      </c>
    </row>
    <row r="3698">
      <c r="A3698" t="inlineStr">
        <is>
          <t>LD-303696</t>
        </is>
      </c>
      <c r="B3698" t="inlineStr">
        <is>
          <t>2025-03-28 16:22:00</t>
        </is>
      </c>
      <c r="C3698" t="inlineStr">
        <is>
          <t>Paid Search</t>
        </is>
      </c>
      <c r="D3698" t="inlineStr">
        <is>
          <t>Coding for Kids</t>
        </is>
      </c>
      <c r="E3698" t="inlineStr">
        <is>
          <t>West Region</t>
        </is>
      </c>
      <c r="F3698" t="inlineStr">
        <is>
          <t>Rep_13</t>
        </is>
      </c>
      <c r="G3698" t="n">
        <v>4.33</v>
      </c>
      <c r="H3698" t="inlineStr">
        <is>
          <t>Negotiation</t>
        </is>
      </c>
      <c r="I3698" t="inlineStr">
        <is>
          <t>Lost</t>
        </is>
      </c>
      <c r="J3698" t="inlineStr">
        <is>
          <t>Price Objection</t>
        </is>
      </c>
      <c r="K3698" t="n">
        <v>735.2</v>
      </c>
      <c r="L3698" t="inlineStr">
        <is>
          <t>2025-05-08 09:00:25.299564</t>
        </is>
      </c>
      <c r="M3698">
        <f>VLOOKUP(H3698,'Stage Order'!$A$2:$B$8,2,FALSE)</f>
        <v/>
      </c>
      <c r="N3698">
        <f>IF(G3698&lt;=1,"1. Under 1 hour",IF(G3698&lt;=24,"2. 1-24 hours",IF(G3698&lt;=72,"3. 1-3 days","4. Over 3 days")))</f>
        <v/>
      </c>
      <c r="O3698">
        <f>TEXT(B3698,"YYYY-MM")</f>
        <v/>
      </c>
    </row>
    <row r="3699">
      <c r="A3699" t="inlineStr">
        <is>
          <t>LD-303697</t>
        </is>
      </c>
      <c r="B3699" t="inlineStr">
        <is>
          <t>2026-05-07 09:09:00</t>
        </is>
      </c>
      <c r="C3699" t="inlineStr">
        <is>
          <t>Referral</t>
        </is>
      </c>
      <c r="D3699" t="inlineStr">
        <is>
          <t>Study Abroad Prep</t>
        </is>
      </c>
      <c r="E3699" t="inlineStr">
        <is>
          <t>South Region</t>
        </is>
      </c>
      <c r="F3699" t="inlineStr">
        <is>
          <t>Rep_07</t>
        </is>
      </c>
      <c r="G3699" t="n">
        <v>1.72</v>
      </c>
      <c r="H3699" t="inlineStr">
        <is>
          <t>Contacted</t>
        </is>
      </c>
      <c r="I3699" t="inlineStr">
        <is>
          <t>Open</t>
        </is>
      </c>
      <c r="M3699">
        <f>VLOOKUP(H3699,'Stage Order'!$A$2:$B$8,2,FALSE)</f>
        <v/>
      </c>
      <c r="N3699">
        <f>IF(G3699&lt;=1,"1. Under 1 hour",IF(G3699&lt;=24,"2. 1-24 hours",IF(G3699&lt;=72,"3. 1-3 days","4. Over 3 days")))</f>
        <v/>
      </c>
      <c r="O3699">
        <f>TEXT(B3699,"YYYY-MM")</f>
        <v/>
      </c>
    </row>
    <row r="3700">
      <c r="A3700" t="inlineStr">
        <is>
          <t>LD-303698</t>
        </is>
      </c>
      <c r="B3700" t="inlineStr">
        <is>
          <t>2025-02-20 17:44:00</t>
        </is>
      </c>
      <c r="C3700" t="inlineStr">
        <is>
          <t>Organic Search</t>
        </is>
      </c>
      <c r="D3700" t="inlineStr">
        <is>
          <t>Coding for Kids</t>
        </is>
      </c>
      <c r="E3700" t="inlineStr">
        <is>
          <t>West Region</t>
        </is>
      </c>
      <c r="F3700" t="inlineStr">
        <is>
          <t>Rep_03</t>
        </is>
      </c>
      <c r="G3700" t="n">
        <v>5.36</v>
      </c>
      <c r="H3700" t="inlineStr">
        <is>
          <t>Contacted</t>
        </is>
      </c>
      <c r="I3700" t="inlineStr">
        <is>
          <t>Open</t>
        </is>
      </c>
      <c r="M3700">
        <f>VLOOKUP(H3700,'Stage Order'!$A$2:$B$8,2,FALSE)</f>
        <v/>
      </c>
      <c r="N3700">
        <f>IF(G3700&lt;=1,"1. Under 1 hour",IF(G3700&lt;=24,"2. 1-24 hours",IF(G3700&lt;=72,"3. 1-3 days","4. Over 3 days")))</f>
        <v/>
      </c>
      <c r="O3700">
        <f>TEXT(B3700,"YYYY-MM")</f>
        <v/>
      </c>
    </row>
    <row r="3701">
      <c r="A3701" t="inlineStr">
        <is>
          <t>LD-303699</t>
        </is>
      </c>
      <c r="B3701" t="inlineStr">
        <is>
          <t>2026-02-27 13:40:00</t>
        </is>
      </c>
      <c r="C3701" t="inlineStr">
        <is>
          <t>Partner Channel</t>
        </is>
      </c>
      <c r="D3701" t="inlineStr">
        <is>
          <t>Coding for Kids</t>
        </is>
      </c>
      <c r="E3701" t="inlineStr">
        <is>
          <t>International</t>
        </is>
      </c>
      <c r="F3701" t="inlineStr">
        <is>
          <t>Rep_15</t>
        </is>
      </c>
      <c r="G3701" t="n">
        <v>5.41</v>
      </c>
      <c r="H3701" t="inlineStr">
        <is>
          <t>Contacted</t>
        </is>
      </c>
      <c r="I3701" t="inlineStr">
        <is>
          <t>Open</t>
        </is>
      </c>
      <c r="M3701">
        <f>VLOOKUP(H3701,'Stage Order'!$A$2:$B$8,2,FALSE)</f>
        <v/>
      </c>
      <c r="N3701">
        <f>IF(G3701&lt;=1,"1. Under 1 hour",IF(G3701&lt;=24,"2. 1-24 hours",IF(G3701&lt;=72,"3. 1-3 days","4. Over 3 days")))</f>
        <v/>
      </c>
      <c r="O3701">
        <f>TEXT(B3701,"YYYY-MM")</f>
        <v/>
      </c>
    </row>
    <row r="3702">
      <c r="A3702" t="inlineStr">
        <is>
          <t>LD-303700</t>
        </is>
      </c>
      <c r="B3702" t="inlineStr">
        <is>
          <t>2026-01-30 19:46:00</t>
        </is>
      </c>
      <c r="C3702" t="inlineStr">
        <is>
          <t>Paid Search</t>
        </is>
      </c>
      <c r="D3702" t="inlineStr">
        <is>
          <t>Competitive Exam Prep</t>
        </is>
      </c>
      <c r="E3702" t="inlineStr">
        <is>
          <t>North Region</t>
        </is>
      </c>
      <c r="F3702" t="inlineStr">
        <is>
          <t>Rep_01</t>
        </is>
      </c>
      <c r="G3702" t="n">
        <v>3.79</v>
      </c>
      <c r="H3702" t="inlineStr">
        <is>
          <t>Closed</t>
        </is>
      </c>
      <c r="I3702" t="inlineStr">
        <is>
          <t>Won</t>
        </is>
      </c>
      <c r="K3702" t="n">
        <v>908.86</v>
      </c>
      <c r="L3702" t="inlineStr">
        <is>
          <t>2026-03-24 13:30:49.507373</t>
        </is>
      </c>
      <c r="M3702">
        <f>VLOOKUP(H3702,'Stage Order'!$A$2:$B$8,2,FALSE)</f>
        <v/>
      </c>
      <c r="N3702">
        <f>IF(G3702&lt;=1,"1. Under 1 hour",IF(G3702&lt;=24,"2. 1-24 hours",IF(G3702&lt;=72,"3. 1-3 days","4. Over 3 days")))</f>
        <v/>
      </c>
      <c r="O3702">
        <f>TEXT(B3702,"YYYY-MM")</f>
        <v/>
      </c>
    </row>
    <row r="3703">
      <c r="A3703" t="inlineStr">
        <is>
          <t>LD-303701</t>
        </is>
      </c>
      <c r="B3703" t="inlineStr">
        <is>
          <t>2025-09-10 19:06:00</t>
        </is>
      </c>
      <c r="C3703" t="inlineStr">
        <is>
          <t>Cold Outreach</t>
        </is>
      </c>
      <c r="D3703" t="inlineStr">
        <is>
          <t>K-12 Math</t>
        </is>
      </c>
      <c r="E3703" t="inlineStr">
        <is>
          <t>North Region</t>
        </is>
      </c>
      <c r="F3703" t="inlineStr">
        <is>
          <t>Rep_01</t>
        </is>
      </c>
      <c r="G3703" t="n">
        <v>15.37</v>
      </c>
      <c r="H3703" t="inlineStr">
        <is>
          <t>Contacted</t>
        </is>
      </c>
      <c r="I3703" t="inlineStr">
        <is>
          <t>Open</t>
        </is>
      </c>
      <c r="M3703">
        <f>VLOOKUP(H3703,'Stage Order'!$A$2:$B$8,2,FALSE)</f>
        <v/>
      </c>
      <c r="N3703">
        <f>IF(G3703&lt;=1,"1. Under 1 hour",IF(G3703&lt;=24,"2. 1-24 hours",IF(G3703&lt;=72,"3. 1-3 days","4. Over 3 days")))</f>
        <v/>
      </c>
      <c r="O3703">
        <f>TEXT(B3703,"YYYY-MM")</f>
        <v/>
      </c>
    </row>
    <row r="3704">
      <c r="A3704" t="inlineStr">
        <is>
          <t>LD-303702</t>
        </is>
      </c>
      <c r="B3704" t="inlineStr">
        <is>
          <t>2025-01-18 11:08:00</t>
        </is>
      </c>
      <c r="C3704" t="inlineStr">
        <is>
          <t>Cold Outreach</t>
        </is>
      </c>
      <c r="D3704" t="inlineStr">
        <is>
          <t>Study Abroad Prep</t>
        </is>
      </c>
      <c r="E3704" t="inlineStr">
        <is>
          <t>South Region</t>
        </is>
      </c>
      <c r="F3704" t="inlineStr">
        <is>
          <t>Rep_12</t>
        </is>
      </c>
      <c r="G3704" t="n">
        <v>2.56</v>
      </c>
      <c r="H3704" t="inlineStr">
        <is>
          <t>Lead</t>
        </is>
      </c>
      <c r="I3704" t="inlineStr">
        <is>
          <t>Open</t>
        </is>
      </c>
      <c r="M3704">
        <f>VLOOKUP(H3704,'Stage Order'!$A$2:$B$8,2,FALSE)</f>
        <v/>
      </c>
      <c r="N3704">
        <f>IF(G3704&lt;=1,"1. Under 1 hour",IF(G3704&lt;=24,"2. 1-24 hours",IF(G3704&lt;=72,"3. 1-3 days","4. Over 3 days")))</f>
        <v/>
      </c>
      <c r="O3704">
        <f>TEXT(B3704,"YYYY-MM")</f>
        <v/>
      </c>
    </row>
    <row r="3705">
      <c r="A3705" t="inlineStr">
        <is>
          <t>LD-303703</t>
        </is>
      </c>
      <c r="B3705" t="inlineStr">
        <is>
          <t>2025-08-08 07:00:00</t>
        </is>
      </c>
      <c r="C3705" t="inlineStr">
        <is>
          <t>Organic Search</t>
        </is>
      </c>
      <c r="D3705" t="inlineStr">
        <is>
          <t>Competitive Exam Prep</t>
        </is>
      </c>
      <c r="E3705" t="inlineStr">
        <is>
          <t>International</t>
        </is>
      </c>
      <c r="F3705" t="inlineStr">
        <is>
          <t>Rep_10</t>
        </is>
      </c>
      <c r="G3705" t="n">
        <v>8.859999999999999</v>
      </c>
      <c r="H3705" t="inlineStr">
        <is>
          <t>Contacted</t>
        </is>
      </c>
      <c r="I3705" t="inlineStr">
        <is>
          <t>Open</t>
        </is>
      </c>
      <c r="M3705">
        <f>VLOOKUP(H3705,'Stage Order'!$A$2:$B$8,2,FALSE)</f>
        <v/>
      </c>
      <c r="N3705">
        <f>IF(G3705&lt;=1,"1. Under 1 hour",IF(G3705&lt;=24,"2. 1-24 hours",IF(G3705&lt;=72,"3. 1-3 days","4. Over 3 days")))</f>
        <v/>
      </c>
      <c r="O3705">
        <f>TEXT(B3705,"YYYY-MM")</f>
        <v/>
      </c>
    </row>
    <row r="3706">
      <c r="A3706" t="inlineStr">
        <is>
          <t>LD-303704</t>
        </is>
      </c>
      <c r="B3706" t="inlineStr">
        <is>
          <t>2025-01-05 12:38:00</t>
        </is>
      </c>
      <c r="C3706" t="inlineStr">
        <is>
          <t>Paid Search</t>
        </is>
      </c>
      <c r="D3706" t="inlineStr">
        <is>
          <t>Study Abroad Prep</t>
        </is>
      </c>
      <c r="E3706" t="inlineStr">
        <is>
          <t>East Region</t>
        </is>
      </c>
      <c r="F3706" t="inlineStr">
        <is>
          <t>Rep_09</t>
        </is>
      </c>
      <c r="G3706" t="n">
        <v>0.97</v>
      </c>
      <c r="H3706" t="inlineStr">
        <is>
          <t>Contacted</t>
        </is>
      </c>
      <c r="I3706" t="inlineStr">
        <is>
          <t>Open</t>
        </is>
      </c>
      <c r="M3706">
        <f>VLOOKUP(H3706,'Stage Order'!$A$2:$B$8,2,FALSE)</f>
        <v/>
      </c>
      <c r="N3706">
        <f>IF(G3706&lt;=1,"1. Under 1 hour",IF(G3706&lt;=24,"2. 1-24 hours",IF(G3706&lt;=72,"3. 1-3 days","4. Over 3 days")))</f>
        <v/>
      </c>
      <c r="O3706">
        <f>TEXT(B3706,"YYYY-MM")</f>
        <v/>
      </c>
    </row>
    <row r="3707">
      <c r="A3707" t="inlineStr">
        <is>
          <t>LD-303705</t>
        </is>
      </c>
      <c r="B3707" t="inlineStr">
        <is>
          <t>2025-04-05 18:24:00</t>
        </is>
      </c>
      <c r="C3707" t="inlineStr">
        <is>
          <t>Referral</t>
        </is>
      </c>
      <c r="D3707" t="inlineStr">
        <is>
          <t>K-12 Math</t>
        </is>
      </c>
      <c r="E3707" t="inlineStr">
        <is>
          <t>West Region</t>
        </is>
      </c>
      <c r="F3707" t="inlineStr">
        <is>
          <t>Rep_08</t>
        </is>
      </c>
      <c r="G3707" t="n">
        <v>1.75</v>
      </c>
      <c r="H3707" t="inlineStr">
        <is>
          <t>Closed</t>
        </is>
      </c>
      <c r="I3707" t="inlineStr">
        <is>
          <t>Won</t>
        </is>
      </c>
      <c r="K3707" t="n">
        <v>482.17</v>
      </c>
      <c r="L3707" t="inlineStr">
        <is>
          <t>2025-05-12 17:35:55.188662</t>
        </is>
      </c>
      <c r="M3707">
        <f>VLOOKUP(H3707,'Stage Order'!$A$2:$B$8,2,FALSE)</f>
        <v/>
      </c>
      <c r="N3707">
        <f>IF(G3707&lt;=1,"1. Under 1 hour",IF(G3707&lt;=24,"2. 1-24 hours",IF(G3707&lt;=72,"3. 1-3 days","4. Over 3 days")))</f>
        <v/>
      </c>
      <c r="O3707">
        <f>TEXT(B3707,"YYYY-MM")</f>
        <v/>
      </c>
    </row>
    <row r="3708">
      <c r="A3708" t="inlineStr">
        <is>
          <t>LD-303706</t>
        </is>
      </c>
      <c r="B3708" t="inlineStr">
        <is>
          <t>2025-11-25 17:57:00</t>
        </is>
      </c>
      <c r="C3708" t="inlineStr">
        <is>
          <t>Organic Search</t>
        </is>
      </c>
      <c r="D3708" t="inlineStr">
        <is>
          <t>Study Abroad Prep</t>
        </is>
      </c>
      <c r="E3708" t="inlineStr">
        <is>
          <t>West Region</t>
        </is>
      </c>
      <c r="F3708" t="inlineStr">
        <is>
          <t>Rep_13</t>
        </is>
      </c>
      <c r="G3708" t="n">
        <v>19.78</v>
      </c>
      <c r="H3708" t="inlineStr">
        <is>
          <t>Closed</t>
        </is>
      </c>
      <c r="I3708" t="inlineStr">
        <is>
          <t>Won</t>
        </is>
      </c>
      <c r="K3708" t="n">
        <v>1334.58</v>
      </c>
      <c r="L3708" t="inlineStr">
        <is>
          <t>2026-01-05 18:01:10.635294</t>
        </is>
      </c>
      <c r="M3708">
        <f>VLOOKUP(H3708,'Stage Order'!$A$2:$B$8,2,FALSE)</f>
        <v/>
      </c>
      <c r="N3708">
        <f>IF(G3708&lt;=1,"1. Under 1 hour",IF(G3708&lt;=24,"2. 1-24 hours",IF(G3708&lt;=72,"3. 1-3 days","4. Over 3 days")))</f>
        <v/>
      </c>
      <c r="O3708">
        <f>TEXT(B3708,"YYYY-MM")</f>
        <v/>
      </c>
    </row>
    <row r="3709">
      <c r="A3709" t="inlineStr">
        <is>
          <t>LD-303707</t>
        </is>
      </c>
      <c r="B3709" t="inlineStr">
        <is>
          <t>2025-02-06 18:20:00</t>
        </is>
      </c>
      <c r="C3709" t="inlineStr">
        <is>
          <t>Partner Channel</t>
        </is>
      </c>
      <c r="D3709" t="inlineStr">
        <is>
          <t>K-12 Math</t>
        </is>
      </c>
      <c r="E3709" t="inlineStr">
        <is>
          <t>North Region</t>
        </is>
      </c>
      <c r="F3709" t="inlineStr">
        <is>
          <t>Rep_01</t>
        </is>
      </c>
      <c r="G3709" t="n">
        <v>1.1</v>
      </c>
      <c r="H3709" t="inlineStr">
        <is>
          <t>Contacted</t>
        </is>
      </c>
      <c r="I3709" t="inlineStr">
        <is>
          <t>Open</t>
        </is>
      </c>
      <c r="M3709">
        <f>VLOOKUP(H3709,'Stage Order'!$A$2:$B$8,2,FALSE)</f>
        <v/>
      </c>
      <c r="N3709">
        <f>IF(G3709&lt;=1,"1. Under 1 hour",IF(G3709&lt;=24,"2. 1-24 hours",IF(G3709&lt;=72,"3. 1-3 days","4. Over 3 days")))</f>
        <v/>
      </c>
      <c r="O3709">
        <f>TEXT(B3709,"YYYY-MM")</f>
        <v/>
      </c>
    </row>
    <row r="3710">
      <c r="A3710" t="inlineStr">
        <is>
          <t>LD-303708</t>
        </is>
      </c>
      <c r="B3710" t="inlineStr">
        <is>
          <t>2026-06-04 12:36:00</t>
        </is>
      </c>
      <c r="C3710" t="inlineStr">
        <is>
          <t>Organic Search</t>
        </is>
      </c>
      <c r="D3710" t="inlineStr">
        <is>
          <t>Language Learning</t>
        </is>
      </c>
      <c r="E3710" t="inlineStr">
        <is>
          <t>North Region</t>
        </is>
      </c>
      <c r="F3710" t="inlineStr">
        <is>
          <t>Rep_11</t>
        </is>
      </c>
      <c r="G3710" t="n">
        <v>1.25</v>
      </c>
      <c r="H3710" t="inlineStr">
        <is>
          <t>Negotiation</t>
        </is>
      </c>
      <c r="I3710" t="inlineStr">
        <is>
          <t>Lost</t>
        </is>
      </c>
      <c r="J3710" t="inlineStr">
        <is>
          <t>Bad Timing</t>
        </is>
      </c>
      <c r="K3710" t="n">
        <v>374.44</v>
      </c>
      <c r="L3710" t="inlineStr">
        <is>
          <t>2026-07-11 13:06:37.424628</t>
        </is>
      </c>
      <c r="M3710">
        <f>VLOOKUP(H3710,'Stage Order'!$A$2:$B$8,2,FALSE)</f>
        <v/>
      </c>
      <c r="N3710">
        <f>IF(G3710&lt;=1,"1. Under 1 hour",IF(G3710&lt;=24,"2. 1-24 hours",IF(G3710&lt;=72,"3. 1-3 days","4. Over 3 days")))</f>
        <v/>
      </c>
      <c r="O3710">
        <f>TEXT(B3710,"YYYY-MM")</f>
        <v/>
      </c>
    </row>
    <row r="3711">
      <c r="A3711" t="inlineStr">
        <is>
          <t>LD-303709</t>
        </is>
      </c>
      <c r="B3711" t="inlineStr">
        <is>
          <t>2026-06-18 10:41:00</t>
        </is>
      </c>
      <c r="C3711" t="inlineStr">
        <is>
          <t>Referral</t>
        </is>
      </c>
      <c r="D3711" t="inlineStr">
        <is>
          <t>K-12 Math</t>
        </is>
      </c>
      <c r="E3711" t="inlineStr">
        <is>
          <t>North Region</t>
        </is>
      </c>
      <c r="F3711" t="inlineStr">
        <is>
          <t>Rep_11</t>
        </is>
      </c>
      <c r="G3711" t="n">
        <v>14.05</v>
      </c>
      <c r="H3711" t="inlineStr">
        <is>
          <t>Contacted</t>
        </is>
      </c>
      <c r="I3711" t="inlineStr">
        <is>
          <t>Open</t>
        </is>
      </c>
      <c r="M3711">
        <f>VLOOKUP(H3711,'Stage Order'!$A$2:$B$8,2,FALSE)</f>
        <v/>
      </c>
      <c r="N3711">
        <f>IF(G3711&lt;=1,"1. Under 1 hour",IF(G3711&lt;=24,"2. 1-24 hours",IF(G3711&lt;=72,"3. 1-3 days","4. Over 3 days")))</f>
        <v/>
      </c>
      <c r="O3711">
        <f>TEXT(B3711,"YYYY-MM")</f>
        <v/>
      </c>
    </row>
    <row r="3712">
      <c r="A3712" t="inlineStr">
        <is>
          <t>LD-303710</t>
        </is>
      </c>
      <c r="B3712" t="inlineStr">
        <is>
          <t>2026-06-14 09:42:00</t>
        </is>
      </c>
      <c r="C3712" t="inlineStr">
        <is>
          <t>Cold Outreach</t>
        </is>
      </c>
      <c r="D3712" t="inlineStr">
        <is>
          <t>Coding for Kids</t>
        </is>
      </c>
      <c r="E3712" t="inlineStr">
        <is>
          <t>South Region</t>
        </is>
      </c>
      <c r="F3712" t="inlineStr">
        <is>
          <t>Rep_07</t>
        </is>
      </c>
      <c r="G3712" t="n">
        <v>12.69</v>
      </c>
      <c r="H3712" t="inlineStr">
        <is>
          <t>Lead</t>
        </is>
      </c>
      <c r="I3712" t="inlineStr">
        <is>
          <t>Open</t>
        </is>
      </c>
      <c r="M3712">
        <f>VLOOKUP(H3712,'Stage Order'!$A$2:$B$8,2,FALSE)</f>
        <v/>
      </c>
      <c r="N3712">
        <f>IF(G3712&lt;=1,"1. Under 1 hour",IF(G3712&lt;=24,"2. 1-24 hours",IF(G3712&lt;=72,"3. 1-3 days","4. Over 3 days")))</f>
        <v/>
      </c>
      <c r="O3712">
        <f>TEXT(B3712,"YYYY-MM")</f>
        <v/>
      </c>
    </row>
    <row r="3713">
      <c r="A3713" t="inlineStr">
        <is>
          <t>LD-303711</t>
        </is>
      </c>
      <c r="B3713" t="inlineStr">
        <is>
          <t>2025-10-03 07:45:00</t>
        </is>
      </c>
      <c r="C3713" t="inlineStr">
        <is>
          <t>Social Media</t>
        </is>
      </c>
      <c r="D3713" t="inlineStr">
        <is>
          <t>K-12 Math</t>
        </is>
      </c>
      <c r="E3713" t="inlineStr">
        <is>
          <t>West Region</t>
        </is>
      </c>
      <c r="F3713" t="inlineStr">
        <is>
          <t>Rep_08</t>
        </is>
      </c>
      <c r="G3713" t="n">
        <v>1.32</v>
      </c>
      <c r="H3713" t="inlineStr">
        <is>
          <t>Contacted</t>
        </is>
      </c>
      <c r="I3713" t="inlineStr">
        <is>
          <t>Open</t>
        </is>
      </c>
      <c r="M3713">
        <f>VLOOKUP(H3713,'Stage Order'!$A$2:$B$8,2,FALSE)</f>
        <v/>
      </c>
      <c r="N3713">
        <f>IF(G3713&lt;=1,"1. Under 1 hour",IF(G3713&lt;=24,"2. 1-24 hours",IF(G3713&lt;=72,"3. 1-3 days","4. Over 3 days")))</f>
        <v/>
      </c>
      <c r="O3713">
        <f>TEXT(B3713,"YYYY-MM")</f>
        <v/>
      </c>
    </row>
    <row r="3714">
      <c r="A3714" t="inlineStr">
        <is>
          <t>LD-303712</t>
        </is>
      </c>
      <c r="B3714" t="inlineStr">
        <is>
          <t>2025-08-05 13:35:00</t>
        </is>
      </c>
      <c r="C3714" t="inlineStr">
        <is>
          <t>Referral</t>
        </is>
      </c>
      <c r="D3714" t="inlineStr">
        <is>
          <t>K-12 Math</t>
        </is>
      </c>
      <c r="E3714" t="inlineStr">
        <is>
          <t>West Region</t>
        </is>
      </c>
      <c r="F3714" t="inlineStr">
        <is>
          <t>Rep_13</t>
        </is>
      </c>
      <c r="G3714" t="n">
        <v>2.34</v>
      </c>
      <c r="H3714" t="inlineStr">
        <is>
          <t>Contacted</t>
        </is>
      </c>
      <c r="I3714" t="inlineStr">
        <is>
          <t>Open</t>
        </is>
      </c>
      <c r="M3714">
        <f>VLOOKUP(H3714,'Stage Order'!$A$2:$B$8,2,FALSE)</f>
        <v/>
      </c>
      <c r="N3714">
        <f>IF(G3714&lt;=1,"1. Under 1 hour",IF(G3714&lt;=24,"2. 1-24 hours",IF(G3714&lt;=72,"3. 1-3 days","4. Over 3 days")))</f>
        <v/>
      </c>
      <c r="O3714">
        <f>TEXT(B3714,"YYYY-MM")</f>
        <v/>
      </c>
    </row>
    <row r="3715">
      <c r="A3715" t="inlineStr">
        <is>
          <t>LD-303713</t>
        </is>
      </c>
      <c r="B3715" t="inlineStr">
        <is>
          <t>2025-10-21 13:43:00</t>
        </is>
      </c>
      <c r="C3715" t="inlineStr">
        <is>
          <t>Cold Outreach</t>
        </is>
      </c>
      <c r="D3715" t="inlineStr">
        <is>
          <t>Competitive Exam Prep</t>
        </is>
      </c>
      <c r="E3715" t="inlineStr">
        <is>
          <t>North Region</t>
        </is>
      </c>
      <c r="F3715" t="inlineStr">
        <is>
          <t>Rep_01</t>
        </is>
      </c>
      <c r="G3715" t="n">
        <v>3.64</v>
      </c>
      <c r="H3715" t="inlineStr">
        <is>
          <t>Lead</t>
        </is>
      </c>
      <c r="I3715" t="inlineStr">
        <is>
          <t>Open</t>
        </is>
      </c>
      <c r="M3715">
        <f>VLOOKUP(H3715,'Stage Order'!$A$2:$B$8,2,FALSE)</f>
        <v/>
      </c>
      <c r="N3715">
        <f>IF(G3715&lt;=1,"1. Under 1 hour",IF(G3715&lt;=24,"2. 1-24 hours",IF(G3715&lt;=72,"3. 1-3 days","4. Over 3 days")))</f>
        <v/>
      </c>
      <c r="O3715">
        <f>TEXT(B3715,"YYYY-MM")</f>
        <v/>
      </c>
    </row>
    <row r="3716">
      <c r="A3716" t="inlineStr">
        <is>
          <t>LD-303714</t>
        </is>
      </c>
      <c r="B3716" t="inlineStr">
        <is>
          <t>2025-10-14 15:11:00</t>
        </is>
      </c>
      <c r="C3716" t="inlineStr">
        <is>
          <t>Paid Search</t>
        </is>
      </c>
      <c r="D3716" t="inlineStr">
        <is>
          <t>K-12 Math</t>
        </is>
      </c>
      <c r="E3716" t="inlineStr">
        <is>
          <t>South Region</t>
        </is>
      </c>
      <c r="F3716" t="inlineStr">
        <is>
          <t>Rep_12</t>
        </is>
      </c>
      <c r="G3716" t="n">
        <v>2.1</v>
      </c>
      <c r="H3716" t="inlineStr">
        <is>
          <t>Contacted</t>
        </is>
      </c>
      <c r="I3716" t="inlineStr">
        <is>
          <t>Open</t>
        </is>
      </c>
      <c r="M3716">
        <f>VLOOKUP(H3716,'Stage Order'!$A$2:$B$8,2,FALSE)</f>
        <v/>
      </c>
      <c r="N3716">
        <f>IF(G3716&lt;=1,"1. Under 1 hour",IF(G3716&lt;=24,"2. 1-24 hours",IF(G3716&lt;=72,"3. 1-3 days","4. Over 3 days")))</f>
        <v/>
      </c>
      <c r="O3716">
        <f>TEXT(B3716,"YYYY-MM")</f>
        <v/>
      </c>
    </row>
    <row r="3717">
      <c r="A3717" t="inlineStr">
        <is>
          <t>LD-303715</t>
        </is>
      </c>
      <c r="B3717" t="inlineStr">
        <is>
          <t>2026-06-05 07:53:00</t>
        </is>
      </c>
      <c r="C3717" t="inlineStr">
        <is>
          <t>Cold Outreach</t>
        </is>
      </c>
      <c r="D3717" t="inlineStr">
        <is>
          <t>Language Learning</t>
        </is>
      </c>
      <c r="E3717" t="inlineStr">
        <is>
          <t>South Region</t>
        </is>
      </c>
      <c r="F3717" t="inlineStr">
        <is>
          <t>Rep_02</t>
        </is>
      </c>
      <c r="G3717" t="n">
        <v>19.51</v>
      </c>
      <c r="H3717" t="inlineStr">
        <is>
          <t>Demo Scheduled</t>
        </is>
      </c>
      <c r="I3717" t="inlineStr">
        <is>
          <t>Open</t>
        </is>
      </c>
      <c r="M3717">
        <f>VLOOKUP(H3717,'Stage Order'!$A$2:$B$8,2,FALSE)</f>
        <v/>
      </c>
      <c r="N3717">
        <f>IF(G3717&lt;=1,"1. Under 1 hour",IF(G3717&lt;=24,"2. 1-24 hours",IF(G3717&lt;=72,"3. 1-3 days","4. Over 3 days")))</f>
        <v/>
      </c>
      <c r="O3717">
        <f>TEXT(B3717,"YYYY-MM")</f>
        <v/>
      </c>
    </row>
    <row r="3718">
      <c r="A3718" t="inlineStr">
        <is>
          <t>LD-303716</t>
        </is>
      </c>
      <c r="B3718" t="inlineStr">
        <is>
          <t>2025-06-13 11:08:00</t>
        </is>
      </c>
      <c r="C3718" t="inlineStr">
        <is>
          <t>Paid Search</t>
        </is>
      </c>
      <c r="D3718" t="inlineStr">
        <is>
          <t>Language Learning</t>
        </is>
      </c>
      <c r="E3718" t="inlineStr">
        <is>
          <t>South Region</t>
        </is>
      </c>
      <c r="F3718" t="inlineStr">
        <is>
          <t>Rep_12</t>
        </is>
      </c>
      <c r="G3718" t="n">
        <v>6.59</v>
      </c>
      <c r="H3718" t="inlineStr">
        <is>
          <t>Proposal Sent</t>
        </is>
      </c>
      <c r="I3718" t="inlineStr">
        <is>
          <t>Lost</t>
        </is>
      </c>
      <c r="J3718" t="inlineStr">
        <is>
          <t>Bad Timing</t>
        </is>
      </c>
      <c r="K3718" t="n">
        <v>342.85</v>
      </c>
      <c r="L3718" t="inlineStr">
        <is>
          <t>2025-07-27 12:01:05.072235</t>
        </is>
      </c>
      <c r="M3718">
        <f>VLOOKUP(H3718,'Stage Order'!$A$2:$B$8,2,FALSE)</f>
        <v/>
      </c>
      <c r="N3718">
        <f>IF(G3718&lt;=1,"1. Under 1 hour",IF(G3718&lt;=24,"2. 1-24 hours",IF(G3718&lt;=72,"3. 1-3 days","4. Over 3 days")))</f>
        <v/>
      </c>
      <c r="O3718">
        <f>TEXT(B3718,"YYYY-MM")</f>
        <v/>
      </c>
    </row>
    <row r="3719">
      <c r="A3719" t="inlineStr">
        <is>
          <t>LD-303717</t>
        </is>
      </c>
      <c r="B3719" t="inlineStr">
        <is>
          <t>2026-06-28 09:20:00</t>
        </is>
      </c>
      <c r="C3719" t="inlineStr">
        <is>
          <t>Cold Outreach</t>
        </is>
      </c>
      <c r="D3719" t="inlineStr">
        <is>
          <t>Coding for Kids</t>
        </is>
      </c>
      <c r="E3719" t="inlineStr">
        <is>
          <t>North Region</t>
        </is>
      </c>
      <c r="F3719" t="inlineStr">
        <is>
          <t>Rep_01</t>
        </is>
      </c>
      <c r="G3719" t="n">
        <v>1.28</v>
      </c>
      <c r="H3719" t="inlineStr">
        <is>
          <t>Contacted</t>
        </is>
      </c>
      <c r="I3719" t="inlineStr">
        <is>
          <t>Open</t>
        </is>
      </c>
      <c r="M3719">
        <f>VLOOKUP(H3719,'Stage Order'!$A$2:$B$8,2,FALSE)</f>
        <v/>
      </c>
      <c r="N3719">
        <f>IF(G3719&lt;=1,"1. Under 1 hour",IF(G3719&lt;=24,"2. 1-24 hours",IF(G3719&lt;=72,"3. 1-3 days","4. Over 3 days")))</f>
        <v/>
      </c>
      <c r="O3719">
        <f>TEXT(B3719,"YYYY-MM")</f>
        <v/>
      </c>
    </row>
    <row r="3720">
      <c r="A3720" t="inlineStr">
        <is>
          <t>LD-303718</t>
        </is>
      </c>
      <c r="B3720" t="inlineStr">
        <is>
          <t>2025-12-17 16:08:00</t>
        </is>
      </c>
      <c r="C3720" t="inlineStr">
        <is>
          <t>Webinar</t>
        </is>
      </c>
      <c r="D3720" t="inlineStr">
        <is>
          <t>K-12 Math</t>
        </is>
      </c>
      <c r="E3720" t="inlineStr">
        <is>
          <t>North Region</t>
        </is>
      </c>
      <c r="F3720" t="inlineStr">
        <is>
          <t>Rep_01</t>
        </is>
      </c>
      <c r="G3720" t="n">
        <v>2.15</v>
      </c>
      <c r="H3720" t="inlineStr">
        <is>
          <t>Closed</t>
        </is>
      </c>
      <c r="I3720" t="inlineStr">
        <is>
          <t>Won</t>
        </is>
      </c>
      <c r="K3720" t="n">
        <v>525.9</v>
      </c>
      <c r="L3720" t="inlineStr">
        <is>
          <t>2026-02-01 08:57:45.207908</t>
        </is>
      </c>
      <c r="M3720">
        <f>VLOOKUP(H3720,'Stage Order'!$A$2:$B$8,2,FALSE)</f>
        <v/>
      </c>
      <c r="N3720">
        <f>IF(G3720&lt;=1,"1. Under 1 hour",IF(G3720&lt;=24,"2. 1-24 hours",IF(G3720&lt;=72,"3. 1-3 days","4. Over 3 days")))</f>
        <v/>
      </c>
      <c r="O3720">
        <f>TEXT(B3720,"YYYY-MM")</f>
        <v/>
      </c>
    </row>
    <row r="3721">
      <c r="A3721" t="inlineStr">
        <is>
          <t>LD-303719</t>
        </is>
      </c>
      <c r="B3721" t="inlineStr">
        <is>
          <t>2025-01-03 09:09:00</t>
        </is>
      </c>
      <c r="C3721" t="inlineStr">
        <is>
          <t>Social Media</t>
        </is>
      </c>
      <c r="D3721" t="inlineStr">
        <is>
          <t>Competitive Exam Prep</t>
        </is>
      </c>
      <c r="E3721" t="inlineStr">
        <is>
          <t>South Region</t>
        </is>
      </c>
      <c r="F3721" t="inlineStr">
        <is>
          <t>Rep_07</t>
        </is>
      </c>
      <c r="G3721" t="n">
        <v>2.72</v>
      </c>
      <c r="H3721" t="inlineStr">
        <is>
          <t>Demo Completed</t>
        </is>
      </c>
      <c r="I3721" t="inlineStr">
        <is>
          <t>Lost</t>
        </is>
      </c>
      <c r="J3721" t="inlineStr">
        <is>
          <t>Went With Competitor</t>
        </is>
      </c>
      <c r="K3721" t="n">
        <v>1050.35</v>
      </c>
      <c r="L3721" t="inlineStr">
        <is>
          <t>2025-02-05 05:53:04.343522</t>
        </is>
      </c>
      <c r="M3721">
        <f>VLOOKUP(H3721,'Stage Order'!$A$2:$B$8,2,FALSE)</f>
        <v/>
      </c>
      <c r="N3721">
        <f>IF(G3721&lt;=1,"1. Under 1 hour",IF(G3721&lt;=24,"2. 1-24 hours",IF(G3721&lt;=72,"3. 1-3 days","4. Over 3 days")))</f>
        <v/>
      </c>
      <c r="O3721">
        <f>TEXT(B3721,"YYYY-MM")</f>
        <v/>
      </c>
    </row>
    <row r="3722">
      <c r="A3722" t="inlineStr">
        <is>
          <t>LD-303720</t>
        </is>
      </c>
      <c r="B3722" t="inlineStr">
        <is>
          <t>2026-04-20 12:59:00</t>
        </is>
      </c>
      <c r="C3722" t="inlineStr">
        <is>
          <t>Organic Search</t>
        </is>
      </c>
      <c r="D3722" t="inlineStr">
        <is>
          <t>Study Abroad Prep</t>
        </is>
      </c>
      <c r="E3722" t="inlineStr">
        <is>
          <t>South Region</t>
        </is>
      </c>
      <c r="F3722" t="inlineStr">
        <is>
          <t>Rep_12</t>
        </is>
      </c>
      <c r="G3722" t="n">
        <v>1.24</v>
      </c>
      <c r="H3722" t="inlineStr">
        <is>
          <t>Negotiation</t>
        </is>
      </c>
      <c r="I3722" t="inlineStr">
        <is>
          <t>Lost</t>
        </is>
      </c>
      <c r="J3722" t="inlineStr">
        <is>
          <t>No Response / Ghosted</t>
        </is>
      </c>
      <c r="K3722" t="n">
        <v>1277.75</v>
      </c>
      <c r="L3722" t="inlineStr">
        <is>
          <t>2026-05-26 17:40:44.861574</t>
        </is>
      </c>
      <c r="M3722">
        <f>VLOOKUP(H3722,'Stage Order'!$A$2:$B$8,2,FALSE)</f>
        <v/>
      </c>
      <c r="N3722">
        <f>IF(G3722&lt;=1,"1. Under 1 hour",IF(G3722&lt;=24,"2. 1-24 hours",IF(G3722&lt;=72,"3. 1-3 days","4. Over 3 days")))</f>
        <v/>
      </c>
      <c r="O3722">
        <f>TEXT(B3722,"YYYY-MM")</f>
        <v/>
      </c>
    </row>
    <row r="3723">
      <c r="A3723" t="inlineStr">
        <is>
          <t>LD-303721</t>
        </is>
      </c>
      <c r="B3723" t="inlineStr">
        <is>
          <t>2026-04-09 12:55:00</t>
        </is>
      </c>
      <c r="C3723" t="inlineStr">
        <is>
          <t>Organic Search</t>
        </is>
      </c>
      <c r="D3723" t="inlineStr">
        <is>
          <t>Competitive Exam Prep</t>
        </is>
      </c>
      <c r="E3723" t="inlineStr">
        <is>
          <t>East Region</t>
        </is>
      </c>
      <c r="F3723" t="inlineStr">
        <is>
          <t>Rep_04</t>
        </is>
      </c>
      <c r="G3723" t="n">
        <v>5.99</v>
      </c>
      <c r="H3723" t="inlineStr">
        <is>
          <t>Demo Scheduled</t>
        </is>
      </c>
      <c r="I3723" t="inlineStr">
        <is>
          <t>Open</t>
        </is>
      </c>
      <c r="M3723">
        <f>VLOOKUP(H3723,'Stage Order'!$A$2:$B$8,2,FALSE)</f>
        <v/>
      </c>
      <c r="N3723">
        <f>IF(G3723&lt;=1,"1. Under 1 hour",IF(G3723&lt;=24,"2. 1-24 hours",IF(G3723&lt;=72,"3. 1-3 days","4. Over 3 days")))</f>
        <v/>
      </c>
      <c r="O3723">
        <f>TEXT(B3723,"YYYY-MM")</f>
        <v/>
      </c>
    </row>
    <row r="3724">
      <c r="A3724" t="inlineStr">
        <is>
          <t>LD-303722</t>
        </is>
      </c>
      <c r="B3724" t="inlineStr">
        <is>
          <t>2026-01-29 19:28:00</t>
        </is>
      </c>
      <c r="C3724" t="inlineStr">
        <is>
          <t>Webinar</t>
        </is>
      </c>
      <c r="D3724" t="inlineStr">
        <is>
          <t>K-12 Math</t>
        </is>
      </c>
      <c r="E3724" t="inlineStr">
        <is>
          <t>East Region</t>
        </is>
      </c>
      <c r="F3724" t="inlineStr">
        <is>
          <t>Rep_09</t>
        </is>
      </c>
      <c r="G3724" t="n">
        <v>0.98</v>
      </c>
      <c r="H3724" t="inlineStr">
        <is>
          <t>Contacted</t>
        </is>
      </c>
      <c r="I3724" t="inlineStr">
        <is>
          <t>Open</t>
        </is>
      </c>
      <c r="M3724">
        <f>VLOOKUP(H3724,'Stage Order'!$A$2:$B$8,2,FALSE)</f>
        <v/>
      </c>
      <c r="N3724">
        <f>IF(G3724&lt;=1,"1. Under 1 hour",IF(G3724&lt;=24,"2. 1-24 hours",IF(G3724&lt;=72,"3. 1-3 days","4. Over 3 days")))</f>
        <v/>
      </c>
      <c r="O3724">
        <f>TEXT(B3724,"YYYY-MM")</f>
        <v/>
      </c>
    </row>
    <row r="3725">
      <c r="A3725" t="inlineStr">
        <is>
          <t>LD-303723</t>
        </is>
      </c>
      <c r="B3725" t="inlineStr">
        <is>
          <t>2025-07-31 16:30:00</t>
        </is>
      </c>
      <c r="C3725" t="inlineStr">
        <is>
          <t>Referral</t>
        </is>
      </c>
      <c r="D3725" t="inlineStr">
        <is>
          <t>Language Learning</t>
        </is>
      </c>
      <c r="E3725" t="inlineStr">
        <is>
          <t>North Region</t>
        </is>
      </c>
      <c r="F3725" t="inlineStr">
        <is>
          <t>Rep_06</t>
        </is>
      </c>
      <c r="G3725" t="n">
        <v>4.46</v>
      </c>
      <c r="H3725" t="inlineStr">
        <is>
          <t>Contacted</t>
        </is>
      </c>
      <c r="I3725" t="inlineStr">
        <is>
          <t>Open</t>
        </is>
      </c>
      <c r="M3725">
        <f>VLOOKUP(H3725,'Stage Order'!$A$2:$B$8,2,FALSE)</f>
        <v/>
      </c>
      <c r="N3725">
        <f>IF(G3725&lt;=1,"1. Under 1 hour",IF(G3725&lt;=24,"2. 1-24 hours",IF(G3725&lt;=72,"3. 1-3 days","4. Over 3 days")))</f>
        <v/>
      </c>
      <c r="O3725">
        <f>TEXT(B3725,"YYYY-MM")</f>
        <v/>
      </c>
    </row>
    <row r="3726">
      <c r="A3726" t="inlineStr">
        <is>
          <t>LD-303724</t>
        </is>
      </c>
      <c r="B3726" t="inlineStr">
        <is>
          <t>2025-04-11 18:20:00</t>
        </is>
      </c>
      <c r="C3726" t="inlineStr">
        <is>
          <t>Social Media</t>
        </is>
      </c>
      <c r="D3726" t="inlineStr">
        <is>
          <t>Study Abroad Prep</t>
        </is>
      </c>
      <c r="E3726" t="inlineStr">
        <is>
          <t>East Region</t>
        </is>
      </c>
      <c r="F3726" t="inlineStr">
        <is>
          <t>Rep_14</t>
        </is>
      </c>
      <c r="G3726" t="n">
        <v>2.97</v>
      </c>
      <c r="H3726" t="inlineStr">
        <is>
          <t>Contacted</t>
        </is>
      </c>
      <c r="I3726" t="inlineStr">
        <is>
          <t>Open</t>
        </is>
      </c>
      <c r="M3726">
        <f>VLOOKUP(H3726,'Stage Order'!$A$2:$B$8,2,FALSE)</f>
        <v/>
      </c>
      <c r="N3726">
        <f>IF(G3726&lt;=1,"1. Under 1 hour",IF(G3726&lt;=24,"2. 1-24 hours",IF(G3726&lt;=72,"3. 1-3 days","4. Over 3 days")))</f>
        <v/>
      </c>
      <c r="O3726">
        <f>TEXT(B3726,"YYYY-MM")</f>
        <v/>
      </c>
    </row>
    <row r="3727">
      <c r="A3727" t="inlineStr">
        <is>
          <t>LD-303725</t>
        </is>
      </c>
      <c r="B3727" t="inlineStr">
        <is>
          <t>2025-10-08 14:36:00</t>
        </is>
      </c>
      <c r="C3727" t="inlineStr">
        <is>
          <t>Referral</t>
        </is>
      </c>
      <c r="D3727" t="inlineStr">
        <is>
          <t>Coding for Kids</t>
        </is>
      </c>
      <c r="E3727" t="inlineStr">
        <is>
          <t>South Region</t>
        </is>
      </c>
      <c r="F3727" t="inlineStr">
        <is>
          <t>Rep_02</t>
        </is>
      </c>
      <c r="G3727" t="n">
        <v>2.58</v>
      </c>
      <c r="H3727" t="inlineStr">
        <is>
          <t>Contacted</t>
        </is>
      </c>
      <c r="I3727" t="inlineStr">
        <is>
          <t>Open</t>
        </is>
      </c>
      <c r="M3727">
        <f>VLOOKUP(H3727,'Stage Order'!$A$2:$B$8,2,FALSE)</f>
        <v/>
      </c>
      <c r="N3727">
        <f>IF(G3727&lt;=1,"1. Under 1 hour",IF(G3727&lt;=24,"2. 1-24 hours",IF(G3727&lt;=72,"3. 1-3 days","4. Over 3 days")))</f>
        <v/>
      </c>
      <c r="O3727">
        <f>TEXT(B3727,"YYYY-MM")</f>
        <v/>
      </c>
    </row>
    <row r="3728">
      <c r="A3728" t="inlineStr">
        <is>
          <t>LD-303726</t>
        </is>
      </c>
      <c r="B3728" t="inlineStr">
        <is>
          <t>2025-07-14 12:19:00</t>
        </is>
      </c>
      <c r="C3728" t="inlineStr">
        <is>
          <t>Referral</t>
        </is>
      </c>
      <c r="D3728" t="inlineStr">
        <is>
          <t>Competitive Exam Prep</t>
        </is>
      </c>
      <c r="E3728" t="inlineStr">
        <is>
          <t>East Region</t>
        </is>
      </c>
      <c r="F3728" t="inlineStr">
        <is>
          <t>Rep_04</t>
        </is>
      </c>
      <c r="G3728" t="n">
        <v>2.23</v>
      </c>
      <c r="H3728" t="inlineStr">
        <is>
          <t>Proposal Sent</t>
        </is>
      </c>
      <c r="I3728" t="inlineStr">
        <is>
          <t>Lost</t>
        </is>
      </c>
      <c r="J3728" t="inlineStr">
        <is>
          <t>Went With Competitor</t>
        </is>
      </c>
      <c r="K3728" t="n">
        <v>1159.25</v>
      </c>
      <c r="L3728" t="inlineStr">
        <is>
          <t>2025-08-17 18:20:33.825060</t>
        </is>
      </c>
      <c r="M3728">
        <f>VLOOKUP(H3728,'Stage Order'!$A$2:$B$8,2,FALSE)</f>
        <v/>
      </c>
      <c r="N3728">
        <f>IF(G3728&lt;=1,"1. Under 1 hour",IF(G3728&lt;=24,"2. 1-24 hours",IF(G3728&lt;=72,"3. 1-3 days","4. Over 3 days")))</f>
        <v/>
      </c>
      <c r="O3728">
        <f>TEXT(B3728,"YYYY-MM")</f>
        <v/>
      </c>
    </row>
    <row r="3729">
      <c r="A3729" t="inlineStr">
        <is>
          <t>LD-303727</t>
        </is>
      </c>
      <c r="B3729" t="inlineStr">
        <is>
          <t>2026-01-23 14:56:00</t>
        </is>
      </c>
      <c r="C3729" t="inlineStr">
        <is>
          <t>Organic Search</t>
        </is>
      </c>
      <c r="D3729" t="inlineStr">
        <is>
          <t>Study Abroad Prep</t>
        </is>
      </c>
      <c r="E3729" t="inlineStr">
        <is>
          <t>South Region</t>
        </is>
      </c>
      <c r="F3729" t="inlineStr">
        <is>
          <t>Rep_02</t>
        </is>
      </c>
      <c r="G3729" t="n">
        <v>3.24</v>
      </c>
      <c r="H3729" t="inlineStr">
        <is>
          <t>Contacted</t>
        </is>
      </c>
      <c r="I3729" t="inlineStr">
        <is>
          <t>Open</t>
        </is>
      </c>
      <c r="M3729">
        <f>VLOOKUP(H3729,'Stage Order'!$A$2:$B$8,2,FALSE)</f>
        <v/>
      </c>
      <c r="N3729">
        <f>IF(G3729&lt;=1,"1. Under 1 hour",IF(G3729&lt;=24,"2. 1-24 hours",IF(G3729&lt;=72,"3. 1-3 days","4. Over 3 days")))</f>
        <v/>
      </c>
      <c r="O3729">
        <f>TEXT(B3729,"YYYY-MM")</f>
        <v/>
      </c>
    </row>
    <row r="3730">
      <c r="A3730" t="inlineStr">
        <is>
          <t>LD-303728</t>
        </is>
      </c>
      <c r="B3730" t="inlineStr">
        <is>
          <t>2025-06-20 17:55:00</t>
        </is>
      </c>
      <c r="C3730" t="inlineStr">
        <is>
          <t>Paid Search</t>
        </is>
      </c>
      <c r="D3730" t="inlineStr">
        <is>
          <t>K-12 Math</t>
        </is>
      </c>
      <c r="E3730" t="inlineStr">
        <is>
          <t>South Region</t>
        </is>
      </c>
      <c r="F3730" t="inlineStr">
        <is>
          <t>Rep_12</t>
        </is>
      </c>
      <c r="G3730" t="n">
        <v>0.92</v>
      </c>
      <c r="H3730" t="inlineStr">
        <is>
          <t>Contacted</t>
        </is>
      </c>
      <c r="I3730" t="inlineStr">
        <is>
          <t>Open</t>
        </is>
      </c>
      <c r="M3730">
        <f>VLOOKUP(H3730,'Stage Order'!$A$2:$B$8,2,FALSE)</f>
        <v/>
      </c>
      <c r="N3730">
        <f>IF(G3730&lt;=1,"1. Under 1 hour",IF(G3730&lt;=24,"2. 1-24 hours",IF(G3730&lt;=72,"3. 1-3 days","4. Over 3 days")))</f>
        <v/>
      </c>
      <c r="O3730">
        <f>TEXT(B3730,"YYYY-MM")</f>
        <v/>
      </c>
    </row>
    <row r="3731">
      <c r="A3731" t="inlineStr">
        <is>
          <t>LD-303729</t>
        </is>
      </c>
      <c r="B3731" t="inlineStr">
        <is>
          <t>2025-10-15 12:27:00</t>
        </is>
      </c>
      <c r="C3731" t="inlineStr">
        <is>
          <t>Referral</t>
        </is>
      </c>
      <c r="D3731" t="inlineStr">
        <is>
          <t>Competitive Exam Prep</t>
        </is>
      </c>
      <c r="E3731" t="inlineStr">
        <is>
          <t>North Region</t>
        </is>
      </c>
      <c r="F3731" t="inlineStr">
        <is>
          <t>Rep_01</t>
        </is>
      </c>
      <c r="G3731" t="n">
        <v>4.28</v>
      </c>
      <c r="H3731" t="inlineStr">
        <is>
          <t>Contacted</t>
        </is>
      </c>
      <c r="I3731" t="inlineStr">
        <is>
          <t>Open</t>
        </is>
      </c>
      <c r="M3731">
        <f>VLOOKUP(H3731,'Stage Order'!$A$2:$B$8,2,FALSE)</f>
        <v/>
      </c>
      <c r="N3731">
        <f>IF(G3731&lt;=1,"1. Under 1 hour",IF(G3731&lt;=24,"2. 1-24 hours",IF(G3731&lt;=72,"3. 1-3 days","4. Over 3 days")))</f>
        <v/>
      </c>
      <c r="O3731">
        <f>TEXT(B3731,"YYYY-MM")</f>
        <v/>
      </c>
    </row>
    <row r="3732">
      <c r="A3732" t="inlineStr">
        <is>
          <t>LD-303730</t>
        </is>
      </c>
      <c r="B3732" t="inlineStr">
        <is>
          <t>2025-11-28 19:04:00</t>
        </is>
      </c>
      <c r="C3732" t="inlineStr">
        <is>
          <t>Referral</t>
        </is>
      </c>
      <c r="D3732" t="inlineStr">
        <is>
          <t>Study Abroad Prep</t>
        </is>
      </c>
      <c r="E3732" t="inlineStr">
        <is>
          <t>North Region</t>
        </is>
      </c>
      <c r="F3732" t="inlineStr">
        <is>
          <t>Rep_11</t>
        </is>
      </c>
      <c r="G3732" t="n">
        <v>4.51</v>
      </c>
      <c r="H3732" t="inlineStr">
        <is>
          <t>Closed</t>
        </is>
      </c>
      <c r="I3732" t="inlineStr">
        <is>
          <t>Won</t>
        </is>
      </c>
      <c r="K3732" t="n">
        <v>1491.15</v>
      </c>
      <c r="L3732" t="inlineStr">
        <is>
          <t>2026-01-14 02:07:54.169768</t>
        </is>
      </c>
      <c r="M3732">
        <f>VLOOKUP(H3732,'Stage Order'!$A$2:$B$8,2,FALSE)</f>
        <v/>
      </c>
      <c r="N3732">
        <f>IF(G3732&lt;=1,"1. Under 1 hour",IF(G3732&lt;=24,"2. 1-24 hours",IF(G3732&lt;=72,"3. 1-3 days","4. Over 3 days")))</f>
        <v/>
      </c>
      <c r="O3732">
        <f>TEXT(B3732,"YYYY-MM")</f>
        <v/>
      </c>
    </row>
    <row r="3733">
      <c r="A3733" t="inlineStr">
        <is>
          <t>LD-303731</t>
        </is>
      </c>
      <c r="B3733" t="inlineStr">
        <is>
          <t>2026-02-05 12:38:00</t>
        </is>
      </c>
      <c r="C3733" t="inlineStr">
        <is>
          <t>Social Media</t>
        </is>
      </c>
      <c r="D3733" t="inlineStr">
        <is>
          <t>Competitive Exam Prep</t>
        </is>
      </c>
      <c r="E3733" t="inlineStr">
        <is>
          <t>International</t>
        </is>
      </c>
      <c r="F3733" t="inlineStr">
        <is>
          <t>Rep_05</t>
        </is>
      </c>
      <c r="G3733" t="n">
        <v>1.78</v>
      </c>
      <c r="H3733" t="inlineStr">
        <is>
          <t>Contacted</t>
        </is>
      </c>
      <c r="I3733" t="inlineStr">
        <is>
          <t>Open</t>
        </is>
      </c>
      <c r="M3733">
        <f>VLOOKUP(H3733,'Stage Order'!$A$2:$B$8,2,FALSE)</f>
        <v/>
      </c>
      <c r="N3733">
        <f>IF(G3733&lt;=1,"1. Under 1 hour",IF(G3733&lt;=24,"2. 1-24 hours",IF(G3733&lt;=72,"3. 1-3 days","4. Over 3 days")))</f>
        <v/>
      </c>
      <c r="O3733">
        <f>TEXT(B3733,"YYYY-MM")</f>
        <v/>
      </c>
    </row>
    <row r="3734">
      <c r="A3734" t="inlineStr">
        <is>
          <t>LD-303732</t>
        </is>
      </c>
      <c r="B3734" t="inlineStr">
        <is>
          <t>2025-04-01 09:20:00</t>
        </is>
      </c>
      <c r="C3734" t="inlineStr">
        <is>
          <t>Referral</t>
        </is>
      </c>
      <c r="D3734" t="inlineStr">
        <is>
          <t>Competitive Exam Prep</t>
        </is>
      </c>
      <c r="E3734" t="inlineStr">
        <is>
          <t>South Region</t>
        </is>
      </c>
      <c r="F3734" t="inlineStr">
        <is>
          <t>Rep_12</t>
        </is>
      </c>
      <c r="G3734" t="n">
        <v>3.93</v>
      </c>
      <c r="H3734" t="inlineStr">
        <is>
          <t>Contacted</t>
        </is>
      </c>
      <c r="I3734" t="inlineStr">
        <is>
          <t>Open</t>
        </is>
      </c>
      <c r="M3734">
        <f>VLOOKUP(H3734,'Stage Order'!$A$2:$B$8,2,FALSE)</f>
        <v/>
      </c>
      <c r="N3734">
        <f>IF(G3734&lt;=1,"1. Under 1 hour",IF(G3734&lt;=24,"2. 1-24 hours",IF(G3734&lt;=72,"3. 1-3 days","4. Over 3 days")))</f>
        <v/>
      </c>
      <c r="O3734">
        <f>TEXT(B3734,"YYYY-MM")</f>
        <v/>
      </c>
    </row>
    <row r="3735">
      <c r="A3735" t="inlineStr">
        <is>
          <t>LD-303733</t>
        </is>
      </c>
      <c r="B3735" t="inlineStr">
        <is>
          <t>2025-08-01 13:24:00</t>
        </is>
      </c>
      <c r="C3735" t="inlineStr">
        <is>
          <t>Organic Search</t>
        </is>
      </c>
      <c r="D3735" t="inlineStr">
        <is>
          <t>Competitive Exam Prep</t>
        </is>
      </c>
      <c r="E3735" t="inlineStr">
        <is>
          <t>East Region</t>
        </is>
      </c>
      <c r="F3735" t="inlineStr">
        <is>
          <t>Rep_14</t>
        </is>
      </c>
      <c r="G3735" t="n">
        <v>2.37</v>
      </c>
      <c r="H3735" t="inlineStr">
        <is>
          <t>Contacted</t>
        </is>
      </c>
      <c r="I3735" t="inlineStr">
        <is>
          <t>Open</t>
        </is>
      </c>
      <c r="M3735">
        <f>VLOOKUP(H3735,'Stage Order'!$A$2:$B$8,2,FALSE)</f>
        <v/>
      </c>
      <c r="N3735">
        <f>IF(G3735&lt;=1,"1. Under 1 hour",IF(G3735&lt;=24,"2. 1-24 hours",IF(G3735&lt;=72,"3. 1-3 days","4. Over 3 days")))</f>
        <v/>
      </c>
      <c r="O3735">
        <f>TEXT(B3735,"YYYY-MM")</f>
        <v/>
      </c>
    </row>
    <row r="3736">
      <c r="A3736" t="inlineStr">
        <is>
          <t>LD-303734</t>
        </is>
      </c>
      <c r="B3736" t="inlineStr">
        <is>
          <t>2025-01-10 11:07:00</t>
        </is>
      </c>
      <c r="C3736" t="inlineStr">
        <is>
          <t>Referral</t>
        </is>
      </c>
      <c r="D3736" t="inlineStr">
        <is>
          <t>Competitive Exam Prep</t>
        </is>
      </c>
      <c r="E3736" t="inlineStr">
        <is>
          <t>North Region</t>
        </is>
      </c>
      <c r="F3736" t="inlineStr">
        <is>
          <t>Rep_06</t>
        </is>
      </c>
      <c r="G3736" t="n">
        <v>4.44</v>
      </c>
      <c r="H3736" t="inlineStr">
        <is>
          <t>Contacted</t>
        </is>
      </c>
      <c r="I3736" t="inlineStr">
        <is>
          <t>Open</t>
        </is>
      </c>
      <c r="M3736">
        <f>VLOOKUP(H3736,'Stage Order'!$A$2:$B$8,2,FALSE)</f>
        <v/>
      </c>
      <c r="N3736">
        <f>IF(G3736&lt;=1,"1. Under 1 hour",IF(G3736&lt;=24,"2. 1-24 hours",IF(G3736&lt;=72,"3. 1-3 days","4. Over 3 days")))</f>
        <v/>
      </c>
      <c r="O3736">
        <f>TEXT(B3736,"YYYY-MM")</f>
        <v/>
      </c>
    </row>
    <row r="3737">
      <c r="A3737" t="inlineStr">
        <is>
          <t>LD-303735</t>
        </is>
      </c>
      <c r="B3737" t="inlineStr">
        <is>
          <t>2025-08-28 13:34:00</t>
        </is>
      </c>
      <c r="C3737" t="inlineStr">
        <is>
          <t>Paid Search</t>
        </is>
      </c>
      <c r="D3737" t="inlineStr">
        <is>
          <t>Competitive Exam Prep</t>
        </is>
      </c>
      <c r="E3737" t="inlineStr">
        <is>
          <t>North Region</t>
        </is>
      </c>
      <c r="F3737" t="inlineStr">
        <is>
          <t>Rep_06</t>
        </is>
      </c>
      <c r="G3737" t="n">
        <v>12.07</v>
      </c>
      <c r="H3737" t="inlineStr">
        <is>
          <t>Negotiation</t>
        </is>
      </c>
      <c r="I3737" t="inlineStr">
        <is>
          <t>Lost</t>
        </is>
      </c>
      <c r="J3737" t="inlineStr">
        <is>
          <t>Bad Timing</t>
        </is>
      </c>
      <c r="K3737" t="n">
        <v>947.64</v>
      </c>
      <c r="L3737" t="inlineStr">
        <is>
          <t>2025-10-14 08:34:27.241573</t>
        </is>
      </c>
      <c r="M3737">
        <f>VLOOKUP(H3737,'Stage Order'!$A$2:$B$8,2,FALSE)</f>
        <v/>
      </c>
      <c r="N3737">
        <f>IF(G3737&lt;=1,"1. Under 1 hour",IF(G3737&lt;=24,"2. 1-24 hours",IF(G3737&lt;=72,"3. 1-3 days","4. Over 3 days")))</f>
        <v/>
      </c>
      <c r="O3737">
        <f>TEXT(B3737,"YYYY-MM")</f>
        <v/>
      </c>
    </row>
    <row r="3738">
      <c r="A3738" t="inlineStr">
        <is>
          <t>LD-303736</t>
        </is>
      </c>
      <c r="B3738" t="inlineStr">
        <is>
          <t>2025-09-03 08:48:00</t>
        </is>
      </c>
      <c r="C3738" t="inlineStr">
        <is>
          <t>Partner Channel</t>
        </is>
      </c>
      <c r="D3738" t="inlineStr">
        <is>
          <t>K-12 Math</t>
        </is>
      </c>
      <c r="E3738" t="inlineStr">
        <is>
          <t>West Region</t>
        </is>
      </c>
      <c r="F3738" t="inlineStr">
        <is>
          <t>Rep_08</t>
        </is>
      </c>
      <c r="G3738" t="n">
        <v>1.98</v>
      </c>
      <c r="H3738" t="inlineStr">
        <is>
          <t>Closed</t>
        </is>
      </c>
      <c r="I3738" t="inlineStr">
        <is>
          <t>Won</t>
        </is>
      </c>
      <c r="K3738" t="n">
        <v>579.9299999999999</v>
      </c>
      <c r="L3738" t="inlineStr">
        <is>
          <t>2025-10-20 07:46:11.094374</t>
        </is>
      </c>
      <c r="M3738">
        <f>VLOOKUP(H3738,'Stage Order'!$A$2:$B$8,2,FALSE)</f>
        <v/>
      </c>
      <c r="N3738">
        <f>IF(G3738&lt;=1,"1. Under 1 hour",IF(G3738&lt;=24,"2. 1-24 hours",IF(G3738&lt;=72,"3. 1-3 days","4. Over 3 days")))</f>
        <v/>
      </c>
      <c r="O3738">
        <f>TEXT(B3738,"YYYY-MM")</f>
        <v/>
      </c>
    </row>
    <row r="3739">
      <c r="A3739" t="inlineStr">
        <is>
          <t>LD-303737</t>
        </is>
      </c>
      <c r="B3739" t="inlineStr">
        <is>
          <t>2026-05-06 13:14:00</t>
        </is>
      </c>
      <c r="C3739" t="inlineStr">
        <is>
          <t>Social Media</t>
        </is>
      </c>
      <c r="D3739" t="inlineStr">
        <is>
          <t>Language Learning</t>
        </is>
      </c>
      <c r="E3739" t="inlineStr">
        <is>
          <t>West Region</t>
        </is>
      </c>
      <c r="F3739" t="inlineStr">
        <is>
          <t>Rep_08</t>
        </is>
      </c>
      <c r="G3739" t="n">
        <v>10.07</v>
      </c>
      <c r="H3739" t="inlineStr">
        <is>
          <t>Contacted</t>
        </is>
      </c>
      <c r="I3739" t="inlineStr">
        <is>
          <t>Open</t>
        </is>
      </c>
      <c r="M3739">
        <f>VLOOKUP(H3739,'Stage Order'!$A$2:$B$8,2,FALSE)</f>
        <v/>
      </c>
      <c r="N3739">
        <f>IF(G3739&lt;=1,"1. Under 1 hour",IF(G3739&lt;=24,"2. 1-24 hours",IF(G3739&lt;=72,"3. 1-3 days","4. Over 3 days")))</f>
        <v/>
      </c>
      <c r="O3739">
        <f>TEXT(B3739,"YYYY-MM")</f>
        <v/>
      </c>
    </row>
    <row r="3740">
      <c r="A3740" t="inlineStr">
        <is>
          <t>LD-303738</t>
        </is>
      </c>
      <c r="B3740" t="inlineStr">
        <is>
          <t>2026-05-05 13:55:00</t>
        </is>
      </c>
      <c r="C3740" t="inlineStr">
        <is>
          <t>Referral</t>
        </is>
      </c>
      <c r="D3740" t="inlineStr">
        <is>
          <t>Competitive Exam Prep</t>
        </is>
      </c>
      <c r="E3740" t="inlineStr">
        <is>
          <t>East Region</t>
        </is>
      </c>
      <c r="F3740" t="inlineStr">
        <is>
          <t>Rep_04</t>
        </is>
      </c>
      <c r="G3740" t="n">
        <v>5.46</v>
      </c>
      <c r="H3740" t="inlineStr">
        <is>
          <t>Contacted</t>
        </is>
      </c>
      <c r="I3740" t="inlineStr">
        <is>
          <t>Open</t>
        </is>
      </c>
      <c r="M3740">
        <f>VLOOKUP(H3740,'Stage Order'!$A$2:$B$8,2,FALSE)</f>
        <v/>
      </c>
      <c r="N3740">
        <f>IF(G3740&lt;=1,"1. Under 1 hour",IF(G3740&lt;=24,"2. 1-24 hours",IF(G3740&lt;=72,"3. 1-3 days","4. Over 3 days")))</f>
        <v/>
      </c>
      <c r="O3740">
        <f>TEXT(B3740,"YYYY-MM")</f>
        <v/>
      </c>
    </row>
    <row r="3741">
      <c r="A3741" t="inlineStr">
        <is>
          <t>LD-303739</t>
        </is>
      </c>
      <c r="B3741" t="inlineStr">
        <is>
          <t>2026-01-07 12:17:00</t>
        </is>
      </c>
      <c r="C3741" t="inlineStr">
        <is>
          <t>Social Media</t>
        </is>
      </c>
      <c r="D3741" t="inlineStr">
        <is>
          <t>Coding for Kids</t>
        </is>
      </c>
      <c r="E3741" t="inlineStr">
        <is>
          <t>South Region</t>
        </is>
      </c>
      <c r="F3741" t="inlineStr">
        <is>
          <t>Rep_12</t>
        </is>
      </c>
      <c r="G3741" t="n">
        <v>0.92</v>
      </c>
      <c r="H3741" t="inlineStr">
        <is>
          <t>Lead</t>
        </is>
      </c>
      <c r="I3741" t="inlineStr">
        <is>
          <t>Open</t>
        </is>
      </c>
      <c r="M3741">
        <f>VLOOKUP(H3741,'Stage Order'!$A$2:$B$8,2,FALSE)</f>
        <v/>
      </c>
      <c r="N3741">
        <f>IF(G3741&lt;=1,"1. Under 1 hour",IF(G3741&lt;=24,"2. 1-24 hours",IF(G3741&lt;=72,"3. 1-3 days","4. Over 3 days")))</f>
        <v/>
      </c>
      <c r="O3741">
        <f>TEXT(B3741,"YYYY-MM")</f>
        <v/>
      </c>
    </row>
    <row r="3742">
      <c r="A3742" t="inlineStr">
        <is>
          <t>LD-303740</t>
        </is>
      </c>
      <c r="B3742" t="inlineStr">
        <is>
          <t>2025-04-23 10:58:00</t>
        </is>
      </c>
      <c r="C3742" t="inlineStr">
        <is>
          <t>Referral</t>
        </is>
      </c>
      <c r="D3742" t="inlineStr">
        <is>
          <t>Study Abroad Prep</t>
        </is>
      </c>
      <c r="E3742" t="inlineStr">
        <is>
          <t>East Region</t>
        </is>
      </c>
      <c r="F3742" t="inlineStr">
        <is>
          <t>Rep_14</t>
        </is>
      </c>
      <c r="G3742" t="n">
        <v>10.18</v>
      </c>
      <c r="H3742" t="inlineStr">
        <is>
          <t>Contacted</t>
        </is>
      </c>
      <c r="I3742" t="inlineStr">
        <is>
          <t>Open</t>
        </is>
      </c>
      <c r="M3742">
        <f>VLOOKUP(H3742,'Stage Order'!$A$2:$B$8,2,FALSE)</f>
        <v/>
      </c>
      <c r="N3742">
        <f>IF(G3742&lt;=1,"1. Under 1 hour",IF(G3742&lt;=24,"2. 1-24 hours",IF(G3742&lt;=72,"3. 1-3 days","4. Over 3 days")))</f>
        <v/>
      </c>
      <c r="O3742">
        <f>TEXT(B3742,"YYYY-MM")</f>
        <v/>
      </c>
    </row>
    <row r="3743">
      <c r="A3743" t="inlineStr">
        <is>
          <t>LD-303741</t>
        </is>
      </c>
      <c r="B3743" t="inlineStr">
        <is>
          <t>2026-04-22 15:15:00</t>
        </is>
      </c>
      <c r="C3743" t="inlineStr">
        <is>
          <t>Paid Search</t>
        </is>
      </c>
      <c r="D3743" t="inlineStr">
        <is>
          <t>Competitive Exam Prep</t>
        </is>
      </c>
      <c r="E3743" t="inlineStr">
        <is>
          <t>West Region</t>
        </is>
      </c>
      <c r="F3743" t="inlineStr">
        <is>
          <t>Rep_08</t>
        </is>
      </c>
      <c r="G3743" t="n">
        <v>1.07</v>
      </c>
      <c r="H3743" t="inlineStr">
        <is>
          <t>Contacted</t>
        </is>
      </c>
      <c r="I3743" t="inlineStr">
        <is>
          <t>Open</t>
        </is>
      </c>
      <c r="M3743">
        <f>VLOOKUP(H3743,'Stage Order'!$A$2:$B$8,2,FALSE)</f>
        <v/>
      </c>
      <c r="N3743">
        <f>IF(G3743&lt;=1,"1. Under 1 hour",IF(G3743&lt;=24,"2. 1-24 hours",IF(G3743&lt;=72,"3. 1-3 days","4. Over 3 days")))</f>
        <v/>
      </c>
      <c r="O3743">
        <f>TEXT(B3743,"YYYY-MM")</f>
        <v/>
      </c>
    </row>
    <row r="3744">
      <c r="A3744" t="inlineStr">
        <is>
          <t>LD-303742</t>
        </is>
      </c>
      <c r="B3744" t="inlineStr">
        <is>
          <t>2026-04-10 07:24:00</t>
        </is>
      </c>
      <c r="C3744" t="inlineStr">
        <is>
          <t>Social Media</t>
        </is>
      </c>
      <c r="D3744" t="inlineStr">
        <is>
          <t>Language Learning</t>
        </is>
      </c>
      <c r="E3744" t="inlineStr">
        <is>
          <t>North Region</t>
        </is>
      </c>
      <c r="F3744" t="inlineStr">
        <is>
          <t>Rep_01</t>
        </is>
      </c>
      <c r="G3744" t="n">
        <v>4.52</v>
      </c>
      <c r="H3744" t="inlineStr">
        <is>
          <t>Contacted</t>
        </is>
      </c>
      <c r="I3744" t="inlineStr">
        <is>
          <t>Open</t>
        </is>
      </c>
      <c r="M3744">
        <f>VLOOKUP(H3744,'Stage Order'!$A$2:$B$8,2,FALSE)</f>
        <v/>
      </c>
      <c r="N3744">
        <f>IF(G3744&lt;=1,"1. Under 1 hour",IF(G3744&lt;=24,"2. 1-24 hours",IF(G3744&lt;=72,"3. 1-3 days","4. Over 3 days")))</f>
        <v/>
      </c>
      <c r="O3744">
        <f>TEXT(B3744,"YYYY-MM")</f>
        <v/>
      </c>
    </row>
    <row r="3745">
      <c r="A3745" t="inlineStr">
        <is>
          <t>LD-303743</t>
        </is>
      </c>
      <c r="B3745" t="inlineStr">
        <is>
          <t>2026-06-12 13:40:00</t>
        </is>
      </c>
      <c r="C3745" t="inlineStr">
        <is>
          <t>Organic Search</t>
        </is>
      </c>
      <c r="D3745" t="inlineStr">
        <is>
          <t>Competitive Exam Prep</t>
        </is>
      </c>
      <c r="E3745" t="inlineStr">
        <is>
          <t>North Region</t>
        </is>
      </c>
      <c r="F3745" t="inlineStr">
        <is>
          <t>Rep_11</t>
        </is>
      </c>
      <c r="G3745" t="n">
        <v>1.46</v>
      </c>
      <c r="H3745" t="inlineStr">
        <is>
          <t>Contacted</t>
        </is>
      </c>
      <c r="I3745" t="inlineStr">
        <is>
          <t>Open</t>
        </is>
      </c>
      <c r="M3745">
        <f>VLOOKUP(H3745,'Stage Order'!$A$2:$B$8,2,FALSE)</f>
        <v/>
      </c>
      <c r="N3745">
        <f>IF(G3745&lt;=1,"1. Under 1 hour",IF(G3745&lt;=24,"2. 1-24 hours",IF(G3745&lt;=72,"3. 1-3 days","4. Over 3 days")))</f>
        <v/>
      </c>
      <c r="O3745">
        <f>TEXT(B3745,"YYYY-MM")</f>
        <v/>
      </c>
    </row>
    <row r="3746">
      <c r="A3746" t="inlineStr">
        <is>
          <t>LD-303744</t>
        </is>
      </c>
      <c r="B3746" t="inlineStr">
        <is>
          <t>2026-03-13 14:33:00</t>
        </is>
      </c>
      <c r="C3746" t="inlineStr">
        <is>
          <t>Partner Channel</t>
        </is>
      </c>
      <c r="D3746" t="inlineStr">
        <is>
          <t>Competitive Exam Prep</t>
        </is>
      </c>
      <c r="E3746" t="inlineStr">
        <is>
          <t>West Region</t>
        </is>
      </c>
      <c r="F3746" t="inlineStr">
        <is>
          <t>Rep_13</t>
        </is>
      </c>
      <c r="G3746" t="n">
        <v>0.82</v>
      </c>
      <c r="H3746" t="inlineStr">
        <is>
          <t>Closed</t>
        </is>
      </c>
      <c r="I3746" t="inlineStr">
        <is>
          <t>Won</t>
        </is>
      </c>
      <c r="K3746" t="n">
        <v>951.13</v>
      </c>
      <c r="L3746" t="inlineStr">
        <is>
          <t>2026-04-05 02:48:45.991548</t>
        </is>
      </c>
      <c r="M3746">
        <f>VLOOKUP(H3746,'Stage Order'!$A$2:$B$8,2,FALSE)</f>
        <v/>
      </c>
      <c r="N3746">
        <f>IF(G3746&lt;=1,"1. Under 1 hour",IF(G3746&lt;=24,"2. 1-24 hours",IF(G3746&lt;=72,"3. 1-3 days","4. Over 3 days")))</f>
        <v/>
      </c>
      <c r="O3746">
        <f>TEXT(B3746,"YYYY-MM")</f>
        <v/>
      </c>
    </row>
    <row r="3747">
      <c r="A3747" t="inlineStr">
        <is>
          <t>LD-303745</t>
        </is>
      </c>
      <c r="B3747" t="inlineStr">
        <is>
          <t>2025-07-17 14:13:00</t>
        </is>
      </c>
      <c r="C3747" t="inlineStr">
        <is>
          <t>Paid Search</t>
        </is>
      </c>
      <c r="D3747" t="inlineStr">
        <is>
          <t>Competitive Exam Prep</t>
        </is>
      </c>
      <c r="E3747" t="inlineStr">
        <is>
          <t>East Region</t>
        </is>
      </c>
      <c r="F3747" t="inlineStr">
        <is>
          <t>Rep_09</t>
        </is>
      </c>
      <c r="G3747" t="n">
        <v>3.23</v>
      </c>
      <c r="H3747" t="inlineStr">
        <is>
          <t>Lead</t>
        </is>
      </c>
      <c r="I3747" t="inlineStr">
        <is>
          <t>Open</t>
        </is>
      </c>
      <c r="M3747">
        <f>VLOOKUP(H3747,'Stage Order'!$A$2:$B$8,2,FALSE)</f>
        <v/>
      </c>
      <c r="N3747">
        <f>IF(G3747&lt;=1,"1. Under 1 hour",IF(G3747&lt;=24,"2. 1-24 hours",IF(G3747&lt;=72,"3. 1-3 days","4. Over 3 days")))</f>
        <v/>
      </c>
      <c r="O3747">
        <f>TEXT(B3747,"YYYY-MM")</f>
        <v/>
      </c>
    </row>
    <row r="3748">
      <c r="A3748" t="inlineStr">
        <is>
          <t>LD-303746</t>
        </is>
      </c>
      <c r="B3748" t="inlineStr">
        <is>
          <t>2025-12-19 11:56:00</t>
        </is>
      </c>
      <c r="C3748" t="inlineStr">
        <is>
          <t>Partner Channel</t>
        </is>
      </c>
      <c r="D3748" t="inlineStr">
        <is>
          <t>Competitive Exam Prep</t>
        </is>
      </c>
      <c r="E3748" t="inlineStr">
        <is>
          <t>East Region</t>
        </is>
      </c>
      <c r="F3748" t="inlineStr">
        <is>
          <t>Rep_04</t>
        </is>
      </c>
      <c r="G3748" t="n">
        <v>1.12</v>
      </c>
      <c r="H3748" t="inlineStr">
        <is>
          <t>Lead</t>
        </is>
      </c>
      <c r="I3748" t="inlineStr">
        <is>
          <t>Open</t>
        </is>
      </c>
      <c r="M3748">
        <f>VLOOKUP(H3748,'Stage Order'!$A$2:$B$8,2,FALSE)</f>
        <v/>
      </c>
      <c r="N3748">
        <f>IF(G3748&lt;=1,"1. Under 1 hour",IF(G3748&lt;=24,"2. 1-24 hours",IF(G3748&lt;=72,"3. 1-3 days","4. Over 3 days")))</f>
        <v/>
      </c>
      <c r="O3748">
        <f>TEXT(B3748,"YYYY-MM")</f>
        <v/>
      </c>
    </row>
    <row r="3749">
      <c r="A3749" t="inlineStr">
        <is>
          <t>LD-303747</t>
        </is>
      </c>
      <c r="B3749" t="inlineStr">
        <is>
          <t>2026-04-12 15:39:00</t>
        </is>
      </c>
      <c r="C3749" t="inlineStr">
        <is>
          <t>Referral</t>
        </is>
      </c>
      <c r="D3749" t="inlineStr">
        <is>
          <t>Study Abroad Prep</t>
        </is>
      </c>
      <c r="E3749" t="inlineStr">
        <is>
          <t>South Region</t>
        </is>
      </c>
      <c r="F3749" t="inlineStr">
        <is>
          <t>Rep_12</t>
        </is>
      </c>
      <c r="G3749" t="n">
        <v>7.12</v>
      </c>
      <c r="H3749" t="inlineStr">
        <is>
          <t>Closed</t>
        </is>
      </c>
      <c r="I3749" t="inlineStr">
        <is>
          <t>Won</t>
        </is>
      </c>
      <c r="K3749" t="n">
        <v>1383.49</v>
      </c>
      <c r="L3749" t="inlineStr">
        <is>
          <t>2026-05-29 20:26:38.056480</t>
        </is>
      </c>
      <c r="M3749">
        <f>VLOOKUP(H3749,'Stage Order'!$A$2:$B$8,2,FALSE)</f>
        <v/>
      </c>
      <c r="N3749">
        <f>IF(G3749&lt;=1,"1. Under 1 hour",IF(G3749&lt;=24,"2. 1-24 hours",IF(G3749&lt;=72,"3. 1-3 days","4. Over 3 days")))</f>
        <v/>
      </c>
      <c r="O3749">
        <f>TEXT(B3749,"YYYY-MM")</f>
        <v/>
      </c>
    </row>
    <row r="3750">
      <c r="A3750" t="inlineStr">
        <is>
          <t>LD-303748</t>
        </is>
      </c>
      <c r="B3750" t="inlineStr">
        <is>
          <t>2026-04-11 12:20:00</t>
        </is>
      </c>
      <c r="C3750" t="inlineStr">
        <is>
          <t>Organic Search</t>
        </is>
      </c>
      <c r="D3750" t="inlineStr">
        <is>
          <t>Language Learning</t>
        </is>
      </c>
      <c r="E3750" t="inlineStr">
        <is>
          <t>South Region</t>
        </is>
      </c>
      <c r="F3750" t="inlineStr">
        <is>
          <t>Rep_12</t>
        </is>
      </c>
      <c r="G3750" t="n">
        <v>0.84</v>
      </c>
      <c r="H3750" t="inlineStr">
        <is>
          <t>Contacted</t>
        </is>
      </c>
      <c r="I3750" t="inlineStr">
        <is>
          <t>Open</t>
        </is>
      </c>
      <c r="M3750">
        <f>VLOOKUP(H3750,'Stage Order'!$A$2:$B$8,2,FALSE)</f>
        <v/>
      </c>
      <c r="N3750">
        <f>IF(G3750&lt;=1,"1. Under 1 hour",IF(G3750&lt;=24,"2. 1-24 hours",IF(G3750&lt;=72,"3. 1-3 days","4. Over 3 days")))</f>
        <v/>
      </c>
      <c r="O3750">
        <f>TEXT(B3750,"YYYY-MM")</f>
        <v/>
      </c>
    </row>
    <row r="3751">
      <c r="A3751" t="inlineStr">
        <is>
          <t>LD-303749</t>
        </is>
      </c>
      <c r="B3751" t="inlineStr">
        <is>
          <t>2025-11-06 07:35:00</t>
        </is>
      </c>
      <c r="C3751" t="inlineStr">
        <is>
          <t>Organic Search</t>
        </is>
      </c>
      <c r="D3751" t="inlineStr">
        <is>
          <t>Language Learning</t>
        </is>
      </c>
      <c r="E3751" t="inlineStr">
        <is>
          <t>West Region</t>
        </is>
      </c>
      <c r="F3751" t="inlineStr">
        <is>
          <t>Rep_03</t>
        </is>
      </c>
      <c r="G3751" t="n">
        <v>3.32</v>
      </c>
      <c r="H3751" t="inlineStr">
        <is>
          <t>Contacted</t>
        </is>
      </c>
      <c r="I3751" t="inlineStr">
        <is>
          <t>Open</t>
        </is>
      </c>
      <c r="M3751">
        <f>VLOOKUP(H3751,'Stage Order'!$A$2:$B$8,2,FALSE)</f>
        <v/>
      </c>
      <c r="N3751">
        <f>IF(G3751&lt;=1,"1. Under 1 hour",IF(G3751&lt;=24,"2. 1-24 hours",IF(G3751&lt;=72,"3. 1-3 days","4. Over 3 days")))</f>
        <v/>
      </c>
      <c r="O3751">
        <f>TEXT(B3751,"YYYY-MM")</f>
        <v/>
      </c>
    </row>
    <row r="3752">
      <c r="A3752" t="inlineStr">
        <is>
          <t>LD-303750</t>
        </is>
      </c>
      <c r="B3752" t="inlineStr">
        <is>
          <t>2026-03-12 17:29:00</t>
        </is>
      </c>
      <c r="C3752" t="inlineStr">
        <is>
          <t>Cold Outreach</t>
        </is>
      </c>
      <c r="D3752" t="inlineStr">
        <is>
          <t>K-12 Math</t>
        </is>
      </c>
      <c r="E3752" t="inlineStr">
        <is>
          <t>West Region</t>
        </is>
      </c>
      <c r="F3752" t="inlineStr">
        <is>
          <t>Rep_03</t>
        </is>
      </c>
      <c r="G3752" t="n">
        <v>3.66</v>
      </c>
      <c r="H3752" t="inlineStr">
        <is>
          <t>Contacted</t>
        </is>
      </c>
      <c r="I3752" t="inlineStr">
        <is>
          <t>Open</t>
        </is>
      </c>
      <c r="M3752">
        <f>VLOOKUP(H3752,'Stage Order'!$A$2:$B$8,2,FALSE)</f>
        <v/>
      </c>
      <c r="N3752">
        <f>IF(G3752&lt;=1,"1. Under 1 hour",IF(G3752&lt;=24,"2. 1-24 hours",IF(G3752&lt;=72,"3. 1-3 days","4. Over 3 days")))</f>
        <v/>
      </c>
      <c r="O3752">
        <f>TEXT(B3752,"YYYY-MM")</f>
        <v/>
      </c>
    </row>
    <row r="3753">
      <c r="A3753" t="inlineStr">
        <is>
          <t>LD-303751</t>
        </is>
      </c>
      <c r="B3753" t="inlineStr">
        <is>
          <t>2025-12-04 15:39:00</t>
        </is>
      </c>
      <c r="C3753" t="inlineStr">
        <is>
          <t>Organic Search</t>
        </is>
      </c>
      <c r="D3753" t="inlineStr">
        <is>
          <t>Study Abroad Prep</t>
        </is>
      </c>
      <c r="E3753" t="inlineStr">
        <is>
          <t>South Region</t>
        </is>
      </c>
      <c r="F3753" t="inlineStr">
        <is>
          <t>Rep_07</t>
        </is>
      </c>
      <c r="G3753" t="n">
        <v>0.97</v>
      </c>
      <c r="H3753" t="inlineStr">
        <is>
          <t>Contacted</t>
        </is>
      </c>
      <c r="I3753" t="inlineStr">
        <is>
          <t>Open</t>
        </is>
      </c>
      <c r="M3753">
        <f>VLOOKUP(H3753,'Stage Order'!$A$2:$B$8,2,FALSE)</f>
        <v/>
      </c>
      <c r="N3753">
        <f>IF(G3753&lt;=1,"1. Under 1 hour",IF(G3753&lt;=24,"2. 1-24 hours",IF(G3753&lt;=72,"3. 1-3 days","4. Over 3 days")))</f>
        <v/>
      </c>
      <c r="O3753">
        <f>TEXT(B3753,"YYYY-MM")</f>
        <v/>
      </c>
    </row>
    <row r="3754">
      <c r="A3754" t="inlineStr">
        <is>
          <t>LD-303752</t>
        </is>
      </c>
      <c r="B3754" t="inlineStr">
        <is>
          <t>2025-10-03 09:05:00</t>
        </is>
      </c>
      <c r="C3754" t="inlineStr">
        <is>
          <t>Referral</t>
        </is>
      </c>
      <c r="D3754" t="inlineStr">
        <is>
          <t>Language Learning</t>
        </is>
      </c>
      <c r="E3754" t="inlineStr">
        <is>
          <t>South Region</t>
        </is>
      </c>
      <c r="F3754" t="inlineStr">
        <is>
          <t>Rep_02</t>
        </is>
      </c>
      <c r="G3754" t="n">
        <v>10.94</v>
      </c>
      <c r="H3754" t="inlineStr">
        <is>
          <t>Closed</t>
        </is>
      </c>
      <c r="I3754" t="inlineStr">
        <is>
          <t>Won</t>
        </is>
      </c>
      <c r="K3754" t="n">
        <v>324.26</v>
      </c>
      <c r="L3754" t="inlineStr">
        <is>
          <t>2025-11-07 11:30:48.080089</t>
        </is>
      </c>
      <c r="M3754">
        <f>VLOOKUP(H3754,'Stage Order'!$A$2:$B$8,2,FALSE)</f>
        <v/>
      </c>
      <c r="N3754">
        <f>IF(G3754&lt;=1,"1. Under 1 hour",IF(G3754&lt;=24,"2. 1-24 hours",IF(G3754&lt;=72,"3. 1-3 days","4. Over 3 days")))</f>
        <v/>
      </c>
      <c r="O3754">
        <f>TEXT(B3754,"YYYY-MM")</f>
        <v/>
      </c>
    </row>
    <row r="3755">
      <c r="A3755" t="inlineStr">
        <is>
          <t>LD-303753</t>
        </is>
      </c>
      <c r="B3755" t="inlineStr">
        <is>
          <t>2025-01-07 20:38:00</t>
        </is>
      </c>
      <c r="C3755" t="inlineStr">
        <is>
          <t>Webinar</t>
        </is>
      </c>
      <c r="D3755" t="inlineStr">
        <is>
          <t>Competitive Exam Prep</t>
        </is>
      </c>
      <c r="E3755" t="inlineStr">
        <is>
          <t>North Region</t>
        </is>
      </c>
      <c r="F3755" t="inlineStr">
        <is>
          <t>Rep_01</t>
        </is>
      </c>
      <c r="G3755" t="n">
        <v>1.87</v>
      </c>
      <c r="H3755" t="inlineStr">
        <is>
          <t>Negotiation</t>
        </is>
      </c>
      <c r="I3755" t="inlineStr">
        <is>
          <t>Lost</t>
        </is>
      </c>
      <c r="J3755" t="inlineStr">
        <is>
          <t>Price Objection</t>
        </is>
      </c>
      <c r="K3755" t="n">
        <v>1012.8</v>
      </c>
      <c r="L3755" t="inlineStr">
        <is>
          <t>2025-02-28 13:02:11.700966</t>
        </is>
      </c>
      <c r="M3755">
        <f>VLOOKUP(H3755,'Stage Order'!$A$2:$B$8,2,FALSE)</f>
        <v/>
      </c>
      <c r="N3755">
        <f>IF(G3755&lt;=1,"1. Under 1 hour",IF(G3755&lt;=24,"2. 1-24 hours",IF(G3755&lt;=72,"3. 1-3 days","4. Over 3 days")))</f>
        <v/>
      </c>
      <c r="O3755">
        <f>TEXT(B3755,"YYYY-MM")</f>
        <v/>
      </c>
    </row>
    <row r="3756">
      <c r="A3756" t="inlineStr">
        <is>
          <t>LD-303754</t>
        </is>
      </c>
      <c r="B3756" t="inlineStr">
        <is>
          <t>2025-12-20 15:26:00</t>
        </is>
      </c>
      <c r="C3756" t="inlineStr">
        <is>
          <t>Cold Outreach</t>
        </is>
      </c>
      <c r="D3756" t="inlineStr">
        <is>
          <t>Competitive Exam Prep</t>
        </is>
      </c>
      <c r="E3756" t="inlineStr">
        <is>
          <t>East Region</t>
        </is>
      </c>
      <c r="F3756" t="inlineStr">
        <is>
          <t>Rep_04</t>
        </is>
      </c>
      <c r="G3756" t="n">
        <v>0.93</v>
      </c>
      <c r="H3756" t="inlineStr">
        <is>
          <t>Lead</t>
        </is>
      </c>
      <c r="I3756" t="inlineStr">
        <is>
          <t>Open</t>
        </is>
      </c>
      <c r="M3756">
        <f>VLOOKUP(H3756,'Stage Order'!$A$2:$B$8,2,FALSE)</f>
        <v/>
      </c>
      <c r="N3756">
        <f>IF(G3756&lt;=1,"1. Under 1 hour",IF(G3756&lt;=24,"2. 1-24 hours",IF(G3756&lt;=72,"3. 1-3 days","4. Over 3 days")))</f>
        <v/>
      </c>
      <c r="O3756">
        <f>TEXT(B3756,"YYYY-MM")</f>
        <v/>
      </c>
    </row>
    <row r="3757">
      <c r="A3757" t="inlineStr">
        <is>
          <t>LD-303755</t>
        </is>
      </c>
      <c r="B3757" t="inlineStr">
        <is>
          <t>2026-01-02 08:58:00</t>
        </is>
      </c>
      <c r="C3757" t="inlineStr">
        <is>
          <t>Organic Search</t>
        </is>
      </c>
      <c r="D3757" t="inlineStr">
        <is>
          <t>Study Abroad Prep</t>
        </is>
      </c>
      <c r="E3757" t="inlineStr">
        <is>
          <t>North Region</t>
        </is>
      </c>
      <c r="F3757" t="inlineStr">
        <is>
          <t>Rep_01</t>
        </is>
      </c>
      <c r="G3757" t="n">
        <v>2.16</v>
      </c>
      <c r="H3757" t="inlineStr">
        <is>
          <t>Contacted</t>
        </is>
      </c>
      <c r="I3757" t="inlineStr">
        <is>
          <t>Open</t>
        </is>
      </c>
      <c r="M3757">
        <f>VLOOKUP(H3757,'Stage Order'!$A$2:$B$8,2,FALSE)</f>
        <v/>
      </c>
      <c r="N3757">
        <f>IF(G3757&lt;=1,"1. Under 1 hour",IF(G3757&lt;=24,"2. 1-24 hours",IF(G3757&lt;=72,"3. 1-3 days","4. Over 3 days")))</f>
        <v/>
      </c>
      <c r="O3757">
        <f>TEXT(B3757,"YYYY-MM")</f>
        <v/>
      </c>
    </row>
    <row r="3758">
      <c r="A3758" t="inlineStr">
        <is>
          <t>LD-303756</t>
        </is>
      </c>
      <c r="B3758" t="inlineStr">
        <is>
          <t>2026-06-04 19:19:00</t>
        </is>
      </c>
      <c r="C3758" t="inlineStr">
        <is>
          <t>Cold Outreach</t>
        </is>
      </c>
      <c r="D3758" t="inlineStr">
        <is>
          <t>K-12 Math</t>
        </is>
      </c>
      <c r="E3758" t="inlineStr">
        <is>
          <t>East Region</t>
        </is>
      </c>
      <c r="F3758" t="inlineStr">
        <is>
          <t>Rep_14</t>
        </is>
      </c>
      <c r="G3758" t="n">
        <v>1.72</v>
      </c>
      <c r="H3758" t="inlineStr">
        <is>
          <t>Demo Scheduled</t>
        </is>
      </c>
      <c r="I3758" t="inlineStr">
        <is>
          <t>Open</t>
        </is>
      </c>
      <c r="M3758">
        <f>VLOOKUP(H3758,'Stage Order'!$A$2:$B$8,2,FALSE)</f>
        <v/>
      </c>
      <c r="N3758">
        <f>IF(G3758&lt;=1,"1. Under 1 hour",IF(G3758&lt;=24,"2. 1-24 hours",IF(G3758&lt;=72,"3. 1-3 days","4. Over 3 days")))</f>
        <v/>
      </c>
      <c r="O3758">
        <f>TEXT(B3758,"YYYY-MM")</f>
        <v/>
      </c>
    </row>
    <row r="3759">
      <c r="A3759" t="inlineStr">
        <is>
          <t>LD-303757</t>
        </is>
      </c>
      <c r="B3759" t="inlineStr">
        <is>
          <t>2025-03-24 10:27:00</t>
        </is>
      </c>
      <c r="C3759" t="inlineStr">
        <is>
          <t>Social Media</t>
        </is>
      </c>
      <c r="D3759" t="inlineStr">
        <is>
          <t>K-12 Math</t>
        </is>
      </c>
      <c r="E3759" t="inlineStr">
        <is>
          <t>West Region</t>
        </is>
      </c>
      <c r="F3759" t="inlineStr">
        <is>
          <t>Rep_08</t>
        </is>
      </c>
      <c r="G3759" t="n">
        <v>2.92</v>
      </c>
      <c r="H3759" t="inlineStr">
        <is>
          <t>Contacted</t>
        </is>
      </c>
      <c r="I3759" t="inlineStr">
        <is>
          <t>Open</t>
        </is>
      </c>
      <c r="M3759">
        <f>VLOOKUP(H3759,'Stage Order'!$A$2:$B$8,2,FALSE)</f>
        <v/>
      </c>
      <c r="N3759">
        <f>IF(G3759&lt;=1,"1. Under 1 hour",IF(G3759&lt;=24,"2. 1-24 hours",IF(G3759&lt;=72,"3. 1-3 days","4. Over 3 days")))</f>
        <v/>
      </c>
      <c r="O3759">
        <f>TEXT(B3759,"YYYY-MM")</f>
        <v/>
      </c>
    </row>
    <row r="3760">
      <c r="A3760" t="inlineStr">
        <is>
          <t>LD-303758</t>
        </is>
      </c>
      <c r="B3760" t="inlineStr">
        <is>
          <t>2025-04-17 13:40:00</t>
        </is>
      </c>
      <c r="C3760" t="inlineStr">
        <is>
          <t>Organic Search</t>
        </is>
      </c>
      <c r="D3760" t="inlineStr">
        <is>
          <t>Language Learning</t>
        </is>
      </c>
      <c r="E3760" t="inlineStr">
        <is>
          <t>East Region</t>
        </is>
      </c>
      <c r="F3760" t="inlineStr">
        <is>
          <t>Rep_04</t>
        </is>
      </c>
      <c r="G3760" t="n">
        <v>16.67</v>
      </c>
      <c r="H3760" t="inlineStr">
        <is>
          <t>Demo Completed</t>
        </is>
      </c>
      <c r="I3760" t="inlineStr">
        <is>
          <t>Lost</t>
        </is>
      </c>
      <c r="J3760" t="inlineStr">
        <is>
          <t>Price Objection</t>
        </is>
      </c>
      <c r="K3760" t="n">
        <v>356.26</v>
      </c>
      <c r="L3760" t="inlineStr">
        <is>
          <t>2025-05-19 07:49:50.379614</t>
        </is>
      </c>
      <c r="M3760">
        <f>VLOOKUP(H3760,'Stage Order'!$A$2:$B$8,2,FALSE)</f>
        <v/>
      </c>
      <c r="N3760">
        <f>IF(G3760&lt;=1,"1. Under 1 hour",IF(G3760&lt;=24,"2. 1-24 hours",IF(G3760&lt;=72,"3. 1-3 days","4. Over 3 days")))</f>
        <v/>
      </c>
      <c r="O3760">
        <f>TEXT(B3760,"YYYY-MM")</f>
        <v/>
      </c>
    </row>
    <row r="3761">
      <c r="A3761" t="inlineStr">
        <is>
          <t>LD-303759</t>
        </is>
      </c>
      <c r="B3761" t="inlineStr">
        <is>
          <t>2025-09-01 15:05:00</t>
        </is>
      </c>
      <c r="C3761" t="inlineStr">
        <is>
          <t>Social Media</t>
        </is>
      </c>
      <c r="D3761" t="inlineStr">
        <is>
          <t>Competitive Exam Prep</t>
        </is>
      </c>
      <c r="E3761" t="inlineStr">
        <is>
          <t>International</t>
        </is>
      </c>
      <c r="F3761" t="inlineStr">
        <is>
          <t>Rep_10</t>
        </is>
      </c>
      <c r="G3761" t="n">
        <v>10.66</v>
      </c>
      <c r="H3761" t="inlineStr">
        <is>
          <t>Contacted</t>
        </is>
      </c>
      <c r="I3761" t="inlineStr">
        <is>
          <t>Open</t>
        </is>
      </c>
      <c r="M3761">
        <f>VLOOKUP(H3761,'Stage Order'!$A$2:$B$8,2,FALSE)</f>
        <v/>
      </c>
      <c r="N3761">
        <f>IF(G3761&lt;=1,"1. Under 1 hour",IF(G3761&lt;=24,"2. 1-24 hours",IF(G3761&lt;=72,"3. 1-3 days","4. Over 3 days")))</f>
        <v/>
      </c>
      <c r="O3761">
        <f>TEXT(B3761,"YYYY-MM")</f>
        <v/>
      </c>
    </row>
    <row r="3762">
      <c r="A3762" t="inlineStr">
        <is>
          <t>LD-303760</t>
        </is>
      </c>
      <c r="B3762" t="inlineStr">
        <is>
          <t>2026-06-18 10:15:00</t>
        </is>
      </c>
      <c r="C3762" t="inlineStr">
        <is>
          <t>Cold Outreach</t>
        </is>
      </c>
      <c r="D3762" t="inlineStr">
        <is>
          <t>Study Abroad Prep</t>
        </is>
      </c>
      <c r="E3762" t="inlineStr">
        <is>
          <t>West Region</t>
        </is>
      </c>
      <c r="F3762" t="inlineStr">
        <is>
          <t>Rep_13</t>
        </is>
      </c>
      <c r="G3762" t="n">
        <v>4.51</v>
      </c>
      <c r="H3762" t="inlineStr">
        <is>
          <t>Contacted</t>
        </is>
      </c>
      <c r="I3762" t="inlineStr">
        <is>
          <t>Open</t>
        </is>
      </c>
      <c r="M3762">
        <f>VLOOKUP(H3762,'Stage Order'!$A$2:$B$8,2,FALSE)</f>
        <v/>
      </c>
      <c r="N3762">
        <f>IF(G3762&lt;=1,"1. Under 1 hour",IF(G3762&lt;=24,"2. 1-24 hours",IF(G3762&lt;=72,"3. 1-3 days","4. Over 3 days")))</f>
        <v/>
      </c>
      <c r="O3762">
        <f>TEXT(B3762,"YYYY-MM")</f>
        <v/>
      </c>
    </row>
    <row r="3763">
      <c r="A3763" t="inlineStr">
        <is>
          <t>LD-303761</t>
        </is>
      </c>
      <c r="B3763" t="inlineStr">
        <is>
          <t>2026-04-22 16:24:00</t>
        </is>
      </c>
      <c r="C3763" t="inlineStr">
        <is>
          <t>Partner Channel</t>
        </is>
      </c>
      <c r="D3763" t="inlineStr">
        <is>
          <t>K-12 Math</t>
        </is>
      </c>
      <c r="E3763" t="inlineStr">
        <is>
          <t>International</t>
        </is>
      </c>
      <c r="F3763" t="inlineStr">
        <is>
          <t>Rep_15</t>
        </is>
      </c>
      <c r="G3763" t="n">
        <v>6.41</v>
      </c>
      <c r="H3763" t="inlineStr">
        <is>
          <t>Contacted</t>
        </is>
      </c>
      <c r="I3763" t="inlineStr">
        <is>
          <t>Open</t>
        </is>
      </c>
      <c r="M3763">
        <f>VLOOKUP(H3763,'Stage Order'!$A$2:$B$8,2,FALSE)</f>
        <v/>
      </c>
      <c r="N3763">
        <f>IF(G3763&lt;=1,"1. Under 1 hour",IF(G3763&lt;=24,"2. 1-24 hours",IF(G3763&lt;=72,"3. 1-3 days","4. Over 3 days")))</f>
        <v/>
      </c>
      <c r="O3763">
        <f>TEXT(B3763,"YYYY-MM")</f>
        <v/>
      </c>
    </row>
    <row r="3764">
      <c r="A3764" t="inlineStr">
        <is>
          <t>LD-303762</t>
        </is>
      </c>
      <c r="B3764" t="inlineStr">
        <is>
          <t>2026-02-28 13:29:00</t>
        </is>
      </c>
      <c r="C3764" t="inlineStr">
        <is>
          <t>Paid Search</t>
        </is>
      </c>
      <c r="D3764" t="inlineStr">
        <is>
          <t>Competitive Exam Prep</t>
        </is>
      </c>
      <c r="E3764" t="inlineStr">
        <is>
          <t>International</t>
        </is>
      </c>
      <c r="F3764" t="inlineStr">
        <is>
          <t>Rep_05</t>
        </is>
      </c>
      <c r="G3764" t="n">
        <v>4.85</v>
      </c>
      <c r="H3764" t="inlineStr">
        <is>
          <t>Contacted</t>
        </is>
      </c>
      <c r="I3764" t="inlineStr">
        <is>
          <t>Open</t>
        </is>
      </c>
      <c r="M3764">
        <f>VLOOKUP(H3764,'Stage Order'!$A$2:$B$8,2,FALSE)</f>
        <v/>
      </c>
      <c r="N3764">
        <f>IF(G3764&lt;=1,"1. Under 1 hour",IF(G3764&lt;=24,"2. 1-24 hours",IF(G3764&lt;=72,"3. 1-3 days","4. Over 3 days")))</f>
        <v/>
      </c>
      <c r="O3764">
        <f>TEXT(B3764,"YYYY-MM")</f>
        <v/>
      </c>
    </row>
    <row r="3765">
      <c r="A3765" t="inlineStr">
        <is>
          <t>LD-303763</t>
        </is>
      </c>
      <c r="B3765" t="inlineStr">
        <is>
          <t>2026-05-11 16:30:00</t>
        </is>
      </c>
      <c r="C3765" t="inlineStr">
        <is>
          <t>Organic Search</t>
        </is>
      </c>
      <c r="D3765" t="inlineStr">
        <is>
          <t>Competitive Exam Prep</t>
        </is>
      </c>
      <c r="E3765" t="inlineStr">
        <is>
          <t>South Region</t>
        </is>
      </c>
      <c r="F3765" t="inlineStr">
        <is>
          <t>Rep_12</t>
        </is>
      </c>
      <c r="G3765" t="n">
        <v>0.67</v>
      </c>
      <c r="H3765" t="inlineStr">
        <is>
          <t>Contacted</t>
        </is>
      </c>
      <c r="I3765" t="inlineStr">
        <is>
          <t>Open</t>
        </is>
      </c>
      <c r="M3765">
        <f>VLOOKUP(H3765,'Stage Order'!$A$2:$B$8,2,FALSE)</f>
        <v/>
      </c>
      <c r="N3765">
        <f>IF(G3765&lt;=1,"1. Under 1 hour",IF(G3765&lt;=24,"2. 1-24 hours",IF(G3765&lt;=72,"3. 1-3 days","4. Over 3 days")))</f>
        <v/>
      </c>
      <c r="O3765">
        <f>TEXT(B3765,"YYYY-MM")</f>
        <v/>
      </c>
    </row>
    <row r="3766">
      <c r="A3766" t="inlineStr">
        <is>
          <t>LD-303764</t>
        </is>
      </c>
      <c r="B3766" t="inlineStr">
        <is>
          <t>2025-12-19 20:32:00</t>
        </is>
      </c>
      <c r="C3766" t="inlineStr">
        <is>
          <t>Webinar</t>
        </is>
      </c>
      <c r="D3766" t="inlineStr">
        <is>
          <t>Study Abroad Prep</t>
        </is>
      </c>
      <c r="E3766" t="inlineStr">
        <is>
          <t>South Region</t>
        </is>
      </c>
      <c r="F3766" t="inlineStr">
        <is>
          <t>Rep_07</t>
        </is>
      </c>
      <c r="G3766" t="n">
        <v>0.78</v>
      </c>
      <c r="H3766" t="inlineStr">
        <is>
          <t>Closed</t>
        </is>
      </c>
      <c r="I3766" t="inlineStr">
        <is>
          <t>Won</t>
        </is>
      </c>
      <c r="K3766" t="n">
        <v>1580.34</v>
      </c>
      <c r="L3766" t="inlineStr">
        <is>
          <t>2026-02-07 06:49:45.930498</t>
        </is>
      </c>
      <c r="M3766">
        <f>VLOOKUP(H3766,'Stage Order'!$A$2:$B$8,2,FALSE)</f>
        <v/>
      </c>
      <c r="N3766">
        <f>IF(G3766&lt;=1,"1. Under 1 hour",IF(G3766&lt;=24,"2. 1-24 hours",IF(G3766&lt;=72,"3. 1-3 days","4. Over 3 days")))</f>
        <v/>
      </c>
      <c r="O3766">
        <f>TEXT(B3766,"YYYY-MM")</f>
        <v/>
      </c>
    </row>
    <row r="3767">
      <c r="A3767" t="inlineStr">
        <is>
          <t>LD-303765</t>
        </is>
      </c>
      <c r="B3767" t="inlineStr">
        <is>
          <t>2025-10-11 13:31:00</t>
        </is>
      </c>
      <c r="C3767" t="inlineStr">
        <is>
          <t>Organic Search</t>
        </is>
      </c>
      <c r="D3767" t="inlineStr">
        <is>
          <t>Coding for Kids</t>
        </is>
      </c>
      <c r="E3767" t="inlineStr">
        <is>
          <t>West Region</t>
        </is>
      </c>
      <c r="F3767" t="inlineStr">
        <is>
          <t>Rep_03</t>
        </is>
      </c>
      <c r="G3767" t="n">
        <v>7.97</v>
      </c>
      <c r="H3767" t="inlineStr">
        <is>
          <t>Contacted</t>
        </is>
      </c>
      <c r="I3767" t="inlineStr">
        <is>
          <t>Open</t>
        </is>
      </c>
      <c r="M3767">
        <f>VLOOKUP(H3767,'Stage Order'!$A$2:$B$8,2,FALSE)</f>
        <v/>
      </c>
      <c r="N3767">
        <f>IF(G3767&lt;=1,"1. Under 1 hour",IF(G3767&lt;=24,"2. 1-24 hours",IF(G3767&lt;=72,"3. 1-3 days","4. Over 3 days")))</f>
        <v/>
      </c>
      <c r="O3767">
        <f>TEXT(B3767,"YYYY-MM")</f>
        <v/>
      </c>
    </row>
    <row r="3768">
      <c r="A3768" t="inlineStr">
        <is>
          <t>LD-303766</t>
        </is>
      </c>
      <c r="B3768" t="inlineStr">
        <is>
          <t>2025-01-24 07:50:00</t>
        </is>
      </c>
      <c r="C3768" t="inlineStr">
        <is>
          <t>Cold Outreach</t>
        </is>
      </c>
      <c r="D3768" t="inlineStr">
        <is>
          <t>Language Learning</t>
        </is>
      </c>
      <c r="E3768" t="inlineStr">
        <is>
          <t>South Region</t>
        </is>
      </c>
      <c r="F3768" t="inlineStr">
        <is>
          <t>Rep_12</t>
        </is>
      </c>
      <c r="G3768" t="n">
        <v>3.25</v>
      </c>
      <c r="H3768" t="inlineStr">
        <is>
          <t>Contacted</t>
        </is>
      </c>
      <c r="I3768" t="inlineStr">
        <is>
          <t>Open</t>
        </is>
      </c>
      <c r="M3768">
        <f>VLOOKUP(H3768,'Stage Order'!$A$2:$B$8,2,FALSE)</f>
        <v/>
      </c>
      <c r="N3768">
        <f>IF(G3768&lt;=1,"1. Under 1 hour",IF(G3768&lt;=24,"2. 1-24 hours",IF(G3768&lt;=72,"3. 1-3 days","4. Over 3 days")))</f>
        <v/>
      </c>
      <c r="O3768">
        <f>TEXT(B3768,"YYYY-MM")</f>
        <v/>
      </c>
    </row>
    <row r="3769">
      <c r="A3769" t="inlineStr">
        <is>
          <t>LD-303767</t>
        </is>
      </c>
      <c r="B3769" t="inlineStr">
        <is>
          <t>2025-02-28 20:55:00</t>
        </is>
      </c>
      <c r="C3769" t="inlineStr">
        <is>
          <t>Organic Search</t>
        </is>
      </c>
      <c r="D3769" t="inlineStr">
        <is>
          <t>K-12 Math</t>
        </is>
      </c>
      <c r="E3769" t="inlineStr">
        <is>
          <t>South Region</t>
        </is>
      </c>
      <c r="F3769" t="inlineStr">
        <is>
          <t>Rep_12</t>
        </is>
      </c>
      <c r="G3769" t="n">
        <v>2.3</v>
      </c>
      <c r="H3769" t="inlineStr">
        <is>
          <t>Contacted</t>
        </is>
      </c>
      <c r="I3769" t="inlineStr">
        <is>
          <t>Open</t>
        </is>
      </c>
      <c r="M3769">
        <f>VLOOKUP(H3769,'Stage Order'!$A$2:$B$8,2,FALSE)</f>
        <v/>
      </c>
      <c r="N3769">
        <f>IF(G3769&lt;=1,"1. Under 1 hour",IF(G3769&lt;=24,"2. 1-24 hours",IF(G3769&lt;=72,"3. 1-3 days","4. Over 3 days")))</f>
        <v/>
      </c>
      <c r="O3769">
        <f>TEXT(B3769,"YYYY-MM")</f>
        <v/>
      </c>
    </row>
    <row r="3770">
      <c r="A3770" t="inlineStr">
        <is>
          <t>LD-303768</t>
        </is>
      </c>
      <c r="B3770" t="inlineStr">
        <is>
          <t>2026-03-06 10:40:00</t>
        </is>
      </c>
      <c r="C3770" t="inlineStr">
        <is>
          <t>Paid Search</t>
        </is>
      </c>
      <c r="D3770" t="inlineStr">
        <is>
          <t>K-12 Math</t>
        </is>
      </c>
      <c r="E3770" t="inlineStr">
        <is>
          <t>South Region</t>
        </is>
      </c>
      <c r="F3770" t="inlineStr">
        <is>
          <t>Rep_07</t>
        </is>
      </c>
      <c r="G3770" t="n">
        <v>8.34</v>
      </c>
      <c r="H3770" t="inlineStr">
        <is>
          <t>Lead</t>
        </is>
      </c>
      <c r="I3770" t="inlineStr">
        <is>
          <t>Open</t>
        </is>
      </c>
      <c r="M3770">
        <f>VLOOKUP(H3770,'Stage Order'!$A$2:$B$8,2,FALSE)</f>
        <v/>
      </c>
      <c r="N3770">
        <f>IF(G3770&lt;=1,"1. Under 1 hour",IF(G3770&lt;=24,"2. 1-24 hours",IF(G3770&lt;=72,"3. 1-3 days","4. Over 3 days")))</f>
        <v/>
      </c>
      <c r="O3770">
        <f>TEXT(B3770,"YYYY-MM")</f>
        <v/>
      </c>
    </row>
    <row r="3771">
      <c r="A3771" t="inlineStr">
        <is>
          <t>LD-303769</t>
        </is>
      </c>
      <c r="B3771" t="inlineStr">
        <is>
          <t>2025-04-29 12:55:00</t>
        </is>
      </c>
      <c r="C3771" t="inlineStr">
        <is>
          <t>Paid Search</t>
        </is>
      </c>
      <c r="D3771" t="inlineStr">
        <is>
          <t>K-12 Math</t>
        </is>
      </c>
      <c r="E3771" t="inlineStr">
        <is>
          <t>West Region</t>
        </is>
      </c>
      <c r="F3771" t="inlineStr">
        <is>
          <t>Rep_03</t>
        </is>
      </c>
      <c r="G3771" t="n">
        <v>0.99</v>
      </c>
      <c r="H3771" t="inlineStr">
        <is>
          <t>Contacted</t>
        </is>
      </c>
      <c r="I3771" t="inlineStr">
        <is>
          <t>Open</t>
        </is>
      </c>
      <c r="M3771">
        <f>VLOOKUP(H3771,'Stage Order'!$A$2:$B$8,2,FALSE)</f>
        <v/>
      </c>
      <c r="N3771">
        <f>IF(G3771&lt;=1,"1. Under 1 hour",IF(G3771&lt;=24,"2. 1-24 hours",IF(G3771&lt;=72,"3. 1-3 days","4. Over 3 days")))</f>
        <v/>
      </c>
      <c r="O3771">
        <f>TEXT(B3771,"YYYY-MM")</f>
        <v/>
      </c>
    </row>
    <row r="3772">
      <c r="A3772" t="inlineStr">
        <is>
          <t>LD-303770</t>
        </is>
      </c>
      <c r="B3772" t="inlineStr">
        <is>
          <t>2025-04-04 19:58:00</t>
        </is>
      </c>
      <c r="C3772" t="inlineStr">
        <is>
          <t>Cold Outreach</t>
        </is>
      </c>
      <c r="D3772" t="inlineStr">
        <is>
          <t>Study Abroad Prep</t>
        </is>
      </c>
      <c r="E3772" t="inlineStr">
        <is>
          <t>North Region</t>
        </is>
      </c>
      <c r="F3772" t="inlineStr">
        <is>
          <t>Rep_01</t>
        </is>
      </c>
      <c r="G3772" t="n">
        <v>4.21</v>
      </c>
      <c r="H3772" t="inlineStr">
        <is>
          <t>Lead</t>
        </is>
      </c>
      <c r="I3772" t="inlineStr">
        <is>
          <t>Open</t>
        </is>
      </c>
      <c r="M3772">
        <f>VLOOKUP(H3772,'Stage Order'!$A$2:$B$8,2,FALSE)</f>
        <v/>
      </c>
      <c r="N3772">
        <f>IF(G3772&lt;=1,"1. Under 1 hour",IF(G3772&lt;=24,"2. 1-24 hours",IF(G3772&lt;=72,"3. 1-3 days","4. Over 3 days")))</f>
        <v/>
      </c>
      <c r="O3772">
        <f>TEXT(B3772,"YYYY-MM")</f>
        <v/>
      </c>
    </row>
    <row r="3773">
      <c r="A3773" t="inlineStr">
        <is>
          <t>LD-303771</t>
        </is>
      </c>
      <c r="B3773" t="inlineStr">
        <is>
          <t>2025-07-11 19:44:00</t>
        </is>
      </c>
      <c r="C3773" t="inlineStr">
        <is>
          <t>Organic Search</t>
        </is>
      </c>
      <c r="D3773" t="inlineStr">
        <is>
          <t>K-12 Math</t>
        </is>
      </c>
      <c r="E3773" t="inlineStr">
        <is>
          <t>North Region</t>
        </is>
      </c>
      <c r="F3773" t="inlineStr">
        <is>
          <t>Rep_01</t>
        </is>
      </c>
      <c r="G3773" t="n">
        <v>3.63</v>
      </c>
      <c r="H3773" t="inlineStr">
        <is>
          <t>Contacted</t>
        </is>
      </c>
      <c r="I3773" t="inlineStr">
        <is>
          <t>Open</t>
        </is>
      </c>
      <c r="M3773">
        <f>VLOOKUP(H3773,'Stage Order'!$A$2:$B$8,2,FALSE)</f>
        <v/>
      </c>
      <c r="N3773">
        <f>IF(G3773&lt;=1,"1. Under 1 hour",IF(G3773&lt;=24,"2. 1-24 hours",IF(G3773&lt;=72,"3. 1-3 days","4. Over 3 days")))</f>
        <v/>
      </c>
      <c r="O3773">
        <f>TEXT(B3773,"YYYY-MM")</f>
        <v/>
      </c>
    </row>
    <row r="3774">
      <c r="A3774" t="inlineStr">
        <is>
          <t>LD-303772</t>
        </is>
      </c>
      <c r="B3774" t="inlineStr">
        <is>
          <t>2026-04-09 16:56:00</t>
        </is>
      </c>
      <c r="C3774" t="inlineStr">
        <is>
          <t>Organic Search</t>
        </is>
      </c>
      <c r="D3774" t="inlineStr">
        <is>
          <t>Competitive Exam Prep</t>
        </is>
      </c>
      <c r="E3774" t="inlineStr">
        <is>
          <t>South Region</t>
        </is>
      </c>
      <c r="F3774" t="inlineStr">
        <is>
          <t>Rep_12</t>
        </is>
      </c>
      <c r="G3774" t="n">
        <v>14.22</v>
      </c>
      <c r="H3774" t="inlineStr">
        <is>
          <t>Closed</t>
        </is>
      </c>
      <c r="I3774" t="inlineStr">
        <is>
          <t>Won</t>
        </is>
      </c>
      <c r="K3774" t="n">
        <v>824</v>
      </c>
      <c r="L3774" t="inlineStr">
        <is>
          <t>2026-05-19 18:00:59.422838</t>
        </is>
      </c>
      <c r="M3774">
        <f>VLOOKUP(H3774,'Stage Order'!$A$2:$B$8,2,FALSE)</f>
        <v/>
      </c>
      <c r="N3774">
        <f>IF(G3774&lt;=1,"1. Under 1 hour",IF(G3774&lt;=24,"2. 1-24 hours",IF(G3774&lt;=72,"3. 1-3 days","4. Over 3 days")))</f>
        <v/>
      </c>
      <c r="O3774">
        <f>TEXT(B3774,"YYYY-MM")</f>
        <v/>
      </c>
    </row>
    <row r="3775">
      <c r="A3775" t="inlineStr">
        <is>
          <t>LD-303773</t>
        </is>
      </c>
      <c r="B3775" t="inlineStr">
        <is>
          <t>2025-03-31 18:05:00</t>
        </is>
      </c>
      <c r="C3775" t="inlineStr">
        <is>
          <t>Referral</t>
        </is>
      </c>
      <c r="D3775" t="inlineStr">
        <is>
          <t>K-12 Math</t>
        </is>
      </c>
      <c r="E3775" t="inlineStr">
        <is>
          <t>East Region</t>
        </is>
      </c>
      <c r="F3775" t="inlineStr">
        <is>
          <t>Rep_09</t>
        </is>
      </c>
      <c r="G3775" t="n">
        <v>3.92</v>
      </c>
      <c r="H3775" t="inlineStr">
        <is>
          <t>Contacted</t>
        </is>
      </c>
      <c r="I3775" t="inlineStr">
        <is>
          <t>Open</t>
        </is>
      </c>
      <c r="M3775">
        <f>VLOOKUP(H3775,'Stage Order'!$A$2:$B$8,2,FALSE)</f>
        <v/>
      </c>
      <c r="N3775">
        <f>IF(G3775&lt;=1,"1. Under 1 hour",IF(G3775&lt;=24,"2. 1-24 hours",IF(G3775&lt;=72,"3. 1-3 days","4. Over 3 days")))</f>
        <v/>
      </c>
      <c r="O3775">
        <f>TEXT(B3775,"YYYY-MM")</f>
        <v/>
      </c>
    </row>
    <row r="3776">
      <c r="A3776" t="inlineStr">
        <is>
          <t>LD-303774</t>
        </is>
      </c>
      <c r="B3776" t="inlineStr">
        <is>
          <t>2025-10-14 18:02:00</t>
        </is>
      </c>
      <c r="C3776" t="inlineStr">
        <is>
          <t>Partner Channel</t>
        </is>
      </c>
      <c r="D3776" t="inlineStr">
        <is>
          <t>Study Abroad Prep</t>
        </is>
      </c>
      <c r="E3776" t="inlineStr">
        <is>
          <t>West Region</t>
        </is>
      </c>
      <c r="F3776" t="inlineStr">
        <is>
          <t>Rep_08</t>
        </is>
      </c>
      <c r="G3776" t="n">
        <v>1.09</v>
      </c>
      <c r="H3776" t="inlineStr">
        <is>
          <t>Closed</t>
        </is>
      </c>
      <c r="I3776" t="inlineStr">
        <is>
          <t>Won</t>
        </is>
      </c>
      <c r="K3776" t="n">
        <v>1282.4</v>
      </c>
      <c r="L3776" t="inlineStr">
        <is>
          <t>2025-11-16 01:23:30.789683</t>
        </is>
      </c>
      <c r="M3776">
        <f>VLOOKUP(H3776,'Stage Order'!$A$2:$B$8,2,FALSE)</f>
        <v/>
      </c>
      <c r="N3776">
        <f>IF(G3776&lt;=1,"1. Under 1 hour",IF(G3776&lt;=24,"2. 1-24 hours",IF(G3776&lt;=72,"3. 1-3 days","4. Over 3 days")))</f>
        <v/>
      </c>
      <c r="O3776">
        <f>TEXT(B3776,"YYYY-MM")</f>
        <v/>
      </c>
    </row>
    <row r="3777">
      <c r="A3777" t="inlineStr">
        <is>
          <t>LD-303775</t>
        </is>
      </c>
      <c r="B3777" t="inlineStr">
        <is>
          <t>2026-04-10 15:11:00</t>
        </is>
      </c>
      <c r="C3777" t="inlineStr">
        <is>
          <t>Organic Search</t>
        </is>
      </c>
      <c r="D3777" t="inlineStr">
        <is>
          <t>Coding for Kids</t>
        </is>
      </c>
      <c r="E3777" t="inlineStr">
        <is>
          <t>South Region</t>
        </is>
      </c>
      <c r="F3777" t="inlineStr">
        <is>
          <t>Rep_12</t>
        </is>
      </c>
      <c r="G3777" t="n">
        <v>5.1</v>
      </c>
      <c r="H3777" t="inlineStr">
        <is>
          <t>Contacted</t>
        </is>
      </c>
      <c r="I3777" t="inlineStr">
        <is>
          <t>Open</t>
        </is>
      </c>
      <c r="M3777">
        <f>VLOOKUP(H3777,'Stage Order'!$A$2:$B$8,2,FALSE)</f>
        <v/>
      </c>
      <c r="N3777">
        <f>IF(G3777&lt;=1,"1. Under 1 hour",IF(G3777&lt;=24,"2. 1-24 hours",IF(G3777&lt;=72,"3. 1-3 days","4. Over 3 days")))</f>
        <v/>
      </c>
      <c r="O3777">
        <f>TEXT(B3777,"YYYY-MM")</f>
        <v/>
      </c>
    </row>
    <row r="3778">
      <c r="A3778" t="inlineStr">
        <is>
          <t>LD-303776</t>
        </is>
      </c>
      <c r="B3778" t="inlineStr">
        <is>
          <t>2025-01-24 18:15:00</t>
        </is>
      </c>
      <c r="C3778" t="inlineStr">
        <is>
          <t>Cold Outreach</t>
        </is>
      </c>
      <c r="D3778" t="inlineStr">
        <is>
          <t>Language Learning</t>
        </is>
      </c>
      <c r="E3778" t="inlineStr">
        <is>
          <t>International</t>
        </is>
      </c>
      <c r="F3778" t="inlineStr">
        <is>
          <t>Rep_10</t>
        </is>
      </c>
      <c r="G3778" t="n">
        <v>1.78</v>
      </c>
      <c r="H3778" t="inlineStr">
        <is>
          <t>Lead</t>
        </is>
      </c>
      <c r="I3778" t="inlineStr">
        <is>
          <t>Open</t>
        </is>
      </c>
      <c r="M3778">
        <f>VLOOKUP(H3778,'Stage Order'!$A$2:$B$8,2,FALSE)</f>
        <v/>
      </c>
      <c r="N3778">
        <f>IF(G3778&lt;=1,"1. Under 1 hour",IF(G3778&lt;=24,"2. 1-24 hours",IF(G3778&lt;=72,"3. 1-3 days","4. Over 3 days")))</f>
        <v/>
      </c>
      <c r="O3778">
        <f>TEXT(B3778,"YYYY-MM")</f>
        <v/>
      </c>
    </row>
    <row r="3779">
      <c r="A3779" t="inlineStr">
        <is>
          <t>LD-303777</t>
        </is>
      </c>
      <c r="B3779" t="inlineStr">
        <is>
          <t>2025-06-06 09:58:00</t>
        </is>
      </c>
      <c r="C3779" t="inlineStr">
        <is>
          <t>Paid Search</t>
        </is>
      </c>
      <c r="D3779" t="inlineStr">
        <is>
          <t>Study Abroad Prep</t>
        </is>
      </c>
      <c r="E3779" t="inlineStr">
        <is>
          <t>North Region</t>
        </is>
      </c>
      <c r="F3779" t="inlineStr">
        <is>
          <t>Rep_06</t>
        </is>
      </c>
      <c r="G3779" t="n">
        <v>2.2</v>
      </c>
      <c r="H3779" t="inlineStr">
        <is>
          <t>Lead</t>
        </is>
      </c>
      <c r="I3779" t="inlineStr">
        <is>
          <t>Open</t>
        </is>
      </c>
      <c r="M3779">
        <f>VLOOKUP(H3779,'Stage Order'!$A$2:$B$8,2,FALSE)</f>
        <v/>
      </c>
      <c r="N3779">
        <f>IF(G3779&lt;=1,"1. Under 1 hour",IF(G3779&lt;=24,"2. 1-24 hours",IF(G3779&lt;=72,"3. 1-3 days","4. Over 3 days")))</f>
        <v/>
      </c>
      <c r="O3779">
        <f>TEXT(B3779,"YYYY-MM")</f>
        <v/>
      </c>
    </row>
    <row r="3780">
      <c r="A3780" t="inlineStr">
        <is>
          <t>LD-303778</t>
        </is>
      </c>
      <c r="B3780" t="inlineStr">
        <is>
          <t>2025-06-24 15:04:00</t>
        </is>
      </c>
      <c r="C3780" t="inlineStr">
        <is>
          <t>Organic Search</t>
        </is>
      </c>
      <c r="D3780" t="inlineStr">
        <is>
          <t>Coding for Kids</t>
        </is>
      </c>
      <c r="E3780" t="inlineStr">
        <is>
          <t>South Region</t>
        </is>
      </c>
      <c r="F3780" t="inlineStr">
        <is>
          <t>Rep_07</t>
        </is>
      </c>
      <c r="G3780" t="n">
        <v>8.82</v>
      </c>
      <c r="H3780" t="inlineStr">
        <is>
          <t>Proposal Sent</t>
        </is>
      </c>
      <c r="I3780" t="inlineStr">
        <is>
          <t>Lost</t>
        </is>
      </c>
      <c r="J3780" t="inlineStr">
        <is>
          <t>Bad Timing</t>
        </is>
      </c>
      <c r="K3780" t="n">
        <v>672.1900000000001</v>
      </c>
      <c r="L3780" t="inlineStr">
        <is>
          <t>2025-08-11 05:57:21.795055</t>
        </is>
      </c>
      <c r="M3780">
        <f>VLOOKUP(H3780,'Stage Order'!$A$2:$B$8,2,FALSE)</f>
        <v/>
      </c>
      <c r="N3780">
        <f>IF(G3780&lt;=1,"1. Under 1 hour",IF(G3780&lt;=24,"2. 1-24 hours",IF(G3780&lt;=72,"3. 1-3 days","4. Over 3 days")))</f>
        <v/>
      </c>
      <c r="O3780">
        <f>TEXT(B3780,"YYYY-MM")</f>
        <v/>
      </c>
    </row>
    <row r="3781">
      <c r="A3781" t="inlineStr">
        <is>
          <t>LD-303779</t>
        </is>
      </c>
      <c r="B3781" t="inlineStr">
        <is>
          <t>2026-06-24 15:28:00</t>
        </is>
      </c>
      <c r="C3781" t="inlineStr">
        <is>
          <t>Referral</t>
        </is>
      </c>
      <c r="D3781" t="inlineStr">
        <is>
          <t>K-12 Math</t>
        </is>
      </c>
      <c r="E3781" t="inlineStr">
        <is>
          <t>North Region</t>
        </is>
      </c>
      <c r="F3781" t="inlineStr">
        <is>
          <t>Rep_11</t>
        </is>
      </c>
      <c r="G3781" t="n">
        <v>24.31</v>
      </c>
      <c r="H3781" t="inlineStr">
        <is>
          <t>Contacted</t>
        </is>
      </c>
      <c r="I3781" t="inlineStr">
        <is>
          <t>Open</t>
        </is>
      </c>
      <c r="M3781">
        <f>VLOOKUP(H3781,'Stage Order'!$A$2:$B$8,2,FALSE)</f>
        <v/>
      </c>
      <c r="N3781">
        <f>IF(G3781&lt;=1,"1. Under 1 hour",IF(G3781&lt;=24,"2. 1-24 hours",IF(G3781&lt;=72,"3. 1-3 days","4. Over 3 days")))</f>
        <v/>
      </c>
      <c r="O3781">
        <f>TEXT(B3781,"YYYY-MM")</f>
        <v/>
      </c>
    </row>
    <row r="3782">
      <c r="A3782" t="inlineStr">
        <is>
          <t>LD-303780</t>
        </is>
      </c>
      <c r="B3782" t="inlineStr">
        <is>
          <t>2025-05-26 17:51:00</t>
        </is>
      </c>
      <c r="C3782" t="inlineStr">
        <is>
          <t>Referral</t>
        </is>
      </c>
      <c r="D3782" t="inlineStr">
        <is>
          <t>K-12 Math</t>
        </is>
      </c>
      <c r="E3782" t="inlineStr">
        <is>
          <t>East Region</t>
        </is>
      </c>
      <c r="F3782" t="inlineStr">
        <is>
          <t>Rep_09</t>
        </is>
      </c>
      <c r="G3782" t="n">
        <v>1.26</v>
      </c>
      <c r="H3782" t="inlineStr">
        <is>
          <t>Contacted</t>
        </is>
      </c>
      <c r="I3782" t="inlineStr">
        <is>
          <t>Open</t>
        </is>
      </c>
      <c r="M3782">
        <f>VLOOKUP(H3782,'Stage Order'!$A$2:$B$8,2,FALSE)</f>
        <v/>
      </c>
      <c r="N3782">
        <f>IF(G3782&lt;=1,"1. Under 1 hour",IF(G3782&lt;=24,"2. 1-24 hours",IF(G3782&lt;=72,"3. 1-3 days","4. Over 3 days")))</f>
        <v/>
      </c>
      <c r="O3782">
        <f>TEXT(B3782,"YYYY-MM")</f>
        <v/>
      </c>
    </row>
    <row r="3783">
      <c r="A3783" t="inlineStr">
        <is>
          <t>LD-303781</t>
        </is>
      </c>
      <c r="B3783" t="inlineStr">
        <is>
          <t>2025-03-21 17:58:00</t>
        </is>
      </c>
      <c r="C3783" t="inlineStr">
        <is>
          <t>Cold Outreach</t>
        </is>
      </c>
      <c r="D3783" t="inlineStr">
        <is>
          <t>Competitive Exam Prep</t>
        </is>
      </c>
      <c r="E3783" t="inlineStr">
        <is>
          <t>West Region</t>
        </is>
      </c>
      <c r="F3783" t="inlineStr">
        <is>
          <t>Rep_13</t>
        </is>
      </c>
      <c r="G3783" t="n">
        <v>1.58</v>
      </c>
      <c r="H3783" t="inlineStr">
        <is>
          <t>Contacted</t>
        </is>
      </c>
      <c r="I3783" t="inlineStr">
        <is>
          <t>Open</t>
        </is>
      </c>
      <c r="M3783">
        <f>VLOOKUP(H3783,'Stage Order'!$A$2:$B$8,2,FALSE)</f>
        <v/>
      </c>
      <c r="N3783">
        <f>IF(G3783&lt;=1,"1. Under 1 hour",IF(G3783&lt;=24,"2. 1-24 hours",IF(G3783&lt;=72,"3. 1-3 days","4. Over 3 days")))</f>
        <v/>
      </c>
      <c r="O3783">
        <f>TEXT(B3783,"YYYY-MM")</f>
        <v/>
      </c>
    </row>
    <row r="3784">
      <c r="A3784" t="inlineStr">
        <is>
          <t>LD-303782</t>
        </is>
      </c>
      <c r="B3784" t="inlineStr">
        <is>
          <t>2025-07-23 12:49:00</t>
        </is>
      </c>
      <c r="C3784" t="inlineStr">
        <is>
          <t>Paid Search</t>
        </is>
      </c>
      <c r="D3784" t="inlineStr">
        <is>
          <t>Competitive Exam Prep</t>
        </is>
      </c>
      <c r="E3784" t="inlineStr">
        <is>
          <t>South Region</t>
        </is>
      </c>
      <c r="F3784" t="inlineStr">
        <is>
          <t>Rep_07</t>
        </is>
      </c>
      <c r="G3784" t="n">
        <v>1.58</v>
      </c>
      <c r="H3784" t="inlineStr">
        <is>
          <t>Lead</t>
        </is>
      </c>
      <c r="I3784" t="inlineStr">
        <is>
          <t>Open</t>
        </is>
      </c>
      <c r="M3784">
        <f>VLOOKUP(H3784,'Stage Order'!$A$2:$B$8,2,FALSE)</f>
        <v/>
      </c>
      <c r="N3784">
        <f>IF(G3784&lt;=1,"1. Under 1 hour",IF(G3784&lt;=24,"2. 1-24 hours",IF(G3784&lt;=72,"3. 1-3 days","4. Over 3 days")))</f>
        <v/>
      </c>
      <c r="O3784">
        <f>TEXT(B3784,"YYYY-MM")</f>
        <v/>
      </c>
    </row>
    <row r="3785">
      <c r="A3785" t="inlineStr">
        <is>
          <t>LD-303783</t>
        </is>
      </c>
      <c r="B3785" t="inlineStr">
        <is>
          <t>2026-03-20 08:12:00</t>
        </is>
      </c>
      <c r="C3785" t="inlineStr">
        <is>
          <t>Paid Search</t>
        </is>
      </c>
      <c r="D3785" t="inlineStr">
        <is>
          <t>Language Learning</t>
        </is>
      </c>
      <c r="E3785" t="inlineStr">
        <is>
          <t>South Region</t>
        </is>
      </c>
      <c r="F3785" t="inlineStr">
        <is>
          <t>Rep_12</t>
        </is>
      </c>
      <c r="G3785" t="n">
        <v>1.68</v>
      </c>
      <c r="H3785" t="inlineStr">
        <is>
          <t>Lead</t>
        </is>
      </c>
      <c r="I3785" t="inlineStr">
        <is>
          <t>Open</t>
        </is>
      </c>
      <c r="M3785">
        <f>VLOOKUP(H3785,'Stage Order'!$A$2:$B$8,2,FALSE)</f>
        <v/>
      </c>
      <c r="N3785">
        <f>IF(G3785&lt;=1,"1. Under 1 hour",IF(G3785&lt;=24,"2. 1-24 hours",IF(G3785&lt;=72,"3. 1-3 days","4. Over 3 days")))</f>
        <v/>
      </c>
      <c r="O3785">
        <f>TEXT(B3785,"YYYY-MM")</f>
        <v/>
      </c>
    </row>
    <row r="3786">
      <c r="A3786" t="inlineStr">
        <is>
          <t>LD-303784</t>
        </is>
      </c>
      <c r="B3786" t="inlineStr">
        <is>
          <t>2025-04-25 13:48:00</t>
        </is>
      </c>
      <c r="C3786" t="inlineStr">
        <is>
          <t>Organic Search</t>
        </is>
      </c>
      <c r="D3786" t="inlineStr">
        <is>
          <t>Language Learning</t>
        </is>
      </c>
      <c r="E3786" t="inlineStr">
        <is>
          <t>East Region</t>
        </is>
      </c>
      <c r="F3786" t="inlineStr">
        <is>
          <t>Rep_09</t>
        </is>
      </c>
      <c r="G3786" t="n">
        <v>1.58</v>
      </c>
      <c r="H3786" t="inlineStr">
        <is>
          <t>Contacted</t>
        </is>
      </c>
      <c r="I3786" t="inlineStr">
        <is>
          <t>Open</t>
        </is>
      </c>
      <c r="M3786">
        <f>VLOOKUP(H3786,'Stage Order'!$A$2:$B$8,2,FALSE)</f>
        <v/>
      </c>
      <c r="N3786">
        <f>IF(G3786&lt;=1,"1. Under 1 hour",IF(G3786&lt;=24,"2. 1-24 hours",IF(G3786&lt;=72,"3. 1-3 days","4. Over 3 days")))</f>
        <v/>
      </c>
      <c r="O3786">
        <f>TEXT(B3786,"YYYY-MM")</f>
        <v/>
      </c>
    </row>
    <row r="3787">
      <c r="A3787" t="inlineStr">
        <is>
          <t>LD-303785</t>
        </is>
      </c>
      <c r="B3787" t="inlineStr">
        <is>
          <t>2026-01-19 19:47:00</t>
        </is>
      </c>
      <c r="C3787" t="inlineStr">
        <is>
          <t>Referral</t>
        </is>
      </c>
      <c r="D3787" t="inlineStr">
        <is>
          <t>Competitive Exam Prep</t>
        </is>
      </c>
      <c r="E3787" t="inlineStr">
        <is>
          <t>East Region</t>
        </is>
      </c>
      <c r="F3787" t="inlineStr">
        <is>
          <t>Rep_04</t>
        </is>
      </c>
      <c r="G3787" t="n">
        <v>2.08</v>
      </c>
      <c r="H3787" t="inlineStr">
        <is>
          <t>Contacted</t>
        </is>
      </c>
      <c r="I3787" t="inlineStr">
        <is>
          <t>Open</t>
        </is>
      </c>
      <c r="M3787">
        <f>VLOOKUP(H3787,'Stage Order'!$A$2:$B$8,2,FALSE)</f>
        <v/>
      </c>
      <c r="N3787">
        <f>IF(G3787&lt;=1,"1. Under 1 hour",IF(G3787&lt;=24,"2. 1-24 hours",IF(G3787&lt;=72,"3. 1-3 days","4. Over 3 days")))</f>
        <v/>
      </c>
      <c r="O3787">
        <f>TEXT(B3787,"YYYY-MM")</f>
        <v/>
      </c>
    </row>
    <row r="3788">
      <c r="A3788" t="inlineStr">
        <is>
          <t>LD-303786</t>
        </is>
      </c>
      <c r="B3788" t="inlineStr">
        <is>
          <t>2025-02-25 08:05:00</t>
        </is>
      </c>
      <c r="C3788" t="inlineStr">
        <is>
          <t>Organic Search</t>
        </is>
      </c>
      <c r="D3788" t="inlineStr">
        <is>
          <t>Coding for Kids</t>
        </is>
      </c>
      <c r="E3788" t="inlineStr">
        <is>
          <t>International</t>
        </is>
      </c>
      <c r="F3788" t="inlineStr">
        <is>
          <t>Rep_05</t>
        </is>
      </c>
      <c r="G3788" t="n">
        <v>1.21</v>
      </c>
      <c r="H3788" t="inlineStr">
        <is>
          <t>Contacted</t>
        </is>
      </c>
      <c r="I3788" t="inlineStr">
        <is>
          <t>Open</t>
        </is>
      </c>
      <c r="M3788">
        <f>VLOOKUP(H3788,'Stage Order'!$A$2:$B$8,2,FALSE)</f>
        <v/>
      </c>
      <c r="N3788">
        <f>IF(G3788&lt;=1,"1. Under 1 hour",IF(G3788&lt;=24,"2. 1-24 hours",IF(G3788&lt;=72,"3. 1-3 days","4. Over 3 days")))</f>
        <v/>
      </c>
      <c r="O3788">
        <f>TEXT(B3788,"YYYY-MM")</f>
        <v/>
      </c>
    </row>
    <row r="3789">
      <c r="A3789" t="inlineStr">
        <is>
          <t>LD-303787</t>
        </is>
      </c>
      <c r="B3789" t="inlineStr">
        <is>
          <t>2026-03-20 11:59:00</t>
        </is>
      </c>
      <c r="C3789" t="inlineStr">
        <is>
          <t>Paid Search</t>
        </is>
      </c>
      <c r="D3789" t="inlineStr">
        <is>
          <t>Study Abroad Prep</t>
        </is>
      </c>
      <c r="E3789" t="inlineStr">
        <is>
          <t>North Region</t>
        </is>
      </c>
      <c r="F3789" t="inlineStr">
        <is>
          <t>Rep_11</t>
        </is>
      </c>
      <c r="G3789" t="n">
        <v>12.85</v>
      </c>
      <c r="H3789" t="inlineStr">
        <is>
          <t>Contacted</t>
        </is>
      </c>
      <c r="I3789" t="inlineStr">
        <is>
          <t>Open</t>
        </is>
      </c>
      <c r="M3789">
        <f>VLOOKUP(H3789,'Stage Order'!$A$2:$B$8,2,FALSE)</f>
        <v/>
      </c>
      <c r="N3789">
        <f>IF(G3789&lt;=1,"1. Under 1 hour",IF(G3789&lt;=24,"2. 1-24 hours",IF(G3789&lt;=72,"3. 1-3 days","4. Over 3 days")))</f>
        <v/>
      </c>
      <c r="O3789">
        <f>TEXT(B3789,"YYYY-MM")</f>
        <v/>
      </c>
    </row>
    <row r="3790">
      <c r="A3790" t="inlineStr">
        <is>
          <t>LD-303788</t>
        </is>
      </c>
      <c r="B3790" t="inlineStr">
        <is>
          <t>2025-12-19 20:50:00</t>
        </is>
      </c>
      <c r="C3790" t="inlineStr">
        <is>
          <t>Social Media</t>
        </is>
      </c>
      <c r="D3790" t="inlineStr">
        <is>
          <t>K-12 Math</t>
        </is>
      </c>
      <c r="E3790" t="inlineStr">
        <is>
          <t>North Region</t>
        </is>
      </c>
      <c r="F3790" t="inlineStr">
        <is>
          <t>Rep_06</t>
        </is>
      </c>
      <c r="G3790" t="n">
        <v>28.02</v>
      </c>
      <c r="H3790" t="inlineStr">
        <is>
          <t>Contacted</t>
        </is>
      </c>
      <c r="I3790" t="inlineStr">
        <is>
          <t>Open</t>
        </is>
      </c>
      <c r="M3790">
        <f>VLOOKUP(H3790,'Stage Order'!$A$2:$B$8,2,FALSE)</f>
        <v/>
      </c>
      <c r="N3790">
        <f>IF(G3790&lt;=1,"1. Under 1 hour",IF(G3790&lt;=24,"2. 1-24 hours",IF(G3790&lt;=72,"3. 1-3 days","4. Over 3 days")))</f>
        <v/>
      </c>
      <c r="O3790">
        <f>TEXT(B3790,"YYYY-MM")</f>
        <v/>
      </c>
    </row>
    <row r="3791">
      <c r="A3791" t="inlineStr">
        <is>
          <t>LD-303789</t>
        </is>
      </c>
      <c r="B3791" t="inlineStr">
        <is>
          <t>2025-11-03 08:04:00</t>
        </is>
      </c>
      <c r="C3791" t="inlineStr">
        <is>
          <t>Social Media</t>
        </is>
      </c>
      <c r="D3791" t="inlineStr">
        <is>
          <t>K-12 Math</t>
        </is>
      </c>
      <c r="E3791" t="inlineStr">
        <is>
          <t>North Region</t>
        </is>
      </c>
      <c r="F3791" t="inlineStr">
        <is>
          <t>Rep_06</t>
        </is>
      </c>
      <c r="G3791" t="n">
        <v>4.91</v>
      </c>
      <c r="H3791" t="inlineStr">
        <is>
          <t>Contacted</t>
        </is>
      </c>
      <c r="I3791" t="inlineStr">
        <is>
          <t>Open</t>
        </is>
      </c>
      <c r="M3791">
        <f>VLOOKUP(H3791,'Stage Order'!$A$2:$B$8,2,FALSE)</f>
        <v/>
      </c>
      <c r="N3791">
        <f>IF(G3791&lt;=1,"1. Under 1 hour",IF(G3791&lt;=24,"2. 1-24 hours",IF(G3791&lt;=72,"3. 1-3 days","4. Over 3 days")))</f>
        <v/>
      </c>
      <c r="O3791">
        <f>TEXT(B3791,"YYYY-MM")</f>
        <v/>
      </c>
    </row>
    <row r="3792">
      <c r="A3792" t="inlineStr">
        <is>
          <t>LD-303790</t>
        </is>
      </c>
      <c r="B3792" t="inlineStr">
        <is>
          <t>2025-02-21 20:36:00</t>
        </is>
      </c>
      <c r="C3792" t="inlineStr">
        <is>
          <t>Organic Search</t>
        </is>
      </c>
      <c r="D3792" t="inlineStr">
        <is>
          <t>K-12 Math</t>
        </is>
      </c>
      <c r="E3792" t="inlineStr">
        <is>
          <t>South Region</t>
        </is>
      </c>
      <c r="F3792" t="inlineStr">
        <is>
          <t>Rep_07</t>
        </is>
      </c>
      <c r="G3792" t="n">
        <v>0.8100000000000001</v>
      </c>
      <c r="H3792" t="inlineStr">
        <is>
          <t>Negotiation</t>
        </is>
      </c>
      <c r="I3792" t="inlineStr">
        <is>
          <t>Lost</t>
        </is>
      </c>
      <c r="J3792" t="inlineStr">
        <is>
          <t>No Response / Ghosted</t>
        </is>
      </c>
      <c r="K3792" t="n">
        <v>445.51</v>
      </c>
      <c r="L3792" t="inlineStr">
        <is>
          <t>2025-04-17 04:24:06.823221</t>
        </is>
      </c>
      <c r="M3792">
        <f>VLOOKUP(H3792,'Stage Order'!$A$2:$B$8,2,FALSE)</f>
        <v/>
      </c>
      <c r="N3792">
        <f>IF(G3792&lt;=1,"1. Under 1 hour",IF(G3792&lt;=24,"2. 1-24 hours",IF(G3792&lt;=72,"3. 1-3 days","4. Over 3 days")))</f>
        <v/>
      </c>
      <c r="O3792">
        <f>TEXT(B3792,"YYYY-MM")</f>
        <v/>
      </c>
    </row>
    <row r="3793">
      <c r="A3793" t="inlineStr">
        <is>
          <t>LD-303791</t>
        </is>
      </c>
      <c r="B3793" t="inlineStr">
        <is>
          <t>2025-03-17 07:35:00</t>
        </is>
      </c>
      <c r="C3793" t="inlineStr">
        <is>
          <t>Paid Search</t>
        </is>
      </c>
      <c r="D3793" t="inlineStr">
        <is>
          <t>K-12 Math</t>
        </is>
      </c>
      <c r="E3793" t="inlineStr">
        <is>
          <t>West Region</t>
        </is>
      </c>
      <c r="F3793" t="inlineStr">
        <is>
          <t>Rep_03</t>
        </is>
      </c>
      <c r="G3793" t="n">
        <v>3.37</v>
      </c>
      <c r="H3793" t="inlineStr">
        <is>
          <t>Contacted</t>
        </is>
      </c>
      <c r="I3793" t="inlineStr">
        <is>
          <t>Open</t>
        </is>
      </c>
      <c r="M3793">
        <f>VLOOKUP(H3793,'Stage Order'!$A$2:$B$8,2,FALSE)</f>
        <v/>
      </c>
      <c r="N3793">
        <f>IF(G3793&lt;=1,"1. Under 1 hour",IF(G3793&lt;=24,"2. 1-24 hours",IF(G3793&lt;=72,"3. 1-3 days","4. Over 3 days")))</f>
        <v/>
      </c>
      <c r="O3793">
        <f>TEXT(B3793,"YYYY-MM")</f>
        <v/>
      </c>
    </row>
    <row r="3794">
      <c r="A3794" t="inlineStr">
        <is>
          <t>LD-303792</t>
        </is>
      </c>
      <c r="B3794" t="inlineStr">
        <is>
          <t>2025-11-13 15:50:00</t>
        </is>
      </c>
      <c r="C3794" t="inlineStr">
        <is>
          <t>Paid Search</t>
        </is>
      </c>
      <c r="D3794" t="inlineStr">
        <is>
          <t>Coding for Kids</t>
        </is>
      </c>
      <c r="E3794" t="inlineStr">
        <is>
          <t>North Region</t>
        </is>
      </c>
      <c r="F3794" t="inlineStr">
        <is>
          <t>Rep_11</t>
        </is>
      </c>
      <c r="G3794" t="n">
        <v>5.87</v>
      </c>
      <c r="H3794" t="inlineStr">
        <is>
          <t>Contacted</t>
        </is>
      </c>
      <c r="I3794" t="inlineStr">
        <is>
          <t>Open</t>
        </is>
      </c>
      <c r="M3794">
        <f>VLOOKUP(H3794,'Stage Order'!$A$2:$B$8,2,FALSE)</f>
        <v/>
      </c>
      <c r="N3794">
        <f>IF(G3794&lt;=1,"1. Under 1 hour",IF(G3794&lt;=24,"2. 1-24 hours",IF(G3794&lt;=72,"3. 1-3 days","4. Over 3 days")))</f>
        <v/>
      </c>
      <c r="O3794">
        <f>TEXT(B3794,"YYYY-MM")</f>
        <v/>
      </c>
    </row>
    <row r="3795">
      <c r="A3795" t="inlineStr">
        <is>
          <t>LD-303793</t>
        </is>
      </c>
      <c r="B3795" t="inlineStr">
        <is>
          <t>2025-12-19 10:45:00</t>
        </is>
      </c>
      <c r="C3795" t="inlineStr">
        <is>
          <t>Paid Search</t>
        </is>
      </c>
      <c r="D3795" t="inlineStr">
        <is>
          <t>Competitive Exam Prep</t>
        </is>
      </c>
      <c r="E3795" t="inlineStr">
        <is>
          <t>North Region</t>
        </is>
      </c>
      <c r="F3795" t="inlineStr">
        <is>
          <t>Rep_11</t>
        </is>
      </c>
      <c r="G3795" t="n">
        <v>1.06</v>
      </c>
      <c r="H3795" t="inlineStr">
        <is>
          <t>Contacted</t>
        </is>
      </c>
      <c r="I3795" t="inlineStr">
        <is>
          <t>Open</t>
        </is>
      </c>
      <c r="M3795">
        <f>VLOOKUP(H3795,'Stage Order'!$A$2:$B$8,2,FALSE)</f>
        <v/>
      </c>
      <c r="N3795">
        <f>IF(G3795&lt;=1,"1. Under 1 hour",IF(G3795&lt;=24,"2. 1-24 hours",IF(G3795&lt;=72,"3. 1-3 days","4. Over 3 days")))</f>
        <v/>
      </c>
      <c r="O3795">
        <f>TEXT(B3795,"YYYY-MM")</f>
        <v/>
      </c>
    </row>
    <row r="3796">
      <c r="A3796" t="inlineStr">
        <is>
          <t>LD-303794</t>
        </is>
      </c>
      <c r="B3796" t="inlineStr">
        <is>
          <t>2025-08-26 16:22:00</t>
        </is>
      </c>
      <c r="C3796" t="inlineStr">
        <is>
          <t>Organic Search</t>
        </is>
      </c>
      <c r="D3796" t="inlineStr">
        <is>
          <t>Coding for Kids</t>
        </is>
      </c>
      <c r="E3796" t="inlineStr">
        <is>
          <t>West Region</t>
        </is>
      </c>
      <c r="F3796" t="inlineStr">
        <is>
          <t>Rep_13</t>
        </is>
      </c>
      <c r="G3796" t="n">
        <v>3.65</v>
      </c>
      <c r="H3796" t="inlineStr">
        <is>
          <t>Contacted</t>
        </is>
      </c>
      <c r="I3796" t="inlineStr">
        <is>
          <t>Open</t>
        </is>
      </c>
      <c r="M3796">
        <f>VLOOKUP(H3796,'Stage Order'!$A$2:$B$8,2,FALSE)</f>
        <v/>
      </c>
      <c r="N3796">
        <f>IF(G3796&lt;=1,"1. Under 1 hour",IF(G3796&lt;=24,"2. 1-24 hours",IF(G3796&lt;=72,"3. 1-3 days","4. Over 3 days")))</f>
        <v/>
      </c>
      <c r="O3796">
        <f>TEXT(B3796,"YYYY-MM")</f>
        <v/>
      </c>
    </row>
    <row r="3797">
      <c r="A3797" t="inlineStr">
        <is>
          <t>LD-303795</t>
        </is>
      </c>
      <c r="B3797" t="inlineStr">
        <is>
          <t>2025-08-07 07:05:00</t>
        </is>
      </c>
      <c r="C3797" t="inlineStr">
        <is>
          <t>Organic Search</t>
        </is>
      </c>
      <c r="D3797" t="inlineStr">
        <is>
          <t>Coding for Kids</t>
        </is>
      </c>
      <c r="E3797" t="inlineStr">
        <is>
          <t>South Region</t>
        </is>
      </c>
      <c r="F3797" t="inlineStr">
        <is>
          <t>Rep_02</t>
        </is>
      </c>
      <c r="G3797" t="n">
        <v>2.28</v>
      </c>
      <c r="H3797" t="inlineStr">
        <is>
          <t>Contacted</t>
        </is>
      </c>
      <c r="I3797" t="inlineStr">
        <is>
          <t>Open</t>
        </is>
      </c>
      <c r="M3797">
        <f>VLOOKUP(H3797,'Stage Order'!$A$2:$B$8,2,FALSE)</f>
        <v/>
      </c>
      <c r="N3797">
        <f>IF(G3797&lt;=1,"1. Under 1 hour",IF(G3797&lt;=24,"2. 1-24 hours",IF(G3797&lt;=72,"3. 1-3 days","4. Over 3 days")))</f>
        <v/>
      </c>
      <c r="O3797">
        <f>TEXT(B3797,"YYYY-MM")</f>
        <v/>
      </c>
    </row>
    <row r="3798">
      <c r="A3798" t="inlineStr">
        <is>
          <t>LD-303796</t>
        </is>
      </c>
      <c r="B3798" t="inlineStr">
        <is>
          <t>2025-05-22 11:43:00</t>
        </is>
      </c>
      <c r="C3798" t="inlineStr">
        <is>
          <t>Referral</t>
        </is>
      </c>
      <c r="D3798" t="inlineStr">
        <is>
          <t>Language Learning</t>
        </is>
      </c>
      <c r="E3798" t="inlineStr">
        <is>
          <t>International</t>
        </is>
      </c>
      <c r="F3798" t="inlineStr">
        <is>
          <t>Rep_10</t>
        </is>
      </c>
      <c r="G3798" t="n">
        <v>1.84</v>
      </c>
      <c r="H3798" t="inlineStr">
        <is>
          <t>Closed</t>
        </is>
      </c>
      <c r="I3798" t="inlineStr">
        <is>
          <t>Won</t>
        </is>
      </c>
      <c r="K3798" t="n">
        <v>315.05</v>
      </c>
      <c r="L3798" t="inlineStr">
        <is>
          <t>2025-06-27 08:43:54.242857</t>
        </is>
      </c>
      <c r="M3798">
        <f>VLOOKUP(H3798,'Stage Order'!$A$2:$B$8,2,FALSE)</f>
        <v/>
      </c>
      <c r="N3798">
        <f>IF(G3798&lt;=1,"1. Under 1 hour",IF(G3798&lt;=24,"2. 1-24 hours",IF(G3798&lt;=72,"3. 1-3 days","4. Over 3 days")))</f>
        <v/>
      </c>
      <c r="O3798">
        <f>TEXT(B3798,"YYYY-MM")</f>
        <v/>
      </c>
    </row>
    <row r="3799">
      <c r="A3799" t="inlineStr">
        <is>
          <t>LD-303797</t>
        </is>
      </c>
      <c r="B3799" t="inlineStr">
        <is>
          <t>2026-01-20 17:56:00</t>
        </is>
      </c>
      <c r="C3799" t="inlineStr">
        <is>
          <t>Referral</t>
        </is>
      </c>
      <c r="D3799" t="inlineStr">
        <is>
          <t>Competitive Exam Prep</t>
        </is>
      </c>
      <c r="E3799" t="inlineStr">
        <is>
          <t>West Region</t>
        </is>
      </c>
      <c r="F3799" t="inlineStr">
        <is>
          <t>Rep_13</t>
        </is>
      </c>
      <c r="G3799" t="n">
        <v>3.52</v>
      </c>
      <c r="H3799" t="inlineStr">
        <is>
          <t>Negotiation</t>
        </is>
      </c>
      <c r="I3799" t="inlineStr">
        <is>
          <t>Lost</t>
        </is>
      </c>
      <c r="J3799" t="inlineStr">
        <is>
          <t>Price Objection</t>
        </is>
      </c>
      <c r="K3799" t="n">
        <v>1121.96</v>
      </c>
      <c r="L3799" t="inlineStr">
        <is>
          <t>2026-03-04 20:43:47.254514</t>
        </is>
      </c>
      <c r="M3799">
        <f>VLOOKUP(H3799,'Stage Order'!$A$2:$B$8,2,FALSE)</f>
        <v/>
      </c>
      <c r="N3799">
        <f>IF(G3799&lt;=1,"1. Under 1 hour",IF(G3799&lt;=24,"2. 1-24 hours",IF(G3799&lt;=72,"3. 1-3 days","4. Over 3 days")))</f>
        <v/>
      </c>
      <c r="O3799">
        <f>TEXT(B3799,"YYYY-MM")</f>
        <v/>
      </c>
    </row>
    <row r="3800">
      <c r="A3800" t="inlineStr">
        <is>
          <t>LD-303798</t>
        </is>
      </c>
      <c r="B3800" t="inlineStr">
        <is>
          <t>2025-07-10 07:39:00</t>
        </is>
      </c>
      <c r="C3800" t="inlineStr">
        <is>
          <t>Paid Search</t>
        </is>
      </c>
      <c r="D3800" t="inlineStr">
        <is>
          <t>K-12 Math</t>
        </is>
      </c>
      <c r="E3800" t="inlineStr">
        <is>
          <t>South Region</t>
        </is>
      </c>
      <c r="F3800" t="inlineStr">
        <is>
          <t>Rep_02</t>
        </is>
      </c>
      <c r="G3800" t="n">
        <v>8.380000000000001</v>
      </c>
      <c r="H3800" t="inlineStr">
        <is>
          <t>Contacted</t>
        </is>
      </c>
      <c r="I3800" t="inlineStr">
        <is>
          <t>Open</t>
        </is>
      </c>
      <c r="M3800">
        <f>VLOOKUP(H3800,'Stage Order'!$A$2:$B$8,2,FALSE)</f>
        <v/>
      </c>
      <c r="N3800">
        <f>IF(G3800&lt;=1,"1. Under 1 hour",IF(G3800&lt;=24,"2. 1-24 hours",IF(G3800&lt;=72,"3. 1-3 days","4. Over 3 days")))</f>
        <v/>
      </c>
      <c r="O3800">
        <f>TEXT(B3800,"YYYY-MM")</f>
        <v/>
      </c>
    </row>
    <row r="3801">
      <c r="A3801" t="inlineStr">
        <is>
          <t>LD-303799</t>
        </is>
      </c>
      <c r="B3801" t="inlineStr">
        <is>
          <t>2025-08-04 08:48:00</t>
        </is>
      </c>
      <c r="C3801" t="inlineStr">
        <is>
          <t>Paid Search</t>
        </is>
      </c>
      <c r="D3801" t="inlineStr">
        <is>
          <t>K-12 Math</t>
        </is>
      </c>
      <c r="E3801" t="inlineStr">
        <is>
          <t>South Region</t>
        </is>
      </c>
      <c r="F3801" t="inlineStr">
        <is>
          <t>Rep_02</t>
        </is>
      </c>
      <c r="G3801" t="n">
        <v>4.9</v>
      </c>
      <c r="H3801" t="inlineStr">
        <is>
          <t>Contacted</t>
        </is>
      </c>
      <c r="I3801" t="inlineStr">
        <is>
          <t>Open</t>
        </is>
      </c>
      <c r="M3801">
        <f>VLOOKUP(H3801,'Stage Order'!$A$2:$B$8,2,FALSE)</f>
        <v/>
      </c>
      <c r="N3801">
        <f>IF(G3801&lt;=1,"1. Under 1 hour",IF(G3801&lt;=24,"2. 1-24 hours",IF(G3801&lt;=72,"3. 1-3 days","4. Over 3 days")))</f>
        <v/>
      </c>
      <c r="O3801">
        <f>TEXT(B3801,"YYYY-MM")</f>
        <v/>
      </c>
    </row>
    <row r="3802">
      <c r="A3802" t="inlineStr">
        <is>
          <t>LD-303800</t>
        </is>
      </c>
      <c r="B3802" t="inlineStr">
        <is>
          <t>2025-02-07 17:37:00</t>
        </is>
      </c>
      <c r="C3802" t="inlineStr">
        <is>
          <t>Social Media</t>
        </is>
      </c>
      <c r="D3802" t="inlineStr">
        <is>
          <t>Language Learning</t>
        </is>
      </c>
      <c r="E3802" t="inlineStr">
        <is>
          <t>North Region</t>
        </is>
      </c>
      <c r="F3802" t="inlineStr">
        <is>
          <t>Rep_06</t>
        </is>
      </c>
      <c r="G3802" t="n">
        <v>3.4</v>
      </c>
      <c r="H3802" t="inlineStr">
        <is>
          <t>Lead</t>
        </is>
      </c>
      <c r="I3802" t="inlineStr">
        <is>
          <t>Open</t>
        </is>
      </c>
      <c r="M3802">
        <f>VLOOKUP(H3802,'Stage Order'!$A$2:$B$8,2,FALSE)</f>
        <v/>
      </c>
      <c r="N3802">
        <f>IF(G3802&lt;=1,"1. Under 1 hour",IF(G3802&lt;=24,"2. 1-24 hours",IF(G3802&lt;=72,"3. 1-3 days","4. Over 3 days")))</f>
        <v/>
      </c>
      <c r="O3802">
        <f>TEXT(B3802,"YYYY-MM")</f>
        <v/>
      </c>
    </row>
    <row r="3803">
      <c r="A3803" t="inlineStr">
        <is>
          <t>LD-303801</t>
        </is>
      </c>
      <c r="B3803" t="inlineStr">
        <is>
          <t>2025-09-26 19:03:00</t>
        </is>
      </c>
      <c r="C3803" t="inlineStr">
        <is>
          <t>Organic Search</t>
        </is>
      </c>
      <c r="D3803" t="inlineStr">
        <is>
          <t>Study Abroad Prep</t>
        </is>
      </c>
      <c r="E3803" t="inlineStr">
        <is>
          <t>South Region</t>
        </is>
      </c>
      <c r="F3803" t="inlineStr">
        <is>
          <t>Rep_02</t>
        </is>
      </c>
      <c r="G3803" t="n">
        <v>2.83</v>
      </c>
      <c r="H3803" t="inlineStr">
        <is>
          <t>Lead</t>
        </is>
      </c>
      <c r="I3803" t="inlineStr">
        <is>
          <t>Open</t>
        </is>
      </c>
      <c r="M3803">
        <f>VLOOKUP(H3803,'Stage Order'!$A$2:$B$8,2,FALSE)</f>
        <v/>
      </c>
      <c r="N3803">
        <f>IF(G3803&lt;=1,"1. Under 1 hour",IF(G3803&lt;=24,"2. 1-24 hours",IF(G3803&lt;=72,"3. 1-3 days","4. Over 3 days")))</f>
        <v/>
      </c>
      <c r="O3803">
        <f>TEXT(B3803,"YYYY-MM")</f>
        <v/>
      </c>
    </row>
    <row r="3804">
      <c r="A3804" t="inlineStr">
        <is>
          <t>LD-303802</t>
        </is>
      </c>
      <c r="B3804" t="inlineStr">
        <is>
          <t>2025-03-07 15:21:00</t>
        </is>
      </c>
      <c r="C3804" t="inlineStr">
        <is>
          <t>Cold Outreach</t>
        </is>
      </c>
      <c r="D3804" t="inlineStr">
        <is>
          <t>K-12 Math</t>
        </is>
      </c>
      <c r="E3804" t="inlineStr">
        <is>
          <t>East Region</t>
        </is>
      </c>
      <c r="F3804" t="inlineStr">
        <is>
          <t>Rep_04</t>
        </is>
      </c>
      <c r="G3804" t="n">
        <v>5.96</v>
      </c>
      <c r="H3804" t="inlineStr">
        <is>
          <t>Lead</t>
        </is>
      </c>
      <c r="I3804" t="inlineStr">
        <is>
          <t>Open</t>
        </is>
      </c>
      <c r="M3804">
        <f>VLOOKUP(H3804,'Stage Order'!$A$2:$B$8,2,FALSE)</f>
        <v/>
      </c>
      <c r="N3804">
        <f>IF(G3804&lt;=1,"1. Under 1 hour",IF(G3804&lt;=24,"2. 1-24 hours",IF(G3804&lt;=72,"3. 1-3 days","4. Over 3 days")))</f>
        <v/>
      </c>
      <c r="O3804">
        <f>TEXT(B3804,"YYYY-MM")</f>
        <v/>
      </c>
    </row>
    <row r="3805">
      <c r="A3805" t="inlineStr">
        <is>
          <t>LD-303803</t>
        </is>
      </c>
      <c r="B3805" t="inlineStr">
        <is>
          <t>2026-03-20 10:09:00</t>
        </is>
      </c>
      <c r="C3805" t="inlineStr">
        <is>
          <t>Referral</t>
        </is>
      </c>
      <c r="D3805" t="inlineStr">
        <is>
          <t>Study Abroad Prep</t>
        </is>
      </c>
      <c r="E3805" t="inlineStr">
        <is>
          <t>International</t>
        </is>
      </c>
      <c r="F3805" t="inlineStr">
        <is>
          <t>Rep_05</t>
        </is>
      </c>
      <c r="G3805" t="n">
        <v>4.43</v>
      </c>
      <c r="H3805" t="inlineStr">
        <is>
          <t>Demo Completed</t>
        </is>
      </c>
      <c r="I3805" t="inlineStr">
        <is>
          <t>Lost</t>
        </is>
      </c>
      <c r="J3805" t="inlineStr">
        <is>
          <t>Price Objection</t>
        </is>
      </c>
      <c r="K3805" t="n">
        <v>1611.53</v>
      </c>
      <c r="L3805" t="inlineStr">
        <is>
          <t>2026-04-23 03:47:34.742791</t>
        </is>
      </c>
      <c r="M3805">
        <f>VLOOKUP(H3805,'Stage Order'!$A$2:$B$8,2,FALSE)</f>
        <v/>
      </c>
      <c r="N3805">
        <f>IF(G3805&lt;=1,"1. Under 1 hour",IF(G3805&lt;=24,"2. 1-24 hours",IF(G3805&lt;=72,"3. 1-3 days","4. Over 3 days")))</f>
        <v/>
      </c>
      <c r="O3805">
        <f>TEXT(B3805,"YYYY-MM")</f>
        <v/>
      </c>
    </row>
    <row r="3806">
      <c r="A3806" t="inlineStr">
        <is>
          <t>LD-303804</t>
        </is>
      </c>
      <c r="B3806" t="inlineStr">
        <is>
          <t>2026-03-06 08:04:00</t>
        </is>
      </c>
      <c r="C3806" t="inlineStr">
        <is>
          <t>Cold Outreach</t>
        </is>
      </c>
      <c r="D3806" t="inlineStr">
        <is>
          <t>K-12 Math</t>
        </is>
      </c>
      <c r="E3806" t="inlineStr">
        <is>
          <t>West Region</t>
        </is>
      </c>
      <c r="F3806" t="inlineStr">
        <is>
          <t>Rep_08</t>
        </is>
      </c>
      <c r="G3806" t="n">
        <v>5.57</v>
      </c>
      <c r="H3806" t="inlineStr">
        <is>
          <t>Contacted</t>
        </is>
      </c>
      <c r="I3806" t="inlineStr">
        <is>
          <t>Open</t>
        </is>
      </c>
      <c r="M3806">
        <f>VLOOKUP(H3806,'Stage Order'!$A$2:$B$8,2,FALSE)</f>
        <v/>
      </c>
      <c r="N3806">
        <f>IF(G3806&lt;=1,"1. Under 1 hour",IF(G3806&lt;=24,"2. 1-24 hours",IF(G3806&lt;=72,"3. 1-3 days","4. Over 3 days")))</f>
        <v/>
      </c>
      <c r="O3806">
        <f>TEXT(B3806,"YYYY-MM")</f>
        <v/>
      </c>
    </row>
    <row r="3807">
      <c r="A3807" t="inlineStr">
        <is>
          <t>LD-303805</t>
        </is>
      </c>
      <c r="B3807" t="inlineStr">
        <is>
          <t>2026-04-29 18:31:00</t>
        </is>
      </c>
      <c r="C3807" t="inlineStr">
        <is>
          <t>Organic Search</t>
        </is>
      </c>
      <c r="D3807" t="inlineStr">
        <is>
          <t>K-12 Math</t>
        </is>
      </c>
      <c r="E3807" t="inlineStr">
        <is>
          <t>North Region</t>
        </is>
      </c>
      <c r="F3807" t="inlineStr">
        <is>
          <t>Rep_01</t>
        </is>
      </c>
      <c r="G3807" t="n">
        <v>1.78</v>
      </c>
      <c r="H3807" t="inlineStr">
        <is>
          <t>Closed</t>
        </is>
      </c>
      <c r="I3807" t="inlineStr">
        <is>
          <t>Won</t>
        </is>
      </c>
      <c r="K3807" t="n">
        <v>468.8</v>
      </c>
      <c r="L3807" t="inlineStr">
        <is>
          <t>2026-05-30 21:13:47.151883</t>
        </is>
      </c>
      <c r="M3807">
        <f>VLOOKUP(H3807,'Stage Order'!$A$2:$B$8,2,FALSE)</f>
        <v/>
      </c>
      <c r="N3807">
        <f>IF(G3807&lt;=1,"1. Under 1 hour",IF(G3807&lt;=24,"2. 1-24 hours",IF(G3807&lt;=72,"3. 1-3 days","4. Over 3 days")))</f>
        <v/>
      </c>
      <c r="O3807">
        <f>TEXT(B3807,"YYYY-MM")</f>
        <v/>
      </c>
    </row>
    <row r="3808">
      <c r="A3808" t="inlineStr">
        <is>
          <t>LD-303806</t>
        </is>
      </c>
      <c r="B3808" t="inlineStr">
        <is>
          <t>2025-09-12 10:29:00</t>
        </is>
      </c>
      <c r="C3808" t="inlineStr">
        <is>
          <t>Paid Search</t>
        </is>
      </c>
      <c r="D3808" t="inlineStr">
        <is>
          <t>K-12 Math</t>
        </is>
      </c>
      <c r="E3808" t="inlineStr">
        <is>
          <t>International</t>
        </is>
      </c>
      <c r="F3808" t="inlineStr">
        <is>
          <t>Rep_05</t>
        </is>
      </c>
      <c r="G3808" t="n">
        <v>1.02</v>
      </c>
      <c r="H3808" t="inlineStr">
        <is>
          <t>Contacted</t>
        </is>
      </c>
      <c r="I3808" t="inlineStr">
        <is>
          <t>Open</t>
        </is>
      </c>
      <c r="M3808">
        <f>VLOOKUP(H3808,'Stage Order'!$A$2:$B$8,2,FALSE)</f>
        <v/>
      </c>
      <c r="N3808">
        <f>IF(G3808&lt;=1,"1. Under 1 hour",IF(G3808&lt;=24,"2. 1-24 hours",IF(G3808&lt;=72,"3. 1-3 days","4. Over 3 days")))</f>
        <v/>
      </c>
      <c r="O3808">
        <f>TEXT(B3808,"YYYY-MM")</f>
        <v/>
      </c>
    </row>
    <row r="3809">
      <c r="A3809" t="inlineStr">
        <is>
          <t>LD-303807</t>
        </is>
      </c>
      <c r="B3809" t="inlineStr">
        <is>
          <t>2026-01-16 18:41:00</t>
        </is>
      </c>
      <c r="C3809" t="inlineStr">
        <is>
          <t>Referral</t>
        </is>
      </c>
      <c r="D3809" t="inlineStr">
        <is>
          <t>Coding for Kids</t>
        </is>
      </c>
      <c r="E3809" t="inlineStr">
        <is>
          <t>North Region</t>
        </is>
      </c>
      <c r="F3809" t="inlineStr">
        <is>
          <t>Rep_11</t>
        </is>
      </c>
      <c r="G3809" t="n">
        <v>4.6</v>
      </c>
      <c r="H3809" t="inlineStr">
        <is>
          <t>Contacted</t>
        </is>
      </c>
      <c r="I3809" t="inlineStr">
        <is>
          <t>Open</t>
        </is>
      </c>
      <c r="M3809">
        <f>VLOOKUP(H3809,'Stage Order'!$A$2:$B$8,2,FALSE)</f>
        <v/>
      </c>
      <c r="N3809">
        <f>IF(G3809&lt;=1,"1. Under 1 hour",IF(G3809&lt;=24,"2. 1-24 hours",IF(G3809&lt;=72,"3. 1-3 days","4. Over 3 days")))</f>
        <v/>
      </c>
      <c r="O3809">
        <f>TEXT(B3809,"YYYY-MM")</f>
        <v/>
      </c>
    </row>
    <row r="3810">
      <c r="A3810" t="inlineStr">
        <is>
          <t>LD-303808</t>
        </is>
      </c>
      <c r="B3810" t="inlineStr">
        <is>
          <t>2025-07-09 07:00:00</t>
        </is>
      </c>
      <c r="C3810" t="inlineStr">
        <is>
          <t>Paid Search</t>
        </is>
      </c>
      <c r="D3810" t="inlineStr">
        <is>
          <t>Competitive Exam Prep</t>
        </is>
      </c>
      <c r="E3810" t="inlineStr">
        <is>
          <t>South Region</t>
        </is>
      </c>
      <c r="F3810" t="inlineStr">
        <is>
          <t>Rep_07</t>
        </is>
      </c>
      <c r="G3810" t="n">
        <v>0.48</v>
      </c>
      <c r="H3810" t="inlineStr">
        <is>
          <t>Contacted</t>
        </is>
      </c>
      <c r="I3810" t="inlineStr">
        <is>
          <t>Open</t>
        </is>
      </c>
      <c r="M3810">
        <f>VLOOKUP(H3810,'Stage Order'!$A$2:$B$8,2,FALSE)</f>
        <v/>
      </c>
      <c r="N3810">
        <f>IF(G3810&lt;=1,"1. Under 1 hour",IF(G3810&lt;=24,"2. 1-24 hours",IF(G3810&lt;=72,"3. 1-3 days","4. Over 3 days")))</f>
        <v/>
      </c>
      <c r="O3810">
        <f>TEXT(B3810,"YYYY-MM")</f>
        <v/>
      </c>
    </row>
    <row r="3811">
      <c r="A3811" t="inlineStr">
        <is>
          <t>LD-303809</t>
        </is>
      </c>
      <c r="B3811" t="inlineStr">
        <is>
          <t>2026-02-27 09:17:00</t>
        </is>
      </c>
      <c r="C3811" t="inlineStr">
        <is>
          <t>Referral</t>
        </is>
      </c>
      <c r="D3811" t="inlineStr">
        <is>
          <t>Study Abroad Prep</t>
        </is>
      </c>
      <c r="E3811" t="inlineStr">
        <is>
          <t>South Region</t>
        </is>
      </c>
      <c r="F3811" t="inlineStr">
        <is>
          <t>Rep_02</t>
        </is>
      </c>
      <c r="G3811" t="n">
        <v>7.95</v>
      </c>
      <c r="H3811" t="inlineStr">
        <is>
          <t>Closed</t>
        </is>
      </c>
      <c r="I3811" t="inlineStr">
        <is>
          <t>Won</t>
        </is>
      </c>
      <c r="K3811" t="n">
        <v>1476.55</v>
      </c>
      <c r="L3811" t="inlineStr">
        <is>
          <t>2026-03-24 22:20:58.088262</t>
        </is>
      </c>
      <c r="M3811">
        <f>VLOOKUP(H3811,'Stage Order'!$A$2:$B$8,2,FALSE)</f>
        <v/>
      </c>
      <c r="N3811">
        <f>IF(G3811&lt;=1,"1. Under 1 hour",IF(G3811&lt;=24,"2. 1-24 hours",IF(G3811&lt;=72,"3. 1-3 days","4. Over 3 days")))</f>
        <v/>
      </c>
      <c r="O3811">
        <f>TEXT(B3811,"YYYY-MM")</f>
        <v/>
      </c>
    </row>
    <row r="3812">
      <c r="A3812" t="inlineStr">
        <is>
          <t>LD-303810</t>
        </is>
      </c>
      <c r="B3812" t="inlineStr">
        <is>
          <t>2026-01-23 08:43:00</t>
        </is>
      </c>
      <c r="C3812" t="inlineStr">
        <is>
          <t>Partner Channel</t>
        </is>
      </c>
      <c r="D3812" t="inlineStr">
        <is>
          <t>K-12 Math</t>
        </is>
      </c>
      <c r="E3812" t="inlineStr">
        <is>
          <t>International</t>
        </is>
      </c>
      <c r="F3812" t="inlineStr">
        <is>
          <t>Rep_05</t>
        </is>
      </c>
      <c r="G3812" t="n">
        <v>2.45</v>
      </c>
      <c r="H3812" t="inlineStr">
        <is>
          <t>Contacted</t>
        </is>
      </c>
      <c r="I3812" t="inlineStr">
        <is>
          <t>Open</t>
        </is>
      </c>
      <c r="M3812">
        <f>VLOOKUP(H3812,'Stage Order'!$A$2:$B$8,2,FALSE)</f>
        <v/>
      </c>
      <c r="N3812">
        <f>IF(G3812&lt;=1,"1. Under 1 hour",IF(G3812&lt;=24,"2. 1-24 hours",IF(G3812&lt;=72,"3. 1-3 days","4. Over 3 days")))</f>
        <v/>
      </c>
      <c r="O3812">
        <f>TEXT(B3812,"YYYY-MM")</f>
        <v/>
      </c>
    </row>
    <row r="3813">
      <c r="A3813" t="inlineStr">
        <is>
          <t>LD-303811</t>
        </is>
      </c>
      <c r="B3813" t="inlineStr">
        <is>
          <t>2025-08-09 10:36:00</t>
        </is>
      </c>
      <c r="C3813" t="inlineStr">
        <is>
          <t>Partner Channel</t>
        </is>
      </c>
      <c r="D3813" t="inlineStr">
        <is>
          <t>K-12 Math</t>
        </is>
      </c>
      <c r="E3813" t="inlineStr">
        <is>
          <t>East Region</t>
        </is>
      </c>
      <c r="F3813" t="inlineStr">
        <is>
          <t>Rep_09</t>
        </is>
      </c>
      <c r="G3813" t="n">
        <v>1.11</v>
      </c>
      <c r="H3813" t="inlineStr">
        <is>
          <t>Demo Scheduled</t>
        </is>
      </c>
      <c r="I3813" t="inlineStr">
        <is>
          <t>Open</t>
        </is>
      </c>
      <c r="M3813">
        <f>VLOOKUP(H3813,'Stage Order'!$A$2:$B$8,2,FALSE)</f>
        <v/>
      </c>
      <c r="N3813">
        <f>IF(G3813&lt;=1,"1. Under 1 hour",IF(G3813&lt;=24,"2. 1-24 hours",IF(G3813&lt;=72,"3. 1-3 days","4. Over 3 days")))</f>
        <v/>
      </c>
      <c r="O3813">
        <f>TEXT(B3813,"YYYY-MM")</f>
        <v/>
      </c>
    </row>
    <row r="3814">
      <c r="A3814" t="inlineStr">
        <is>
          <t>LD-303812</t>
        </is>
      </c>
      <c r="B3814" t="inlineStr">
        <is>
          <t>2025-09-03 10:28:00</t>
        </is>
      </c>
      <c r="C3814" t="inlineStr">
        <is>
          <t>Referral</t>
        </is>
      </c>
      <c r="D3814" t="inlineStr">
        <is>
          <t>K-12 Math</t>
        </is>
      </c>
      <c r="E3814" t="inlineStr">
        <is>
          <t>South Region</t>
        </is>
      </c>
      <c r="F3814" t="inlineStr">
        <is>
          <t>Rep_12</t>
        </is>
      </c>
      <c r="G3814" t="n">
        <v>2.37</v>
      </c>
      <c r="H3814" t="inlineStr">
        <is>
          <t>Closed</t>
        </is>
      </c>
      <c r="I3814" t="inlineStr">
        <is>
          <t>Won</t>
        </is>
      </c>
      <c r="K3814" t="n">
        <v>542.1900000000001</v>
      </c>
      <c r="L3814" t="inlineStr">
        <is>
          <t>2025-10-13 02:11:50.395732</t>
        </is>
      </c>
      <c r="M3814">
        <f>VLOOKUP(H3814,'Stage Order'!$A$2:$B$8,2,FALSE)</f>
        <v/>
      </c>
      <c r="N3814">
        <f>IF(G3814&lt;=1,"1. Under 1 hour",IF(G3814&lt;=24,"2. 1-24 hours",IF(G3814&lt;=72,"3. 1-3 days","4. Over 3 days")))</f>
        <v/>
      </c>
      <c r="O3814">
        <f>TEXT(B3814,"YYYY-MM")</f>
        <v/>
      </c>
    </row>
    <row r="3815">
      <c r="A3815" t="inlineStr">
        <is>
          <t>LD-303813</t>
        </is>
      </c>
      <c r="B3815" t="inlineStr">
        <is>
          <t>2025-01-31 07:57:00</t>
        </is>
      </c>
      <c r="C3815" t="inlineStr">
        <is>
          <t>Organic Search</t>
        </is>
      </c>
      <c r="D3815" t="inlineStr">
        <is>
          <t>K-12 Math</t>
        </is>
      </c>
      <c r="E3815" t="inlineStr">
        <is>
          <t>South Region</t>
        </is>
      </c>
      <c r="F3815" t="inlineStr">
        <is>
          <t>Rep_07</t>
        </is>
      </c>
      <c r="G3815" t="n">
        <v>2.9</v>
      </c>
      <c r="H3815" t="inlineStr">
        <is>
          <t>Proposal Sent</t>
        </is>
      </c>
      <c r="I3815" t="inlineStr">
        <is>
          <t>Lost</t>
        </is>
      </c>
      <c r="J3815" t="inlineStr">
        <is>
          <t>Price Objection</t>
        </is>
      </c>
      <c r="K3815" t="n">
        <v>584.8200000000001</v>
      </c>
      <c r="L3815" t="inlineStr">
        <is>
          <t>2025-03-23 07:57:45.861338</t>
        </is>
      </c>
      <c r="M3815">
        <f>VLOOKUP(H3815,'Stage Order'!$A$2:$B$8,2,FALSE)</f>
        <v/>
      </c>
      <c r="N3815">
        <f>IF(G3815&lt;=1,"1. Under 1 hour",IF(G3815&lt;=24,"2. 1-24 hours",IF(G3815&lt;=72,"3. 1-3 days","4. Over 3 days")))</f>
        <v/>
      </c>
      <c r="O3815">
        <f>TEXT(B3815,"YYYY-MM")</f>
        <v/>
      </c>
    </row>
    <row r="3816">
      <c r="A3816" t="inlineStr">
        <is>
          <t>LD-303814</t>
        </is>
      </c>
      <c r="B3816" t="inlineStr">
        <is>
          <t>2025-05-30 15:16:00</t>
        </is>
      </c>
      <c r="C3816" t="inlineStr">
        <is>
          <t>Cold Outreach</t>
        </is>
      </c>
      <c r="D3816" t="inlineStr">
        <is>
          <t>K-12 Math</t>
        </is>
      </c>
      <c r="E3816" t="inlineStr">
        <is>
          <t>West Region</t>
        </is>
      </c>
      <c r="F3816" t="inlineStr">
        <is>
          <t>Rep_13</t>
        </is>
      </c>
      <c r="G3816" t="n">
        <v>3.83</v>
      </c>
      <c r="H3816" t="inlineStr">
        <is>
          <t>Demo Completed</t>
        </is>
      </c>
      <c r="I3816" t="inlineStr">
        <is>
          <t>Lost</t>
        </is>
      </c>
      <c r="J3816" t="inlineStr">
        <is>
          <t>Price Objection</t>
        </is>
      </c>
      <c r="K3816" t="n">
        <v>494.83</v>
      </c>
      <c r="L3816" t="inlineStr">
        <is>
          <t>2025-07-04 20:02:57.471969</t>
        </is>
      </c>
      <c r="M3816">
        <f>VLOOKUP(H3816,'Stage Order'!$A$2:$B$8,2,FALSE)</f>
        <v/>
      </c>
      <c r="N3816">
        <f>IF(G3816&lt;=1,"1. Under 1 hour",IF(G3816&lt;=24,"2. 1-24 hours",IF(G3816&lt;=72,"3. 1-3 days","4. Over 3 days")))</f>
        <v/>
      </c>
      <c r="O3816">
        <f>TEXT(B3816,"YYYY-MM")</f>
        <v/>
      </c>
    </row>
    <row r="3817">
      <c r="A3817" t="inlineStr">
        <is>
          <t>LD-303815</t>
        </is>
      </c>
      <c r="B3817" t="inlineStr">
        <is>
          <t>2026-06-11 13:30:00</t>
        </is>
      </c>
      <c r="C3817" t="inlineStr">
        <is>
          <t>Organic Search</t>
        </is>
      </c>
      <c r="D3817" t="inlineStr">
        <is>
          <t>Competitive Exam Prep</t>
        </is>
      </c>
      <c r="E3817" t="inlineStr">
        <is>
          <t>South Region</t>
        </is>
      </c>
      <c r="F3817" t="inlineStr">
        <is>
          <t>Rep_07</t>
        </is>
      </c>
      <c r="G3817" t="n">
        <v>3.12</v>
      </c>
      <c r="H3817" t="inlineStr">
        <is>
          <t>Contacted</t>
        </is>
      </c>
      <c r="I3817" t="inlineStr">
        <is>
          <t>Open</t>
        </is>
      </c>
      <c r="M3817">
        <f>VLOOKUP(H3817,'Stage Order'!$A$2:$B$8,2,FALSE)</f>
        <v/>
      </c>
      <c r="N3817">
        <f>IF(G3817&lt;=1,"1. Under 1 hour",IF(G3817&lt;=24,"2. 1-24 hours",IF(G3817&lt;=72,"3. 1-3 days","4. Over 3 days")))</f>
        <v/>
      </c>
      <c r="O3817">
        <f>TEXT(B3817,"YYYY-MM")</f>
        <v/>
      </c>
    </row>
    <row r="3818">
      <c r="A3818" t="inlineStr">
        <is>
          <t>LD-303816</t>
        </is>
      </c>
      <c r="B3818" t="inlineStr">
        <is>
          <t>2025-10-29 20:25:00</t>
        </is>
      </c>
      <c r="C3818" t="inlineStr">
        <is>
          <t>Organic Search</t>
        </is>
      </c>
      <c r="D3818" t="inlineStr">
        <is>
          <t>Competitive Exam Prep</t>
        </is>
      </c>
      <c r="E3818" t="inlineStr">
        <is>
          <t>South Region</t>
        </is>
      </c>
      <c r="F3818" t="inlineStr">
        <is>
          <t>Rep_07</t>
        </is>
      </c>
      <c r="G3818" t="n">
        <v>4.99</v>
      </c>
      <c r="H3818" t="inlineStr">
        <is>
          <t>Proposal Sent</t>
        </is>
      </c>
      <c r="I3818" t="inlineStr">
        <is>
          <t>Lost</t>
        </is>
      </c>
      <c r="J3818" t="inlineStr">
        <is>
          <t>Price Objection</t>
        </is>
      </c>
      <c r="K3818" t="n">
        <v>940.53</v>
      </c>
      <c r="L3818" t="inlineStr">
        <is>
          <t>2025-12-13 09:35:17.486487</t>
        </is>
      </c>
      <c r="M3818">
        <f>VLOOKUP(H3818,'Stage Order'!$A$2:$B$8,2,FALSE)</f>
        <v/>
      </c>
      <c r="N3818">
        <f>IF(G3818&lt;=1,"1. Under 1 hour",IF(G3818&lt;=24,"2. 1-24 hours",IF(G3818&lt;=72,"3. 1-3 days","4. Over 3 days")))</f>
        <v/>
      </c>
      <c r="O3818">
        <f>TEXT(B3818,"YYYY-MM")</f>
        <v/>
      </c>
    </row>
    <row r="3819">
      <c r="A3819" t="inlineStr">
        <is>
          <t>LD-303817</t>
        </is>
      </c>
      <c r="B3819" t="inlineStr">
        <is>
          <t>2025-01-27 14:30:00</t>
        </is>
      </c>
      <c r="C3819" t="inlineStr">
        <is>
          <t>Organic Search</t>
        </is>
      </c>
      <c r="D3819" t="inlineStr">
        <is>
          <t>Coding for Kids</t>
        </is>
      </c>
      <c r="E3819" t="inlineStr">
        <is>
          <t>South Region</t>
        </is>
      </c>
      <c r="F3819" t="inlineStr">
        <is>
          <t>Rep_07</t>
        </is>
      </c>
      <c r="G3819" t="n">
        <v>5.75</v>
      </c>
      <c r="H3819" t="inlineStr">
        <is>
          <t>Contacted</t>
        </is>
      </c>
      <c r="I3819" t="inlineStr">
        <is>
          <t>Open</t>
        </is>
      </c>
      <c r="M3819">
        <f>VLOOKUP(H3819,'Stage Order'!$A$2:$B$8,2,FALSE)</f>
        <v/>
      </c>
      <c r="N3819">
        <f>IF(G3819&lt;=1,"1. Under 1 hour",IF(G3819&lt;=24,"2. 1-24 hours",IF(G3819&lt;=72,"3. 1-3 days","4. Over 3 days")))</f>
        <v/>
      </c>
      <c r="O3819">
        <f>TEXT(B3819,"YYYY-MM")</f>
        <v/>
      </c>
    </row>
    <row r="3820">
      <c r="A3820" t="inlineStr">
        <is>
          <t>LD-303818</t>
        </is>
      </c>
      <c r="B3820" t="inlineStr">
        <is>
          <t>2026-03-26 19:48:00</t>
        </is>
      </c>
      <c r="C3820" t="inlineStr">
        <is>
          <t>Organic Search</t>
        </is>
      </c>
      <c r="D3820" t="inlineStr">
        <is>
          <t>K-12 Math</t>
        </is>
      </c>
      <c r="E3820" t="inlineStr">
        <is>
          <t>South Region</t>
        </is>
      </c>
      <c r="F3820" t="inlineStr">
        <is>
          <t>Rep_12</t>
        </is>
      </c>
      <c r="G3820" t="n">
        <v>0.34</v>
      </c>
      <c r="H3820" t="inlineStr">
        <is>
          <t>Negotiation</t>
        </is>
      </c>
      <c r="I3820" t="inlineStr">
        <is>
          <t>Lost</t>
        </is>
      </c>
      <c r="J3820" t="inlineStr">
        <is>
          <t>Went With Competitor</t>
        </is>
      </c>
      <c r="K3820" t="n">
        <v>599.74</v>
      </c>
      <c r="L3820" t="inlineStr">
        <is>
          <t>2026-04-25 21:03:46.358802</t>
        </is>
      </c>
      <c r="M3820">
        <f>VLOOKUP(H3820,'Stage Order'!$A$2:$B$8,2,FALSE)</f>
        <v/>
      </c>
      <c r="N3820">
        <f>IF(G3820&lt;=1,"1. Under 1 hour",IF(G3820&lt;=24,"2. 1-24 hours",IF(G3820&lt;=72,"3. 1-3 days","4. Over 3 days")))</f>
        <v/>
      </c>
      <c r="O3820">
        <f>TEXT(B3820,"YYYY-MM")</f>
        <v/>
      </c>
    </row>
    <row r="3821">
      <c r="A3821" t="inlineStr">
        <is>
          <t>LD-303819</t>
        </is>
      </c>
      <c r="B3821" t="inlineStr">
        <is>
          <t>2025-09-25 16:54:00</t>
        </is>
      </c>
      <c r="C3821" t="inlineStr">
        <is>
          <t>Cold Outreach</t>
        </is>
      </c>
      <c r="D3821" t="inlineStr">
        <is>
          <t>Competitive Exam Prep</t>
        </is>
      </c>
      <c r="E3821" t="inlineStr">
        <is>
          <t>East Region</t>
        </is>
      </c>
      <c r="F3821" t="inlineStr">
        <is>
          <t>Rep_04</t>
        </is>
      </c>
      <c r="G3821" t="n">
        <v>1.2</v>
      </c>
      <c r="H3821" t="inlineStr">
        <is>
          <t>Lead</t>
        </is>
      </c>
      <c r="I3821" t="inlineStr">
        <is>
          <t>Open</t>
        </is>
      </c>
      <c r="M3821">
        <f>VLOOKUP(H3821,'Stage Order'!$A$2:$B$8,2,FALSE)</f>
        <v/>
      </c>
      <c r="N3821">
        <f>IF(G3821&lt;=1,"1. Under 1 hour",IF(G3821&lt;=24,"2. 1-24 hours",IF(G3821&lt;=72,"3. 1-3 days","4. Over 3 days")))</f>
        <v/>
      </c>
      <c r="O3821">
        <f>TEXT(B3821,"YYYY-MM")</f>
        <v/>
      </c>
    </row>
    <row r="3822">
      <c r="A3822" t="inlineStr">
        <is>
          <t>LD-303820</t>
        </is>
      </c>
      <c r="B3822" t="inlineStr">
        <is>
          <t>2026-05-25 08:41:00</t>
        </is>
      </c>
      <c r="C3822" t="inlineStr">
        <is>
          <t>Social Media</t>
        </is>
      </c>
      <c r="D3822" t="inlineStr">
        <is>
          <t>Coding for Kids</t>
        </is>
      </c>
      <c r="E3822" t="inlineStr">
        <is>
          <t>East Region</t>
        </is>
      </c>
      <c r="F3822" t="inlineStr">
        <is>
          <t>Rep_09</t>
        </is>
      </c>
      <c r="G3822" t="n">
        <v>4.47</v>
      </c>
      <c r="H3822" t="inlineStr">
        <is>
          <t>Lead</t>
        </is>
      </c>
      <c r="I3822" t="inlineStr">
        <is>
          <t>Open</t>
        </is>
      </c>
      <c r="M3822">
        <f>VLOOKUP(H3822,'Stage Order'!$A$2:$B$8,2,FALSE)</f>
        <v/>
      </c>
      <c r="N3822">
        <f>IF(G3822&lt;=1,"1. Under 1 hour",IF(G3822&lt;=24,"2. 1-24 hours",IF(G3822&lt;=72,"3. 1-3 days","4. Over 3 days")))</f>
        <v/>
      </c>
      <c r="O3822">
        <f>TEXT(B3822,"YYYY-MM")</f>
        <v/>
      </c>
    </row>
    <row r="3823">
      <c r="A3823" t="inlineStr">
        <is>
          <t>LD-303821</t>
        </is>
      </c>
      <c r="B3823" t="inlineStr">
        <is>
          <t>2025-11-10 10:28:00</t>
        </is>
      </c>
      <c r="C3823" t="inlineStr">
        <is>
          <t>Referral</t>
        </is>
      </c>
      <c r="D3823" t="inlineStr">
        <is>
          <t>K-12 Math</t>
        </is>
      </c>
      <c r="E3823" t="inlineStr">
        <is>
          <t>East Region</t>
        </is>
      </c>
      <c r="F3823" t="inlineStr">
        <is>
          <t>Rep_04</t>
        </is>
      </c>
      <c r="G3823" t="n">
        <v>7.51</v>
      </c>
      <c r="H3823" t="inlineStr">
        <is>
          <t>Closed</t>
        </is>
      </c>
      <c r="I3823" t="inlineStr">
        <is>
          <t>Won</t>
        </is>
      </c>
      <c r="K3823" t="n">
        <v>556.09</v>
      </c>
      <c r="L3823" t="inlineStr">
        <is>
          <t>2025-12-17 08:32:07.537865</t>
        </is>
      </c>
      <c r="M3823">
        <f>VLOOKUP(H3823,'Stage Order'!$A$2:$B$8,2,FALSE)</f>
        <v/>
      </c>
      <c r="N3823">
        <f>IF(G3823&lt;=1,"1. Under 1 hour",IF(G3823&lt;=24,"2. 1-24 hours",IF(G3823&lt;=72,"3. 1-3 days","4. Over 3 days")))</f>
        <v/>
      </c>
      <c r="O3823">
        <f>TEXT(B3823,"YYYY-MM")</f>
        <v/>
      </c>
    </row>
    <row r="3824">
      <c r="A3824" t="inlineStr">
        <is>
          <t>LD-303822</t>
        </is>
      </c>
      <c r="B3824" t="inlineStr">
        <is>
          <t>2025-06-14 10:25:00</t>
        </is>
      </c>
      <c r="C3824" t="inlineStr">
        <is>
          <t>Referral</t>
        </is>
      </c>
      <c r="D3824" t="inlineStr">
        <is>
          <t>Competitive Exam Prep</t>
        </is>
      </c>
      <c r="E3824" t="inlineStr">
        <is>
          <t>North Region</t>
        </is>
      </c>
      <c r="F3824" t="inlineStr">
        <is>
          <t>Rep_06</t>
        </is>
      </c>
      <c r="G3824" t="n">
        <v>2.39</v>
      </c>
      <c r="H3824" t="inlineStr">
        <is>
          <t>Contacted</t>
        </is>
      </c>
      <c r="I3824" t="inlineStr">
        <is>
          <t>Open</t>
        </is>
      </c>
      <c r="M3824">
        <f>VLOOKUP(H3824,'Stage Order'!$A$2:$B$8,2,FALSE)</f>
        <v/>
      </c>
      <c r="N3824">
        <f>IF(G3824&lt;=1,"1. Under 1 hour",IF(G3824&lt;=24,"2. 1-24 hours",IF(G3824&lt;=72,"3. 1-3 days","4. Over 3 days")))</f>
        <v/>
      </c>
      <c r="O3824">
        <f>TEXT(B3824,"YYYY-MM")</f>
        <v/>
      </c>
    </row>
    <row r="3825">
      <c r="A3825" t="inlineStr">
        <is>
          <t>LD-303823</t>
        </is>
      </c>
      <c r="B3825" t="inlineStr">
        <is>
          <t>2025-09-26 15:32:00</t>
        </is>
      </c>
      <c r="C3825" t="inlineStr">
        <is>
          <t>Referral</t>
        </is>
      </c>
      <c r="D3825" t="inlineStr">
        <is>
          <t>Competitive Exam Prep</t>
        </is>
      </c>
      <c r="E3825" t="inlineStr">
        <is>
          <t>East Region</t>
        </is>
      </c>
      <c r="F3825" t="inlineStr">
        <is>
          <t>Rep_09</t>
        </is>
      </c>
      <c r="G3825" t="n">
        <v>8.970000000000001</v>
      </c>
      <c r="H3825" t="inlineStr">
        <is>
          <t>Closed</t>
        </is>
      </c>
      <c r="I3825" t="inlineStr">
        <is>
          <t>Won</t>
        </is>
      </c>
      <c r="K3825" t="n">
        <v>870.22</v>
      </c>
      <c r="L3825" t="inlineStr">
        <is>
          <t>2025-11-05 09:22:29.535728</t>
        </is>
      </c>
      <c r="M3825">
        <f>VLOOKUP(H3825,'Stage Order'!$A$2:$B$8,2,FALSE)</f>
        <v/>
      </c>
      <c r="N3825">
        <f>IF(G3825&lt;=1,"1. Under 1 hour",IF(G3825&lt;=24,"2. 1-24 hours",IF(G3825&lt;=72,"3. 1-3 days","4. Over 3 days")))</f>
        <v/>
      </c>
      <c r="O3825">
        <f>TEXT(B3825,"YYYY-MM")</f>
        <v/>
      </c>
    </row>
    <row r="3826">
      <c r="A3826" t="inlineStr">
        <is>
          <t>LD-303824</t>
        </is>
      </c>
      <c r="B3826" t="inlineStr">
        <is>
          <t>2025-03-20 13:09:00</t>
        </is>
      </c>
      <c r="C3826" t="inlineStr">
        <is>
          <t>Referral</t>
        </is>
      </c>
      <c r="D3826" t="inlineStr">
        <is>
          <t>K-12 Math</t>
        </is>
      </c>
      <c r="E3826" t="inlineStr">
        <is>
          <t>North Region</t>
        </is>
      </c>
      <c r="F3826" t="inlineStr">
        <is>
          <t>Rep_06</t>
        </is>
      </c>
      <c r="G3826" t="n">
        <v>7.33</v>
      </c>
      <c r="H3826" t="inlineStr">
        <is>
          <t>Contacted</t>
        </is>
      </c>
      <c r="I3826" t="inlineStr">
        <is>
          <t>Open</t>
        </is>
      </c>
      <c r="M3826">
        <f>VLOOKUP(H3826,'Stage Order'!$A$2:$B$8,2,FALSE)</f>
        <v/>
      </c>
      <c r="N3826">
        <f>IF(G3826&lt;=1,"1. Under 1 hour",IF(G3826&lt;=24,"2. 1-24 hours",IF(G3826&lt;=72,"3. 1-3 days","4. Over 3 days")))</f>
        <v/>
      </c>
      <c r="O3826">
        <f>TEXT(B3826,"YYYY-MM")</f>
        <v/>
      </c>
    </row>
    <row r="3827">
      <c r="A3827" t="inlineStr">
        <is>
          <t>LD-303825</t>
        </is>
      </c>
      <c r="B3827" t="inlineStr">
        <is>
          <t>2025-05-23 17:46:00</t>
        </is>
      </c>
      <c r="C3827" t="inlineStr">
        <is>
          <t>Organic Search</t>
        </is>
      </c>
      <c r="D3827" t="inlineStr">
        <is>
          <t>Study Abroad Prep</t>
        </is>
      </c>
      <c r="E3827" t="inlineStr">
        <is>
          <t>South Region</t>
        </is>
      </c>
      <c r="F3827" t="inlineStr">
        <is>
          <t>Rep_12</t>
        </is>
      </c>
      <c r="G3827" t="n">
        <v>8.890000000000001</v>
      </c>
      <c r="H3827" t="inlineStr">
        <is>
          <t>Demo Completed</t>
        </is>
      </c>
      <c r="I3827" t="inlineStr">
        <is>
          <t>Lost</t>
        </is>
      </c>
      <c r="J3827" t="inlineStr">
        <is>
          <t>Budget Not Approved</t>
        </is>
      </c>
      <c r="K3827" t="n">
        <v>1433.39</v>
      </c>
      <c r="L3827" t="inlineStr">
        <is>
          <t>2025-06-12 00:57:57.821295</t>
        </is>
      </c>
      <c r="M3827">
        <f>VLOOKUP(H3827,'Stage Order'!$A$2:$B$8,2,FALSE)</f>
        <v/>
      </c>
      <c r="N3827">
        <f>IF(G3827&lt;=1,"1. Under 1 hour",IF(G3827&lt;=24,"2. 1-24 hours",IF(G3827&lt;=72,"3. 1-3 days","4. Over 3 days")))</f>
        <v/>
      </c>
      <c r="O3827">
        <f>TEXT(B3827,"YYYY-MM")</f>
        <v/>
      </c>
    </row>
    <row r="3828">
      <c r="A3828" t="inlineStr">
        <is>
          <t>LD-303826</t>
        </is>
      </c>
      <c r="B3828" t="inlineStr">
        <is>
          <t>2026-05-15 10:50:00</t>
        </is>
      </c>
      <c r="C3828" t="inlineStr">
        <is>
          <t>Paid Search</t>
        </is>
      </c>
      <c r="D3828" t="inlineStr">
        <is>
          <t>K-12 Math</t>
        </is>
      </c>
      <c r="E3828" t="inlineStr">
        <is>
          <t>International</t>
        </is>
      </c>
      <c r="F3828" t="inlineStr">
        <is>
          <t>Rep_05</t>
        </is>
      </c>
      <c r="G3828" t="n">
        <v>7.76</v>
      </c>
      <c r="H3828" t="inlineStr">
        <is>
          <t>Contacted</t>
        </is>
      </c>
      <c r="I3828" t="inlineStr">
        <is>
          <t>Open</t>
        </is>
      </c>
      <c r="M3828">
        <f>VLOOKUP(H3828,'Stage Order'!$A$2:$B$8,2,FALSE)</f>
        <v/>
      </c>
      <c r="N3828">
        <f>IF(G3828&lt;=1,"1. Under 1 hour",IF(G3828&lt;=24,"2. 1-24 hours",IF(G3828&lt;=72,"3. 1-3 days","4. Over 3 days")))</f>
        <v/>
      </c>
      <c r="O3828">
        <f>TEXT(B3828,"YYYY-MM")</f>
        <v/>
      </c>
    </row>
    <row r="3829">
      <c r="A3829" t="inlineStr">
        <is>
          <t>LD-303827</t>
        </is>
      </c>
      <c r="B3829" t="inlineStr">
        <is>
          <t>2025-03-24 19:36:00</t>
        </is>
      </c>
      <c r="C3829" t="inlineStr">
        <is>
          <t>Paid Search</t>
        </is>
      </c>
      <c r="D3829" t="inlineStr">
        <is>
          <t>K-12 Math</t>
        </is>
      </c>
      <c r="E3829" t="inlineStr">
        <is>
          <t>East Region</t>
        </is>
      </c>
      <c r="F3829" t="inlineStr">
        <is>
          <t>Rep_09</t>
        </is>
      </c>
      <c r="G3829" t="n">
        <v>2.45</v>
      </c>
      <c r="H3829" t="inlineStr">
        <is>
          <t>Closed</t>
        </is>
      </c>
      <c r="I3829" t="inlineStr">
        <is>
          <t>Won</t>
        </is>
      </c>
      <c r="K3829" t="n">
        <v>426.8</v>
      </c>
      <c r="L3829" t="inlineStr">
        <is>
          <t>2025-04-25 10:23:08.334439</t>
        </is>
      </c>
      <c r="M3829">
        <f>VLOOKUP(H3829,'Stage Order'!$A$2:$B$8,2,FALSE)</f>
        <v/>
      </c>
      <c r="N3829">
        <f>IF(G3829&lt;=1,"1. Under 1 hour",IF(G3829&lt;=24,"2. 1-24 hours",IF(G3829&lt;=72,"3. 1-3 days","4. Over 3 days")))</f>
        <v/>
      </c>
      <c r="O3829">
        <f>TEXT(B3829,"YYYY-MM")</f>
        <v/>
      </c>
    </row>
    <row r="3830">
      <c r="A3830" t="inlineStr">
        <is>
          <t>LD-303828</t>
        </is>
      </c>
      <c r="B3830" t="inlineStr">
        <is>
          <t>2025-08-29 17:23:00</t>
        </is>
      </c>
      <c r="C3830" t="inlineStr">
        <is>
          <t>Paid Search</t>
        </is>
      </c>
      <c r="D3830" t="inlineStr">
        <is>
          <t>Study Abroad Prep</t>
        </is>
      </c>
      <c r="E3830" t="inlineStr">
        <is>
          <t>East Region</t>
        </is>
      </c>
      <c r="F3830" t="inlineStr">
        <is>
          <t>Rep_04</t>
        </is>
      </c>
      <c r="G3830" t="n">
        <v>3.33</v>
      </c>
      <c r="H3830" t="inlineStr">
        <is>
          <t>Lead</t>
        </is>
      </c>
      <c r="I3830" t="inlineStr">
        <is>
          <t>Open</t>
        </is>
      </c>
      <c r="M3830">
        <f>VLOOKUP(H3830,'Stage Order'!$A$2:$B$8,2,FALSE)</f>
        <v/>
      </c>
      <c r="N3830">
        <f>IF(G3830&lt;=1,"1. Under 1 hour",IF(G3830&lt;=24,"2. 1-24 hours",IF(G3830&lt;=72,"3. 1-3 days","4. Over 3 days")))</f>
        <v/>
      </c>
      <c r="O3830">
        <f>TEXT(B3830,"YYYY-MM")</f>
        <v/>
      </c>
    </row>
    <row r="3831">
      <c r="A3831" t="inlineStr">
        <is>
          <t>LD-303829</t>
        </is>
      </c>
      <c r="B3831" t="inlineStr">
        <is>
          <t>2025-06-13 20:23:00</t>
        </is>
      </c>
      <c r="C3831" t="inlineStr">
        <is>
          <t>Organic Search</t>
        </is>
      </c>
      <c r="D3831" t="inlineStr">
        <is>
          <t>Study Abroad Prep</t>
        </is>
      </c>
      <c r="E3831" t="inlineStr">
        <is>
          <t>West Region</t>
        </is>
      </c>
      <c r="F3831" t="inlineStr">
        <is>
          <t>Rep_08</t>
        </is>
      </c>
      <c r="G3831" t="n">
        <v>0.65</v>
      </c>
      <c r="H3831" t="inlineStr">
        <is>
          <t>Contacted</t>
        </is>
      </c>
      <c r="I3831" t="inlineStr">
        <is>
          <t>Open</t>
        </is>
      </c>
      <c r="M3831">
        <f>VLOOKUP(H3831,'Stage Order'!$A$2:$B$8,2,FALSE)</f>
        <v/>
      </c>
      <c r="N3831">
        <f>IF(G3831&lt;=1,"1. Under 1 hour",IF(G3831&lt;=24,"2. 1-24 hours",IF(G3831&lt;=72,"3. 1-3 days","4. Over 3 days")))</f>
        <v/>
      </c>
      <c r="O3831">
        <f>TEXT(B3831,"YYYY-MM")</f>
        <v/>
      </c>
    </row>
    <row r="3832">
      <c r="A3832" t="inlineStr">
        <is>
          <t>LD-303830</t>
        </is>
      </c>
      <c r="B3832" t="inlineStr">
        <is>
          <t>2026-01-02 19:44:00</t>
        </is>
      </c>
      <c r="C3832" t="inlineStr">
        <is>
          <t>Organic Search</t>
        </is>
      </c>
      <c r="D3832" t="inlineStr">
        <is>
          <t>Competitive Exam Prep</t>
        </is>
      </c>
      <c r="E3832" t="inlineStr">
        <is>
          <t>South Region</t>
        </is>
      </c>
      <c r="F3832" t="inlineStr">
        <is>
          <t>Rep_07</t>
        </is>
      </c>
      <c r="G3832" t="n">
        <v>3.88</v>
      </c>
      <c r="H3832" t="inlineStr">
        <is>
          <t>Contacted</t>
        </is>
      </c>
      <c r="I3832" t="inlineStr">
        <is>
          <t>Open</t>
        </is>
      </c>
      <c r="M3832">
        <f>VLOOKUP(H3832,'Stage Order'!$A$2:$B$8,2,FALSE)</f>
        <v/>
      </c>
      <c r="N3832">
        <f>IF(G3832&lt;=1,"1. Under 1 hour",IF(G3832&lt;=24,"2. 1-24 hours",IF(G3832&lt;=72,"3. 1-3 days","4. Over 3 days")))</f>
        <v/>
      </c>
      <c r="O3832">
        <f>TEXT(B3832,"YYYY-MM")</f>
        <v/>
      </c>
    </row>
    <row r="3833">
      <c r="A3833" t="inlineStr">
        <is>
          <t>LD-303831</t>
        </is>
      </c>
      <c r="B3833" t="inlineStr">
        <is>
          <t>2026-05-12 10:41:00</t>
        </is>
      </c>
      <c r="C3833" t="inlineStr">
        <is>
          <t>Webinar</t>
        </is>
      </c>
      <c r="D3833" t="inlineStr">
        <is>
          <t>K-12 Math</t>
        </is>
      </c>
      <c r="E3833" t="inlineStr">
        <is>
          <t>South Region</t>
        </is>
      </c>
      <c r="F3833" t="inlineStr">
        <is>
          <t>Rep_07</t>
        </is>
      </c>
      <c r="G3833" t="n">
        <v>0.88</v>
      </c>
      <c r="H3833" t="inlineStr">
        <is>
          <t>Closed</t>
        </is>
      </c>
      <c r="I3833" t="inlineStr">
        <is>
          <t>Won</t>
        </is>
      </c>
      <c r="K3833" t="n">
        <v>419.87</v>
      </c>
      <c r="L3833" t="inlineStr">
        <is>
          <t>2026-06-14 04:31:43.455975</t>
        </is>
      </c>
      <c r="M3833">
        <f>VLOOKUP(H3833,'Stage Order'!$A$2:$B$8,2,FALSE)</f>
        <v/>
      </c>
      <c r="N3833">
        <f>IF(G3833&lt;=1,"1. Under 1 hour",IF(G3833&lt;=24,"2. 1-24 hours",IF(G3833&lt;=72,"3. 1-3 days","4. Over 3 days")))</f>
        <v/>
      </c>
      <c r="O3833">
        <f>TEXT(B3833,"YYYY-MM")</f>
        <v/>
      </c>
    </row>
    <row r="3834">
      <c r="A3834" t="inlineStr">
        <is>
          <t>LD-303832</t>
        </is>
      </c>
      <c r="B3834" t="inlineStr">
        <is>
          <t>2025-07-04 12:42:00</t>
        </is>
      </c>
      <c r="C3834" t="inlineStr">
        <is>
          <t>Webinar</t>
        </is>
      </c>
      <c r="D3834" t="inlineStr">
        <is>
          <t>Competitive Exam Prep</t>
        </is>
      </c>
      <c r="E3834" t="inlineStr">
        <is>
          <t>North Region</t>
        </is>
      </c>
      <c r="F3834" t="inlineStr">
        <is>
          <t>Rep_01</t>
        </is>
      </c>
      <c r="G3834" t="n">
        <v>1.34</v>
      </c>
      <c r="H3834" t="inlineStr">
        <is>
          <t>Closed</t>
        </is>
      </c>
      <c r="I3834" t="inlineStr">
        <is>
          <t>Won</t>
        </is>
      </c>
      <c r="K3834" t="n">
        <v>923.21</v>
      </c>
      <c r="L3834" t="inlineStr">
        <is>
          <t>2025-08-02 22:49:06.835607</t>
        </is>
      </c>
      <c r="M3834">
        <f>VLOOKUP(H3834,'Stage Order'!$A$2:$B$8,2,FALSE)</f>
        <v/>
      </c>
      <c r="N3834">
        <f>IF(G3834&lt;=1,"1. Under 1 hour",IF(G3834&lt;=24,"2. 1-24 hours",IF(G3834&lt;=72,"3. 1-3 days","4. Over 3 days")))</f>
        <v/>
      </c>
      <c r="O3834">
        <f>TEXT(B3834,"YYYY-MM")</f>
        <v/>
      </c>
    </row>
    <row r="3835">
      <c r="A3835" t="inlineStr">
        <is>
          <t>LD-303833</t>
        </is>
      </c>
      <c r="B3835" t="inlineStr">
        <is>
          <t>2025-01-06 20:52:00</t>
        </is>
      </c>
      <c r="C3835" t="inlineStr">
        <is>
          <t>Organic Search</t>
        </is>
      </c>
      <c r="D3835" t="inlineStr">
        <is>
          <t>Language Learning</t>
        </is>
      </c>
      <c r="E3835" t="inlineStr">
        <is>
          <t>East Region</t>
        </is>
      </c>
      <c r="F3835" t="inlineStr">
        <is>
          <t>Rep_04</t>
        </is>
      </c>
      <c r="G3835" t="n">
        <v>1.89</v>
      </c>
      <c r="H3835" t="inlineStr">
        <is>
          <t>Contacted</t>
        </is>
      </c>
      <c r="I3835" t="inlineStr">
        <is>
          <t>Open</t>
        </is>
      </c>
      <c r="M3835">
        <f>VLOOKUP(H3835,'Stage Order'!$A$2:$B$8,2,FALSE)</f>
        <v/>
      </c>
      <c r="N3835">
        <f>IF(G3835&lt;=1,"1. Under 1 hour",IF(G3835&lt;=24,"2. 1-24 hours",IF(G3835&lt;=72,"3. 1-3 days","4. Over 3 days")))</f>
        <v/>
      </c>
      <c r="O3835">
        <f>TEXT(B3835,"YYYY-MM")</f>
        <v/>
      </c>
    </row>
    <row r="3836">
      <c r="A3836" t="inlineStr">
        <is>
          <t>LD-303834</t>
        </is>
      </c>
      <c r="B3836" t="inlineStr">
        <is>
          <t>2026-04-17 10:20:00</t>
        </is>
      </c>
      <c r="C3836" t="inlineStr">
        <is>
          <t>Social Media</t>
        </is>
      </c>
      <c r="D3836" t="inlineStr">
        <is>
          <t>K-12 Math</t>
        </is>
      </c>
      <c r="E3836" t="inlineStr">
        <is>
          <t>International</t>
        </is>
      </c>
      <c r="F3836" t="inlineStr">
        <is>
          <t>Rep_10</t>
        </is>
      </c>
      <c r="G3836" t="n">
        <v>17.47</v>
      </c>
      <c r="H3836" t="inlineStr">
        <is>
          <t>Lead</t>
        </is>
      </c>
      <c r="I3836" t="inlineStr">
        <is>
          <t>Open</t>
        </is>
      </c>
      <c r="M3836">
        <f>VLOOKUP(H3836,'Stage Order'!$A$2:$B$8,2,FALSE)</f>
        <v/>
      </c>
      <c r="N3836">
        <f>IF(G3836&lt;=1,"1. Under 1 hour",IF(G3836&lt;=24,"2. 1-24 hours",IF(G3836&lt;=72,"3. 1-3 days","4. Over 3 days")))</f>
        <v/>
      </c>
      <c r="O3836">
        <f>TEXT(B3836,"YYYY-MM")</f>
        <v/>
      </c>
    </row>
    <row r="3837">
      <c r="A3837" t="inlineStr">
        <is>
          <t>LD-303835</t>
        </is>
      </c>
      <c r="B3837" t="inlineStr">
        <is>
          <t>2025-03-07 19:04:00</t>
        </is>
      </c>
      <c r="C3837" t="inlineStr">
        <is>
          <t>Paid Search</t>
        </is>
      </c>
      <c r="D3837" t="inlineStr">
        <is>
          <t>Competitive Exam Prep</t>
        </is>
      </c>
      <c r="E3837" t="inlineStr">
        <is>
          <t>East Region</t>
        </is>
      </c>
      <c r="F3837" t="inlineStr">
        <is>
          <t>Rep_04</t>
        </is>
      </c>
      <c r="G3837" t="n">
        <v>3.96</v>
      </c>
      <c r="H3837" t="inlineStr">
        <is>
          <t>Contacted</t>
        </is>
      </c>
      <c r="I3837" t="inlineStr">
        <is>
          <t>Open</t>
        </is>
      </c>
      <c r="M3837">
        <f>VLOOKUP(H3837,'Stage Order'!$A$2:$B$8,2,FALSE)</f>
        <v/>
      </c>
      <c r="N3837">
        <f>IF(G3837&lt;=1,"1. Under 1 hour",IF(G3837&lt;=24,"2. 1-24 hours",IF(G3837&lt;=72,"3. 1-3 days","4. Over 3 days")))</f>
        <v/>
      </c>
      <c r="O3837">
        <f>TEXT(B3837,"YYYY-MM")</f>
        <v/>
      </c>
    </row>
    <row r="3838">
      <c r="A3838" t="inlineStr">
        <is>
          <t>LD-303836</t>
        </is>
      </c>
      <c r="B3838" t="inlineStr">
        <is>
          <t>2025-05-18 10:51:00</t>
        </is>
      </c>
      <c r="C3838" t="inlineStr">
        <is>
          <t>Referral</t>
        </is>
      </c>
      <c r="D3838" t="inlineStr">
        <is>
          <t>Study Abroad Prep</t>
        </is>
      </c>
      <c r="E3838" t="inlineStr">
        <is>
          <t>South Region</t>
        </is>
      </c>
      <c r="F3838" t="inlineStr">
        <is>
          <t>Rep_07</t>
        </is>
      </c>
      <c r="G3838" t="n">
        <v>3.14</v>
      </c>
      <c r="H3838" t="inlineStr">
        <is>
          <t>Contacted</t>
        </is>
      </c>
      <c r="I3838" t="inlineStr">
        <is>
          <t>Open</t>
        </is>
      </c>
      <c r="M3838">
        <f>VLOOKUP(H3838,'Stage Order'!$A$2:$B$8,2,FALSE)</f>
        <v/>
      </c>
      <c r="N3838">
        <f>IF(G3838&lt;=1,"1. Under 1 hour",IF(G3838&lt;=24,"2. 1-24 hours",IF(G3838&lt;=72,"3. 1-3 days","4. Over 3 days")))</f>
        <v/>
      </c>
      <c r="O3838">
        <f>TEXT(B3838,"YYYY-MM")</f>
        <v/>
      </c>
    </row>
    <row r="3839">
      <c r="A3839" t="inlineStr">
        <is>
          <t>LD-303837</t>
        </is>
      </c>
      <c r="B3839" t="inlineStr">
        <is>
          <t>2025-06-25 18:30:00</t>
        </is>
      </c>
      <c r="C3839" t="inlineStr">
        <is>
          <t>Social Media</t>
        </is>
      </c>
      <c r="D3839" t="inlineStr">
        <is>
          <t>Coding for Kids</t>
        </is>
      </c>
      <c r="E3839" t="inlineStr">
        <is>
          <t>South Region</t>
        </is>
      </c>
      <c r="F3839" t="inlineStr">
        <is>
          <t>Rep_07</t>
        </is>
      </c>
      <c r="G3839" t="n">
        <v>2.13</v>
      </c>
      <c r="H3839" t="inlineStr">
        <is>
          <t>Lead</t>
        </is>
      </c>
      <c r="I3839" t="inlineStr">
        <is>
          <t>Open</t>
        </is>
      </c>
      <c r="M3839">
        <f>VLOOKUP(H3839,'Stage Order'!$A$2:$B$8,2,FALSE)</f>
        <v/>
      </c>
      <c r="N3839">
        <f>IF(G3839&lt;=1,"1. Under 1 hour",IF(G3839&lt;=24,"2. 1-24 hours",IF(G3839&lt;=72,"3. 1-3 days","4. Over 3 days")))</f>
        <v/>
      </c>
      <c r="O3839">
        <f>TEXT(B3839,"YYYY-MM")</f>
        <v/>
      </c>
    </row>
    <row r="3840">
      <c r="A3840" t="inlineStr">
        <is>
          <t>LD-303838</t>
        </is>
      </c>
      <c r="B3840" t="inlineStr">
        <is>
          <t>2026-04-28 11:47:00</t>
        </is>
      </c>
      <c r="C3840" t="inlineStr">
        <is>
          <t>Organic Search</t>
        </is>
      </c>
      <c r="D3840" t="inlineStr">
        <is>
          <t>K-12 Math</t>
        </is>
      </c>
      <c r="E3840" t="inlineStr">
        <is>
          <t>South Region</t>
        </is>
      </c>
      <c r="F3840" t="inlineStr">
        <is>
          <t>Rep_02</t>
        </is>
      </c>
      <c r="G3840" t="n">
        <v>2.56</v>
      </c>
      <c r="H3840" t="inlineStr">
        <is>
          <t>Contacted</t>
        </is>
      </c>
      <c r="I3840" t="inlineStr">
        <is>
          <t>Open</t>
        </is>
      </c>
      <c r="M3840">
        <f>VLOOKUP(H3840,'Stage Order'!$A$2:$B$8,2,FALSE)</f>
        <v/>
      </c>
      <c r="N3840">
        <f>IF(G3840&lt;=1,"1. Under 1 hour",IF(G3840&lt;=24,"2. 1-24 hours",IF(G3840&lt;=72,"3. 1-3 days","4. Over 3 days")))</f>
        <v/>
      </c>
      <c r="O3840">
        <f>TEXT(B3840,"YYYY-MM")</f>
        <v/>
      </c>
    </row>
    <row r="3841">
      <c r="A3841" t="inlineStr">
        <is>
          <t>LD-303839</t>
        </is>
      </c>
      <c r="B3841" t="inlineStr">
        <is>
          <t>2025-04-07 16:49:00</t>
        </is>
      </c>
      <c r="C3841" t="inlineStr">
        <is>
          <t>Referral</t>
        </is>
      </c>
      <c r="D3841" t="inlineStr">
        <is>
          <t>Competitive Exam Prep</t>
        </is>
      </c>
      <c r="E3841" t="inlineStr">
        <is>
          <t>East Region</t>
        </is>
      </c>
      <c r="F3841" t="inlineStr">
        <is>
          <t>Rep_04</t>
        </is>
      </c>
      <c r="G3841" t="n">
        <v>7.63</v>
      </c>
      <c r="H3841" t="inlineStr">
        <is>
          <t>Closed</t>
        </is>
      </c>
      <c r="I3841" t="inlineStr">
        <is>
          <t>Won</t>
        </is>
      </c>
      <c r="K3841" t="n">
        <v>912.11</v>
      </c>
      <c r="L3841" t="inlineStr">
        <is>
          <t>2025-05-09 22:58:47.809089</t>
        </is>
      </c>
      <c r="M3841">
        <f>VLOOKUP(H3841,'Stage Order'!$A$2:$B$8,2,FALSE)</f>
        <v/>
      </c>
      <c r="N3841">
        <f>IF(G3841&lt;=1,"1. Under 1 hour",IF(G3841&lt;=24,"2. 1-24 hours",IF(G3841&lt;=72,"3. 1-3 days","4. Over 3 days")))</f>
        <v/>
      </c>
      <c r="O3841">
        <f>TEXT(B3841,"YYYY-MM")</f>
        <v/>
      </c>
    </row>
    <row r="3842">
      <c r="A3842" t="inlineStr">
        <is>
          <t>LD-303840</t>
        </is>
      </c>
      <c r="B3842" t="inlineStr">
        <is>
          <t>2025-10-14 12:51:00</t>
        </is>
      </c>
      <c r="C3842" t="inlineStr">
        <is>
          <t>Webinar</t>
        </is>
      </c>
      <c r="D3842" t="inlineStr">
        <is>
          <t>Competitive Exam Prep</t>
        </is>
      </c>
      <c r="E3842" t="inlineStr">
        <is>
          <t>East Region</t>
        </is>
      </c>
      <c r="F3842" t="inlineStr">
        <is>
          <t>Rep_04</t>
        </is>
      </c>
      <c r="G3842" t="n">
        <v>1.44</v>
      </c>
      <c r="H3842" t="inlineStr">
        <is>
          <t>Contacted</t>
        </is>
      </c>
      <c r="I3842" t="inlineStr">
        <is>
          <t>Open</t>
        </is>
      </c>
      <c r="M3842">
        <f>VLOOKUP(H3842,'Stage Order'!$A$2:$B$8,2,FALSE)</f>
        <v/>
      </c>
      <c r="N3842">
        <f>IF(G3842&lt;=1,"1. Under 1 hour",IF(G3842&lt;=24,"2. 1-24 hours",IF(G3842&lt;=72,"3. 1-3 days","4. Over 3 days")))</f>
        <v/>
      </c>
      <c r="O3842">
        <f>TEXT(B3842,"YYYY-MM")</f>
        <v/>
      </c>
    </row>
    <row r="3843">
      <c r="A3843" t="inlineStr">
        <is>
          <t>LD-303841</t>
        </is>
      </c>
      <c r="B3843" t="inlineStr">
        <is>
          <t>2025-05-23 11:56:00</t>
        </is>
      </c>
      <c r="C3843" t="inlineStr">
        <is>
          <t>Organic Search</t>
        </is>
      </c>
      <c r="D3843" t="inlineStr">
        <is>
          <t>Competitive Exam Prep</t>
        </is>
      </c>
      <c r="E3843" t="inlineStr">
        <is>
          <t>International</t>
        </is>
      </c>
      <c r="F3843" t="inlineStr">
        <is>
          <t>Rep_10</t>
        </is>
      </c>
      <c r="G3843" t="n">
        <v>0.79</v>
      </c>
      <c r="H3843" t="inlineStr">
        <is>
          <t>Proposal Sent</t>
        </is>
      </c>
      <c r="I3843" t="inlineStr">
        <is>
          <t>Lost</t>
        </is>
      </c>
      <c r="J3843" t="inlineStr">
        <is>
          <t>Budget Not Approved</t>
        </is>
      </c>
      <c r="K3843" t="n">
        <v>1090.76</v>
      </c>
      <c r="L3843" t="inlineStr">
        <is>
          <t>2025-07-06 08:20:32.892703</t>
        </is>
      </c>
      <c r="M3843">
        <f>VLOOKUP(H3843,'Stage Order'!$A$2:$B$8,2,FALSE)</f>
        <v/>
      </c>
      <c r="N3843">
        <f>IF(G3843&lt;=1,"1. Under 1 hour",IF(G3843&lt;=24,"2. 1-24 hours",IF(G3843&lt;=72,"3. 1-3 days","4. Over 3 days")))</f>
        <v/>
      </c>
      <c r="O3843">
        <f>TEXT(B3843,"YYYY-MM")</f>
        <v/>
      </c>
    </row>
    <row r="3844">
      <c r="A3844" t="inlineStr">
        <is>
          <t>LD-303842</t>
        </is>
      </c>
      <c r="B3844" t="inlineStr">
        <is>
          <t>2025-04-29 07:58:00</t>
        </is>
      </c>
      <c r="C3844" t="inlineStr">
        <is>
          <t>Partner Channel</t>
        </is>
      </c>
      <c r="D3844" t="inlineStr">
        <is>
          <t>K-12 Math</t>
        </is>
      </c>
      <c r="E3844" t="inlineStr">
        <is>
          <t>West Region</t>
        </is>
      </c>
      <c r="F3844" t="inlineStr">
        <is>
          <t>Rep_03</t>
        </is>
      </c>
      <c r="G3844" t="n">
        <v>14.37</v>
      </c>
      <c r="H3844" t="inlineStr">
        <is>
          <t>Demo Completed</t>
        </is>
      </c>
      <c r="I3844" t="inlineStr">
        <is>
          <t>Lost</t>
        </is>
      </c>
      <c r="J3844" t="inlineStr">
        <is>
          <t>Bad Timing</t>
        </is>
      </c>
      <c r="K3844" t="n">
        <v>473.29</v>
      </c>
      <c r="L3844" t="inlineStr">
        <is>
          <t>2025-05-28 02:15:32.095182</t>
        </is>
      </c>
      <c r="M3844">
        <f>VLOOKUP(H3844,'Stage Order'!$A$2:$B$8,2,FALSE)</f>
        <v/>
      </c>
      <c r="N3844">
        <f>IF(G3844&lt;=1,"1. Under 1 hour",IF(G3844&lt;=24,"2. 1-24 hours",IF(G3844&lt;=72,"3. 1-3 days","4. Over 3 days")))</f>
        <v/>
      </c>
      <c r="O3844">
        <f>TEXT(B3844,"YYYY-MM")</f>
        <v/>
      </c>
    </row>
    <row r="3845">
      <c r="A3845" t="inlineStr">
        <is>
          <t>LD-303843</t>
        </is>
      </c>
      <c r="B3845" t="inlineStr">
        <is>
          <t>2026-02-24 15:58:00</t>
        </is>
      </c>
      <c r="C3845" t="inlineStr">
        <is>
          <t>Organic Search</t>
        </is>
      </c>
      <c r="D3845" t="inlineStr">
        <is>
          <t>Competitive Exam Prep</t>
        </is>
      </c>
      <c r="E3845" t="inlineStr">
        <is>
          <t>South Region</t>
        </is>
      </c>
      <c r="F3845" t="inlineStr">
        <is>
          <t>Rep_07</t>
        </is>
      </c>
      <c r="G3845" t="n">
        <v>2.78</v>
      </c>
      <c r="H3845" t="inlineStr">
        <is>
          <t>Contacted</t>
        </is>
      </c>
      <c r="I3845" t="inlineStr">
        <is>
          <t>Open</t>
        </is>
      </c>
      <c r="M3845">
        <f>VLOOKUP(H3845,'Stage Order'!$A$2:$B$8,2,FALSE)</f>
        <v/>
      </c>
      <c r="N3845">
        <f>IF(G3845&lt;=1,"1. Under 1 hour",IF(G3845&lt;=24,"2. 1-24 hours",IF(G3845&lt;=72,"3. 1-3 days","4. Over 3 days")))</f>
        <v/>
      </c>
      <c r="O3845">
        <f>TEXT(B3845,"YYYY-MM")</f>
        <v/>
      </c>
    </row>
    <row r="3846">
      <c r="A3846" t="inlineStr">
        <is>
          <t>LD-303844</t>
        </is>
      </c>
      <c r="B3846" t="inlineStr">
        <is>
          <t>2025-07-18 13:57:00</t>
        </is>
      </c>
      <c r="C3846" t="inlineStr">
        <is>
          <t>Organic Search</t>
        </is>
      </c>
      <c r="D3846" t="inlineStr">
        <is>
          <t>Study Abroad Prep</t>
        </is>
      </c>
      <c r="E3846" t="inlineStr">
        <is>
          <t>East Region</t>
        </is>
      </c>
      <c r="F3846" t="inlineStr">
        <is>
          <t>Rep_14</t>
        </is>
      </c>
      <c r="G3846" t="n">
        <v>22.12</v>
      </c>
      <c r="H3846" t="inlineStr">
        <is>
          <t>Contacted</t>
        </is>
      </c>
      <c r="I3846" t="inlineStr">
        <is>
          <t>Open</t>
        </is>
      </c>
      <c r="M3846">
        <f>VLOOKUP(H3846,'Stage Order'!$A$2:$B$8,2,FALSE)</f>
        <v/>
      </c>
      <c r="N3846">
        <f>IF(G3846&lt;=1,"1. Under 1 hour",IF(G3846&lt;=24,"2. 1-24 hours",IF(G3846&lt;=72,"3. 1-3 days","4. Over 3 days")))</f>
        <v/>
      </c>
      <c r="O3846">
        <f>TEXT(B3846,"YYYY-MM")</f>
        <v/>
      </c>
    </row>
    <row r="3847">
      <c r="A3847" t="inlineStr">
        <is>
          <t>LD-303845</t>
        </is>
      </c>
      <c r="B3847" t="inlineStr">
        <is>
          <t>2025-03-12 15:12:00</t>
        </is>
      </c>
      <c r="C3847" t="inlineStr">
        <is>
          <t>Webinar</t>
        </is>
      </c>
      <c r="D3847" t="inlineStr">
        <is>
          <t>Study Abroad Prep</t>
        </is>
      </c>
      <c r="E3847" t="inlineStr">
        <is>
          <t>West Region</t>
        </is>
      </c>
      <c r="F3847" t="inlineStr">
        <is>
          <t>Rep_03</t>
        </is>
      </c>
      <c r="G3847" t="n">
        <v>2.1</v>
      </c>
      <c r="H3847" t="inlineStr">
        <is>
          <t>Negotiation</t>
        </is>
      </c>
      <c r="I3847" t="inlineStr">
        <is>
          <t>Lost</t>
        </is>
      </c>
      <c r="J3847" t="inlineStr">
        <is>
          <t>Price Objection</t>
        </is>
      </c>
      <c r="K3847" t="n">
        <v>1610.85</v>
      </c>
      <c r="L3847" t="inlineStr">
        <is>
          <t>2025-04-30 08:25:18.606019</t>
        </is>
      </c>
      <c r="M3847">
        <f>VLOOKUP(H3847,'Stage Order'!$A$2:$B$8,2,FALSE)</f>
        <v/>
      </c>
      <c r="N3847">
        <f>IF(G3847&lt;=1,"1. Under 1 hour",IF(G3847&lt;=24,"2. 1-24 hours",IF(G3847&lt;=72,"3. 1-3 days","4. Over 3 days")))</f>
        <v/>
      </c>
      <c r="O3847">
        <f>TEXT(B3847,"YYYY-MM")</f>
        <v/>
      </c>
    </row>
    <row r="3848">
      <c r="A3848" t="inlineStr">
        <is>
          <t>LD-303846</t>
        </is>
      </c>
      <c r="B3848" t="inlineStr">
        <is>
          <t>2025-04-15 18:51:00</t>
        </is>
      </c>
      <c r="C3848" t="inlineStr">
        <is>
          <t>Cold Outreach</t>
        </is>
      </c>
      <c r="D3848" t="inlineStr">
        <is>
          <t>K-12 Math</t>
        </is>
      </c>
      <c r="E3848" t="inlineStr">
        <is>
          <t>North Region</t>
        </is>
      </c>
      <c r="F3848" t="inlineStr">
        <is>
          <t>Rep_11</t>
        </is>
      </c>
      <c r="G3848" t="n">
        <v>2.5</v>
      </c>
      <c r="H3848" t="inlineStr">
        <is>
          <t>Contacted</t>
        </is>
      </c>
      <c r="I3848" t="inlineStr">
        <is>
          <t>Open</t>
        </is>
      </c>
      <c r="M3848">
        <f>VLOOKUP(H3848,'Stage Order'!$A$2:$B$8,2,FALSE)</f>
        <v/>
      </c>
      <c r="N3848">
        <f>IF(G3848&lt;=1,"1. Under 1 hour",IF(G3848&lt;=24,"2. 1-24 hours",IF(G3848&lt;=72,"3. 1-3 days","4. Over 3 days")))</f>
        <v/>
      </c>
      <c r="O3848">
        <f>TEXT(B3848,"YYYY-MM")</f>
        <v/>
      </c>
    </row>
    <row r="3849">
      <c r="A3849" t="inlineStr">
        <is>
          <t>LD-303847</t>
        </is>
      </c>
      <c r="B3849" t="inlineStr">
        <is>
          <t>2026-02-27 16:46:00</t>
        </is>
      </c>
      <c r="C3849" t="inlineStr">
        <is>
          <t>Social Media</t>
        </is>
      </c>
      <c r="D3849" t="inlineStr">
        <is>
          <t>Coding for Kids</t>
        </is>
      </c>
      <c r="E3849" t="inlineStr">
        <is>
          <t>North Region</t>
        </is>
      </c>
      <c r="F3849" t="inlineStr">
        <is>
          <t>Rep_06</t>
        </is>
      </c>
      <c r="G3849" t="n">
        <v>9.470000000000001</v>
      </c>
      <c r="H3849" t="inlineStr">
        <is>
          <t>Lead</t>
        </is>
      </c>
      <c r="I3849" t="inlineStr">
        <is>
          <t>Open</t>
        </is>
      </c>
      <c r="M3849">
        <f>VLOOKUP(H3849,'Stage Order'!$A$2:$B$8,2,FALSE)</f>
        <v/>
      </c>
      <c r="N3849">
        <f>IF(G3849&lt;=1,"1. Under 1 hour",IF(G3849&lt;=24,"2. 1-24 hours",IF(G3849&lt;=72,"3. 1-3 days","4. Over 3 days")))</f>
        <v/>
      </c>
      <c r="O3849">
        <f>TEXT(B3849,"YYYY-MM")</f>
        <v/>
      </c>
    </row>
    <row r="3850">
      <c r="A3850" t="inlineStr">
        <is>
          <t>LD-303848</t>
        </is>
      </c>
      <c r="B3850" t="inlineStr">
        <is>
          <t>2025-12-28 13:05:00</t>
        </is>
      </c>
      <c r="C3850" t="inlineStr">
        <is>
          <t>Webinar</t>
        </is>
      </c>
      <c r="D3850" t="inlineStr">
        <is>
          <t>Study Abroad Prep</t>
        </is>
      </c>
      <c r="E3850" t="inlineStr">
        <is>
          <t>North Region</t>
        </is>
      </c>
      <c r="F3850" t="inlineStr">
        <is>
          <t>Rep_11</t>
        </is>
      </c>
      <c r="G3850" t="n">
        <v>1.06</v>
      </c>
      <c r="H3850" t="inlineStr">
        <is>
          <t>Contacted</t>
        </is>
      </c>
      <c r="I3850" t="inlineStr">
        <is>
          <t>Open</t>
        </is>
      </c>
      <c r="M3850">
        <f>VLOOKUP(H3850,'Stage Order'!$A$2:$B$8,2,FALSE)</f>
        <v/>
      </c>
      <c r="N3850">
        <f>IF(G3850&lt;=1,"1. Under 1 hour",IF(G3850&lt;=24,"2. 1-24 hours",IF(G3850&lt;=72,"3. 1-3 days","4. Over 3 days")))</f>
        <v/>
      </c>
      <c r="O3850">
        <f>TEXT(B3850,"YYYY-MM")</f>
        <v/>
      </c>
    </row>
    <row r="3851">
      <c r="A3851" t="inlineStr">
        <is>
          <t>LD-303849</t>
        </is>
      </c>
      <c r="B3851" t="inlineStr">
        <is>
          <t>2026-04-17 08:44:00</t>
        </is>
      </c>
      <c r="C3851" t="inlineStr">
        <is>
          <t>Paid Search</t>
        </is>
      </c>
      <c r="D3851" t="inlineStr">
        <is>
          <t>Study Abroad Prep</t>
        </is>
      </c>
      <c r="E3851" t="inlineStr">
        <is>
          <t>East Region</t>
        </is>
      </c>
      <c r="F3851" t="inlineStr">
        <is>
          <t>Rep_09</t>
        </is>
      </c>
      <c r="G3851" t="n">
        <v>1.39</v>
      </c>
      <c r="H3851" t="inlineStr">
        <is>
          <t>Lead</t>
        </is>
      </c>
      <c r="I3851" t="inlineStr">
        <is>
          <t>Open</t>
        </is>
      </c>
      <c r="M3851">
        <f>VLOOKUP(H3851,'Stage Order'!$A$2:$B$8,2,FALSE)</f>
        <v/>
      </c>
      <c r="N3851">
        <f>IF(G3851&lt;=1,"1. Under 1 hour",IF(G3851&lt;=24,"2. 1-24 hours",IF(G3851&lt;=72,"3. 1-3 days","4. Over 3 days")))</f>
        <v/>
      </c>
      <c r="O3851">
        <f>TEXT(B3851,"YYYY-MM")</f>
        <v/>
      </c>
    </row>
    <row r="3852">
      <c r="A3852" t="inlineStr">
        <is>
          <t>LD-303850</t>
        </is>
      </c>
      <c r="B3852" t="inlineStr">
        <is>
          <t>2025-04-20 07:15:00</t>
        </is>
      </c>
      <c r="C3852" t="inlineStr">
        <is>
          <t>Paid Search</t>
        </is>
      </c>
      <c r="D3852" t="inlineStr">
        <is>
          <t>Competitive Exam Prep</t>
        </is>
      </c>
      <c r="E3852" t="inlineStr">
        <is>
          <t>South Region</t>
        </is>
      </c>
      <c r="F3852" t="inlineStr">
        <is>
          <t>Rep_07</t>
        </is>
      </c>
      <c r="G3852" t="n">
        <v>1.18</v>
      </c>
      <c r="H3852" t="inlineStr">
        <is>
          <t>Lead</t>
        </is>
      </c>
      <c r="I3852" t="inlineStr">
        <is>
          <t>Open</t>
        </is>
      </c>
      <c r="M3852">
        <f>VLOOKUP(H3852,'Stage Order'!$A$2:$B$8,2,FALSE)</f>
        <v/>
      </c>
      <c r="N3852">
        <f>IF(G3852&lt;=1,"1. Under 1 hour",IF(G3852&lt;=24,"2. 1-24 hours",IF(G3852&lt;=72,"3. 1-3 days","4. Over 3 days")))</f>
        <v/>
      </c>
      <c r="O3852">
        <f>TEXT(B3852,"YYYY-MM")</f>
        <v/>
      </c>
    </row>
    <row r="3853">
      <c r="A3853" t="inlineStr">
        <is>
          <t>LD-303851</t>
        </is>
      </c>
      <c r="B3853" t="inlineStr">
        <is>
          <t>2025-12-06 20:38:00</t>
        </is>
      </c>
      <c r="C3853" t="inlineStr">
        <is>
          <t>Organic Search</t>
        </is>
      </c>
      <c r="D3853" t="inlineStr">
        <is>
          <t>K-12 Math</t>
        </is>
      </c>
      <c r="E3853" t="inlineStr">
        <is>
          <t>South Region</t>
        </is>
      </c>
      <c r="F3853" t="inlineStr">
        <is>
          <t>Rep_12</t>
        </is>
      </c>
      <c r="G3853" t="n">
        <v>5.1</v>
      </c>
      <c r="H3853" t="inlineStr">
        <is>
          <t>Closed</t>
        </is>
      </c>
      <c r="I3853" t="inlineStr">
        <is>
          <t>Won</t>
        </is>
      </c>
      <c r="K3853" t="n">
        <v>558.4400000000001</v>
      </c>
      <c r="L3853" t="inlineStr">
        <is>
          <t>2026-01-24 22:18:38.774682</t>
        </is>
      </c>
      <c r="M3853">
        <f>VLOOKUP(H3853,'Stage Order'!$A$2:$B$8,2,FALSE)</f>
        <v/>
      </c>
      <c r="N3853">
        <f>IF(G3853&lt;=1,"1. Under 1 hour",IF(G3853&lt;=24,"2. 1-24 hours",IF(G3853&lt;=72,"3. 1-3 days","4. Over 3 days")))</f>
        <v/>
      </c>
      <c r="O3853">
        <f>TEXT(B3853,"YYYY-MM")</f>
        <v/>
      </c>
    </row>
    <row r="3854">
      <c r="A3854" t="inlineStr">
        <is>
          <t>LD-303852</t>
        </is>
      </c>
      <c r="B3854" t="inlineStr">
        <is>
          <t>2025-11-06 13:16:00</t>
        </is>
      </c>
      <c r="C3854" t="inlineStr">
        <is>
          <t>Referral</t>
        </is>
      </c>
      <c r="D3854" t="inlineStr">
        <is>
          <t>K-12 Math</t>
        </is>
      </c>
      <c r="E3854" t="inlineStr">
        <is>
          <t>South Region</t>
        </is>
      </c>
      <c r="F3854" t="inlineStr">
        <is>
          <t>Rep_07</t>
        </is>
      </c>
      <c r="G3854" t="n">
        <v>3.27</v>
      </c>
      <c r="H3854" t="inlineStr">
        <is>
          <t>Contacted</t>
        </is>
      </c>
      <c r="I3854" t="inlineStr">
        <is>
          <t>Open</t>
        </is>
      </c>
      <c r="M3854">
        <f>VLOOKUP(H3854,'Stage Order'!$A$2:$B$8,2,FALSE)</f>
        <v/>
      </c>
      <c r="N3854">
        <f>IF(G3854&lt;=1,"1. Under 1 hour",IF(G3854&lt;=24,"2. 1-24 hours",IF(G3854&lt;=72,"3. 1-3 days","4. Over 3 days")))</f>
        <v/>
      </c>
      <c r="O3854">
        <f>TEXT(B3854,"YYYY-MM")</f>
        <v/>
      </c>
    </row>
    <row r="3855">
      <c r="A3855" t="inlineStr">
        <is>
          <t>LD-303853</t>
        </is>
      </c>
      <c r="B3855" t="inlineStr">
        <is>
          <t>2025-07-22 15:39:00</t>
        </is>
      </c>
      <c r="C3855" t="inlineStr">
        <is>
          <t>Cold Outreach</t>
        </is>
      </c>
      <c r="D3855" t="inlineStr">
        <is>
          <t>Study Abroad Prep</t>
        </is>
      </c>
      <c r="E3855" t="inlineStr">
        <is>
          <t>South Region</t>
        </is>
      </c>
      <c r="F3855" t="inlineStr">
        <is>
          <t>Rep_02</t>
        </is>
      </c>
      <c r="G3855" t="n">
        <v>0.91</v>
      </c>
      <c r="H3855" t="inlineStr">
        <is>
          <t>Lead</t>
        </is>
      </c>
      <c r="I3855" t="inlineStr">
        <is>
          <t>Open</t>
        </is>
      </c>
      <c r="M3855">
        <f>VLOOKUP(H3855,'Stage Order'!$A$2:$B$8,2,FALSE)</f>
        <v/>
      </c>
      <c r="N3855">
        <f>IF(G3855&lt;=1,"1. Under 1 hour",IF(G3855&lt;=24,"2. 1-24 hours",IF(G3855&lt;=72,"3. 1-3 days","4. Over 3 days")))</f>
        <v/>
      </c>
      <c r="O3855">
        <f>TEXT(B3855,"YYYY-MM")</f>
        <v/>
      </c>
    </row>
    <row r="3856">
      <c r="A3856" t="inlineStr">
        <is>
          <t>LD-303854</t>
        </is>
      </c>
      <c r="B3856" t="inlineStr">
        <is>
          <t>2025-02-03 10:59:00</t>
        </is>
      </c>
      <c r="C3856" t="inlineStr">
        <is>
          <t>Referral</t>
        </is>
      </c>
      <c r="D3856" t="inlineStr">
        <is>
          <t>Competitive Exam Prep</t>
        </is>
      </c>
      <c r="E3856" t="inlineStr">
        <is>
          <t>East Region</t>
        </is>
      </c>
      <c r="F3856" t="inlineStr">
        <is>
          <t>Rep_09</t>
        </is>
      </c>
      <c r="G3856" t="n">
        <v>4.17</v>
      </c>
      <c r="H3856" t="inlineStr">
        <is>
          <t>Closed</t>
        </is>
      </c>
      <c r="I3856" t="inlineStr">
        <is>
          <t>Won</t>
        </is>
      </c>
      <c r="K3856" t="n">
        <v>1009.36</v>
      </c>
      <c r="L3856" t="inlineStr">
        <is>
          <t>2025-03-06 07:01:19.564146</t>
        </is>
      </c>
      <c r="M3856">
        <f>VLOOKUP(H3856,'Stage Order'!$A$2:$B$8,2,FALSE)</f>
        <v/>
      </c>
      <c r="N3856">
        <f>IF(G3856&lt;=1,"1. Under 1 hour",IF(G3856&lt;=24,"2. 1-24 hours",IF(G3856&lt;=72,"3. 1-3 days","4. Over 3 days")))</f>
        <v/>
      </c>
      <c r="O3856">
        <f>TEXT(B3856,"YYYY-MM")</f>
        <v/>
      </c>
    </row>
    <row r="3857">
      <c r="A3857" t="inlineStr">
        <is>
          <t>LD-303855</t>
        </is>
      </c>
      <c r="B3857" t="inlineStr">
        <is>
          <t>2026-03-27 17:50:00</t>
        </is>
      </c>
      <c r="C3857" t="inlineStr">
        <is>
          <t>Paid Search</t>
        </is>
      </c>
      <c r="D3857" t="inlineStr">
        <is>
          <t>K-12 Math</t>
        </is>
      </c>
      <c r="E3857" t="inlineStr">
        <is>
          <t>South Region</t>
        </is>
      </c>
      <c r="F3857" t="inlineStr">
        <is>
          <t>Rep_12</t>
        </is>
      </c>
      <c r="G3857" t="n">
        <v>5.23</v>
      </c>
      <c r="H3857" t="inlineStr">
        <is>
          <t>Contacted</t>
        </is>
      </c>
      <c r="I3857" t="inlineStr">
        <is>
          <t>Open</t>
        </is>
      </c>
      <c r="M3857">
        <f>VLOOKUP(H3857,'Stage Order'!$A$2:$B$8,2,FALSE)</f>
        <v/>
      </c>
      <c r="N3857">
        <f>IF(G3857&lt;=1,"1. Under 1 hour",IF(G3857&lt;=24,"2. 1-24 hours",IF(G3857&lt;=72,"3. 1-3 days","4. Over 3 days")))</f>
        <v/>
      </c>
      <c r="O3857">
        <f>TEXT(B3857,"YYYY-MM")</f>
        <v/>
      </c>
    </row>
    <row r="3858">
      <c r="A3858" t="inlineStr">
        <is>
          <t>LD-303856</t>
        </is>
      </c>
      <c r="B3858" t="inlineStr">
        <is>
          <t>2025-07-03 14:40:00</t>
        </is>
      </c>
      <c r="C3858" t="inlineStr">
        <is>
          <t>Referral</t>
        </is>
      </c>
      <c r="D3858" t="inlineStr">
        <is>
          <t>Language Learning</t>
        </is>
      </c>
      <c r="E3858" t="inlineStr">
        <is>
          <t>South Region</t>
        </is>
      </c>
      <c r="F3858" t="inlineStr">
        <is>
          <t>Rep_02</t>
        </is>
      </c>
      <c r="G3858" t="n">
        <v>1.61</v>
      </c>
      <c r="H3858" t="inlineStr">
        <is>
          <t>Closed</t>
        </is>
      </c>
      <c r="I3858" t="inlineStr">
        <is>
          <t>Won</t>
        </is>
      </c>
      <c r="K3858" t="n">
        <v>337.43</v>
      </c>
      <c r="L3858" t="inlineStr">
        <is>
          <t>2025-08-11 07:24:00.406176</t>
        </is>
      </c>
      <c r="M3858">
        <f>VLOOKUP(H3858,'Stage Order'!$A$2:$B$8,2,FALSE)</f>
        <v/>
      </c>
      <c r="N3858">
        <f>IF(G3858&lt;=1,"1. Under 1 hour",IF(G3858&lt;=24,"2. 1-24 hours",IF(G3858&lt;=72,"3. 1-3 days","4. Over 3 days")))</f>
        <v/>
      </c>
      <c r="O3858">
        <f>TEXT(B3858,"YYYY-MM")</f>
        <v/>
      </c>
    </row>
    <row r="3859">
      <c r="A3859" t="inlineStr">
        <is>
          <t>LD-303857</t>
        </is>
      </c>
      <c r="B3859" t="inlineStr">
        <is>
          <t>2025-04-25 09:05:00</t>
        </is>
      </c>
      <c r="C3859" t="inlineStr">
        <is>
          <t>Organic Search</t>
        </is>
      </c>
      <c r="D3859" t="inlineStr">
        <is>
          <t>Competitive Exam Prep</t>
        </is>
      </c>
      <c r="E3859" t="inlineStr">
        <is>
          <t>West Region</t>
        </is>
      </c>
      <c r="F3859" t="inlineStr">
        <is>
          <t>Rep_03</t>
        </is>
      </c>
      <c r="G3859" t="n">
        <v>2.1</v>
      </c>
      <c r="H3859" t="inlineStr">
        <is>
          <t>Contacted</t>
        </is>
      </c>
      <c r="I3859" t="inlineStr">
        <is>
          <t>Open</t>
        </is>
      </c>
      <c r="M3859">
        <f>VLOOKUP(H3859,'Stage Order'!$A$2:$B$8,2,FALSE)</f>
        <v/>
      </c>
      <c r="N3859">
        <f>IF(G3859&lt;=1,"1. Under 1 hour",IF(G3859&lt;=24,"2. 1-24 hours",IF(G3859&lt;=72,"3. 1-3 days","4. Over 3 days")))</f>
        <v/>
      </c>
      <c r="O3859">
        <f>TEXT(B3859,"YYYY-MM")</f>
        <v/>
      </c>
    </row>
    <row r="3860">
      <c r="A3860" t="inlineStr">
        <is>
          <t>LD-303858</t>
        </is>
      </c>
      <c r="B3860" t="inlineStr">
        <is>
          <t>2026-05-22 10:34:00</t>
        </is>
      </c>
      <c r="C3860" t="inlineStr">
        <is>
          <t>Webinar</t>
        </is>
      </c>
      <c r="D3860" t="inlineStr">
        <is>
          <t>Coding for Kids</t>
        </is>
      </c>
      <c r="E3860" t="inlineStr">
        <is>
          <t>South Region</t>
        </is>
      </c>
      <c r="F3860" t="inlineStr">
        <is>
          <t>Rep_02</t>
        </is>
      </c>
      <c r="G3860" t="n">
        <v>6.22</v>
      </c>
      <c r="H3860" t="inlineStr">
        <is>
          <t>Negotiation</t>
        </is>
      </c>
      <c r="I3860" t="inlineStr">
        <is>
          <t>Lost</t>
        </is>
      </c>
      <c r="J3860" t="inlineStr">
        <is>
          <t>No Response / Ghosted</t>
        </is>
      </c>
      <c r="K3860" t="n">
        <v>614.23</v>
      </c>
      <c r="L3860" t="inlineStr">
        <is>
          <t>2026-06-22 11:51:47.575478</t>
        </is>
      </c>
      <c r="M3860">
        <f>VLOOKUP(H3860,'Stage Order'!$A$2:$B$8,2,FALSE)</f>
        <v/>
      </c>
      <c r="N3860">
        <f>IF(G3860&lt;=1,"1. Under 1 hour",IF(G3860&lt;=24,"2. 1-24 hours",IF(G3860&lt;=72,"3. 1-3 days","4. Over 3 days")))</f>
        <v/>
      </c>
      <c r="O3860">
        <f>TEXT(B3860,"YYYY-MM")</f>
        <v/>
      </c>
    </row>
    <row r="3861">
      <c r="A3861" t="inlineStr">
        <is>
          <t>LD-303859</t>
        </is>
      </c>
      <c r="B3861" t="inlineStr">
        <is>
          <t>2026-04-16 12:55:00</t>
        </is>
      </c>
      <c r="C3861" t="inlineStr">
        <is>
          <t>Referral</t>
        </is>
      </c>
      <c r="D3861" t="inlineStr">
        <is>
          <t>Competitive Exam Prep</t>
        </is>
      </c>
      <c r="E3861" t="inlineStr">
        <is>
          <t>North Region</t>
        </is>
      </c>
      <c r="F3861" t="inlineStr">
        <is>
          <t>Rep_11</t>
        </is>
      </c>
      <c r="G3861" t="n">
        <v>7.21</v>
      </c>
      <c r="H3861" t="inlineStr">
        <is>
          <t>Closed</t>
        </is>
      </c>
      <c r="I3861" t="inlineStr">
        <is>
          <t>Won</t>
        </is>
      </c>
      <c r="K3861" t="n">
        <v>848.8200000000001</v>
      </c>
      <c r="L3861" t="inlineStr">
        <is>
          <t>2026-05-30 23:28:57.255444</t>
        </is>
      </c>
      <c r="M3861">
        <f>VLOOKUP(H3861,'Stage Order'!$A$2:$B$8,2,FALSE)</f>
        <v/>
      </c>
      <c r="N3861">
        <f>IF(G3861&lt;=1,"1. Under 1 hour",IF(G3861&lt;=24,"2. 1-24 hours",IF(G3861&lt;=72,"3. 1-3 days","4. Over 3 days")))</f>
        <v/>
      </c>
      <c r="O3861">
        <f>TEXT(B3861,"YYYY-MM")</f>
        <v/>
      </c>
    </row>
    <row r="3862">
      <c r="A3862" t="inlineStr">
        <is>
          <t>LD-303860</t>
        </is>
      </c>
      <c r="B3862" t="inlineStr">
        <is>
          <t>2026-02-23 19:01:00</t>
        </is>
      </c>
      <c r="C3862" t="inlineStr">
        <is>
          <t>Partner Channel</t>
        </is>
      </c>
      <c r="D3862" t="inlineStr">
        <is>
          <t>Competitive Exam Prep</t>
        </is>
      </c>
      <c r="E3862" t="inlineStr">
        <is>
          <t>International</t>
        </is>
      </c>
      <c r="F3862" t="inlineStr">
        <is>
          <t>Rep_05</t>
        </is>
      </c>
      <c r="G3862" t="n">
        <v>3.75</v>
      </c>
      <c r="H3862" t="inlineStr">
        <is>
          <t>Negotiation</t>
        </is>
      </c>
      <c r="I3862" t="inlineStr">
        <is>
          <t>Lost</t>
        </is>
      </c>
      <c r="J3862" t="inlineStr">
        <is>
          <t>Bad Timing</t>
        </is>
      </c>
      <c r="K3862" t="n">
        <v>955.38</v>
      </c>
      <c r="L3862" t="inlineStr">
        <is>
          <t>2026-04-01 11:47:50.461721</t>
        </is>
      </c>
      <c r="M3862">
        <f>VLOOKUP(H3862,'Stage Order'!$A$2:$B$8,2,FALSE)</f>
        <v/>
      </c>
      <c r="N3862">
        <f>IF(G3862&lt;=1,"1. Under 1 hour",IF(G3862&lt;=24,"2. 1-24 hours",IF(G3862&lt;=72,"3. 1-3 days","4. Over 3 days")))</f>
        <v/>
      </c>
      <c r="O3862">
        <f>TEXT(B3862,"YYYY-MM")</f>
        <v/>
      </c>
    </row>
    <row r="3863">
      <c r="A3863" t="inlineStr">
        <is>
          <t>LD-303861</t>
        </is>
      </c>
      <c r="B3863" t="inlineStr">
        <is>
          <t>2025-03-11 13:48:00</t>
        </is>
      </c>
      <c r="C3863" t="inlineStr">
        <is>
          <t>Organic Search</t>
        </is>
      </c>
      <c r="D3863" t="inlineStr">
        <is>
          <t>Coding for Kids</t>
        </is>
      </c>
      <c r="E3863" t="inlineStr">
        <is>
          <t>West Region</t>
        </is>
      </c>
      <c r="F3863" t="inlineStr">
        <is>
          <t>Rep_08</t>
        </is>
      </c>
      <c r="G3863" t="n">
        <v>1.18</v>
      </c>
      <c r="H3863" t="inlineStr">
        <is>
          <t>Proposal Sent</t>
        </is>
      </c>
      <c r="I3863" t="inlineStr">
        <is>
          <t>Lost</t>
        </is>
      </c>
      <c r="J3863" t="inlineStr">
        <is>
          <t>Went With Competitor</t>
        </is>
      </c>
      <c r="K3863" t="n">
        <v>746.37</v>
      </c>
      <c r="L3863" t="inlineStr">
        <is>
          <t>2025-04-28 10:04:37.108448</t>
        </is>
      </c>
      <c r="M3863">
        <f>VLOOKUP(H3863,'Stage Order'!$A$2:$B$8,2,FALSE)</f>
        <v/>
      </c>
      <c r="N3863">
        <f>IF(G3863&lt;=1,"1. Under 1 hour",IF(G3863&lt;=24,"2. 1-24 hours",IF(G3863&lt;=72,"3. 1-3 days","4. Over 3 days")))</f>
        <v/>
      </c>
      <c r="O3863">
        <f>TEXT(B3863,"YYYY-MM")</f>
        <v/>
      </c>
    </row>
    <row r="3864">
      <c r="A3864" t="inlineStr">
        <is>
          <t>LD-303862</t>
        </is>
      </c>
      <c r="B3864" t="inlineStr">
        <is>
          <t>2025-04-28 11:01:00</t>
        </is>
      </c>
      <c r="C3864" t="inlineStr">
        <is>
          <t>Organic Search</t>
        </is>
      </c>
      <c r="D3864" t="inlineStr">
        <is>
          <t>Competitive Exam Prep</t>
        </is>
      </c>
      <c r="E3864" t="inlineStr">
        <is>
          <t>International</t>
        </is>
      </c>
      <c r="F3864" t="inlineStr">
        <is>
          <t>Rep_15</t>
        </is>
      </c>
      <c r="G3864" t="n">
        <v>0.8100000000000001</v>
      </c>
      <c r="H3864" t="inlineStr">
        <is>
          <t>Contacted</t>
        </is>
      </c>
      <c r="I3864" t="inlineStr">
        <is>
          <t>Open</t>
        </is>
      </c>
      <c r="M3864">
        <f>VLOOKUP(H3864,'Stage Order'!$A$2:$B$8,2,FALSE)</f>
        <v/>
      </c>
      <c r="N3864">
        <f>IF(G3864&lt;=1,"1. Under 1 hour",IF(G3864&lt;=24,"2. 1-24 hours",IF(G3864&lt;=72,"3. 1-3 days","4. Over 3 days")))</f>
        <v/>
      </c>
      <c r="O3864">
        <f>TEXT(B3864,"YYYY-MM")</f>
        <v/>
      </c>
    </row>
    <row r="3865">
      <c r="A3865" t="inlineStr">
        <is>
          <t>LD-303863</t>
        </is>
      </c>
      <c r="B3865" t="inlineStr">
        <is>
          <t>2025-04-10 20:55:00</t>
        </is>
      </c>
      <c r="C3865" t="inlineStr">
        <is>
          <t>Referral</t>
        </is>
      </c>
      <c r="D3865" t="inlineStr">
        <is>
          <t>Coding for Kids</t>
        </is>
      </c>
      <c r="E3865" t="inlineStr">
        <is>
          <t>North Region</t>
        </is>
      </c>
      <c r="F3865" t="inlineStr">
        <is>
          <t>Rep_06</t>
        </is>
      </c>
      <c r="G3865" t="n">
        <v>0.87</v>
      </c>
      <c r="H3865" t="inlineStr">
        <is>
          <t>Contacted</t>
        </is>
      </c>
      <c r="I3865" t="inlineStr">
        <is>
          <t>Open</t>
        </is>
      </c>
      <c r="M3865">
        <f>VLOOKUP(H3865,'Stage Order'!$A$2:$B$8,2,FALSE)</f>
        <v/>
      </c>
      <c r="N3865">
        <f>IF(G3865&lt;=1,"1. Under 1 hour",IF(G3865&lt;=24,"2. 1-24 hours",IF(G3865&lt;=72,"3. 1-3 days","4. Over 3 days")))</f>
        <v/>
      </c>
      <c r="O3865">
        <f>TEXT(B3865,"YYYY-MM")</f>
        <v/>
      </c>
    </row>
    <row r="3866">
      <c r="A3866" t="inlineStr">
        <is>
          <t>LD-303864</t>
        </is>
      </c>
      <c r="B3866" t="inlineStr">
        <is>
          <t>2026-04-27 18:02:00</t>
        </is>
      </c>
      <c r="C3866" t="inlineStr">
        <is>
          <t>Social Media</t>
        </is>
      </c>
      <c r="D3866" t="inlineStr">
        <is>
          <t>Coding for Kids</t>
        </is>
      </c>
      <c r="E3866" t="inlineStr">
        <is>
          <t>West Region</t>
        </is>
      </c>
      <c r="F3866" t="inlineStr">
        <is>
          <t>Rep_13</t>
        </is>
      </c>
      <c r="G3866" t="n">
        <v>0.8100000000000001</v>
      </c>
      <c r="H3866" t="inlineStr">
        <is>
          <t>Proposal Sent</t>
        </is>
      </c>
      <c r="I3866" t="inlineStr">
        <is>
          <t>Lost</t>
        </is>
      </c>
      <c r="J3866" t="inlineStr">
        <is>
          <t>Went With Competitor</t>
        </is>
      </c>
      <c r="K3866" t="n">
        <v>558.23</v>
      </c>
      <c r="L3866" t="inlineStr">
        <is>
          <t>2026-06-20 17:26:45.010714</t>
        </is>
      </c>
      <c r="M3866">
        <f>VLOOKUP(H3866,'Stage Order'!$A$2:$B$8,2,FALSE)</f>
        <v/>
      </c>
      <c r="N3866">
        <f>IF(G3866&lt;=1,"1. Under 1 hour",IF(G3866&lt;=24,"2. 1-24 hours",IF(G3866&lt;=72,"3. 1-3 days","4. Over 3 days")))</f>
        <v/>
      </c>
      <c r="O3866">
        <f>TEXT(B3866,"YYYY-MM")</f>
        <v/>
      </c>
    </row>
    <row r="3867">
      <c r="A3867" t="inlineStr">
        <is>
          <t>LD-303865</t>
        </is>
      </c>
      <c r="B3867" t="inlineStr">
        <is>
          <t>2025-12-03 17:56:00</t>
        </is>
      </c>
      <c r="C3867" t="inlineStr">
        <is>
          <t>Organic Search</t>
        </is>
      </c>
      <c r="D3867" t="inlineStr">
        <is>
          <t>K-12 Math</t>
        </is>
      </c>
      <c r="E3867" t="inlineStr">
        <is>
          <t>West Region</t>
        </is>
      </c>
      <c r="F3867" t="inlineStr">
        <is>
          <t>Rep_08</t>
        </is>
      </c>
      <c r="G3867" t="n">
        <v>1.45</v>
      </c>
      <c r="H3867" t="inlineStr">
        <is>
          <t>Contacted</t>
        </is>
      </c>
      <c r="I3867" t="inlineStr">
        <is>
          <t>Open</t>
        </is>
      </c>
      <c r="M3867">
        <f>VLOOKUP(H3867,'Stage Order'!$A$2:$B$8,2,FALSE)</f>
        <v/>
      </c>
      <c r="N3867">
        <f>IF(G3867&lt;=1,"1. Under 1 hour",IF(G3867&lt;=24,"2. 1-24 hours",IF(G3867&lt;=72,"3. 1-3 days","4. Over 3 days")))</f>
        <v/>
      </c>
      <c r="O3867">
        <f>TEXT(B3867,"YYYY-MM")</f>
        <v/>
      </c>
    </row>
    <row r="3868">
      <c r="A3868" t="inlineStr">
        <is>
          <t>LD-303866</t>
        </is>
      </c>
      <c r="B3868" t="inlineStr">
        <is>
          <t>2026-04-09 08:32:00</t>
        </is>
      </c>
      <c r="C3868" t="inlineStr">
        <is>
          <t>Referral</t>
        </is>
      </c>
      <c r="D3868" t="inlineStr">
        <is>
          <t>K-12 Math</t>
        </is>
      </c>
      <c r="E3868" t="inlineStr">
        <is>
          <t>North Region</t>
        </is>
      </c>
      <c r="F3868" t="inlineStr">
        <is>
          <t>Rep_06</t>
        </is>
      </c>
      <c r="G3868" t="n">
        <v>4.08</v>
      </c>
      <c r="H3868" t="inlineStr">
        <is>
          <t>Negotiation</t>
        </is>
      </c>
      <c r="I3868" t="inlineStr">
        <is>
          <t>Lost</t>
        </is>
      </c>
      <c r="J3868" t="inlineStr">
        <is>
          <t>Went With Competitor</t>
        </is>
      </c>
      <c r="K3868" t="n">
        <v>579.1900000000001</v>
      </c>
      <c r="L3868" t="inlineStr">
        <is>
          <t>2026-06-15 19:11:05.483596</t>
        </is>
      </c>
      <c r="M3868">
        <f>VLOOKUP(H3868,'Stage Order'!$A$2:$B$8,2,FALSE)</f>
        <v/>
      </c>
      <c r="N3868">
        <f>IF(G3868&lt;=1,"1. Under 1 hour",IF(G3868&lt;=24,"2. 1-24 hours",IF(G3868&lt;=72,"3. 1-3 days","4. Over 3 days")))</f>
        <v/>
      </c>
      <c r="O3868">
        <f>TEXT(B3868,"YYYY-MM")</f>
        <v/>
      </c>
    </row>
    <row r="3869">
      <c r="A3869" t="inlineStr">
        <is>
          <t>LD-303867</t>
        </is>
      </c>
      <c r="B3869" t="inlineStr">
        <is>
          <t>2025-08-22 14:57:00</t>
        </is>
      </c>
      <c r="C3869" t="inlineStr">
        <is>
          <t>Paid Search</t>
        </is>
      </c>
      <c r="D3869" t="inlineStr">
        <is>
          <t>K-12 Math</t>
        </is>
      </c>
      <c r="E3869" t="inlineStr">
        <is>
          <t>West Region</t>
        </is>
      </c>
      <c r="F3869" t="inlineStr">
        <is>
          <t>Rep_13</t>
        </is>
      </c>
      <c r="G3869" t="n">
        <v>6.8</v>
      </c>
      <c r="H3869" t="inlineStr">
        <is>
          <t>Negotiation</t>
        </is>
      </c>
      <c r="I3869" t="inlineStr">
        <is>
          <t>Lost</t>
        </is>
      </c>
      <c r="J3869" t="inlineStr">
        <is>
          <t>No Response / Ghosted</t>
        </is>
      </c>
      <c r="K3869" t="n">
        <v>416.26</v>
      </c>
      <c r="L3869" t="inlineStr">
        <is>
          <t>2025-09-29 11:44:37.618306</t>
        </is>
      </c>
      <c r="M3869">
        <f>VLOOKUP(H3869,'Stage Order'!$A$2:$B$8,2,FALSE)</f>
        <v/>
      </c>
      <c r="N3869">
        <f>IF(G3869&lt;=1,"1. Under 1 hour",IF(G3869&lt;=24,"2. 1-24 hours",IF(G3869&lt;=72,"3. 1-3 days","4. Over 3 days")))</f>
        <v/>
      </c>
      <c r="O3869">
        <f>TEXT(B3869,"YYYY-MM")</f>
        <v/>
      </c>
    </row>
    <row r="3870">
      <c r="A3870" t="inlineStr">
        <is>
          <t>LD-303868</t>
        </is>
      </c>
      <c r="B3870" t="inlineStr">
        <is>
          <t>2025-04-29 16:07:00</t>
        </is>
      </c>
      <c r="C3870" t="inlineStr">
        <is>
          <t>Paid Search</t>
        </is>
      </c>
      <c r="D3870" t="inlineStr">
        <is>
          <t>Language Learning</t>
        </is>
      </c>
      <c r="E3870" t="inlineStr">
        <is>
          <t>North Region</t>
        </is>
      </c>
      <c r="F3870" t="inlineStr">
        <is>
          <t>Rep_06</t>
        </is>
      </c>
      <c r="G3870" t="n">
        <v>3.51</v>
      </c>
      <c r="H3870" t="inlineStr">
        <is>
          <t>Contacted</t>
        </is>
      </c>
      <c r="I3870" t="inlineStr">
        <is>
          <t>Open</t>
        </is>
      </c>
      <c r="M3870">
        <f>VLOOKUP(H3870,'Stage Order'!$A$2:$B$8,2,FALSE)</f>
        <v/>
      </c>
      <c r="N3870">
        <f>IF(G3870&lt;=1,"1. Under 1 hour",IF(G3870&lt;=24,"2. 1-24 hours",IF(G3870&lt;=72,"3. 1-3 days","4. Over 3 days")))</f>
        <v/>
      </c>
      <c r="O3870">
        <f>TEXT(B3870,"YYYY-MM")</f>
        <v/>
      </c>
    </row>
    <row r="3871">
      <c r="A3871" t="inlineStr">
        <is>
          <t>LD-303869</t>
        </is>
      </c>
      <c r="B3871" t="inlineStr">
        <is>
          <t>2025-08-10 10:43:00</t>
        </is>
      </c>
      <c r="C3871" t="inlineStr">
        <is>
          <t>Social Media</t>
        </is>
      </c>
      <c r="D3871" t="inlineStr">
        <is>
          <t>K-12 Math</t>
        </is>
      </c>
      <c r="E3871" t="inlineStr">
        <is>
          <t>South Region</t>
        </is>
      </c>
      <c r="F3871" t="inlineStr">
        <is>
          <t>Rep_07</t>
        </is>
      </c>
      <c r="G3871" t="n">
        <v>1.73</v>
      </c>
      <c r="H3871" t="inlineStr">
        <is>
          <t>Contacted</t>
        </is>
      </c>
      <c r="I3871" t="inlineStr">
        <is>
          <t>Open</t>
        </is>
      </c>
      <c r="M3871">
        <f>VLOOKUP(H3871,'Stage Order'!$A$2:$B$8,2,FALSE)</f>
        <v/>
      </c>
      <c r="N3871">
        <f>IF(G3871&lt;=1,"1. Under 1 hour",IF(G3871&lt;=24,"2. 1-24 hours",IF(G3871&lt;=72,"3. 1-3 days","4. Over 3 days")))</f>
        <v/>
      </c>
      <c r="O3871">
        <f>TEXT(B3871,"YYYY-MM")</f>
        <v/>
      </c>
    </row>
    <row r="3872">
      <c r="A3872" t="inlineStr">
        <is>
          <t>LD-303870</t>
        </is>
      </c>
      <c r="B3872" t="inlineStr">
        <is>
          <t>2025-12-02 09:47:00</t>
        </is>
      </c>
      <c r="C3872" t="inlineStr">
        <is>
          <t>Organic Search</t>
        </is>
      </c>
      <c r="D3872" t="inlineStr">
        <is>
          <t>Coding for Kids</t>
        </is>
      </c>
      <c r="E3872" t="inlineStr">
        <is>
          <t>West Region</t>
        </is>
      </c>
      <c r="F3872" t="inlineStr">
        <is>
          <t>Rep_13</t>
        </is>
      </c>
      <c r="G3872" t="n">
        <v>2.32</v>
      </c>
      <c r="H3872" t="inlineStr">
        <is>
          <t>Proposal Sent</t>
        </is>
      </c>
      <c r="I3872" t="inlineStr">
        <is>
          <t>Lost</t>
        </is>
      </c>
      <c r="J3872" t="inlineStr">
        <is>
          <t>Price Objection</t>
        </is>
      </c>
      <c r="K3872" t="n">
        <v>577.92</v>
      </c>
      <c r="L3872" t="inlineStr">
        <is>
          <t>2026-01-11 07:12:50.396990</t>
        </is>
      </c>
      <c r="M3872">
        <f>VLOOKUP(H3872,'Stage Order'!$A$2:$B$8,2,FALSE)</f>
        <v/>
      </c>
      <c r="N3872">
        <f>IF(G3872&lt;=1,"1. Under 1 hour",IF(G3872&lt;=24,"2. 1-24 hours",IF(G3872&lt;=72,"3. 1-3 days","4. Over 3 days")))</f>
        <v/>
      </c>
      <c r="O3872">
        <f>TEXT(B3872,"YYYY-MM")</f>
        <v/>
      </c>
    </row>
    <row r="3873">
      <c r="A3873" t="inlineStr">
        <is>
          <t>LD-303871</t>
        </is>
      </c>
      <c r="B3873" t="inlineStr">
        <is>
          <t>2025-11-05 16:52:00</t>
        </is>
      </c>
      <c r="C3873" t="inlineStr">
        <is>
          <t>Cold Outreach</t>
        </is>
      </c>
      <c r="D3873" t="inlineStr">
        <is>
          <t>Language Learning</t>
        </is>
      </c>
      <c r="E3873" t="inlineStr">
        <is>
          <t>West Region</t>
        </is>
      </c>
      <c r="F3873" t="inlineStr">
        <is>
          <t>Rep_03</t>
        </is>
      </c>
      <c r="G3873" t="n">
        <v>0.91</v>
      </c>
      <c r="H3873" t="inlineStr">
        <is>
          <t>Contacted</t>
        </is>
      </c>
      <c r="I3873" t="inlineStr">
        <is>
          <t>Open</t>
        </is>
      </c>
      <c r="M3873">
        <f>VLOOKUP(H3873,'Stage Order'!$A$2:$B$8,2,FALSE)</f>
        <v/>
      </c>
      <c r="N3873">
        <f>IF(G3873&lt;=1,"1. Under 1 hour",IF(G3873&lt;=24,"2. 1-24 hours",IF(G3873&lt;=72,"3. 1-3 days","4. Over 3 days")))</f>
        <v/>
      </c>
      <c r="O3873">
        <f>TEXT(B3873,"YYYY-MM")</f>
        <v/>
      </c>
    </row>
    <row r="3874">
      <c r="A3874" t="inlineStr">
        <is>
          <t>LD-303872</t>
        </is>
      </c>
      <c r="B3874" t="inlineStr">
        <is>
          <t>2026-03-27 10:11:00</t>
        </is>
      </c>
      <c r="C3874" t="inlineStr">
        <is>
          <t>Social Media</t>
        </is>
      </c>
      <c r="D3874" t="inlineStr">
        <is>
          <t>Competitive Exam Prep</t>
        </is>
      </c>
      <c r="E3874" t="inlineStr">
        <is>
          <t>North Region</t>
        </is>
      </c>
      <c r="F3874" t="inlineStr">
        <is>
          <t>Rep_01</t>
        </is>
      </c>
      <c r="G3874" t="n">
        <v>1.9</v>
      </c>
      <c r="H3874" t="inlineStr">
        <is>
          <t>Lead</t>
        </is>
      </c>
      <c r="I3874" t="inlineStr">
        <is>
          <t>Open</t>
        </is>
      </c>
      <c r="M3874">
        <f>VLOOKUP(H3874,'Stage Order'!$A$2:$B$8,2,FALSE)</f>
        <v/>
      </c>
      <c r="N3874">
        <f>IF(G3874&lt;=1,"1. Under 1 hour",IF(G3874&lt;=24,"2. 1-24 hours",IF(G3874&lt;=72,"3. 1-3 days","4. Over 3 days")))</f>
        <v/>
      </c>
      <c r="O3874">
        <f>TEXT(B3874,"YYYY-MM")</f>
        <v/>
      </c>
    </row>
    <row r="3875">
      <c r="A3875" t="inlineStr">
        <is>
          <t>LD-303873</t>
        </is>
      </c>
      <c r="B3875" t="inlineStr">
        <is>
          <t>2025-10-09 20:40:00</t>
        </is>
      </c>
      <c r="C3875" t="inlineStr">
        <is>
          <t>Paid Search</t>
        </is>
      </c>
      <c r="D3875" t="inlineStr">
        <is>
          <t>K-12 Math</t>
        </is>
      </c>
      <c r="E3875" t="inlineStr">
        <is>
          <t>South Region</t>
        </is>
      </c>
      <c r="F3875" t="inlineStr">
        <is>
          <t>Rep_02</t>
        </is>
      </c>
      <c r="G3875" t="n">
        <v>4.01</v>
      </c>
      <c r="H3875" t="inlineStr">
        <is>
          <t>Contacted</t>
        </is>
      </c>
      <c r="I3875" t="inlineStr">
        <is>
          <t>Open</t>
        </is>
      </c>
      <c r="M3875">
        <f>VLOOKUP(H3875,'Stage Order'!$A$2:$B$8,2,FALSE)</f>
        <v/>
      </c>
      <c r="N3875">
        <f>IF(G3875&lt;=1,"1. Under 1 hour",IF(G3875&lt;=24,"2. 1-24 hours",IF(G3875&lt;=72,"3. 1-3 days","4. Over 3 days")))</f>
        <v/>
      </c>
      <c r="O3875">
        <f>TEXT(B3875,"YYYY-MM")</f>
        <v/>
      </c>
    </row>
    <row r="3876">
      <c r="A3876" t="inlineStr">
        <is>
          <t>LD-303874</t>
        </is>
      </c>
      <c r="B3876" t="inlineStr">
        <is>
          <t>2026-03-25 19:09:00</t>
        </is>
      </c>
      <c r="C3876" t="inlineStr">
        <is>
          <t>Social Media</t>
        </is>
      </c>
      <c r="D3876" t="inlineStr">
        <is>
          <t>Language Learning</t>
        </is>
      </c>
      <c r="E3876" t="inlineStr">
        <is>
          <t>International</t>
        </is>
      </c>
      <c r="F3876" t="inlineStr">
        <is>
          <t>Rep_05</t>
        </is>
      </c>
      <c r="G3876" t="n">
        <v>3.34</v>
      </c>
      <c r="H3876" t="inlineStr">
        <is>
          <t>Contacted</t>
        </is>
      </c>
      <c r="I3876" t="inlineStr">
        <is>
          <t>Open</t>
        </is>
      </c>
      <c r="M3876">
        <f>VLOOKUP(H3876,'Stage Order'!$A$2:$B$8,2,FALSE)</f>
        <v/>
      </c>
      <c r="N3876">
        <f>IF(G3876&lt;=1,"1. Under 1 hour",IF(G3876&lt;=24,"2. 1-24 hours",IF(G3876&lt;=72,"3. 1-3 days","4. Over 3 days")))</f>
        <v/>
      </c>
      <c r="O3876">
        <f>TEXT(B3876,"YYYY-MM")</f>
        <v/>
      </c>
    </row>
    <row r="3877">
      <c r="A3877" t="inlineStr">
        <is>
          <t>LD-303875</t>
        </is>
      </c>
      <c r="B3877" t="inlineStr">
        <is>
          <t>2025-08-28 20:37:00</t>
        </is>
      </c>
      <c r="C3877" t="inlineStr">
        <is>
          <t>Webinar</t>
        </is>
      </c>
      <c r="D3877" t="inlineStr">
        <is>
          <t>Coding for Kids</t>
        </is>
      </c>
      <c r="E3877" t="inlineStr">
        <is>
          <t>South Region</t>
        </is>
      </c>
      <c r="F3877" t="inlineStr">
        <is>
          <t>Rep_07</t>
        </is>
      </c>
      <c r="G3877" t="n">
        <v>2.8</v>
      </c>
      <c r="H3877" t="inlineStr">
        <is>
          <t>Contacted</t>
        </is>
      </c>
      <c r="I3877" t="inlineStr">
        <is>
          <t>Open</t>
        </is>
      </c>
      <c r="M3877">
        <f>VLOOKUP(H3877,'Stage Order'!$A$2:$B$8,2,FALSE)</f>
        <v/>
      </c>
      <c r="N3877">
        <f>IF(G3877&lt;=1,"1. Under 1 hour",IF(G3877&lt;=24,"2. 1-24 hours",IF(G3877&lt;=72,"3. 1-3 days","4. Over 3 days")))</f>
        <v/>
      </c>
      <c r="O3877">
        <f>TEXT(B3877,"YYYY-MM")</f>
        <v/>
      </c>
    </row>
    <row r="3878">
      <c r="A3878" t="inlineStr">
        <is>
          <t>LD-303876</t>
        </is>
      </c>
      <c r="B3878" t="inlineStr">
        <is>
          <t>2025-04-24 16:55:00</t>
        </is>
      </c>
      <c r="C3878" t="inlineStr">
        <is>
          <t>Referral</t>
        </is>
      </c>
      <c r="D3878" t="inlineStr">
        <is>
          <t>Study Abroad Prep</t>
        </is>
      </c>
      <c r="E3878" t="inlineStr">
        <is>
          <t>South Region</t>
        </is>
      </c>
      <c r="F3878" t="inlineStr">
        <is>
          <t>Rep_12</t>
        </is>
      </c>
      <c r="G3878" t="n">
        <v>7.85</v>
      </c>
      <c r="H3878" t="inlineStr">
        <is>
          <t>Closed</t>
        </is>
      </c>
      <c r="I3878" t="inlineStr">
        <is>
          <t>Won</t>
        </is>
      </c>
      <c r="K3878" t="n">
        <v>1692.75</v>
      </c>
      <c r="L3878" t="inlineStr">
        <is>
          <t>2025-05-29 16:26:08.471575</t>
        </is>
      </c>
      <c r="M3878">
        <f>VLOOKUP(H3878,'Stage Order'!$A$2:$B$8,2,FALSE)</f>
        <v/>
      </c>
      <c r="N3878">
        <f>IF(G3878&lt;=1,"1. Under 1 hour",IF(G3878&lt;=24,"2. 1-24 hours",IF(G3878&lt;=72,"3. 1-3 days","4. Over 3 days")))</f>
        <v/>
      </c>
      <c r="O3878">
        <f>TEXT(B3878,"YYYY-MM")</f>
        <v/>
      </c>
    </row>
    <row r="3879">
      <c r="A3879" t="inlineStr">
        <is>
          <t>LD-303877</t>
        </is>
      </c>
      <c r="B3879" t="inlineStr">
        <is>
          <t>2025-08-01 09:48:00</t>
        </is>
      </c>
      <c r="C3879" t="inlineStr">
        <is>
          <t>Webinar</t>
        </is>
      </c>
      <c r="D3879" t="inlineStr">
        <is>
          <t>Study Abroad Prep</t>
        </is>
      </c>
      <c r="E3879" t="inlineStr">
        <is>
          <t>South Region</t>
        </is>
      </c>
      <c r="F3879" t="inlineStr">
        <is>
          <t>Rep_12</t>
        </is>
      </c>
      <c r="G3879" t="n">
        <v>3.86</v>
      </c>
      <c r="H3879" t="inlineStr">
        <is>
          <t>Closed</t>
        </is>
      </c>
      <c r="I3879" t="inlineStr">
        <is>
          <t>Won</t>
        </is>
      </c>
      <c r="K3879" t="n">
        <v>1527.61</v>
      </c>
      <c r="L3879" t="inlineStr">
        <is>
          <t>2025-09-08 05:16:03.919398</t>
        </is>
      </c>
      <c r="M3879">
        <f>VLOOKUP(H3879,'Stage Order'!$A$2:$B$8,2,FALSE)</f>
        <v/>
      </c>
      <c r="N3879">
        <f>IF(G3879&lt;=1,"1. Under 1 hour",IF(G3879&lt;=24,"2. 1-24 hours",IF(G3879&lt;=72,"3. 1-3 days","4. Over 3 days")))</f>
        <v/>
      </c>
      <c r="O3879">
        <f>TEXT(B3879,"YYYY-MM")</f>
        <v/>
      </c>
    </row>
    <row r="3880">
      <c r="A3880" t="inlineStr">
        <is>
          <t>LD-303878</t>
        </is>
      </c>
      <c r="B3880" t="inlineStr">
        <is>
          <t>2025-04-22 08:48:00</t>
        </is>
      </c>
      <c r="C3880" t="inlineStr">
        <is>
          <t>Paid Search</t>
        </is>
      </c>
      <c r="D3880" t="inlineStr">
        <is>
          <t>K-12 Math</t>
        </is>
      </c>
      <c r="E3880" t="inlineStr">
        <is>
          <t>North Region</t>
        </is>
      </c>
      <c r="F3880" t="inlineStr">
        <is>
          <t>Rep_06</t>
        </is>
      </c>
      <c r="G3880" t="n">
        <v>2.66</v>
      </c>
      <c r="H3880" t="inlineStr">
        <is>
          <t>Demo Scheduled</t>
        </is>
      </c>
      <c r="I3880" t="inlineStr">
        <is>
          <t>Open</t>
        </is>
      </c>
      <c r="M3880">
        <f>VLOOKUP(H3880,'Stage Order'!$A$2:$B$8,2,FALSE)</f>
        <v/>
      </c>
      <c r="N3880">
        <f>IF(G3880&lt;=1,"1. Under 1 hour",IF(G3880&lt;=24,"2. 1-24 hours",IF(G3880&lt;=72,"3. 1-3 days","4. Over 3 days")))</f>
        <v/>
      </c>
      <c r="O3880">
        <f>TEXT(B3880,"YYYY-MM")</f>
        <v/>
      </c>
    </row>
    <row r="3881">
      <c r="A3881" t="inlineStr">
        <is>
          <t>LD-303879</t>
        </is>
      </c>
      <c r="B3881" t="inlineStr">
        <is>
          <t>2026-06-15 20:19:00</t>
        </is>
      </c>
      <c r="C3881" t="inlineStr">
        <is>
          <t>Organic Search</t>
        </is>
      </c>
      <c r="D3881" t="inlineStr">
        <is>
          <t>K-12 Math</t>
        </is>
      </c>
      <c r="E3881" t="inlineStr">
        <is>
          <t>South Region</t>
        </is>
      </c>
      <c r="F3881" t="inlineStr">
        <is>
          <t>Rep_02</t>
        </is>
      </c>
      <c r="G3881" t="n">
        <v>6.8</v>
      </c>
      <c r="H3881" t="inlineStr">
        <is>
          <t>Contacted</t>
        </is>
      </c>
      <c r="I3881" t="inlineStr">
        <is>
          <t>Open</t>
        </is>
      </c>
      <c r="M3881">
        <f>VLOOKUP(H3881,'Stage Order'!$A$2:$B$8,2,FALSE)</f>
        <v/>
      </c>
      <c r="N3881">
        <f>IF(G3881&lt;=1,"1. Under 1 hour",IF(G3881&lt;=24,"2. 1-24 hours",IF(G3881&lt;=72,"3. 1-3 days","4. Over 3 days")))</f>
        <v/>
      </c>
      <c r="O3881">
        <f>TEXT(B3881,"YYYY-MM")</f>
        <v/>
      </c>
    </row>
    <row r="3882">
      <c r="A3882" t="inlineStr">
        <is>
          <t>LD-303880</t>
        </is>
      </c>
      <c r="B3882" t="inlineStr">
        <is>
          <t>2025-06-14 12:38:00</t>
        </is>
      </c>
      <c r="C3882" t="inlineStr">
        <is>
          <t>Social Media</t>
        </is>
      </c>
      <c r="D3882" t="inlineStr">
        <is>
          <t>Competitive Exam Prep</t>
        </is>
      </c>
      <c r="E3882" t="inlineStr">
        <is>
          <t>East Region</t>
        </is>
      </c>
      <c r="F3882" t="inlineStr">
        <is>
          <t>Rep_14</t>
        </is>
      </c>
      <c r="G3882" t="n">
        <v>2.79</v>
      </c>
      <c r="H3882" t="inlineStr">
        <is>
          <t>Lead</t>
        </is>
      </c>
      <c r="I3882" t="inlineStr">
        <is>
          <t>Open</t>
        </is>
      </c>
      <c r="M3882">
        <f>VLOOKUP(H3882,'Stage Order'!$A$2:$B$8,2,FALSE)</f>
        <v/>
      </c>
      <c r="N3882">
        <f>IF(G3882&lt;=1,"1. Under 1 hour",IF(G3882&lt;=24,"2. 1-24 hours",IF(G3882&lt;=72,"3. 1-3 days","4. Over 3 days")))</f>
        <v/>
      </c>
      <c r="O3882">
        <f>TEXT(B3882,"YYYY-MM")</f>
        <v/>
      </c>
    </row>
    <row r="3883">
      <c r="A3883" t="inlineStr">
        <is>
          <t>LD-303881</t>
        </is>
      </c>
      <c r="B3883" t="inlineStr">
        <is>
          <t>2025-01-08 10:08:00</t>
        </is>
      </c>
      <c r="C3883" t="inlineStr">
        <is>
          <t>Paid Search</t>
        </is>
      </c>
      <c r="D3883" t="inlineStr">
        <is>
          <t>K-12 Math</t>
        </is>
      </c>
      <c r="E3883" t="inlineStr">
        <is>
          <t>South Region</t>
        </is>
      </c>
      <c r="F3883" t="inlineStr">
        <is>
          <t>Rep_07</t>
        </is>
      </c>
      <c r="G3883" t="n">
        <v>2.95</v>
      </c>
      <c r="H3883" t="inlineStr">
        <is>
          <t>Contacted</t>
        </is>
      </c>
      <c r="I3883" t="inlineStr">
        <is>
          <t>Open</t>
        </is>
      </c>
      <c r="M3883">
        <f>VLOOKUP(H3883,'Stage Order'!$A$2:$B$8,2,FALSE)</f>
        <v/>
      </c>
      <c r="N3883">
        <f>IF(G3883&lt;=1,"1. Under 1 hour",IF(G3883&lt;=24,"2. 1-24 hours",IF(G3883&lt;=72,"3. 1-3 days","4. Over 3 days")))</f>
        <v/>
      </c>
      <c r="O3883">
        <f>TEXT(B3883,"YYYY-MM")</f>
        <v/>
      </c>
    </row>
    <row r="3884">
      <c r="A3884" t="inlineStr">
        <is>
          <t>LD-303882</t>
        </is>
      </c>
      <c r="B3884" t="inlineStr">
        <is>
          <t>2025-06-20 20:07:00</t>
        </is>
      </c>
      <c r="C3884" t="inlineStr">
        <is>
          <t>Organic Search</t>
        </is>
      </c>
      <c r="D3884" t="inlineStr">
        <is>
          <t>Study Abroad Prep</t>
        </is>
      </c>
      <c r="E3884" t="inlineStr">
        <is>
          <t>North Region</t>
        </is>
      </c>
      <c r="F3884" t="inlineStr">
        <is>
          <t>Rep_11</t>
        </is>
      </c>
      <c r="G3884" t="n">
        <v>5.69</v>
      </c>
      <c r="H3884" t="inlineStr">
        <is>
          <t>Contacted</t>
        </is>
      </c>
      <c r="I3884" t="inlineStr">
        <is>
          <t>Open</t>
        </is>
      </c>
      <c r="M3884">
        <f>VLOOKUP(H3884,'Stage Order'!$A$2:$B$8,2,FALSE)</f>
        <v/>
      </c>
      <c r="N3884">
        <f>IF(G3884&lt;=1,"1. Under 1 hour",IF(G3884&lt;=24,"2. 1-24 hours",IF(G3884&lt;=72,"3. 1-3 days","4. Over 3 days")))</f>
        <v/>
      </c>
      <c r="O3884">
        <f>TEXT(B3884,"YYYY-MM")</f>
        <v/>
      </c>
    </row>
    <row r="3885">
      <c r="A3885" t="inlineStr">
        <is>
          <t>LD-303883</t>
        </is>
      </c>
      <c r="B3885" t="inlineStr">
        <is>
          <t>2025-10-04 07:17:00</t>
        </is>
      </c>
      <c r="C3885" t="inlineStr">
        <is>
          <t>Partner Channel</t>
        </is>
      </c>
      <c r="D3885" t="inlineStr">
        <is>
          <t>Language Learning</t>
        </is>
      </c>
      <c r="E3885" t="inlineStr">
        <is>
          <t>East Region</t>
        </is>
      </c>
      <c r="F3885" t="inlineStr">
        <is>
          <t>Rep_04</t>
        </is>
      </c>
      <c r="G3885" t="n">
        <v>1.81</v>
      </c>
      <c r="H3885" t="inlineStr">
        <is>
          <t>Contacted</t>
        </is>
      </c>
      <c r="I3885" t="inlineStr">
        <is>
          <t>Open</t>
        </is>
      </c>
      <c r="M3885">
        <f>VLOOKUP(H3885,'Stage Order'!$A$2:$B$8,2,FALSE)</f>
        <v/>
      </c>
      <c r="N3885">
        <f>IF(G3885&lt;=1,"1. Under 1 hour",IF(G3885&lt;=24,"2. 1-24 hours",IF(G3885&lt;=72,"3. 1-3 days","4. Over 3 days")))</f>
        <v/>
      </c>
      <c r="O3885">
        <f>TEXT(B3885,"YYYY-MM")</f>
        <v/>
      </c>
    </row>
    <row r="3886">
      <c r="A3886" t="inlineStr">
        <is>
          <t>LD-303884</t>
        </is>
      </c>
      <c r="B3886" t="inlineStr">
        <is>
          <t>2026-03-23 19:43:00</t>
        </is>
      </c>
      <c r="C3886" t="inlineStr">
        <is>
          <t>Referral</t>
        </is>
      </c>
      <c r="D3886" t="inlineStr">
        <is>
          <t>Coding for Kids</t>
        </is>
      </c>
      <c r="E3886" t="inlineStr">
        <is>
          <t>South Region</t>
        </is>
      </c>
      <c r="F3886" t="inlineStr">
        <is>
          <t>Rep_12</t>
        </is>
      </c>
      <c r="G3886" t="n">
        <v>3.38</v>
      </c>
      <c r="H3886" t="inlineStr">
        <is>
          <t>Contacted</t>
        </is>
      </c>
      <c r="I3886" t="inlineStr">
        <is>
          <t>Open</t>
        </is>
      </c>
      <c r="M3886">
        <f>VLOOKUP(H3886,'Stage Order'!$A$2:$B$8,2,FALSE)</f>
        <v/>
      </c>
      <c r="N3886">
        <f>IF(G3886&lt;=1,"1. Under 1 hour",IF(G3886&lt;=24,"2. 1-24 hours",IF(G3886&lt;=72,"3. 1-3 days","4. Over 3 days")))</f>
        <v/>
      </c>
      <c r="O3886">
        <f>TEXT(B3886,"YYYY-MM")</f>
        <v/>
      </c>
    </row>
    <row r="3887">
      <c r="A3887" t="inlineStr">
        <is>
          <t>LD-303885</t>
        </is>
      </c>
      <c r="B3887" t="inlineStr">
        <is>
          <t>2025-12-01 20:37:00</t>
        </is>
      </c>
      <c r="C3887" t="inlineStr">
        <is>
          <t>Partner Channel</t>
        </is>
      </c>
      <c r="D3887" t="inlineStr">
        <is>
          <t>Study Abroad Prep</t>
        </is>
      </c>
      <c r="E3887" t="inlineStr">
        <is>
          <t>West Region</t>
        </is>
      </c>
      <c r="F3887" t="inlineStr">
        <is>
          <t>Rep_08</t>
        </is>
      </c>
      <c r="G3887" t="n">
        <v>0.19</v>
      </c>
      <c r="H3887" t="inlineStr">
        <is>
          <t>Closed</t>
        </is>
      </c>
      <c r="I3887" t="inlineStr">
        <is>
          <t>Won</t>
        </is>
      </c>
      <c r="K3887" t="n">
        <v>1351.07</v>
      </c>
      <c r="L3887" t="inlineStr">
        <is>
          <t>2026-01-12 19:33:22.792014</t>
        </is>
      </c>
      <c r="M3887">
        <f>VLOOKUP(H3887,'Stage Order'!$A$2:$B$8,2,FALSE)</f>
        <v/>
      </c>
      <c r="N3887">
        <f>IF(G3887&lt;=1,"1. Under 1 hour",IF(G3887&lt;=24,"2. 1-24 hours",IF(G3887&lt;=72,"3. 1-3 days","4. Over 3 days")))</f>
        <v/>
      </c>
      <c r="O3887">
        <f>TEXT(B3887,"YYYY-MM")</f>
        <v/>
      </c>
    </row>
    <row r="3888">
      <c r="A3888" t="inlineStr">
        <is>
          <t>LD-303886</t>
        </is>
      </c>
      <c r="B3888" t="inlineStr">
        <is>
          <t>2025-05-19 20:39:00</t>
        </is>
      </c>
      <c r="C3888" t="inlineStr">
        <is>
          <t>Webinar</t>
        </is>
      </c>
      <c r="D3888" t="inlineStr">
        <is>
          <t>Language Learning</t>
        </is>
      </c>
      <c r="E3888" t="inlineStr">
        <is>
          <t>North Region</t>
        </is>
      </c>
      <c r="F3888" t="inlineStr">
        <is>
          <t>Rep_06</t>
        </is>
      </c>
      <c r="G3888" t="n">
        <v>3.31</v>
      </c>
      <c r="H3888" t="inlineStr">
        <is>
          <t>Contacted</t>
        </is>
      </c>
      <c r="I3888" t="inlineStr">
        <is>
          <t>Open</t>
        </is>
      </c>
      <c r="M3888">
        <f>VLOOKUP(H3888,'Stage Order'!$A$2:$B$8,2,FALSE)</f>
        <v/>
      </c>
      <c r="N3888">
        <f>IF(G3888&lt;=1,"1. Under 1 hour",IF(G3888&lt;=24,"2. 1-24 hours",IF(G3888&lt;=72,"3. 1-3 days","4. Over 3 days")))</f>
        <v/>
      </c>
      <c r="O3888">
        <f>TEXT(B3888,"YYYY-MM")</f>
        <v/>
      </c>
    </row>
    <row r="3889">
      <c r="A3889" t="inlineStr">
        <is>
          <t>LD-303887</t>
        </is>
      </c>
      <c r="B3889" t="inlineStr">
        <is>
          <t>2025-02-28 19:58:00</t>
        </is>
      </c>
      <c r="C3889" t="inlineStr">
        <is>
          <t>Webinar</t>
        </is>
      </c>
      <c r="D3889" t="inlineStr">
        <is>
          <t>Language Learning</t>
        </is>
      </c>
      <c r="E3889" t="inlineStr">
        <is>
          <t>West Region</t>
        </is>
      </c>
      <c r="F3889" t="inlineStr">
        <is>
          <t>Rep_08</t>
        </is>
      </c>
      <c r="G3889" t="n">
        <v>1.96</v>
      </c>
      <c r="H3889" t="inlineStr">
        <is>
          <t>Contacted</t>
        </is>
      </c>
      <c r="I3889" t="inlineStr">
        <is>
          <t>Open</t>
        </is>
      </c>
      <c r="M3889">
        <f>VLOOKUP(H3889,'Stage Order'!$A$2:$B$8,2,FALSE)</f>
        <v/>
      </c>
      <c r="N3889">
        <f>IF(G3889&lt;=1,"1. Under 1 hour",IF(G3889&lt;=24,"2. 1-24 hours",IF(G3889&lt;=72,"3. 1-3 days","4. Over 3 days")))</f>
        <v/>
      </c>
      <c r="O3889">
        <f>TEXT(B3889,"YYYY-MM")</f>
        <v/>
      </c>
    </row>
    <row r="3890">
      <c r="A3890" t="inlineStr">
        <is>
          <t>LD-303888</t>
        </is>
      </c>
      <c r="B3890" t="inlineStr">
        <is>
          <t>2025-07-07 11:14:00</t>
        </is>
      </c>
      <c r="C3890" t="inlineStr">
        <is>
          <t>Cold Outreach</t>
        </is>
      </c>
      <c r="D3890" t="inlineStr">
        <is>
          <t>Coding for Kids</t>
        </is>
      </c>
      <c r="E3890" t="inlineStr">
        <is>
          <t>North Region</t>
        </is>
      </c>
      <c r="F3890" t="inlineStr">
        <is>
          <t>Rep_06</t>
        </is>
      </c>
      <c r="G3890" t="n">
        <v>2.13</v>
      </c>
      <c r="H3890" t="inlineStr">
        <is>
          <t>Lead</t>
        </is>
      </c>
      <c r="I3890" t="inlineStr">
        <is>
          <t>Open</t>
        </is>
      </c>
      <c r="M3890">
        <f>VLOOKUP(H3890,'Stage Order'!$A$2:$B$8,2,FALSE)</f>
        <v/>
      </c>
      <c r="N3890">
        <f>IF(G3890&lt;=1,"1. Under 1 hour",IF(G3890&lt;=24,"2. 1-24 hours",IF(G3890&lt;=72,"3. 1-3 days","4. Over 3 days")))</f>
        <v/>
      </c>
      <c r="O3890">
        <f>TEXT(B3890,"YYYY-MM")</f>
        <v/>
      </c>
    </row>
    <row r="3891">
      <c r="A3891" t="inlineStr">
        <is>
          <t>LD-303889</t>
        </is>
      </c>
      <c r="B3891" t="inlineStr">
        <is>
          <t>2026-05-10 19:38:00</t>
        </is>
      </c>
      <c r="C3891" t="inlineStr">
        <is>
          <t>Paid Search</t>
        </is>
      </c>
      <c r="D3891" t="inlineStr">
        <is>
          <t>Competitive Exam Prep</t>
        </is>
      </c>
      <c r="E3891" t="inlineStr">
        <is>
          <t>North Region</t>
        </is>
      </c>
      <c r="F3891" t="inlineStr">
        <is>
          <t>Rep_06</t>
        </is>
      </c>
      <c r="G3891" t="n">
        <v>2.84</v>
      </c>
      <c r="H3891" t="inlineStr">
        <is>
          <t>Lead</t>
        </is>
      </c>
      <c r="I3891" t="inlineStr">
        <is>
          <t>Open</t>
        </is>
      </c>
      <c r="M3891">
        <f>VLOOKUP(H3891,'Stage Order'!$A$2:$B$8,2,FALSE)</f>
        <v/>
      </c>
      <c r="N3891">
        <f>IF(G3891&lt;=1,"1. Under 1 hour",IF(G3891&lt;=24,"2. 1-24 hours",IF(G3891&lt;=72,"3. 1-3 days","4. Over 3 days")))</f>
        <v/>
      </c>
      <c r="O3891">
        <f>TEXT(B3891,"YYYY-MM")</f>
        <v/>
      </c>
    </row>
    <row r="3892">
      <c r="A3892" t="inlineStr">
        <is>
          <t>LD-303890</t>
        </is>
      </c>
      <c r="B3892" t="inlineStr">
        <is>
          <t>2025-06-06 17:10:00</t>
        </is>
      </c>
      <c r="C3892" t="inlineStr">
        <is>
          <t>Organic Search</t>
        </is>
      </c>
      <c r="D3892" t="inlineStr">
        <is>
          <t>K-12 Math</t>
        </is>
      </c>
      <c r="E3892" t="inlineStr">
        <is>
          <t>South Region</t>
        </is>
      </c>
      <c r="F3892" t="inlineStr">
        <is>
          <t>Rep_07</t>
        </is>
      </c>
      <c r="G3892" t="n">
        <v>4.77</v>
      </c>
      <c r="H3892" t="inlineStr">
        <is>
          <t>Contacted</t>
        </is>
      </c>
      <c r="I3892" t="inlineStr">
        <is>
          <t>Open</t>
        </is>
      </c>
      <c r="M3892">
        <f>VLOOKUP(H3892,'Stage Order'!$A$2:$B$8,2,FALSE)</f>
        <v/>
      </c>
      <c r="N3892">
        <f>IF(G3892&lt;=1,"1. Under 1 hour",IF(G3892&lt;=24,"2. 1-24 hours",IF(G3892&lt;=72,"3. 1-3 days","4. Over 3 days")))</f>
        <v/>
      </c>
      <c r="O3892">
        <f>TEXT(B3892,"YYYY-MM")</f>
        <v/>
      </c>
    </row>
    <row r="3893">
      <c r="A3893" t="inlineStr">
        <is>
          <t>LD-303891</t>
        </is>
      </c>
      <c r="B3893" t="inlineStr">
        <is>
          <t>2026-01-30 12:58:00</t>
        </is>
      </c>
      <c r="C3893" t="inlineStr">
        <is>
          <t>Referral</t>
        </is>
      </c>
      <c r="D3893" t="inlineStr">
        <is>
          <t>Competitive Exam Prep</t>
        </is>
      </c>
      <c r="E3893" t="inlineStr">
        <is>
          <t>South Region</t>
        </is>
      </c>
      <c r="F3893" t="inlineStr">
        <is>
          <t>Rep_02</t>
        </is>
      </c>
      <c r="G3893" t="n">
        <v>0.52</v>
      </c>
      <c r="H3893" t="inlineStr">
        <is>
          <t>Closed</t>
        </is>
      </c>
      <c r="I3893" t="inlineStr">
        <is>
          <t>Won</t>
        </is>
      </c>
      <c r="K3893" t="n">
        <v>1158.59</v>
      </c>
      <c r="L3893" t="inlineStr">
        <is>
          <t>2026-03-09 00:47:30.776171</t>
        </is>
      </c>
      <c r="M3893">
        <f>VLOOKUP(H3893,'Stage Order'!$A$2:$B$8,2,FALSE)</f>
        <v/>
      </c>
      <c r="N3893">
        <f>IF(G3893&lt;=1,"1. Under 1 hour",IF(G3893&lt;=24,"2. 1-24 hours",IF(G3893&lt;=72,"3. 1-3 days","4. Over 3 days")))</f>
        <v/>
      </c>
      <c r="O3893">
        <f>TEXT(B3893,"YYYY-MM")</f>
        <v/>
      </c>
    </row>
    <row r="3894">
      <c r="A3894" t="inlineStr">
        <is>
          <t>LD-303892</t>
        </is>
      </c>
      <c r="B3894" t="inlineStr">
        <is>
          <t>2026-06-24 15:22:00</t>
        </is>
      </c>
      <c r="C3894" t="inlineStr">
        <is>
          <t>Organic Search</t>
        </is>
      </c>
      <c r="D3894" t="inlineStr">
        <is>
          <t>Coding for Kids</t>
        </is>
      </c>
      <c r="E3894" t="inlineStr">
        <is>
          <t>North Region</t>
        </is>
      </c>
      <c r="F3894" t="inlineStr">
        <is>
          <t>Rep_11</t>
        </is>
      </c>
      <c r="G3894" t="n">
        <v>1.48</v>
      </c>
      <c r="H3894" t="inlineStr">
        <is>
          <t>Closed</t>
        </is>
      </c>
      <c r="I3894" t="inlineStr">
        <is>
          <t>Won</t>
        </is>
      </c>
      <c r="K3894" t="n">
        <v>767.37</v>
      </c>
      <c r="L3894" t="inlineStr">
        <is>
          <t>2026-08-07 02:00:52.250257</t>
        </is>
      </c>
      <c r="M3894">
        <f>VLOOKUP(H3894,'Stage Order'!$A$2:$B$8,2,FALSE)</f>
        <v/>
      </c>
      <c r="N3894">
        <f>IF(G3894&lt;=1,"1. Under 1 hour",IF(G3894&lt;=24,"2. 1-24 hours",IF(G3894&lt;=72,"3. 1-3 days","4. Over 3 days")))</f>
        <v/>
      </c>
      <c r="O3894">
        <f>TEXT(B3894,"YYYY-MM")</f>
        <v/>
      </c>
    </row>
    <row r="3895">
      <c r="A3895" t="inlineStr">
        <is>
          <t>LD-303893</t>
        </is>
      </c>
      <c r="B3895" t="inlineStr">
        <is>
          <t>2025-11-10 12:40:00</t>
        </is>
      </c>
      <c r="C3895" t="inlineStr">
        <is>
          <t>Social Media</t>
        </is>
      </c>
      <c r="D3895" t="inlineStr">
        <is>
          <t>K-12 Math</t>
        </is>
      </c>
      <c r="E3895" t="inlineStr">
        <is>
          <t>West Region</t>
        </is>
      </c>
      <c r="F3895" t="inlineStr">
        <is>
          <t>Rep_08</t>
        </is>
      </c>
      <c r="G3895" t="n">
        <v>1.59</v>
      </c>
      <c r="H3895" t="inlineStr">
        <is>
          <t>Demo Completed</t>
        </is>
      </c>
      <c r="I3895" t="inlineStr">
        <is>
          <t>Lost</t>
        </is>
      </c>
      <c r="J3895" t="inlineStr">
        <is>
          <t>Bad Timing</t>
        </is>
      </c>
      <c r="K3895" t="n">
        <v>487.62</v>
      </c>
      <c r="L3895" t="inlineStr">
        <is>
          <t>2025-12-07 06:18:39.672232</t>
        </is>
      </c>
      <c r="M3895">
        <f>VLOOKUP(H3895,'Stage Order'!$A$2:$B$8,2,FALSE)</f>
        <v/>
      </c>
      <c r="N3895">
        <f>IF(G3895&lt;=1,"1. Under 1 hour",IF(G3895&lt;=24,"2. 1-24 hours",IF(G3895&lt;=72,"3. 1-3 days","4. Over 3 days")))</f>
        <v/>
      </c>
      <c r="O3895">
        <f>TEXT(B3895,"YYYY-MM")</f>
        <v/>
      </c>
    </row>
    <row r="3896">
      <c r="A3896" t="inlineStr">
        <is>
          <t>LD-303894</t>
        </is>
      </c>
      <c r="B3896" t="inlineStr">
        <is>
          <t>2025-01-31 07:06:00</t>
        </is>
      </c>
      <c r="C3896" t="inlineStr">
        <is>
          <t>Partner Channel</t>
        </is>
      </c>
      <c r="D3896" t="inlineStr">
        <is>
          <t>Competitive Exam Prep</t>
        </is>
      </c>
      <c r="E3896" t="inlineStr">
        <is>
          <t>North Region</t>
        </is>
      </c>
      <c r="F3896" t="inlineStr">
        <is>
          <t>Rep_11</t>
        </is>
      </c>
      <c r="G3896" t="n">
        <v>1.68</v>
      </c>
      <c r="H3896" t="inlineStr">
        <is>
          <t>Proposal Sent</t>
        </is>
      </c>
      <c r="I3896" t="inlineStr">
        <is>
          <t>Lost</t>
        </is>
      </c>
      <c r="J3896" t="inlineStr">
        <is>
          <t>Price Objection</t>
        </is>
      </c>
      <c r="K3896" t="n">
        <v>1046.62</v>
      </c>
      <c r="L3896" t="inlineStr">
        <is>
          <t>2025-03-15 01:03:41.385189</t>
        </is>
      </c>
      <c r="M3896">
        <f>VLOOKUP(H3896,'Stage Order'!$A$2:$B$8,2,FALSE)</f>
        <v/>
      </c>
      <c r="N3896">
        <f>IF(G3896&lt;=1,"1. Under 1 hour",IF(G3896&lt;=24,"2. 1-24 hours",IF(G3896&lt;=72,"3. 1-3 days","4. Over 3 days")))</f>
        <v/>
      </c>
      <c r="O3896">
        <f>TEXT(B3896,"YYYY-MM")</f>
        <v/>
      </c>
    </row>
    <row r="3897">
      <c r="A3897" t="inlineStr">
        <is>
          <t>LD-303895</t>
        </is>
      </c>
      <c r="B3897" t="inlineStr">
        <is>
          <t>2026-01-02 15:16:00</t>
        </is>
      </c>
      <c r="C3897" t="inlineStr">
        <is>
          <t>Social Media</t>
        </is>
      </c>
      <c r="D3897" t="inlineStr">
        <is>
          <t>K-12 Math</t>
        </is>
      </c>
      <c r="E3897" t="inlineStr">
        <is>
          <t>West Region</t>
        </is>
      </c>
      <c r="F3897" t="inlineStr">
        <is>
          <t>Rep_03</t>
        </is>
      </c>
      <c r="G3897" t="n">
        <v>1.02</v>
      </c>
      <c r="H3897" t="inlineStr">
        <is>
          <t>Contacted</t>
        </is>
      </c>
      <c r="I3897" t="inlineStr">
        <is>
          <t>Open</t>
        </is>
      </c>
      <c r="M3897">
        <f>VLOOKUP(H3897,'Stage Order'!$A$2:$B$8,2,FALSE)</f>
        <v/>
      </c>
      <c r="N3897">
        <f>IF(G3897&lt;=1,"1. Under 1 hour",IF(G3897&lt;=24,"2. 1-24 hours",IF(G3897&lt;=72,"3. 1-3 days","4. Over 3 days")))</f>
        <v/>
      </c>
      <c r="O3897">
        <f>TEXT(B3897,"YYYY-MM")</f>
        <v/>
      </c>
    </row>
    <row r="3898">
      <c r="A3898" t="inlineStr">
        <is>
          <t>LD-303896</t>
        </is>
      </c>
      <c r="B3898" t="inlineStr">
        <is>
          <t>2025-09-26 20:56:00</t>
        </is>
      </c>
      <c r="C3898" t="inlineStr">
        <is>
          <t>Cold Outreach</t>
        </is>
      </c>
      <c r="D3898" t="inlineStr">
        <is>
          <t>Competitive Exam Prep</t>
        </is>
      </c>
      <c r="E3898" t="inlineStr">
        <is>
          <t>West Region</t>
        </is>
      </c>
      <c r="F3898" t="inlineStr">
        <is>
          <t>Rep_13</t>
        </is>
      </c>
      <c r="G3898" t="n">
        <v>0.99</v>
      </c>
      <c r="H3898" t="inlineStr">
        <is>
          <t>Contacted</t>
        </is>
      </c>
      <c r="I3898" t="inlineStr">
        <is>
          <t>Open</t>
        </is>
      </c>
      <c r="M3898">
        <f>VLOOKUP(H3898,'Stage Order'!$A$2:$B$8,2,FALSE)</f>
        <v/>
      </c>
      <c r="N3898">
        <f>IF(G3898&lt;=1,"1. Under 1 hour",IF(G3898&lt;=24,"2. 1-24 hours",IF(G3898&lt;=72,"3. 1-3 days","4. Over 3 days")))</f>
        <v/>
      </c>
      <c r="O3898">
        <f>TEXT(B3898,"YYYY-MM")</f>
        <v/>
      </c>
    </row>
    <row r="3899">
      <c r="A3899" t="inlineStr">
        <is>
          <t>LD-303897</t>
        </is>
      </c>
      <c r="B3899" t="inlineStr">
        <is>
          <t>2026-04-29 10:52:00</t>
        </is>
      </c>
      <c r="C3899" t="inlineStr">
        <is>
          <t>Referral</t>
        </is>
      </c>
      <c r="D3899" t="inlineStr">
        <is>
          <t>Language Learning</t>
        </is>
      </c>
      <c r="E3899" t="inlineStr">
        <is>
          <t>West Region</t>
        </is>
      </c>
      <c r="F3899" t="inlineStr">
        <is>
          <t>Rep_03</t>
        </is>
      </c>
      <c r="G3899" t="n">
        <v>1.2</v>
      </c>
      <c r="H3899" t="inlineStr">
        <is>
          <t>Closed</t>
        </is>
      </c>
      <c r="I3899" t="inlineStr">
        <is>
          <t>Won</t>
        </is>
      </c>
      <c r="K3899" t="n">
        <v>409.66</v>
      </c>
      <c r="L3899" t="inlineStr">
        <is>
          <t>2026-06-03 15:38:24.186820</t>
        </is>
      </c>
      <c r="M3899">
        <f>VLOOKUP(H3899,'Stage Order'!$A$2:$B$8,2,FALSE)</f>
        <v/>
      </c>
      <c r="N3899">
        <f>IF(G3899&lt;=1,"1. Under 1 hour",IF(G3899&lt;=24,"2. 1-24 hours",IF(G3899&lt;=72,"3. 1-3 days","4. Over 3 days")))</f>
        <v/>
      </c>
      <c r="O3899">
        <f>TEXT(B3899,"YYYY-MM")</f>
        <v/>
      </c>
    </row>
    <row r="3900">
      <c r="A3900" t="inlineStr">
        <is>
          <t>LD-303898</t>
        </is>
      </c>
      <c r="B3900" t="inlineStr">
        <is>
          <t>2025-05-23 10:50:00</t>
        </is>
      </c>
      <c r="C3900" t="inlineStr">
        <is>
          <t>Paid Search</t>
        </is>
      </c>
      <c r="D3900" t="inlineStr">
        <is>
          <t>Coding for Kids</t>
        </is>
      </c>
      <c r="E3900" t="inlineStr">
        <is>
          <t>North Region</t>
        </is>
      </c>
      <c r="F3900" t="inlineStr">
        <is>
          <t>Rep_01</t>
        </is>
      </c>
      <c r="G3900" t="n">
        <v>3.55</v>
      </c>
      <c r="H3900" t="inlineStr">
        <is>
          <t>Proposal Sent</t>
        </is>
      </c>
      <c r="I3900" t="inlineStr">
        <is>
          <t>Lost</t>
        </is>
      </c>
      <c r="J3900" t="inlineStr">
        <is>
          <t>Bad Timing</t>
        </is>
      </c>
      <c r="K3900" t="n">
        <v>620.5</v>
      </c>
      <c r="L3900" t="inlineStr">
        <is>
          <t>2025-06-25 22:18:56.063682</t>
        </is>
      </c>
      <c r="M3900">
        <f>VLOOKUP(H3900,'Stage Order'!$A$2:$B$8,2,FALSE)</f>
        <v/>
      </c>
      <c r="N3900">
        <f>IF(G3900&lt;=1,"1. Under 1 hour",IF(G3900&lt;=24,"2. 1-24 hours",IF(G3900&lt;=72,"3. 1-3 days","4. Over 3 days")))</f>
        <v/>
      </c>
      <c r="O3900">
        <f>TEXT(B3900,"YYYY-MM")</f>
        <v/>
      </c>
    </row>
    <row r="3901">
      <c r="A3901" t="inlineStr">
        <is>
          <t>LD-303899</t>
        </is>
      </c>
      <c r="B3901" t="inlineStr">
        <is>
          <t>2025-12-18 15:15:00</t>
        </is>
      </c>
      <c r="C3901" t="inlineStr">
        <is>
          <t>Organic Search</t>
        </is>
      </c>
      <c r="D3901" t="inlineStr">
        <is>
          <t>Competitive Exam Prep</t>
        </is>
      </c>
      <c r="E3901" t="inlineStr">
        <is>
          <t>West Region</t>
        </is>
      </c>
      <c r="F3901" t="inlineStr">
        <is>
          <t>Rep_03</t>
        </is>
      </c>
      <c r="G3901" t="n">
        <v>7.31</v>
      </c>
      <c r="H3901" t="inlineStr">
        <is>
          <t>Contacted</t>
        </is>
      </c>
      <c r="I3901" t="inlineStr">
        <is>
          <t>Open</t>
        </is>
      </c>
      <c r="M3901">
        <f>VLOOKUP(H3901,'Stage Order'!$A$2:$B$8,2,FALSE)</f>
        <v/>
      </c>
      <c r="N3901">
        <f>IF(G3901&lt;=1,"1. Under 1 hour",IF(G3901&lt;=24,"2. 1-24 hours",IF(G3901&lt;=72,"3. 1-3 days","4. Over 3 days")))</f>
        <v/>
      </c>
      <c r="O3901">
        <f>TEXT(B3901,"YYYY-MM")</f>
        <v/>
      </c>
    </row>
    <row r="3902">
      <c r="A3902" t="inlineStr">
        <is>
          <t>LD-303900</t>
        </is>
      </c>
      <c r="B3902" t="inlineStr">
        <is>
          <t>2026-05-12 09:33:00</t>
        </is>
      </c>
      <c r="C3902" t="inlineStr">
        <is>
          <t>Social Media</t>
        </is>
      </c>
      <c r="D3902" t="inlineStr">
        <is>
          <t>Competitive Exam Prep</t>
        </is>
      </c>
      <c r="E3902" t="inlineStr">
        <is>
          <t>South Region</t>
        </is>
      </c>
      <c r="F3902" t="inlineStr">
        <is>
          <t>Rep_12</t>
        </is>
      </c>
      <c r="G3902" t="n">
        <v>2.06</v>
      </c>
      <c r="H3902" t="inlineStr">
        <is>
          <t>Closed</t>
        </is>
      </c>
      <c r="I3902" t="inlineStr">
        <is>
          <t>Won</t>
        </is>
      </c>
      <c r="K3902" t="n">
        <v>907.55</v>
      </c>
      <c r="L3902" t="inlineStr">
        <is>
          <t>2026-06-20 17:37:55.486418</t>
        </is>
      </c>
      <c r="M3902">
        <f>VLOOKUP(H3902,'Stage Order'!$A$2:$B$8,2,FALSE)</f>
        <v/>
      </c>
      <c r="N3902">
        <f>IF(G3902&lt;=1,"1. Under 1 hour",IF(G3902&lt;=24,"2. 1-24 hours",IF(G3902&lt;=72,"3. 1-3 days","4. Over 3 days")))</f>
        <v/>
      </c>
      <c r="O3902">
        <f>TEXT(B3902,"YYYY-MM")</f>
        <v/>
      </c>
    </row>
    <row r="3903">
      <c r="A3903" t="inlineStr">
        <is>
          <t>LD-303901</t>
        </is>
      </c>
      <c r="B3903" t="inlineStr">
        <is>
          <t>2025-06-01 19:11:00</t>
        </is>
      </c>
      <c r="C3903" t="inlineStr">
        <is>
          <t>Organic Search</t>
        </is>
      </c>
      <c r="D3903" t="inlineStr">
        <is>
          <t>Language Learning</t>
        </is>
      </c>
      <c r="E3903" t="inlineStr">
        <is>
          <t>West Region</t>
        </is>
      </c>
      <c r="F3903" t="inlineStr">
        <is>
          <t>Rep_08</t>
        </is>
      </c>
      <c r="G3903" t="n">
        <v>5.53</v>
      </c>
      <c r="H3903" t="inlineStr">
        <is>
          <t>Negotiation</t>
        </is>
      </c>
      <c r="I3903" t="inlineStr">
        <is>
          <t>Lost</t>
        </is>
      </c>
      <c r="J3903" t="inlineStr">
        <is>
          <t>Price Objection</t>
        </is>
      </c>
      <c r="K3903" t="n">
        <v>304.98</v>
      </c>
      <c r="L3903" t="inlineStr">
        <is>
          <t>2025-07-03 00:16:36.450218</t>
        </is>
      </c>
      <c r="M3903">
        <f>VLOOKUP(H3903,'Stage Order'!$A$2:$B$8,2,FALSE)</f>
        <v/>
      </c>
      <c r="N3903">
        <f>IF(G3903&lt;=1,"1. Under 1 hour",IF(G3903&lt;=24,"2. 1-24 hours",IF(G3903&lt;=72,"3. 1-3 days","4. Over 3 days")))</f>
        <v/>
      </c>
      <c r="O3903">
        <f>TEXT(B3903,"YYYY-MM")</f>
        <v/>
      </c>
    </row>
    <row r="3904">
      <c r="A3904" t="inlineStr">
        <is>
          <t>LD-303902</t>
        </is>
      </c>
      <c r="B3904" t="inlineStr">
        <is>
          <t>2025-02-27 15:11:00</t>
        </is>
      </c>
      <c r="C3904" t="inlineStr">
        <is>
          <t>Social Media</t>
        </is>
      </c>
      <c r="D3904" t="inlineStr">
        <is>
          <t>K-12 Math</t>
        </is>
      </c>
      <c r="E3904" t="inlineStr">
        <is>
          <t>East Region</t>
        </is>
      </c>
      <c r="F3904" t="inlineStr">
        <is>
          <t>Rep_14</t>
        </is>
      </c>
      <c r="G3904" t="n">
        <v>6.74</v>
      </c>
      <c r="H3904" t="inlineStr">
        <is>
          <t>Demo Scheduled</t>
        </is>
      </c>
      <c r="I3904" t="inlineStr">
        <is>
          <t>Open</t>
        </is>
      </c>
      <c r="M3904">
        <f>VLOOKUP(H3904,'Stage Order'!$A$2:$B$8,2,FALSE)</f>
        <v/>
      </c>
      <c r="N3904">
        <f>IF(G3904&lt;=1,"1. Under 1 hour",IF(G3904&lt;=24,"2. 1-24 hours",IF(G3904&lt;=72,"3. 1-3 days","4. Over 3 days")))</f>
        <v/>
      </c>
      <c r="O3904">
        <f>TEXT(B3904,"YYYY-MM")</f>
        <v/>
      </c>
    </row>
    <row r="3905">
      <c r="A3905" t="inlineStr">
        <is>
          <t>LD-303903</t>
        </is>
      </c>
      <c r="B3905" t="inlineStr">
        <is>
          <t>2025-12-10 17:24:00</t>
        </is>
      </c>
      <c r="C3905" t="inlineStr">
        <is>
          <t>Partner Channel</t>
        </is>
      </c>
      <c r="D3905" t="inlineStr">
        <is>
          <t>Coding for Kids</t>
        </is>
      </c>
      <c r="E3905" t="inlineStr">
        <is>
          <t>South Region</t>
        </is>
      </c>
      <c r="F3905" t="inlineStr">
        <is>
          <t>Rep_12</t>
        </is>
      </c>
      <c r="G3905" t="n">
        <v>1.98</v>
      </c>
      <c r="H3905" t="inlineStr">
        <is>
          <t>Closed</t>
        </is>
      </c>
      <c r="I3905" t="inlineStr">
        <is>
          <t>Won</t>
        </is>
      </c>
      <c r="K3905" t="n">
        <v>752.3</v>
      </c>
      <c r="L3905" t="inlineStr">
        <is>
          <t>2026-01-10 05:06:20.759330</t>
        </is>
      </c>
      <c r="M3905">
        <f>VLOOKUP(H3905,'Stage Order'!$A$2:$B$8,2,FALSE)</f>
        <v/>
      </c>
      <c r="N3905">
        <f>IF(G3905&lt;=1,"1. Under 1 hour",IF(G3905&lt;=24,"2. 1-24 hours",IF(G3905&lt;=72,"3. 1-3 days","4. Over 3 days")))</f>
        <v/>
      </c>
      <c r="O3905">
        <f>TEXT(B3905,"YYYY-MM")</f>
        <v/>
      </c>
    </row>
    <row r="3906">
      <c r="A3906" t="inlineStr">
        <is>
          <t>LD-303904</t>
        </is>
      </c>
      <c r="B3906" t="inlineStr">
        <is>
          <t>2025-07-18 10:28:00</t>
        </is>
      </c>
      <c r="C3906" t="inlineStr">
        <is>
          <t>Paid Search</t>
        </is>
      </c>
      <c r="D3906" t="inlineStr">
        <is>
          <t>Study Abroad Prep</t>
        </is>
      </c>
      <c r="E3906" t="inlineStr">
        <is>
          <t>South Region</t>
        </is>
      </c>
      <c r="F3906" t="inlineStr">
        <is>
          <t>Rep_02</t>
        </is>
      </c>
      <c r="G3906" t="n">
        <v>1.43</v>
      </c>
      <c r="H3906" t="inlineStr">
        <is>
          <t>Proposal Sent</t>
        </is>
      </c>
      <c r="I3906" t="inlineStr">
        <is>
          <t>Lost</t>
        </is>
      </c>
      <c r="J3906" t="inlineStr">
        <is>
          <t>Went With Competitor</t>
        </is>
      </c>
      <c r="K3906" t="n">
        <v>1682.82</v>
      </c>
      <c r="L3906" t="inlineStr">
        <is>
          <t>2025-08-18 16:21:42.465288</t>
        </is>
      </c>
      <c r="M3906">
        <f>VLOOKUP(H3906,'Stage Order'!$A$2:$B$8,2,FALSE)</f>
        <v/>
      </c>
      <c r="N3906">
        <f>IF(G3906&lt;=1,"1. Under 1 hour",IF(G3906&lt;=24,"2. 1-24 hours",IF(G3906&lt;=72,"3. 1-3 days","4. Over 3 days")))</f>
        <v/>
      </c>
      <c r="O3906">
        <f>TEXT(B3906,"YYYY-MM")</f>
        <v/>
      </c>
    </row>
    <row r="3907">
      <c r="A3907" t="inlineStr">
        <is>
          <t>LD-303905</t>
        </is>
      </c>
      <c r="B3907" t="inlineStr">
        <is>
          <t>2026-02-05 13:58:00</t>
        </is>
      </c>
      <c r="C3907" t="inlineStr">
        <is>
          <t>Paid Search</t>
        </is>
      </c>
      <c r="D3907" t="inlineStr">
        <is>
          <t>Competitive Exam Prep</t>
        </is>
      </c>
      <c r="E3907" t="inlineStr">
        <is>
          <t>South Region</t>
        </is>
      </c>
      <c r="F3907" t="inlineStr">
        <is>
          <t>Rep_02</t>
        </is>
      </c>
      <c r="G3907" t="n">
        <v>10.01</v>
      </c>
      <c r="H3907" t="inlineStr">
        <is>
          <t>Proposal Sent</t>
        </is>
      </c>
      <c r="I3907" t="inlineStr">
        <is>
          <t>Lost</t>
        </is>
      </c>
      <c r="J3907" t="inlineStr">
        <is>
          <t>Went With Competitor</t>
        </is>
      </c>
      <c r="K3907" t="n">
        <v>962.95</v>
      </c>
      <c r="L3907" t="inlineStr">
        <is>
          <t>2026-03-25 09:56:13.641471</t>
        </is>
      </c>
      <c r="M3907">
        <f>VLOOKUP(H3907,'Stage Order'!$A$2:$B$8,2,FALSE)</f>
        <v/>
      </c>
      <c r="N3907">
        <f>IF(G3907&lt;=1,"1. Under 1 hour",IF(G3907&lt;=24,"2. 1-24 hours",IF(G3907&lt;=72,"3. 1-3 days","4. Over 3 days")))</f>
        <v/>
      </c>
      <c r="O3907">
        <f>TEXT(B3907,"YYYY-MM")</f>
        <v/>
      </c>
    </row>
    <row r="3908">
      <c r="A3908" t="inlineStr">
        <is>
          <t>LD-303906</t>
        </is>
      </c>
      <c r="B3908" t="inlineStr">
        <is>
          <t>2026-02-22 07:10:00</t>
        </is>
      </c>
      <c r="C3908" t="inlineStr">
        <is>
          <t>Referral</t>
        </is>
      </c>
      <c r="D3908" t="inlineStr">
        <is>
          <t>Coding for Kids</t>
        </is>
      </c>
      <c r="E3908" t="inlineStr">
        <is>
          <t>East Region</t>
        </is>
      </c>
      <c r="F3908" t="inlineStr">
        <is>
          <t>Rep_09</t>
        </is>
      </c>
      <c r="G3908" t="n">
        <v>10.39</v>
      </c>
      <c r="H3908" t="inlineStr">
        <is>
          <t>Contacted</t>
        </is>
      </c>
      <c r="I3908" t="inlineStr">
        <is>
          <t>Open</t>
        </is>
      </c>
      <c r="M3908">
        <f>VLOOKUP(H3908,'Stage Order'!$A$2:$B$8,2,FALSE)</f>
        <v/>
      </c>
      <c r="N3908">
        <f>IF(G3908&lt;=1,"1. Under 1 hour",IF(G3908&lt;=24,"2. 1-24 hours",IF(G3908&lt;=72,"3. 1-3 days","4. Over 3 days")))</f>
        <v/>
      </c>
      <c r="O3908">
        <f>TEXT(B3908,"YYYY-MM")</f>
        <v/>
      </c>
    </row>
    <row r="3909">
      <c r="A3909" t="inlineStr">
        <is>
          <t>LD-303907</t>
        </is>
      </c>
      <c r="B3909" t="inlineStr">
        <is>
          <t>2026-03-13 14:52:00</t>
        </is>
      </c>
      <c r="C3909" t="inlineStr">
        <is>
          <t>Social Media</t>
        </is>
      </c>
      <c r="D3909" t="inlineStr">
        <is>
          <t>Coding for Kids</t>
        </is>
      </c>
      <c r="E3909" t="inlineStr">
        <is>
          <t>North Region</t>
        </is>
      </c>
      <c r="F3909" t="inlineStr">
        <is>
          <t>Rep_11</t>
        </is>
      </c>
      <c r="G3909" t="n">
        <v>2.09</v>
      </c>
      <c r="H3909" t="inlineStr">
        <is>
          <t>Closed</t>
        </is>
      </c>
      <c r="I3909" t="inlineStr">
        <is>
          <t>Won</t>
        </is>
      </c>
      <c r="K3909" t="n">
        <v>753.15</v>
      </c>
      <c r="L3909" t="inlineStr">
        <is>
          <t>2026-04-22 23:17:29.727357</t>
        </is>
      </c>
      <c r="M3909">
        <f>VLOOKUP(H3909,'Stage Order'!$A$2:$B$8,2,FALSE)</f>
        <v/>
      </c>
      <c r="N3909">
        <f>IF(G3909&lt;=1,"1. Under 1 hour",IF(G3909&lt;=24,"2. 1-24 hours",IF(G3909&lt;=72,"3. 1-3 days","4. Over 3 days")))</f>
        <v/>
      </c>
      <c r="O3909">
        <f>TEXT(B3909,"YYYY-MM")</f>
        <v/>
      </c>
    </row>
    <row r="3910">
      <c r="A3910" t="inlineStr">
        <is>
          <t>LD-303908</t>
        </is>
      </c>
      <c r="B3910" t="inlineStr">
        <is>
          <t>2026-01-25 13:59:00</t>
        </is>
      </c>
      <c r="C3910" t="inlineStr">
        <is>
          <t>Paid Search</t>
        </is>
      </c>
      <c r="D3910" t="inlineStr">
        <is>
          <t>Competitive Exam Prep</t>
        </is>
      </c>
      <c r="E3910" t="inlineStr">
        <is>
          <t>West Region</t>
        </is>
      </c>
      <c r="F3910" t="inlineStr">
        <is>
          <t>Rep_03</t>
        </is>
      </c>
      <c r="G3910" t="n">
        <v>1.17</v>
      </c>
      <c r="H3910" t="inlineStr">
        <is>
          <t>Lead</t>
        </is>
      </c>
      <c r="I3910" t="inlineStr">
        <is>
          <t>Open</t>
        </is>
      </c>
      <c r="M3910">
        <f>VLOOKUP(H3910,'Stage Order'!$A$2:$B$8,2,FALSE)</f>
        <v/>
      </c>
      <c r="N3910">
        <f>IF(G3910&lt;=1,"1. Under 1 hour",IF(G3910&lt;=24,"2. 1-24 hours",IF(G3910&lt;=72,"3. 1-3 days","4. Over 3 days")))</f>
        <v/>
      </c>
      <c r="O3910">
        <f>TEXT(B3910,"YYYY-MM")</f>
        <v/>
      </c>
    </row>
    <row r="3911">
      <c r="A3911" t="inlineStr">
        <is>
          <t>LD-303909</t>
        </is>
      </c>
      <c r="B3911" t="inlineStr">
        <is>
          <t>2025-06-13 11:29:00</t>
        </is>
      </c>
      <c r="C3911" t="inlineStr">
        <is>
          <t>Organic Search</t>
        </is>
      </c>
      <c r="D3911" t="inlineStr">
        <is>
          <t>K-12 Math</t>
        </is>
      </c>
      <c r="E3911" t="inlineStr">
        <is>
          <t>South Region</t>
        </is>
      </c>
      <c r="F3911" t="inlineStr">
        <is>
          <t>Rep_12</t>
        </is>
      </c>
      <c r="G3911" t="n">
        <v>1.64</v>
      </c>
      <c r="H3911" t="inlineStr">
        <is>
          <t>Contacted</t>
        </is>
      </c>
      <c r="I3911" t="inlineStr">
        <is>
          <t>Open</t>
        </is>
      </c>
      <c r="M3911">
        <f>VLOOKUP(H3911,'Stage Order'!$A$2:$B$8,2,FALSE)</f>
        <v/>
      </c>
      <c r="N3911">
        <f>IF(G3911&lt;=1,"1. Under 1 hour",IF(G3911&lt;=24,"2. 1-24 hours",IF(G3911&lt;=72,"3. 1-3 days","4. Over 3 days")))</f>
        <v/>
      </c>
      <c r="O3911">
        <f>TEXT(B3911,"YYYY-MM")</f>
        <v/>
      </c>
    </row>
    <row r="3912">
      <c r="A3912" t="inlineStr">
        <is>
          <t>LD-303910</t>
        </is>
      </c>
      <c r="B3912" t="inlineStr">
        <is>
          <t>2025-02-26 10:22:00</t>
        </is>
      </c>
      <c r="C3912" t="inlineStr">
        <is>
          <t>Paid Search</t>
        </is>
      </c>
      <c r="D3912" t="inlineStr">
        <is>
          <t>Study Abroad Prep</t>
        </is>
      </c>
      <c r="E3912" t="inlineStr">
        <is>
          <t>West Region</t>
        </is>
      </c>
      <c r="F3912" t="inlineStr">
        <is>
          <t>Rep_03</t>
        </is>
      </c>
      <c r="G3912" t="n">
        <v>1.55</v>
      </c>
      <c r="H3912" t="inlineStr">
        <is>
          <t>Proposal Sent</t>
        </is>
      </c>
      <c r="I3912" t="inlineStr">
        <is>
          <t>Lost</t>
        </is>
      </c>
      <c r="J3912" t="inlineStr">
        <is>
          <t>Price Objection</t>
        </is>
      </c>
      <c r="K3912" t="n">
        <v>1376.98</v>
      </c>
      <c r="L3912" t="inlineStr">
        <is>
          <t>2025-03-18 06:09:19.705231</t>
        </is>
      </c>
      <c r="M3912">
        <f>VLOOKUP(H3912,'Stage Order'!$A$2:$B$8,2,FALSE)</f>
        <v/>
      </c>
      <c r="N3912">
        <f>IF(G3912&lt;=1,"1. Under 1 hour",IF(G3912&lt;=24,"2. 1-24 hours",IF(G3912&lt;=72,"3. 1-3 days","4. Over 3 days")))</f>
        <v/>
      </c>
      <c r="O3912">
        <f>TEXT(B3912,"YYYY-MM")</f>
        <v/>
      </c>
    </row>
    <row r="3913">
      <c r="A3913" t="inlineStr">
        <is>
          <t>LD-303911</t>
        </is>
      </c>
      <c r="B3913" t="inlineStr">
        <is>
          <t>2025-07-04 18:49:00</t>
        </is>
      </c>
      <c r="C3913" t="inlineStr">
        <is>
          <t>Social Media</t>
        </is>
      </c>
      <c r="D3913" t="inlineStr">
        <is>
          <t>Coding for Kids</t>
        </is>
      </c>
      <c r="E3913" t="inlineStr">
        <is>
          <t>North Region</t>
        </is>
      </c>
      <c r="F3913" t="inlineStr">
        <is>
          <t>Rep_11</t>
        </is>
      </c>
      <c r="G3913" t="n">
        <v>2.37</v>
      </c>
      <c r="H3913" t="inlineStr">
        <is>
          <t>Proposal Sent</t>
        </is>
      </c>
      <c r="I3913" t="inlineStr">
        <is>
          <t>Lost</t>
        </is>
      </c>
      <c r="J3913" t="inlineStr">
        <is>
          <t>Price Objection</t>
        </is>
      </c>
      <c r="K3913" t="n">
        <v>620.3200000000001</v>
      </c>
      <c r="L3913" t="inlineStr">
        <is>
          <t>2025-08-16 17:53:17.267557</t>
        </is>
      </c>
      <c r="M3913">
        <f>VLOOKUP(H3913,'Stage Order'!$A$2:$B$8,2,FALSE)</f>
        <v/>
      </c>
      <c r="N3913">
        <f>IF(G3913&lt;=1,"1. Under 1 hour",IF(G3913&lt;=24,"2. 1-24 hours",IF(G3913&lt;=72,"3. 1-3 days","4. Over 3 days")))</f>
        <v/>
      </c>
      <c r="O3913">
        <f>TEXT(B3913,"YYYY-MM")</f>
        <v/>
      </c>
    </row>
    <row r="3914">
      <c r="A3914" t="inlineStr">
        <is>
          <t>LD-303912</t>
        </is>
      </c>
      <c r="B3914" t="inlineStr">
        <is>
          <t>2025-05-21 12:27:00</t>
        </is>
      </c>
      <c r="C3914" t="inlineStr">
        <is>
          <t>Social Media</t>
        </is>
      </c>
      <c r="D3914" t="inlineStr">
        <is>
          <t>Competitive Exam Prep</t>
        </is>
      </c>
      <c r="E3914" t="inlineStr">
        <is>
          <t>East Region</t>
        </is>
      </c>
      <c r="F3914" t="inlineStr">
        <is>
          <t>Rep_04</t>
        </is>
      </c>
      <c r="G3914" t="n">
        <v>28.1</v>
      </c>
      <c r="H3914" t="inlineStr">
        <is>
          <t>Lead</t>
        </is>
      </c>
      <c r="I3914" t="inlineStr">
        <is>
          <t>Open</t>
        </is>
      </c>
      <c r="M3914">
        <f>VLOOKUP(H3914,'Stage Order'!$A$2:$B$8,2,FALSE)</f>
        <v/>
      </c>
      <c r="N3914">
        <f>IF(G3914&lt;=1,"1. Under 1 hour",IF(G3914&lt;=24,"2. 1-24 hours",IF(G3914&lt;=72,"3. 1-3 days","4. Over 3 days")))</f>
        <v/>
      </c>
      <c r="O3914">
        <f>TEXT(B3914,"YYYY-MM")</f>
        <v/>
      </c>
    </row>
    <row r="3915">
      <c r="A3915" t="inlineStr">
        <is>
          <t>LD-303913</t>
        </is>
      </c>
      <c r="B3915" t="inlineStr">
        <is>
          <t>2025-11-12 12:41:00</t>
        </is>
      </c>
      <c r="C3915" t="inlineStr">
        <is>
          <t>Webinar</t>
        </is>
      </c>
      <c r="D3915" t="inlineStr">
        <is>
          <t>Language Learning</t>
        </is>
      </c>
      <c r="E3915" t="inlineStr">
        <is>
          <t>West Region</t>
        </is>
      </c>
      <c r="F3915" t="inlineStr">
        <is>
          <t>Rep_13</t>
        </is>
      </c>
      <c r="G3915" t="n">
        <v>6.66</v>
      </c>
      <c r="H3915" t="inlineStr">
        <is>
          <t>Closed</t>
        </is>
      </c>
      <c r="I3915" t="inlineStr">
        <is>
          <t>Won</t>
        </is>
      </c>
      <c r="K3915" t="n">
        <v>399.42</v>
      </c>
      <c r="L3915" t="inlineStr">
        <is>
          <t>2025-12-24 11:12:53.782211</t>
        </is>
      </c>
      <c r="M3915">
        <f>VLOOKUP(H3915,'Stage Order'!$A$2:$B$8,2,FALSE)</f>
        <v/>
      </c>
      <c r="N3915">
        <f>IF(G3915&lt;=1,"1. Under 1 hour",IF(G3915&lt;=24,"2. 1-24 hours",IF(G3915&lt;=72,"3. 1-3 days","4. Over 3 days")))</f>
        <v/>
      </c>
      <c r="O3915">
        <f>TEXT(B3915,"YYYY-MM")</f>
        <v/>
      </c>
    </row>
    <row r="3916">
      <c r="A3916" t="inlineStr">
        <is>
          <t>LD-303914</t>
        </is>
      </c>
      <c r="B3916" t="inlineStr">
        <is>
          <t>2025-10-31 11:46:00</t>
        </is>
      </c>
      <c r="C3916" t="inlineStr">
        <is>
          <t>Organic Search</t>
        </is>
      </c>
      <c r="D3916" t="inlineStr">
        <is>
          <t>K-12 Math</t>
        </is>
      </c>
      <c r="E3916" t="inlineStr">
        <is>
          <t>North Region</t>
        </is>
      </c>
      <c r="F3916" t="inlineStr">
        <is>
          <t>Rep_06</t>
        </is>
      </c>
      <c r="G3916" t="n">
        <v>7.07</v>
      </c>
      <c r="H3916" t="inlineStr">
        <is>
          <t>Lead</t>
        </is>
      </c>
      <c r="I3916" t="inlineStr">
        <is>
          <t>Open</t>
        </is>
      </c>
      <c r="M3916">
        <f>VLOOKUP(H3916,'Stage Order'!$A$2:$B$8,2,FALSE)</f>
        <v/>
      </c>
      <c r="N3916">
        <f>IF(G3916&lt;=1,"1. Under 1 hour",IF(G3916&lt;=24,"2. 1-24 hours",IF(G3916&lt;=72,"3. 1-3 days","4. Over 3 days")))</f>
        <v/>
      </c>
      <c r="O3916">
        <f>TEXT(B3916,"YYYY-MM")</f>
        <v/>
      </c>
    </row>
    <row r="3917">
      <c r="A3917" t="inlineStr">
        <is>
          <t>LD-303915</t>
        </is>
      </c>
      <c r="B3917" t="inlineStr">
        <is>
          <t>2025-08-22 20:11:00</t>
        </is>
      </c>
      <c r="C3917" t="inlineStr">
        <is>
          <t>Organic Search</t>
        </is>
      </c>
      <c r="D3917" t="inlineStr">
        <is>
          <t>K-12 Math</t>
        </is>
      </c>
      <c r="E3917" t="inlineStr">
        <is>
          <t>East Region</t>
        </is>
      </c>
      <c r="F3917" t="inlineStr">
        <is>
          <t>Rep_04</t>
        </is>
      </c>
      <c r="G3917" t="n">
        <v>0.61</v>
      </c>
      <c r="H3917" t="inlineStr">
        <is>
          <t>Contacted</t>
        </is>
      </c>
      <c r="I3917" t="inlineStr">
        <is>
          <t>Open</t>
        </is>
      </c>
      <c r="M3917">
        <f>VLOOKUP(H3917,'Stage Order'!$A$2:$B$8,2,FALSE)</f>
        <v/>
      </c>
      <c r="N3917">
        <f>IF(G3917&lt;=1,"1. Under 1 hour",IF(G3917&lt;=24,"2. 1-24 hours",IF(G3917&lt;=72,"3. 1-3 days","4. Over 3 days")))</f>
        <v/>
      </c>
      <c r="O3917">
        <f>TEXT(B3917,"YYYY-MM")</f>
        <v/>
      </c>
    </row>
    <row r="3918">
      <c r="A3918" t="inlineStr">
        <is>
          <t>LD-303916</t>
        </is>
      </c>
      <c r="B3918" t="inlineStr">
        <is>
          <t>2025-11-27 15:18:00</t>
        </is>
      </c>
      <c r="C3918" t="inlineStr">
        <is>
          <t>Webinar</t>
        </is>
      </c>
      <c r="D3918" t="inlineStr">
        <is>
          <t>K-12 Math</t>
        </is>
      </c>
      <c r="E3918" t="inlineStr">
        <is>
          <t>East Region</t>
        </is>
      </c>
      <c r="F3918" t="inlineStr">
        <is>
          <t>Rep_14</t>
        </is>
      </c>
      <c r="G3918" t="n">
        <v>0.71</v>
      </c>
      <c r="H3918" t="inlineStr">
        <is>
          <t>Negotiation</t>
        </is>
      </c>
      <c r="I3918" t="inlineStr">
        <is>
          <t>Lost</t>
        </is>
      </c>
      <c r="J3918" t="inlineStr">
        <is>
          <t>Bad Timing</t>
        </is>
      </c>
      <c r="K3918" t="n">
        <v>453.7</v>
      </c>
      <c r="L3918" t="inlineStr">
        <is>
          <t>2026-01-24 22:11:59.589480</t>
        </is>
      </c>
      <c r="M3918">
        <f>VLOOKUP(H3918,'Stage Order'!$A$2:$B$8,2,FALSE)</f>
        <v/>
      </c>
      <c r="N3918">
        <f>IF(G3918&lt;=1,"1. Under 1 hour",IF(G3918&lt;=24,"2. 1-24 hours",IF(G3918&lt;=72,"3. 1-3 days","4. Over 3 days")))</f>
        <v/>
      </c>
      <c r="O3918">
        <f>TEXT(B3918,"YYYY-MM")</f>
        <v/>
      </c>
    </row>
    <row r="3919">
      <c r="A3919" t="inlineStr">
        <is>
          <t>LD-303917</t>
        </is>
      </c>
      <c r="B3919" t="inlineStr">
        <is>
          <t>2025-10-10 15:45:00</t>
        </is>
      </c>
      <c r="C3919" t="inlineStr">
        <is>
          <t>Organic Search</t>
        </is>
      </c>
      <c r="D3919" t="inlineStr">
        <is>
          <t>Coding for Kids</t>
        </is>
      </c>
      <c r="E3919" t="inlineStr">
        <is>
          <t>East Region</t>
        </is>
      </c>
      <c r="F3919" t="inlineStr">
        <is>
          <t>Rep_14</t>
        </is>
      </c>
      <c r="G3919" t="n">
        <v>1.77</v>
      </c>
      <c r="H3919" t="inlineStr">
        <is>
          <t>Lead</t>
        </is>
      </c>
      <c r="I3919" t="inlineStr">
        <is>
          <t>Open</t>
        </is>
      </c>
      <c r="M3919">
        <f>VLOOKUP(H3919,'Stage Order'!$A$2:$B$8,2,FALSE)</f>
        <v/>
      </c>
      <c r="N3919">
        <f>IF(G3919&lt;=1,"1. Under 1 hour",IF(G3919&lt;=24,"2. 1-24 hours",IF(G3919&lt;=72,"3. 1-3 days","4. Over 3 days")))</f>
        <v/>
      </c>
      <c r="O3919">
        <f>TEXT(B3919,"YYYY-MM")</f>
        <v/>
      </c>
    </row>
    <row r="3920">
      <c r="A3920" t="inlineStr">
        <is>
          <t>LD-303918</t>
        </is>
      </c>
      <c r="B3920" t="inlineStr">
        <is>
          <t>2026-03-06 08:55:00</t>
        </is>
      </c>
      <c r="C3920" t="inlineStr">
        <is>
          <t>Cold Outreach</t>
        </is>
      </c>
      <c r="D3920" t="inlineStr">
        <is>
          <t>Competitive Exam Prep</t>
        </is>
      </c>
      <c r="E3920" t="inlineStr">
        <is>
          <t>International</t>
        </is>
      </c>
      <c r="F3920" t="inlineStr">
        <is>
          <t>Rep_10</t>
        </is>
      </c>
      <c r="G3920" t="n">
        <v>5.46</v>
      </c>
      <c r="H3920" t="inlineStr">
        <is>
          <t>Lead</t>
        </is>
      </c>
      <c r="I3920" t="inlineStr">
        <is>
          <t>Open</t>
        </is>
      </c>
      <c r="M3920">
        <f>VLOOKUP(H3920,'Stage Order'!$A$2:$B$8,2,FALSE)</f>
        <v/>
      </c>
      <c r="N3920">
        <f>IF(G3920&lt;=1,"1. Under 1 hour",IF(G3920&lt;=24,"2. 1-24 hours",IF(G3920&lt;=72,"3. 1-3 days","4. Over 3 days")))</f>
        <v/>
      </c>
      <c r="O3920">
        <f>TEXT(B3920,"YYYY-MM")</f>
        <v/>
      </c>
    </row>
    <row r="3921">
      <c r="A3921" t="inlineStr">
        <is>
          <t>LD-303919</t>
        </is>
      </c>
      <c r="B3921" t="inlineStr">
        <is>
          <t>2025-07-08 09:59:00</t>
        </is>
      </c>
      <c r="C3921" t="inlineStr">
        <is>
          <t>Webinar</t>
        </is>
      </c>
      <c r="D3921" t="inlineStr">
        <is>
          <t>K-12 Math</t>
        </is>
      </c>
      <c r="E3921" t="inlineStr">
        <is>
          <t>East Region</t>
        </is>
      </c>
      <c r="F3921" t="inlineStr">
        <is>
          <t>Rep_14</t>
        </is>
      </c>
      <c r="G3921" t="n">
        <v>1.06</v>
      </c>
      <c r="H3921" t="inlineStr">
        <is>
          <t>Contacted</t>
        </is>
      </c>
      <c r="I3921" t="inlineStr">
        <is>
          <t>Open</t>
        </is>
      </c>
      <c r="M3921">
        <f>VLOOKUP(H3921,'Stage Order'!$A$2:$B$8,2,FALSE)</f>
        <v/>
      </c>
      <c r="N3921">
        <f>IF(G3921&lt;=1,"1. Under 1 hour",IF(G3921&lt;=24,"2. 1-24 hours",IF(G3921&lt;=72,"3. 1-3 days","4. Over 3 days")))</f>
        <v/>
      </c>
      <c r="O3921">
        <f>TEXT(B3921,"YYYY-MM")</f>
        <v/>
      </c>
    </row>
    <row r="3922">
      <c r="A3922" t="inlineStr">
        <is>
          <t>LD-303920</t>
        </is>
      </c>
      <c r="B3922" t="inlineStr">
        <is>
          <t>2025-09-12 13:55:00</t>
        </is>
      </c>
      <c r="C3922" t="inlineStr">
        <is>
          <t>Referral</t>
        </is>
      </c>
      <c r="D3922" t="inlineStr">
        <is>
          <t>Study Abroad Prep</t>
        </is>
      </c>
      <c r="E3922" t="inlineStr">
        <is>
          <t>South Region</t>
        </is>
      </c>
      <c r="F3922" t="inlineStr">
        <is>
          <t>Rep_02</t>
        </is>
      </c>
      <c r="G3922" t="n">
        <v>1.33</v>
      </c>
      <c r="H3922" t="inlineStr">
        <is>
          <t>Lead</t>
        </is>
      </c>
      <c r="I3922" t="inlineStr">
        <is>
          <t>Open</t>
        </is>
      </c>
      <c r="M3922">
        <f>VLOOKUP(H3922,'Stage Order'!$A$2:$B$8,2,FALSE)</f>
        <v/>
      </c>
      <c r="N3922">
        <f>IF(G3922&lt;=1,"1. Under 1 hour",IF(G3922&lt;=24,"2. 1-24 hours",IF(G3922&lt;=72,"3. 1-3 days","4. Over 3 days")))</f>
        <v/>
      </c>
      <c r="O3922">
        <f>TEXT(B3922,"YYYY-MM")</f>
        <v/>
      </c>
    </row>
    <row r="3923">
      <c r="A3923" t="inlineStr">
        <is>
          <t>LD-303921</t>
        </is>
      </c>
      <c r="B3923" t="inlineStr">
        <is>
          <t>2025-07-07 18:50:00</t>
        </is>
      </c>
      <c r="C3923" t="inlineStr">
        <is>
          <t>Paid Search</t>
        </is>
      </c>
      <c r="D3923" t="inlineStr">
        <is>
          <t>K-12 Math</t>
        </is>
      </c>
      <c r="E3923" t="inlineStr">
        <is>
          <t>West Region</t>
        </is>
      </c>
      <c r="F3923" t="inlineStr">
        <is>
          <t>Rep_08</t>
        </is>
      </c>
      <c r="G3923" t="n">
        <v>3.5</v>
      </c>
      <c r="H3923" t="inlineStr">
        <is>
          <t>Contacted</t>
        </is>
      </c>
      <c r="I3923" t="inlineStr">
        <is>
          <t>Open</t>
        </is>
      </c>
      <c r="M3923">
        <f>VLOOKUP(H3923,'Stage Order'!$A$2:$B$8,2,FALSE)</f>
        <v/>
      </c>
      <c r="N3923">
        <f>IF(G3923&lt;=1,"1. Under 1 hour",IF(G3923&lt;=24,"2. 1-24 hours",IF(G3923&lt;=72,"3. 1-3 days","4. Over 3 days")))</f>
        <v/>
      </c>
      <c r="O3923">
        <f>TEXT(B3923,"YYYY-MM")</f>
        <v/>
      </c>
    </row>
    <row r="3924">
      <c r="A3924" t="inlineStr">
        <is>
          <t>LD-303922</t>
        </is>
      </c>
      <c r="B3924" t="inlineStr">
        <is>
          <t>2026-03-20 17:47:00</t>
        </is>
      </c>
      <c r="C3924" t="inlineStr">
        <is>
          <t>Partner Channel</t>
        </is>
      </c>
      <c r="D3924" t="inlineStr">
        <is>
          <t>Competitive Exam Prep</t>
        </is>
      </c>
      <c r="E3924" t="inlineStr">
        <is>
          <t>South Region</t>
        </is>
      </c>
      <c r="F3924" t="inlineStr">
        <is>
          <t>Rep_07</t>
        </is>
      </c>
      <c r="G3924" t="n">
        <v>6.43</v>
      </c>
      <c r="H3924" t="inlineStr">
        <is>
          <t>Negotiation</t>
        </is>
      </c>
      <c r="I3924" t="inlineStr">
        <is>
          <t>Lost</t>
        </is>
      </c>
      <c r="J3924" t="inlineStr">
        <is>
          <t>Budget Not Approved</t>
        </is>
      </c>
      <c r="K3924" t="n">
        <v>828.62</v>
      </c>
      <c r="L3924" t="inlineStr">
        <is>
          <t>2026-04-19 20:44:31.302819</t>
        </is>
      </c>
      <c r="M3924">
        <f>VLOOKUP(H3924,'Stage Order'!$A$2:$B$8,2,FALSE)</f>
        <v/>
      </c>
      <c r="N3924">
        <f>IF(G3924&lt;=1,"1. Under 1 hour",IF(G3924&lt;=24,"2. 1-24 hours",IF(G3924&lt;=72,"3. 1-3 days","4. Over 3 days")))</f>
        <v/>
      </c>
      <c r="O3924">
        <f>TEXT(B3924,"YYYY-MM")</f>
        <v/>
      </c>
    </row>
    <row r="3925">
      <c r="A3925" t="inlineStr">
        <is>
          <t>LD-303923</t>
        </is>
      </c>
      <c r="B3925" t="inlineStr">
        <is>
          <t>2025-04-15 16:44:00</t>
        </is>
      </c>
      <c r="C3925" t="inlineStr">
        <is>
          <t>Organic Search</t>
        </is>
      </c>
      <c r="D3925" t="inlineStr">
        <is>
          <t>Language Learning</t>
        </is>
      </c>
      <c r="E3925" t="inlineStr">
        <is>
          <t>South Region</t>
        </is>
      </c>
      <c r="F3925" t="inlineStr">
        <is>
          <t>Rep_12</t>
        </is>
      </c>
      <c r="G3925" t="n">
        <v>0.8100000000000001</v>
      </c>
      <c r="H3925" t="inlineStr">
        <is>
          <t>Closed</t>
        </is>
      </c>
      <c r="I3925" t="inlineStr">
        <is>
          <t>Won</t>
        </is>
      </c>
      <c r="K3925" t="n">
        <v>347.66</v>
      </c>
      <c r="L3925" t="inlineStr">
        <is>
          <t>2025-05-17 09:18:24.577722</t>
        </is>
      </c>
      <c r="M3925">
        <f>VLOOKUP(H3925,'Stage Order'!$A$2:$B$8,2,FALSE)</f>
        <v/>
      </c>
      <c r="N3925">
        <f>IF(G3925&lt;=1,"1. Under 1 hour",IF(G3925&lt;=24,"2. 1-24 hours",IF(G3925&lt;=72,"3. 1-3 days","4. Over 3 days")))</f>
        <v/>
      </c>
      <c r="O3925">
        <f>TEXT(B3925,"YYYY-MM")</f>
        <v/>
      </c>
    </row>
    <row r="3926">
      <c r="A3926" t="inlineStr">
        <is>
          <t>LD-303924</t>
        </is>
      </c>
      <c r="B3926" t="inlineStr">
        <is>
          <t>2026-03-18 08:27:00</t>
        </is>
      </c>
      <c r="C3926" t="inlineStr">
        <is>
          <t>Referral</t>
        </is>
      </c>
      <c r="D3926" t="inlineStr">
        <is>
          <t>Competitive Exam Prep</t>
        </is>
      </c>
      <c r="E3926" t="inlineStr">
        <is>
          <t>West Region</t>
        </is>
      </c>
      <c r="F3926" t="inlineStr">
        <is>
          <t>Rep_13</t>
        </is>
      </c>
      <c r="G3926" t="n">
        <v>1.76</v>
      </c>
      <c r="H3926" t="inlineStr">
        <is>
          <t>Demo Scheduled</t>
        </is>
      </c>
      <c r="I3926" t="inlineStr">
        <is>
          <t>Open</t>
        </is>
      </c>
      <c r="M3926">
        <f>VLOOKUP(H3926,'Stage Order'!$A$2:$B$8,2,FALSE)</f>
        <v/>
      </c>
      <c r="N3926">
        <f>IF(G3926&lt;=1,"1. Under 1 hour",IF(G3926&lt;=24,"2. 1-24 hours",IF(G3926&lt;=72,"3. 1-3 days","4. Over 3 days")))</f>
        <v/>
      </c>
      <c r="O3926">
        <f>TEXT(B3926,"YYYY-MM")</f>
        <v/>
      </c>
    </row>
    <row r="3927">
      <c r="A3927" t="inlineStr">
        <is>
          <t>LD-303925</t>
        </is>
      </c>
      <c r="B3927" t="inlineStr">
        <is>
          <t>2025-11-11 17:06:00</t>
        </is>
      </c>
      <c r="C3927" t="inlineStr">
        <is>
          <t>Webinar</t>
        </is>
      </c>
      <c r="D3927" t="inlineStr">
        <is>
          <t>K-12 Math</t>
        </is>
      </c>
      <c r="E3927" t="inlineStr">
        <is>
          <t>North Region</t>
        </is>
      </c>
      <c r="F3927" t="inlineStr">
        <is>
          <t>Rep_01</t>
        </is>
      </c>
      <c r="G3927" t="n">
        <v>0.93</v>
      </c>
      <c r="H3927" t="inlineStr">
        <is>
          <t>Closed</t>
        </is>
      </c>
      <c r="I3927" t="inlineStr">
        <is>
          <t>Won</t>
        </is>
      </c>
      <c r="K3927" t="n">
        <v>486.1</v>
      </c>
      <c r="L3927" t="inlineStr">
        <is>
          <t>2025-12-26 18:29:39.865940</t>
        </is>
      </c>
      <c r="M3927">
        <f>VLOOKUP(H3927,'Stage Order'!$A$2:$B$8,2,FALSE)</f>
        <v/>
      </c>
      <c r="N3927">
        <f>IF(G3927&lt;=1,"1. Under 1 hour",IF(G3927&lt;=24,"2. 1-24 hours",IF(G3927&lt;=72,"3. 1-3 days","4. Over 3 days")))</f>
        <v/>
      </c>
      <c r="O3927">
        <f>TEXT(B3927,"YYYY-MM")</f>
        <v/>
      </c>
    </row>
    <row r="3928">
      <c r="A3928" t="inlineStr">
        <is>
          <t>LD-303926</t>
        </is>
      </c>
      <c r="B3928" t="inlineStr">
        <is>
          <t>2025-01-28 19:51:00</t>
        </is>
      </c>
      <c r="C3928" t="inlineStr">
        <is>
          <t>Referral</t>
        </is>
      </c>
      <c r="D3928" t="inlineStr">
        <is>
          <t>K-12 Math</t>
        </is>
      </c>
      <c r="E3928" t="inlineStr">
        <is>
          <t>East Region</t>
        </is>
      </c>
      <c r="F3928" t="inlineStr">
        <is>
          <t>Rep_04</t>
        </is>
      </c>
      <c r="G3928" t="n">
        <v>1.16</v>
      </c>
      <c r="H3928" t="inlineStr">
        <is>
          <t>Contacted</t>
        </is>
      </c>
      <c r="I3928" t="inlineStr">
        <is>
          <t>Open</t>
        </is>
      </c>
      <c r="M3928">
        <f>VLOOKUP(H3928,'Stage Order'!$A$2:$B$8,2,FALSE)</f>
        <v/>
      </c>
      <c r="N3928">
        <f>IF(G3928&lt;=1,"1. Under 1 hour",IF(G3928&lt;=24,"2. 1-24 hours",IF(G3928&lt;=72,"3. 1-3 days","4. Over 3 days")))</f>
        <v/>
      </c>
      <c r="O3928">
        <f>TEXT(B3928,"YYYY-MM")</f>
        <v/>
      </c>
    </row>
    <row r="3929">
      <c r="A3929" t="inlineStr">
        <is>
          <t>LD-303927</t>
        </is>
      </c>
      <c r="B3929" t="inlineStr">
        <is>
          <t>2025-08-05 10:27:00</t>
        </is>
      </c>
      <c r="C3929" t="inlineStr">
        <is>
          <t>Webinar</t>
        </is>
      </c>
      <c r="D3929" t="inlineStr">
        <is>
          <t>Study Abroad Prep</t>
        </is>
      </c>
      <c r="E3929" t="inlineStr">
        <is>
          <t>International</t>
        </is>
      </c>
      <c r="F3929" t="inlineStr">
        <is>
          <t>Rep_05</t>
        </is>
      </c>
      <c r="G3929" t="n">
        <v>12.37</v>
      </c>
      <c r="H3929" t="inlineStr">
        <is>
          <t>Closed</t>
        </is>
      </c>
      <c r="I3929" t="inlineStr">
        <is>
          <t>Won</t>
        </is>
      </c>
      <c r="K3929" t="n">
        <v>1337.28</v>
      </c>
      <c r="L3929" t="inlineStr">
        <is>
          <t>2025-09-07 04:02:57.942091</t>
        </is>
      </c>
      <c r="M3929">
        <f>VLOOKUP(H3929,'Stage Order'!$A$2:$B$8,2,FALSE)</f>
        <v/>
      </c>
      <c r="N3929">
        <f>IF(G3929&lt;=1,"1. Under 1 hour",IF(G3929&lt;=24,"2. 1-24 hours",IF(G3929&lt;=72,"3. 1-3 days","4. Over 3 days")))</f>
        <v/>
      </c>
      <c r="O3929">
        <f>TEXT(B3929,"YYYY-MM")</f>
        <v/>
      </c>
    </row>
    <row r="3930">
      <c r="A3930" t="inlineStr">
        <is>
          <t>LD-303928</t>
        </is>
      </c>
      <c r="B3930" t="inlineStr">
        <is>
          <t>2025-09-26 19:02:00</t>
        </is>
      </c>
      <c r="C3930" t="inlineStr">
        <is>
          <t>Organic Search</t>
        </is>
      </c>
      <c r="D3930" t="inlineStr">
        <is>
          <t>Coding for Kids</t>
        </is>
      </c>
      <c r="E3930" t="inlineStr">
        <is>
          <t>West Region</t>
        </is>
      </c>
      <c r="F3930" t="inlineStr">
        <is>
          <t>Rep_03</t>
        </is>
      </c>
      <c r="G3930" t="n">
        <v>10.99</v>
      </c>
      <c r="H3930" t="inlineStr">
        <is>
          <t>Contacted</t>
        </is>
      </c>
      <c r="I3930" t="inlineStr">
        <is>
          <t>Open</t>
        </is>
      </c>
      <c r="M3930">
        <f>VLOOKUP(H3930,'Stage Order'!$A$2:$B$8,2,FALSE)</f>
        <v/>
      </c>
      <c r="N3930">
        <f>IF(G3930&lt;=1,"1. Under 1 hour",IF(G3930&lt;=24,"2. 1-24 hours",IF(G3930&lt;=72,"3. 1-3 days","4. Over 3 days")))</f>
        <v/>
      </c>
      <c r="O3930">
        <f>TEXT(B3930,"YYYY-MM")</f>
        <v/>
      </c>
    </row>
    <row r="3931">
      <c r="A3931" t="inlineStr">
        <is>
          <t>LD-303929</t>
        </is>
      </c>
      <c r="B3931" t="inlineStr">
        <is>
          <t>2025-01-03 15:43:00</t>
        </is>
      </c>
      <c r="C3931" t="inlineStr">
        <is>
          <t>Social Media</t>
        </is>
      </c>
      <c r="D3931" t="inlineStr">
        <is>
          <t>Coding for Kids</t>
        </is>
      </c>
      <c r="E3931" t="inlineStr">
        <is>
          <t>East Region</t>
        </is>
      </c>
      <c r="F3931" t="inlineStr">
        <is>
          <t>Rep_09</t>
        </is>
      </c>
      <c r="G3931" t="n">
        <v>3.68</v>
      </c>
      <c r="H3931" t="inlineStr">
        <is>
          <t>Contacted</t>
        </is>
      </c>
      <c r="I3931" t="inlineStr">
        <is>
          <t>Open</t>
        </is>
      </c>
      <c r="M3931">
        <f>VLOOKUP(H3931,'Stage Order'!$A$2:$B$8,2,FALSE)</f>
        <v/>
      </c>
      <c r="N3931">
        <f>IF(G3931&lt;=1,"1. Under 1 hour",IF(G3931&lt;=24,"2. 1-24 hours",IF(G3931&lt;=72,"3. 1-3 days","4. Over 3 days")))</f>
        <v/>
      </c>
      <c r="O3931">
        <f>TEXT(B3931,"YYYY-MM")</f>
        <v/>
      </c>
    </row>
    <row r="3932">
      <c r="A3932" t="inlineStr">
        <is>
          <t>LD-303930</t>
        </is>
      </c>
      <c r="B3932" t="inlineStr">
        <is>
          <t>2025-03-05 17:45:00</t>
        </is>
      </c>
      <c r="C3932" t="inlineStr">
        <is>
          <t>Paid Search</t>
        </is>
      </c>
      <c r="D3932" t="inlineStr">
        <is>
          <t>Competitive Exam Prep</t>
        </is>
      </c>
      <c r="E3932" t="inlineStr">
        <is>
          <t>South Region</t>
        </is>
      </c>
      <c r="F3932" t="inlineStr">
        <is>
          <t>Rep_07</t>
        </is>
      </c>
      <c r="G3932" t="n">
        <v>3.34</v>
      </c>
      <c r="H3932" t="inlineStr">
        <is>
          <t>Contacted</t>
        </is>
      </c>
      <c r="I3932" t="inlineStr">
        <is>
          <t>Open</t>
        </is>
      </c>
      <c r="M3932">
        <f>VLOOKUP(H3932,'Stage Order'!$A$2:$B$8,2,FALSE)</f>
        <v/>
      </c>
      <c r="N3932">
        <f>IF(G3932&lt;=1,"1. Under 1 hour",IF(G3932&lt;=24,"2. 1-24 hours",IF(G3932&lt;=72,"3. 1-3 days","4. Over 3 days")))</f>
        <v/>
      </c>
      <c r="O3932">
        <f>TEXT(B3932,"YYYY-MM")</f>
        <v/>
      </c>
    </row>
    <row r="3933">
      <c r="A3933" t="inlineStr">
        <is>
          <t>LD-303931</t>
        </is>
      </c>
      <c r="B3933" t="inlineStr">
        <is>
          <t>2025-12-13 18:04:00</t>
        </is>
      </c>
      <c r="C3933" t="inlineStr">
        <is>
          <t>Referral</t>
        </is>
      </c>
      <c r="D3933" t="inlineStr">
        <is>
          <t>Competitive Exam Prep</t>
        </is>
      </c>
      <c r="E3933" t="inlineStr">
        <is>
          <t>East Region</t>
        </is>
      </c>
      <c r="F3933" t="inlineStr">
        <is>
          <t>Rep_09</t>
        </is>
      </c>
      <c r="G3933" t="n">
        <v>1.5</v>
      </c>
      <c r="H3933" t="inlineStr">
        <is>
          <t>Contacted</t>
        </is>
      </c>
      <c r="I3933" t="inlineStr">
        <is>
          <t>Open</t>
        </is>
      </c>
      <c r="M3933">
        <f>VLOOKUP(H3933,'Stage Order'!$A$2:$B$8,2,FALSE)</f>
        <v/>
      </c>
      <c r="N3933">
        <f>IF(G3933&lt;=1,"1. Under 1 hour",IF(G3933&lt;=24,"2. 1-24 hours",IF(G3933&lt;=72,"3. 1-3 days","4. Over 3 days")))</f>
        <v/>
      </c>
      <c r="O3933">
        <f>TEXT(B3933,"YYYY-MM")</f>
        <v/>
      </c>
    </row>
    <row r="3934">
      <c r="A3934" t="inlineStr">
        <is>
          <t>LD-303932</t>
        </is>
      </c>
      <c r="B3934" t="inlineStr">
        <is>
          <t>2025-04-09 11:19:00</t>
        </is>
      </c>
      <c r="C3934" t="inlineStr">
        <is>
          <t>Paid Search</t>
        </is>
      </c>
      <c r="D3934" t="inlineStr">
        <is>
          <t>Coding for Kids</t>
        </is>
      </c>
      <c r="E3934" t="inlineStr">
        <is>
          <t>East Region</t>
        </is>
      </c>
      <c r="F3934" t="inlineStr">
        <is>
          <t>Rep_04</t>
        </is>
      </c>
      <c r="G3934" t="n">
        <v>1.57</v>
      </c>
      <c r="H3934" t="inlineStr">
        <is>
          <t>Contacted</t>
        </is>
      </c>
      <c r="I3934" t="inlineStr">
        <is>
          <t>Open</t>
        </is>
      </c>
      <c r="M3934">
        <f>VLOOKUP(H3934,'Stage Order'!$A$2:$B$8,2,FALSE)</f>
        <v/>
      </c>
      <c r="N3934">
        <f>IF(G3934&lt;=1,"1. Under 1 hour",IF(G3934&lt;=24,"2. 1-24 hours",IF(G3934&lt;=72,"3. 1-3 days","4. Over 3 days")))</f>
        <v/>
      </c>
      <c r="O3934">
        <f>TEXT(B3934,"YYYY-MM")</f>
        <v/>
      </c>
    </row>
    <row r="3935">
      <c r="A3935" t="inlineStr">
        <is>
          <t>LD-303933</t>
        </is>
      </c>
      <c r="B3935" t="inlineStr">
        <is>
          <t>2026-02-04 14:14:00</t>
        </is>
      </c>
      <c r="C3935" t="inlineStr">
        <is>
          <t>Organic Search</t>
        </is>
      </c>
      <c r="D3935" t="inlineStr">
        <is>
          <t>Competitive Exam Prep</t>
        </is>
      </c>
      <c r="E3935" t="inlineStr">
        <is>
          <t>West Region</t>
        </is>
      </c>
      <c r="F3935" t="inlineStr">
        <is>
          <t>Rep_03</t>
        </is>
      </c>
      <c r="G3935" t="n">
        <v>10.03</v>
      </c>
      <c r="H3935" t="inlineStr">
        <is>
          <t>Negotiation</t>
        </is>
      </c>
      <c r="I3935" t="inlineStr">
        <is>
          <t>Lost</t>
        </is>
      </c>
      <c r="J3935" t="inlineStr">
        <is>
          <t>Price Objection</t>
        </is>
      </c>
      <c r="K3935" t="n">
        <v>857</v>
      </c>
      <c r="L3935" t="inlineStr">
        <is>
          <t>2026-03-23 13:57:13.159597</t>
        </is>
      </c>
      <c r="M3935">
        <f>VLOOKUP(H3935,'Stage Order'!$A$2:$B$8,2,FALSE)</f>
        <v/>
      </c>
      <c r="N3935">
        <f>IF(G3935&lt;=1,"1. Under 1 hour",IF(G3935&lt;=24,"2. 1-24 hours",IF(G3935&lt;=72,"3. 1-3 days","4. Over 3 days")))</f>
        <v/>
      </c>
      <c r="O3935">
        <f>TEXT(B3935,"YYYY-MM")</f>
        <v/>
      </c>
    </row>
    <row r="3936">
      <c r="A3936" t="inlineStr">
        <is>
          <t>LD-303934</t>
        </is>
      </c>
      <c r="B3936" t="inlineStr">
        <is>
          <t>2025-11-21 11:00:00</t>
        </is>
      </c>
      <c r="C3936" t="inlineStr">
        <is>
          <t>Partner Channel</t>
        </is>
      </c>
      <c r="D3936" t="inlineStr">
        <is>
          <t>K-12 Math</t>
        </is>
      </c>
      <c r="E3936" t="inlineStr">
        <is>
          <t>West Region</t>
        </is>
      </c>
      <c r="F3936" t="inlineStr">
        <is>
          <t>Rep_08</t>
        </is>
      </c>
      <c r="G3936" t="n">
        <v>8.31</v>
      </c>
      <c r="H3936" t="inlineStr">
        <is>
          <t>Lead</t>
        </is>
      </c>
      <c r="I3936" t="inlineStr">
        <is>
          <t>Open</t>
        </is>
      </c>
      <c r="M3936">
        <f>VLOOKUP(H3936,'Stage Order'!$A$2:$B$8,2,FALSE)</f>
        <v/>
      </c>
      <c r="N3936">
        <f>IF(G3936&lt;=1,"1. Under 1 hour",IF(G3936&lt;=24,"2. 1-24 hours",IF(G3936&lt;=72,"3. 1-3 days","4. Over 3 days")))</f>
        <v/>
      </c>
      <c r="O3936">
        <f>TEXT(B3936,"YYYY-MM")</f>
        <v/>
      </c>
    </row>
    <row r="3937">
      <c r="A3937" t="inlineStr">
        <is>
          <t>LD-303935</t>
        </is>
      </c>
      <c r="B3937" t="inlineStr">
        <is>
          <t>2026-02-12 13:57:00</t>
        </is>
      </c>
      <c r="C3937" t="inlineStr">
        <is>
          <t>Cold Outreach</t>
        </is>
      </c>
      <c r="D3937" t="inlineStr">
        <is>
          <t>K-12 Math</t>
        </is>
      </c>
      <c r="E3937" t="inlineStr">
        <is>
          <t>West Region</t>
        </is>
      </c>
      <c r="F3937" t="inlineStr">
        <is>
          <t>Rep_13</t>
        </is>
      </c>
      <c r="G3937" t="n">
        <v>7.47</v>
      </c>
      <c r="H3937" t="inlineStr">
        <is>
          <t>Lead</t>
        </is>
      </c>
      <c r="I3937" t="inlineStr">
        <is>
          <t>Open</t>
        </is>
      </c>
      <c r="M3937">
        <f>VLOOKUP(H3937,'Stage Order'!$A$2:$B$8,2,FALSE)</f>
        <v/>
      </c>
      <c r="N3937">
        <f>IF(G3937&lt;=1,"1. Under 1 hour",IF(G3937&lt;=24,"2. 1-24 hours",IF(G3937&lt;=72,"3. 1-3 days","4. Over 3 days")))</f>
        <v/>
      </c>
      <c r="O3937">
        <f>TEXT(B3937,"YYYY-MM")</f>
        <v/>
      </c>
    </row>
    <row r="3938">
      <c r="A3938" t="inlineStr">
        <is>
          <t>LD-303936</t>
        </is>
      </c>
      <c r="B3938" t="inlineStr">
        <is>
          <t>2025-08-14 15:11:00</t>
        </is>
      </c>
      <c r="C3938" t="inlineStr">
        <is>
          <t>Organic Search</t>
        </is>
      </c>
      <c r="D3938" t="inlineStr">
        <is>
          <t>Language Learning</t>
        </is>
      </c>
      <c r="E3938" t="inlineStr">
        <is>
          <t>West Region</t>
        </is>
      </c>
      <c r="F3938" t="inlineStr">
        <is>
          <t>Rep_08</t>
        </is>
      </c>
      <c r="G3938" t="n">
        <v>3.97</v>
      </c>
      <c r="H3938" t="inlineStr">
        <is>
          <t>Contacted</t>
        </is>
      </c>
      <c r="I3938" t="inlineStr">
        <is>
          <t>Open</t>
        </is>
      </c>
      <c r="M3938">
        <f>VLOOKUP(H3938,'Stage Order'!$A$2:$B$8,2,FALSE)</f>
        <v/>
      </c>
      <c r="N3938">
        <f>IF(G3938&lt;=1,"1. Under 1 hour",IF(G3938&lt;=24,"2. 1-24 hours",IF(G3938&lt;=72,"3. 1-3 days","4. Over 3 days")))</f>
        <v/>
      </c>
      <c r="O3938">
        <f>TEXT(B3938,"YYYY-MM")</f>
        <v/>
      </c>
    </row>
    <row r="3939">
      <c r="A3939" t="inlineStr">
        <is>
          <t>LD-303937</t>
        </is>
      </c>
      <c r="B3939" t="inlineStr">
        <is>
          <t>2025-11-12 14:32:00</t>
        </is>
      </c>
      <c r="C3939" t="inlineStr">
        <is>
          <t>Organic Search</t>
        </is>
      </c>
      <c r="D3939" t="inlineStr">
        <is>
          <t>K-12 Math</t>
        </is>
      </c>
      <c r="E3939" t="inlineStr">
        <is>
          <t>International</t>
        </is>
      </c>
      <c r="F3939" t="inlineStr">
        <is>
          <t>Rep_15</t>
        </is>
      </c>
      <c r="G3939" t="n">
        <v>0.85</v>
      </c>
      <c r="H3939" t="inlineStr">
        <is>
          <t>Contacted</t>
        </is>
      </c>
      <c r="I3939" t="inlineStr">
        <is>
          <t>Open</t>
        </is>
      </c>
      <c r="M3939">
        <f>VLOOKUP(H3939,'Stage Order'!$A$2:$B$8,2,FALSE)</f>
        <v/>
      </c>
      <c r="N3939">
        <f>IF(G3939&lt;=1,"1. Under 1 hour",IF(G3939&lt;=24,"2. 1-24 hours",IF(G3939&lt;=72,"3. 1-3 days","4. Over 3 days")))</f>
        <v/>
      </c>
      <c r="O3939">
        <f>TEXT(B3939,"YYYY-MM")</f>
        <v/>
      </c>
    </row>
    <row r="3940">
      <c r="A3940" t="inlineStr">
        <is>
          <t>LD-303938</t>
        </is>
      </c>
      <c r="B3940" t="inlineStr">
        <is>
          <t>2025-08-11 18:10:00</t>
        </is>
      </c>
      <c r="C3940" t="inlineStr">
        <is>
          <t>Paid Search</t>
        </is>
      </c>
      <c r="D3940" t="inlineStr">
        <is>
          <t>K-12 Math</t>
        </is>
      </c>
      <c r="E3940" t="inlineStr">
        <is>
          <t>International</t>
        </is>
      </c>
      <c r="F3940" t="inlineStr">
        <is>
          <t>Rep_15</t>
        </is>
      </c>
      <c r="G3940" t="n">
        <v>2.22</v>
      </c>
      <c r="H3940" t="inlineStr">
        <is>
          <t>Lead</t>
        </is>
      </c>
      <c r="I3940" t="inlineStr">
        <is>
          <t>Open</t>
        </is>
      </c>
      <c r="M3940">
        <f>VLOOKUP(H3940,'Stage Order'!$A$2:$B$8,2,FALSE)</f>
        <v/>
      </c>
      <c r="N3940">
        <f>IF(G3940&lt;=1,"1. Under 1 hour",IF(G3940&lt;=24,"2. 1-24 hours",IF(G3940&lt;=72,"3. 1-3 days","4. Over 3 days")))</f>
        <v/>
      </c>
      <c r="O3940">
        <f>TEXT(B3940,"YYYY-MM")</f>
        <v/>
      </c>
    </row>
    <row r="3941">
      <c r="A3941" t="inlineStr">
        <is>
          <t>LD-303939</t>
        </is>
      </c>
      <c r="B3941" t="inlineStr">
        <is>
          <t>2025-08-29 07:48:00</t>
        </is>
      </c>
      <c r="C3941" t="inlineStr">
        <is>
          <t>Partner Channel</t>
        </is>
      </c>
      <c r="D3941" t="inlineStr">
        <is>
          <t>K-12 Math</t>
        </is>
      </c>
      <c r="E3941" t="inlineStr">
        <is>
          <t>South Region</t>
        </is>
      </c>
      <c r="F3941" t="inlineStr">
        <is>
          <t>Rep_12</t>
        </is>
      </c>
      <c r="G3941" t="n">
        <v>1.86</v>
      </c>
      <c r="H3941" t="inlineStr">
        <is>
          <t>Proposal Sent</t>
        </is>
      </c>
      <c r="I3941" t="inlineStr">
        <is>
          <t>Lost</t>
        </is>
      </c>
      <c r="J3941" t="inlineStr">
        <is>
          <t>No Response / Ghosted</t>
        </is>
      </c>
      <c r="K3941" t="n">
        <v>466.01</v>
      </c>
      <c r="L3941" t="inlineStr">
        <is>
          <t>2025-10-14 10:58:06.570784</t>
        </is>
      </c>
      <c r="M3941">
        <f>VLOOKUP(H3941,'Stage Order'!$A$2:$B$8,2,FALSE)</f>
        <v/>
      </c>
      <c r="N3941">
        <f>IF(G3941&lt;=1,"1. Under 1 hour",IF(G3941&lt;=24,"2. 1-24 hours",IF(G3941&lt;=72,"3. 1-3 days","4. Over 3 days")))</f>
        <v/>
      </c>
      <c r="O3941">
        <f>TEXT(B3941,"YYYY-MM")</f>
        <v/>
      </c>
    </row>
    <row r="3942">
      <c r="A3942" t="inlineStr">
        <is>
          <t>LD-303940</t>
        </is>
      </c>
      <c r="B3942" t="inlineStr">
        <is>
          <t>2026-05-22 20:18:00</t>
        </is>
      </c>
      <c r="C3942" t="inlineStr">
        <is>
          <t>Paid Search</t>
        </is>
      </c>
      <c r="D3942" t="inlineStr">
        <is>
          <t>Language Learning</t>
        </is>
      </c>
      <c r="E3942" t="inlineStr">
        <is>
          <t>West Region</t>
        </is>
      </c>
      <c r="F3942" t="inlineStr">
        <is>
          <t>Rep_13</t>
        </is>
      </c>
      <c r="G3942" t="n">
        <v>1.45</v>
      </c>
      <c r="H3942" t="inlineStr">
        <is>
          <t>Lead</t>
        </is>
      </c>
      <c r="I3942" t="inlineStr">
        <is>
          <t>Open</t>
        </is>
      </c>
      <c r="M3942">
        <f>VLOOKUP(H3942,'Stage Order'!$A$2:$B$8,2,FALSE)</f>
        <v/>
      </c>
      <c r="N3942">
        <f>IF(G3942&lt;=1,"1. Under 1 hour",IF(G3942&lt;=24,"2. 1-24 hours",IF(G3942&lt;=72,"3. 1-3 days","4. Over 3 days")))</f>
        <v/>
      </c>
      <c r="O3942">
        <f>TEXT(B3942,"YYYY-MM")</f>
        <v/>
      </c>
    </row>
    <row r="3943">
      <c r="A3943" t="inlineStr">
        <is>
          <t>LD-303941</t>
        </is>
      </c>
      <c r="B3943" t="inlineStr">
        <is>
          <t>2025-11-24 15:38:00</t>
        </is>
      </c>
      <c r="C3943" t="inlineStr">
        <is>
          <t>Referral</t>
        </is>
      </c>
      <c r="D3943" t="inlineStr">
        <is>
          <t>K-12 Math</t>
        </is>
      </c>
      <c r="E3943" t="inlineStr">
        <is>
          <t>North Region</t>
        </is>
      </c>
      <c r="F3943" t="inlineStr">
        <is>
          <t>Rep_06</t>
        </is>
      </c>
      <c r="G3943" t="n">
        <v>4.05</v>
      </c>
      <c r="H3943" t="inlineStr">
        <is>
          <t>Closed</t>
        </is>
      </c>
      <c r="I3943" t="inlineStr">
        <is>
          <t>Won</t>
        </is>
      </c>
      <c r="K3943" t="n">
        <v>565.67</v>
      </c>
      <c r="L3943" t="inlineStr">
        <is>
          <t>2025-12-28 05:46:11.179821</t>
        </is>
      </c>
      <c r="M3943">
        <f>VLOOKUP(H3943,'Stage Order'!$A$2:$B$8,2,FALSE)</f>
        <v/>
      </c>
      <c r="N3943">
        <f>IF(G3943&lt;=1,"1. Under 1 hour",IF(G3943&lt;=24,"2. 1-24 hours",IF(G3943&lt;=72,"3. 1-3 days","4. Over 3 days")))</f>
        <v/>
      </c>
      <c r="O3943">
        <f>TEXT(B3943,"YYYY-MM")</f>
        <v/>
      </c>
    </row>
    <row r="3944">
      <c r="A3944" t="inlineStr">
        <is>
          <t>LD-303942</t>
        </is>
      </c>
      <c r="B3944" t="inlineStr">
        <is>
          <t>2026-01-11 11:31:00</t>
        </is>
      </c>
      <c r="C3944" t="inlineStr">
        <is>
          <t>Social Media</t>
        </is>
      </c>
      <c r="D3944" t="inlineStr">
        <is>
          <t>Language Learning</t>
        </is>
      </c>
      <c r="E3944" t="inlineStr">
        <is>
          <t>South Region</t>
        </is>
      </c>
      <c r="F3944" t="inlineStr">
        <is>
          <t>Rep_07</t>
        </is>
      </c>
      <c r="G3944" t="n">
        <v>1.66</v>
      </c>
      <c r="H3944" t="inlineStr">
        <is>
          <t>Lead</t>
        </is>
      </c>
      <c r="I3944" t="inlineStr">
        <is>
          <t>Open</t>
        </is>
      </c>
      <c r="M3944">
        <f>VLOOKUP(H3944,'Stage Order'!$A$2:$B$8,2,FALSE)</f>
        <v/>
      </c>
      <c r="N3944">
        <f>IF(G3944&lt;=1,"1. Under 1 hour",IF(G3944&lt;=24,"2. 1-24 hours",IF(G3944&lt;=72,"3. 1-3 days","4. Over 3 days")))</f>
        <v/>
      </c>
      <c r="O3944">
        <f>TEXT(B3944,"YYYY-MM")</f>
        <v/>
      </c>
    </row>
    <row r="3945">
      <c r="A3945" t="inlineStr">
        <is>
          <t>LD-303943</t>
        </is>
      </c>
      <c r="B3945" t="inlineStr">
        <is>
          <t>2025-05-29 14:17:00</t>
        </is>
      </c>
      <c r="C3945" t="inlineStr">
        <is>
          <t>Social Media</t>
        </is>
      </c>
      <c r="D3945" t="inlineStr">
        <is>
          <t>Language Learning</t>
        </is>
      </c>
      <c r="E3945" t="inlineStr">
        <is>
          <t>North Region</t>
        </is>
      </c>
      <c r="F3945" t="inlineStr">
        <is>
          <t>Rep_06</t>
        </is>
      </c>
      <c r="G3945" t="n">
        <v>0.95</v>
      </c>
      <c r="H3945" t="inlineStr">
        <is>
          <t>Contacted</t>
        </is>
      </c>
      <c r="I3945" t="inlineStr">
        <is>
          <t>Open</t>
        </is>
      </c>
      <c r="M3945">
        <f>VLOOKUP(H3945,'Stage Order'!$A$2:$B$8,2,FALSE)</f>
        <v/>
      </c>
      <c r="N3945">
        <f>IF(G3945&lt;=1,"1. Under 1 hour",IF(G3945&lt;=24,"2. 1-24 hours",IF(G3945&lt;=72,"3. 1-3 days","4. Over 3 days")))</f>
        <v/>
      </c>
      <c r="O3945">
        <f>TEXT(B3945,"YYYY-MM")</f>
        <v/>
      </c>
    </row>
    <row r="3946">
      <c r="A3946" t="inlineStr">
        <is>
          <t>LD-303944</t>
        </is>
      </c>
      <c r="B3946" t="inlineStr">
        <is>
          <t>2025-01-31 20:22:00</t>
        </is>
      </c>
      <c r="C3946" t="inlineStr">
        <is>
          <t>Social Media</t>
        </is>
      </c>
      <c r="D3946" t="inlineStr">
        <is>
          <t>K-12 Math</t>
        </is>
      </c>
      <c r="E3946" t="inlineStr">
        <is>
          <t>International</t>
        </is>
      </c>
      <c r="F3946" t="inlineStr">
        <is>
          <t>Rep_15</t>
        </is>
      </c>
      <c r="G3946" t="n">
        <v>5.47</v>
      </c>
      <c r="H3946" t="inlineStr">
        <is>
          <t>Lead</t>
        </is>
      </c>
      <c r="I3946" t="inlineStr">
        <is>
          <t>Open</t>
        </is>
      </c>
      <c r="M3946">
        <f>VLOOKUP(H3946,'Stage Order'!$A$2:$B$8,2,FALSE)</f>
        <v/>
      </c>
      <c r="N3946">
        <f>IF(G3946&lt;=1,"1. Under 1 hour",IF(G3946&lt;=24,"2. 1-24 hours",IF(G3946&lt;=72,"3. 1-3 days","4. Over 3 days")))</f>
        <v/>
      </c>
      <c r="O3946">
        <f>TEXT(B3946,"YYYY-MM")</f>
        <v/>
      </c>
    </row>
    <row r="3947">
      <c r="A3947" t="inlineStr">
        <is>
          <t>LD-303945</t>
        </is>
      </c>
      <c r="B3947" t="inlineStr">
        <is>
          <t>2025-12-02 13:46:00</t>
        </is>
      </c>
      <c r="C3947" t="inlineStr">
        <is>
          <t>Webinar</t>
        </is>
      </c>
      <c r="D3947" t="inlineStr">
        <is>
          <t>Coding for Kids</t>
        </is>
      </c>
      <c r="E3947" t="inlineStr">
        <is>
          <t>North Region</t>
        </is>
      </c>
      <c r="F3947" t="inlineStr">
        <is>
          <t>Rep_11</t>
        </is>
      </c>
      <c r="G3947" t="n">
        <v>4.45</v>
      </c>
      <c r="H3947" t="inlineStr">
        <is>
          <t>Contacted</t>
        </is>
      </c>
      <c r="I3947" t="inlineStr">
        <is>
          <t>Open</t>
        </is>
      </c>
      <c r="M3947">
        <f>VLOOKUP(H3947,'Stage Order'!$A$2:$B$8,2,FALSE)</f>
        <v/>
      </c>
      <c r="N3947">
        <f>IF(G3947&lt;=1,"1. Under 1 hour",IF(G3947&lt;=24,"2. 1-24 hours",IF(G3947&lt;=72,"3. 1-3 days","4. Over 3 days")))</f>
        <v/>
      </c>
      <c r="O3947">
        <f>TEXT(B3947,"YYYY-MM")</f>
        <v/>
      </c>
    </row>
    <row r="3948">
      <c r="A3948" t="inlineStr">
        <is>
          <t>LD-303946</t>
        </is>
      </c>
      <c r="B3948" t="inlineStr">
        <is>
          <t>2026-04-03 10:45:00</t>
        </is>
      </c>
      <c r="C3948" t="inlineStr">
        <is>
          <t>Paid Search</t>
        </is>
      </c>
      <c r="D3948" t="inlineStr">
        <is>
          <t>Competitive Exam Prep</t>
        </is>
      </c>
      <c r="E3948" t="inlineStr">
        <is>
          <t>West Region</t>
        </is>
      </c>
      <c r="F3948" t="inlineStr">
        <is>
          <t>Rep_13</t>
        </is>
      </c>
      <c r="G3948" t="n">
        <v>1.21</v>
      </c>
      <c r="H3948" t="inlineStr">
        <is>
          <t>Contacted</t>
        </is>
      </c>
      <c r="I3948" t="inlineStr">
        <is>
          <t>Open</t>
        </is>
      </c>
      <c r="M3948">
        <f>VLOOKUP(H3948,'Stage Order'!$A$2:$B$8,2,FALSE)</f>
        <v/>
      </c>
      <c r="N3948">
        <f>IF(G3948&lt;=1,"1. Under 1 hour",IF(G3948&lt;=24,"2. 1-24 hours",IF(G3948&lt;=72,"3. 1-3 days","4. Over 3 days")))</f>
        <v/>
      </c>
      <c r="O3948">
        <f>TEXT(B3948,"YYYY-MM")</f>
        <v/>
      </c>
    </row>
    <row r="3949">
      <c r="A3949" t="inlineStr">
        <is>
          <t>LD-303947</t>
        </is>
      </c>
      <c r="B3949" t="inlineStr">
        <is>
          <t>2025-06-13 19:16:00</t>
        </is>
      </c>
      <c r="C3949" t="inlineStr">
        <is>
          <t>Webinar</t>
        </is>
      </c>
      <c r="D3949" t="inlineStr">
        <is>
          <t>K-12 Math</t>
        </is>
      </c>
      <c r="E3949" t="inlineStr">
        <is>
          <t>West Region</t>
        </is>
      </c>
      <c r="F3949" t="inlineStr">
        <is>
          <t>Rep_13</t>
        </is>
      </c>
      <c r="G3949" t="n">
        <v>7.72</v>
      </c>
      <c r="H3949" t="inlineStr">
        <is>
          <t>Contacted</t>
        </is>
      </c>
      <c r="I3949" t="inlineStr">
        <is>
          <t>Open</t>
        </is>
      </c>
      <c r="M3949">
        <f>VLOOKUP(H3949,'Stage Order'!$A$2:$B$8,2,FALSE)</f>
        <v/>
      </c>
      <c r="N3949">
        <f>IF(G3949&lt;=1,"1. Under 1 hour",IF(G3949&lt;=24,"2. 1-24 hours",IF(G3949&lt;=72,"3. 1-3 days","4. Over 3 days")))</f>
        <v/>
      </c>
      <c r="O3949">
        <f>TEXT(B3949,"YYYY-MM")</f>
        <v/>
      </c>
    </row>
    <row r="3950">
      <c r="A3950" t="inlineStr">
        <is>
          <t>LD-303948</t>
        </is>
      </c>
      <c r="B3950" t="inlineStr">
        <is>
          <t>2025-04-23 18:20:00</t>
        </is>
      </c>
      <c r="C3950" t="inlineStr">
        <is>
          <t>Webinar</t>
        </is>
      </c>
      <c r="D3950" t="inlineStr">
        <is>
          <t>Coding for Kids</t>
        </is>
      </c>
      <c r="E3950" t="inlineStr">
        <is>
          <t>West Region</t>
        </is>
      </c>
      <c r="F3950" t="inlineStr">
        <is>
          <t>Rep_03</t>
        </is>
      </c>
      <c r="G3950" t="n">
        <v>4.45</v>
      </c>
      <c r="H3950" t="inlineStr">
        <is>
          <t>Contacted</t>
        </is>
      </c>
      <c r="I3950" t="inlineStr">
        <is>
          <t>Open</t>
        </is>
      </c>
      <c r="M3950">
        <f>VLOOKUP(H3950,'Stage Order'!$A$2:$B$8,2,FALSE)</f>
        <v/>
      </c>
      <c r="N3950">
        <f>IF(G3950&lt;=1,"1. Under 1 hour",IF(G3950&lt;=24,"2. 1-24 hours",IF(G3950&lt;=72,"3. 1-3 days","4. Over 3 days")))</f>
        <v/>
      </c>
      <c r="O3950">
        <f>TEXT(B3950,"YYYY-MM")</f>
        <v/>
      </c>
    </row>
    <row r="3951">
      <c r="A3951" t="inlineStr">
        <is>
          <t>LD-303949</t>
        </is>
      </c>
      <c r="B3951" t="inlineStr">
        <is>
          <t>2026-01-25 14:45:00</t>
        </is>
      </c>
      <c r="C3951" t="inlineStr">
        <is>
          <t>Social Media</t>
        </is>
      </c>
      <c r="D3951" t="inlineStr">
        <is>
          <t>K-12 Math</t>
        </is>
      </c>
      <c r="E3951" t="inlineStr">
        <is>
          <t>International</t>
        </is>
      </c>
      <c r="F3951" t="inlineStr">
        <is>
          <t>Rep_05</t>
        </is>
      </c>
      <c r="G3951" t="n">
        <v>3.65</v>
      </c>
      <c r="H3951" t="inlineStr">
        <is>
          <t>Contacted</t>
        </is>
      </c>
      <c r="I3951" t="inlineStr">
        <is>
          <t>Open</t>
        </is>
      </c>
      <c r="M3951">
        <f>VLOOKUP(H3951,'Stage Order'!$A$2:$B$8,2,FALSE)</f>
        <v/>
      </c>
      <c r="N3951">
        <f>IF(G3951&lt;=1,"1. Under 1 hour",IF(G3951&lt;=24,"2. 1-24 hours",IF(G3951&lt;=72,"3. 1-3 days","4. Over 3 days")))</f>
        <v/>
      </c>
      <c r="O3951">
        <f>TEXT(B3951,"YYYY-MM")</f>
        <v/>
      </c>
    </row>
    <row r="3952">
      <c r="A3952" t="inlineStr">
        <is>
          <t>LD-303950</t>
        </is>
      </c>
      <c r="B3952" t="inlineStr">
        <is>
          <t>2026-02-15 13:05:00</t>
        </is>
      </c>
      <c r="C3952" t="inlineStr">
        <is>
          <t>Organic Search</t>
        </is>
      </c>
      <c r="D3952" t="inlineStr">
        <is>
          <t>Study Abroad Prep</t>
        </is>
      </c>
      <c r="E3952" t="inlineStr">
        <is>
          <t>East Region</t>
        </is>
      </c>
      <c r="F3952" t="inlineStr">
        <is>
          <t>Rep_14</t>
        </is>
      </c>
      <c r="G3952" t="n">
        <v>1.74</v>
      </c>
      <c r="H3952" t="inlineStr">
        <is>
          <t>Demo Scheduled</t>
        </is>
      </c>
      <c r="I3952" t="inlineStr">
        <is>
          <t>Open</t>
        </is>
      </c>
      <c r="M3952">
        <f>VLOOKUP(H3952,'Stage Order'!$A$2:$B$8,2,FALSE)</f>
        <v/>
      </c>
      <c r="N3952">
        <f>IF(G3952&lt;=1,"1. Under 1 hour",IF(G3952&lt;=24,"2. 1-24 hours",IF(G3952&lt;=72,"3. 1-3 days","4. Over 3 days")))</f>
        <v/>
      </c>
      <c r="O3952">
        <f>TEXT(B3952,"YYYY-MM")</f>
        <v/>
      </c>
    </row>
    <row r="3953">
      <c r="A3953" t="inlineStr">
        <is>
          <t>LD-303951</t>
        </is>
      </c>
      <c r="B3953" t="inlineStr">
        <is>
          <t>2026-03-25 08:23:00</t>
        </is>
      </c>
      <c r="C3953" t="inlineStr">
        <is>
          <t>Paid Search</t>
        </is>
      </c>
      <c r="D3953" t="inlineStr">
        <is>
          <t>Language Learning</t>
        </is>
      </c>
      <c r="E3953" t="inlineStr">
        <is>
          <t>East Region</t>
        </is>
      </c>
      <c r="F3953" t="inlineStr">
        <is>
          <t>Rep_14</t>
        </is>
      </c>
      <c r="G3953" t="n">
        <v>6.29</v>
      </c>
      <c r="H3953" t="inlineStr">
        <is>
          <t>Negotiation</t>
        </is>
      </c>
      <c r="I3953" t="inlineStr">
        <is>
          <t>Lost</t>
        </is>
      </c>
      <c r="J3953" t="inlineStr">
        <is>
          <t>No Response / Ghosted</t>
        </is>
      </c>
      <c r="K3953" t="n">
        <v>380.33</v>
      </c>
      <c r="L3953" t="inlineStr">
        <is>
          <t>2026-05-10 18:54:13.680973</t>
        </is>
      </c>
      <c r="M3953">
        <f>VLOOKUP(H3953,'Stage Order'!$A$2:$B$8,2,FALSE)</f>
        <v/>
      </c>
      <c r="N3953">
        <f>IF(G3953&lt;=1,"1. Under 1 hour",IF(G3953&lt;=24,"2. 1-24 hours",IF(G3953&lt;=72,"3. 1-3 days","4. Over 3 days")))</f>
        <v/>
      </c>
      <c r="O3953">
        <f>TEXT(B3953,"YYYY-MM")</f>
        <v/>
      </c>
    </row>
    <row r="3954">
      <c r="A3954" t="inlineStr">
        <is>
          <t>LD-303952</t>
        </is>
      </c>
      <c r="B3954" t="inlineStr">
        <is>
          <t>2025-11-02 11:14:00</t>
        </is>
      </c>
      <c r="C3954" t="inlineStr">
        <is>
          <t>Social Media</t>
        </is>
      </c>
      <c r="D3954" t="inlineStr">
        <is>
          <t>K-12 Math</t>
        </is>
      </c>
      <c r="E3954" t="inlineStr">
        <is>
          <t>West Region</t>
        </is>
      </c>
      <c r="F3954" t="inlineStr">
        <is>
          <t>Rep_03</t>
        </is>
      </c>
      <c r="G3954" t="n">
        <v>3.07</v>
      </c>
      <c r="H3954" t="inlineStr">
        <is>
          <t>Contacted</t>
        </is>
      </c>
      <c r="I3954" t="inlineStr">
        <is>
          <t>Open</t>
        </is>
      </c>
      <c r="M3954">
        <f>VLOOKUP(H3954,'Stage Order'!$A$2:$B$8,2,FALSE)</f>
        <v/>
      </c>
      <c r="N3954">
        <f>IF(G3954&lt;=1,"1. Under 1 hour",IF(G3954&lt;=24,"2. 1-24 hours",IF(G3954&lt;=72,"3. 1-3 days","4. Over 3 days")))</f>
        <v/>
      </c>
      <c r="O3954">
        <f>TEXT(B3954,"YYYY-MM")</f>
        <v/>
      </c>
    </row>
    <row r="3955">
      <c r="A3955" t="inlineStr">
        <is>
          <t>LD-303953</t>
        </is>
      </c>
      <c r="B3955" t="inlineStr">
        <is>
          <t>2025-12-01 11:40:00</t>
        </is>
      </c>
      <c r="C3955" t="inlineStr">
        <is>
          <t>Paid Search</t>
        </is>
      </c>
      <c r="D3955" t="inlineStr">
        <is>
          <t>Language Learning</t>
        </is>
      </c>
      <c r="E3955" t="inlineStr">
        <is>
          <t>West Region</t>
        </is>
      </c>
      <c r="F3955" t="inlineStr">
        <is>
          <t>Rep_08</t>
        </is>
      </c>
      <c r="G3955" t="n">
        <v>6.89</v>
      </c>
      <c r="H3955" t="inlineStr">
        <is>
          <t>Lead</t>
        </is>
      </c>
      <c r="I3955" t="inlineStr">
        <is>
          <t>Open</t>
        </is>
      </c>
      <c r="M3955">
        <f>VLOOKUP(H3955,'Stage Order'!$A$2:$B$8,2,FALSE)</f>
        <v/>
      </c>
      <c r="N3955">
        <f>IF(G3955&lt;=1,"1. Under 1 hour",IF(G3955&lt;=24,"2. 1-24 hours",IF(G3955&lt;=72,"3. 1-3 days","4. Over 3 days")))</f>
        <v/>
      </c>
      <c r="O3955">
        <f>TEXT(B3955,"YYYY-MM")</f>
        <v/>
      </c>
    </row>
    <row r="3956">
      <c r="A3956" t="inlineStr">
        <is>
          <t>LD-303954</t>
        </is>
      </c>
      <c r="B3956" t="inlineStr">
        <is>
          <t>2025-05-04 16:53:00</t>
        </is>
      </c>
      <c r="C3956" t="inlineStr">
        <is>
          <t>Social Media</t>
        </is>
      </c>
      <c r="D3956" t="inlineStr">
        <is>
          <t>Competitive Exam Prep</t>
        </is>
      </c>
      <c r="E3956" t="inlineStr">
        <is>
          <t>West Region</t>
        </is>
      </c>
      <c r="F3956" t="inlineStr">
        <is>
          <t>Rep_03</t>
        </is>
      </c>
      <c r="G3956" t="n">
        <v>5.55</v>
      </c>
      <c r="H3956" t="inlineStr">
        <is>
          <t>Lead</t>
        </is>
      </c>
      <c r="I3956" t="inlineStr">
        <is>
          <t>Open</t>
        </is>
      </c>
      <c r="M3956">
        <f>VLOOKUP(H3956,'Stage Order'!$A$2:$B$8,2,FALSE)</f>
        <v/>
      </c>
      <c r="N3956">
        <f>IF(G3956&lt;=1,"1. Under 1 hour",IF(G3956&lt;=24,"2. 1-24 hours",IF(G3956&lt;=72,"3. 1-3 days","4. Over 3 days")))</f>
        <v/>
      </c>
      <c r="O3956">
        <f>TEXT(B3956,"YYYY-MM")</f>
        <v/>
      </c>
    </row>
    <row r="3957">
      <c r="A3957" t="inlineStr">
        <is>
          <t>LD-303955</t>
        </is>
      </c>
      <c r="B3957" t="inlineStr">
        <is>
          <t>2025-01-27 19:39:00</t>
        </is>
      </c>
      <c r="C3957" t="inlineStr">
        <is>
          <t>Social Media</t>
        </is>
      </c>
      <c r="D3957" t="inlineStr">
        <is>
          <t>K-12 Math</t>
        </is>
      </c>
      <c r="E3957" t="inlineStr">
        <is>
          <t>North Region</t>
        </is>
      </c>
      <c r="F3957" t="inlineStr">
        <is>
          <t>Rep_06</t>
        </is>
      </c>
      <c r="G3957" t="n">
        <v>1.64</v>
      </c>
      <c r="H3957" t="inlineStr">
        <is>
          <t>Lead</t>
        </is>
      </c>
      <c r="I3957" t="inlineStr">
        <is>
          <t>Open</t>
        </is>
      </c>
      <c r="M3957">
        <f>VLOOKUP(H3957,'Stage Order'!$A$2:$B$8,2,FALSE)</f>
        <v/>
      </c>
      <c r="N3957">
        <f>IF(G3957&lt;=1,"1. Under 1 hour",IF(G3957&lt;=24,"2. 1-24 hours",IF(G3957&lt;=72,"3. 1-3 days","4. Over 3 days")))</f>
        <v/>
      </c>
      <c r="O3957">
        <f>TEXT(B3957,"YYYY-MM")</f>
        <v/>
      </c>
    </row>
    <row r="3958">
      <c r="A3958" t="inlineStr">
        <is>
          <t>LD-303956</t>
        </is>
      </c>
      <c r="B3958" t="inlineStr">
        <is>
          <t>2025-03-29 07:54:00</t>
        </is>
      </c>
      <c r="C3958" t="inlineStr">
        <is>
          <t>Webinar</t>
        </is>
      </c>
      <c r="D3958" t="inlineStr">
        <is>
          <t>K-12 Math</t>
        </is>
      </c>
      <c r="E3958" t="inlineStr">
        <is>
          <t>South Region</t>
        </is>
      </c>
      <c r="F3958" t="inlineStr">
        <is>
          <t>Rep_02</t>
        </is>
      </c>
      <c r="G3958" t="n">
        <v>1.62</v>
      </c>
      <c r="H3958" t="inlineStr">
        <is>
          <t>Closed</t>
        </is>
      </c>
      <c r="I3958" t="inlineStr">
        <is>
          <t>Won</t>
        </is>
      </c>
      <c r="K3958" t="n">
        <v>423.34</v>
      </c>
      <c r="L3958" t="inlineStr">
        <is>
          <t>2025-04-27 22:49:58.334712</t>
        </is>
      </c>
      <c r="M3958">
        <f>VLOOKUP(H3958,'Stage Order'!$A$2:$B$8,2,FALSE)</f>
        <v/>
      </c>
      <c r="N3958">
        <f>IF(G3958&lt;=1,"1. Under 1 hour",IF(G3958&lt;=24,"2. 1-24 hours",IF(G3958&lt;=72,"3. 1-3 days","4. Over 3 days")))</f>
        <v/>
      </c>
      <c r="O3958">
        <f>TEXT(B3958,"YYYY-MM")</f>
        <v/>
      </c>
    </row>
    <row r="3959">
      <c r="A3959" t="inlineStr">
        <is>
          <t>LD-303957</t>
        </is>
      </c>
      <c r="B3959" t="inlineStr">
        <is>
          <t>2026-01-08 10:25:00</t>
        </is>
      </c>
      <c r="C3959" t="inlineStr">
        <is>
          <t>Paid Search</t>
        </is>
      </c>
      <c r="D3959" t="inlineStr">
        <is>
          <t>Language Learning</t>
        </is>
      </c>
      <c r="E3959" t="inlineStr">
        <is>
          <t>South Region</t>
        </is>
      </c>
      <c r="F3959" t="inlineStr">
        <is>
          <t>Rep_02</t>
        </is>
      </c>
      <c r="G3959" t="n">
        <v>2.12</v>
      </c>
      <c r="H3959" t="inlineStr">
        <is>
          <t>Contacted</t>
        </is>
      </c>
      <c r="I3959" t="inlineStr">
        <is>
          <t>Open</t>
        </is>
      </c>
      <c r="M3959">
        <f>VLOOKUP(H3959,'Stage Order'!$A$2:$B$8,2,FALSE)</f>
        <v/>
      </c>
      <c r="N3959">
        <f>IF(G3959&lt;=1,"1. Under 1 hour",IF(G3959&lt;=24,"2. 1-24 hours",IF(G3959&lt;=72,"3. 1-3 days","4. Over 3 days")))</f>
        <v/>
      </c>
      <c r="O3959">
        <f>TEXT(B3959,"YYYY-MM")</f>
        <v/>
      </c>
    </row>
    <row r="3960">
      <c r="A3960" t="inlineStr">
        <is>
          <t>LD-303958</t>
        </is>
      </c>
      <c r="B3960" t="inlineStr">
        <is>
          <t>2025-10-03 15:29:00</t>
        </is>
      </c>
      <c r="C3960" t="inlineStr">
        <is>
          <t>Webinar</t>
        </is>
      </c>
      <c r="D3960" t="inlineStr">
        <is>
          <t>Language Learning</t>
        </is>
      </c>
      <c r="E3960" t="inlineStr">
        <is>
          <t>West Region</t>
        </is>
      </c>
      <c r="F3960" t="inlineStr">
        <is>
          <t>Rep_13</t>
        </is>
      </c>
      <c r="G3960" t="n">
        <v>2.72</v>
      </c>
      <c r="H3960" t="inlineStr">
        <is>
          <t>Proposal Sent</t>
        </is>
      </c>
      <c r="I3960" t="inlineStr">
        <is>
          <t>Lost</t>
        </is>
      </c>
      <c r="J3960" t="inlineStr">
        <is>
          <t>No Response / Ghosted</t>
        </is>
      </c>
      <c r="K3960" t="n">
        <v>391.53</v>
      </c>
      <c r="L3960" t="inlineStr">
        <is>
          <t>2025-11-17 16:58:53.209328</t>
        </is>
      </c>
      <c r="M3960">
        <f>VLOOKUP(H3960,'Stage Order'!$A$2:$B$8,2,FALSE)</f>
        <v/>
      </c>
      <c r="N3960">
        <f>IF(G3960&lt;=1,"1. Under 1 hour",IF(G3960&lt;=24,"2. 1-24 hours",IF(G3960&lt;=72,"3. 1-3 days","4. Over 3 days")))</f>
        <v/>
      </c>
      <c r="O3960">
        <f>TEXT(B3960,"YYYY-MM")</f>
        <v/>
      </c>
    </row>
    <row r="3961">
      <c r="A3961" t="inlineStr">
        <is>
          <t>LD-303959</t>
        </is>
      </c>
      <c r="B3961" t="inlineStr">
        <is>
          <t>2025-02-01 07:12:00</t>
        </is>
      </c>
      <c r="C3961" t="inlineStr">
        <is>
          <t>Paid Search</t>
        </is>
      </c>
      <c r="D3961" t="inlineStr">
        <is>
          <t>Study Abroad Prep</t>
        </is>
      </c>
      <c r="E3961" t="inlineStr">
        <is>
          <t>East Region</t>
        </is>
      </c>
      <c r="F3961" t="inlineStr">
        <is>
          <t>Rep_14</t>
        </is>
      </c>
      <c r="G3961" t="n">
        <v>3.31</v>
      </c>
      <c r="H3961" t="inlineStr">
        <is>
          <t>Lead</t>
        </is>
      </c>
      <c r="I3961" t="inlineStr">
        <is>
          <t>Open</t>
        </is>
      </c>
      <c r="M3961">
        <f>VLOOKUP(H3961,'Stage Order'!$A$2:$B$8,2,FALSE)</f>
        <v/>
      </c>
      <c r="N3961">
        <f>IF(G3961&lt;=1,"1. Under 1 hour",IF(G3961&lt;=24,"2. 1-24 hours",IF(G3961&lt;=72,"3. 1-3 days","4. Over 3 days")))</f>
        <v/>
      </c>
      <c r="O3961">
        <f>TEXT(B3961,"YYYY-MM")</f>
        <v/>
      </c>
    </row>
    <row r="3962">
      <c r="A3962" t="inlineStr">
        <is>
          <t>LD-303960</t>
        </is>
      </c>
      <c r="B3962" t="inlineStr">
        <is>
          <t>2025-12-22 17:38:00</t>
        </is>
      </c>
      <c r="C3962" t="inlineStr">
        <is>
          <t>Paid Search</t>
        </is>
      </c>
      <c r="D3962" t="inlineStr">
        <is>
          <t>Study Abroad Prep</t>
        </is>
      </c>
      <c r="E3962" t="inlineStr">
        <is>
          <t>South Region</t>
        </is>
      </c>
      <c r="F3962" t="inlineStr">
        <is>
          <t>Rep_02</t>
        </is>
      </c>
      <c r="G3962" t="n">
        <v>3.56</v>
      </c>
      <c r="H3962" t="inlineStr">
        <is>
          <t>Contacted</t>
        </is>
      </c>
      <c r="I3962" t="inlineStr">
        <is>
          <t>Open</t>
        </is>
      </c>
      <c r="M3962">
        <f>VLOOKUP(H3962,'Stage Order'!$A$2:$B$8,2,FALSE)</f>
        <v/>
      </c>
      <c r="N3962">
        <f>IF(G3962&lt;=1,"1. Under 1 hour",IF(G3962&lt;=24,"2. 1-24 hours",IF(G3962&lt;=72,"3. 1-3 days","4. Over 3 days")))</f>
        <v/>
      </c>
      <c r="O3962">
        <f>TEXT(B3962,"YYYY-MM")</f>
        <v/>
      </c>
    </row>
    <row r="3963">
      <c r="A3963" t="inlineStr">
        <is>
          <t>LD-303961</t>
        </is>
      </c>
      <c r="B3963" t="inlineStr">
        <is>
          <t>2025-06-20 20:35:00</t>
        </is>
      </c>
      <c r="C3963" t="inlineStr">
        <is>
          <t>Social Media</t>
        </is>
      </c>
      <c r="D3963" t="inlineStr">
        <is>
          <t>K-12 Math</t>
        </is>
      </c>
      <c r="E3963" t="inlineStr">
        <is>
          <t>West Region</t>
        </is>
      </c>
      <c r="F3963" t="inlineStr">
        <is>
          <t>Rep_08</t>
        </is>
      </c>
      <c r="G3963" t="n">
        <v>2.25</v>
      </c>
      <c r="H3963" t="inlineStr">
        <is>
          <t>Contacted</t>
        </is>
      </c>
      <c r="I3963" t="inlineStr">
        <is>
          <t>Open</t>
        </is>
      </c>
      <c r="M3963">
        <f>VLOOKUP(H3963,'Stage Order'!$A$2:$B$8,2,FALSE)</f>
        <v/>
      </c>
      <c r="N3963">
        <f>IF(G3963&lt;=1,"1. Under 1 hour",IF(G3963&lt;=24,"2. 1-24 hours",IF(G3963&lt;=72,"3. 1-3 days","4. Over 3 days")))</f>
        <v/>
      </c>
      <c r="O3963">
        <f>TEXT(B3963,"YYYY-MM")</f>
        <v/>
      </c>
    </row>
    <row r="3964">
      <c r="A3964" t="inlineStr">
        <is>
          <t>LD-303962</t>
        </is>
      </c>
      <c r="B3964" t="inlineStr">
        <is>
          <t>2025-07-25 20:23:00</t>
        </is>
      </c>
      <c r="C3964" t="inlineStr">
        <is>
          <t>Cold Outreach</t>
        </is>
      </c>
      <c r="D3964" t="inlineStr">
        <is>
          <t>Competitive Exam Prep</t>
        </is>
      </c>
      <c r="E3964" t="inlineStr">
        <is>
          <t>International</t>
        </is>
      </c>
      <c r="F3964" t="inlineStr">
        <is>
          <t>Rep_05</t>
        </is>
      </c>
      <c r="G3964" t="n">
        <v>7.87</v>
      </c>
      <c r="H3964" t="inlineStr">
        <is>
          <t>Lead</t>
        </is>
      </c>
      <c r="I3964" t="inlineStr">
        <is>
          <t>Open</t>
        </is>
      </c>
      <c r="M3964">
        <f>VLOOKUP(H3964,'Stage Order'!$A$2:$B$8,2,FALSE)</f>
        <v/>
      </c>
      <c r="N3964">
        <f>IF(G3964&lt;=1,"1. Under 1 hour",IF(G3964&lt;=24,"2. 1-24 hours",IF(G3964&lt;=72,"3. 1-3 days","4. Over 3 days")))</f>
        <v/>
      </c>
      <c r="O3964">
        <f>TEXT(B3964,"YYYY-MM")</f>
        <v/>
      </c>
    </row>
    <row r="3965">
      <c r="A3965" t="inlineStr">
        <is>
          <t>LD-303963</t>
        </is>
      </c>
      <c r="B3965" t="inlineStr">
        <is>
          <t>2026-01-01 08:42:00</t>
        </is>
      </c>
      <c r="C3965" t="inlineStr">
        <is>
          <t>Referral</t>
        </is>
      </c>
      <c r="D3965" t="inlineStr">
        <is>
          <t>K-12 Math</t>
        </is>
      </c>
      <c r="E3965" t="inlineStr">
        <is>
          <t>South Region</t>
        </is>
      </c>
      <c r="F3965" t="inlineStr">
        <is>
          <t>Rep_02</t>
        </is>
      </c>
      <c r="G3965" t="n">
        <v>3.47</v>
      </c>
      <c r="H3965" t="inlineStr">
        <is>
          <t>Contacted</t>
        </is>
      </c>
      <c r="I3965" t="inlineStr">
        <is>
          <t>Open</t>
        </is>
      </c>
      <c r="M3965">
        <f>VLOOKUP(H3965,'Stage Order'!$A$2:$B$8,2,FALSE)</f>
        <v/>
      </c>
      <c r="N3965">
        <f>IF(G3965&lt;=1,"1. Under 1 hour",IF(G3965&lt;=24,"2. 1-24 hours",IF(G3965&lt;=72,"3. 1-3 days","4. Over 3 days")))</f>
        <v/>
      </c>
      <c r="O3965">
        <f>TEXT(B3965,"YYYY-MM")</f>
        <v/>
      </c>
    </row>
    <row r="3966">
      <c r="A3966" t="inlineStr">
        <is>
          <t>LD-303964</t>
        </is>
      </c>
      <c r="B3966" t="inlineStr">
        <is>
          <t>2025-12-23 07:48:00</t>
        </is>
      </c>
      <c r="C3966" t="inlineStr">
        <is>
          <t>Referral</t>
        </is>
      </c>
      <c r="D3966" t="inlineStr">
        <is>
          <t>Language Learning</t>
        </is>
      </c>
      <c r="E3966" t="inlineStr">
        <is>
          <t>West Region</t>
        </is>
      </c>
      <c r="F3966" t="inlineStr">
        <is>
          <t>Rep_13</t>
        </is>
      </c>
      <c r="G3966" t="n">
        <v>6.54</v>
      </c>
      <c r="H3966" t="inlineStr">
        <is>
          <t>Closed</t>
        </is>
      </c>
      <c r="I3966" t="inlineStr">
        <is>
          <t>Won</t>
        </is>
      </c>
      <c r="K3966" t="n">
        <v>350.66</v>
      </c>
      <c r="L3966" t="inlineStr">
        <is>
          <t>2026-02-14 03:32:28.066615</t>
        </is>
      </c>
      <c r="M3966">
        <f>VLOOKUP(H3966,'Stage Order'!$A$2:$B$8,2,FALSE)</f>
        <v/>
      </c>
      <c r="N3966">
        <f>IF(G3966&lt;=1,"1. Under 1 hour",IF(G3966&lt;=24,"2. 1-24 hours",IF(G3966&lt;=72,"3. 1-3 days","4. Over 3 days")))</f>
        <v/>
      </c>
      <c r="O3966">
        <f>TEXT(B3966,"YYYY-MM")</f>
        <v/>
      </c>
    </row>
    <row r="3967">
      <c r="A3967" t="inlineStr">
        <is>
          <t>LD-303965</t>
        </is>
      </c>
      <c r="B3967" t="inlineStr">
        <is>
          <t>2026-02-11 17:01:00</t>
        </is>
      </c>
      <c r="C3967" t="inlineStr">
        <is>
          <t>Paid Search</t>
        </is>
      </c>
      <c r="D3967" t="inlineStr">
        <is>
          <t>Language Learning</t>
        </is>
      </c>
      <c r="E3967" t="inlineStr">
        <is>
          <t>South Region</t>
        </is>
      </c>
      <c r="F3967" t="inlineStr">
        <is>
          <t>Rep_12</t>
        </is>
      </c>
      <c r="G3967" t="n">
        <v>26.29</v>
      </c>
      <c r="H3967" t="inlineStr">
        <is>
          <t>Lead</t>
        </is>
      </c>
      <c r="I3967" t="inlineStr">
        <is>
          <t>Open</t>
        </is>
      </c>
      <c r="M3967">
        <f>VLOOKUP(H3967,'Stage Order'!$A$2:$B$8,2,FALSE)</f>
        <v/>
      </c>
      <c r="N3967">
        <f>IF(G3967&lt;=1,"1. Under 1 hour",IF(G3967&lt;=24,"2. 1-24 hours",IF(G3967&lt;=72,"3. 1-3 days","4. Over 3 days")))</f>
        <v/>
      </c>
      <c r="O3967">
        <f>TEXT(B3967,"YYYY-MM")</f>
        <v/>
      </c>
    </row>
    <row r="3968">
      <c r="A3968" t="inlineStr">
        <is>
          <t>LD-303966</t>
        </is>
      </c>
      <c r="B3968" t="inlineStr">
        <is>
          <t>2025-06-03 20:21:00</t>
        </is>
      </c>
      <c r="C3968" t="inlineStr">
        <is>
          <t>Referral</t>
        </is>
      </c>
      <c r="D3968" t="inlineStr">
        <is>
          <t>Competitive Exam Prep</t>
        </is>
      </c>
      <c r="E3968" t="inlineStr">
        <is>
          <t>East Region</t>
        </is>
      </c>
      <c r="F3968" t="inlineStr">
        <is>
          <t>Rep_04</t>
        </is>
      </c>
      <c r="G3968" t="n">
        <v>0.45</v>
      </c>
      <c r="H3968" t="inlineStr">
        <is>
          <t>Contacted</t>
        </is>
      </c>
      <c r="I3968" t="inlineStr">
        <is>
          <t>Open</t>
        </is>
      </c>
      <c r="M3968">
        <f>VLOOKUP(H3968,'Stage Order'!$A$2:$B$8,2,FALSE)</f>
        <v/>
      </c>
      <c r="N3968">
        <f>IF(G3968&lt;=1,"1. Under 1 hour",IF(G3968&lt;=24,"2. 1-24 hours",IF(G3968&lt;=72,"3. 1-3 days","4. Over 3 days")))</f>
        <v/>
      </c>
      <c r="O3968">
        <f>TEXT(B3968,"YYYY-MM")</f>
        <v/>
      </c>
    </row>
    <row r="3969">
      <c r="A3969" t="inlineStr">
        <is>
          <t>LD-303967</t>
        </is>
      </c>
      <c r="B3969" t="inlineStr">
        <is>
          <t>2026-06-03 20:58:00</t>
        </is>
      </c>
      <c r="C3969" t="inlineStr">
        <is>
          <t>Cold Outreach</t>
        </is>
      </c>
      <c r="D3969" t="inlineStr">
        <is>
          <t>K-12 Math</t>
        </is>
      </c>
      <c r="E3969" t="inlineStr">
        <is>
          <t>West Region</t>
        </is>
      </c>
      <c r="F3969" t="inlineStr">
        <is>
          <t>Rep_03</t>
        </is>
      </c>
      <c r="G3969" t="n">
        <v>1.23</v>
      </c>
      <c r="H3969" t="inlineStr">
        <is>
          <t>Contacted</t>
        </is>
      </c>
      <c r="I3969" t="inlineStr">
        <is>
          <t>Open</t>
        </is>
      </c>
      <c r="M3969">
        <f>VLOOKUP(H3969,'Stage Order'!$A$2:$B$8,2,FALSE)</f>
        <v/>
      </c>
      <c r="N3969">
        <f>IF(G3969&lt;=1,"1. Under 1 hour",IF(G3969&lt;=24,"2. 1-24 hours",IF(G3969&lt;=72,"3. 1-3 days","4. Over 3 days")))</f>
        <v/>
      </c>
      <c r="O3969">
        <f>TEXT(B3969,"YYYY-MM")</f>
        <v/>
      </c>
    </row>
    <row r="3970">
      <c r="A3970" t="inlineStr">
        <is>
          <t>LD-303968</t>
        </is>
      </c>
      <c r="B3970" t="inlineStr">
        <is>
          <t>2026-05-08 10:26:00</t>
        </is>
      </c>
      <c r="C3970" t="inlineStr">
        <is>
          <t>Paid Search</t>
        </is>
      </c>
      <c r="D3970" t="inlineStr">
        <is>
          <t>K-12 Math</t>
        </is>
      </c>
      <c r="E3970" t="inlineStr">
        <is>
          <t>East Region</t>
        </is>
      </c>
      <c r="F3970" t="inlineStr">
        <is>
          <t>Rep_04</t>
        </is>
      </c>
      <c r="G3970" t="n">
        <v>2.89</v>
      </c>
      <c r="H3970" t="inlineStr">
        <is>
          <t>Lead</t>
        </is>
      </c>
      <c r="I3970" t="inlineStr">
        <is>
          <t>Open</t>
        </is>
      </c>
      <c r="M3970">
        <f>VLOOKUP(H3970,'Stage Order'!$A$2:$B$8,2,FALSE)</f>
        <v/>
      </c>
      <c r="N3970">
        <f>IF(G3970&lt;=1,"1. Under 1 hour",IF(G3970&lt;=24,"2. 1-24 hours",IF(G3970&lt;=72,"3. 1-3 days","4. Over 3 days")))</f>
        <v/>
      </c>
      <c r="O3970">
        <f>TEXT(B3970,"YYYY-MM")</f>
        <v/>
      </c>
    </row>
    <row r="3971">
      <c r="A3971" t="inlineStr">
        <is>
          <t>LD-303969</t>
        </is>
      </c>
      <c r="B3971" t="inlineStr">
        <is>
          <t>2025-04-21 17:21:00</t>
        </is>
      </c>
      <c r="C3971" t="inlineStr">
        <is>
          <t>Social Media</t>
        </is>
      </c>
      <c r="D3971" t="inlineStr">
        <is>
          <t>Coding for Kids</t>
        </is>
      </c>
      <c r="E3971" t="inlineStr">
        <is>
          <t>North Region</t>
        </is>
      </c>
      <c r="F3971" t="inlineStr">
        <is>
          <t>Rep_06</t>
        </is>
      </c>
      <c r="G3971" t="n">
        <v>14.67</v>
      </c>
      <c r="H3971" t="inlineStr">
        <is>
          <t>Demo Scheduled</t>
        </is>
      </c>
      <c r="I3971" t="inlineStr">
        <is>
          <t>Open</t>
        </is>
      </c>
      <c r="M3971">
        <f>VLOOKUP(H3971,'Stage Order'!$A$2:$B$8,2,FALSE)</f>
        <v/>
      </c>
      <c r="N3971">
        <f>IF(G3971&lt;=1,"1. Under 1 hour",IF(G3971&lt;=24,"2. 1-24 hours",IF(G3971&lt;=72,"3. 1-3 days","4. Over 3 days")))</f>
        <v/>
      </c>
      <c r="O3971">
        <f>TEXT(B3971,"YYYY-MM")</f>
        <v/>
      </c>
    </row>
    <row r="3972">
      <c r="A3972" t="inlineStr">
        <is>
          <t>LD-303970</t>
        </is>
      </c>
      <c r="B3972" t="inlineStr">
        <is>
          <t>2025-05-26 17:31:00</t>
        </is>
      </c>
      <c r="C3972" t="inlineStr">
        <is>
          <t>Referral</t>
        </is>
      </c>
      <c r="D3972" t="inlineStr">
        <is>
          <t>Coding for Kids</t>
        </is>
      </c>
      <c r="E3972" t="inlineStr">
        <is>
          <t>West Region</t>
        </is>
      </c>
      <c r="F3972" t="inlineStr">
        <is>
          <t>Rep_03</t>
        </is>
      </c>
      <c r="G3972" t="n">
        <v>3</v>
      </c>
      <c r="H3972" t="inlineStr">
        <is>
          <t>Negotiation</t>
        </is>
      </c>
      <c r="I3972" t="inlineStr">
        <is>
          <t>Lost</t>
        </is>
      </c>
      <c r="J3972" t="inlineStr">
        <is>
          <t>No Response / Ghosted</t>
        </is>
      </c>
      <c r="K3972" t="n">
        <v>598.53</v>
      </c>
      <c r="L3972" t="inlineStr">
        <is>
          <t>2025-06-25 18:18:02.558082</t>
        </is>
      </c>
      <c r="M3972">
        <f>VLOOKUP(H3972,'Stage Order'!$A$2:$B$8,2,FALSE)</f>
        <v/>
      </c>
      <c r="N3972">
        <f>IF(G3972&lt;=1,"1. Under 1 hour",IF(G3972&lt;=24,"2. 1-24 hours",IF(G3972&lt;=72,"3. 1-3 days","4. Over 3 days")))</f>
        <v/>
      </c>
      <c r="O3972">
        <f>TEXT(B3972,"YYYY-MM")</f>
        <v/>
      </c>
    </row>
    <row r="3973">
      <c r="A3973" t="inlineStr">
        <is>
          <t>LD-303971</t>
        </is>
      </c>
      <c r="B3973" t="inlineStr">
        <is>
          <t>2025-08-08 10:02:00</t>
        </is>
      </c>
      <c r="C3973" t="inlineStr">
        <is>
          <t>Paid Search</t>
        </is>
      </c>
      <c r="D3973" t="inlineStr">
        <is>
          <t>K-12 Math</t>
        </is>
      </c>
      <c r="E3973" t="inlineStr">
        <is>
          <t>West Region</t>
        </is>
      </c>
      <c r="F3973" t="inlineStr">
        <is>
          <t>Rep_13</t>
        </is>
      </c>
      <c r="G3973" t="n">
        <v>1.33</v>
      </c>
      <c r="H3973" t="inlineStr">
        <is>
          <t>Lead</t>
        </is>
      </c>
      <c r="I3973" t="inlineStr">
        <is>
          <t>Open</t>
        </is>
      </c>
      <c r="M3973">
        <f>VLOOKUP(H3973,'Stage Order'!$A$2:$B$8,2,FALSE)</f>
        <v/>
      </c>
      <c r="N3973">
        <f>IF(G3973&lt;=1,"1. Under 1 hour",IF(G3973&lt;=24,"2. 1-24 hours",IF(G3973&lt;=72,"3. 1-3 days","4. Over 3 days")))</f>
        <v/>
      </c>
      <c r="O3973">
        <f>TEXT(B3973,"YYYY-MM")</f>
        <v/>
      </c>
    </row>
    <row r="3974">
      <c r="A3974" t="inlineStr">
        <is>
          <t>LD-303972</t>
        </is>
      </c>
      <c r="B3974" t="inlineStr">
        <is>
          <t>2026-04-25 10:00:00</t>
        </is>
      </c>
      <c r="C3974" t="inlineStr">
        <is>
          <t>Organic Search</t>
        </is>
      </c>
      <c r="D3974" t="inlineStr">
        <is>
          <t>Coding for Kids</t>
        </is>
      </c>
      <c r="E3974" t="inlineStr">
        <is>
          <t>East Region</t>
        </is>
      </c>
      <c r="F3974" t="inlineStr">
        <is>
          <t>Rep_04</t>
        </is>
      </c>
      <c r="G3974" t="n">
        <v>2.47</v>
      </c>
      <c r="H3974" t="inlineStr">
        <is>
          <t>Contacted</t>
        </is>
      </c>
      <c r="I3974" t="inlineStr">
        <is>
          <t>Open</t>
        </is>
      </c>
      <c r="M3974">
        <f>VLOOKUP(H3974,'Stage Order'!$A$2:$B$8,2,FALSE)</f>
        <v/>
      </c>
      <c r="N3974">
        <f>IF(G3974&lt;=1,"1. Under 1 hour",IF(G3974&lt;=24,"2. 1-24 hours",IF(G3974&lt;=72,"3. 1-3 days","4. Over 3 days")))</f>
        <v/>
      </c>
      <c r="O3974">
        <f>TEXT(B3974,"YYYY-MM")</f>
        <v/>
      </c>
    </row>
    <row r="3975">
      <c r="A3975" t="inlineStr">
        <is>
          <t>LD-303973</t>
        </is>
      </c>
      <c r="B3975" t="inlineStr">
        <is>
          <t>2025-09-14 13:22:00</t>
        </is>
      </c>
      <c r="C3975" t="inlineStr">
        <is>
          <t>Organic Search</t>
        </is>
      </c>
      <c r="D3975" t="inlineStr">
        <is>
          <t>Competitive Exam Prep</t>
        </is>
      </c>
      <c r="E3975" t="inlineStr">
        <is>
          <t>East Region</t>
        </is>
      </c>
      <c r="F3975" t="inlineStr">
        <is>
          <t>Rep_04</t>
        </is>
      </c>
      <c r="G3975" t="n">
        <v>0.75</v>
      </c>
      <c r="H3975" t="inlineStr">
        <is>
          <t>Contacted</t>
        </is>
      </c>
      <c r="I3975" t="inlineStr">
        <is>
          <t>Open</t>
        </is>
      </c>
      <c r="M3975">
        <f>VLOOKUP(H3975,'Stage Order'!$A$2:$B$8,2,FALSE)</f>
        <v/>
      </c>
      <c r="N3975">
        <f>IF(G3975&lt;=1,"1. Under 1 hour",IF(G3975&lt;=24,"2. 1-24 hours",IF(G3975&lt;=72,"3. 1-3 days","4. Over 3 days")))</f>
        <v/>
      </c>
      <c r="O3975">
        <f>TEXT(B3975,"YYYY-MM")</f>
        <v/>
      </c>
    </row>
    <row r="3976">
      <c r="A3976" t="inlineStr">
        <is>
          <t>LD-303974</t>
        </is>
      </c>
      <c r="B3976" t="inlineStr">
        <is>
          <t>2026-06-12 08:32:00</t>
        </is>
      </c>
      <c r="C3976" t="inlineStr">
        <is>
          <t>Cold Outreach</t>
        </is>
      </c>
      <c r="D3976" t="inlineStr">
        <is>
          <t>K-12 Math</t>
        </is>
      </c>
      <c r="E3976" t="inlineStr">
        <is>
          <t>East Region</t>
        </is>
      </c>
      <c r="F3976" t="inlineStr">
        <is>
          <t>Rep_04</t>
        </is>
      </c>
      <c r="G3976" t="n">
        <v>2.8</v>
      </c>
      <c r="H3976" t="inlineStr">
        <is>
          <t>Proposal Sent</t>
        </is>
      </c>
      <c r="I3976" t="inlineStr">
        <is>
          <t>Lost</t>
        </is>
      </c>
      <c r="J3976" t="inlineStr">
        <is>
          <t>Price Objection</t>
        </is>
      </c>
      <c r="K3976" t="n">
        <v>449.82</v>
      </c>
      <c r="L3976" t="inlineStr">
        <is>
          <t>2026-07-25 00:18:46.095844</t>
        </is>
      </c>
      <c r="M3976">
        <f>VLOOKUP(H3976,'Stage Order'!$A$2:$B$8,2,FALSE)</f>
        <v/>
      </c>
      <c r="N3976">
        <f>IF(G3976&lt;=1,"1. Under 1 hour",IF(G3976&lt;=24,"2. 1-24 hours",IF(G3976&lt;=72,"3. 1-3 days","4. Over 3 days")))</f>
        <v/>
      </c>
      <c r="O3976">
        <f>TEXT(B3976,"YYYY-MM")</f>
        <v/>
      </c>
    </row>
    <row r="3977">
      <c r="A3977" t="inlineStr">
        <is>
          <t>LD-303975</t>
        </is>
      </c>
      <c r="B3977" t="inlineStr">
        <is>
          <t>2026-01-16 10:13:00</t>
        </is>
      </c>
      <c r="C3977" t="inlineStr">
        <is>
          <t>Cold Outreach</t>
        </is>
      </c>
      <c r="D3977" t="inlineStr">
        <is>
          <t>Coding for Kids</t>
        </is>
      </c>
      <c r="E3977" t="inlineStr">
        <is>
          <t>West Region</t>
        </is>
      </c>
      <c r="F3977" t="inlineStr">
        <is>
          <t>Rep_03</t>
        </is>
      </c>
      <c r="G3977" t="n">
        <v>6.57</v>
      </c>
      <c r="H3977" t="inlineStr">
        <is>
          <t>Demo Completed</t>
        </is>
      </c>
      <c r="I3977" t="inlineStr">
        <is>
          <t>Lost</t>
        </is>
      </c>
      <c r="J3977" t="inlineStr">
        <is>
          <t>Went With Competitor</t>
        </is>
      </c>
      <c r="K3977" t="n">
        <v>671.78</v>
      </c>
      <c r="L3977" t="inlineStr">
        <is>
          <t>2026-02-18 03:50:35.404930</t>
        </is>
      </c>
      <c r="M3977">
        <f>VLOOKUP(H3977,'Stage Order'!$A$2:$B$8,2,FALSE)</f>
        <v/>
      </c>
      <c r="N3977">
        <f>IF(G3977&lt;=1,"1. Under 1 hour",IF(G3977&lt;=24,"2. 1-24 hours",IF(G3977&lt;=72,"3. 1-3 days","4. Over 3 days")))</f>
        <v/>
      </c>
      <c r="O3977">
        <f>TEXT(B3977,"YYYY-MM")</f>
        <v/>
      </c>
    </row>
    <row r="3978">
      <c r="A3978" t="inlineStr">
        <is>
          <t>LD-303976</t>
        </is>
      </c>
      <c r="B3978" t="inlineStr">
        <is>
          <t>2025-02-11 07:52:00</t>
        </is>
      </c>
      <c r="C3978" t="inlineStr">
        <is>
          <t>Paid Search</t>
        </is>
      </c>
      <c r="D3978" t="inlineStr">
        <is>
          <t>Study Abroad Prep</t>
        </is>
      </c>
      <c r="E3978" t="inlineStr">
        <is>
          <t>South Region</t>
        </is>
      </c>
      <c r="F3978" t="inlineStr">
        <is>
          <t>Rep_02</t>
        </is>
      </c>
      <c r="G3978" t="n">
        <v>5.7</v>
      </c>
      <c r="H3978" t="inlineStr">
        <is>
          <t>Contacted</t>
        </is>
      </c>
      <c r="I3978" t="inlineStr">
        <is>
          <t>Open</t>
        </is>
      </c>
      <c r="M3978">
        <f>VLOOKUP(H3978,'Stage Order'!$A$2:$B$8,2,FALSE)</f>
        <v/>
      </c>
      <c r="N3978">
        <f>IF(G3978&lt;=1,"1. Under 1 hour",IF(G3978&lt;=24,"2. 1-24 hours",IF(G3978&lt;=72,"3. 1-3 days","4. Over 3 days")))</f>
        <v/>
      </c>
      <c r="O3978">
        <f>TEXT(B3978,"YYYY-MM")</f>
        <v/>
      </c>
    </row>
    <row r="3979">
      <c r="A3979" t="inlineStr">
        <is>
          <t>LD-303977</t>
        </is>
      </c>
      <c r="B3979" t="inlineStr">
        <is>
          <t>2025-12-09 15:29:00</t>
        </is>
      </c>
      <c r="C3979" t="inlineStr">
        <is>
          <t>Referral</t>
        </is>
      </c>
      <c r="D3979" t="inlineStr">
        <is>
          <t>K-12 Math</t>
        </is>
      </c>
      <c r="E3979" t="inlineStr">
        <is>
          <t>South Region</t>
        </is>
      </c>
      <c r="F3979" t="inlineStr">
        <is>
          <t>Rep_07</t>
        </is>
      </c>
      <c r="G3979" t="n">
        <v>4</v>
      </c>
      <c r="H3979" t="inlineStr">
        <is>
          <t>Closed</t>
        </is>
      </c>
      <c r="I3979" t="inlineStr">
        <is>
          <t>Won</t>
        </is>
      </c>
      <c r="K3979" t="n">
        <v>492.37</v>
      </c>
      <c r="L3979" t="inlineStr">
        <is>
          <t>2026-01-23 15:11:22.715928</t>
        </is>
      </c>
      <c r="M3979">
        <f>VLOOKUP(H3979,'Stage Order'!$A$2:$B$8,2,FALSE)</f>
        <v/>
      </c>
      <c r="N3979">
        <f>IF(G3979&lt;=1,"1. Under 1 hour",IF(G3979&lt;=24,"2. 1-24 hours",IF(G3979&lt;=72,"3. 1-3 days","4. Over 3 days")))</f>
        <v/>
      </c>
      <c r="O3979">
        <f>TEXT(B3979,"YYYY-MM")</f>
        <v/>
      </c>
    </row>
    <row r="3980">
      <c r="A3980" t="inlineStr">
        <is>
          <t>LD-303978</t>
        </is>
      </c>
      <c r="B3980" t="inlineStr">
        <is>
          <t>2025-05-22 09:52:00</t>
        </is>
      </c>
      <c r="C3980" t="inlineStr">
        <is>
          <t>Social Media</t>
        </is>
      </c>
      <c r="D3980" t="inlineStr">
        <is>
          <t>Language Learning</t>
        </is>
      </c>
      <c r="E3980" t="inlineStr">
        <is>
          <t>North Region</t>
        </is>
      </c>
      <c r="F3980" t="inlineStr">
        <is>
          <t>Rep_11</t>
        </is>
      </c>
      <c r="G3980" t="n">
        <v>4.11</v>
      </c>
      <c r="H3980" t="inlineStr">
        <is>
          <t>Lead</t>
        </is>
      </c>
      <c r="I3980" t="inlineStr">
        <is>
          <t>Open</t>
        </is>
      </c>
      <c r="M3980">
        <f>VLOOKUP(H3980,'Stage Order'!$A$2:$B$8,2,FALSE)</f>
        <v/>
      </c>
      <c r="N3980">
        <f>IF(G3980&lt;=1,"1. Under 1 hour",IF(G3980&lt;=24,"2. 1-24 hours",IF(G3980&lt;=72,"3. 1-3 days","4. Over 3 days")))</f>
        <v/>
      </c>
      <c r="O3980">
        <f>TEXT(B3980,"YYYY-MM")</f>
        <v/>
      </c>
    </row>
    <row r="3981">
      <c r="A3981" t="inlineStr">
        <is>
          <t>LD-303979</t>
        </is>
      </c>
      <c r="B3981" t="inlineStr">
        <is>
          <t>2025-05-14 13:43:00</t>
        </is>
      </c>
      <c r="C3981" t="inlineStr">
        <is>
          <t>Referral</t>
        </is>
      </c>
      <c r="D3981" t="inlineStr">
        <is>
          <t>Coding for Kids</t>
        </is>
      </c>
      <c r="E3981" t="inlineStr">
        <is>
          <t>North Region</t>
        </is>
      </c>
      <c r="F3981" t="inlineStr">
        <is>
          <t>Rep_01</t>
        </is>
      </c>
      <c r="G3981" t="n">
        <v>2.24</v>
      </c>
      <c r="H3981" t="inlineStr">
        <is>
          <t>Contacted</t>
        </is>
      </c>
      <c r="I3981" t="inlineStr">
        <is>
          <t>Open</t>
        </is>
      </c>
      <c r="M3981">
        <f>VLOOKUP(H3981,'Stage Order'!$A$2:$B$8,2,FALSE)</f>
        <v/>
      </c>
      <c r="N3981">
        <f>IF(G3981&lt;=1,"1. Under 1 hour",IF(G3981&lt;=24,"2. 1-24 hours",IF(G3981&lt;=72,"3. 1-3 days","4. Over 3 days")))</f>
        <v/>
      </c>
      <c r="O3981">
        <f>TEXT(B3981,"YYYY-MM")</f>
        <v/>
      </c>
    </row>
    <row r="3982">
      <c r="A3982" t="inlineStr">
        <is>
          <t>LD-303980</t>
        </is>
      </c>
      <c r="B3982" t="inlineStr">
        <is>
          <t>2025-12-11 18:49:00</t>
        </is>
      </c>
      <c r="C3982" t="inlineStr">
        <is>
          <t>Paid Search</t>
        </is>
      </c>
      <c r="D3982" t="inlineStr">
        <is>
          <t>Study Abroad Prep</t>
        </is>
      </c>
      <c r="E3982" t="inlineStr">
        <is>
          <t>South Region</t>
        </is>
      </c>
      <c r="F3982" t="inlineStr">
        <is>
          <t>Rep_07</t>
        </is>
      </c>
      <c r="G3982" t="n">
        <v>1.91</v>
      </c>
      <c r="H3982" t="inlineStr">
        <is>
          <t>Lead</t>
        </is>
      </c>
      <c r="I3982" t="inlineStr">
        <is>
          <t>Open</t>
        </is>
      </c>
      <c r="M3982">
        <f>VLOOKUP(H3982,'Stage Order'!$A$2:$B$8,2,FALSE)</f>
        <v/>
      </c>
      <c r="N3982">
        <f>IF(G3982&lt;=1,"1. Under 1 hour",IF(G3982&lt;=24,"2. 1-24 hours",IF(G3982&lt;=72,"3. 1-3 days","4. Over 3 days")))</f>
        <v/>
      </c>
      <c r="O3982">
        <f>TEXT(B3982,"YYYY-MM")</f>
        <v/>
      </c>
    </row>
    <row r="3983">
      <c r="A3983" t="inlineStr">
        <is>
          <t>LD-303981</t>
        </is>
      </c>
      <c r="B3983" t="inlineStr">
        <is>
          <t>2026-05-11 16:41:00</t>
        </is>
      </c>
      <c r="C3983" t="inlineStr">
        <is>
          <t>Referral</t>
        </is>
      </c>
      <c r="D3983" t="inlineStr">
        <is>
          <t>K-12 Math</t>
        </is>
      </c>
      <c r="E3983" t="inlineStr">
        <is>
          <t>International</t>
        </is>
      </c>
      <c r="F3983" t="inlineStr">
        <is>
          <t>Rep_10</t>
        </is>
      </c>
      <c r="G3983" t="n">
        <v>2.14</v>
      </c>
      <c r="H3983" t="inlineStr">
        <is>
          <t>Contacted</t>
        </is>
      </c>
      <c r="I3983" t="inlineStr">
        <is>
          <t>Open</t>
        </is>
      </c>
      <c r="M3983">
        <f>VLOOKUP(H3983,'Stage Order'!$A$2:$B$8,2,FALSE)</f>
        <v/>
      </c>
      <c r="N3983">
        <f>IF(G3983&lt;=1,"1. Under 1 hour",IF(G3983&lt;=24,"2. 1-24 hours",IF(G3983&lt;=72,"3. 1-3 days","4. Over 3 days")))</f>
        <v/>
      </c>
      <c r="O3983">
        <f>TEXT(B3983,"YYYY-MM")</f>
        <v/>
      </c>
    </row>
    <row r="3984">
      <c r="A3984" t="inlineStr">
        <is>
          <t>LD-303982</t>
        </is>
      </c>
      <c r="B3984" t="inlineStr">
        <is>
          <t>2025-04-03 15:24:00</t>
        </is>
      </c>
      <c r="C3984" t="inlineStr">
        <is>
          <t>Webinar</t>
        </is>
      </c>
      <c r="D3984" t="inlineStr">
        <is>
          <t>Study Abroad Prep</t>
        </is>
      </c>
      <c r="E3984" t="inlineStr">
        <is>
          <t>West Region</t>
        </is>
      </c>
      <c r="F3984" t="inlineStr">
        <is>
          <t>Rep_08</t>
        </is>
      </c>
      <c r="G3984" t="n">
        <v>2.9</v>
      </c>
      <c r="H3984" t="inlineStr">
        <is>
          <t>Closed</t>
        </is>
      </c>
      <c r="I3984" t="inlineStr">
        <is>
          <t>Won</t>
        </is>
      </c>
      <c r="K3984" t="n">
        <v>1603.27</v>
      </c>
      <c r="L3984" t="inlineStr">
        <is>
          <t>2025-05-14 12:21:55.600371</t>
        </is>
      </c>
      <c r="M3984">
        <f>VLOOKUP(H3984,'Stage Order'!$A$2:$B$8,2,FALSE)</f>
        <v/>
      </c>
      <c r="N3984">
        <f>IF(G3984&lt;=1,"1. Under 1 hour",IF(G3984&lt;=24,"2. 1-24 hours",IF(G3984&lt;=72,"3. 1-3 days","4. Over 3 days")))</f>
        <v/>
      </c>
      <c r="O3984">
        <f>TEXT(B3984,"YYYY-MM")</f>
        <v/>
      </c>
    </row>
    <row r="3985">
      <c r="A3985" t="inlineStr">
        <is>
          <t>LD-303983</t>
        </is>
      </c>
      <c r="B3985" t="inlineStr">
        <is>
          <t>2025-09-05 11:57:00</t>
        </is>
      </c>
      <c r="C3985" t="inlineStr">
        <is>
          <t>Referral</t>
        </is>
      </c>
      <c r="D3985" t="inlineStr">
        <is>
          <t>Competitive Exam Prep</t>
        </is>
      </c>
      <c r="E3985" t="inlineStr">
        <is>
          <t>South Region</t>
        </is>
      </c>
      <c r="F3985" t="inlineStr">
        <is>
          <t>Rep_12</t>
        </is>
      </c>
      <c r="G3985" t="n">
        <v>6.16</v>
      </c>
      <c r="H3985" t="inlineStr">
        <is>
          <t>Contacted</t>
        </is>
      </c>
      <c r="I3985" t="inlineStr">
        <is>
          <t>Open</t>
        </is>
      </c>
      <c r="M3985">
        <f>VLOOKUP(H3985,'Stage Order'!$A$2:$B$8,2,FALSE)</f>
        <v/>
      </c>
      <c r="N3985">
        <f>IF(G3985&lt;=1,"1. Under 1 hour",IF(G3985&lt;=24,"2. 1-24 hours",IF(G3985&lt;=72,"3. 1-3 days","4. Over 3 days")))</f>
        <v/>
      </c>
      <c r="O3985">
        <f>TEXT(B3985,"YYYY-MM")</f>
        <v/>
      </c>
    </row>
    <row r="3986">
      <c r="A3986" t="inlineStr">
        <is>
          <t>LD-303984</t>
        </is>
      </c>
      <c r="B3986" t="inlineStr">
        <is>
          <t>2025-03-21 17:27:00</t>
        </is>
      </c>
      <c r="C3986" t="inlineStr">
        <is>
          <t>Paid Search</t>
        </is>
      </c>
      <c r="D3986" t="inlineStr">
        <is>
          <t>K-12 Math</t>
        </is>
      </c>
      <c r="E3986" t="inlineStr">
        <is>
          <t>West Region</t>
        </is>
      </c>
      <c r="F3986" t="inlineStr">
        <is>
          <t>Rep_03</t>
        </is>
      </c>
      <c r="G3986" t="n">
        <v>3.14</v>
      </c>
      <c r="H3986" t="inlineStr">
        <is>
          <t>Lead</t>
        </is>
      </c>
      <c r="I3986" t="inlineStr">
        <is>
          <t>Open</t>
        </is>
      </c>
      <c r="M3986">
        <f>VLOOKUP(H3986,'Stage Order'!$A$2:$B$8,2,FALSE)</f>
        <v/>
      </c>
      <c r="N3986">
        <f>IF(G3986&lt;=1,"1. Under 1 hour",IF(G3986&lt;=24,"2. 1-24 hours",IF(G3986&lt;=72,"3. 1-3 days","4. Over 3 days")))</f>
        <v/>
      </c>
      <c r="O3986">
        <f>TEXT(B3986,"YYYY-MM")</f>
        <v/>
      </c>
    </row>
    <row r="3987">
      <c r="A3987" t="inlineStr">
        <is>
          <t>LD-303985</t>
        </is>
      </c>
      <c r="B3987" t="inlineStr">
        <is>
          <t>2025-02-22 10:41:00</t>
        </is>
      </c>
      <c r="C3987" t="inlineStr">
        <is>
          <t>Paid Search</t>
        </is>
      </c>
      <c r="D3987" t="inlineStr">
        <is>
          <t>Coding for Kids</t>
        </is>
      </c>
      <c r="E3987" t="inlineStr">
        <is>
          <t>East Region</t>
        </is>
      </c>
      <c r="F3987" t="inlineStr">
        <is>
          <t>Rep_04</t>
        </is>
      </c>
      <c r="G3987" t="n">
        <v>2.38</v>
      </c>
      <c r="H3987" t="inlineStr">
        <is>
          <t>Lead</t>
        </is>
      </c>
      <c r="I3987" t="inlineStr">
        <is>
          <t>Open</t>
        </is>
      </c>
      <c r="M3987">
        <f>VLOOKUP(H3987,'Stage Order'!$A$2:$B$8,2,FALSE)</f>
        <v/>
      </c>
      <c r="N3987">
        <f>IF(G3987&lt;=1,"1. Under 1 hour",IF(G3987&lt;=24,"2. 1-24 hours",IF(G3987&lt;=72,"3. 1-3 days","4. Over 3 days")))</f>
        <v/>
      </c>
      <c r="O3987">
        <f>TEXT(B3987,"YYYY-MM")</f>
        <v/>
      </c>
    </row>
    <row r="3988">
      <c r="A3988" t="inlineStr">
        <is>
          <t>LD-303986</t>
        </is>
      </c>
      <c r="B3988" t="inlineStr">
        <is>
          <t>2026-04-19 12:49:00</t>
        </is>
      </c>
      <c r="C3988" t="inlineStr">
        <is>
          <t>Organic Search</t>
        </is>
      </c>
      <c r="D3988" t="inlineStr">
        <is>
          <t>Language Learning</t>
        </is>
      </c>
      <c r="E3988" t="inlineStr">
        <is>
          <t>East Region</t>
        </is>
      </c>
      <c r="F3988" t="inlineStr">
        <is>
          <t>Rep_14</t>
        </is>
      </c>
      <c r="G3988" t="n">
        <v>3.93</v>
      </c>
      <c r="H3988" t="inlineStr">
        <is>
          <t>Contacted</t>
        </is>
      </c>
      <c r="I3988" t="inlineStr">
        <is>
          <t>Open</t>
        </is>
      </c>
      <c r="M3988">
        <f>VLOOKUP(H3988,'Stage Order'!$A$2:$B$8,2,FALSE)</f>
        <v/>
      </c>
      <c r="N3988">
        <f>IF(G3988&lt;=1,"1. Under 1 hour",IF(G3988&lt;=24,"2. 1-24 hours",IF(G3988&lt;=72,"3. 1-3 days","4. Over 3 days")))</f>
        <v/>
      </c>
      <c r="O3988">
        <f>TEXT(B3988,"YYYY-MM")</f>
        <v/>
      </c>
    </row>
    <row r="3989">
      <c r="A3989" t="inlineStr">
        <is>
          <t>LD-303987</t>
        </is>
      </c>
      <c r="B3989" t="inlineStr">
        <is>
          <t>2025-01-27 17:45:00</t>
        </is>
      </c>
      <c r="C3989" t="inlineStr">
        <is>
          <t>Organic Search</t>
        </is>
      </c>
      <c r="D3989" t="inlineStr">
        <is>
          <t>Language Learning</t>
        </is>
      </c>
      <c r="E3989" t="inlineStr">
        <is>
          <t>East Region</t>
        </is>
      </c>
      <c r="F3989" t="inlineStr">
        <is>
          <t>Rep_04</t>
        </is>
      </c>
      <c r="G3989" t="n">
        <v>3.46</v>
      </c>
      <c r="H3989" t="inlineStr">
        <is>
          <t>Contacted</t>
        </is>
      </c>
      <c r="I3989" t="inlineStr">
        <is>
          <t>Open</t>
        </is>
      </c>
      <c r="M3989">
        <f>VLOOKUP(H3989,'Stage Order'!$A$2:$B$8,2,FALSE)</f>
        <v/>
      </c>
      <c r="N3989">
        <f>IF(G3989&lt;=1,"1. Under 1 hour",IF(G3989&lt;=24,"2. 1-24 hours",IF(G3989&lt;=72,"3. 1-3 days","4. Over 3 days")))</f>
        <v/>
      </c>
      <c r="O3989">
        <f>TEXT(B3989,"YYYY-MM")</f>
        <v/>
      </c>
    </row>
    <row r="3990">
      <c r="A3990" t="inlineStr">
        <is>
          <t>LD-303988</t>
        </is>
      </c>
      <c r="B3990" t="inlineStr">
        <is>
          <t>2025-03-25 13:33:00</t>
        </is>
      </c>
      <c r="C3990" t="inlineStr">
        <is>
          <t>Partner Channel</t>
        </is>
      </c>
      <c r="D3990" t="inlineStr">
        <is>
          <t>Competitive Exam Prep</t>
        </is>
      </c>
      <c r="E3990" t="inlineStr">
        <is>
          <t>West Region</t>
        </is>
      </c>
      <c r="F3990" t="inlineStr">
        <is>
          <t>Rep_08</t>
        </is>
      </c>
      <c r="G3990" t="n">
        <v>4.7</v>
      </c>
      <c r="H3990" t="inlineStr">
        <is>
          <t>Closed</t>
        </is>
      </c>
      <c r="I3990" t="inlineStr">
        <is>
          <t>Won</t>
        </is>
      </c>
      <c r="K3990" t="n">
        <v>1139.52</v>
      </c>
      <c r="L3990" t="inlineStr">
        <is>
          <t>2025-05-10 05:49:39.569397</t>
        </is>
      </c>
      <c r="M3990">
        <f>VLOOKUP(H3990,'Stage Order'!$A$2:$B$8,2,FALSE)</f>
        <v/>
      </c>
      <c r="N3990">
        <f>IF(G3990&lt;=1,"1. Under 1 hour",IF(G3990&lt;=24,"2. 1-24 hours",IF(G3990&lt;=72,"3. 1-3 days","4. Over 3 days")))</f>
        <v/>
      </c>
      <c r="O3990">
        <f>TEXT(B3990,"YYYY-MM")</f>
        <v/>
      </c>
    </row>
    <row r="3991">
      <c r="A3991" t="inlineStr">
        <is>
          <t>LD-303989</t>
        </is>
      </c>
      <c r="B3991" t="inlineStr">
        <is>
          <t>2025-05-16 17:54:00</t>
        </is>
      </c>
      <c r="C3991" t="inlineStr">
        <is>
          <t>Social Media</t>
        </is>
      </c>
      <c r="D3991" t="inlineStr">
        <is>
          <t>Language Learning</t>
        </is>
      </c>
      <c r="E3991" t="inlineStr">
        <is>
          <t>West Region</t>
        </is>
      </c>
      <c r="F3991" t="inlineStr">
        <is>
          <t>Rep_13</t>
        </is>
      </c>
      <c r="G3991" t="n">
        <v>2.05</v>
      </c>
      <c r="H3991" t="inlineStr">
        <is>
          <t>Lead</t>
        </is>
      </c>
      <c r="I3991" t="inlineStr">
        <is>
          <t>Open</t>
        </is>
      </c>
      <c r="M3991">
        <f>VLOOKUP(H3991,'Stage Order'!$A$2:$B$8,2,FALSE)</f>
        <v/>
      </c>
      <c r="N3991">
        <f>IF(G3991&lt;=1,"1. Under 1 hour",IF(G3991&lt;=24,"2. 1-24 hours",IF(G3991&lt;=72,"3. 1-3 days","4. Over 3 days")))</f>
        <v/>
      </c>
      <c r="O3991">
        <f>TEXT(B3991,"YYYY-MM")</f>
        <v/>
      </c>
    </row>
    <row r="3992">
      <c r="A3992" t="inlineStr">
        <is>
          <t>LD-303990</t>
        </is>
      </c>
      <c r="B3992" t="inlineStr">
        <is>
          <t>2025-12-09 10:06:00</t>
        </is>
      </c>
      <c r="C3992" t="inlineStr">
        <is>
          <t>Paid Search</t>
        </is>
      </c>
      <c r="D3992" t="inlineStr">
        <is>
          <t>Language Learning</t>
        </is>
      </c>
      <c r="E3992" t="inlineStr">
        <is>
          <t>West Region</t>
        </is>
      </c>
      <c r="F3992" t="inlineStr">
        <is>
          <t>Rep_08</t>
        </is>
      </c>
      <c r="G3992" t="n">
        <v>5.97</v>
      </c>
      <c r="H3992" t="inlineStr">
        <is>
          <t>Contacted</t>
        </is>
      </c>
      <c r="I3992" t="inlineStr">
        <is>
          <t>Open</t>
        </is>
      </c>
      <c r="M3992">
        <f>VLOOKUP(H3992,'Stage Order'!$A$2:$B$8,2,FALSE)</f>
        <v/>
      </c>
      <c r="N3992">
        <f>IF(G3992&lt;=1,"1. Under 1 hour",IF(G3992&lt;=24,"2. 1-24 hours",IF(G3992&lt;=72,"3. 1-3 days","4. Over 3 days")))</f>
        <v/>
      </c>
      <c r="O3992">
        <f>TEXT(B3992,"YYYY-MM")</f>
        <v/>
      </c>
    </row>
    <row r="3993">
      <c r="A3993" t="inlineStr">
        <is>
          <t>LD-303991</t>
        </is>
      </c>
      <c r="B3993" t="inlineStr">
        <is>
          <t>2025-12-16 12:32:00</t>
        </is>
      </c>
      <c r="C3993" t="inlineStr">
        <is>
          <t>Organic Search</t>
        </is>
      </c>
      <c r="D3993" t="inlineStr">
        <is>
          <t>K-12 Math</t>
        </is>
      </c>
      <c r="E3993" t="inlineStr">
        <is>
          <t>International</t>
        </is>
      </c>
      <c r="F3993" t="inlineStr">
        <is>
          <t>Rep_05</t>
        </is>
      </c>
      <c r="G3993" t="n">
        <v>8.42</v>
      </c>
      <c r="H3993" t="inlineStr">
        <is>
          <t>Contacted</t>
        </is>
      </c>
      <c r="I3993" t="inlineStr">
        <is>
          <t>Open</t>
        </is>
      </c>
      <c r="M3993">
        <f>VLOOKUP(H3993,'Stage Order'!$A$2:$B$8,2,FALSE)</f>
        <v/>
      </c>
      <c r="N3993">
        <f>IF(G3993&lt;=1,"1. Under 1 hour",IF(G3993&lt;=24,"2. 1-24 hours",IF(G3993&lt;=72,"3. 1-3 days","4. Over 3 days")))</f>
        <v/>
      </c>
      <c r="O3993">
        <f>TEXT(B3993,"YYYY-MM")</f>
        <v/>
      </c>
    </row>
    <row r="3994">
      <c r="A3994" t="inlineStr">
        <is>
          <t>LD-303992</t>
        </is>
      </c>
      <c r="B3994" t="inlineStr">
        <is>
          <t>2026-05-28 07:29:00</t>
        </is>
      </c>
      <c r="C3994" t="inlineStr">
        <is>
          <t>Organic Search</t>
        </is>
      </c>
      <c r="D3994" t="inlineStr">
        <is>
          <t>K-12 Math</t>
        </is>
      </c>
      <c r="E3994" t="inlineStr">
        <is>
          <t>South Region</t>
        </is>
      </c>
      <c r="F3994" t="inlineStr">
        <is>
          <t>Rep_07</t>
        </is>
      </c>
      <c r="G3994" t="n">
        <v>3.32</v>
      </c>
      <c r="H3994" t="inlineStr">
        <is>
          <t>Contacted</t>
        </is>
      </c>
      <c r="I3994" t="inlineStr">
        <is>
          <t>Open</t>
        </is>
      </c>
      <c r="M3994">
        <f>VLOOKUP(H3994,'Stage Order'!$A$2:$B$8,2,FALSE)</f>
        <v/>
      </c>
      <c r="N3994">
        <f>IF(G3994&lt;=1,"1. Under 1 hour",IF(G3994&lt;=24,"2. 1-24 hours",IF(G3994&lt;=72,"3. 1-3 days","4. Over 3 days")))</f>
        <v/>
      </c>
      <c r="O3994">
        <f>TEXT(B3994,"YYYY-MM")</f>
        <v/>
      </c>
    </row>
    <row r="3995">
      <c r="A3995" t="inlineStr">
        <is>
          <t>LD-303993</t>
        </is>
      </c>
      <c r="B3995" t="inlineStr">
        <is>
          <t>2025-07-25 20:46:00</t>
        </is>
      </c>
      <c r="C3995" t="inlineStr">
        <is>
          <t>Webinar</t>
        </is>
      </c>
      <c r="D3995" t="inlineStr">
        <is>
          <t>Competitive Exam Prep</t>
        </is>
      </c>
      <c r="E3995" t="inlineStr">
        <is>
          <t>West Region</t>
        </is>
      </c>
      <c r="F3995" t="inlineStr">
        <is>
          <t>Rep_13</t>
        </is>
      </c>
      <c r="G3995" t="n">
        <v>6.23</v>
      </c>
      <c r="H3995" t="inlineStr">
        <is>
          <t>Closed</t>
        </is>
      </c>
      <c r="I3995" t="inlineStr">
        <is>
          <t>Won</t>
        </is>
      </c>
      <c r="K3995" t="n">
        <v>829.75</v>
      </c>
      <c r="L3995" t="inlineStr">
        <is>
          <t>2025-08-27 14:18:33.318934</t>
        </is>
      </c>
      <c r="M3995">
        <f>VLOOKUP(H3995,'Stage Order'!$A$2:$B$8,2,FALSE)</f>
        <v/>
      </c>
      <c r="N3995">
        <f>IF(G3995&lt;=1,"1. Under 1 hour",IF(G3995&lt;=24,"2. 1-24 hours",IF(G3995&lt;=72,"3. 1-3 days","4. Over 3 days")))</f>
        <v/>
      </c>
      <c r="O3995">
        <f>TEXT(B3995,"YYYY-MM")</f>
        <v/>
      </c>
    </row>
    <row r="3996">
      <c r="A3996" t="inlineStr">
        <is>
          <t>LD-303994</t>
        </is>
      </c>
      <c r="B3996" t="inlineStr">
        <is>
          <t>2025-09-18 18:23:00</t>
        </is>
      </c>
      <c r="C3996" t="inlineStr">
        <is>
          <t>Organic Search</t>
        </is>
      </c>
      <c r="D3996" t="inlineStr">
        <is>
          <t>K-12 Math</t>
        </is>
      </c>
      <c r="E3996" t="inlineStr">
        <is>
          <t>East Region</t>
        </is>
      </c>
      <c r="F3996" t="inlineStr">
        <is>
          <t>Rep_09</t>
        </is>
      </c>
      <c r="G3996" t="n">
        <v>3.95</v>
      </c>
      <c r="H3996" t="inlineStr">
        <is>
          <t>Contacted</t>
        </is>
      </c>
      <c r="I3996" t="inlineStr">
        <is>
          <t>Open</t>
        </is>
      </c>
      <c r="M3996">
        <f>VLOOKUP(H3996,'Stage Order'!$A$2:$B$8,2,FALSE)</f>
        <v/>
      </c>
      <c r="N3996">
        <f>IF(G3996&lt;=1,"1. Under 1 hour",IF(G3996&lt;=24,"2. 1-24 hours",IF(G3996&lt;=72,"3. 1-3 days","4. Over 3 days")))</f>
        <v/>
      </c>
      <c r="O3996">
        <f>TEXT(B3996,"YYYY-MM")</f>
        <v/>
      </c>
    </row>
    <row r="3997">
      <c r="A3997" t="inlineStr">
        <is>
          <t>LD-303995</t>
        </is>
      </c>
      <c r="B3997" t="inlineStr">
        <is>
          <t>2025-08-14 10:55:00</t>
        </is>
      </c>
      <c r="C3997" t="inlineStr">
        <is>
          <t>Referral</t>
        </is>
      </c>
      <c r="D3997" t="inlineStr">
        <is>
          <t>Competitive Exam Prep</t>
        </is>
      </c>
      <c r="E3997" t="inlineStr">
        <is>
          <t>East Region</t>
        </is>
      </c>
      <c r="F3997" t="inlineStr">
        <is>
          <t>Rep_04</t>
        </is>
      </c>
      <c r="G3997" t="n">
        <v>0.74</v>
      </c>
      <c r="H3997" t="inlineStr">
        <is>
          <t>Closed</t>
        </is>
      </c>
      <c r="I3997" t="inlineStr">
        <is>
          <t>Won</t>
        </is>
      </c>
      <c r="K3997" t="n">
        <v>1130.42</v>
      </c>
      <c r="L3997" t="inlineStr">
        <is>
          <t>2025-10-07 06:04:39.478186</t>
        </is>
      </c>
      <c r="M3997">
        <f>VLOOKUP(H3997,'Stage Order'!$A$2:$B$8,2,FALSE)</f>
        <v/>
      </c>
      <c r="N3997">
        <f>IF(G3997&lt;=1,"1. Under 1 hour",IF(G3997&lt;=24,"2. 1-24 hours",IF(G3997&lt;=72,"3. 1-3 days","4. Over 3 days")))</f>
        <v/>
      </c>
      <c r="O3997">
        <f>TEXT(B3997,"YYYY-MM")</f>
        <v/>
      </c>
    </row>
    <row r="3998">
      <c r="A3998" t="inlineStr">
        <is>
          <t>LD-303996</t>
        </is>
      </c>
      <c r="B3998" t="inlineStr">
        <is>
          <t>2025-12-23 07:54:00</t>
        </is>
      </c>
      <c r="C3998" t="inlineStr">
        <is>
          <t>Paid Search</t>
        </is>
      </c>
      <c r="D3998" t="inlineStr">
        <is>
          <t>Competitive Exam Prep</t>
        </is>
      </c>
      <c r="E3998" t="inlineStr">
        <is>
          <t>International</t>
        </is>
      </c>
      <c r="F3998" t="inlineStr">
        <is>
          <t>Rep_10</t>
        </is>
      </c>
      <c r="G3998" t="n">
        <v>4.49</v>
      </c>
      <c r="H3998" t="inlineStr">
        <is>
          <t>Contacted</t>
        </is>
      </c>
      <c r="I3998" t="inlineStr">
        <is>
          <t>Open</t>
        </is>
      </c>
      <c r="M3998">
        <f>VLOOKUP(H3998,'Stage Order'!$A$2:$B$8,2,FALSE)</f>
        <v/>
      </c>
      <c r="N3998">
        <f>IF(G3998&lt;=1,"1. Under 1 hour",IF(G3998&lt;=24,"2. 1-24 hours",IF(G3998&lt;=72,"3. 1-3 days","4. Over 3 days")))</f>
        <v/>
      </c>
      <c r="O3998">
        <f>TEXT(B3998,"YYYY-MM")</f>
        <v/>
      </c>
    </row>
    <row r="3999">
      <c r="A3999" t="inlineStr">
        <is>
          <t>LD-303997</t>
        </is>
      </c>
      <c r="B3999" t="inlineStr">
        <is>
          <t>2025-12-10 17:52:00</t>
        </is>
      </c>
      <c r="C3999" t="inlineStr">
        <is>
          <t>Webinar</t>
        </is>
      </c>
      <c r="D3999" t="inlineStr">
        <is>
          <t>K-12 Math</t>
        </is>
      </c>
      <c r="E3999" t="inlineStr">
        <is>
          <t>North Region</t>
        </is>
      </c>
      <c r="F3999" t="inlineStr">
        <is>
          <t>Rep_06</t>
        </is>
      </c>
      <c r="G3999" t="n">
        <v>2.08</v>
      </c>
      <c r="H3999" t="inlineStr">
        <is>
          <t>Contacted</t>
        </is>
      </c>
      <c r="I3999" t="inlineStr">
        <is>
          <t>Open</t>
        </is>
      </c>
      <c r="M3999">
        <f>VLOOKUP(H3999,'Stage Order'!$A$2:$B$8,2,FALSE)</f>
        <v/>
      </c>
      <c r="N3999">
        <f>IF(G3999&lt;=1,"1. Under 1 hour",IF(G3999&lt;=24,"2. 1-24 hours",IF(G3999&lt;=72,"3. 1-3 days","4. Over 3 days")))</f>
        <v/>
      </c>
      <c r="O3999">
        <f>TEXT(B3999,"YYYY-MM")</f>
        <v/>
      </c>
    </row>
    <row r="4000">
      <c r="A4000" t="inlineStr">
        <is>
          <t>LD-303998</t>
        </is>
      </c>
      <c r="B4000" t="inlineStr">
        <is>
          <t>2025-04-03 14:41:00</t>
        </is>
      </c>
      <c r="C4000" t="inlineStr">
        <is>
          <t>Social Media</t>
        </is>
      </c>
      <c r="D4000" t="inlineStr">
        <is>
          <t>K-12 Math</t>
        </is>
      </c>
      <c r="E4000" t="inlineStr">
        <is>
          <t>West Region</t>
        </is>
      </c>
      <c r="F4000" t="inlineStr">
        <is>
          <t>Rep_13</t>
        </is>
      </c>
      <c r="G4000" t="n">
        <v>1.18</v>
      </c>
      <c r="H4000" t="inlineStr">
        <is>
          <t>Negotiation</t>
        </is>
      </c>
      <c r="I4000" t="inlineStr">
        <is>
          <t>Lost</t>
        </is>
      </c>
      <c r="J4000" t="inlineStr">
        <is>
          <t>Budget Not Approved</t>
        </is>
      </c>
      <c r="K4000" t="n">
        <v>522.16</v>
      </c>
      <c r="L4000" t="inlineStr">
        <is>
          <t>2025-05-25 07:07:13.218806</t>
        </is>
      </c>
      <c r="M4000">
        <f>VLOOKUP(H4000,'Stage Order'!$A$2:$B$8,2,FALSE)</f>
        <v/>
      </c>
      <c r="N4000">
        <f>IF(G4000&lt;=1,"1. Under 1 hour",IF(G4000&lt;=24,"2. 1-24 hours",IF(G4000&lt;=72,"3. 1-3 days","4. Over 3 days")))</f>
        <v/>
      </c>
      <c r="O4000">
        <f>TEXT(B4000,"YYYY-MM")</f>
        <v/>
      </c>
    </row>
    <row r="4001">
      <c r="A4001" t="inlineStr">
        <is>
          <t>LD-303999</t>
        </is>
      </c>
      <c r="B4001" t="inlineStr">
        <is>
          <t>2025-03-24 17:47:00</t>
        </is>
      </c>
      <c r="C4001" t="inlineStr">
        <is>
          <t>Social Media</t>
        </is>
      </c>
      <c r="D4001" t="inlineStr">
        <is>
          <t>K-12 Math</t>
        </is>
      </c>
      <c r="E4001" t="inlineStr">
        <is>
          <t>South Region</t>
        </is>
      </c>
      <c r="F4001" t="inlineStr">
        <is>
          <t>Rep_02</t>
        </is>
      </c>
      <c r="G4001" t="n">
        <v>13.48</v>
      </c>
      <c r="H4001" t="inlineStr">
        <is>
          <t>Closed</t>
        </is>
      </c>
      <c r="I4001" t="inlineStr">
        <is>
          <t>Won</t>
        </is>
      </c>
      <c r="K4001" t="n">
        <v>577.37</v>
      </c>
      <c r="L4001" t="inlineStr">
        <is>
          <t>2025-04-26 05:09:57.963723</t>
        </is>
      </c>
      <c r="M4001">
        <f>VLOOKUP(H4001,'Stage Order'!$A$2:$B$8,2,FALSE)</f>
        <v/>
      </c>
      <c r="N4001">
        <f>IF(G4001&lt;=1,"1. Under 1 hour",IF(G4001&lt;=24,"2. 1-24 hours",IF(G4001&lt;=72,"3. 1-3 days","4. Over 3 days")))</f>
        <v/>
      </c>
      <c r="O4001">
        <f>TEXT(B4001,"YYYY-MM")</f>
        <v/>
      </c>
    </row>
    <row r="4002">
      <c r="A4002" t="inlineStr">
        <is>
          <t>LD-304000</t>
        </is>
      </c>
      <c r="B4002" t="inlineStr">
        <is>
          <t>2025-01-01 10:59:00</t>
        </is>
      </c>
      <c r="C4002" t="inlineStr">
        <is>
          <t>Paid Search</t>
        </is>
      </c>
      <c r="D4002" t="inlineStr">
        <is>
          <t>K-12 Math</t>
        </is>
      </c>
      <c r="E4002" t="inlineStr">
        <is>
          <t>International</t>
        </is>
      </c>
      <c r="F4002" t="inlineStr">
        <is>
          <t>Rep_05</t>
        </is>
      </c>
      <c r="G4002" t="n">
        <v>5.05</v>
      </c>
      <c r="H4002" t="inlineStr">
        <is>
          <t>Lead</t>
        </is>
      </c>
      <c r="I4002" t="inlineStr">
        <is>
          <t>Open</t>
        </is>
      </c>
      <c r="M4002">
        <f>VLOOKUP(H4002,'Stage Order'!$A$2:$B$8,2,FALSE)</f>
        <v/>
      </c>
      <c r="N4002">
        <f>IF(G4002&lt;=1,"1. Under 1 hour",IF(G4002&lt;=24,"2. 1-24 hours",IF(G4002&lt;=72,"3. 1-3 days","4. Over 3 days")))</f>
        <v/>
      </c>
      <c r="O4002">
        <f>TEXT(B4002,"YYYY-MM")</f>
        <v/>
      </c>
    </row>
    <row r="4003">
      <c r="A4003" t="inlineStr">
        <is>
          <t>LD-304001</t>
        </is>
      </c>
      <c r="B4003" t="inlineStr">
        <is>
          <t>2026-05-27 15:31:00</t>
        </is>
      </c>
      <c r="C4003" t="inlineStr">
        <is>
          <t>Webinar</t>
        </is>
      </c>
      <c r="D4003" t="inlineStr">
        <is>
          <t>Language Learning</t>
        </is>
      </c>
      <c r="E4003" t="inlineStr">
        <is>
          <t>West Region</t>
        </is>
      </c>
      <c r="F4003" t="inlineStr">
        <is>
          <t>Rep_13</t>
        </is>
      </c>
      <c r="G4003" t="n">
        <v>1.29</v>
      </c>
      <c r="H4003" t="inlineStr">
        <is>
          <t>Closed</t>
        </is>
      </c>
      <c r="I4003" t="inlineStr">
        <is>
          <t>Won</t>
        </is>
      </c>
      <c r="K4003" t="n">
        <v>301.34</v>
      </c>
      <c r="L4003" t="inlineStr">
        <is>
          <t>2026-06-16 04:24:49.734711</t>
        </is>
      </c>
      <c r="M4003">
        <f>VLOOKUP(H4003,'Stage Order'!$A$2:$B$8,2,FALSE)</f>
        <v/>
      </c>
      <c r="N4003">
        <f>IF(G4003&lt;=1,"1. Under 1 hour",IF(G4003&lt;=24,"2. 1-24 hours",IF(G4003&lt;=72,"3. 1-3 days","4. Over 3 days")))</f>
        <v/>
      </c>
      <c r="O4003">
        <f>TEXT(B4003,"YYYY-MM")</f>
        <v/>
      </c>
    </row>
    <row r="4004">
      <c r="A4004" t="inlineStr">
        <is>
          <t>LD-304002</t>
        </is>
      </c>
      <c r="B4004" t="inlineStr">
        <is>
          <t>2025-10-13 07:37:00</t>
        </is>
      </c>
      <c r="C4004" t="inlineStr">
        <is>
          <t>Webinar</t>
        </is>
      </c>
      <c r="D4004" t="inlineStr">
        <is>
          <t>K-12 Math</t>
        </is>
      </c>
      <c r="E4004" t="inlineStr">
        <is>
          <t>South Region</t>
        </is>
      </c>
      <c r="F4004" t="inlineStr">
        <is>
          <t>Rep_02</t>
        </is>
      </c>
      <c r="G4004" t="n">
        <v>1.34</v>
      </c>
      <c r="H4004" t="inlineStr">
        <is>
          <t>Negotiation</t>
        </is>
      </c>
      <c r="I4004" t="inlineStr">
        <is>
          <t>Lost</t>
        </is>
      </c>
      <c r="J4004" t="inlineStr">
        <is>
          <t>Price Objection</t>
        </is>
      </c>
      <c r="K4004" t="n">
        <v>450.63</v>
      </c>
      <c r="L4004" t="inlineStr">
        <is>
          <t>2025-12-01 11:26:14.888445</t>
        </is>
      </c>
      <c r="M4004">
        <f>VLOOKUP(H4004,'Stage Order'!$A$2:$B$8,2,FALSE)</f>
        <v/>
      </c>
      <c r="N4004">
        <f>IF(G4004&lt;=1,"1. Under 1 hour",IF(G4004&lt;=24,"2. 1-24 hours",IF(G4004&lt;=72,"3. 1-3 days","4. Over 3 days")))</f>
        <v/>
      </c>
      <c r="O4004">
        <f>TEXT(B4004,"YYYY-MM")</f>
        <v/>
      </c>
    </row>
    <row r="4005">
      <c r="A4005" t="inlineStr">
        <is>
          <t>LD-304003</t>
        </is>
      </c>
      <c r="B4005" t="inlineStr">
        <is>
          <t>2026-06-14 07:04:00</t>
        </is>
      </c>
      <c r="C4005" t="inlineStr">
        <is>
          <t>Organic Search</t>
        </is>
      </c>
      <c r="D4005" t="inlineStr">
        <is>
          <t>Coding for Kids</t>
        </is>
      </c>
      <c r="E4005" t="inlineStr">
        <is>
          <t>North Region</t>
        </is>
      </c>
      <c r="F4005" t="inlineStr">
        <is>
          <t>Rep_06</t>
        </is>
      </c>
      <c r="G4005" t="n">
        <v>0.76</v>
      </c>
      <c r="H4005" t="inlineStr">
        <is>
          <t>Contacted</t>
        </is>
      </c>
      <c r="I4005" t="inlineStr">
        <is>
          <t>Open</t>
        </is>
      </c>
      <c r="M4005">
        <f>VLOOKUP(H4005,'Stage Order'!$A$2:$B$8,2,FALSE)</f>
        <v/>
      </c>
      <c r="N4005">
        <f>IF(G4005&lt;=1,"1. Under 1 hour",IF(G4005&lt;=24,"2. 1-24 hours",IF(G4005&lt;=72,"3. 1-3 days","4. Over 3 days")))</f>
        <v/>
      </c>
      <c r="O4005">
        <f>TEXT(B4005,"YYYY-MM")</f>
        <v/>
      </c>
    </row>
    <row r="4006">
      <c r="A4006" t="inlineStr">
        <is>
          <t>LD-304004</t>
        </is>
      </c>
      <c r="B4006" t="inlineStr">
        <is>
          <t>2025-08-27 12:11:00</t>
        </is>
      </c>
      <c r="C4006" t="inlineStr">
        <is>
          <t>Paid Search</t>
        </is>
      </c>
      <c r="D4006" t="inlineStr">
        <is>
          <t>Competitive Exam Prep</t>
        </is>
      </c>
      <c r="E4006" t="inlineStr">
        <is>
          <t>West Region</t>
        </is>
      </c>
      <c r="F4006" t="inlineStr">
        <is>
          <t>Rep_08</t>
        </is>
      </c>
      <c r="G4006" t="n">
        <v>3.78</v>
      </c>
      <c r="H4006" t="inlineStr">
        <is>
          <t>Contacted</t>
        </is>
      </c>
      <c r="I4006" t="inlineStr">
        <is>
          <t>Open</t>
        </is>
      </c>
      <c r="M4006">
        <f>VLOOKUP(H4006,'Stage Order'!$A$2:$B$8,2,FALSE)</f>
        <v/>
      </c>
      <c r="N4006">
        <f>IF(G4006&lt;=1,"1. Under 1 hour",IF(G4006&lt;=24,"2. 1-24 hours",IF(G4006&lt;=72,"3. 1-3 days","4. Over 3 days")))</f>
        <v/>
      </c>
      <c r="O4006">
        <f>TEXT(B4006,"YYYY-MM")</f>
        <v/>
      </c>
    </row>
    <row r="4007">
      <c r="A4007" t="inlineStr">
        <is>
          <t>LD-304005</t>
        </is>
      </c>
      <c r="B4007" t="inlineStr">
        <is>
          <t>2025-12-02 07:53:00</t>
        </is>
      </c>
      <c r="C4007" t="inlineStr">
        <is>
          <t>Organic Search</t>
        </is>
      </c>
      <c r="D4007" t="inlineStr">
        <is>
          <t>K-12 Math</t>
        </is>
      </c>
      <c r="E4007" t="inlineStr">
        <is>
          <t>International</t>
        </is>
      </c>
      <c r="F4007" t="inlineStr">
        <is>
          <t>Rep_10</t>
        </is>
      </c>
      <c r="G4007" t="n">
        <v>3.32</v>
      </c>
      <c r="H4007" t="inlineStr">
        <is>
          <t>Lead</t>
        </is>
      </c>
      <c r="I4007" t="inlineStr">
        <is>
          <t>Open</t>
        </is>
      </c>
      <c r="M4007">
        <f>VLOOKUP(H4007,'Stage Order'!$A$2:$B$8,2,FALSE)</f>
        <v/>
      </c>
      <c r="N4007">
        <f>IF(G4007&lt;=1,"1. Under 1 hour",IF(G4007&lt;=24,"2. 1-24 hours",IF(G4007&lt;=72,"3. 1-3 days","4. Over 3 days")))</f>
        <v/>
      </c>
      <c r="O4007">
        <f>TEXT(B4007,"YYYY-MM")</f>
        <v/>
      </c>
    </row>
    <row r="4008">
      <c r="A4008" t="inlineStr">
        <is>
          <t>LD-304006</t>
        </is>
      </c>
      <c r="B4008" t="inlineStr">
        <is>
          <t>2026-05-04 17:19:00</t>
        </is>
      </c>
      <c r="C4008" t="inlineStr">
        <is>
          <t>Organic Search</t>
        </is>
      </c>
      <c r="D4008" t="inlineStr">
        <is>
          <t>Coding for Kids</t>
        </is>
      </c>
      <c r="E4008" t="inlineStr">
        <is>
          <t>West Region</t>
        </is>
      </c>
      <c r="F4008" t="inlineStr">
        <is>
          <t>Rep_08</t>
        </is>
      </c>
      <c r="G4008" t="n">
        <v>0.41</v>
      </c>
      <c r="H4008" t="inlineStr">
        <is>
          <t>Contacted</t>
        </is>
      </c>
      <c r="I4008" t="inlineStr">
        <is>
          <t>Open</t>
        </is>
      </c>
      <c r="M4008">
        <f>VLOOKUP(H4008,'Stage Order'!$A$2:$B$8,2,FALSE)</f>
        <v/>
      </c>
      <c r="N4008">
        <f>IF(G4008&lt;=1,"1. Under 1 hour",IF(G4008&lt;=24,"2. 1-24 hours",IF(G4008&lt;=72,"3. 1-3 days","4. Over 3 days")))</f>
        <v/>
      </c>
      <c r="O4008">
        <f>TEXT(B4008,"YYYY-MM")</f>
        <v/>
      </c>
    </row>
    <row r="4009">
      <c r="A4009" t="inlineStr">
        <is>
          <t>LD-304007</t>
        </is>
      </c>
      <c r="B4009" t="inlineStr">
        <is>
          <t>2025-11-08 14:40:00</t>
        </is>
      </c>
      <c r="C4009" t="inlineStr">
        <is>
          <t>Partner Channel</t>
        </is>
      </c>
      <c r="D4009" t="inlineStr">
        <is>
          <t>K-12 Math</t>
        </is>
      </c>
      <c r="E4009" t="inlineStr">
        <is>
          <t>South Region</t>
        </is>
      </c>
      <c r="F4009" t="inlineStr">
        <is>
          <t>Rep_07</t>
        </is>
      </c>
      <c r="G4009" t="n">
        <v>5.64</v>
      </c>
      <c r="H4009" t="inlineStr">
        <is>
          <t>Closed</t>
        </is>
      </c>
      <c r="I4009" t="inlineStr">
        <is>
          <t>Won</t>
        </is>
      </c>
      <c r="K4009" t="n">
        <v>454.42</v>
      </c>
      <c r="L4009" t="inlineStr">
        <is>
          <t>2025-12-16 10:47:03.170835</t>
        </is>
      </c>
      <c r="M4009">
        <f>VLOOKUP(H4009,'Stage Order'!$A$2:$B$8,2,FALSE)</f>
        <v/>
      </c>
      <c r="N4009">
        <f>IF(G4009&lt;=1,"1. Under 1 hour",IF(G4009&lt;=24,"2. 1-24 hours",IF(G4009&lt;=72,"3. 1-3 days","4. Over 3 days")))</f>
        <v/>
      </c>
      <c r="O4009">
        <f>TEXT(B4009,"YYYY-MM")</f>
        <v/>
      </c>
    </row>
    <row r="4010">
      <c r="A4010" t="inlineStr">
        <is>
          <t>LD-304008</t>
        </is>
      </c>
      <c r="B4010" t="inlineStr">
        <is>
          <t>2026-05-28 16:44:00</t>
        </is>
      </c>
      <c r="C4010" t="inlineStr">
        <is>
          <t>Cold Outreach</t>
        </is>
      </c>
      <c r="D4010" t="inlineStr">
        <is>
          <t>K-12 Math</t>
        </is>
      </c>
      <c r="E4010" t="inlineStr">
        <is>
          <t>North Region</t>
        </is>
      </c>
      <c r="F4010" t="inlineStr">
        <is>
          <t>Rep_01</t>
        </is>
      </c>
      <c r="G4010" t="n">
        <v>0.72</v>
      </c>
      <c r="H4010" t="inlineStr">
        <is>
          <t>Lead</t>
        </is>
      </c>
      <c r="I4010" t="inlineStr">
        <is>
          <t>Open</t>
        </is>
      </c>
      <c r="M4010">
        <f>VLOOKUP(H4010,'Stage Order'!$A$2:$B$8,2,FALSE)</f>
        <v/>
      </c>
      <c r="N4010">
        <f>IF(G4010&lt;=1,"1. Under 1 hour",IF(G4010&lt;=24,"2. 1-24 hours",IF(G4010&lt;=72,"3. 1-3 days","4. Over 3 days")))</f>
        <v/>
      </c>
      <c r="O4010">
        <f>TEXT(B4010,"YYYY-MM")</f>
        <v/>
      </c>
    </row>
    <row r="4011">
      <c r="A4011" t="inlineStr">
        <is>
          <t>LD-304009</t>
        </is>
      </c>
      <c r="B4011" t="inlineStr">
        <is>
          <t>2025-02-09 12:46:00</t>
        </is>
      </c>
      <c r="C4011" t="inlineStr">
        <is>
          <t>Referral</t>
        </is>
      </c>
      <c r="D4011" t="inlineStr">
        <is>
          <t>K-12 Math</t>
        </is>
      </c>
      <c r="E4011" t="inlineStr">
        <is>
          <t>North Region</t>
        </is>
      </c>
      <c r="F4011" t="inlineStr">
        <is>
          <t>Rep_11</t>
        </is>
      </c>
      <c r="G4011" t="n">
        <v>2.37</v>
      </c>
      <c r="H4011" t="inlineStr">
        <is>
          <t>Lead</t>
        </is>
      </c>
      <c r="I4011" t="inlineStr">
        <is>
          <t>Open</t>
        </is>
      </c>
      <c r="M4011">
        <f>VLOOKUP(H4011,'Stage Order'!$A$2:$B$8,2,FALSE)</f>
        <v/>
      </c>
      <c r="N4011">
        <f>IF(G4011&lt;=1,"1. Under 1 hour",IF(G4011&lt;=24,"2. 1-24 hours",IF(G4011&lt;=72,"3. 1-3 days","4. Over 3 days")))</f>
        <v/>
      </c>
      <c r="O4011">
        <f>TEXT(B4011,"YYYY-MM")</f>
        <v/>
      </c>
    </row>
    <row r="4012">
      <c r="A4012" t="inlineStr">
        <is>
          <t>LD-304010</t>
        </is>
      </c>
      <c r="B4012" t="inlineStr">
        <is>
          <t>2026-03-16 13:06:00</t>
        </is>
      </c>
      <c r="C4012" t="inlineStr">
        <is>
          <t>Partner Channel</t>
        </is>
      </c>
      <c r="D4012" t="inlineStr">
        <is>
          <t>K-12 Math</t>
        </is>
      </c>
      <c r="E4012" t="inlineStr">
        <is>
          <t>East Region</t>
        </is>
      </c>
      <c r="F4012" t="inlineStr">
        <is>
          <t>Rep_14</t>
        </is>
      </c>
      <c r="G4012" t="n">
        <v>4.16</v>
      </c>
      <c r="H4012" t="inlineStr">
        <is>
          <t>Lead</t>
        </is>
      </c>
      <c r="I4012" t="inlineStr">
        <is>
          <t>Open</t>
        </is>
      </c>
      <c r="M4012">
        <f>VLOOKUP(H4012,'Stage Order'!$A$2:$B$8,2,FALSE)</f>
        <v/>
      </c>
      <c r="N4012">
        <f>IF(G4012&lt;=1,"1. Under 1 hour",IF(G4012&lt;=24,"2. 1-24 hours",IF(G4012&lt;=72,"3. 1-3 days","4. Over 3 days")))</f>
        <v/>
      </c>
      <c r="O4012">
        <f>TEXT(B4012,"YYYY-MM")</f>
        <v/>
      </c>
    </row>
    <row r="4013">
      <c r="A4013" t="inlineStr">
        <is>
          <t>LD-304011</t>
        </is>
      </c>
      <c r="B4013" t="inlineStr">
        <is>
          <t>2025-02-24 19:13:00</t>
        </is>
      </c>
      <c r="C4013" t="inlineStr">
        <is>
          <t>Cold Outreach</t>
        </is>
      </c>
      <c r="D4013" t="inlineStr">
        <is>
          <t>K-12 Math</t>
        </is>
      </c>
      <c r="E4013" t="inlineStr">
        <is>
          <t>West Region</t>
        </is>
      </c>
      <c r="F4013" t="inlineStr">
        <is>
          <t>Rep_08</t>
        </is>
      </c>
      <c r="G4013" t="n">
        <v>1.36</v>
      </c>
      <c r="H4013" t="inlineStr">
        <is>
          <t>Contacted</t>
        </is>
      </c>
      <c r="I4013" t="inlineStr">
        <is>
          <t>Open</t>
        </is>
      </c>
      <c r="M4013">
        <f>VLOOKUP(H4013,'Stage Order'!$A$2:$B$8,2,FALSE)</f>
        <v/>
      </c>
      <c r="N4013">
        <f>IF(G4013&lt;=1,"1. Under 1 hour",IF(G4013&lt;=24,"2. 1-24 hours",IF(G4013&lt;=72,"3. 1-3 days","4. Over 3 days")))</f>
        <v/>
      </c>
      <c r="O4013">
        <f>TEXT(B4013,"YYYY-MM")</f>
        <v/>
      </c>
    </row>
    <row r="4014">
      <c r="A4014" t="inlineStr">
        <is>
          <t>LD-304012</t>
        </is>
      </c>
      <c r="B4014" t="inlineStr">
        <is>
          <t>2025-06-22 14:15:00</t>
        </is>
      </c>
      <c r="C4014" t="inlineStr">
        <is>
          <t>Paid Search</t>
        </is>
      </c>
      <c r="D4014" t="inlineStr">
        <is>
          <t>Competitive Exam Prep</t>
        </is>
      </c>
      <c r="E4014" t="inlineStr">
        <is>
          <t>International</t>
        </is>
      </c>
      <c r="F4014" t="inlineStr">
        <is>
          <t>Rep_05</t>
        </is>
      </c>
      <c r="G4014" t="n">
        <v>2.45</v>
      </c>
      <c r="H4014" t="inlineStr">
        <is>
          <t>Contacted</t>
        </is>
      </c>
      <c r="I4014" t="inlineStr">
        <is>
          <t>Open</t>
        </is>
      </c>
      <c r="M4014">
        <f>VLOOKUP(H4014,'Stage Order'!$A$2:$B$8,2,FALSE)</f>
        <v/>
      </c>
      <c r="N4014">
        <f>IF(G4014&lt;=1,"1. Under 1 hour",IF(G4014&lt;=24,"2. 1-24 hours",IF(G4014&lt;=72,"3. 1-3 days","4. Over 3 days")))</f>
        <v/>
      </c>
      <c r="O4014">
        <f>TEXT(B4014,"YYYY-MM")</f>
        <v/>
      </c>
    </row>
    <row r="4015">
      <c r="A4015" t="inlineStr">
        <is>
          <t>LD-304013</t>
        </is>
      </c>
      <c r="B4015" t="inlineStr">
        <is>
          <t>2025-03-07 12:43:00</t>
        </is>
      </c>
      <c r="C4015" t="inlineStr">
        <is>
          <t>Organic Search</t>
        </is>
      </c>
      <c r="D4015" t="inlineStr">
        <is>
          <t>K-12 Math</t>
        </is>
      </c>
      <c r="E4015" t="inlineStr">
        <is>
          <t>West Region</t>
        </is>
      </c>
      <c r="F4015" t="inlineStr">
        <is>
          <t>Rep_13</t>
        </is>
      </c>
      <c r="G4015" t="n">
        <v>3.9</v>
      </c>
      <c r="H4015" t="inlineStr">
        <is>
          <t>Contacted</t>
        </is>
      </c>
      <c r="I4015" t="inlineStr">
        <is>
          <t>Open</t>
        </is>
      </c>
      <c r="M4015">
        <f>VLOOKUP(H4015,'Stage Order'!$A$2:$B$8,2,FALSE)</f>
        <v/>
      </c>
      <c r="N4015">
        <f>IF(G4015&lt;=1,"1. Under 1 hour",IF(G4015&lt;=24,"2. 1-24 hours",IF(G4015&lt;=72,"3. 1-3 days","4. Over 3 days")))</f>
        <v/>
      </c>
      <c r="O4015">
        <f>TEXT(B4015,"YYYY-MM")</f>
        <v/>
      </c>
    </row>
    <row r="4016">
      <c r="A4016" t="inlineStr">
        <is>
          <t>LD-304014</t>
        </is>
      </c>
      <c r="B4016" t="inlineStr">
        <is>
          <t>2026-03-06 12:31:00</t>
        </is>
      </c>
      <c r="C4016" t="inlineStr">
        <is>
          <t>Social Media</t>
        </is>
      </c>
      <c r="D4016" t="inlineStr">
        <is>
          <t>Competitive Exam Prep</t>
        </is>
      </c>
      <c r="E4016" t="inlineStr">
        <is>
          <t>North Region</t>
        </is>
      </c>
      <c r="F4016" t="inlineStr">
        <is>
          <t>Rep_01</t>
        </is>
      </c>
      <c r="G4016" t="n">
        <v>2.68</v>
      </c>
      <c r="H4016" t="inlineStr">
        <is>
          <t>Demo Completed</t>
        </is>
      </c>
      <c r="I4016" t="inlineStr">
        <is>
          <t>Lost</t>
        </is>
      </c>
      <c r="J4016" t="inlineStr">
        <is>
          <t>Price Objection</t>
        </is>
      </c>
      <c r="K4016" t="n">
        <v>876.85</v>
      </c>
      <c r="L4016" t="inlineStr">
        <is>
          <t>2026-04-05 12:52:28.478354</t>
        </is>
      </c>
      <c r="M4016">
        <f>VLOOKUP(H4016,'Stage Order'!$A$2:$B$8,2,FALSE)</f>
        <v/>
      </c>
      <c r="N4016">
        <f>IF(G4016&lt;=1,"1. Under 1 hour",IF(G4016&lt;=24,"2. 1-24 hours",IF(G4016&lt;=72,"3. 1-3 days","4. Over 3 days")))</f>
        <v/>
      </c>
      <c r="O4016">
        <f>TEXT(B4016,"YYYY-MM")</f>
        <v/>
      </c>
    </row>
    <row r="4017">
      <c r="A4017" t="inlineStr">
        <is>
          <t>LD-304015</t>
        </is>
      </c>
      <c r="B4017" t="inlineStr">
        <is>
          <t>2026-06-19 16:13:00</t>
        </is>
      </c>
      <c r="C4017" t="inlineStr">
        <is>
          <t>Paid Search</t>
        </is>
      </c>
      <c r="D4017" t="inlineStr">
        <is>
          <t>Coding for Kids</t>
        </is>
      </c>
      <c r="E4017" t="inlineStr">
        <is>
          <t>North Region</t>
        </is>
      </c>
      <c r="F4017" t="inlineStr">
        <is>
          <t>Rep_11</t>
        </is>
      </c>
      <c r="G4017" t="n">
        <v>1.87</v>
      </c>
      <c r="H4017" t="inlineStr">
        <is>
          <t>Contacted</t>
        </is>
      </c>
      <c r="I4017" t="inlineStr">
        <is>
          <t>Open</t>
        </is>
      </c>
      <c r="M4017">
        <f>VLOOKUP(H4017,'Stage Order'!$A$2:$B$8,2,FALSE)</f>
        <v/>
      </c>
      <c r="N4017">
        <f>IF(G4017&lt;=1,"1. Under 1 hour",IF(G4017&lt;=24,"2. 1-24 hours",IF(G4017&lt;=72,"3. 1-3 days","4. Over 3 days")))</f>
        <v/>
      </c>
      <c r="O4017">
        <f>TEXT(B4017,"YYYY-MM")</f>
        <v/>
      </c>
    </row>
    <row r="4018">
      <c r="A4018" t="inlineStr">
        <is>
          <t>LD-304016</t>
        </is>
      </c>
      <c r="B4018" t="inlineStr">
        <is>
          <t>2025-04-11 20:37:00</t>
        </is>
      </c>
      <c r="C4018" t="inlineStr">
        <is>
          <t>Cold Outreach</t>
        </is>
      </c>
      <c r="D4018" t="inlineStr">
        <is>
          <t>Competitive Exam Prep</t>
        </is>
      </c>
      <c r="E4018" t="inlineStr">
        <is>
          <t>North Region</t>
        </is>
      </c>
      <c r="F4018" t="inlineStr">
        <is>
          <t>Rep_01</t>
        </is>
      </c>
      <c r="G4018" t="n">
        <v>1.25</v>
      </c>
      <c r="H4018" t="inlineStr">
        <is>
          <t>Contacted</t>
        </is>
      </c>
      <c r="I4018" t="inlineStr">
        <is>
          <t>Open</t>
        </is>
      </c>
      <c r="M4018">
        <f>VLOOKUP(H4018,'Stage Order'!$A$2:$B$8,2,FALSE)</f>
        <v/>
      </c>
      <c r="N4018">
        <f>IF(G4018&lt;=1,"1. Under 1 hour",IF(G4018&lt;=24,"2. 1-24 hours",IF(G4018&lt;=72,"3. 1-3 days","4. Over 3 days")))</f>
        <v/>
      </c>
      <c r="O4018">
        <f>TEXT(B4018,"YYYY-MM")</f>
        <v/>
      </c>
    </row>
    <row r="4019">
      <c r="A4019" t="inlineStr">
        <is>
          <t>LD-304017</t>
        </is>
      </c>
      <c r="B4019" t="inlineStr">
        <is>
          <t>2026-06-15 12:56:00</t>
        </is>
      </c>
      <c r="C4019" t="inlineStr">
        <is>
          <t>Organic Search</t>
        </is>
      </c>
      <c r="D4019" t="inlineStr">
        <is>
          <t>Coding for Kids</t>
        </is>
      </c>
      <c r="E4019" t="inlineStr">
        <is>
          <t>North Region</t>
        </is>
      </c>
      <c r="F4019" t="inlineStr">
        <is>
          <t>Rep_01</t>
        </is>
      </c>
      <c r="G4019" t="n">
        <v>2.22</v>
      </c>
      <c r="H4019" t="inlineStr">
        <is>
          <t>Contacted</t>
        </is>
      </c>
      <c r="I4019" t="inlineStr">
        <is>
          <t>Open</t>
        </is>
      </c>
      <c r="M4019">
        <f>VLOOKUP(H4019,'Stage Order'!$A$2:$B$8,2,FALSE)</f>
        <v/>
      </c>
      <c r="N4019">
        <f>IF(G4019&lt;=1,"1. Under 1 hour",IF(G4019&lt;=24,"2. 1-24 hours",IF(G4019&lt;=72,"3. 1-3 days","4. Over 3 days")))</f>
        <v/>
      </c>
      <c r="O4019">
        <f>TEXT(B4019,"YYYY-MM")</f>
        <v/>
      </c>
    </row>
    <row r="4020">
      <c r="A4020" t="inlineStr">
        <is>
          <t>LD-304018</t>
        </is>
      </c>
      <c r="B4020" t="inlineStr">
        <is>
          <t>2025-01-29 09:19:00</t>
        </is>
      </c>
      <c r="C4020" t="inlineStr">
        <is>
          <t>Social Media</t>
        </is>
      </c>
      <c r="D4020" t="inlineStr">
        <is>
          <t>Competitive Exam Prep</t>
        </is>
      </c>
      <c r="E4020" t="inlineStr">
        <is>
          <t>South Region</t>
        </is>
      </c>
      <c r="F4020" t="inlineStr">
        <is>
          <t>Rep_02</t>
        </is>
      </c>
      <c r="G4020" t="n">
        <v>11.3</v>
      </c>
      <c r="H4020" t="inlineStr">
        <is>
          <t>Proposal Sent</t>
        </is>
      </c>
      <c r="I4020" t="inlineStr">
        <is>
          <t>Lost</t>
        </is>
      </c>
      <c r="J4020" t="inlineStr">
        <is>
          <t>Bad Timing</t>
        </is>
      </c>
      <c r="K4020" t="n">
        <v>850.67</v>
      </c>
      <c r="L4020" t="inlineStr">
        <is>
          <t>2025-03-22 20:22:00.659453</t>
        </is>
      </c>
      <c r="M4020">
        <f>VLOOKUP(H4020,'Stage Order'!$A$2:$B$8,2,FALSE)</f>
        <v/>
      </c>
      <c r="N4020">
        <f>IF(G4020&lt;=1,"1. Under 1 hour",IF(G4020&lt;=24,"2. 1-24 hours",IF(G4020&lt;=72,"3. 1-3 days","4. Over 3 days")))</f>
        <v/>
      </c>
      <c r="O4020">
        <f>TEXT(B4020,"YYYY-MM")</f>
        <v/>
      </c>
    </row>
    <row r="4021">
      <c r="A4021" t="inlineStr">
        <is>
          <t>LD-304019</t>
        </is>
      </c>
      <c r="B4021" t="inlineStr">
        <is>
          <t>2026-06-24 13:13:00</t>
        </is>
      </c>
      <c r="C4021" t="inlineStr">
        <is>
          <t>Paid Search</t>
        </is>
      </c>
      <c r="D4021" t="inlineStr">
        <is>
          <t>Coding for Kids</t>
        </is>
      </c>
      <c r="E4021" t="inlineStr">
        <is>
          <t>West Region</t>
        </is>
      </c>
      <c r="F4021" t="inlineStr">
        <is>
          <t>Rep_13</t>
        </is>
      </c>
      <c r="G4021" t="n">
        <v>5.11</v>
      </c>
      <c r="H4021" t="inlineStr">
        <is>
          <t>Contacted</t>
        </is>
      </c>
      <c r="I4021" t="inlineStr">
        <is>
          <t>Open</t>
        </is>
      </c>
      <c r="M4021">
        <f>VLOOKUP(H4021,'Stage Order'!$A$2:$B$8,2,FALSE)</f>
        <v/>
      </c>
      <c r="N4021">
        <f>IF(G4021&lt;=1,"1. Under 1 hour",IF(G4021&lt;=24,"2. 1-24 hours",IF(G4021&lt;=72,"3. 1-3 days","4. Over 3 days")))</f>
        <v/>
      </c>
      <c r="O4021">
        <f>TEXT(B4021,"YYYY-MM")</f>
        <v/>
      </c>
    </row>
    <row r="4022">
      <c r="A4022" t="inlineStr">
        <is>
          <t>LD-304020</t>
        </is>
      </c>
      <c r="B4022" t="inlineStr">
        <is>
          <t>2025-12-28 09:09:00</t>
        </is>
      </c>
      <c r="C4022" t="inlineStr">
        <is>
          <t>Paid Search</t>
        </is>
      </c>
      <c r="D4022" t="inlineStr">
        <is>
          <t>Competitive Exam Prep</t>
        </is>
      </c>
      <c r="E4022" t="inlineStr">
        <is>
          <t>North Region</t>
        </is>
      </c>
      <c r="F4022" t="inlineStr">
        <is>
          <t>Rep_06</t>
        </is>
      </c>
      <c r="G4022" t="n">
        <v>3.05</v>
      </c>
      <c r="H4022" t="inlineStr">
        <is>
          <t>Demo Completed</t>
        </is>
      </c>
      <c r="I4022" t="inlineStr">
        <is>
          <t>Lost</t>
        </is>
      </c>
      <c r="J4022" t="inlineStr">
        <is>
          <t>Price Objection</t>
        </is>
      </c>
      <c r="K4022" t="n">
        <v>926.13</v>
      </c>
      <c r="L4022" t="inlineStr">
        <is>
          <t>2026-01-27 10:01:57.567662</t>
        </is>
      </c>
      <c r="M4022">
        <f>VLOOKUP(H4022,'Stage Order'!$A$2:$B$8,2,FALSE)</f>
        <v/>
      </c>
      <c r="N4022">
        <f>IF(G4022&lt;=1,"1. Under 1 hour",IF(G4022&lt;=24,"2. 1-24 hours",IF(G4022&lt;=72,"3. 1-3 days","4. Over 3 days")))</f>
        <v/>
      </c>
      <c r="O4022">
        <f>TEXT(B4022,"YYYY-MM")</f>
        <v/>
      </c>
    </row>
    <row r="4023">
      <c r="A4023" t="inlineStr">
        <is>
          <t>LD-304021</t>
        </is>
      </c>
      <c r="B4023" t="inlineStr">
        <is>
          <t>2025-06-10 10:37:00</t>
        </is>
      </c>
      <c r="C4023" t="inlineStr">
        <is>
          <t>Social Media</t>
        </is>
      </c>
      <c r="D4023" t="inlineStr">
        <is>
          <t>Competitive Exam Prep</t>
        </is>
      </c>
      <c r="E4023" t="inlineStr">
        <is>
          <t>North Region</t>
        </is>
      </c>
      <c r="F4023" t="inlineStr">
        <is>
          <t>Rep_01</t>
        </is>
      </c>
      <c r="G4023" t="n">
        <v>6.52</v>
      </c>
      <c r="H4023" t="inlineStr">
        <is>
          <t>Contacted</t>
        </is>
      </c>
      <c r="I4023" t="inlineStr">
        <is>
          <t>Open</t>
        </is>
      </c>
      <c r="M4023">
        <f>VLOOKUP(H4023,'Stage Order'!$A$2:$B$8,2,FALSE)</f>
        <v/>
      </c>
      <c r="N4023">
        <f>IF(G4023&lt;=1,"1. Under 1 hour",IF(G4023&lt;=24,"2. 1-24 hours",IF(G4023&lt;=72,"3. 1-3 days","4. Over 3 days")))</f>
        <v/>
      </c>
      <c r="O4023">
        <f>TEXT(B4023,"YYYY-MM")</f>
        <v/>
      </c>
    </row>
    <row r="4024">
      <c r="A4024" t="inlineStr">
        <is>
          <t>LD-304022</t>
        </is>
      </c>
      <c r="B4024" t="inlineStr">
        <is>
          <t>2025-07-04 13:29:00</t>
        </is>
      </c>
      <c r="C4024" t="inlineStr">
        <is>
          <t>Organic Search</t>
        </is>
      </c>
      <c r="D4024" t="inlineStr">
        <is>
          <t>Language Learning</t>
        </is>
      </c>
      <c r="E4024" t="inlineStr">
        <is>
          <t>West Region</t>
        </is>
      </c>
      <c r="F4024" t="inlineStr">
        <is>
          <t>Rep_03</t>
        </is>
      </c>
      <c r="G4024" t="n">
        <v>19.22</v>
      </c>
      <c r="H4024" t="inlineStr">
        <is>
          <t>Contacted</t>
        </is>
      </c>
      <c r="I4024" t="inlineStr">
        <is>
          <t>Open</t>
        </is>
      </c>
      <c r="M4024">
        <f>VLOOKUP(H4024,'Stage Order'!$A$2:$B$8,2,FALSE)</f>
        <v/>
      </c>
      <c r="N4024">
        <f>IF(G4024&lt;=1,"1. Under 1 hour",IF(G4024&lt;=24,"2. 1-24 hours",IF(G4024&lt;=72,"3. 1-3 days","4. Over 3 days")))</f>
        <v/>
      </c>
      <c r="O4024">
        <f>TEXT(B4024,"YYYY-MM")</f>
        <v/>
      </c>
    </row>
    <row r="4025">
      <c r="A4025" t="inlineStr">
        <is>
          <t>LD-304023</t>
        </is>
      </c>
      <c r="B4025" t="inlineStr">
        <is>
          <t>2025-02-14 15:34:00</t>
        </is>
      </c>
      <c r="C4025" t="inlineStr">
        <is>
          <t>Social Media</t>
        </is>
      </c>
      <c r="D4025" t="inlineStr">
        <is>
          <t>Coding for Kids</t>
        </is>
      </c>
      <c r="E4025" t="inlineStr">
        <is>
          <t>West Region</t>
        </is>
      </c>
      <c r="F4025" t="inlineStr">
        <is>
          <t>Rep_03</t>
        </is>
      </c>
      <c r="G4025" t="n">
        <v>14.8</v>
      </c>
      <c r="H4025" t="inlineStr">
        <is>
          <t>Lead</t>
        </is>
      </c>
      <c r="I4025" t="inlineStr">
        <is>
          <t>Open</t>
        </is>
      </c>
      <c r="M4025">
        <f>VLOOKUP(H4025,'Stage Order'!$A$2:$B$8,2,FALSE)</f>
        <v/>
      </c>
      <c r="N4025">
        <f>IF(G4025&lt;=1,"1. Under 1 hour",IF(G4025&lt;=24,"2. 1-24 hours",IF(G4025&lt;=72,"3. 1-3 days","4. Over 3 days")))</f>
        <v/>
      </c>
      <c r="O4025">
        <f>TEXT(B4025,"YYYY-MM")</f>
        <v/>
      </c>
    </row>
    <row r="4026">
      <c r="A4026" t="inlineStr">
        <is>
          <t>LD-304024</t>
        </is>
      </c>
      <c r="B4026" t="inlineStr">
        <is>
          <t>2025-04-25 10:00:00</t>
        </is>
      </c>
      <c r="C4026" t="inlineStr">
        <is>
          <t>Paid Search</t>
        </is>
      </c>
      <c r="D4026" t="inlineStr">
        <is>
          <t>Competitive Exam Prep</t>
        </is>
      </c>
      <c r="E4026" t="inlineStr">
        <is>
          <t>North Region</t>
        </is>
      </c>
      <c r="F4026" t="inlineStr">
        <is>
          <t>Rep_11</t>
        </is>
      </c>
      <c r="G4026" t="n">
        <v>2.41</v>
      </c>
      <c r="H4026" t="inlineStr">
        <is>
          <t>Contacted</t>
        </is>
      </c>
      <c r="I4026" t="inlineStr">
        <is>
          <t>Open</t>
        </is>
      </c>
      <c r="M4026">
        <f>VLOOKUP(H4026,'Stage Order'!$A$2:$B$8,2,FALSE)</f>
        <v/>
      </c>
      <c r="N4026">
        <f>IF(G4026&lt;=1,"1. Under 1 hour",IF(G4026&lt;=24,"2. 1-24 hours",IF(G4026&lt;=72,"3. 1-3 days","4. Over 3 days")))</f>
        <v/>
      </c>
      <c r="O4026">
        <f>TEXT(B4026,"YYYY-MM")</f>
        <v/>
      </c>
    </row>
    <row r="4027">
      <c r="A4027" t="inlineStr">
        <is>
          <t>LD-304025</t>
        </is>
      </c>
      <c r="B4027" t="inlineStr">
        <is>
          <t>2025-08-06 08:41:00</t>
        </is>
      </c>
      <c r="C4027" t="inlineStr">
        <is>
          <t>Paid Search</t>
        </is>
      </c>
      <c r="D4027" t="inlineStr">
        <is>
          <t>Competitive Exam Prep</t>
        </is>
      </c>
      <c r="E4027" t="inlineStr">
        <is>
          <t>South Region</t>
        </is>
      </c>
      <c r="F4027" t="inlineStr">
        <is>
          <t>Rep_02</t>
        </is>
      </c>
      <c r="G4027" t="n">
        <v>3.26</v>
      </c>
      <c r="H4027" t="inlineStr">
        <is>
          <t>Contacted</t>
        </is>
      </c>
      <c r="I4027" t="inlineStr">
        <is>
          <t>Open</t>
        </is>
      </c>
      <c r="M4027">
        <f>VLOOKUP(H4027,'Stage Order'!$A$2:$B$8,2,FALSE)</f>
        <v/>
      </c>
      <c r="N4027">
        <f>IF(G4027&lt;=1,"1. Under 1 hour",IF(G4027&lt;=24,"2. 1-24 hours",IF(G4027&lt;=72,"3. 1-3 days","4. Over 3 days")))</f>
        <v/>
      </c>
      <c r="O4027">
        <f>TEXT(B4027,"YYYY-MM")</f>
        <v/>
      </c>
    </row>
    <row r="4028">
      <c r="A4028" t="inlineStr">
        <is>
          <t>LD-304026</t>
        </is>
      </c>
      <c r="B4028" t="inlineStr">
        <is>
          <t>2025-03-28 16:16:00</t>
        </is>
      </c>
      <c r="C4028" t="inlineStr">
        <is>
          <t>Organic Search</t>
        </is>
      </c>
      <c r="D4028" t="inlineStr">
        <is>
          <t>Language Learning</t>
        </is>
      </c>
      <c r="E4028" t="inlineStr">
        <is>
          <t>North Region</t>
        </is>
      </c>
      <c r="F4028" t="inlineStr">
        <is>
          <t>Rep_11</t>
        </is>
      </c>
      <c r="G4028" t="n">
        <v>0.96</v>
      </c>
      <c r="H4028" t="inlineStr">
        <is>
          <t>Contacted</t>
        </is>
      </c>
      <c r="I4028" t="inlineStr">
        <is>
          <t>Open</t>
        </is>
      </c>
      <c r="M4028">
        <f>VLOOKUP(H4028,'Stage Order'!$A$2:$B$8,2,FALSE)</f>
        <v/>
      </c>
      <c r="N4028">
        <f>IF(G4028&lt;=1,"1. Under 1 hour",IF(G4028&lt;=24,"2. 1-24 hours",IF(G4028&lt;=72,"3. 1-3 days","4. Over 3 days")))</f>
        <v/>
      </c>
      <c r="O4028">
        <f>TEXT(B4028,"YYYY-MM")</f>
        <v/>
      </c>
    </row>
    <row r="4029">
      <c r="A4029" t="inlineStr">
        <is>
          <t>LD-304027</t>
        </is>
      </c>
      <c r="B4029" t="inlineStr">
        <is>
          <t>2026-06-12 08:04:00</t>
        </is>
      </c>
      <c r="C4029" t="inlineStr">
        <is>
          <t>Paid Search</t>
        </is>
      </c>
      <c r="D4029" t="inlineStr">
        <is>
          <t>Language Learning</t>
        </is>
      </c>
      <c r="E4029" t="inlineStr">
        <is>
          <t>North Region</t>
        </is>
      </c>
      <c r="F4029" t="inlineStr">
        <is>
          <t>Rep_01</t>
        </is>
      </c>
      <c r="G4029" t="n">
        <v>6.64</v>
      </c>
      <c r="H4029" t="inlineStr">
        <is>
          <t>Proposal Sent</t>
        </is>
      </c>
      <c r="I4029" t="inlineStr">
        <is>
          <t>Lost</t>
        </is>
      </c>
      <c r="J4029" t="inlineStr">
        <is>
          <t>No Response / Ghosted</t>
        </is>
      </c>
      <c r="K4029" t="n">
        <v>337.36</v>
      </c>
      <c r="L4029" t="inlineStr">
        <is>
          <t>2026-07-14 23:49:23.996807</t>
        </is>
      </c>
      <c r="M4029">
        <f>VLOOKUP(H4029,'Stage Order'!$A$2:$B$8,2,FALSE)</f>
        <v/>
      </c>
      <c r="N4029">
        <f>IF(G4029&lt;=1,"1. Under 1 hour",IF(G4029&lt;=24,"2. 1-24 hours",IF(G4029&lt;=72,"3. 1-3 days","4. Over 3 days")))</f>
        <v/>
      </c>
      <c r="O4029">
        <f>TEXT(B4029,"YYYY-MM")</f>
        <v/>
      </c>
    </row>
    <row r="4030">
      <c r="A4030" t="inlineStr">
        <is>
          <t>LD-304028</t>
        </is>
      </c>
      <c r="B4030" t="inlineStr">
        <is>
          <t>2025-08-15 14:04:00</t>
        </is>
      </c>
      <c r="C4030" t="inlineStr">
        <is>
          <t>Paid Search</t>
        </is>
      </c>
      <c r="D4030" t="inlineStr">
        <is>
          <t>Coding for Kids</t>
        </is>
      </c>
      <c r="E4030" t="inlineStr">
        <is>
          <t>East Region</t>
        </is>
      </c>
      <c r="F4030" t="inlineStr">
        <is>
          <t>Rep_09</t>
        </is>
      </c>
      <c r="G4030" t="n">
        <v>2.23</v>
      </c>
      <c r="H4030" t="inlineStr">
        <is>
          <t>Lead</t>
        </is>
      </c>
      <c r="I4030" t="inlineStr">
        <is>
          <t>Open</t>
        </is>
      </c>
      <c r="M4030">
        <f>VLOOKUP(H4030,'Stage Order'!$A$2:$B$8,2,FALSE)</f>
        <v/>
      </c>
      <c r="N4030">
        <f>IF(G4030&lt;=1,"1. Under 1 hour",IF(G4030&lt;=24,"2. 1-24 hours",IF(G4030&lt;=72,"3. 1-3 days","4. Over 3 days")))</f>
        <v/>
      </c>
      <c r="O4030">
        <f>TEXT(B4030,"YYYY-MM")</f>
        <v/>
      </c>
    </row>
    <row r="4031">
      <c r="A4031" t="inlineStr">
        <is>
          <t>LD-304029</t>
        </is>
      </c>
      <c r="B4031" t="inlineStr">
        <is>
          <t>2026-01-19 09:34:00</t>
        </is>
      </c>
      <c r="C4031" t="inlineStr">
        <is>
          <t>Organic Search</t>
        </is>
      </c>
      <c r="D4031" t="inlineStr">
        <is>
          <t>Study Abroad Prep</t>
        </is>
      </c>
      <c r="E4031" t="inlineStr">
        <is>
          <t>South Region</t>
        </is>
      </c>
      <c r="F4031" t="inlineStr">
        <is>
          <t>Rep_02</t>
        </is>
      </c>
      <c r="G4031" t="n">
        <v>1.99</v>
      </c>
      <c r="H4031" t="inlineStr">
        <is>
          <t>Contacted</t>
        </is>
      </c>
      <c r="I4031" t="inlineStr">
        <is>
          <t>Open</t>
        </is>
      </c>
      <c r="M4031">
        <f>VLOOKUP(H4031,'Stage Order'!$A$2:$B$8,2,FALSE)</f>
        <v/>
      </c>
      <c r="N4031">
        <f>IF(G4031&lt;=1,"1. Under 1 hour",IF(G4031&lt;=24,"2. 1-24 hours",IF(G4031&lt;=72,"3. 1-3 days","4. Over 3 days")))</f>
        <v/>
      </c>
      <c r="O4031">
        <f>TEXT(B4031,"YYYY-MM")</f>
        <v/>
      </c>
    </row>
    <row r="4032">
      <c r="A4032" t="inlineStr">
        <is>
          <t>LD-304030</t>
        </is>
      </c>
      <c r="B4032" t="inlineStr">
        <is>
          <t>2025-03-08 10:00:00</t>
        </is>
      </c>
      <c r="C4032" t="inlineStr">
        <is>
          <t>Social Media</t>
        </is>
      </c>
      <c r="D4032" t="inlineStr">
        <is>
          <t>Competitive Exam Prep</t>
        </is>
      </c>
      <c r="E4032" t="inlineStr">
        <is>
          <t>South Region</t>
        </is>
      </c>
      <c r="F4032" t="inlineStr">
        <is>
          <t>Rep_02</t>
        </is>
      </c>
      <c r="G4032" t="n">
        <v>4.41</v>
      </c>
      <c r="H4032" t="inlineStr">
        <is>
          <t>Contacted</t>
        </is>
      </c>
      <c r="I4032" t="inlineStr">
        <is>
          <t>Open</t>
        </is>
      </c>
      <c r="M4032">
        <f>VLOOKUP(H4032,'Stage Order'!$A$2:$B$8,2,FALSE)</f>
        <v/>
      </c>
      <c r="N4032">
        <f>IF(G4032&lt;=1,"1. Under 1 hour",IF(G4032&lt;=24,"2. 1-24 hours",IF(G4032&lt;=72,"3. 1-3 days","4. Over 3 days")))</f>
        <v/>
      </c>
      <c r="O4032">
        <f>TEXT(B4032,"YYYY-MM")</f>
        <v/>
      </c>
    </row>
    <row r="4033">
      <c r="A4033" t="inlineStr">
        <is>
          <t>LD-304031</t>
        </is>
      </c>
      <c r="B4033" t="inlineStr">
        <is>
          <t>2025-10-10 13:59:00</t>
        </is>
      </c>
      <c r="C4033" t="inlineStr">
        <is>
          <t>Social Media</t>
        </is>
      </c>
      <c r="D4033" t="inlineStr">
        <is>
          <t>K-12 Math</t>
        </is>
      </c>
      <c r="E4033" t="inlineStr">
        <is>
          <t>West Region</t>
        </is>
      </c>
      <c r="F4033" t="inlineStr">
        <is>
          <t>Rep_08</t>
        </is>
      </c>
      <c r="G4033" t="n">
        <v>0.36</v>
      </c>
      <c r="H4033" t="inlineStr">
        <is>
          <t>Demo Completed</t>
        </is>
      </c>
      <c r="I4033" t="inlineStr">
        <is>
          <t>Lost</t>
        </is>
      </c>
      <c r="J4033" t="inlineStr">
        <is>
          <t>Budget Not Approved</t>
        </is>
      </c>
      <c r="K4033" t="n">
        <v>592.74</v>
      </c>
      <c r="L4033" t="inlineStr">
        <is>
          <t>2025-11-15 02:53:52.475013</t>
        </is>
      </c>
      <c r="M4033">
        <f>VLOOKUP(H4033,'Stage Order'!$A$2:$B$8,2,FALSE)</f>
        <v/>
      </c>
      <c r="N4033">
        <f>IF(G4033&lt;=1,"1. Under 1 hour",IF(G4033&lt;=24,"2. 1-24 hours",IF(G4033&lt;=72,"3. 1-3 days","4. Over 3 days")))</f>
        <v/>
      </c>
      <c r="O4033">
        <f>TEXT(B4033,"YYYY-MM")</f>
        <v/>
      </c>
    </row>
    <row r="4034">
      <c r="A4034" t="inlineStr">
        <is>
          <t>LD-304032</t>
        </is>
      </c>
      <c r="B4034" t="inlineStr">
        <is>
          <t>2026-03-01 10:05:00</t>
        </is>
      </c>
      <c r="C4034" t="inlineStr">
        <is>
          <t>Social Media</t>
        </is>
      </c>
      <c r="D4034" t="inlineStr">
        <is>
          <t>Language Learning</t>
        </is>
      </c>
      <c r="E4034" t="inlineStr">
        <is>
          <t>International</t>
        </is>
      </c>
      <c r="F4034" t="inlineStr">
        <is>
          <t>Rep_15</t>
        </is>
      </c>
      <c r="G4034" t="n">
        <v>2.58</v>
      </c>
      <c r="H4034" t="inlineStr">
        <is>
          <t>Contacted</t>
        </is>
      </c>
      <c r="I4034" t="inlineStr">
        <is>
          <t>Open</t>
        </is>
      </c>
      <c r="M4034">
        <f>VLOOKUP(H4034,'Stage Order'!$A$2:$B$8,2,FALSE)</f>
        <v/>
      </c>
      <c r="N4034">
        <f>IF(G4034&lt;=1,"1. Under 1 hour",IF(G4034&lt;=24,"2. 1-24 hours",IF(G4034&lt;=72,"3. 1-3 days","4. Over 3 days")))</f>
        <v/>
      </c>
      <c r="O4034">
        <f>TEXT(B4034,"YYYY-MM")</f>
        <v/>
      </c>
    </row>
    <row r="4035">
      <c r="A4035" t="inlineStr">
        <is>
          <t>LD-304033</t>
        </is>
      </c>
      <c r="B4035" t="inlineStr">
        <is>
          <t>2025-06-13 14:30:00</t>
        </is>
      </c>
      <c r="C4035" t="inlineStr">
        <is>
          <t>Paid Search</t>
        </is>
      </c>
      <c r="D4035" t="inlineStr">
        <is>
          <t>Study Abroad Prep</t>
        </is>
      </c>
      <c r="E4035" t="inlineStr">
        <is>
          <t>South Region</t>
        </is>
      </c>
      <c r="F4035" t="inlineStr">
        <is>
          <t>Rep_07</t>
        </is>
      </c>
      <c r="G4035" t="n">
        <v>4.14</v>
      </c>
      <c r="H4035" t="inlineStr">
        <is>
          <t>Demo Completed</t>
        </is>
      </c>
      <c r="I4035" t="inlineStr">
        <is>
          <t>Lost</t>
        </is>
      </c>
      <c r="J4035" t="inlineStr">
        <is>
          <t>No Response / Ghosted</t>
        </is>
      </c>
      <c r="K4035" t="n">
        <v>1616.61</v>
      </c>
      <c r="L4035" t="inlineStr">
        <is>
          <t>2025-07-24 02:24:33.640583</t>
        </is>
      </c>
      <c r="M4035">
        <f>VLOOKUP(H4035,'Stage Order'!$A$2:$B$8,2,FALSE)</f>
        <v/>
      </c>
      <c r="N4035">
        <f>IF(G4035&lt;=1,"1. Under 1 hour",IF(G4035&lt;=24,"2. 1-24 hours",IF(G4035&lt;=72,"3. 1-3 days","4. Over 3 days")))</f>
        <v/>
      </c>
      <c r="O4035">
        <f>TEXT(B4035,"YYYY-MM")</f>
        <v/>
      </c>
    </row>
    <row r="4036">
      <c r="A4036" t="inlineStr">
        <is>
          <t>LD-304034</t>
        </is>
      </c>
      <c r="B4036" t="inlineStr">
        <is>
          <t>2025-01-31 17:14:00</t>
        </is>
      </c>
      <c r="C4036" t="inlineStr">
        <is>
          <t>Partner Channel</t>
        </is>
      </c>
      <c r="D4036" t="inlineStr">
        <is>
          <t>K-12 Math</t>
        </is>
      </c>
      <c r="E4036" t="inlineStr">
        <is>
          <t>East Region</t>
        </is>
      </c>
      <c r="F4036" t="inlineStr">
        <is>
          <t>Rep_09</t>
        </is>
      </c>
      <c r="G4036" t="n">
        <v>0.95</v>
      </c>
      <c r="H4036" t="inlineStr">
        <is>
          <t>Contacted</t>
        </is>
      </c>
      <c r="I4036" t="inlineStr">
        <is>
          <t>Open</t>
        </is>
      </c>
      <c r="M4036">
        <f>VLOOKUP(H4036,'Stage Order'!$A$2:$B$8,2,FALSE)</f>
        <v/>
      </c>
      <c r="N4036">
        <f>IF(G4036&lt;=1,"1. Under 1 hour",IF(G4036&lt;=24,"2. 1-24 hours",IF(G4036&lt;=72,"3. 1-3 days","4. Over 3 days")))</f>
        <v/>
      </c>
      <c r="O4036">
        <f>TEXT(B4036,"YYYY-MM")</f>
        <v/>
      </c>
    </row>
    <row r="4037">
      <c r="A4037" t="inlineStr">
        <is>
          <t>LD-304035</t>
        </is>
      </c>
      <c r="B4037" t="inlineStr">
        <is>
          <t>2026-02-09 19:17:00</t>
        </is>
      </c>
      <c r="C4037" t="inlineStr">
        <is>
          <t>Organic Search</t>
        </is>
      </c>
      <c r="D4037" t="inlineStr">
        <is>
          <t>K-12 Math</t>
        </is>
      </c>
      <c r="E4037" t="inlineStr">
        <is>
          <t>South Region</t>
        </is>
      </c>
      <c r="F4037" t="inlineStr">
        <is>
          <t>Rep_07</t>
        </is>
      </c>
      <c r="G4037" t="n">
        <v>1.95</v>
      </c>
      <c r="H4037" t="inlineStr">
        <is>
          <t>Closed</t>
        </is>
      </c>
      <c r="I4037" t="inlineStr">
        <is>
          <t>Won</t>
        </is>
      </c>
      <c r="K4037" t="n">
        <v>489.17</v>
      </c>
      <c r="L4037" t="inlineStr">
        <is>
          <t>2026-03-27 11:48:32.986557</t>
        </is>
      </c>
      <c r="M4037">
        <f>VLOOKUP(H4037,'Stage Order'!$A$2:$B$8,2,FALSE)</f>
        <v/>
      </c>
      <c r="N4037">
        <f>IF(G4037&lt;=1,"1. Under 1 hour",IF(G4037&lt;=24,"2. 1-24 hours",IF(G4037&lt;=72,"3. 1-3 days","4. Over 3 days")))</f>
        <v/>
      </c>
      <c r="O4037">
        <f>TEXT(B4037,"YYYY-MM")</f>
        <v/>
      </c>
    </row>
    <row r="4038">
      <c r="A4038" t="inlineStr">
        <is>
          <t>LD-304036</t>
        </is>
      </c>
      <c r="B4038" t="inlineStr">
        <is>
          <t>2026-01-02 15:11:00</t>
        </is>
      </c>
      <c r="C4038" t="inlineStr">
        <is>
          <t>Paid Search</t>
        </is>
      </c>
      <c r="D4038" t="inlineStr">
        <is>
          <t>Language Learning</t>
        </is>
      </c>
      <c r="E4038" t="inlineStr">
        <is>
          <t>South Region</t>
        </is>
      </c>
      <c r="F4038" t="inlineStr">
        <is>
          <t>Rep_12</t>
        </is>
      </c>
      <c r="G4038" t="n">
        <v>3.05</v>
      </c>
      <c r="H4038" t="inlineStr">
        <is>
          <t>Demo Completed</t>
        </is>
      </c>
      <c r="I4038" t="inlineStr">
        <is>
          <t>Lost</t>
        </is>
      </c>
      <c r="J4038" t="inlineStr">
        <is>
          <t>No Response / Ghosted</t>
        </is>
      </c>
      <c r="K4038" t="n">
        <v>397.22</v>
      </c>
      <c r="L4038" t="inlineStr">
        <is>
          <t>2026-01-29 07:38:51.412898</t>
        </is>
      </c>
      <c r="M4038">
        <f>VLOOKUP(H4038,'Stage Order'!$A$2:$B$8,2,FALSE)</f>
        <v/>
      </c>
      <c r="N4038">
        <f>IF(G4038&lt;=1,"1. Under 1 hour",IF(G4038&lt;=24,"2. 1-24 hours",IF(G4038&lt;=72,"3. 1-3 days","4. Over 3 days")))</f>
        <v/>
      </c>
      <c r="O4038">
        <f>TEXT(B4038,"YYYY-MM")</f>
        <v/>
      </c>
    </row>
    <row r="4039">
      <c r="A4039" t="inlineStr">
        <is>
          <t>LD-304037</t>
        </is>
      </c>
      <c r="B4039" t="inlineStr">
        <is>
          <t>2025-01-27 10:14:00</t>
        </is>
      </c>
      <c r="C4039" t="inlineStr">
        <is>
          <t>Organic Search</t>
        </is>
      </c>
      <c r="D4039" t="inlineStr">
        <is>
          <t>Language Learning</t>
        </is>
      </c>
      <c r="E4039" t="inlineStr">
        <is>
          <t>East Region</t>
        </is>
      </c>
      <c r="F4039" t="inlineStr">
        <is>
          <t>Rep_04</t>
        </is>
      </c>
      <c r="G4039" t="n">
        <v>5.29</v>
      </c>
      <c r="H4039" t="inlineStr">
        <is>
          <t>Contacted</t>
        </is>
      </c>
      <c r="I4039" t="inlineStr">
        <is>
          <t>Open</t>
        </is>
      </c>
      <c r="M4039">
        <f>VLOOKUP(H4039,'Stage Order'!$A$2:$B$8,2,FALSE)</f>
        <v/>
      </c>
      <c r="N4039">
        <f>IF(G4039&lt;=1,"1. Under 1 hour",IF(G4039&lt;=24,"2. 1-24 hours",IF(G4039&lt;=72,"3. 1-3 days","4. Over 3 days")))</f>
        <v/>
      </c>
      <c r="O4039">
        <f>TEXT(B4039,"YYYY-MM")</f>
        <v/>
      </c>
    </row>
    <row r="4040">
      <c r="A4040" t="inlineStr">
        <is>
          <t>LD-304038</t>
        </is>
      </c>
      <c r="B4040" t="inlineStr">
        <is>
          <t>2025-10-03 14:06:00</t>
        </is>
      </c>
      <c r="C4040" t="inlineStr">
        <is>
          <t>Organic Search</t>
        </is>
      </c>
      <c r="D4040" t="inlineStr">
        <is>
          <t>Competitive Exam Prep</t>
        </is>
      </c>
      <c r="E4040" t="inlineStr">
        <is>
          <t>East Region</t>
        </is>
      </c>
      <c r="F4040" t="inlineStr">
        <is>
          <t>Rep_14</t>
        </is>
      </c>
      <c r="G4040" t="n">
        <v>5.66</v>
      </c>
      <c r="H4040" t="inlineStr">
        <is>
          <t>Demo Scheduled</t>
        </is>
      </c>
      <c r="I4040" t="inlineStr">
        <is>
          <t>Open</t>
        </is>
      </c>
      <c r="M4040">
        <f>VLOOKUP(H4040,'Stage Order'!$A$2:$B$8,2,FALSE)</f>
        <v/>
      </c>
      <c r="N4040">
        <f>IF(G4040&lt;=1,"1. Under 1 hour",IF(G4040&lt;=24,"2. 1-24 hours",IF(G4040&lt;=72,"3. 1-3 days","4. Over 3 days")))</f>
        <v/>
      </c>
      <c r="O4040">
        <f>TEXT(B4040,"YYYY-MM")</f>
        <v/>
      </c>
    </row>
    <row r="4041">
      <c r="A4041" t="inlineStr">
        <is>
          <t>LD-304039</t>
        </is>
      </c>
      <c r="B4041" t="inlineStr">
        <is>
          <t>2026-01-25 15:46:00</t>
        </is>
      </c>
      <c r="C4041" t="inlineStr">
        <is>
          <t>Organic Search</t>
        </is>
      </c>
      <c r="D4041" t="inlineStr">
        <is>
          <t>K-12 Math</t>
        </is>
      </c>
      <c r="E4041" t="inlineStr">
        <is>
          <t>South Region</t>
        </is>
      </c>
      <c r="F4041" t="inlineStr">
        <is>
          <t>Rep_02</t>
        </is>
      </c>
      <c r="G4041" t="n">
        <v>0.58</v>
      </c>
      <c r="H4041" t="inlineStr">
        <is>
          <t>Lead</t>
        </is>
      </c>
      <c r="I4041" t="inlineStr">
        <is>
          <t>Open</t>
        </is>
      </c>
      <c r="M4041">
        <f>VLOOKUP(H4041,'Stage Order'!$A$2:$B$8,2,FALSE)</f>
        <v/>
      </c>
      <c r="N4041">
        <f>IF(G4041&lt;=1,"1. Under 1 hour",IF(G4041&lt;=24,"2. 1-24 hours",IF(G4041&lt;=72,"3. 1-3 days","4. Over 3 days")))</f>
        <v/>
      </c>
      <c r="O4041">
        <f>TEXT(B4041,"YYYY-MM")</f>
        <v/>
      </c>
    </row>
    <row r="4042">
      <c r="A4042" t="inlineStr">
        <is>
          <t>LD-304040</t>
        </is>
      </c>
      <c r="B4042" t="inlineStr">
        <is>
          <t>2026-05-30 19:53:00</t>
        </is>
      </c>
      <c r="C4042" t="inlineStr">
        <is>
          <t>Organic Search</t>
        </is>
      </c>
      <c r="D4042" t="inlineStr">
        <is>
          <t>Coding for Kids</t>
        </is>
      </c>
      <c r="E4042" t="inlineStr">
        <is>
          <t>West Region</t>
        </is>
      </c>
      <c r="F4042" t="inlineStr">
        <is>
          <t>Rep_13</t>
        </is>
      </c>
      <c r="G4042" t="n">
        <v>19.22</v>
      </c>
      <c r="H4042" t="inlineStr">
        <is>
          <t>Proposal Sent</t>
        </is>
      </c>
      <c r="I4042" t="inlineStr">
        <is>
          <t>Lost</t>
        </is>
      </c>
      <c r="J4042" t="inlineStr">
        <is>
          <t>Price Objection</t>
        </is>
      </c>
      <c r="K4042" t="n">
        <v>594.46</v>
      </c>
      <c r="L4042" t="inlineStr">
        <is>
          <t>2026-07-07 00:46:08.234055</t>
        </is>
      </c>
      <c r="M4042">
        <f>VLOOKUP(H4042,'Stage Order'!$A$2:$B$8,2,FALSE)</f>
        <v/>
      </c>
      <c r="N4042">
        <f>IF(G4042&lt;=1,"1. Under 1 hour",IF(G4042&lt;=24,"2. 1-24 hours",IF(G4042&lt;=72,"3. 1-3 days","4. Over 3 days")))</f>
        <v/>
      </c>
      <c r="O4042">
        <f>TEXT(B4042,"YYYY-MM")</f>
        <v/>
      </c>
    </row>
    <row r="4043">
      <c r="A4043" t="inlineStr">
        <is>
          <t>LD-304041</t>
        </is>
      </c>
      <c r="B4043" t="inlineStr">
        <is>
          <t>2026-01-26 19:39:00</t>
        </is>
      </c>
      <c r="C4043" t="inlineStr">
        <is>
          <t>Referral</t>
        </is>
      </c>
      <c r="D4043" t="inlineStr">
        <is>
          <t>Language Learning</t>
        </is>
      </c>
      <c r="E4043" t="inlineStr">
        <is>
          <t>West Region</t>
        </is>
      </c>
      <c r="F4043" t="inlineStr">
        <is>
          <t>Rep_13</t>
        </is>
      </c>
      <c r="G4043" t="n">
        <v>3.29</v>
      </c>
      <c r="H4043" t="inlineStr">
        <is>
          <t>Closed</t>
        </is>
      </c>
      <c r="I4043" t="inlineStr">
        <is>
          <t>Won</t>
        </is>
      </c>
      <c r="K4043" t="n">
        <v>387.37</v>
      </c>
      <c r="L4043" t="inlineStr">
        <is>
          <t>2026-03-14 23:18:50.557032</t>
        </is>
      </c>
      <c r="M4043">
        <f>VLOOKUP(H4043,'Stage Order'!$A$2:$B$8,2,FALSE)</f>
        <v/>
      </c>
      <c r="N4043">
        <f>IF(G4043&lt;=1,"1. Under 1 hour",IF(G4043&lt;=24,"2. 1-24 hours",IF(G4043&lt;=72,"3. 1-3 days","4. Over 3 days")))</f>
        <v/>
      </c>
      <c r="O4043">
        <f>TEXT(B4043,"YYYY-MM")</f>
        <v/>
      </c>
    </row>
    <row r="4044">
      <c r="A4044" t="inlineStr">
        <is>
          <t>LD-304042</t>
        </is>
      </c>
      <c r="B4044" t="inlineStr">
        <is>
          <t>2025-09-05 20:45:00</t>
        </is>
      </c>
      <c r="C4044" t="inlineStr">
        <is>
          <t>Webinar</t>
        </is>
      </c>
      <c r="D4044" t="inlineStr">
        <is>
          <t>Language Learning</t>
        </is>
      </c>
      <c r="E4044" t="inlineStr">
        <is>
          <t>East Region</t>
        </is>
      </c>
      <c r="F4044" t="inlineStr">
        <is>
          <t>Rep_09</t>
        </is>
      </c>
      <c r="G4044" t="n">
        <v>2.01</v>
      </c>
      <c r="H4044" t="inlineStr">
        <is>
          <t>Contacted</t>
        </is>
      </c>
      <c r="I4044" t="inlineStr">
        <is>
          <t>Open</t>
        </is>
      </c>
      <c r="M4044">
        <f>VLOOKUP(H4044,'Stage Order'!$A$2:$B$8,2,FALSE)</f>
        <v/>
      </c>
      <c r="N4044">
        <f>IF(G4044&lt;=1,"1. Under 1 hour",IF(G4044&lt;=24,"2. 1-24 hours",IF(G4044&lt;=72,"3. 1-3 days","4. Over 3 days")))</f>
        <v/>
      </c>
      <c r="O4044">
        <f>TEXT(B4044,"YYYY-MM")</f>
        <v/>
      </c>
    </row>
    <row r="4045">
      <c r="A4045" t="inlineStr">
        <is>
          <t>LD-304043</t>
        </is>
      </c>
      <c r="B4045" t="inlineStr">
        <is>
          <t>2025-08-09 10:00:00</t>
        </is>
      </c>
      <c r="C4045" t="inlineStr">
        <is>
          <t>Paid Search</t>
        </is>
      </c>
      <c r="D4045" t="inlineStr">
        <is>
          <t>K-12 Math</t>
        </is>
      </c>
      <c r="E4045" t="inlineStr">
        <is>
          <t>North Region</t>
        </is>
      </c>
      <c r="F4045" t="inlineStr">
        <is>
          <t>Rep_11</t>
        </is>
      </c>
      <c r="G4045" t="n">
        <v>2.26</v>
      </c>
      <c r="H4045" t="inlineStr">
        <is>
          <t>Contacted</t>
        </is>
      </c>
      <c r="I4045" t="inlineStr">
        <is>
          <t>Open</t>
        </is>
      </c>
      <c r="M4045">
        <f>VLOOKUP(H4045,'Stage Order'!$A$2:$B$8,2,FALSE)</f>
        <v/>
      </c>
      <c r="N4045">
        <f>IF(G4045&lt;=1,"1. Under 1 hour",IF(G4045&lt;=24,"2. 1-24 hours",IF(G4045&lt;=72,"3. 1-3 days","4. Over 3 days")))</f>
        <v/>
      </c>
      <c r="O4045">
        <f>TEXT(B4045,"YYYY-MM")</f>
        <v/>
      </c>
    </row>
    <row r="4046">
      <c r="A4046" t="inlineStr">
        <is>
          <t>LD-304044</t>
        </is>
      </c>
      <c r="B4046" t="inlineStr">
        <is>
          <t>2025-03-08 08:24:00</t>
        </is>
      </c>
      <c r="C4046" t="inlineStr">
        <is>
          <t>Webinar</t>
        </is>
      </c>
      <c r="D4046" t="inlineStr">
        <is>
          <t>K-12 Math</t>
        </is>
      </c>
      <c r="E4046" t="inlineStr">
        <is>
          <t>West Region</t>
        </is>
      </c>
      <c r="F4046" t="inlineStr">
        <is>
          <t>Rep_13</t>
        </is>
      </c>
      <c r="G4046" t="n">
        <v>2.54</v>
      </c>
      <c r="H4046" t="inlineStr">
        <is>
          <t>Contacted</t>
        </is>
      </c>
      <c r="I4046" t="inlineStr">
        <is>
          <t>Open</t>
        </is>
      </c>
      <c r="M4046">
        <f>VLOOKUP(H4046,'Stage Order'!$A$2:$B$8,2,FALSE)</f>
        <v/>
      </c>
      <c r="N4046">
        <f>IF(G4046&lt;=1,"1. Under 1 hour",IF(G4046&lt;=24,"2. 1-24 hours",IF(G4046&lt;=72,"3. 1-3 days","4. Over 3 days")))</f>
        <v/>
      </c>
      <c r="O4046">
        <f>TEXT(B4046,"YYYY-MM")</f>
        <v/>
      </c>
    </row>
    <row r="4047">
      <c r="A4047" t="inlineStr">
        <is>
          <t>LD-304045</t>
        </is>
      </c>
      <c r="B4047" t="inlineStr">
        <is>
          <t>2026-02-26 16:38:00</t>
        </is>
      </c>
      <c r="C4047" t="inlineStr">
        <is>
          <t>Organic Search</t>
        </is>
      </c>
      <c r="D4047" t="inlineStr">
        <is>
          <t>Language Learning</t>
        </is>
      </c>
      <c r="E4047" t="inlineStr">
        <is>
          <t>East Region</t>
        </is>
      </c>
      <c r="F4047" t="inlineStr">
        <is>
          <t>Rep_04</t>
        </is>
      </c>
      <c r="G4047" t="n">
        <v>10.37</v>
      </c>
      <c r="H4047" t="inlineStr">
        <is>
          <t>Lead</t>
        </is>
      </c>
      <c r="I4047" t="inlineStr">
        <is>
          <t>Open</t>
        </is>
      </c>
      <c r="M4047">
        <f>VLOOKUP(H4047,'Stage Order'!$A$2:$B$8,2,FALSE)</f>
        <v/>
      </c>
      <c r="N4047">
        <f>IF(G4047&lt;=1,"1. Under 1 hour",IF(G4047&lt;=24,"2. 1-24 hours",IF(G4047&lt;=72,"3. 1-3 days","4. Over 3 days")))</f>
        <v/>
      </c>
      <c r="O4047">
        <f>TEXT(B4047,"YYYY-MM")</f>
        <v/>
      </c>
    </row>
    <row r="4048">
      <c r="A4048" t="inlineStr">
        <is>
          <t>LD-304046</t>
        </is>
      </c>
      <c r="B4048" t="inlineStr">
        <is>
          <t>2025-11-26 17:41:00</t>
        </is>
      </c>
      <c r="C4048" t="inlineStr">
        <is>
          <t>Social Media</t>
        </is>
      </c>
      <c r="D4048" t="inlineStr">
        <is>
          <t>Coding for Kids</t>
        </is>
      </c>
      <c r="E4048" t="inlineStr">
        <is>
          <t>South Region</t>
        </is>
      </c>
      <c r="F4048" t="inlineStr">
        <is>
          <t>Rep_07</t>
        </is>
      </c>
      <c r="G4048" t="n">
        <v>2.4</v>
      </c>
      <c r="H4048" t="inlineStr">
        <is>
          <t>Lead</t>
        </is>
      </c>
      <c r="I4048" t="inlineStr">
        <is>
          <t>Open</t>
        </is>
      </c>
      <c r="M4048">
        <f>VLOOKUP(H4048,'Stage Order'!$A$2:$B$8,2,FALSE)</f>
        <v/>
      </c>
      <c r="N4048">
        <f>IF(G4048&lt;=1,"1. Under 1 hour",IF(G4048&lt;=24,"2. 1-24 hours",IF(G4048&lt;=72,"3. 1-3 days","4. Over 3 days")))</f>
        <v/>
      </c>
      <c r="O4048">
        <f>TEXT(B4048,"YYYY-MM")</f>
        <v/>
      </c>
    </row>
    <row r="4049">
      <c r="A4049" t="inlineStr">
        <is>
          <t>LD-304047</t>
        </is>
      </c>
      <c r="B4049" t="inlineStr">
        <is>
          <t>2026-01-05 11:42:00</t>
        </is>
      </c>
      <c r="C4049" t="inlineStr">
        <is>
          <t>Cold Outreach</t>
        </is>
      </c>
      <c r="D4049" t="inlineStr">
        <is>
          <t>Competitive Exam Prep</t>
        </is>
      </c>
      <c r="E4049" t="inlineStr">
        <is>
          <t>North Region</t>
        </is>
      </c>
      <c r="F4049" t="inlineStr">
        <is>
          <t>Rep_11</t>
        </is>
      </c>
      <c r="G4049" t="n">
        <v>2.54</v>
      </c>
      <c r="H4049" t="inlineStr">
        <is>
          <t>Lead</t>
        </is>
      </c>
      <c r="I4049" t="inlineStr">
        <is>
          <t>Open</t>
        </is>
      </c>
      <c r="M4049">
        <f>VLOOKUP(H4049,'Stage Order'!$A$2:$B$8,2,FALSE)</f>
        <v/>
      </c>
      <c r="N4049">
        <f>IF(G4049&lt;=1,"1. Under 1 hour",IF(G4049&lt;=24,"2. 1-24 hours",IF(G4049&lt;=72,"3. 1-3 days","4. Over 3 days")))</f>
        <v/>
      </c>
      <c r="O4049">
        <f>TEXT(B4049,"YYYY-MM")</f>
        <v/>
      </c>
    </row>
    <row r="4050">
      <c r="A4050" t="inlineStr">
        <is>
          <t>LD-304048</t>
        </is>
      </c>
      <c r="B4050" t="inlineStr">
        <is>
          <t>2025-03-08 20:39:00</t>
        </is>
      </c>
      <c r="C4050" t="inlineStr">
        <is>
          <t>Partner Channel</t>
        </is>
      </c>
      <c r="D4050" t="inlineStr">
        <is>
          <t>Coding for Kids</t>
        </is>
      </c>
      <c r="E4050" t="inlineStr">
        <is>
          <t>West Region</t>
        </is>
      </c>
      <c r="F4050" t="inlineStr">
        <is>
          <t>Rep_03</t>
        </is>
      </c>
      <c r="G4050" t="n">
        <v>7.39</v>
      </c>
      <c r="H4050" t="inlineStr">
        <is>
          <t>Closed</t>
        </is>
      </c>
      <c r="I4050" t="inlineStr">
        <is>
          <t>Won</t>
        </is>
      </c>
      <c r="K4050" t="n">
        <v>725.61</v>
      </c>
      <c r="L4050" t="inlineStr">
        <is>
          <t>2025-04-26 17:03:38.574990</t>
        </is>
      </c>
      <c r="M4050">
        <f>VLOOKUP(H4050,'Stage Order'!$A$2:$B$8,2,FALSE)</f>
        <v/>
      </c>
      <c r="N4050">
        <f>IF(G4050&lt;=1,"1. Under 1 hour",IF(G4050&lt;=24,"2. 1-24 hours",IF(G4050&lt;=72,"3. 1-3 days","4. Over 3 days")))</f>
        <v/>
      </c>
      <c r="O4050">
        <f>TEXT(B4050,"YYYY-MM")</f>
        <v/>
      </c>
    </row>
    <row r="4051">
      <c r="A4051" t="inlineStr">
        <is>
          <t>LD-304049</t>
        </is>
      </c>
      <c r="B4051" t="inlineStr">
        <is>
          <t>2026-05-29 15:46:00</t>
        </is>
      </c>
      <c r="C4051" t="inlineStr">
        <is>
          <t>Organic Search</t>
        </is>
      </c>
      <c r="D4051" t="inlineStr">
        <is>
          <t>Coding for Kids</t>
        </is>
      </c>
      <c r="E4051" t="inlineStr">
        <is>
          <t>West Region</t>
        </is>
      </c>
      <c r="F4051" t="inlineStr">
        <is>
          <t>Rep_13</t>
        </is>
      </c>
      <c r="G4051" t="n">
        <v>0.65</v>
      </c>
      <c r="H4051" t="inlineStr">
        <is>
          <t>Closed</t>
        </is>
      </c>
      <c r="I4051" t="inlineStr">
        <is>
          <t>Won</t>
        </is>
      </c>
      <c r="K4051" t="n">
        <v>680.3</v>
      </c>
      <c r="L4051" t="inlineStr">
        <is>
          <t>2026-07-07 19:35:34.348156</t>
        </is>
      </c>
      <c r="M4051">
        <f>VLOOKUP(H4051,'Stage Order'!$A$2:$B$8,2,FALSE)</f>
        <v/>
      </c>
      <c r="N4051">
        <f>IF(G4051&lt;=1,"1. Under 1 hour",IF(G4051&lt;=24,"2. 1-24 hours",IF(G4051&lt;=72,"3. 1-3 days","4. Over 3 days")))</f>
        <v/>
      </c>
      <c r="O4051">
        <f>TEXT(B4051,"YYYY-MM")</f>
        <v/>
      </c>
    </row>
    <row r="4052">
      <c r="A4052" t="inlineStr">
        <is>
          <t>LD-304050</t>
        </is>
      </c>
      <c r="B4052" t="inlineStr">
        <is>
          <t>2025-04-06 19:14:00</t>
        </is>
      </c>
      <c r="C4052" t="inlineStr">
        <is>
          <t>Organic Search</t>
        </is>
      </c>
      <c r="D4052" t="inlineStr">
        <is>
          <t>Competitive Exam Prep</t>
        </is>
      </c>
      <c r="E4052" t="inlineStr">
        <is>
          <t>International</t>
        </is>
      </c>
      <c r="F4052" t="inlineStr">
        <is>
          <t>Rep_05</t>
        </is>
      </c>
      <c r="G4052" t="n">
        <v>2.24</v>
      </c>
      <c r="H4052" t="inlineStr">
        <is>
          <t>Contacted</t>
        </is>
      </c>
      <c r="I4052" t="inlineStr">
        <is>
          <t>Open</t>
        </is>
      </c>
      <c r="M4052">
        <f>VLOOKUP(H4052,'Stage Order'!$A$2:$B$8,2,FALSE)</f>
        <v/>
      </c>
      <c r="N4052">
        <f>IF(G4052&lt;=1,"1. Under 1 hour",IF(G4052&lt;=24,"2. 1-24 hours",IF(G4052&lt;=72,"3. 1-3 days","4. Over 3 days")))</f>
        <v/>
      </c>
      <c r="O4052">
        <f>TEXT(B4052,"YYYY-MM")</f>
        <v/>
      </c>
    </row>
    <row r="4053">
      <c r="A4053" t="inlineStr">
        <is>
          <t>LD-304051</t>
        </is>
      </c>
      <c r="B4053" t="inlineStr">
        <is>
          <t>2025-02-20 07:16:00</t>
        </is>
      </c>
      <c r="C4053" t="inlineStr">
        <is>
          <t>Paid Search</t>
        </is>
      </c>
      <c r="D4053" t="inlineStr">
        <is>
          <t>K-12 Math</t>
        </is>
      </c>
      <c r="E4053" t="inlineStr">
        <is>
          <t>South Region</t>
        </is>
      </c>
      <c r="F4053" t="inlineStr">
        <is>
          <t>Rep_02</t>
        </is>
      </c>
      <c r="G4053" t="n">
        <v>2.66</v>
      </c>
      <c r="H4053" t="inlineStr">
        <is>
          <t>Closed</t>
        </is>
      </c>
      <c r="I4053" t="inlineStr">
        <is>
          <t>Won</t>
        </is>
      </c>
      <c r="K4053" t="n">
        <v>529.88</v>
      </c>
      <c r="L4053" t="inlineStr">
        <is>
          <t>2025-04-02 16:37:30.575914</t>
        </is>
      </c>
      <c r="M4053">
        <f>VLOOKUP(H4053,'Stage Order'!$A$2:$B$8,2,FALSE)</f>
        <v/>
      </c>
      <c r="N4053">
        <f>IF(G4053&lt;=1,"1. Under 1 hour",IF(G4053&lt;=24,"2. 1-24 hours",IF(G4053&lt;=72,"3. 1-3 days","4. Over 3 days")))</f>
        <v/>
      </c>
      <c r="O4053">
        <f>TEXT(B4053,"YYYY-MM")</f>
        <v/>
      </c>
    </row>
    <row r="4054">
      <c r="A4054" t="inlineStr">
        <is>
          <t>LD-304052</t>
        </is>
      </c>
      <c r="B4054" t="inlineStr">
        <is>
          <t>2025-03-13 20:14:00</t>
        </is>
      </c>
      <c r="C4054" t="inlineStr">
        <is>
          <t>Webinar</t>
        </is>
      </c>
      <c r="D4054" t="inlineStr">
        <is>
          <t>Competitive Exam Prep</t>
        </is>
      </c>
      <c r="E4054" t="inlineStr">
        <is>
          <t>East Region</t>
        </is>
      </c>
      <c r="F4054" t="inlineStr">
        <is>
          <t>Rep_09</t>
        </is>
      </c>
      <c r="G4054" t="n">
        <v>14.95</v>
      </c>
      <c r="H4054" t="inlineStr">
        <is>
          <t>Lead</t>
        </is>
      </c>
      <c r="I4054" t="inlineStr">
        <is>
          <t>Open</t>
        </is>
      </c>
      <c r="M4054">
        <f>VLOOKUP(H4054,'Stage Order'!$A$2:$B$8,2,FALSE)</f>
        <v/>
      </c>
      <c r="N4054">
        <f>IF(G4054&lt;=1,"1. Under 1 hour",IF(G4054&lt;=24,"2. 1-24 hours",IF(G4054&lt;=72,"3. 1-3 days","4. Over 3 days")))</f>
        <v/>
      </c>
      <c r="O4054">
        <f>TEXT(B4054,"YYYY-MM")</f>
        <v/>
      </c>
    </row>
    <row r="4055">
      <c r="A4055" t="inlineStr">
        <is>
          <t>LD-304053</t>
        </is>
      </c>
      <c r="B4055" t="inlineStr">
        <is>
          <t>2025-11-05 18:31:00</t>
        </is>
      </c>
      <c r="C4055" t="inlineStr">
        <is>
          <t>Paid Search</t>
        </is>
      </c>
      <c r="D4055" t="inlineStr">
        <is>
          <t>Competitive Exam Prep</t>
        </is>
      </c>
      <c r="E4055" t="inlineStr">
        <is>
          <t>International</t>
        </is>
      </c>
      <c r="F4055" t="inlineStr">
        <is>
          <t>Rep_05</t>
        </is>
      </c>
      <c r="G4055" t="n">
        <v>4.32</v>
      </c>
      <c r="H4055" t="inlineStr">
        <is>
          <t>Contacted</t>
        </is>
      </c>
      <c r="I4055" t="inlineStr">
        <is>
          <t>Open</t>
        </is>
      </c>
      <c r="M4055">
        <f>VLOOKUP(H4055,'Stage Order'!$A$2:$B$8,2,FALSE)</f>
        <v/>
      </c>
      <c r="N4055">
        <f>IF(G4055&lt;=1,"1. Under 1 hour",IF(G4055&lt;=24,"2. 1-24 hours",IF(G4055&lt;=72,"3. 1-3 days","4. Over 3 days")))</f>
        <v/>
      </c>
      <c r="O4055">
        <f>TEXT(B4055,"YYYY-MM")</f>
        <v/>
      </c>
    </row>
    <row r="4056">
      <c r="A4056" t="inlineStr">
        <is>
          <t>LD-304054</t>
        </is>
      </c>
      <c r="B4056" t="inlineStr">
        <is>
          <t>2026-02-16 08:09:00</t>
        </is>
      </c>
      <c r="C4056" t="inlineStr">
        <is>
          <t>Partner Channel</t>
        </is>
      </c>
      <c r="D4056" t="inlineStr">
        <is>
          <t>Language Learning</t>
        </is>
      </c>
      <c r="E4056" t="inlineStr">
        <is>
          <t>West Region</t>
        </is>
      </c>
      <c r="F4056" t="inlineStr">
        <is>
          <t>Rep_13</t>
        </is>
      </c>
      <c r="G4056" t="n">
        <v>2.98</v>
      </c>
      <c r="H4056" t="inlineStr">
        <is>
          <t>Closed</t>
        </is>
      </c>
      <c r="I4056" t="inlineStr">
        <is>
          <t>Won</t>
        </is>
      </c>
      <c r="K4056" t="n">
        <v>312.53</v>
      </c>
      <c r="L4056" t="inlineStr">
        <is>
          <t>2026-03-30 18:35:57.332499</t>
        </is>
      </c>
      <c r="M4056">
        <f>VLOOKUP(H4056,'Stage Order'!$A$2:$B$8,2,FALSE)</f>
        <v/>
      </c>
      <c r="N4056">
        <f>IF(G4056&lt;=1,"1. Under 1 hour",IF(G4056&lt;=24,"2. 1-24 hours",IF(G4056&lt;=72,"3. 1-3 days","4. Over 3 days")))</f>
        <v/>
      </c>
      <c r="O4056">
        <f>TEXT(B4056,"YYYY-MM")</f>
        <v/>
      </c>
    </row>
    <row r="4057">
      <c r="A4057" t="inlineStr">
        <is>
          <t>LD-304055</t>
        </is>
      </c>
      <c r="B4057" t="inlineStr">
        <is>
          <t>2025-04-07 09:04:00</t>
        </is>
      </c>
      <c r="C4057" t="inlineStr">
        <is>
          <t>Cold Outreach</t>
        </is>
      </c>
      <c r="D4057" t="inlineStr">
        <is>
          <t>K-12 Math</t>
        </is>
      </c>
      <c r="E4057" t="inlineStr">
        <is>
          <t>West Region</t>
        </is>
      </c>
      <c r="F4057" t="inlineStr">
        <is>
          <t>Rep_08</t>
        </is>
      </c>
      <c r="G4057" t="n">
        <v>10.42</v>
      </c>
      <c r="H4057" t="inlineStr">
        <is>
          <t>Lead</t>
        </is>
      </c>
      <c r="I4057" t="inlineStr">
        <is>
          <t>Open</t>
        </is>
      </c>
      <c r="M4057">
        <f>VLOOKUP(H4057,'Stage Order'!$A$2:$B$8,2,FALSE)</f>
        <v/>
      </c>
      <c r="N4057">
        <f>IF(G4057&lt;=1,"1. Under 1 hour",IF(G4057&lt;=24,"2. 1-24 hours",IF(G4057&lt;=72,"3. 1-3 days","4. Over 3 days")))</f>
        <v/>
      </c>
      <c r="O4057">
        <f>TEXT(B4057,"YYYY-MM")</f>
        <v/>
      </c>
    </row>
    <row r="4058">
      <c r="A4058" t="inlineStr">
        <is>
          <t>LD-304056</t>
        </is>
      </c>
      <c r="B4058" t="inlineStr">
        <is>
          <t>2025-06-09 07:42:00</t>
        </is>
      </c>
      <c r="C4058" t="inlineStr">
        <is>
          <t>Social Media</t>
        </is>
      </c>
      <c r="D4058" t="inlineStr">
        <is>
          <t>Coding for Kids</t>
        </is>
      </c>
      <c r="E4058" t="inlineStr">
        <is>
          <t>North Region</t>
        </is>
      </c>
      <c r="F4058" t="inlineStr">
        <is>
          <t>Rep_11</t>
        </is>
      </c>
      <c r="G4058" t="n">
        <v>13.72</v>
      </c>
      <c r="H4058" t="inlineStr">
        <is>
          <t>Lead</t>
        </is>
      </c>
      <c r="I4058" t="inlineStr">
        <is>
          <t>Open</t>
        </is>
      </c>
      <c r="M4058">
        <f>VLOOKUP(H4058,'Stage Order'!$A$2:$B$8,2,FALSE)</f>
        <v/>
      </c>
      <c r="N4058">
        <f>IF(G4058&lt;=1,"1. Under 1 hour",IF(G4058&lt;=24,"2. 1-24 hours",IF(G4058&lt;=72,"3. 1-3 days","4. Over 3 days")))</f>
        <v/>
      </c>
      <c r="O4058">
        <f>TEXT(B4058,"YYYY-MM")</f>
        <v/>
      </c>
    </row>
    <row r="4059">
      <c r="A4059" t="inlineStr">
        <is>
          <t>LD-304057</t>
        </is>
      </c>
      <c r="B4059" t="inlineStr">
        <is>
          <t>2025-04-18 17:00:00</t>
        </is>
      </c>
      <c r="C4059" t="inlineStr">
        <is>
          <t>Referral</t>
        </is>
      </c>
      <c r="D4059" t="inlineStr">
        <is>
          <t>Competitive Exam Prep</t>
        </is>
      </c>
      <c r="E4059" t="inlineStr">
        <is>
          <t>North Region</t>
        </is>
      </c>
      <c r="F4059" t="inlineStr">
        <is>
          <t>Rep_11</t>
        </is>
      </c>
      <c r="G4059" t="n">
        <v>34.93</v>
      </c>
      <c r="H4059" t="inlineStr">
        <is>
          <t>Contacted</t>
        </is>
      </c>
      <c r="I4059" t="inlineStr">
        <is>
          <t>Open</t>
        </is>
      </c>
      <c r="M4059">
        <f>VLOOKUP(H4059,'Stage Order'!$A$2:$B$8,2,FALSE)</f>
        <v/>
      </c>
      <c r="N4059">
        <f>IF(G4059&lt;=1,"1. Under 1 hour",IF(G4059&lt;=24,"2. 1-24 hours",IF(G4059&lt;=72,"3. 1-3 days","4. Over 3 days")))</f>
        <v/>
      </c>
      <c r="O4059">
        <f>TEXT(B4059,"YYYY-MM")</f>
        <v/>
      </c>
    </row>
    <row r="4060">
      <c r="A4060" t="inlineStr">
        <is>
          <t>LD-304058</t>
        </is>
      </c>
      <c r="B4060" t="inlineStr">
        <is>
          <t>2026-01-19 12:57:00</t>
        </is>
      </c>
      <c r="C4060" t="inlineStr">
        <is>
          <t>Webinar</t>
        </is>
      </c>
      <c r="D4060" t="inlineStr">
        <is>
          <t>Coding for Kids</t>
        </is>
      </c>
      <c r="E4060" t="inlineStr">
        <is>
          <t>West Region</t>
        </is>
      </c>
      <c r="F4060" t="inlineStr">
        <is>
          <t>Rep_08</t>
        </is>
      </c>
      <c r="G4060" t="n">
        <v>8.51</v>
      </c>
      <c r="H4060" t="inlineStr">
        <is>
          <t>Contacted</t>
        </is>
      </c>
      <c r="I4060" t="inlineStr">
        <is>
          <t>Open</t>
        </is>
      </c>
      <c r="M4060">
        <f>VLOOKUP(H4060,'Stage Order'!$A$2:$B$8,2,FALSE)</f>
        <v/>
      </c>
      <c r="N4060">
        <f>IF(G4060&lt;=1,"1. Under 1 hour",IF(G4060&lt;=24,"2. 1-24 hours",IF(G4060&lt;=72,"3. 1-3 days","4. Over 3 days")))</f>
        <v/>
      </c>
      <c r="O4060">
        <f>TEXT(B4060,"YYYY-MM")</f>
        <v/>
      </c>
    </row>
    <row r="4061">
      <c r="A4061" t="inlineStr">
        <is>
          <t>LD-304059</t>
        </is>
      </c>
      <c r="B4061" t="inlineStr">
        <is>
          <t>2025-07-16 16:39:00</t>
        </is>
      </c>
      <c r="C4061" t="inlineStr">
        <is>
          <t>Social Media</t>
        </is>
      </c>
      <c r="D4061" t="inlineStr">
        <is>
          <t>Competitive Exam Prep</t>
        </is>
      </c>
      <c r="E4061" t="inlineStr">
        <is>
          <t>North Region</t>
        </is>
      </c>
      <c r="F4061" t="inlineStr">
        <is>
          <t>Rep_11</t>
        </is>
      </c>
      <c r="G4061" t="n">
        <v>0.91</v>
      </c>
      <c r="H4061" t="inlineStr">
        <is>
          <t>Negotiation</t>
        </is>
      </c>
      <c r="I4061" t="inlineStr">
        <is>
          <t>Lost</t>
        </is>
      </c>
      <c r="J4061" t="inlineStr">
        <is>
          <t>Price Objection</t>
        </is>
      </c>
      <c r="K4061" t="n">
        <v>1185.91</v>
      </c>
      <c r="L4061" t="inlineStr">
        <is>
          <t>2025-08-29 20:33:00.682337</t>
        </is>
      </c>
      <c r="M4061">
        <f>VLOOKUP(H4061,'Stage Order'!$A$2:$B$8,2,FALSE)</f>
        <v/>
      </c>
      <c r="N4061">
        <f>IF(G4061&lt;=1,"1. Under 1 hour",IF(G4061&lt;=24,"2. 1-24 hours",IF(G4061&lt;=72,"3. 1-3 days","4. Over 3 days")))</f>
        <v/>
      </c>
      <c r="O4061">
        <f>TEXT(B4061,"YYYY-MM")</f>
        <v/>
      </c>
    </row>
    <row r="4062">
      <c r="A4062" t="inlineStr">
        <is>
          <t>LD-304060</t>
        </is>
      </c>
      <c r="B4062" t="inlineStr">
        <is>
          <t>2026-06-17 10:10:00</t>
        </is>
      </c>
      <c r="C4062" t="inlineStr">
        <is>
          <t>Organic Search</t>
        </is>
      </c>
      <c r="D4062" t="inlineStr">
        <is>
          <t>Competitive Exam Prep</t>
        </is>
      </c>
      <c r="E4062" t="inlineStr">
        <is>
          <t>North Region</t>
        </is>
      </c>
      <c r="F4062" t="inlineStr">
        <is>
          <t>Rep_11</t>
        </is>
      </c>
      <c r="G4062" t="n">
        <v>1.06</v>
      </c>
      <c r="H4062" t="inlineStr">
        <is>
          <t>Closed</t>
        </is>
      </c>
      <c r="I4062" t="inlineStr">
        <is>
          <t>Won</t>
        </is>
      </c>
      <c r="K4062" t="n">
        <v>911.35</v>
      </c>
      <c r="L4062" t="inlineStr">
        <is>
          <t>2026-07-19 17:26:33.243788</t>
        </is>
      </c>
      <c r="M4062">
        <f>VLOOKUP(H4062,'Stage Order'!$A$2:$B$8,2,FALSE)</f>
        <v/>
      </c>
      <c r="N4062">
        <f>IF(G4062&lt;=1,"1. Under 1 hour",IF(G4062&lt;=24,"2. 1-24 hours",IF(G4062&lt;=72,"3. 1-3 days","4. Over 3 days")))</f>
        <v/>
      </c>
      <c r="O4062">
        <f>TEXT(B4062,"YYYY-MM")</f>
        <v/>
      </c>
    </row>
    <row r="4063">
      <c r="A4063" t="inlineStr">
        <is>
          <t>LD-304061</t>
        </is>
      </c>
      <c r="B4063" t="inlineStr">
        <is>
          <t>2025-03-14 15:07:00</t>
        </is>
      </c>
      <c r="C4063" t="inlineStr">
        <is>
          <t>Partner Channel</t>
        </is>
      </c>
      <c r="D4063" t="inlineStr">
        <is>
          <t>Competitive Exam Prep</t>
        </is>
      </c>
      <c r="E4063" t="inlineStr">
        <is>
          <t>North Region</t>
        </is>
      </c>
      <c r="F4063" t="inlineStr">
        <is>
          <t>Rep_06</t>
        </is>
      </c>
      <c r="G4063" t="n">
        <v>6.55</v>
      </c>
      <c r="H4063" t="inlineStr">
        <is>
          <t>Lead</t>
        </is>
      </c>
      <c r="I4063" t="inlineStr">
        <is>
          <t>Open</t>
        </is>
      </c>
      <c r="M4063">
        <f>VLOOKUP(H4063,'Stage Order'!$A$2:$B$8,2,FALSE)</f>
        <v/>
      </c>
      <c r="N4063">
        <f>IF(G4063&lt;=1,"1. Under 1 hour",IF(G4063&lt;=24,"2. 1-24 hours",IF(G4063&lt;=72,"3. 1-3 days","4. Over 3 days")))</f>
        <v/>
      </c>
      <c r="O4063">
        <f>TEXT(B4063,"YYYY-MM")</f>
        <v/>
      </c>
    </row>
    <row r="4064">
      <c r="A4064" t="inlineStr">
        <is>
          <t>LD-304062</t>
        </is>
      </c>
      <c r="B4064" t="inlineStr">
        <is>
          <t>2026-04-03 19:05:00</t>
        </is>
      </c>
      <c r="C4064" t="inlineStr">
        <is>
          <t>Social Media</t>
        </is>
      </c>
      <c r="D4064" t="inlineStr">
        <is>
          <t>Language Learning</t>
        </is>
      </c>
      <c r="E4064" t="inlineStr">
        <is>
          <t>West Region</t>
        </is>
      </c>
      <c r="F4064" t="inlineStr">
        <is>
          <t>Rep_03</t>
        </is>
      </c>
      <c r="G4064" t="n">
        <v>0.84</v>
      </c>
      <c r="H4064" t="inlineStr">
        <is>
          <t>Contacted</t>
        </is>
      </c>
      <c r="I4064" t="inlineStr">
        <is>
          <t>Open</t>
        </is>
      </c>
      <c r="M4064">
        <f>VLOOKUP(H4064,'Stage Order'!$A$2:$B$8,2,FALSE)</f>
        <v/>
      </c>
      <c r="N4064">
        <f>IF(G4064&lt;=1,"1. Under 1 hour",IF(G4064&lt;=24,"2. 1-24 hours",IF(G4064&lt;=72,"3. 1-3 days","4. Over 3 days")))</f>
        <v/>
      </c>
      <c r="O4064">
        <f>TEXT(B4064,"YYYY-MM")</f>
        <v/>
      </c>
    </row>
    <row r="4065">
      <c r="A4065" t="inlineStr">
        <is>
          <t>LD-304063</t>
        </is>
      </c>
      <c r="B4065" t="inlineStr">
        <is>
          <t>2025-04-16 19:32:00</t>
        </is>
      </c>
      <c r="C4065" t="inlineStr">
        <is>
          <t>Organic Search</t>
        </is>
      </c>
      <c r="D4065" t="inlineStr">
        <is>
          <t>Language Learning</t>
        </is>
      </c>
      <c r="E4065" t="inlineStr">
        <is>
          <t>East Region</t>
        </is>
      </c>
      <c r="F4065" t="inlineStr">
        <is>
          <t>Rep_14</t>
        </is>
      </c>
      <c r="G4065" t="n">
        <v>2.02</v>
      </c>
      <c r="H4065" t="inlineStr">
        <is>
          <t>Contacted</t>
        </is>
      </c>
      <c r="I4065" t="inlineStr">
        <is>
          <t>Open</t>
        </is>
      </c>
      <c r="M4065">
        <f>VLOOKUP(H4065,'Stage Order'!$A$2:$B$8,2,FALSE)</f>
        <v/>
      </c>
      <c r="N4065">
        <f>IF(G4065&lt;=1,"1. Under 1 hour",IF(G4065&lt;=24,"2. 1-24 hours",IF(G4065&lt;=72,"3. 1-3 days","4. Over 3 days")))</f>
        <v/>
      </c>
      <c r="O4065">
        <f>TEXT(B4065,"YYYY-MM")</f>
        <v/>
      </c>
    </row>
    <row r="4066">
      <c r="A4066" t="inlineStr">
        <is>
          <t>LD-304064</t>
        </is>
      </c>
      <c r="B4066" t="inlineStr">
        <is>
          <t>2025-12-18 10:00:00</t>
        </is>
      </c>
      <c r="C4066" t="inlineStr">
        <is>
          <t>Social Media</t>
        </is>
      </c>
      <c r="D4066" t="inlineStr">
        <is>
          <t>Competitive Exam Prep</t>
        </is>
      </c>
      <c r="E4066" t="inlineStr">
        <is>
          <t>North Region</t>
        </is>
      </c>
      <c r="F4066" t="inlineStr">
        <is>
          <t>Rep_11</t>
        </is>
      </c>
      <c r="G4066" t="n">
        <v>1.38</v>
      </c>
      <c r="H4066" t="inlineStr">
        <is>
          <t>Contacted</t>
        </is>
      </c>
      <c r="I4066" t="inlineStr">
        <is>
          <t>Open</t>
        </is>
      </c>
      <c r="M4066">
        <f>VLOOKUP(H4066,'Stage Order'!$A$2:$B$8,2,FALSE)</f>
        <v/>
      </c>
      <c r="N4066">
        <f>IF(G4066&lt;=1,"1. Under 1 hour",IF(G4066&lt;=24,"2. 1-24 hours",IF(G4066&lt;=72,"3. 1-3 days","4. Over 3 days")))</f>
        <v/>
      </c>
      <c r="O4066">
        <f>TEXT(B4066,"YYYY-MM")</f>
        <v/>
      </c>
    </row>
    <row r="4067">
      <c r="A4067" t="inlineStr">
        <is>
          <t>LD-304065</t>
        </is>
      </c>
      <c r="B4067" t="inlineStr">
        <is>
          <t>2025-06-20 12:55:00</t>
        </is>
      </c>
      <c r="C4067" t="inlineStr">
        <is>
          <t>Partner Channel</t>
        </is>
      </c>
      <c r="D4067" t="inlineStr">
        <is>
          <t>Language Learning</t>
        </is>
      </c>
      <c r="E4067" t="inlineStr">
        <is>
          <t>West Region</t>
        </is>
      </c>
      <c r="F4067" t="inlineStr">
        <is>
          <t>Rep_03</t>
        </is>
      </c>
      <c r="G4067" t="n">
        <v>4.8</v>
      </c>
      <c r="H4067" t="inlineStr">
        <is>
          <t>Contacted</t>
        </is>
      </c>
      <c r="I4067" t="inlineStr">
        <is>
          <t>Open</t>
        </is>
      </c>
      <c r="M4067">
        <f>VLOOKUP(H4067,'Stage Order'!$A$2:$B$8,2,FALSE)</f>
        <v/>
      </c>
      <c r="N4067">
        <f>IF(G4067&lt;=1,"1. Under 1 hour",IF(G4067&lt;=24,"2. 1-24 hours",IF(G4067&lt;=72,"3. 1-3 days","4. Over 3 days")))</f>
        <v/>
      </c>
      <c r="O4067">
        <f>TEXT(B4067,"YYYY-MM")</f>
        <v/>
      </c>
    </row>
    <row r="4068">
      <c r="A4068" t="inlineStr">
        <is>
          <t>LD-304066</t>
        </is>
      </c>
      <c r="B4068" t="inlineStr">
        <is>
          <t>2026-01-28 07:16:00</t>
        </is>
      </c>
      <c r="C4068" t="inlineStr">
        <is>
          <t>Webinar</t>
        </is>
      </c>
      <c r="D4068" t="inlineStr">
        <is>
          <t>Coding for Kids</t>
        </is>
      </c>
      <c r="E4068" t="inlineStr">
        <is>
          <t>North Region</t>
        </is>
      </c>
      <c r="F4068" t="inlineStr">
        <is>
          <t>Rep_11</t>
        </is>
      </c>
      <c r="G4068" t="n">
        <v>3.27</v>
      </c>
      <c r="H4068" t="inlineStr">
        <is>
          <t>Closed</t>
        </is>
      </c>
      <c r="I4068" t="inlineStr">
        <is>
          <t>Won</t>
        </is>
      </c>
      <c r="K4068" t="n">
        <v>736.59</v>
      </c>
      <c r="L4068" t="inlineStr">
        <is>
          <t>2026-03-12 17:19:50.641854</t>
        </is>
      </c>
      <c r="M4068">
        <f>VLOOKUP(H4068,'Stage Order'!$A$2:$B$8,2,FALSE)</f>
        <v/>
      </c>
      <c r="N4068">
        <f>IF(G4068&lt;=1,"1. Under 1 hour",IF(G4068&lt;=24,"2. 1-24 hours",IF(G4068&lt;=72,"3. 1-3 days","4. Over 3 days")))</f>
        <v/>
      </c>
      <c r="O4068">
        <f>TEXT(B4068,"YYYY-MM")</f>
        <v/>
      </c>
    </row>
    <row r="4069">
      <c r="A4069" t="inlineStr">
        <is>
          <t>LD-304067</t>
        </is>
      </c>
      <c r="B4069" t="inlineStr">
        <is>
          <t>2026-06-29 10:47:00</t>
        </is>
      </c>
      <c r="C4069" t="inlineStr">
        <is>
          <t>Social Media</t>
        </is>
      </c>
      <c r="D4069" t="inlineStr">
        <is>
          <t>Competitive Exam Prep</t>
        </is>
      </c>
      <c r="E4069" t="inlineStr">
        <is>
          <t>East Region</t>
        </is>
      </c>
      <c r="F4069" t="inlineStr">
        <is>
          <t>Rep_04</t>
        </is>
      </c>
      <c r="G4069" t="n">
        <v>2.34</v>
      </c>
      <c r="H4069" t="inlineStr">
        <is>
          <t>Lead</t>
        </is>
      </c>
      <c r="I4069" t="inlineStr">
        <is>
          <t>Open</t>
        </is>
      </c>
      <c r="M4069">
        <f>VLOOKUP(H4069,'Stage Order'!$A$2:$B$8,2,FALSE)</f>
        <v/>
      </c>
      <c r="N4069">
        <f>IF(G4069&lt;=1,"1. Under 1 hour",IF(G4069&lt;=24,"2. 1-24 hours",IF(G4069&lt;=72,"3. 1-3 days","4. Over 3 days")))</f>
        <v/>
      </c>
      <c r="O4069">
        <f>TEXT(B4069,"YYYY-MM")</f>
        <v/>
      </c>
    </row>
    <row r="4070">
      <c r="A4070" t="inlineStr">
        <is>
          <t>LD-304068</t>
        </is>
      </c>
      <c r="B4070" t="inlineStr">
        <is>
          <t>2025-04-28 20:11:00</t>
        </is>
      </c>
      <c r="C4070" t="inlineStr">
        <is>
          <t>Organic Search</t>
        </is>
      </c>
      <c r="D4070" t="inlineStr">
        <is>
          <t>K-12 Math</t>
        </is>
      </c>
      <c r="E4070" t="inlineStr">
        <is>
          <t>West Region</t>
        </is>
      </c>
      <c r="F4070" t="inlineStr">
        <is>
          <t>Rep_13</t>
        </is>
      </c>
      <c r="G4070" t="n">
        <v>2.75</v>
      </c>
      <c r="H4070" t="inlineStr">
        <is>
          <t>Contacted</t>
        </is>
      </c>
      <c r="I4070" t="inlineStr">
        <is>
          <t>Open</t>
        </is>
      </c>
      <c r="M4070">
        <f>VLOOKUP(H4070,'Stage Order'!$A$2:$B$8,2,FALSE)</f>
        <v/>
      </c>
      <c r="N4070">
        <f>IF(G4070&lt;=1,"1. Under 1 hour",IF(G4070&lt;=24,"2. 1-24 hours",IF(G4070&lt;=72,"3. 1-3 days","4. Over 3 days")))</f>
        <v/>
      </c>
      <c r="O4070">
        <f>TEXT(B4070,"YYYY-MM")</f>
        <v/>
      </c>
    </row>
    <row r="4071">
      <c r="A4071" t="inlineStr">
        <is>
          <t>LD-304069</t>
        </is>
      </c>
      <c r="B4071" t="inlineStr">
        <is>
          <t>2025-12-20 07:47:00</t>
        </is>
      </c>
      <c r="C4071" t="inlineStr">
        <is>
          <t>Referral</t>
        </is>
      </c>
      <c r="D4071" t="inlineStr">
        <is>
          <t>Coding for Kids</t>
        </is>
      </c>
      <c r="E4071" t="inlineStr">
        <is>
          <t>South Region</t>
        </is>
      </c>
      <c r="F4071" t="inlineStr">
        <is>
          <t>Rep_02</t>
        </is>
      </c>
      <c r="G4071" t="n">
        <v>3.51</v>
      </c>
      <c r="H4071" t="inlineStr">
        <is>
          <t>Demo Scheduled</t>
        </is>
      </c>
      <c r="I4071" t="inlineStr">
        <is>
          <t>Open</t>
        </is>
      </c>
      <c r="M4071">
        <f>VLOOKUP(H4071,'Stage Order'!$A$2:$B$8,2,FALSE)</f>
        <v/>
      </c>
      <c r="N4071">
        <f>IF(G4071&lt;=1,"1. Under 1 hour",IF(G4071&lt;=24,"2. 1-24 hours",IF(G4071&lt;=72,"3. 1-3 days","4. Over 3 days")))</f>
        <v/>
      </c>
      <c r="O4071">
        <f>TEXT(B4071,"YYYY-MM")</f>
        <v/>
      </c>
    </row>
    <row r="4072">
      <c r="A4072" t="inlineStr">
        <is>
          <t>LD-304070</t>
        </is>
      </c>
      <c r="B4072" t="inlineStr">
        <is>
          <t>2025-02-25 11:51:00</t>
        </is>
      </c>
      <c r="C4072" t="inlineStr">
        <is>
          <t>Webinar</t>
        </is>
      </c>
      <c r="D4072" t="inlineStr">
        <is>
          <t>Competitive Exam Prep</t>
        </is>
      </c>
      <c r="E4072" t="inlineStr">
        <is>
          <t>East Region</t>
        </is>
      </c>
      <c r="F4072" t="inlineStr">
        <is>
          <t>Rep_14</t>
        </is>
      </c>
      <c r="G4072" t="n">
        <v>1.03</v>
      </c>
      <c r="H4072" t="inlineStr">
        <is>
          <t>Closed</t>
        </is>
      </c>
      <c r="I4072" t="inlineStr">
        <is>
          <t>Won</t>
        </is>
      </c>
      <c r="K4072" t="n">
        <v>1062</v>
      </c>
      <c r="L4072" t="inlineStr">
        <is>
          <t>2025-04-02 15:02:35.672519</t>
        </is>
      </c>
      <c r="M4072">
        <f>VLOOKUP(H4072,'Stage Order'!$A$2:$B$8,2,FALSE)</f>
        <v/>
      </c>
      <c r="N4072">
        <f>IF(G4072&lt;=1,"1. Under 1 hour",IF(G4072&lt;=24,"2. 1-24 hours",IF(G4072&lt;=72,"3. 1-3 days","4. Over 3 days")))</f>
        <v/>
      </c>
      <c r="O4072">
        <f>TEXT(B4072,"YYYY-MM")</f>
        <v/>
      </c>
    </row>
    <row r="4073">
      <c r="A4073" t="inlineStr">
        <is>
          <t>LD-304071</t>
        </is>
      </c>
      <c r="B4073" t="inlineStr">
        <is>
          <t>2026-02-10 12:48:00</t>
        </is>
      </c>
      <c r="C4073" t="inlineStr">
        <is>
          <t>Paid Search</t>
        </is>
      </c>
      <c r="D4073" t="inlineStr">
        <is>
          <t>Study Abroad Prep</t>
        </is>
      </c>
      <c r="E4073" t="inlineStr">
        <is>
          <t>North Region</t>
        </is>
      </c>
      <c r="F4073" t="inlineStr">
        <is>
          <t>Rep_01</t>
        </is>
      </c>
      <c r="G4073" t="n">
        <v>1.25</v>
      </c>
      <c r="H4073" t="inlineStr">
        <is>
          <t>Contacted</t>
        </is>
      </c>
      <c r="I4073" t="inlineStr">
        <is>
          <t>Open</t>
        </is>
      </c>
      <c r="M4073">
        <f>VLOOKUP(H4073,'Stage Order'!$A$2:$B$8,2,FALSE)</f>
        <v/>
      </c>
      <c r="N4073">
        <f>IF(G4073&lt;=1,"1. Under 1 hour",IF(G4073&lt;=24,"2. 1-24 hours",IF(G4073&lt;=72,"3. 1-3 days","4. Over 3 days")))</f>
        <v/>
      </c>
      <c r="O4073">
        <f>TEXT(B4073,"YYYY-MM")</f>
        <v/>
      </c>
    </row>
    <row r="4074">
      <c r="A4074" t="inlineStr">
        <is>
          <t>LD-304072</t>
        </is>
      </c>
      <c r="B4074" t="inlineStr">
        <is>
          <t>2025-07-04 20:42:00</t>
        </is>
      </c>
      <c r="C4074" t="inlineStr">
        <is>
          <t>Organic Search</t>
        </is>
      </c>
      <c r="D4074" t="inlineStr">
        <is>
          <t>Coding for Kids</t>
        </is>
      </c>
      <c r="E4074" t="inlineStr">
        <is>
          <t>North Region</t>
        </is>
      </c>
      <c r="F4074" t="inlineStr">
        <is>
          <t>Rep_06</t>
        </is>
      </c>
      <c r="G4074" t="n">
        <v>1.24</v>
      </c>
      <c r="H4074" t="inlineStr">
        <is>
          <t>Lead</t>
        </is>
      </c>
      <c r="I4074" t="inlineStr">
        <is>
          <t>Open</t>
        </is>
      </c>
      <c r="M4074">
        <f>VLOOKUP(H4074,'Stage Order'!$A$2:$B$8,2,FALSE)</f>
        <v/>
      </c>
      <c r="N4074">
        <f>IF(G4074&lt;=1,"1. Under 1 hour",IF(G4074&lt;=24,"2. 1-24 hours",IF(G4074&lt;=72,"3. 1-3 days","4. Over 3 days")))</f>
        <v/>
      </c>
      <c r="O4074">
        <f>TEXT(B4074,"YYYY-MM")</f>
        <v/>
      </c>
    </row>
    <row r="4075">
      <c r="A4075" t="inlineStr">
        <is>
          <t>LD-304073</t>
        </is>
      </c>
      <c r="B4075" t="inlineStr">
        <is>
          <t>2025-01-06 18:31:00</t>
        </is>
      </c>
      <c r="C4075" t="inlineStr">
        <is>
          <t>Social Media</t>
        </is>
      </c>
      <c r="D4075" t="inlineStr">
        <is>
          <t>K-12 Math</t>
        </is>
      </c>
      <c r="E4075" t="inlineStr">
        <is>
          <t>South Region</t>
        </is>
      </c>
      <c r="F4075" t="inlineStr">
        <is>
          <t>Rep_07</t>
        </is>
      </c>
      <c r="G4075" t="n">
        <v>4.64</v>
      </c>
      <c r="H4075" t="inlineStr">
        <is>
          <t>Proposal Sent</t>
        </is>
      </c>
      <c r="I4075" t="inlineStr">
        <is>
          <t>Lost</t>
        </is>
      </c>
      <c r="J4075" t="inlineStr">
        <is>
          <t>Bad Timing</t>
        </is>
      </c>
      <c r="K4075" t="n">
        <v>506.79</v>
      </c>
      <c r="L4075" t="inlineStr">
        <is>
          <t>2025-02-03 22:47:31.564888</t>
        </is>
      </c>
      <c r="M4075">
        <f>VLOOKUP(H4075,'Stage Order'!$A$2:$B$8,2,FALSE)</f>
        <v/>
      </c>
      <c r="N4075">
        <f>IF(G4075&lt;=1,"1. Under 1 hour",IF(G4075&lt;=24,"2. 1-24 hours",IF(G4075&lt;=72,"3. 1-3 days","4. Over 3 days")))</f>
        <v/>
      </c>
      <c r="O4075">
        <f>TEXT(B4075,"YYYY-MM")</f>
        <v/>
      </c>
    </row>
    <row r="4076">
      <c r="A4076" t="inlineStr">
        <is>
          <t>LD-304074</t>
        </is>
      </c>
      <c r="B4076" t="inlineStr">
        <is>
          <t>2025-09-26 19:22:00</t>
        </is>
      </c>
      <c r="C4076" t="inlineStr">
        <is>
          <t>Organic Search</t>
        </is>
      </c>
      <c r="D4076" t="inlineStr">
        <is>
          <t>Study Abroad Prep</t>
        </is>
      </c>
      <c r="E4076" t="inlineStr">
        <is>
          <t>East Region</t>
        </is>
      </c>
      <c r="F4076" t="inlineStr">
        <is>
          <t>Rep_14</t>
        </is>
      </c>
      <c r="G4076" t="n">
        <v>3.88</v>
      </c>
      <c r="H4076" t="inlineStr">
        <is>
          <t>Contacted</t>
        </is>
      </c>
      <c r="I4076" t="inlineStr">
        <is>
          <t>Open</t>
        </is>
      </c>
      <c r="M4076">
        <f>VLOOKUP(H4076,'Stage Order'!$A$2:$B$8,2,FALSE)</f>
        <v/>
      </c>
      <c r="N4076">
        <f>IF(G4076&lt;=1,"1. Under 1 hour",IF(G4076&lt;=24,"2. 1-24 hours",IF(G4076&lt;=72,"3. 1-3 days","4. Over 3 days")))</f>
        <v/>
      </c>
      <c r="O4076">
        <f>TEXT(B4076,"YYYY-MM")</f>
        <v/>
      </c>
    </row>
    <row r="4077">
      <c r="A4077" t="inlineStr">
        <is>
          <t>LD-304075</t>
        </is>
      </c>
      <c r="B4077" t="inlineStr">
        <is>
          <t>2026-03-25 08:15:00</t>
        </is>
      </c>
      <c r="C4077" t="inlineStr">
        <is>
          <t>Organic Search</t>
        </is>
      </c>
      <c r="D4077" t="inlineStr">
        <is>
          <t>Coding for Kids</t>
        </is>
      </c>
      <c r="E4077" t="inlineStr">
        <is>
          <t>North Region</t>
        </is>
      </c>
      <c r="F4077" t="inlineStr">
        <is>
          <t>Rep_06</t>
        </is>
      </c>
      <c r="G4077" t="n">
        <v>4.21</v>
      </c>
      <c r="H4077" t="inlineStr">
        <is>
          <t>Contacted</t>
        </is>
      </c>
      <c r="I4077" t="inlineStr">
        <is>
          <t>Open</t>
        </is>
      </c>
      <c r="M4077">
        <f>VLOOKUP(H4077,'Stage Order'!$A$2:$B$8,2,FALSE)</f>
        <v/>
      </c>
      <c r="N4077">
        <f>IF(G4077&lt;=1,"1. Under 1 hour",IF(G4077&lt;=24,"2. 1-24 hours",IF(G4077&lt;=72,"3. 1-3 days","4. Over 3 days")))</f>
        <v/>
      </c>
      <c r="O4077">
        <f>TEXT(B4077,"YYYY-MM")</f>
        <v/>
      </c>
    </row>
    <row r="4078">
      <c r="A4078" t="inlineStr">
        <is>
          <t>LD-304076</t>
        </is>
      </c>
      <c r="B4078" t="inlineStr">
        <is>
          <t>2026-02-04 16:02:00</t>
        </is>
      </c>
      <c r="C4078" t="inlineStr">
        <is>
          <t>Social Media</t>
        </is>
      </c>
      <c r="D4078" t="inlineStr">
        <is>
          <t>K-12 Math</t>
        </is>
      </c>
      <c r="E4078" t="inlineStr">
        <is>
          <t>South Region</t>
        </is>
      </c>
      <c r="F4078" t="inlineStr">
        <is>
          <t>Rep_12</t>
        </is>
      </c>
      <c r="G4078" t="n">
        <v>17</v>
      </c>
      <c r="H4078" t="inlineStr">
        <is>
          <t>Demo Completed</t>
        </is>
      </c>
      <c r="I4078" t="inlineStr">
        <is>
          <t>Lost</t>
        </is>
      </c>
      <c r="J4078" t="inlineStr">
        <is>
          <t>Bad Timing</t>
        </is>
      </c>
      <c r="K4078" t="n">
        <v>552.3099999999999</v>
      </c>
      <c r="L4078" t="inlineStr">
        <is>
          <t>2026-03-11 16:35:21.012669</t>
        </is>
      </c>
      <c r="M4078">
        <f>VLOOKUP(H4078,'Stage Order'!$A$2:$B$8,2,FALSE)</f>
        <v/>
      </c>
      <c r="N4078">
        <f>IF(G4078&lt;=1,"1. Under 1 hour",IF(G4078&lt;=24,"2. 1-24 hours",IF(G4078&lt;=72,"3. 1-3 days","4. Over 3 days")))</f>
        <v/>
      </c>
      <c r="O4078">
        <f>TEXT(B4078,"YYYY-MM")</f>
        <v/>
      </c>
    </row>
    <row r="4079">
      <c r="A4079" t="inlineStr">
        <is>
          <t>LD-304077</t>
        </is>
      </c>
      <c r="B4079" t="inlineStr">
        <is>
          <t>2026-01-05 16:59:00</t>
        </is>
      </c>
      <c r="C4079" t="inlineStr">
        <is>
          <t>Referral</t>
        </is>
      </c>
      <c r="D4079" t="inlineStr">
        <is>
          <t>Competitive Exam Prep</t>
        </is>
      </c>
      <c r="E4079" t="inlineStr">
        <is>
          <t>South Region</t>
        </is>
      </c>
      <c r="F4079" t="inlineStr">
        <is>
          <t>Rep_12</t>
        </is>
      </c>
      <c r="G4079" t="n">
        <v>2.42</v>
      </c>
      <c r="H4079" t="inlineStr">
        <is>
          <t>Contacted</t>
        </is>
      </c>
      <c r="I4079" t="inlineStr">
        <is>
          <t>Open</t>
        </is>
      </c>
      <c r="M4079">
        <f>VLOOKUP(H4079,'Stage Order'!$A$2:$B$8,2,FALSE)</f>
        <v/>
      </c>
      <c r="N4079">
        <f>IF(G4079&lt;=1,"1. Under 1 hour",IF(G4079&lt;=24,"2. 1-24 hours",IF(G4079&lt;=72,"3. 1-3 days","4. Over 3 days")))</f>
        <v/>
      </c>
      <c r="O4079">
        <f>TEXT(B4079,"YYYY-MM")</f>
        <v/>
      </c>
    </row>
    <row r="4080">
      <c r="A4080" t="inlineStr">
        <is>
          <t>LD-304078</t>
        </is>
      </c>
      <c r="B4080" t="inlineStr">
        <is>
          <t>2025-02-14 11:12:00</t>
        </is>
      </c>
      <c r="C4080" t="inlineStr">
        <is>
          <t>Cold Outreach</t>
        </is>
      </c>
      <c r="D4080" t="inlineStr">
        <is>
          <t>Coding for Kids</t>
        </is>
      </c>
      <c r="E4080" t="inlineStr">
        <is>
          <t>South Region</t>
        </is>
      </c>
      <c r="F4080" t="inlineStr">
        <is>
          <t>Rep_07</t>
        </is>
      </c>
      <c r="G4080" t="n">
        <v>1.86</v>
      </c>
      <c r="H4080" t="inlineStr">
        <is>
          <t>Contacted</t>
        </is>
      </c>
      <c r="I4080" t="inlineStr">
        <is>
          <t>Open</t>
        </is>
      </c>
      <c r="M4080">
        <f>VLOOKUP(H4080,'Stage Order'!$A$2:$B$8,2,FALSE)</f>
        <v/>
      </c>
      <c r="N4080">
        <f>IF(G4080&lt;=1,"1. Under 1 hour",IF(G4080&lt;=24,"2. 1-24 hours",IF(G4080&lt;=72,"3. 1-3 days","4. Over 3 days")))</f>
        <v/>
      </c>
      <c r="O4080">
        <f>TEXT(B4080,"YYYY-MM")</f>
        <v/>
      </c>
    </row>
    <row r="4081">
      <c r="A4081" t="inlineStr">
        <is>
          <t>LD-304079</t>
        </is>
      </c>
      <c r="B4081" t="inlineStr">
        <is>
          <t>2025-03-05 15:48:00</t>
        </is>
      </c>
      <c r="C4081" t="inlineStr">
        <is>
          <t>Paid Search</t>
        </is>
      </c>
      <c r="D4081" t="inlineStr">
        <is>
          <t>Coding for Kids</t>
        </is>
      </c>
      <c r="E4081" t="inlineStr">
        <is>
          <t>International</t>
        </is>
      </c>
      <c r="F4081" t="inlineStr">
        <is>
          <t>Rep_15</t>
        </is>
      </c>
      <c r="G4081" t="n">
        <v>13.68</v>
      </c>
      <c r="H4081" t="inlineStr">
        <is>
          <t>Lead</t>
        </is>
      </c>
      <c r="I4081" t="inlineStr">
        <is>
          <t>Open</t>
        </is>
      </c>
      <c r="M4081">
        <f>VLOOKUP(H4081,'Stage Order'!$A$2:$B$8,2,FALSE)</f>
        <v/>
      </c>
      <c r="N4081">
        <f>IF(G4081&lt;=1,"1. Under 1 hour",IF(G4081&lt;=24,"2. 1-24 hours",IF(G4081&lt;=72,"3. 1-3 days","4. Over 3 days")))</f>
        <v/>
      </c>
      <c r="O4081">
        <f>TEXT(B4081,"YYYY-MM")</f>
        <v/>
      </c>
    </row>
    <row r="4082">
      <c r="A4082" t="inlineStr">
        <is>
          <t>LD-304080</t>
        </is>
      </c>
      <c r="B4082" t="inlineStr">
        <is>
          <t>2026-05-17 11:17:00</t>
        </is>
      </c>
      <c r="C4082" t="inlineStr">
        <is>
          <t>Social Media</t>
        </is>
      </c>
      <c r="D4082" t="inlineStr">
        <is>
          <t>Study Abroad Prep</t>
        </is>
      </c>
      <c r="E4082" t="inlineStr">
        <is>
          <t>East Region</t>
        </is>
      </c>
      <c r="F4082" t="inlineStr">
        <is>
          <t>Rep_04</t>
        </is>
      </c>
      <c r="G4082" t="n">
        <v>2.42</v>
      </c>
      <c r="H4082" t="inlineStr">
        <is>
          <t>Contacted</t>
        </is>
      </c>
      <c r="I4082" t="inlineStr">
        <is>
          <t>Open</t>
        </is>
      </c>
      <c r="M4082">
        <f>VLOOKUP(H4082,'Stage Order'!$A$2:$B$8,2,FALSE)</f>
        <v/>
      </c>
      <c r="N4082">
        <f>IF(G4082&lt;=1,"1. Under 1 hour",IF(G4082&lt;=24,"2. 1-24 hours",IF(G4082&lt;=72,"3. 1-3 days","4. Over 3 days")))</f>
        <v/>
      </c>
      <c r="O4082">
        <f>TEXT(B4082,"YYYY-MM")</f>
        <v/>
      </c>
    </row>
    <row r="4083">
      <c r="A4083" t="inlineStr">
        <is>
          <t>LD-304081</t>
        </is>
      </c>
      <c r="B4083" t="inlineStr">
        <is>
          <t>2025-10-20 15:30:00</t>
        </is>
      </c>
      <c r="C4083" t="inlineStr">
        <is>
          <t>Referral</t>
        </is>
      </c>
      <c r="D4083" t="inlineStr">
        <is>
          <t>Coding for Kids</t>
        </is>
      </c>
      <c r="E4083" t="inlineStr">
        <is>
          <t>East Region</t>
        </is>
      </c>
      <c r="F4083" t="inlineStr">
        <is>
          <t>Rep_04</t>
        </is>
      </c>
      <c r="G4083" t="n">
        <v>2.62</v>
      </c>
      <c r="H4083" t="inlineStr">
        <is>
          <t>Contacted</t>
        </is>
      </c>
      <c r="I4083" t="inlineStr">
        <is>
          <t>Open</t>
        </is>
      </c>
      <c r="M4083">
        <f>VLOOKUP(H4083,'Stage Order'!$A$2:$B$8,2,FALSE)</f>
        <v/>
      </c>
      <c r="N4083">
        <f>IF(G4083&lt;=1,"1. Under 1 hour",IF(G4083&lt;=24,"2. 1-24 hours",IF(G4083&lt;=72,"3. 1-3 days","4. Over 3 days")))</f>
        <v/>
      </c>
      <c r="O4083">
        <f>TEXT(B4083,"YYYY-MM")</f>
        <v/>
      </c>
    </row>
    <row r="4084">
      <c r="A4084" t="inlineStr">
        <is>
          <t>LD-304082</t>
        </is>
      </c>
      <c r="B4084" t="inlineStr">
        <is>
          <t>2025-06-23 20:50:00</t>
        </is>
      </c>
      <c r="C4084" t="inlineStr">
        <is>
          <t>Organic Search</t>
        </is>
      </c>
      <c r="D4084" t="inlineStr">
        <is>
          <t>Language Learning</t>
        </is>
      </c>
      <c r="E4084" t="inlineStr">
        <is>
          <t>South Region</t>
        </is>
      </c>
      <c r="F4084" t="inlineStr">
        <is>
          <t>Rep_12</t>
        </is>
      </c>
      <c r="G4084" t="n">
        <v>3.19</v>
      </c>
      <c r="H4084" t="inlineStr">
        <is>
          <t>Demo Completed</t>
        </is>
      </c>
      <c r="I4084" t="inlineStr">
        <is>
          <t>Lost</t>
        </is>
      </c>
      <c r="J4084" t="inlineStr">
        <is>
          <t>Price Objection</t>
        </is>
      </c>
      <c r="K4084" t="n">
        <v>317.11</v>
      </c>
      <c r="L4084" t="inlineStr">
        <is>
          <t>2025-07-29 23:58:24.780446</t>
        </is>
      </c>
      <c r="M4084">
        <f>VLOOKUP(H4084,'Stage Order'!$A$2:$B$8,2,FALSE)</f>
        <v/>
      </c>
      <c r="N4084">
        <f>IF(G4084&lt;=1,"1. Under 1 hour",IF(G4084&lt;=24,"2. 1-24 hours",IF(G4084&lt;=72,"3. 1-3 days","4. Over 3 days")))</f>
        <v/>
      </c>
      <c r="O4084">
        <f>TEXT(B4084,"YYYY-MM")</f>
        <v/>
      </c>
    </row>
    <row r="4085">
      <c r="A4085" t="inlineStr">
        <is>
          <t>LD-304083</t>
        </is>
      </c>
      <c r="B4085" t="inlineStr">
        <is>
          <t>2025-02-14 12:42:00</t>
        </is>
      </c>
      <c r="C4085" t="inlineStr">
        <is>
          <t>Webinar</t>
        </is>
      </c>
      <c r="D4085" t="inlineStr">
        <is>
          <t>K-12 Math</t>
        </is>
      </c>
      <c r="E4085" t="inlineStr">
        <is>
          <t>West Region</t>
        </is>
      </c>
      <c r="F4085" t="inlineStr">
        <is>
          <t>Rep_13</t>
        </is>
      </c>
      <c r="G4085" t="n">
        <v>6.17</v>
      </c>
      <c r="H4085" t="inlineStr">
        <is>
          <t>Negotiation</t>
        </is>
      </c>
      <c r="I4085" t="inlineStr">
        <is>
          <t>Lost</t>
        </is>
      </c>
      <c r="J4085" t="inlineStr">
        <is>
          <t>No Response / Ghosted</t>
        </is>
      </c>
      <c r="K4085" t="n">
        <v>569.26</v>
      </c>
      <c r="L4085" t="inlineStr">
        <is>
          <t>2025-04-13 13:35:20.182901</t>
        </is>
      </c>
      <c r="M4085">
        <f>VLOOKUP(H4085,'Stage Order'!$A$2:$B$8,2,FALSE)</f>
        <v/>
      </c>
      <c r="N4085">
        <f>IF(G4085&lt;=1,"1. Under 1 hour",IF(G4085&lt;=24,"2. 1-24 hours",IF(G4085&lt;=72,"3. 1-3 days","4. Over 3 days")))</f>
        <v/>
      </c>
      <c r="O4085">
        <f>TEXT(B4085,"YYYY-MM")</f>
        <v/>
      </c>
    </row>
    <row r="4086">
      <c r="A4086" t="inlineStr">
        <is>
          <t>LD-304084</t>
        </is>
      </c>
      <c r="B4086" t="inlineStr">
        <is>
          <t>2025-08-05 07:28:00</t>
        </is>
      </c>
      <c r="C4086" t="inlineStr">
        <is>
          <t>Organic Search</t>
        </is>
      </c>
      <c r="D4086" t="inlineStr">
        <is>
          <t>K-12 Math</t>
        </is>
      </c>
      <c r="E4086" t="inlineStr">
        <is>
          <t>South Region</t>
        </is>
      </c>
      <c r="F4086" t="inlineStr">
        <is>
          <t>Rep_12</t>
        </is>
      </c>
      <c r="G4086" t="n">
        <v>1.67</v>
      </c>
      <c r="H4086" t="inlineStr">
        <is>
          <t>Proposal Sent</t>
        </is>
      </c>
      <c r="I4086" t="inlineStr">
        <is>
          <t>Lost</t>
        </is>
      </c>
      <c r="J4086" t="inlineStr">
        <is>
          <t>No Response / Ghosted</t>
        </is>
      </c>
      <c r="K4086" t="n">
        <v>597.74</v>
      </c>
      <c r="L4086" t="inlineStr">
        <is>
          <t>2025-09-08 02:47:20.796801</t>
        </is>
      </c>
      <c r="M4086">
        <f>VLOOKUP(H4086,'Stage Order'!$A$2:$B$8,2,FALSE)</f>
        <v/>
      </c>
      <c r="N4086">
        <f>IF(G4086&lt;=1,"1. Under 1 hour",IF(G4086&lt;=24,"2. 1-24 hours",IF(G4086&lt;=72,"3. 1-3 days","4. Over 3 days")))</f>
        <v/>
      </c>
      <c r="O4086">
        <f>TEXT(B4086,"YYYY-MM")</f>
        <v/>
      </c>
    </row>
    <row r="4087">
      <c r="A4087" t="inlineStr">
        <is>
          <t>LD-304085</t>
        </is>
      </c>
      <c r="B4087" t="inlineStr">
        <is>
          <t>2025-08-27 07:56:00</t>
        </is>
      </c>
      <c r="C4087" t="inlineStr">
        <is>
          <t>Referral</t>
        </is>
      </c>
      <c r="D4087" t="inlineStr">
        <is>
          <t>K-12 Math</t>
        </is>
      </c>
      <c r="E4087" t="inlineStr">
        <is>
          <t>International</t>
        </is>
      </c>
      <c r="F4087" t="inlineStr">
        <is>
          <t>Rep_15</t>
        </is>
      </c>
      <c r="G4087" t="n">
        <v>1.01</v>
      </c>
      <c r="H4087" t="inlineStr">
        <is>
          <t>Closed</t>
        </is>
      </c>
      <c r="I4087" t="inlineStr">
        <is>
          <t>Won</t>
        </is>
      </c>
      <c r="K4087" t="n">
        <v>595.51</v>
      </c>
      <c r="L4087" t="inlineStr">
        <is>
          <t>2025-10-06 07:27:59.340351</t>
        </is>
      </c>
      <c r="M4087">
        <f>VLOOKUP(H4087,'Stage Order'!$A$2:$B$8,2,FALSE)</f>
        <v/>
      </c>
      <c r="N4087">
        <f>IF(G4087&lt;=1,"1. Under 1 hour",IF(G4087&lt;=24,"2. 1-24 hours",IF(G4087&lt;=72,"3. 1-3 days","4. Over 3 days")))</f>
        <v/>
      </c>
      <c r="O4087">
        <f>TEXT(B4087,"YYYY-MM")</f>
        <v/>
      </c>
    </row>
    <row r="4088">
      <c r="A4088" t="inlineStr">
        <is>
          <t>LD-304086</t>
        </is>
      </c>
      <c r="B4088" t="inlineStr">
        <is>
          <t>2026-04-07 13:27:00</t>
        </is>
      </c>
      <c r="C4088" t="inlineStr">
        <is>
          <t>Cold Outreach</t>
        </is>
      </c>
      <c r="D4088" t="inlineStr">
        <is>
          <t>Study Abroad Prep</t>
        </is>
      </c>
      <c r="E4088" t="inlineStr">
        <is>
          <t>North Region</t>
        </is>
      </c>
      <c r="F4088" t="inlineStr">
        <is>
          <t>Rep_11</t>
        </is>
      </c>
      <c r="G4088" t="n">
        <v>5</v>
      </c>
      <c r="H4088" t="inlineStr">
        <is>
          <t>Lead</t>
        </is>
      </c>
      <c r="I4088" t="inlineStr">
        <is>
          <t>Open</t>
        </is>
      </c>
      <c r="M4088">
        <f>VLOOKUP(H4088,'Stage Order'!$A$2:$B$8,2,FALSE)</f>
        <v/>
      </c>
      <c r="N4088">
        <f>IF(G4088&lt;=1,"1. Under 1 hour",IF(G4088&lt;=24,"2. 1-24 hours",IF(G4088&lt;=72,"3. 1-3 days","4. Over 3 days")))</f>
        <v/>
      </c>
      <c r="O4088">
        <f>TEXT(B4088,"YYYY-MM")</f>
        <v/>
      </c>
    </row>
    <row r="4089">
      <c r="A4089" t="inlineStr">
        <is>
          <t>LD-304087</t>
        </is>
      </c>
      <c r="B4089" t="inlineStr">
        <is>
          <t>2025-11-24 09:15:00</t>
        </is>
      </c>
      <c r="C4089" t="inlineStr">
        <is>
          <t>Referral</t>
        </is>
      </c>
      <c r="D4089" t="inlineStr">
        <is>
          <t>Coding for Kids</t>
        </is>
      </c>
      <c r="E4089" t="inlineStr">
        <is>
          <t>South Region</t>
        </is>
      </c>
      <c r="F4089" t="inlineStr">
        <is>
          <t>Rep_07</t>
        </is>
      </c>
      <c r="G4089" t="n">
        <v>0.5</v>
      </c>
      <c r="H4089" t="inlineStr">
        <is>
          <t>Closed</t>
        </is>
      </c>
      <c r="I4089" t="inlineStr">
        <is>
          <t>Won</t>
        </is>
      </c>
      <c r="K4089" t="n">
        <v>755.15</v>
      </c>
      <c r="L4089" t="inlineStr">
        <is>
          <t>2026-01-09 07:23:14.792294</t>
        </is>
      </c>
      <c r="M4089">
        <f>VLOOKUP(H4089,'Stage Order'!$A$2:$B$8,2,FALSE)</f>
        <v/>
      </c>
      <c r="N4089">
        <f>IF(G4089&lt;=1,"1. Under 1 hour",IF(G4089&lt;=24,"2. 1-24 hours",IF(G4089&lt;=72,"3. 1-3 days","4. Over 3 days")))</f>
        <v/>
      </c>
      <c r="O4089">
        <f>TEXT(B4089,"YYYY-MM")</f>
        <v/>
      </c>
    </row>
    <row r="4090">
      <c r="A4090" t="inlineStr">
        <is>
          <t>LD-304088</t>
        </is>
      </c>
      <c r="B4090" t="inlineStr">
        <is>
          <t>2026-02-06 12:08:00</t>
        </is>
      </c>
      <c r="C4090" t="inlineStr">
        <is>
          <t>Paid Search</t>
        </is>
      </c>
      <c r="D4090" t="inlineStr">
        <is>
          <t>Coding for Kids</t>
        </is>
      </c>
      <c r="E4090" t="inlineStr">
        <is>
          <t>West Region</t>
        </is>
      </c>
      <c r="F4090" t="inlineStr">
        <is>
          <t>Rep_03</t>
        </is>
      </c>
      <c r="G4090" t="n">
        <v>6.06</v>
      </c>
      <c r="H4090" t="inlineStr">
        <is>
          <t>Lead</t>
        </is>
      </c>
      <c r="I4090" t="inlineStr">
        <is>
          <t>Open</t>
        </is>
      </c>
      <c r="M4090">
        <f>VLOOKUP(H4090,'Stage Order'!$A$2:$B$8,2,FALSE)</f>
        <v/>
      </c>
      <c r="N4090">
        <f>IF(G4090&lt;=1,"1. Under 1 hour",IF(G4090&lt;=24,"2. 1-24 hours",IF(G4090&lt;=72,"3. 1-3 days","4. Over 3 days")))</f>
        <v/>
      </c>
      <c r="O4090">
        <f>TEXT(B4090,"YYYY-MM")</f>
        <v/>
      </c>
    </row>
    <row r="4091">
      <c r="A4091" t="inlineStr">
        <is>
          <t>LD-304089</t>
        </is>
      </c>
      <c r="B4091" t="inlineStr">
        <is>
          <t>2026-05-20 20:15:00</t>
        </is>
      </c>
      <c r="C4091" t="inlineStr">
        <is>
          <t>Referral</t>
        </is>
      </c>
      <c r="D4091" t="inlineStr">
        <is>
          <t>Coding for Kids</t>
        </is>
      </c>
      <c r="E4091" t="inlineStr">
        <is>
          <t>East Region</t>
        </is>
      </c>
      <c r="F4091" t="inlineStr">
        <is>
          <t>Rep_14</t>
        </is>
      </c>
      <c r="G4091" t="n">
        <v>11.46</v>
      </c>
      <c r="H4091" t="inlineStr">
        <is>
          <t>Contacted</t>
        </is>
      </c>
      <c r="I4091" t="inlineStr">
        <is>
          <t>Open</t>
        </is>
      </c>
      <c r="M4091">
        <f>VLOOKUP(H4091,'Stage Order'!$A$2:$B$8,2,FALSE)</f>
        <v/>
      </c>
      <c r="N4091">
        <f>IF(G4091&lt;=1,"1. Under 1 hour",IF(G4091&lt;=24,"2. 1-24 hours",IF(G4091&lt;=72,"3. 1-3 days","4. Over 3 days")))</f>
        <v/>
      </c>
      <c r="O4091">
        <f>TEXT(B4091,"YYYY-MM")</f>
        <v/>
      </c>
    </row>
    <row r="4092">
      <c r="A4092" t="inlineStr">
        <is>
          <t>LD-304090</t>
        </is>
      </c>
      <c r="B4092" t="inlineStr">
        <is>
          <t>2025-11-29 10:13:00</t>
        </is>
      </c>
      <c r="C4092" t="inlineStr">
        <is>
          <t>Social Media</t>
        </is>
      </c>
      <c r="D4092" t="inlineStr">
        <is>
          <t>Study Abroad Prep</t>
        </is>
      </c>
      <c r="E4092" t="inlineStr">
        <is>
          <t>South Region</t>
        </is>
      </c>
      <c r="F4092" t="inlineStr">
        <is>
          <t>Rep_07</t>
        </is>
      </c>
      <c r="G4092" t="n">
        <v>3.82</v>
      </c>
      <c r="H4092" t="inlineStr">
        <is>
          <t>Contacted</t>
        </is>
      </c>
      <c r="I4092" t="inlineStr">
        <is>
          <t>Open</t>
        </is>
      </c>
      <c r="M4092">
        <f>VLOOKUP(H4092,'Stage Order'!$A$2:$B$8,2,FALSE)</f>
        <v/>
      </c>
      <c r="N4092">
        <f>IF(G4092&lt;=1,"1. Under 1 hour",IF(G4092&lt;=24,"2. 1-24 hours",IF(G4092&lt;=72,"3. 1-3 days","4. Over 3 days")))</f>
        <v/>
      </c>
      <c r="O4092">
        <f>TEXT(B4092,"YYYY-MM")</f>
        <v/>
      </c>
    </row>
    <row r="4093">
      <c r="A4093" t="inlineStr">
        <is>
          <t>LD-304091</t>
        </is>
      </c>
      <c r="B4093" t="inlineStr">
        <is>
          <t>2025-11-29 10:06:00</t>
        </is>
      </c>
      <c r="C4093" t="inlineStr">
        <is>
          <t>Partner Channel</t>
        </is>
      </c>
      <c r="D4093" t="inlineStr">
        <is>
          <t>Study Abroad Prep</t>
        </is>
      </c>
      <c r="E4093" t="inlineStr">
        <is>
          <t>South Region</t>
        </is>
      </c>
      <c r="F4093" t="inlineStr">
        <is>
          <t>Rep_12</t>
        </is>
      </c>
      <c r="G4093" t="n">
        <v>7.55</v>
      </c>
      <c r="H4093" t="inlineStr">
        <is>
          <t>Closed</t>
        </is>
      </c>
      <c r="I4093" t="inlineStr">
        <is>
          <t>Won</t>
        </is>
      </c>
      <c r="K4093" t="n">
        <v>1589.79</v>
      </c>
      <c r="L4093" t="inlineStr">
        <is>
          <t>2026-01-09 16:16:55.923626</t>
        </is>
      </c>
      <c r="M4093">
        <f>VLOOKUP(H4093,'Stage Order'!$A$2:$B$8,2,FALSE)</f>
        <v/>
      </c>
      <c r="N4093">
        <f>IF(G4093&lt;=1,"1. Under 1 hour",IF(G4093&lt;=24,"2. 1-24 hours",IF(G4093&lt;=72,"3. 1-3 days","4. Over 3 days")))</f>
        <v/>
      </c>
      <c r="O4093">
        <f>TEXT(B4093,"YYYY-MM")</f>
        <v/>
      </c>
    </row>
    <row r="4094">
      <c r="A4094" t="inlineStr">
        <is>
          <t>LD-304092</t>
        </is>
      </c>
      <c r="B4094" t="inlineStr">
        <is>
          <t>2025-07-23 08:35:00</t>
        </is>
      </c>
      <c r="C4094" t="inlineStr">
        <is>
          <t>Organic Search</t>
        </is>
      </c>
      <c r="D4094" t="inlineStr">
        <is>
          <t>Coding for Kids</t>
        </is>
      </c>
      <c r="E4094" t="inlineStr">
        <is>
          <t>International</t>
        </is>
      </c>
      <c r="F4094" t="inlineStr">
        <is>
          <t>Rep_15</t>
        </is>
      </c>
      <c r="G4094" t="n">
        <v>4.26</v>
      </c>
      <c r="H4094" t="inlineStr">
        <is>
          <t>Contacted</t>
        </is>
      </c>
      <c r="I4094" t="inlineStr">
        <is>
          <t>Open</t>
        </is>
      </c>
      <c r="M4094">
        <f>VLOOKUP(H4094,'Stage Order'!$A$2:$B$8,2,FALSE)</f>
        <v/>
      </c>
      <c r="N4094">
        <f>IF(G4094&lt;=1,"1. Under 1 hour",IF(G4094&lt;=24,"2. 1-24 hours",IF(G4094&lt;=72,"3. 1-3 days","4. Over 3 days")))</f>
        <v/>
      </c>
      <c r="O4094">
        <f>TEXT(B4094,"YYYY-MM")</f>
        <v/>
      </c>
    </row>
    <row r="4095">
      <c r="A4095" t="inlineStr">
        <is>
          <t>LD-304093</t>
        </is>
      </c>
      <c r="B4095" t="inlineStr">
        <is>
          <t>2025-09-17 19:49:00</t>
        </is>
      </c>
      <c r="C4095" t="inlineStr">
        <is>
          <t>Cold Outreach</t>
        </is>
      </c>
      <c r="D4095" t="inlineStr">
        <is>
          <t>Coding for Kids</t>
        </is>
      </c>
      <c r="E4095" t="inlineStr">
        <is>
          <t>South Region</t>
        </is>
      </c>
      <c r="F4095" t="inlineStr">
        <is>
          <t>Rep_07</t>
        </is>
      </c>
      <c r="G4095" t="n">
        <v>4.55</v>
      </c>
      <c r="H4095" t="inlineStr">
        <is>
          <t>Lead</t>
        </is>
      </c>
      <c r="I4095" t="inlineStr">
        <is>
          <t>Open</t>
        </is>
      </c>
      <c r="M4095">
        <f>VLOOKUP(H4095,'Stage Order'!$A$2:$B$8,2,FALSE)</f>
        <v/>
      </c>
      <c r="N4095">
        <f>IF(G4095&lt;=1,"1. Under 1 hour",IF(G4095&lt;=24,"2. 1-24 hours",IF(G4095&lt;=72,"3. 1-3 days","4. Over 3 days")))</f>
        <v/>
      </c>
      <c r="O4095">
        <f>TEXT(B4095,"YYYY-MM")</f>
        <v/>
      </c>
    </row>
    <row r="4096">
      <c r="A4096" t="inlineStr">
        <is>
          <t>LD-304094</t>
        </is>
      </c>
      <c r="B4096" t="inlineStr">
        <is>
          <t>2025-04-25 18:00:00</t>
        </is>
      </c>
      <c r="C4096" t="inlineStr">
        <is>
          <t>Organic Search</t>
        </is>
      </c>
      <c r="D4096" t="inlineStr">
        <is>
          <t>K-12 Math</t>
        </is>
      </c>
      <c r="E4096" t="inlineStr">
        <is>
          <t>West Region</t>
        </is>
      </c>
      <c r="F4096" t="inlineStr">
        <is>
          <t>Rep_13</t>
        </is>
      </c>
      <c r="G4096" t="n">
        <v>1.1</v>
      </c>
      <c r="H4096" t="inlineStr">
        <is>
          <t>Contacted</t>
        </is>
      </c>
      <c r="I4096" t="inlineStr">
        <is>
          <t>Open</t>
        </is>
      </c>
      <c r="M4096">
        <f>VLOOKUP(H4096,'Stage Order'!$A$2:$B$8,2,FALSE)</f>
        <v/>
      </c>
      <c r="N4096">
        <f>IF(G4096&lt;=1,"1. Under 1 hour",IF(G4096&lt;=24,"2. 1-24 hours",IF(G4096&lt;=72,"3. 1-3 days","4. Over 3 days")))</f>
        <v/>
      </c>
      <c r="O4096">
        <f>TEXT(B4096,"YYYY-MM")</f>
        <v/>
      </c>
    </row>
    <row r="4097">
      <c r="A4097" t="inlineStr">
        <is>
          <t>LD-304095</t>
        </is>
      </c>
      <c r="B4097" t="inlineStr">
        <is>
          <t>2025-02-10 13:21:00</t>
        </is>
      </c>
      <c r="C4097" t="inlineStr">
        <is>
          <t>Referral</t>
        </is>
      </c>
      <c r="D4097" t="inlineStr">
        <is>
          <t>Competitive Exam Prep</t>
        </is>
      </c>
      <c r="E4097" t="inlineStr">
        <is>
          <t>East Region</t>
        </is>
      </c>
      <c r="F4097" t="inlineStr">
        <is>
          <t>Rep_09</t>
        </is>
      </c>
      <c r="G4097" t="n">
        <v>5.82</v>
      </c>
      <c r="H4097" t="inlineStr">
        <is>
          <t>Closed</t>
        </is>
      </c>
      <c r="I4097" t="inlineStr">
        <is>
          <t>Won</t>
        </is>
      </c>
      <c r="K4097" t="n">
        <v>849.25</v>
      </c>
      <c r="L4097" t="inlineStr">
        <is>
          <t>2025-04-03 05:17:10.079958</t>
        </is>
      </c>
      <c r="M4097">
        <f>VLOOKUP(H4097,'Stage Order'!$A$2:$B$8,2,FALSE)</f>
        <v/>
      </c>
      <c r="N4097">
        <f>IF(G4097&lt;=1,"1. Under 1 hour",IF(G4097&lt;=24,"2. 1-24 hours",IF(G4097&lt;=72,"3. 1-3 days","4. Over 3 days")))</f>
        <v/>
      </c>
      <c r="O4097">
        <f>TEXT(B4097,"YYYY-MM")</f>
        <v/>
      </c>
    </row>
    <row r="4098">
      <c r="A4098" t="inlineStr">
        <is>
          <t>LD-304096</t>
        </is>
      </c>
      <c r="B4098" t="inlineStr">
        <is>
          <t>2026-01-22 12:39:00</t>
        </is>
      </c>
      <c r="C4098" t="inlineStr">
        <is>
          <t>Referral</t>
        </is>
      </c>
      <c r="D4098" t="inlineStr">
        <is>
          <t>Competitive Exam Prep</t>
        </is>
      </c>
      <c r="E4098" t="inlineStr">
        <is>
          <t>North Region</t>
        </is>
      </c>
      <c r="F4098" t="inlineStr">
        <is>
          <t>Rep_01</t>
        </is>
      </c>
      <c r="G4098" t="n">
        <v>0.85</v>
      </c>
      <c r="H4098" t="inlineStr">
        <is>
          <t>Closed</t>
        </is>
      </c>
      <c r="I4098" t="inlineStr">
        <is>
          <t>Won</t>
        </is>
      </c>
      <c r="K4098" t="n">
        <v>1108.29</v>
      </c>
      <c r="L4098" t="inlineStr">
        <is>
          <t>2026-02-19 16:51:12.328805</t>
        </is>
      </c>
      <c r="M4098">
        <f>VLOOKUP(H4098,'Stage Order'!$A$2:$B$8,2,FALSE)</f>
        <v/>
      </c>
      <c r="N4098">
        <f>IF(G4098&lt;=1,"1. Under 1 hour",IF(G4098&lt;=24,"2. 1-24 hours",IF(G4098&lt;=72,"3. 1-3 days","4. Over 3 days")))</f>
        <v/>
      </c>
      <c r="O4098">
        <f>TEXT(B4098,"YYYY-MM")</f>
        <v/>
      </c>
    </row>
    <row r="4099">
      <c r="A4099" t="inlineStr">
        <is>
          <t>LD-304097</t>
        </is>
      </c>
      <c r="B4099" t="inlineStr">
        <is>
          <t>2025-09-24 19:12:00</t>
        </is>
      </c>
      <c r="C4099" t="inlineStr">
        <is>
          <t>Social Media</t>
        </is>
      </c>
      <c r="D4099" t="inlineStr">
        <is>
          <t>Competitive Exam Prep</t>
        </is>
      </c>
      <c r="E4099" t="inlineStr">
        <is>
          <t>East Region</t>
        </is>
      </c>
      <c r="F4099" t="inlineStr">
        <is>
          <t>Rep_14</t>
        </is>
      </c>
      <c r="G4099" t="n">
        <v>0.5600000000000001</v>
      </c>
      <c r="H4099" t="inlineStr">
        <is>
          <t>Demo Completed</t>
        </is>
      </c>
      <c r="I4099" t="inlineStr">
        <is>
          <t>Lost</t>
        </is>
      </c>
      <c r="J4099" t="inlineStr">
        <is>
          <t>Budget Not Approved</t>
        </is>
      </c>
      <c r="K4099" t="n">
        <v>1020.39</v>
      </c>
      <c r="L4099" t="inlineStr">
        <is>
          <t>2025-10-08 21:58:43.494215</t>
        </is>
      </c>
      <c r="M4099">
        <f>VLOOKUP(H4099,'Stage Order'!$A$2:$B$8,2,FALSE)</f>
        <v/>
      </c>
      <c r="N4099">
        <f>IF(G4099&lt;=1,"1. Under 1 hour",IF(G4099&lt;=24,"2. 1-24 hours",IF(G4099&lt;=72,"3. 1-3 days","4. Over 3 days")))</f>
        <v/>
      </c>
      <c r="O4099">
        <f>TEXT(B4099,"YYYY-MM")</f>
        <v/>
      </c>
    </row>
    <row r="4100">
      <c r="A4100" t="inlineStr">
        <is>
          <t>LD-304098</t>
        </is>
      </c>
      <c r="B4100" t="inlineStr">
        <is>
          <t>2025-09-23 09:34:00</t>
        </is>
      </c>
      <c r="C4100" t="inlineStr">
        <is>
          <t>Partner Channel</t>
        </is>
      </c>
      <c r="D4100" t="inlineStr">
        <is>
          <t>Competitive Exam Prep</t>
        </is>
      </c>
      <c r="E4100" t="inlineStr">
        <is>
          <t>West Region</t>
        </is>
      </c>
      <c r="F4100" t="inlineStr">
        <is>
          <t>Rep_08</t>
        </is>
      </c>
      <c r="G4100" t="n">
        <v>7.28</v>
      </c>
      <c r="H4100" t="inlineStr">
        <is>
          <t>Closed</t>
        </is>
      </c>
      <c r="I4100" t="inlineStr">
        <is>
          <t>Won</t>
        </is>
      </c>
      <c r="K4100" t="n">
        <v>1038.46</v>
      </c>
      <c r="L4100" t="inlineStr">
        <is>
          <t>2025-10-30 05:55:38.962894</t>
        </is>
      </c>
      <c r="M4100">
        <f>VLOOKUP(H4100,'Stage Order'!$A$2:$B$8,2,FALSE)</f>
        <v/>
      </c>
      <c r="N4100">
        <f>IF(G4100&lt;=1,"1. Under 1 hour",IF(G4100&lt;=24,"2. 1-24 hours",IF(G4100&lt;=72,"3. 1-3 days","4. Over 3 days")))</f>
        <v/>
      </c>
      <c r="O4100">
        <f>TEXT(B4100,"YYYY-MM")</f>
        <v/>
      </c>
    </row>
    <row r="4101">
      <c r="A4101" t="inlineStr">
        <is>
          <t>LD-304099</t>
        </is>
      </c>
      <c r="B4101" t="inlineStr">
        <is>
          <t>2026-04-24 12:49:00</t>
        </is>
      </c>
      <c r="C4101" t="inlineStr">
        <is>
          <t>Social Media</t>
        </is>
      </c>
      <c r="D4101" t="inlineStr">
        <is>
          <t>Coding for Kids</t>
        </is>
      </c>
      <c r="E4101" t="inlineStr">
        <is>
          <t>South Region</t>
        </is>
      </c>
      <c r="F4101" t="inlineStr">
        <is>
          <t>Rep_12</t>
        </is>
      </c>
      <c r="G4101" t="n">
        <v>15.94</v>
      </c>
      <c r="H4101" t="inlineStr">
        <is>
          <t>Lead</t>
        </is>
      </c>
      <c r="I4101" t="inlineStr">
        <is>
          <t>Open</t>
        </is>
      </c>
      <c r="M4101">
        <f>VLOOKUP(H4101,'Stage Order'!$A$2:$B$8,2,FALSE)</f>
        <v/>
      </c>
      <c r="N4101">
        <f>IF(G4101&lt;=1,"1. Under 1 hour",IF(G4101&lt;=24,"2. 1-24 hours",IF(G4101&lt;=72,"3. 1-3 days","4. Over 3 days")))</f>
        <v/>
      </c>
      <c r="O4101">
        <f>TEXT(B4101,"YYYY-MM")</f>
        <v/>
      </c>
    </row>
    <row r="4102">
      <c r="A4102" t="inlineStr">
        <is>
          <t>LD-304100</t>
        </is>
      </c>
      <c r="B4102" t="inlineStr">
        <is>
          <t>2025-06-05 12:48:00</t>
        </is>
      </c>
      <c r="C4102" t="inlineStr">
        <is>
          <t>Social Media</t>
        </is>
      </c>
      <c r="D4102" t="inlineStr">
        <is>
          <t>K-12 Math</t>
        </is>
      </c>
      <c r="E4102" t="inlineStr">
        <is>
          <t>West Region</t>
        </is>
      </c>
      <c r="F4102" t="inlineStr">
        <is>
          <t>Rep_08</t>
        </is>
      </c>
      <c r="G4102" t="n">
        <v>1.53</v>
      </c>
      <c r="H4102" t="inlineStr">
        <is>
          <t>Negotiation</t>
        </is>
      </c>
      <c r="I4102" t="inlineStr">
        <is>
          <t>Lost</t>
        </is>
      </c>
      <c r="J4102" t="inlineStr">
        <is>
          <t>Bad Timing</t>
        </is>
      </c>
      <c r="K4102" t="n">
        <v>569.5</v>
      </c>
      <c r="L4102" t="inlineStr">
        <is>
          <t>2025-07-08 10:23:36.495783</t>
        </is>
      </c>
      <c r="M4102">
        <f>VLOOKUP(H4102,'Stage Order'!$A$2:$B$8,2,FALSE)</f>
        <v/>
      </c>
      <c r="N4102">
        <f>IF(G4102&lt;=1,"1. Under 1 hour",IF(G4102&lt;=24,"2. 1-24 hours",IF(G4102&lt;=72,"3. 1-3 days","4. Over 3 days")))</f>
        <v/>
      </c>
      <c r="O4102">
        <f>TEXT(B4102,"YYYY-MM")</f>
        <v/>
      </c>
    </row>
    <row r="4103">
      <c r="A4103" t="inlineStr">
        <is>
          <t>LD-304101</t>
        </is>
      </c>
      <c r="B4103" t="inlineStr">
        <is>
          <t>2025-05-21 16:01:00</t>
        </is>
      </c>
      <c r="C4103" t="inlineStr">
        <is>
          <t>Paid Search</t>
        </is>
      </c>
      <c r="D4103" t="inlineStr">
        <is>
          <t>Competitive Exam Prep</t>
        </is>
      </c>
      <c r="E4103" t="inlineStr">
        <is>
          <t>International</t>
        </is>
      </c>
      <c r="F4103" t="inlineStr">
        <is>
          <t>Rep_10</t>
        </is>
      </c>
      <c r="G4103" t="n">
        <v>1.99</v>
      </c>
      <c r="H4103" t="inlineStr">
        <is>
          <t>Demo Completed</t>
        </is>
      </c>
      <c r="I4103" t="inlineStr">
        <is>
          <t>Lost</t>
        </is>
      </c>
      <c r="J4103" t="inlineStr">
        <is>
          <t>Price Objection</t>
        </is>
      </c>
      <c r="K4103" t="n">
        <v>1076.02</v>
      </c>
      <c r="L4103" t="inlineStr">
        <is>
          <t>2025-06-26 15:26:16.208271</t>
        </is>
      </c>
      <c r="M4103">
        <f>VLOOKUP(H4103,'Stage Order'!$A$2:$B$8,2,FALSE)</f>
        <v/>
      </c>
      <c r="N4103">
        <f>IF(G4103&lt;=1,"1. Under 1 hour",IF(G4103&lt;=24,"2. 1-24 hours",IF(G4103&lt;=72,"3. 1-3 days","4. Over 3 days")))</f>
        <v/>
      </c>
      <c r="O4103">
        <f>TEXT(B4103,"YYYY-MM")</f>
        <v/>
      </c>
    </row>
    <row r="4104">
      <c r="A4104" t="inlineStr">
        <is>
          <t>LD-304102</t>
        </is>
      </c>
      <c r="B4104" t="inlineStr">
        <is>
          <t>2026-04-10 16:42:00</t>
        </is>
      </c>
      <c r="C4104" t="inlineStr">
        <is>
          <t>Referral</t>
        </is>
      </c>
      <c r="D4104" t="inlineStr">
        <is>
          <t>K-12 Math</t>
        </is>
      </c>
      <c r="E4104" t="inlineStr">
        <is>
          <t>West Region</t>
        </is>
      </c>
      <c r="F4104" t="inlineStr">
        <is>
          <t>Rep_13</t>
        </is>
      </c>
      <c r="G4104" t="n">
        <v>1.17</v>
      </c>
      <c r="H4104" t="inlineStr">
        <is>
          <t>Demo Scheduled</t>
        </is>
      </c>
      <c r="I4104" t="inlineStr">
        <is>
          <t>Open</t>
        </is>
      </c>
      <c r="M4104">
        <f>VLOOKUP(H4104,'Stage Order'!$A$2:$B$8,2,FALSE)</f>
        <v/>
      </c>
      <c r="N4104">
        <f>IF(G4104&lt;=1,"1. Under 1 hour",IF(G4104&lt;=24,"2. 1-24 hours",IF(G4104&lt;=72,"3. 1-3 days","4. Over 3 days")))</f>
        <v/>
      </c>
      <c r="O4104">
        <f>TEXT(B4104,"YYYY-MM")</f>
        <v/>
      </c>
    </row>
    <row r="4105">
      <c r="A4105" t="inlineStr">
        <is>
          <t>LD-304103</t>
        </is>
      </c>
      <c r="B4105" t="inlineStr">
        <is>
          <t>2025-11-17 08:20:00</t>
        </is>
      </c>
      <c r="C4105" t="inlineStr">
        <is>
          <t>Webinar</t>
        </is>
      </c>
      <c r="D4105" t="inlineStr">
        <is>
          <t>Language Learning</t>
        </is>
      </c>
      <c r="E4105" t="inlineStr">
        <is>
          <t>East Region</t>
        </is>
      </c>
      <c r="F4105" t="inlineStr">
        <is>
          <t>Rep_14</t>
        </is>
      </c>
      <c r="G4105" t="n">
        <v>7.15</v>
      </c>
      <c r="H4105" t="inlineStr">
        <is>
          <t>Contacted</t>
        </is>
      </c>
      <c r="I4105" t="inlineStr">
        <is>
          <t>Open</t>
        </is>
      </c>
      <c r="M4105">
        <f>VLOOKUP(H4105,'Stage Order'!$A$2:$B$8,2,FALSE)</f>
        <v/>
      </c>
      <c r="N4105">
        <f>IF(G4105&lt;=1,"1. Under 1 hour",IF(G4105&lt;=24,"2. 1-24 hours",IF(G4105&lt;=72,"3. 1-3 days","4. Over 3 days")))</f>
        <v/>
      </c>
      <c r="O4105">
        <f>TEXT(B4105,"YYYY-MM")</f>
        <v/>
      </c>
    </row>
    <row r="4106">
      <c r="A4106" t="inlineStr">
        <is>
          <t>LD-304104</t>
        </is>
      </c>
      <c r="B4106" t="inlineStr">
        <is>
          <t>2025-03-27 15:42:00</t>
        </is>
      </c>
      <c r="C4106" t="inlineStr">
        <is>
          <t>Referral</t>
        </is>
      </c>
      <c r="D4106" t="inlineStr">
        <is>
          <t>Language Learning</t>
        </is>
      </c>
      <c r="E4106" t="inlineStr">
        <is>
          <t>South Region</t>
        </is>
      </c>
      <c r="F4106" t="inlineStr">
        <is>
          <t>Rep_12</t>
        </is>
      </c>
      <c r="G4106" t="n">
        <v>3.71</v>
      </c>
      <c r="H4106" t="inlineStr">
        <is>
          <t>Contacted</t>
        </is>
      </c>
      <c r="I4106" t="inlineStr">
        <is>
          <t>Open</t>
        </is>
      </c>
      <c r="M4106">
        <f>VLOOKUP(H4106,'Stage Order'!$A$2:$B$8,2,FALSE)</f>
        <v/>
      </c>
      <c r="N4106">
        <f>IF(G4106&lt;=1,"1. Under 1 hour",IF(G4106&lt;=24,"2. 1-24 hours",IF(G4106&lt;=72,"3. 1-3 days","4. Over 3 days")))</f>
        <v/>
      </c>
      <c r="O4106">
        <f>TEXT(B4106,"YYYY-MM")</f>
        <v/>
      </c>
    </row>
    <row r="4107">
      <c r="A4107" t="inlineStr">
        <is>
          <t>LD-304105</t>
        </is>
      </c>
      <c r="B4107" t="inlineStr">
        <is>
          <t>2025-12-24 18:23:00</t>
        </is>
      </c>
      <c r="C4107" t="inlineStr">
        <is>
          <t>Paid Search</t>
        </is>
      </c>
      <c r="D4107" t="inlineStr">
        <is>
          <t>K-12 Math</t>
        </is>
      </c>
      <c r="E4107" t="inlineStr">
        <is>
          <t>South Region</t>
        </is>
      </c>
      <c r="F4107" t="inlineStr">
        <is>
          <t>Rep_02</t>
        </is>
      </c>
      <c r="G4107" t="n">
        <v>0.8100000000000001</v>
      </c>
      <c r="H4107" t="inlineStr">
        <is>
          <t>Contacted</t>
        </is>
      </c>
      <c r="I4107" t="inlineStr">
        <is>
          <t>Open</t>
        </is>
      </c>
      <c r="M4107">
        <f>VLOOKUP(H4107,'Stage Order'!$A$2:$B$8,2,FALSE)</f>
        <v/>
      </c>
      <c r="N4107">
        <f>IF(G4107&lt;=1,"1. Under 1 hour",IF(G4107&lt;=24,"2. 1-24 hours",IF(G4107&lt;=72,"3. 1-3 days","4. Over 3 days")))</f>
        <v/>
      </c>
      <c r="O4107">
        <f>TEXT(B4107,"YYYY-MM")</f>
        <v/>
      </c>
    </row>
    <row r="4108">
      <c r="A4108" t="inlineStr">
        <is>
          <t>LD-304106</t>
        </is>
      </c>
      <c r="B4108" t="inlineStr">
        <is>
          <t>2026-01-12 20:12:00</t>
        </is>
      </c>
      <c r="C4108" t="inlineStr">
        <is>
          <t>Cold Outreach</t>
        </is>
      </c>
      <c r="D4108" t="inlineStr">
        <is>
          <t>Language Learning</t>
        </is>
      </c>
      <c r="E4108" t="inlineStr">
        <is>
          <t>West Region</t>
        </is>
      </c>
      <c r="F4108" t="inlineStr">
        <is>
          <t>Rep_13</t>
        </is>
      </c>
      <c r="G4108" t="n">
        <v>5.2</v>
      </c>
      <c r="H4108" t="inlineStr">
        <is>
          <t>Lead</t>
        </is>
      </c>
      <c r="I4108" t="inlineStr">
        <is>
          <t>Open</t>
        </is>
      </c>
      <c r="M4108">
        <f>VLOOKUP(H4108,'Stage Order'!$A$2:$B$8,2,FALSE)</f>
        <v/>
      </c>
      <c r="N4108">
        <f>IF(G4108&lt;=1,"1. Under 1 hour",IF(G4108&lt;=24,"2. 1-24 hours",IF(G4108&lt;=72,"3. 1-3 days","4. Over 3 days")))</f>
        <v/>
      </c>
      <c r="O4108">
        <f>TEXT(B4108,"YYYY-MM")</f>
        <v/>
      </c>
    </row>
    <row r="4109">
      <c r="A4109" t="inlineStr">
        <is>
          <t>LD-304107</t>
        </is>
      </c>
      <c r="B4109" t="inlineStr">
        <is>
          <t>2026-02-17 12:45:00</t>
        </is>
      </c>
      <c r="C4109" t="inlineStr">
        <is>
          <t>Organic Search</t>
        </is>
      </c>
      <c r="D4109" t="inlineStr">
        <is>
          <t>K-12 Math</t>
        </is>
      </c>
      <c r="E4109" t="inlineStr">
        <is>
          <t>North Region</t>
        </is>
      </c>
      <c r="F4109" t="inlineStr">
        <is>
          <t>Rep_01</t>
        </is>
      </c>
      <c r="G4109" t="n">
        <v>2.64</v>
      </c>
      <c r="H4109" t="inlineStr">
        <is>
          <t>Lead</t>
        </is>
      </c>
      <c r="I4109" t="inlineStr">
        <is>
          <t>Open</t>
        </is>
      </c>
      <c r="M4109">
        <f>VLOOKUP(H4109,'Stage Order'!$A$2:$B$8,2,FALSE)</f>
        <v/>
      </c>
      <c r="N4109">
        <f>IF(G4109&lt;=1,"1. Under 1 hour",IF(G4109&lt;=24,"2. 1-24 hours",IF(G4109&lt;=72,"3. 1-3 days","4. Over 3 days")))</f>
        <v/>
      </c>
      <c r="O4109">
        <f>TEXT(B4109,"YYYY-MM")</f>
        <v/>
      </c>
    </row>
    <row r="4110">
      <c r="A4110" t="inlineStr">
        <is>
          <t>LD-304108</t>
        </is>
      </c>
      <c r="B4110" t="inlineStr">
        <is>
          <t>2026-04-23 11:58:00</t>
        </is>
      </c>
      <c r="C4110" t="inlineStr">
        <is>
          <t>Social Media</t>
        </is>
      </c>
      <c r="D4110" t="inlineStr">
        <is>
          <t>K-12 Math</t>
        </is>
      </c>
      <c r="E4110" t="inlineStr">
        <is>
          <t>North Region</t>
        </is>
      </c>
      <c r="F4110" t="inlineStr">
        <is>
          <t>Rep_01</t>
        </is>
      </c>
      <c r="G4110" t="n">
        <v>3.2</v>
      </c>
      <c r="H4110" t="inlineStr">
        <is>
          <t>Lead</t>
        </is>
      </c>
      <c r="I4110" t="inlineStr">
        <is>
          <t>Open</t>
        </is>
      </c>
      <c r="M4110">
        <f>VLOOKUP(H4110,'Stage Order'!$A$2:$B$8,2,FALSE)</f>
        <v/>
      </c>
      <c r="N4110">
        <f>IF(G4110&lt;=1,"1. Under 1 hour",IF(G4110&lt;=24,"2. 1-24 hours",IF(G4110&lt;=72,"3. 1-3 days","4. Over 3 days")))</f>
        <v/>
      </c>
      <c r="O4110">
        <f>TEXT(B4110,"YYYY-MM")</f>
        <v/>
      </c>
    </row>
    <row r="4111">
      <c r="A4111" t="inlineStr">
        <is>
          <t>LD-304109</t>
        </is>
      </c>
      <c r="B4111" t="inlineStr">
        <is>
          <t>2026-05-07 11:28:00</t>
        </is>
      </c>
      <c r="C4111" t="inlineStr">
        <is>
          <t>Cold Outreach</t>
        </is>
      </c>
      <c r="D4111" t="inlineStr">
        <is>
          <t>K-12 Math</t>
        </is>
      </c>
      <c r="E4111" t="inlineStr">
        <is>
          <t>West Region</t>
        </is>
      </c>
      <c r="F4111" t="inlineStr">
        <is>
          <t>Rep_03</t>
        </is>
      </c>
      <c r="G4111" t="n">
        <v>3.39</v>
      </c>
      <c r="H4111" t="inlineStr">
        <is>
          <t>Lead</t>
        </is>
      </c>
      <c r="I4111" t="inlineStr">
        <is>
          <t>Open</t>
        </is>
      </c>
      <c r="M4111">
        <f>VLOOKUP(H4111,'Stage Order'!$A$2:$B$8,2,FALSE)</f>
        <v/>
      </c>
      <c r="N4111">
        <f>IF(G4111&lt;=1,"1. Under 1 hour",IF(G4111&lt;=24,"2. 1-24 hours",IF(G4111&lt;=72,"3. 1-3 days","4. Over 3 days")))</f>
        <v/>
      </c>
      <c r="O4111">
        <f>TEXT(B4111,"YYYY-MM")</f>
        <v/>
      </c>
    </row>
    <row r="4112">
      <c r="A4112" t="inlineStr">
        <is>
          <t>LD-304110</t>
        </is>
      </c>
      <c r="B4112" t="inlineStr">
        <is>
          <t>2025-02-14 11:26:00</t>
        </is>
      </c>
      <c r="C4112" t="inlineStr">
        <is>
          <t>Social Media</t>
        </is>
      </c>
      <c r="D4112" t="inlineStr">
        <is>
          <t>Competitive Exam Prep</t>
        </is>
      </c>
      <c r="E4112" t="inlineStr">
        <is>
          <t>West Region</t>
        </is>
      </c>
      <c r="F4112" t="inlineStr">
        <is>
          <t>Rep_03</t>
        </is>
      </c>
      <c r="G4112" t="n">
        <v>3.89</v>
      </c>
      <c r="H4112" t="inlineStr">
        <is>
          <t>Contacted</t>
        </is>
      </c>
      <c r="I4112" t="inlineStr">
        <is>
          <t>Open</t>
        </is>
      </c>
      <c r="M4112">
        <f>VLOOKUP(H4112,'Stage Order'!$A$2:$B$8,2,FALSE)</f>
        <v/>
      </c>
      <c r="N4112">
        <f>IF(G4112&lt;=1,"1. Under 1 hour",IF(G4112&lt;=24,"2. 1-24 hours",IF(G4112&lt;=72,"3. 1-3 days","4. Over 3 days")))</f>
        <v/>
      </c>
      <c r="O4112">
        <f>TEXT(B4112,"YYYY-MM")</f>
        <v/>
      </c>
    </row>
    <row r="4113">
      <c r="A4113" t="inlineStr">
        <is>
          <t>LD-304111</t>
        </is>
      </c>
      <c r="B4113" t="inlineStr">
        <is>
          <t>2025-01-03 18:07:00</t>
        </is>
      </c>
      <c r="C4113" t="inlineStr">
        <is>
          <t>Social Media</t>
        </is>
      </c>
      <c r="D4113" t="inlineStr">
        <is>
          <t>Study Abroad Prep</t>
        </is>
      </c>
      <c r="E4113" t="inlineStr">
        <is>
          <t>North Region</t>
        </is>
      </c>
      <c r="F4113" t="inlineStr">
        <is>
          <t>Rep_11</t>
        </is>
      </c>
      <c r="G4113" t="n">
        <v>1.49</v>
      </c>
      <c r="H4113" t="inlineStr">
        <is>
          <t>Contacted</t>
        </is>
      </c>
      <c r="I4113" t="inlineStr">
        <is>
          <t>Open</t>
        </is>
      </c>
      <c r="M4113">
        <f>VLOOKUP(H4113,'Stage Order'!$A$2:$B$8,2,FALSE)</f>
        <v/>
      </c>
      <c r="N4113">
        <f>IF(G4113&lt;=1,"1. Under 1 hour",IF(G4113&lt;=24,"2. 1-24 hours",IF(G4113&lt;=72,"3. 1-3 days","4. Over 3 days")))</f>
        <v/>
      </c>
      <c r="O4113">
        <f>TEXT(B4113,"YYYY-MM")</f>
        <v/>
      </c>
    </row>
    <row r="4114">
      <c r="A4114" t="inlineStr">
        <is>
          <t>LD-304112</t>
        </is>
      </c>
      <c r="B4114" t="inlineStr">
        <is>
          <t>2025-06-18 12:01:00</t>
        </is>
      </c>
      <c r="C4114" t="inlineStr">
        <is>
          <t>Paid Search</t>
        </is>
      </c>
      <c r="D4114" t="inlineStr">
        <is>
          <t>Coding for Kids</t>
        </is>
      </c>
      <c r="E4114" t="inlineStr">
        <is>
          <t>South Region</t>
        </is>
      </c>
      <c r="F4114" t="inlineStr">
        <is>
          <t>Rep_07</t>
        </is>
      </c>
      <c r="G4114" t="n">
        <v>1.02</v>
      </c>
      <c r="H4114" t="inlineStr">
        <is>
          <t>Contacted</t>
        </is>
      </c>
      <c r="I4114" t="inlineStr">
        <is>
          <t>Open</t>
        </is>
      </c>
      <c r="M4114">
        <f>VLOOKUP(H4114,'Stage Order'!$A$2:$B$8,2,FALSE)</f>
        <v/>
      </c>
      <c r="N4114">
        <f>IF(G4114&lt;=1,"1. Under 1 hour",IF(G4114&lt;=24,"2. 1-24 hours",IF(G4114&lt;=72,"3. 1-3 days","4. Over 3 days")))</f>
        <v/>
      </c>
      <c r="O4114">
        <f>TEXT(B4114,"YYYY-MM")</f>
        <v/>
      </c>
    </row>
    <row r="4115">
      <c r="A4115" t="inlineStr">
        <is>
          <t>LD-304113</t>
        </is>
      </c>
      <c r="B4115" t="inlineStr">
        <is>
          <t>2026-05-19 12:09:00</t>
        </is>
      </c>
      <c r="C4115" t="inlineStr">
        <is>
          <t>Organic Search</t>
        </is>
      </c>
      <c r="D4115" t="inlineStr">
        <is>
          <t>K-12 Math</t>
        </is>
      </c>
      <c r="E4115" t="inlineStr">
        <is>
          <t>South Region</t>
        </is>
      </c>
      <c r="F4115" t="inlineStr">
        <is>
          <t>Rep_02</t>
        </is>
      </c>
      <c r="G4115" t="n">
        <v>1.08</v>
      </c>
      <c r="H4115" t="inlineStr">
        <is>
          <t>Contacted</t>
        </is>
      </c>
      <c r="I4115" t="inlineStr">
        <is>
          <t>Open</t>
        </is>
      </c>
      <c r="M4115">
        <f>VLOOKUP(H4115,'Stage Order'!$A$2:$B$8,2,FALSE)</f>
        <v/>
      </c>
      <c r="N4115">
        <f>IF(G4115&lt;=1,"1. Under 1 hour",IF(G4115&lt;=24,"2. 1-24 hours",IF(G4115&lt;=72,"3. 1-3 days","4. Over 3 days")))</f>
        <v/>
      </c>
      <c r="O4115">
        <f>TEXT(B4115,"YYYY-MM")</f>
        <v/>
      </c>
    </row>
    <row r="4116">
      <c r="A4116" t="inlineStr">
        <is>
          <t>LD-304114</t>
        </is>
      </c>
      <c r="B4116" t="inlineStr">
        <is>
          <t>2025-05-29 15:44:00</t>
        </is>
      </c>
      <c r="C4116" t="inlineStr">
        <is>
          <t>Paid Search</t>
        </is>
      </c>
      <c r="D4116" t="inlineStr">
        <is>
          <t>K-12 Math</t>
        </is>
      </c>
      <c r="E4116" t="inlineStr">
        <is>
          <t>South Region</t>
        </is>
      </c>
      <c r="F4116" t="inlineStr">
        <is>
          <t>Rep_07</t>
        </is>
      </c>
      <c r="G4116" t="n">
        <v>12.65</v>
      </c>
      <c r="H4116" t="inlineStr">
        <is>
          <t>Negotiation</t>
        </is>
      </c>
      <c r="I4116" t="inlineStr">
        <is>
          <t>Lost</t>
        </is>
      </c>
      <c r="J4116" t="inlineStr">
        <is>
          <t>Price Objection</t>
        </is>
      </c>
      <c r="K4116" t="n">
        <v>539.49</v>
      </c>
      <c r="L4116" t="inlineStr">
        <is>
          <t>2025-06-18 21:13:08.930762</t>
        </is>
      </c>
      <c r="M4116">
        <f>VLOOKUP(H4116,'Stage Order'!$A$2:$B$8,2,FALSE)</f>
        <v/>
      </c>
      <c r="N4116">
        <f>IF(G4116&lt;=1,"1. Under 1 hour",IF(G4116&lt;=24,"2. 1-24 hours",IF(G4116&lt;=72,"3. 1-3 days","4. Over 3 days")))</f>
        <v/>
      </c>
      <c r="O4116">
        <f>TEXT(B4116,"YYYY-MM")</f>
        <v/>
      </c>
    </row>
    <row r="4117">
      <c r="A4117" t="inlineStr">
        <is>
          <t>LD-304115</t>
        </is>
      </c>
      <c r="B4117" t="inlineStr">
        <is>
          <t>2026-03-31 08:53:00</t>
        </is>
      </c>
      <c r="C4117" t="inlineStr">
        <is>
          <t>Referral</t>
        </is>
      </c>
      <c r="D4117" t="inlineStr">
        <is>
          <t>Language Learning</t>
        </is>
      </c>
      <c r="E4117" t="inlineStr">
        <is>
          <t>International</t>
        </is>
      </c>
      <c r="F4117" t="inlineStr">
        <is>
          <t>Rep_05</t>
        </is>
      </c>
      <c r="G4117" t="n">
        <v>4.11</v>
      </c>
      <c r="H4117" t="inlineStr">
        <is>
          <t>Negotiation</t>
        </is>
      </c>
      <c r="I4117" t="inlineStr">
        <is>
          <t>Lost</t>
        </is>
      </c>
      <c r="J4117" t="inlineStr">
        <is>
          <t>No Response / Ghosted</t>
        </is>
      </c>
      <c r="K4117" t="n">
        <v>363.73</v>
      </c>
      <c r="L4117" t="inlineStr">
        <is>
          <t>2026-05-14 16:30:35.193815</t>
        </is>
      </c>
      <c r="M4117">
        <f>VLOOKUP(H4117,'Stage Order'!$A$2:$B$8,2,FALSE)</f>
        <v/>
      </c>
      <c r="N4117">
        <f>IF(G4117&lt;=1,"1. Under 1 hour",IF(G4117&lt;=24,"2. 1-24 hours",IF(G4117&lt;=72,"3. 1-3 days","4. Over 3 days")))</f>
        <v/>
      </c>
      <c r="O4117">
        <f>TEXT(B4117,"YYYY-MM")</f>
        <v/>
      </c>
    </row>
    <row r="4118">
      <c r="A4118" t="inlineStr">
        <is>
          <t>LD-304116</t>
        </is>
      </c>
      <c r="B4118" t="inlineStr">
        <is>
          <t>2025-08-15 18:42:00</t>
        </is>
      </c>
      <c r="C4118" t="inlineStr">
        <is>
          <t>Referral</t>
        </is>
      </c>
      <c r="D4118" t="inlineStr">
        <is>
          <t>K-12 Math</t>
        </is>
      </c>
      <c r="E4118" t="inlineStr">
        <is>
          <t>East Region</t>
        </is>
      </c>
      <c r="F4118" t="inlineStr">
        <is>
          <t>Rep_14</t>
        </is>
      </c>
      <c r="G4118" t="n">
        <v>0.59</v>
      </c>
      <c r="H4118" t="inlineStr">
        <is>
          <t>Closed</t>
        </is>
      </c>
      <c r="I4118" t="inlineStr">
        <is>
          <t>Won</t>
        </is>
      </c>
      <c r="K4118" t="n">
        <v>438.16</v>
      </c>
      <c r="L4118" t="inlineStr">
        <is>
          <t>2025-09-25 03:38:17.174051</t>
        </is>
      </c>
      <c r="M4118">
        <f>VLOOKUP(H4118,'Stage Order'!$A$2:$B$8,2,FALSE)</f>
        <v/>
      </c>
      <c r="N4118">
        <f>IF(G4118&lt;=1,"1. Under 1 hour",IF(G4118&lt;=24,"2. 1-24 hours",IF(G4118&lt;=72,"3. 1-3 days","4. Over 3 days")))</f>
        <v/>
      </c>
      <c r="O4118">
        <f>TEXT(B4118,"YYYY-MM")</f>
        <v/>
      </c>
    </row>
    <row r="4119">
      <c r="A4119" t="inlineStr">
        <is>
          <t>LD-304117</t>
        </is>
      </c>
      <c r="B4119" t="inlineStr">
        <is>
          <t>2025-08-29 19:36:00</t>
        </is>
      </c>
      <c r="C4119" t="inlineStr">
        <is>
          <t>Partner Channel</t>
        </is>
      </c>
      <c r="D4119" t="inlineStr">
        <is>
          <t>Competitive Exam Prep</t>
        </is>
      </c>
      <c r="E4119" t="inlineStr">
        <is>
          <t>International</t>
        </is>
      </c>
      <c r="F4119" t="inlineStr">
        <is>
          <t>Rep_10</t>
        </is>
      </c>
      <c r="G4119" t="n">
        <v>0.9399999999999999</v>
      </c>
      <c r="H4119" t="inlineStr">
        <is>
          <t>Contacted</t>
        </is>
      </c>
      <c r="I4119" t="inlineStr">
        <is>
          <t>Open</t>
        </is>
      </c>
      <c r="M4119">
        <f>VLOOKUP(H4119,'Stage Order'!$A$2:$B$8,2,FALSE)</f>
        <v/>
      </c>
      <c r="N4119">
        <f>IF(G4119&lt;=1,"1. Under 1 hour",IF(G4119&lt;=24,"2. 1-24 hours",IF(G4119&lt;=72,"3. 1-3 days","4. Over 3 days")))</f>
        <v/>
      </c>
      <c r="O4119">
        <f>TEXT(B4119,"YYYY-MM")</f>
        <v/>
      </c>
    </row>
    <row r="4120">
      <c r="A4120" t="inlineStr">
        <is>
          <t>LD-304118</t>
        </is>
      </c>
      <c r="B4120" t="inlineStr">
        <is>
          <t>2026-01-30 16:23:00</t>
        </is>
      </c>
      <c r="C4120" t="inlineStr">
        <is>
          <t>Organic Search</t>
        </is>
      </c>
      <c r="D4120" t="inlineStr">
        <is>
          <t>K-12 Math</t>
        </is>
      </c>
      <c r="E4120" t="inlineStr">
        <is>
          <t>International</t>
        </is>
      </c>
      <c r="F4120" t="inlineStr">
        <is>
          <t>Rep_15</t>
        </is>
      </c>
      <c r="G4120" t="n">
        <v>5.49</v>
      </c>
      <c r="H4120" t="inlineStr">
        <is>
          <t>Proposal Sent</t>
        </is>
      </c>
      <c r="I4120" t="inlineStr">
        <is>
          <t>Lost</t>
        </is>
      </c>
      <c r="J4120" t="inlineStr">
        <is>
          <t>Bad Timing</t>
        </is>
      </c>
      <c r="K4120" t="n">
        <v>561.55</v>
      </c>
      <c r="L4120" t="inlineStr">
        <is>
          <t>2026-03-25 17:47:15.418349</t>
        </is>
      </c>
      <c r="M4120">
        <f>VLOOKUP(H4120,'Stage Order'!$A$2:$B$8,2,FALSE)</f>
        <v/>
      </c>
      <c r="N4120">
        <f>IF(G4120&lt;=1,"1. Under 1 hour",IF(G4120&lt;=24,"2. 1-24 hours",IF(G4120&lt;=72,"3. 1-3 days","4. Over 3 days")))</f>
        <v/>
      </c>
      <c r="O4120">
        <f>TEXT(B4120,"YYYY-MM")</f>
        <v/>
      </c>
    </row>
    <row r="4121">
      <c r="A4121" t="inlineStr">
        <is>
          <t>LD-304119</t>
        </is>
      </c>
      <c r="B4121" t="inlineStr">
        <is>
          <t>2025-09-03 13:14:00</t>
        </is>
      </c>
      <c r="C4121" t="inlineStr">
        <is>
          <t>Organic Search</t>
        </is>
      </c>
      <c r="D4121" t="inlineStr">
        <is>
          <t>K-12 Math</t>
        </is>
      </c>
      <c r="E4121" t="inlineStr">
        <is>
          <t>International</t>
        </is>
      </c>
      <c r="F4121" t="inlineStr">
        <is>
          <t>Rep_05</t>
        </is>
      </c>
      <c r="G4121" t="n">
        <v>4.65</v>
      </c>
      <c r="H4121" t="inlineStr">
        <is>
          <t>Lead</t>
        </is>
      </c>
      <c r="I4121" t="inlineStr">
        <is>
          <t>Open</t>
        </is>
      </c>
      <c r="M4121">
        <f>VLOOKUP(H4121,'Stage Order'!$A$2:$B$8,2,FALSE)</f>
        <v/>
      </c>
      <c r="N4121">
        <f>IF(G4121&lt;=1,"1. Under 1 hour",IF(G4121&lt;=24,"2. 1-24 hours",IF(G4121&lt;=72,"3. 1-3 days","4. Over 3 days")))</f>
        <v/>
      </c>
      <c r="O4121">
        <f>TEXT(B4121,"YYYY-MM")</f>
        <v/>
      </c>
    </row>
    <row r="4122">
      <c r="A4122" t="inlineStr">
        <is>
          <t>LD-304120</t>
        </is>
      </c>
      <c r="B4122" t="inlineStr">
        <is>
          <t>2026-05-05 14:16:00</t>
        </is>
      </c>
      <c r="C4122" t="inlineStr">
        <is>
          <t>Webinar</t>
        </is>
      </c>
      <c r="D4122" t="inlineStr">
        <is>
          <t>Competitive Exam Prep</t>
        </is>
      </c>
      <c r="E4122" t="inlineStr">
        <is>
          <t>West Region</t>
        </is>
      </c>
      <c r="F4122" t="inlineStr">
        <is>
          <t>Rep_03</t>
        </is>
      </c>
      <c r="G4122" t="n">
        <v>1.6</v>
      </c>
      <c r="H4122" t="inlineStr">
        <is>
          <t>Negotiation</t>
        </is>
      </c>
      <c r="I4122" t="inlineStr">
        <is>
          <t>Lost</t>
        </is>
      </c>
      <c r="J4122" t="inlineStr">
        <is>
          <t>Went With Competitor</t>
        </is>
      </c>
      <c r="K4122" t="n">
        <v>1038.14</v>
      </c>
      <c r="L4122" t="inlineStr">
        <is>
          <t>2026-06-20 05:48:20.631601</t>
        </is>
      </c>
      <c r="M4122">
        <f>VLOOKUP(H4122,'Stage Order'!$A$2:$B$8,2,FALSE)</f>
        <v/>
      </c>
      <c r="N4122">
        <f>IF(G4122&lt;=1,"1. Under 1 hour",IF(G4122&lt;=24,"2. 1-24 hours",IF(G4122&lt;=72,"3. 1-3 days","4. Over 3 days")))</f>
        <v/>
      </c>
      <c r="O4122">
        <f>TEXT(B4122,"YYYY-MM")</f>
        <v/>
      </c>
    </row>
    <row r="4123">
      <c r="A4123" t="inlineStr">
        <is>
          <t>LD-304121</t>
        </is>
      </c>
      <c r="B4123" t="inlineStr">
        <is>
          <t>2026-02-20 14:49:00</t>
        </is>
      </c>
      <c r="C4123" t="inlineStr">
        <is>
          <t>Paid Search</t>
        </is>
      </c>
      <c r="D4123" t="inlineStr">
        <is>
          <t>Study Abroad Prep</t>
        </is>
      </c>
      <c r="E4123" t="inlineStr">
        <is>
          <t>West Region</t>
        </is>
      </c>
      <c r="F4123" t="inlineStr">
        <is>
          <t>Rep_13</t>
        </is>
      </c>
      <c r="G4123" t="n">
        <v>2.65</v>
      </c>
      <c r="H4123" t="inlineStr">
        <is>
          <t>Closed</t>
        </is>
      </c>
      <c r="I4123" t="inlineStr">
        <is>
          <t>Won</t>
        </is>
      </c>
      <c r="K4123" t="n">
        <v>1720.92</v>
      </c>
      <c r="L4123" t="inlineStr">
        <is>
          <t>2026-04-04 11:16:14.822251</t>
        </is>
      </c>
      <c r="M4123">
        <f>VLOOKUP(H4123,'Stage Order'!$A$2:$B$8,2,FALSE)</f>
        <v/>
      </c>
      <c r="N4123">
        <f>IF(G4123&lt;=1,"1. Under 1 hour",IF(G4123&lt;=24,"2. 1-24 hours",IF(G4123&lt;=72,"3. 1-3 days","4. Over 3 days")))</f>
        <v/>
      </c>
      <c r="O4123">
        <f>TEXT(B4123,"YYYY-MM")</f>
        <v/>
      </c>
    </row>
    <row r="4124">
      <c r="A4124" t="inlineStr">
        <is>
          <t>LD-304122</t>
        </is>
      </c>
      <c r="B4124" t="inlineStr">
        <is>
          <t>2025-01-10 12:11:00</t>
        </is>
      </c>
      <c r="C4124" t="inlineStr">
        <is>
          <t>Paid Search</t>
        </is>
      </c>
      <c r="D4124" t="inlineStr">
        <is>
          <t>Study Abroad Prep</t>
        </is>
      </c>
      <c r="E4124" t="inlineStr">
        <is>
          <t>West Region</t>
        </is>
      </c>
      <c r="F4124" t="inlineStr">
        <is>
          <t>Rep_13</t>
        </is>
      </c>
      <c r="G4124" t="n">
        <v>6.86</v>
      </c>
      <c r="H4124" t="inlineStr">
        <is>
          <t>Negotiation</t>
        </is>
      </c>
      <c r="I4124" t="inlineStr">
        <is>
          <t>Lost</t>
        </is>
      </c>
      <c r="J4124" t="inlineStr">
        <is>
          <t>No Response / Ghosted</t>
        </is>
      </c>
      <c r="K4124" t="n">
        <v>1504.37</v>
      </c>
      <c r="L4124" t="inlineStr">
        <is>
          <t>2025-02-18 03:20:15.253678</t>
        </is>
      </c>
      <c r="M4124">
        <f>VLOOKUP(H4124,'Stage Order'!$A$2:$B$8,2,FALSE)</f>
        <v/>
      </c>
      <c r="N4124">
        <f>IF(G4124&lt;=1,"1. Under 1 hour",IF(G4124&lt;=24,"2. 1-24 hours",IF(G4124&lt;=72,"3. 1-3 days","4. Over 3 days")))</f>
        <v/>
      </c>
      <c r="O4124">
        <f>TEXT(B4124,"YYYY-MM")</f>
        <v/>
      </c>
    </row>
    <row r="4125">
      <c r="A4125" t="inlineStr">
        <is>
          <t>LD-304123</t>
        </is>
      </c>
      <c r="B4125" t="inlineStr">
        <is>
          <t>2025-02-27 10:29:00</t>
        </is>
      </c>
      <c r="C4125" t="inlineStr">
        <is>
          <t>Paid Search</t>
        </is>
      </c>
      <c r="D4125" t="inlineStr">
        <is>
          <t>Competitive Exam Prep</t>
        </is>
      </c>
      <c r="E4125" t="inlineStr">
        <is>
          <t>South Region</t>
        </is>
      </c>
      <c r="F4125" t="inlineStr">
        <is>
          <t>Rep_07</t>
        </is>
      </c>
      <c r="G4125" t="n">
        <v>1.08</v>
      </c>
      <c r="H4125" t="inlineStr">
        <is>
          <t>Contacted</t>
        </is>
      </c>
      <c r="I4125" t="inlineStr">
        <is>
          <t>Open</t>
        </is>
      </c>
      <c r="M4125">
        <f>VLOOKUP(H4125,'Stage Order'!$A$2:$B$8,2,FALSE)</f>
        <v/>
      </c>
      <c r="N4125">
        <f>IF(G4125&lt;=1,"1. Under 1 hour",IF(G4125&lt;=24,"2. 1-24 hours",IF(G4125&lt;=72,"3. 1-3 days","4. Over 3 days")))</f>
        <v/>
      </c>
      <c r="O4125">
        <f>TEXT(B4125,"YYYY-MM")</f>
        <v/>
      </c>
    </row>
    <row r="4126">
      <c r="A4126" t="inlineStr">
        <is>
          <t>LD-304124</t>
        </is>
      </c>
      <c r="B4126" t="inlineStr">
        <is>
          <t>2025-01-20 20:26:00</t>
        </is>
      </c>
      <c r="C4126" t="inlineStr">
        <is>
          <t>Referral</t>
        </is>
      </c>
      <c r="D4126" t="inlineStr">
        <is>
          <t>K-12 Math</t>
        </is>
      </c>
      <c r="E4126" t="inlineStr">
        <is>
          <t>International</t>
        </is>
      </c>
      <c r="F4126" t="inlineStr">
        <is>
          <t>Rep_05</t>
        </is>
      </c>
      <c r="G4126" t="n">
        <v>1.67</v>
      </c>
      <c r="H4126" t="inlineStr">
        <is>
          <t>Contacted</t>
        </is>
      </c>
      <c r="I4126" t="inlineStr">
        <is>
          <t>Open</t>
        </is>
      </c>
      <c r="M4126">
        <f>VLOOKUP(H4126,'Stage Order'!$A$2:$B$8,2,FALSE)</f>
        <v/>
      </c>
      <c r="N4126">
        <f>IF(G4126&lt;=1,"1. Under 1 hour",IF(G4126&lt;=24,"2. 1-24 hours",IF(G4126&lt;=72,"3. 1-3 days","4. Over 3 days")))</f>
        <v/>
      </c>
      <c r="O4126">
        <f>TEXT(B4126,"YYYY-MM")</f>
        <v/>
      </c>
    </row>
    <row r="4127">
      <c r="A4127" t="inlineStr">
        <is>
          <t>LD-304125</t>
        </is>
      </c>
      <c r="B4127" t="inlineStr">
        <is>
          <t>2025-09-30 16:19:00</t>
        </is>
      </c>
      <c r="C4127" t="inlineStr">
        <is>
          <t>Cold Outreach</t>
        </is>
      </c>
      <c r="D4127" t="inlineStr">
        <is>
          <t>Study Abroad Prep</t>
        </is>
      </c>
      <c r="E4127" t="inlineStr">
        <is>
          <t>South Region</t>
        </is>
      </c>
      <c r="F4127" t="inlineStr">
        <is>
          <t>Rep_12</t>
        </is>
      </c>
      <c r="G4127" t="n">
        <v>2.13</v>
      </c>
      <c r="H4127" t="inlineStr">
        <is>
          <t>Contacted</t>
        </is>
      </c>
      <c r="I4127" t="inlineStr">
        <is>
          <t>Open</t>
        </is>
      </c>
      <c r="M4127">
        <f>VLOOKUP(H4127,'Stage Order'!$A$2:$B$8,2,FALSE)</f>
        <v/>
      </c>
      <c r="N4127">
        <f>IF(G4127&lt;=1,"1. Under 1 hour",IF(G4127&lt;=24,"2. 1-24 hours",IF(G4127&lt;=72,"3. 1-3 days","4. Over 3 days")))</f>
        <v/>
      </c>
      <c r="O4127">
        <f>TEXT(B4127,"YYYY-MM")</f>
        <v/>
      </c>
    </row>
    <row r="4128">
      <c r="A4128" t="inlineStr">
        <is>
          <t>LD-304126</t>
        </is>
      </c>
      <c r="B4128" t="inlineStr">
        <is>
          <t>2025-11-28 17:37:00</t>
        </is>
      </c>
      <c r="C4128" t="inlineStr">
        <is>
          <t>Cold Outreach</t>
        </is>
      </c>
      <c r="D4128" t="inlineStr">
        <is>
          <t>Coding for Kids</t>
        </is>
      </c>
      <c r="E4128" t="inlineStr">
        <is>
          <t>West Region</t>
        </is>
      </c>
      <c r="F4128" t="inlineStr">
        <is>
          <t>Rep_03</t>
        </is>
      </c>
      <c r="G4128" t="n">
        <v>6.7</v>
      </c>
      <c r="H4128" t="inlineStr">
        <is>
          <t>Lead</t>
        </is>
      </c>
      <c r="I4128" t="inlineStr">
        <is>
          <t>Open</t>
        </is>
      </c>
      <c r="M4128">
        <f>VLOOKUP(H4128,'Stage Order'!$A$2:$B$8,2,FALSE)</f>
        <v/>
      </c>
      <c r="N4128">
        <f>IF(G4128&lt;=1,"1. Under 1 hour",IF(G4128&lt;=24,"2. 1-24 hours",IF(G4128&lt;=72,"3. 1-3 days","4. Over 3 days")))</f>
        <v/>
      </c>
      <c r="O4128">
        <f>TEXT(B4128,"YYYY-MM")</f>
        <v/>
      </c>
    </row>
    <row r="4129">
      <c r="A4129" t="inlineStr">
        <is>
          <t>LD-304127</t>
        </is>
      </c>
      <c r="B4129" t="inlineStr">
        <is>
          <t>2026-03-10 09:29:00</t>
        </is>
      </c>
      <c r="C4129" t="inlineStr">
        <is>
          <t>Organic Search</t>
        </is>
      </c>
      <c r="D4129" t="inlineStr">
        <is>
          <t>Language Learning</t>
        </is>
      </c>
      <c r="E4129" t="inlineStr">
        <is>
          <t>South Region</t>
        </is>
      </c>
      <c r="F4129" t="inlineStr">
        <is>
          <t>Rep_02</t>
        </is>
      </c>
      <c r="G4129" t="n">
        <v>1.85</v>
      </c>
      <c r="H4129" t="inlineStr">
        <is>
          <t>Negotiation</t>
        </is>
      </c>
      <c r="I4129" t="inlineStr">
        <is>
          <t>Lost</t>
        </is>
      </c>
      <c r="J4129" t="inlineStr">
        <is>
          <t>No Response / Ghosted</t>
        </is>
      </c>
      <c r="K4129" t="n">
        <v>373.11</v>
      </c>
      <c r="L4129" t="inlineStr">
        <is>
          <t>2026-05-14 05:31:13.508729</t>
        </is>
      </c>
      <c r="M4129">
        <f>VLOOKUP(H4129,'Stage Order'!$A$2:$B$8,2,FALSE)</f>
        <v/>
      </c>
      <c r="N4129">
        <f>IF(G4129&lt;=1,"1. Under 1 hour",IF(G4129&lt;=24,"2. 1-24 hours",IF(G4129&lt;=72,"3. 1-3 days","4. Over 3 days")))</f>
        <v/>
      </c>
      <c r="O4129">
        <f>TEXT(B4129,"YYYY-MM")</f>
        <v/>
      </c>
    </row>
    <row r="4130">
      <c r="A4130" t="inlineStr">
        <is>
          <t>LD-304128</t>
        </is>
      </c>
      <c r="B4130" t="inlineStr">
        <is>
          <t>2026-01-07 13:09:00</t>
        </is>
      </c>
      <c r="C4130" t="inlineStr">
        <is>
          <t>Partner Channel</t>
        </is>
      </c>
      <c r="D4130" t="inlineStr">
        <is>
          <t>Coding for Kids</t>
        </is>
      </c>
      <c r="E4130" t="inlineStr">
        <is>
          <t>East Region</t>
        </is>
      </c>
      <c r="F4130" t="inlineStr">
        <is>
          <t>Rep_14</t>
        </is>
      </c>
      <c r="G4130" t="n">
        <v>16.76</v>
      </c>
      <c r="H4130" t="inlineStr">
        <is>
          <t>Proposal Sent</t>
        </is>
      </c>
      <c r="I4130" t="inlineStr">
        <is>
          <t>Lost</t>
        </is>
      </c>
      <c r="J4130" t="inlineStr">
        <is>
          <t>Bad Timing</t>
        </is>
      </c>
      <c r="K4130" t="n">
        <v>571.8</v>
      </c>
      <c r="L4130" t="inlineStr">
        <is>
          <t>2026-02-08 23:11:30.300449</t>
        </is>
      </c>
      <c r="M4130">
        <f>VLOOKUP(H4130,'Stage Order'!$A$2:$B$8,2,FALSE)</f>
        <v/>
      </c>
      <c r="N4130">
        <f>IF(G4130&lt;=1,"1. Under 1 hour",IF(G4130&lt;=24,"2. 1-24 hours",IF(G4130&lt;=72,"3. 1-3 days","4. Over 3 days")))</f>
        <v/>
      </c>
      <c r="O4130">
        <f>TEXT(B4130,"YYYY-MM")</f>
        <v/>
      </c>
    </row>
    <row r="4131">
      <c r="A4131" t="inlineStr">
        <is>
          <t>LD-304129</t>
        </is>
      </c>
      <c r="B4131" t="inlineStr">
        <is>
          <t>2025-10-09 18:39:00</t>
        </is>
      </c>
      <c r="C4131" t="inlineStr">
        <is>
          <t>Organic Search</t>
        </is>
      </c>
      <c r="D4131" t="inlineStr">
        <is>
          <t>Competitive Exam Prep</t>
        </is>
      </c>
      <c r="E4131" t="inlineStr">
        <is>
          <t>North Region</t>
        </is>
      </c>
      <c r="F4131" t="inlineStr">
        <is>
          <t>Rep_11</t>
        </is>
      </c>
      <c r="G4131" t="n">
        <v>0.32</v>
      </c>
      <c r="H4131" t="inlineStr">
        <is>
          <t>Closed</t>
        </is>
      </c>
      <c r="I4131" t="inlineStr">
        <is>
          <t>Won</t>
        </is>
      </c>
      <c r="K4131" t="n">
        <v>834.04</v>
      </c>
      <c r="L4131" t="inlineStr">
        <is>
          <t>2025-11-23 05:18:51.030096</t>
        </is>
      </c>
      <c r="M4131">
        <f>VLOOKUP(H4131,'Stage Order'!$A$2:$B$8,2,FALSE)</f>
        <v/>
      </c>
      <c r="N4131">
        <f>IF(G4131&lt;=1,"1. Under 1 hour",IF(G4131&lt;=24,"2. 1-24 hours",IF(G4131&lt;=72,"3. 1-3 days","4. Over 3 days")))</f>
        <v/>
      </c>
      <c r="O4131">
        <f>TEXT(B4131,"YYYY-MM")</f>
        <v/>
      </c>
    </row>
    <row r="4132">
      <c r="A4132" t="inlineStr">
        <is>
          <t>LD-304130</t>
        </is>
      </c>
      <c r="B4132" t="inlineStr">
        <is>
          <t>2026-03-06 08:12:00</t>
        </is>
      </c>
      <c r="C4132" t="inlineStr">
        <is>
          <t>Referral</t>
        </is>
      </c>
      <c r="D4132" t="inlineStr">
        <is>
          <t>Competitive Exam Prep</t>
        </is>
      </c>
      <c r="E4132" t="inlineStr">
        <is>
          <t>South Region</t>
        </is>
      </c>
      <c r="F4132" t="inlineStr">
        <is>
          <t>Rep_02</t>
        </is>
      </c>
      <c r="G4132" t="n">
        <v>12.65</v>
      </c>
      <c r="H4132" t="inlineStr">
        <is>
          <t>Negotiation</t>
        </is>
      </c>
      <c r="I4132" t="inlineStr">
        <is>
          <t>Lost</t>
        </is>
      </c>
      <c r="J4132" t="inlineStr">
        <is>
          <t>No Response / Ghosted</t>
        </is>
      </c>
      <c r="K4132" t="n">
        <v>1182.55</v>
      </c>
      <c r="L4132" t="inlineStr">
        <is>
          <t>2026-04-17 02:42:30.542463</t>
        </is>
      </c>
      <c r="M4132">
        <f>VLOOKUP(H4132,'Stage Order'!$A$2:$B$8,2,FALSE)</f>
        <v/>
      </c>
      <c r="N4132">
        <f>IF(G4132&lt;=1,"1. Under 1 hour",IF(G4132&lt;=24,"2. 1-24 hours",IF(G4132&lt;=72,"3. 1-3 days","4. Over 3 days")))</f>
        <v/>
      </c>
      <c r="O4132">
        <f>TEXT(B4132,"YYYY-MM")</f>
        <v/>
      </c>
    </row>
    <row r="4133">
      <c r="A4133" t="inlineStr">
        <is>
          <t>LD-304131</t>
        </is>
      </c>
      <c r="B4133" t="inlineStr">
        <is>
          <t>2025-02-14 20:49:00</t>
        </is>
      </c>
      <c r="C4133" t="inlineStr">
        <is>
          <t>Social Media</t>
        </is>
      </c>
      <c r="D4133" t="inlineStr">
        <is>
          <t>K-12 Math</t>
        </is>
      </c>
      <c r="E4133" t="inlineStr">
        <is>
          <t>International</t>
        </is>
      </c>
      <c r="F4133" t="inlineStr">
        <is>
          <t>Rep_15</t>
        </is>
      </c>
      <c r="G4133" t="n">
        <v>1.63</v>
      </c>
      <c r="H4133" t="inlineStr">
        <is>
          <t>Contacted</t>
        </is>
      </c>
      <c r="I4133" t="inlineStr">
        <is>
          <t>Open</t>
        </is>
      </c>
      <c r="M4133">
        <f>VLOOKUP(H4133,'Stage Order'!$A$2:$B$8,2,FALSE)</f>
        <v/>
      </c>
      <c r="N4133">
        <f>IF(G4133&lt;=1,"1. Under 1 hour",IF(G4133&lt;=24,"2. 1-24 hours",IF(G4133&lt;=72,"3. 1-3 days","4. Over 3 days")))</f>
        <v/>
      </c>
      <c r="O4133">
        <f>TEXT(B4133,"YYYY-MM")</f>
        <v/>
      </c>
    </row>
    <row r="4134">
      <c r="A4134" t="inlineStr">
        <is>
          <t>LD-304132</t>
        </is>
      </c>
      <c r="B4134" t="inlineStr">
        <is>
          <t>2026-06-11 19:44:00</t>
        </is>
      </c>
      <c r="C4134" t="inlineStr">
        <is>
          <t>Cold Outreach</t>
        </is>
      </c>
      <c r="D4134" t="inlineStr">
        <is>
          <t>Competitive Exam Prep</t>
        </is>
      </c>
      <c r="E4134" t="inlineStr">
        <is>
          <t>West Region</t>
        </is>
      </c>
      <c r="F4134" t="inlineStr">
        <is>
          <t>Rep_08</t>
        </is>
      </c>
      <c r="G4134" t="n">
        <v>0.97</v>
      </c>
      <c r="H4134" t="inlineStr">
        <is>
          <t>Lead</t>
        </is>
      </c>
      <c r="I4134" t="inlineStr">
        <is>
          <t>Open</t>
        </is>
      </c>
      <c r="M4134">
        <f>VLOOKUP(H4134,'Stage Order'!$A$2:$B$8,2,FALSE)</f>
        <v/>
      </c>
      <c r="N4134">
        <f>IF(G4134&lt;=1,"1. Under 1 hour",IF(G4134&lt;=24,"2. 1-24 hours",IF(G4134&lt;=72,"3. 1-3 days","4. Over 3 days")))</f>
        <v/>
      </c>
      <c r="O4134">
        <f>TEXT(B4134,"YYYY-MM")</f>
        <v/>
      </c>
    </row>
    <row r="4135">
      <c r="A4135" t="inlineStr">
        <is>
          <t>LD-304133</t>
        </is>
      </c>
      <c r="B4135" t="inlineStr">
        <is>
          <t>2026-05-26 13:04:00</t>
        </is>
      </c>
      <c r="C4135" t="inlineStr">
        <is>
          <t>Paid Search</t>
        </is>
      </c>
      <c r="D4135" t="inlineStr">
        <is>
          <t>Competitive Exam Prep</t>
        </is>
      </c>
      <c r="E4135" t="inlineStr">
        <is>
          <t>West Region</t>
        </is>
      </c>
      <c r="F4135" t="inlineStr">
        <is>
          <t>Rep_03</t>
        </is>
      </c>
      <c r="G4135" t="n">
        <v>5.41</v>
      </c>
      <c r="H4135" t="inlineStr">
        <is>
          <t>Contacted</t>
        </is>
      </c>
      <c r="I4135" t="inlineStr">
        <is>
          <t>Open</t>
        </is>
      </c>
      <c r="M4135">
        <f>VLOOKUP(H4135,'Stage Order'!$A$2:$B$8,2,FALSE)</f>
        <v/>
      </c>
      <c r="N4135">
        <f>IF(G4135&lt;=1,"1. Under 1 hour",IF(G4135&lt;=24,"2. 1-24 hours",IF(G4135&lt;=72,"3. 1-3 days","4. Over 3 days")))</f>
        <v/>
      </c>
      <c r="O4135">
        <f>TEXT(B4135,"YYYY-MM")</f>
        <v/>
      </c>
    </row>
    <row r="4136">
      <c r="A4136" t="inlineStr">
        <is>
          <t>LD-304134</t>
        </is>
      </c>
      <c r="B4136" t="inlineStr">
        <is>
          <t>2025-05-05 12:31:00</t>
        </is>
      </c>
      <c r="C4136" t="inlineStr">
        <is>
          <t>Referral</t>
        </is>
      </c>
      <c r="D4136" t="inlineStr">
        <is>
          <t>Competitive Exam Prep</t>
        </is>
      </c>
      <c r="E4136" t="inlineStr">
        <is>
          <t>South Region</t>
        </is>
      </c>
      <c r="F4136" t="inlineStr">
        <is>
          <t>Rep_12</t>
        </is>
      </c>
      <c r="G4136" t="n">
        <v>3.93</v>
      </c>
      <c r="H4136" t="inlineStr">
        <is>
          <t>Closed</t>
        </is>
      </c>
      <c r="I4136" t="inlineStr">
        <is>
          <t>Won</t>
        </is>
      </c>
      <c r="K4136" t="n">
        <v>1020.1</v>
      </c>
      <c r="L4136" t="inlineStr">
        <is>
          <t>2025-06-16 21:06:52.974707</t>
        </is>
      </c>
      <c r="M4136">
        <f>VLOOKUP(H4136,'Stage Order'!$A$2:$B$8,2,FALSE)</f>
        <v/>
      </c>
      <c r="N4136">
        <f>IF(G4136&lt;=1,"1. Under 1 hour",IF(G4136&lt;=24,"2. 1-24 hours",IF(G4136&lt;=72,"3. 1-3 days","4. Over 3 days")))</f>
        <v/>
      </c>
      <c r="O4136">
        <f>TEXT(B4136,"YYYY-MM")</f>
        <v/>
      </c>
    </row>
    <row r="4137">
      <c r="A4137" t="inlineStr">
        <is>
          <t>LD-304135</t>
        </is>
      </c>
      <c r="B4137" t="inlineStr">
        <is>
          <t>2025-07-11 12:13:00</t>
        </is>
      </c>
      <c r="C4137" t="inlineStr">
        <is>
          <t>Organic Search</t>
        </is>
      </c>
      <c r="D4137" t="inlineStr">
        <is>
          <t>Study Abroad Prep</t>
        </is>
      </c>
      <c r="E4137" t="inlineStr">
        <is>
          <t>West Region</t>
        </is>
      </c>
      <c r="F4137" t="inlineStr">
        <is>
          <t>Rep_13</t>
        </is>
      </c>
      <c r="G4137" t="n">
        <v>1.37</v>
      </c>
      <c r="H4137" t="inlineStr">
        <is>
          <t>Contacted</t>
        </is>
      </c>
      <c r="I4137" t="inlineStr">
        <is>
          <t>Open</t>
        </is>
      </c>
      <c r="M4137">
        <f>VLOOKUP(H4137,'Stage Order'!$A$2:$B$8,2,FALSE)</f>
        <v/>
      </c>
      <c r="N4137">
        <f>IF(G4137&lt;=1,"1. Under 1 hour",IF(G4137&lt;=24,"2. 1-24 hours",IF(G4137&lt;=72,"3. 1-3 days","4. Over 3 days")))</f>
        <v/>
      </c>
      <c r="O4137">
        <f>TEXT(B4137,"YYYY-MM")</f>
        <v/>
      </c>
    </row>
    <row r="4138">
      <c r="A4138" t="inlineStr">
        <is>
          <t>LD-304136</t>
        </is>
      </c>
      <c r="B4138" t="inlineStr">
        <is>
          <t>2025-03-03 12:08:00</t>
        </is>
      </c>
      <c r="C4138" t="inlineStr">
        <is>
          <t>Paid Search</t>
        </is>
      </c>
      <c r="D4138" t="inlineStr">
        <is>
          <t>Competitive Exam Prep</t>
        </is>
      </c>
      <c r="E4138" t="inlineStr">
        <is>
          <t>East Region</t>
        </is>
      </c>
      <c r="F4138" t="inlineStr">
        <is>
          <t>Rep_14</t>
        </is>
      </c>
      <c r="G4138" t="n">
        <v>11.48</v>
      </c>
      <c r="H4138" t="inlineStr">
        <is>
          <t>Lead</t>
        </is>
      </c>
      <c r="I4138" t="inlineStr">
        <is>
          <t>Open</t>
        </is>
      </c>
      <c r="M4138">
        <f>VLOOKUP(H4138,'Stage Order'!$A$2:$B$8,2,FALSE)</f>
        <v/>
      </c>
      <c r="N4138">
        <f>IF(G4138&lt;=1,"1. Under 1 hour",IF(G4138&lt;=24,"2. 1-24 hours",IF(G4138&lt;=72,"3. 1-3 days","4. Over 3 days")))</f>
        <v/>
      </c>
      <c r="O4138">
        <f>TEXT(B4138,"YYYY-MM")</f>
        <v/>
      </c>
    </row>
    <row r="4139">
      <c r="A4139" t="inlineStr">
        <is>
          <t>LD-304137</t>
        </is>
      </c>
      <c r="B4139" t="inlineStr">
        <is>
          <t>2025-12-05 11:04:00</t>
        </is>
      </c>
      <c r="C4139" t="inlineStr">
        <is>
          <t>Referral</t>
        </is>
      </c>
      <c r="D4139" t="inlineStr">
        <is>
          <t>Coding for Kids</t>
        </is>
      </c>
      <c r="E4139" t="inlineStr">
        <is>
          <t>North Region</t>
        </is>
      </c>
      <c r="F4139" t="inlineStr">
        <is>
          <t>Rep_01</t>
        </is>
      </c>
      <c r="G4139" t="n">
        <v>5.67</v>
      </c>
      <c r="H4139" t="inlineStr">
        <is>
          <t>Contacted</t>
        </is>
      </c>
      <c r="I4139" t="inlineStr">
        <is>
          <t>Open</t>
        </is>
      </c>
      <c r="M4139">
        <f>VLOOKUP(H4139,'Stage Order'!$A$2:$B$8,2,FALSE)</f>
        <v/>
      </c>
      <c r="N4139">
        <f>IF(G4139&lt;=1,"1. Under 1 hour",IF(G4139&lt;=24,"2. 1-24 hours",IF(G4139&lt;=72,"3. 1-3 days","4. Over 3 days")))</f>
        <v/>
      </c>
      <c r="O4139">
        <f>TEXT(B4139,"YYYY-MM")</f>
        <v/>
      </c>
    </row>
    <row r="4140">
      <c r="A4140" t="inlineStr">
        <is>
          <t>LD-304138</t>
        </is>
      </c>
      <c r="B4140" t="inlineStr">
        <is>
          <t>2025-10-13 10:07:00</t>
        </is>
      </c>
      <c r="C4140" t="inlineStr">
        <is>
          <t>Cold Outreach</t>
        </is>
      </c>
      <c r="D4140" t="inlineStr">
        <is>
          <t>Competitive Exam Prep</t>
        </is>
      </c>
      <c r="E4140" t="inlineStr">
        <is>
          <t>South Region</t>
        </is>
      </c>
      <c r="F4140" t="inlineStr">
        <is>
          <t>Rep_07</t>
        </is>
      </c>
      <c r="G4140" t="n">
        <v>3.26</v>
      </c>
      <c r="H4140" t="inlineStr">
        <is>
          <t>Demo Scheduled</t>
        </is>
      </c>
      <c r="I4140" t="inlineStr">
        <is>
          <t>Open</t>
        </is>
      </c>
      <c r="M4140">
        <f>VLOOKUP(H4140,'Stage Order'!$A$2:$B$8,2,FALSE)</f>
        <v/>
      </c>
      <c r="N4140">
        <f>IF(G4140&lt;=1,"1. Under 1 hour",IF(G4140&lt;=24,"2. 1-24 hours",IF(G4140&lt;=72,"3. 1-3 days","4. Over 3 days")))</f>
        <v/>
      </c>
      <c r="O4140">
        <f>TEXT(B4140,"YYYY-MM")</f>
        <v/>
      </c>
    </row>
    <row r="4141">
      <c r="A4141" t="inlineStr">
        <is>
          <t>LD-304139</t>
        </is>
      </c>
      <c r="B4141" t="inlineStr">
        <is>
          <t>2026-03-30 19:30:00</t>
        </is>
      </c>
      <c r="C4141" t="inlineStr">
        <is>
          <t>Paid Search</t>
        </is>
      </c>
      <c r="D4141" t="inlineStr">
        <is>
          <t>Competitive Exam Prep</t>
        </is>
      </c>
      <c r="E4141" t="inlineStr">
        <is>
          <t>North Region</t>
        </is>
      </c>
      <c r="F4141" t="inlineStr">
        <is>
          <t>Rep_01</t>
        </is>
      </c>
      <c r="G4141" t="n">
        <v>4.39</v>
      </c>
      <c r="H4141" t="inlineStr">
        <is>
          <t>Lead</t>
        </is>
      </c>
      <c r="I4141" t="inlineStr">
        <is>
          <t>Open</t>
        </is>
      </c>
      <c r="M4141">
        <f>VLOOKUP(H4141,'Stage Order'!$A$2:$B$8,2,FALSE)</f>
        <v/>
      </c>
      <c r="N4141">
        <f>IF(G4141&lt;=1,"1. Under 1 hour",IF(G4141&lt;=24,"2. 1-24 hours",IF(G4141&lt;=72,"3. 1-3 days","4. Over 3 days")))</f>
        <v/>
      </c>
      <c r="O4141">
        <f>TEXT(B4141,"YYYY-MM")</f>
        <v/>
      </c>
    </row>
    <row r="4142">
      <c r="A4142" t="inlineStr">
        <is>
          <t>LD-304140</t>
        </is>
      </c>
      <c r="B4142" t="inlineStr">
        <is>
          <t>2025-04-01 11:40:00</t>
        </is>
      </c>
      <c r="C4142" t="inlineStr">
        <is>
          <t>Referral</t>
        </is>
      </c>
      <c r="D4142" t="inlineStr">
        <is>
          <t>Coding for Kids</t>
        </is>
      </c>
      <c r="E4142" t="inlineStr">
        <is>
          <t>North Region</t>
        </is>
      </c>
      <c r="F4142" t="inlineStr">
        <is>
          <t>Rep_01</t>
        </is>
      </c>
      <c r="G4142" t="n">
        <v>0.98</v>
      </c>
      <c r="H4142" t="inlineStr">
        <is>
          <t>Closed</t>
        </is>
      </c>
      <c r="I4142" t="inlineStr">
        <is>
          <t>Won</t>
        </is>
      </c>
      <c r="K4142" t="n">
        <v>570.35</v>
      </c>
      <c r="L4142" t="inlineStr">
        <is>
          <t>2025-04-30 02:52:46.649414</t>
        </is>
      </c>
      <c r="M4142">
        <f>VLOOKUP(H4142,'Stage Order'!$A$2:$B$8,2,FALSE)</f>
        <v/>
      </c>
      <c r="N4142">
        <f>IF(G4142&lt;=1,"1. Under 1 hour",IF(G4142&lt;=24,"2. 1-24 hours",IF(G4142&lt;=72,"3. 1-3 days","4. Over 3 days")))</f>
        <v/>
      </c>
      <c r="O4142">
        <f>TEXT(B4142,"YYYY-MM")</f>
        <v/>
      </c>
    </row>
    <row r="4143">
      <c r="A4143" t="inlineStr">
        <is>
          <t>LD-304141</t>
        </is>
      </c>
      <c r="B4143" t="inlineStr">
        <is>
          <t>2025-07-18 15:06:00</t>
        </is>
      </c>
      <c r="C4143" t="inlineStr">
        <is>
          <t>Partner Channel</t>
        </is>
      </c>
      <c r="D4143" t="inlineStr">
        <is>
          <t>Competitive Exam Prep</t>
        </is>
      </c>
      <c r="E4143" t="inlineStr">
        <is>
          <t>North Region</t>
        </is>
      </c>
      <c r="F4143" t="inlineStr">
        <is>
          <t>Rep_06</t>
        </is>
      </c>
      <c r="G4143" t="n">
        <v>2.29</v>
      </c>
      <c r="H4143" t="inlineStr">
        <is>
          <t>Lead</t>
        </is>
      </c>
      <c r="I4143" t="inlineStr">
        <is>
          <t>Open</t>
        </is>
      </c>
      <c r="M4143">
        <f>VLOOKUP(H4143,'Stage Order'!$A$2:$B$8,2,FALSE)</f>
        <v/>
      </c>
      <c r="N4143">
        <f>IF(G4143&lt;=1,"1. Under 1 hour",IF(G4143&lt;=24,"2. 1-24 hours",IF(G4143&lt;=72,"3. 1-3 days","4. Over 3 days")))</f>
        <v/>
      </c>
      <c r="O4143">
        <f>TEXT(B4143,"YYYY-MM")</f>
        <v/>
      </c>
    </row>
    <row r="4144">
      <c r="A4144" t="inlineStr">
        <is>
          <t>LD-304142</t>
        </is>
      </c>
      <c r="B4144" t="inlineStr">
        <is>
          <t>2025-08-05 09:48:00</t>
        </is>
      </c>
      <c r="C4144" t="inlineStr">
        <is>
          <t>Webinar</t>
        </is>
      </c>
      <c r="D4144" t="inlineStr">
        <is>
          <t>Language Learning</t>
        </is>
      </c>
      <c r="E4144" t="inlineStr">
        <is>
          <t>North Region</t>
        </is>
      </c>
      <c r="F4144" t="inlineStr">
        <is>
          <t>Rep_11</t>
        </is>
      </c>
      <c r="G4144" t="n">
        <v>3.84</v>
      </c>
      <c r="H4144" t="inlineStr">
        <is>
          <t>Closed</t>
        </is>
      </c>
      <c r="I4144" t="inlineStr">
        <is>
          <t>Won</t>
        </is>
      </c>
      <c r="K4144" t="n">
        <v>356.76</v>
      </c>
      <c r="L4144" t="inlineStr">
        <is>
          <t>2025-09-21 00:40:19.341385</t>
        </is>
      </c>
      <c r="M4144">
        <f>VLOOKUP(H4144,'Stage Order'!$A$2:$B$8,2,FALSE)</f>
        <v/>
      </c>
      <c r="N4144">
        <f>IF(G4144&lt;=1,"1. Under 1 hour",IF(G4144&lt;=24,"2. 1-24 hours",IF(G4144&lt;=72,"3. 1-3 days","4. Over 3 days")))</f>
        <v/>
      </c>
      <c r="O4144">
        <f>TEXT(B4144,"YYYY-MM")</f>
        <v/>
      </c>
    </row>
    <row r="4145">
      <c r="A4145" t="inlineStr">
        <is>
          <t>LD-304143</t>
        </is>
      </c>
      <c r="B4145" t="inlineStr">
        <is>
          <t>2025-09-12 09:43:00</t>
        </is>
      </c>
      <c r="C4145" t="inlineStr">
        <is>
          <t>Social Media</t>
        </is>
      </c>
      <c r="D4145" t="inlineStr">
        <is>
          <t>Coding for Kids</t>
        </is>
      </c>
      <c r="E4145" t="inlineStr">
        <is>
          <t>International</t>
        </is>
      </c>
      <c r="F4145" t="inlineStr">
        <is>
          <t>Rep_05</t>
        </is>
      </c>
      <c r="G4145" t="n">
        <v>1.84</v>
      </c>
      <c r="H4145" t="inlineStr">
        <is>
          <t>Demo Scheduled</t>
        </is>
      </c>
      <c r="I4145" t="inlineStr">
        <is>
          <t>Open</t>
        </is>
      </c>
      <c r="M4145">
        <f>VLOOKUP(H4145,'Stage Order'!$A$2:$B$8,2,FALSE)</f>
        <v/>
      </c>
      <c r="N4145">
        <f>IF(G4145&lt;=1,"1. Under 1 hour",IF(G4145&lt;=24,"2. 1-24 hours",IF(G4145&lt;=72,"3. 1-3 days","4. Over 3 days")))</f>
        <v/>
      </c>
      <c r="O4145">
        <f>TEXT(B4145,"YYYY-MM")</f>
        <v/>
      </c>
    </row>
    <row r="4146">
      <c r="A4146" t="inlineStr">
        <is>
          <t>LD-304144</t>
        </is>
      </c>
      <c r="B4146" t="inlineStr">
        <is>
          <t>2025-10-31 12:17:00</t>
        </is>
      </c>
      <c r="C4146" t="inlineStr">
        <is>
          <t>Paid Search</t>
        </is>
      </c>
      <c r="D4146" t="inlineStr">
        <is>
          <t>Competitive Exam Prep</t>
        </is>
      </c>
      <c r="E4146" t="inlineStr">
        <is>
          <t>International</t>
        </is>
      </c>
      <c r="F4146" t="inlineStr">
        <is>
          <t>Rep_05</t>
        </is>
      </c>
      <c r="G4146" t="n">
        <v>1.84</v>
      </c>
      <c r="H4146" t="inlineStr">
        <is>
          <t>Closed</t>
        </is>
      </c>
      <c r="I4146" t="inlineStr">
        <is>
          <t>Won</t>
        </is>
      </c>
      <c r="K4146" t="n">
        <v>836.29</v>
      </c>
      <c r="L4146" t="inlineStr">
        <is>
          <t>2025-12-18 21:19:19.770694</t>
        </is>
      </c>
      <c r="M4146">
        <f>VLOOKUP(H4146,'Stage Order'!$A$2:$B$8,2,FALSE)</f>
        <v/>
      </c>
      <c r="N4146">
        <f>IF(G4146&lt;=1,"1. Under 1 hour",IF(G4146&lt;=24,"2. 1-24 hours",IF(G4146&lt;=72,"3. 1-3 days","4. Over 3 days")))</f>
        <v/>
      </c>
      <c r="O4146">
        <f>TEXT(B4146,"YYYY-MM")</f>
        <v/>
      </c>
    </row>
    <row r="4147">
      <c r="A4147" t="inlineStr">
        <is>
          <t>LD-304145</t>
        </is>
      </c>
      <c r="B4147" t="inlineStr">
        <is>
          <t>2025-04-02 16:54:00</t>
        </is>
      </c>
      <c r="C4147" t="inlineStr">
        <is>
          <t>Webinar</t>
        </is>
      </c>
      <c r="D4147" t="inlineStr">
        <is>
          <t>Language Learning</t>
        </is>
      </c>
      <c r="E4147" t="inlineStr">
        <is>
          <t>International</t>
        </is>
      </c>
      <c r="F4147" t="inlineStr">
        <is>
          <t>Rep_10</t>
        </is>
      </c>
      <c r="G4147" t="n">
        <v>4.13</v>
      </c>
      <c r="H4147" t="inlineStr">
        <is>
          <t>Closed</t>
        </is>
      </c>
      <c r="I4147" t="inlineStr">
        <is>
          <t>Won</t>
        </is>
      </c>
      <c r="K4147" t="n">
        <v>323.46</v>
      </c>
      <c r="L4147" t="inlineStr">
        <is>
          <t>2025-05-09 22:35:00.213276</t>
        </is>
      </c>
      <c r="M4147">
        <f>VLOOKUP(H4147,'Stage Order'!$A$2:$B$8,2,FALSE)</f>
        <v/>
      </c>
      <c r="N4147">
        <f>IF(G4147&lt;=1,"1. Under 1 hour",IF(G4147&lt;=24,"2. 1-24 hours",IF(G4147&lt;=72,"3. 1-3 days","4. Over 3 days")))</f>
        <v/>
      </c>
      <c r="O4147">
        <f>TEXT(B4147,"YYYY-MM")</f>
        <v/>
      </c>
    </row>
    <row r="4148">
      <c r="A4148" t="inlineStr">
        <is>
          <t>LD-304146</t>
        </is>
      </c>
      <c r="B4148" t="inlineStr">
        <is>
          <t>2025-12-15 15:42:00</t>
        </is>
      </c>
      <c r="C4148" t="inlineStr">
        <is>
          <t>Organic Search</t>
        </is>
      </c>
      <c r="D4148" t="inlineStr">
        <is>
          <t>K-12 Math</t>
        </is>
      </c>
      <c r="E4148" t="inlineStr">
        <is>
          <t>International</t>
        </is>
      </c>
      <c r="F4148" t="inlineStr">
        <is>
          <t>Rep_15</t>
        </is>
      </c>
      <c r="G4148" t="n">
        <v>3.59</v>
      </c>
      <c r="H4148" t="inlineStr">
        <is>
          <t>Contacted</t>
        </is>
      </c>
      <c r="I4148" t="inlineStr">
        <is>
          <t>Open</t>
        </is>
      </c>
      <c r="M4148">
        <f>VLOOKUP(H4148,'Stage Order'!$A$2:$B$8,2,FALSE)</f>
        <v/>
      </c>
      <c r="N4148">
        <f>IF(G4148&lt;=1,"1. Under 1 hour",IF(G4148&lt;=24,"2. 1-24 hours",IF(G4148&lt;=72,"3. 1-3 days","4. Over 3 days")))</f>
        <v/>
      </c>
      <c r="O4148">
        <f>TEXT(B4148,"YYYY-MM")</f>
        <v/>
      </c>
    </row>
    <row r="4149">
      <c r="A4149" t="inlineStr">
        <is>
          <t>LD-304147</t>
        </is>
      </c>
      <c r="B4149" t="inlineStr">
        <is>
          <t>2026-04-23 11:36:00</t>
        </is>
      </c>
      <c r="C4149" t="inlineStr">
        <is>
          <t>Webinar</t>
        </is>
      </c>
      <c r="D4149" t="inlineStr">
        <is>
          <t>Competitive Exam Prep</t>
        </is>
      </c>
      <c r="E4149" t="inlineStr">
        <is>
          <t>North Region</t>
        </is>
      </c>
      <c r="F4149" t="inlineStr">
        <is>
          <t>Rep_06</t>
        </is>
      </c>
      <c r="G4149" t="n">
        <v>1.05</v>
      </c>
      <c r="H4149" t="inlineStr">
        <is>
          <t>Contacted</t>
        </is>
      </c>
      <c r="I4149" t="inlineStr">
        <is>
          <t>Open</t>
        </is>
      </c>
      <c r="M4149">
        <f>VLOOKUP(H4149,'Stage Order'!$A$2:$B$8,2,FALSE)</f>
        <v/>
      </c>
      <c r="N4149">
        <f>IF(G4149&lt;=1,"1. Under 1 hour",IF(G4149&lt;=24,"2. 1-24 hours",IF(G4149&lt;=72,"3. 1-3 days","4. Over 3 days")))</f>
        <v/>
      </c>
      <c r="O4149">
        <f>TEXT(B4149,"YYYY-MM")</f>
        <v/>
      </c>
    </row>
    <row r="4150">
      <c r="A4150" t="inlineStr">
        <is>
          <t>LD-304148</t>
        </is>
      </c>
      <c r="B4150" t="inlineStr">
        <is>
          <t>2026-06-11 07:56:00</t>
        </is>
      </c>
      <c r="C4150" t="inlineStr">
        <is>
          <t>Webinar</t>
        </is>
      </c>
      <c r="D4150" t="inlineStr">
        <is>
          <t>K-12 Math</t>
        </is>
      </c>
      <c r="E4150" t="inlineStr">
        <is>
          <t>East Region</t>
        </is>
      </c>
      <c r="F4150" t="inlineStr">
        <is>
          <t>Rep_14</t>
        </is>
      </c>
      <c r="G4150" t="n">
        <v>0.95</v>
      </c>
      <c r="H4150" t="inlineStr">
        <is>
          <t>Contacted</t>
        </is>
      </c>
      <c r="I4150" t="inlineStr">
        <is>
          <t>Open</t>
        </is>
      </c>
      <c r="M4150">
        <f>VLOOKUP(H4150,'Stage Order'!$A$2:$B$8,2,FALSE)</f>
        <v/>
      </c>
      <c r="N4150">
        <f>IF(G4150&lt;=1,"1. Under 1 hour",IF(G4150&lt;=24,"2. 1-24 hours",IF(G4150&lt;=72,"3. 1-3 days","4. Over 3 days")))</f>
        <v/>
      </c>
      <c r="O4150">
        <f>TEXT(B4150,"YYYY-MM")</f>
        <v/>
      </c>
    </row>
    <row r="4151">
      <c r="A4151" t="inlineStr">
        <is>
          <t>LD-304149</t>
        </is>
      </c>
      <c r="B4151" t="inlineStr">
        <is>
          <t>2025-12-24 20:29:00</t>
        </is>
      </c>
      <c r="C4151" t="inlineStr">
        <is>
          <t>Organic Search</t>
        </is>
      </c>
      <c r="D4151" t="inlineStr">
        <is>
          <t>Study Abroad Prep</t>
        </is>
      </c>
      <c r="E4151" t="inlineStr">
        <is>
          <t>South Region</t>
        </is>
      </c>
      <c r="F4151" t="inlineStr">
        <is>
          <t>Rep_12</t>
        </is>
      </c>
      <c r="G4151" t="n">
        <v>6.13</v>
      </c>
      <c r="H4151" t="inlineStr">
        <is>
          <t>Contacted</t>
        </is>
      </c>
      <c r="I4151" t="inlineStr">
        <is>
          <t>Open</t>
        </is>
      </c>
      <c r="M4151">
        <f>VLOOKUP(H4151,'Stage Order'!$A$2:$B$8,2,FALSE)</f>
        <v/>
      </c>
      <c r="N4151">
        <f>IF(G4151&lt;=1,"1. Under 1 hour",IF(G4151&lt;=24,"2. 1-24 hours",IF(G4151&lt;=72,"3. 1-3 days","4. Over 3 days")))</f>
        <v/>
      </c>
      <c r="O4151">
        <f>TEXT(B4151,"YYYY-MM")</f>
        <v/>
      </c>
    </row>
    <row r="4152">
      <c r="A4152" t="inlineStr">
        <is>
          <t>LD-304150</t>
        </is>
      </c>
      <c r="B4152" t="inlineStr">
        <is>
          <t>2025-03-27 12:13:00</t>
        </is>
      </c>
      <c r="C4152" t="inlineStr">
        <is>
          <t>Cold Outreach</t>
        </is>
      </c>
      <c r="D4152" t="inlineStr">
        <is>
          <t>Study Abroad Prep</t>
        </is>
      </c>
      <c r="E4152" t="inlineStr">
        <is>
          <t>South Region</t>
        </is>
      </c>
      <c r="F4152" t="inlineStr">
        <is>
          <t>Rep_12</t>
        </is>
      </c>
      <c r="G4152" t="n">
        <v>9.630000000000001</v>
      </c>
      <c r="H4152" t="inlineStr">
        <is>
          <t>Lead</t>
        </is>
      </c>
      <c r="I4152" t="inlineStr">
        <is>
          <t>Open</t>
        </is>
      </c>
      <c r="M4152">
        <f>VLOOKUP(H4152,'Stage Order'!$A$2:$B$8,2,FALSE)</f>
        <v/>
      </c>
      <c r="N4152">
        <f>IF(G4152&lt;=1,"1. Under 1 hour",IF(G4152&lt;=24,"2. 1-24 hours",IF(G4152&lt;=72,"3. 1-3 days","4. Over 3 days")))</f>
        <v/>
      </c>
      <c r="O4152">
        <f>TEXT(B4152,"YYYY-MM")</f>
        <v/>
      </c>
    </row>
    <row r="4153">
      <c r="A4153" t="inlineStr">
        <is>
          <t>LD-304151</t>
        </is>
      </c>
      <c r="B4153" t="inlineStr">
        <is>
          <t>2026-03-30 08:55:00</t>
        </is>
      </c>
      <c r="C4153" t="inlineStr">
        <is>
          <t>Cold Outreach</t>
        </is>
      </c>
      <c r="D4153" t="inlineStr">
        <is>
          <t>Language Learning</t>
        </is>
      </c>
      <c r="E4153" t="inlineStr">
        <is>
          <t>West Region</t>
        </is>
      </c>
      <c r="F4153" t="inlineStr">
        <is>
          <t>Rep_13</t>
        </is>
      </c>
      <c r="G4153" t="n">
        <v>2.85</v>
      </c>
      <c r="H4153" t="inlineStr">
        <is>
          <t>Contacted</t>
        </is>
      </c>
      <c r="I4153" t="inlineStr">
        <is>
          <t>Open</t>
        </is>
      </c>
      <c r="M4153">
        <f>VLOOKUP(H4153,'Stage Order'!$A$2:$B$8,2,FALSE)</f>
        <v/>
      </c>
      <c r="N4153">
        <f>IF(G4153&lt;=1,"1. Under 1 hour",IF(G4153&lt;=24,"2. 1-24 hours",IF(G4153&lt;=72,"3. 1-3 days","4. Over 3 days")))</f>
        <v/>
      </c>
      <c r="O4153">
        <f>TEXT(B4153,"YYYY-MM")</f>
        <v/>
      </c>
    </row>
    <row r="4154">
      <c r="A4154" t="inlineStr">
        <is>
          <t>LD-304152</t>
        </is>
      </c>
      <c r="B4154" t="inlineStr">
        <is>
          <t>2025-09-29 18:01:00</t>
        </is>
      </c>
      <c r="C4154" t="inlineStr">
        <is>
          <t>Referral</t>
        </is>
      </c>
      <c r="D4154" t="inlineStr">
        <is>
          <t>K-12 Math</t>
        </is>
      </c>
      <c r="E4154" t="inlineStr">
        <is>
          <t>International</t>
        </is>
      </c>
      <c r="F4154" t="inlineStr">
        <is>
          <t>Rep_05</t>
        </is>
      </c>
      <c r="G4154" t="n">
        <v>3.71</v>
      </c>
      <c r="H4154" t="inlineStr">
        <is>
          <t>Negotiation</t>
        </is>
      </c>
      <c r="I4154" t="inlineStr">
        <is>
          <t>Lost</t>
        </is>
      </c>
      <c r="J4154" t="inlineStr">
        <is>
          <t>Budget Not Approved</t>
        </is>
      </c>
      <c r="K4154" t="n">
        <v>421.85</v>
      </c>
      <c r="L4154" t="inlineStr">
        <is>
          <t>2025-11-26 10:42:27.718837</t>
        </is>
      </c>
      <c r="M4154">
        <f>VLOOKUP(H4154,'Stage Order'!$A$2:$B$8,2,FALSE)</f>
        <v/>
      </c>
      <c r="N4154">
        <f>IF(G4154&lt;=1,"1. Under 1 hour",IF(G4154&lt;=24,"2. 1-24 hours",IF(G4154&lt;=72,"3. 1-3 days","4. Over 3 days")))</f>
        <v/>
      </c>
      <c r="O4154">
        <f>TEXT(B4154,"YYYY-MM")</f>
        <v/>
      </c>
    </row>
    <row r="4155">
      <c r="A4155" t="inlineStr">
        <is>
          <t>LD-304153</t>
        </is>
      </c>
      <c r="B4155" t="inlineStr">
        <is>
          <t>2025-05-07 15:22:00</t>
        </is>
      </c>
      <c r="C4155" t="inlineStr">
        <is>
          <t>Organic Search</t>
        </is>
      </c>
      <c r="D4155" t="inlineStr">
        <is>
          <t>K-12 Math</t>
        </is>
      </c>
      <c r="E4155" t="inlineStr">
        <is>
          <t>International</t>
        </is>
      </c>
      <c r="F4155" t="inlineStr">
        <is>
          <t>Rep_05</t>
        </is>
      </c>
      <c r="G4155" t="n">
        <v>2.19</v>
      </c>
      <c r="H4155" t="inlineStr">
        <is>
          <t>Demo Completed</t>
        </is>
      </c>
      <c r="I4155" t="inlineStr">
        <is>
          <t>Lost</t>
        </is>
      </c>
      <c r="J4155" t="inlineStr">
        <is>
          <t>Went With Competitor</t>
        </is>
      </c>
      <c r="K4155" t="n">
        <v>558.27</v>
      </c>
      <c r="L4155" t="inlineStr">
        <is>
          <t>2025-05-30 10:08:52.154555</t>
        </is>
      </c>
      <c r="M4155">
        <f>VLOOKUP(H4155,'Stage Order'!$A$2:$B$8,2,FALSE)</f>
        <v/>
      </c>
      <c r="N4155">
        <f>IF(G4155&lt;=1,"1. Under 1 hour",IF(G4155&lt;=24,"2. 1-24 hours",IF(G4155&lt;=72,"3. 1-3 days","4. Over 3 days")))</f>
        <v/>
      </c>
      <c r="O4155">
        <f>TEXT(B4155,"YYYY-MM")</f>
        <v/>
      </c>
    </row>
    <row r="4156">
      <c r="A4156" t="inlineStr">
        <is>
          <t>LD-304154</t>
        </is>
      </c>
      <c r="B4156" t="inlineStr">
        <is>
          <t>2025-03-18 09:41:00</t>
        </is>
      </c>
      <c r="C4156" t="inlineStr">
        <is>
          <t>Referral</t>
        </is>
      </c>
      <c r="D4156" t="inlineStr">
        <is>
          <t>Study Abroad Prep</t>
        </is>
      </c>
      <c r="E4156" t="inlineStr">
        <is>
          <t>West Region</t>
        </is>
      </c>
      <c r="F4156" t="inlineStr">
        <is>
          <t>Rep_03</t>
        </is>
      </c>
      <c r="G4156" t="n">
        <v>1.03</v>
      </c>
      <c r="H4156" t="inlineStr">
        <is>
          <t>Contacted</t>
        </is>
      </c>
      <c r="I4156" t="inlineStr">
        <is>
          <t>Open</t>
        </is>
      </c>
      <c r="M4156">
        <f>VLOOKUP(H4156,'Stage Order'!$A$2:$B$8,2,FALSE)</f>
        <v/>
      </c>
      <c r="N4156">
        <f>IF(G4156&lt;=1,"1. Under 1 hour",IF(G4156&lt;=24,"2. 1-24 hours",IF(G4156&lt;=72,"3. 1-3 days","4. Over 3 days")))</f>
        <v/>
      </c>
      <c r="O4156">
        <f>TEXT(B4156,"YYYY-MM")</f>
        <v/>
      </c>
    </row>
    <row r="4157">
      <c r="A4157" t="inlineStr">
        <is>
          <t>LD-304155</t>
        </is>
      </c>
      <c r="B4157" t="inlineStr">
        <is>
          <t>2026-03-06 10:13:00</t>
        </is>
      </c>
      <c r="C4157" t="inlineStr">
        <is>
          <t>Organic Search</t>
        </is>
      </c>
      <c r="D4157" t="inlineStr">
        <is>
          <t>Competitive Exam Prep</t>
        </is>
      </c>
      <c r="E4157" t="inlineStr">
        <is>
          <t>South Region</t>
        </is>
      </c>
      <c r="F4157" t="inlineStr">
        <is>
          <t>Rep_07</t>
        </is>
      </c>
      <c r="G4157" t="n">
        <v>11.6</v>
      </c>
      <c r="H4157" t="inlineStr">
        <is>
          <t>Negotiation</t>
        </is>
      </c>
      <c r="I4157" t="inlineStr">
        <is>
          <t>Lost</t>
        </is>
      </c>
      <c r="J4157" t="inlineStr">
        <is>
          <t>Price Objection</t>
        </is>
      </c>
      <c r="K4157" t="n">
        <v>895.02</v>
      </c>
      <c r="L4157" t="inlineStr">
        <is>
          <t>2026-04-28 18:53:22.846583</t>
        </is>
      </c>
      <c r="M4157">
        <f>VLOOKUP(H4157,'Stage Order'!$A$2:$B$8,2,FALSE)</f>
        <v/>
      </c>
      <c r="N4157">
        <f>IF(G4157&lt;=1,"1. Under 1 hour",IF(G4157&lt;=24,"2. 1-24 hours",IF(G4157&lt;=72,"3. 1-3 days","4. Over 3 days")))</f>
        <v/>
      </c>
      <c r="O4157">
        <f>TEXT(B4157,"YYYY-MM")</f>
        <v/>
      </c>
    </row>
    <row r="4158">
      <c r="A4158" t="inlineStr">
        <is>
          <t>LD-304156</t>
        </is>
      </c>
      <c r="B4158" t="inlineStr">
        <is>
          <t>2025-06-09 19:39:00</t>
        </is>
      </c>
      <c r="C4158" t="inlineStr">
        <is>
          <t>Webinar</t>
        </is>
      </c>
      <c r="D4158" t="inlineStr">
        <is>
          <t>Competitive Exam Prep</t>
        </is>
      </c>
      <c r="E4158" t="inlineStr">
        <is>
          <t>East Region</t>
        </is>
      </c>
      <c r="F4158" t="inlineStr">
        <is>
          <t>Rep_04</t>
        </is>
      </c>
      <c r="G4158" t="n">
        <v>2.88</v>
      </c>
      <c r="H4158" t="inlineStr">
        <is>
          <t>Negotiation</t>
        </is>
      </c>
      <c r="I4158" t="inlineStr">
        <is>
          <t>Lost</t>
        </is>
      </c>
      <c r="J4158" t="inlineStr">
        <is>
          <t>Budget Not Approved</t>
        </is>
      </c>
      <c r="K4158" t="n">
        <v>1073.26</v>
      </c>
      <c r="L4158" t="inlineStr">
        <is>
          <t>2025-07-15 19:27:15.162467</t>
        </is>
      </c>
      <c r="M4158">
        <f>VLOOKUP(H4158,'Stage Order'!$A$2:$B$8,2,FALSE)</f>
        <v/>
      </c>
      <c r="N4158">
        <f>IF(G4158&lt;=1,"1. Under 1 hour",IF(G4158&lt;=24,"2. 1-24 hours",IF(G4158&lt;=72,"3. 1-3 days","4. Over 3 days")))</f>
        <v/>
      </c>
      <c r="O4158">
        <f>TEXT(B4158,"YYYY-MM")</f>
        <v/>
      </c>
    </row>
    <row r="4159">
      <c r="A4159" t="inlineStr">
        <is>
          <t>LD-304157</t>
        </is>
      </c>
      <c r="B4159" t="inlineStr">
        <is>
          <t>2025-05-29 17:07:00</t>
        </is>
      </c>
      <c r="C4159" t="inlineStr">
        <is>
          <t>Webinar</t>
        </is>
      </c>
      <c r="D4159" t="inlineStr">
        <is>
          <t>K-12 Math</t>
        </is>
      </c>
      <c r="E4159" t="inlineStr">
        <is>
          <t>North Region</t>
        </is>
      </c>
      <c r="F4159" t="inlineStr">
        <is>
          <t>Rep_06</t>
        </is>
      </c>
      <c r="G4159" t="n">
        <v>2.38</v>
      </c>
      <c r="H4159" t="inlineStr">
        <is>
          <t>Contacted</t>
        </is>
      </c>
      <c r="I4159" t="inlineStr">
        <is>
          <t>Open</t>
        </is>
      </c>
      <c r="M4159">
        <f>VLOOKUP(H4159,'Stage Order'!$A$2:$B$8,2,FALSE)</f>
        <v/>
      </c>
      <c r="N4159">
        <f>IF(G4159&lt;=1,"1. Under 1 hour",IF(G4159&lt;=24,"2. 1-24 hours",IF(G4159&lt;=72,"3. 1-3 days","4. Over 3 days")))</f>
        <v/>
      </c>
      <c r="O4159">
        <f>TEXT(B4159,"YYYY-MM")</f>
        <v/>
      </c>
    </row>
    <row r="4160">
      <c r="A4160" t="inlineStr">
        <is>
          <t>LD-304158</t>
        </is>
      </c>
      <c r="B4160" t="inlineStr">
        <is>
          <t>2025-07-23 15:58:00</t>
        </is>
      </c>
      <c r="C4160" t="inlineStr">
        <is>
          <t>Partner Channel</t>
        </is>
      </c>
      <c r="D4160" t="inlineStr">
        <is>
          <t>Language Learning</t>
        </is>
      </c>
      <c r="E4160" t="inlineStr">
        <is>
          <t>South Region</t>
        </is>
      </c>
      <c r="F4160" t="inlineStr">
        <is>
          <t>Rep_12</t>
        </is>
      </c>
      <c r="G4160" t="n">
        <v>0.38</v>
      </c>
      <c r="H4160" t="inlineStr">
        <is>
          <t>Contacted</t>
        </is>
      </c>
      <c r="I4160" t="inlineStr">
        <is>
          <t>Open</t>
        </is>
      </c>
      <c r="M4160">
        <f>VLOOKUP(H4160,'Stage Order'!$A$2:$B$8,2,FALSE)</f>
        <v/>
      </c>
      <c r="N4160">
        <f>IF(G4160&lt;=1,"1. Under 1 hour",IF(G4160&lt;=24,"2. 1-24 hours",IF(G4160&lt;=72,"3. 1-3 days","4. Over 3 days")))</f>
        <v/>
      </c>
      <c r="O4160">
        <f>TEXT(B4160,"YYYY-MM")</f>
        <v/>
      </c>
    </row>
    <row r="4161">
      <c r="A4161" t="inlineStr">
        <is>
          <t>LD-304159</t>
        </is>
      </c>
      <c r="B4161" t="inlineStr">
        <is>
          <t>2026-01-26 11:52:00</t>
        </is>
      </c>
      <c r="C4161" t="inlineStr">
        <is>
          <t>Partner Channel</t>
        </is>
      </c>
      <c r="D4161" t="inlineStr">
        <is>
          <t>K-12 Math</t>
        </is>
      </c>
      <c r="E4161" t="inlineStr">
        <is>
          <t>North Region</t>
        </is>
      </c>
      <c r="F4161" t="inlineStr">
        <is>
          <t>Rep_01</t>
        </is>
      </c>
      <c r="G4161" t="n">
        <v>4.84</v>
      </c>
      <c r="H4161" t="inlineStr">
        <is>
          <t>Contacted</t>
        </is>
      </c>
      <c r="I4161" t="inlineStr">
        <is>
          <t>Open</t>
        </is>
      </c>
      <c r="M4161">
        <f>VLOOKUP(H4161,'Stage Order'!$A$2:$B$8,2,FALSE)</f>
        <v/>
      </c>
      <c r="N4161">
        <f>IF(G4161&lt;=1,"1. Under 1 hour",IF(G4161&lt;=24,"2. 1-24 hours",IF(G4161&lt;=72,"3. 1-3 days","4. Over 3 days")))</f>
        <v/>
      </c>
      <c r="O4161">
        <f>TEXT(B4161,"YYYY-MM")</f>
        <v/>
      </c>
    </row>
    <row r="4162">
      <c r="A4162" t="inlineStr">
        <is>
          <t>LD-304160</t>
        </is>
      </c>
      <c r="B4162" t="inlineStr">
        <is>
          <t>2026-03-20 18:57:00</t>
        </is>
      </c>
      <c r="C4162" t="inlineStr">
        <is>
          <t>Paid Search</t>
        </is>
      </c>
      <c r="D4162" t="inlineStr">
        <is>
          <t>Competitive Exam Prep</t>
        </is>
      </c>
      <c r="E4162" t="inlineStr">
        <is>
          <t>East Region</t>
        </is>
      </c>
      <c r="F4162" t="inlineStr">
        <is>
          <t>Rep_14</t>
        </is>
      </c>
      <c r="G4162" t="n">
        <v>1.98</v>
      </c>
      <c r="H4162" t="inlineStr">
        <is>
          <t>Contacted</t>
        </is>
      </c>
      <c r="I4162" t="inlineStr">
        <is>
          <t>Open</t>
        </is>
      </c>
      <c r="M4162">
        <f>VLOOKUP(H4162,'Stage Order'!$A$2:$B$8,2,FALSE)</f>
        <v/>
      </c>
      <c r="N4162">
        <f>IF(G4162&lt;=1,"1. Under 1 hour",IF(G4162&lt;=24,"2. 1-24 hours",IF(G4162&lt;=72,"3. 1-3 days","4. Over 3 days")))</f>
        <v/>
      </c>
      <c r="O4162">
        <f>TEXT(B4162,"YYYY-MM")</f>
        <v/>
      </c>
    </row>
    <row r="4163">
      <c r="A4163" t="inlineStr">
        <is>
          <t>LD-304161</t>
        </is>
      </c>
      <c r="B4163" t="inlineStr">
        <is>
          <t>2025-04-11 14:42:00</t>
        </is>
      </c>
      <c r="C4163" t="inlineStr">
        <is>
          <t>Social Media</t>
        </is>
      </c>
      <c r="D4163" t="inlineStr">
        <is>
          <t>K-12 Math</t>
        </is>
      </c>
      <c r="E4163" t="inlineStr">
        <is>
          <t>East Region</t>
        </is>
      </c>
      <c r="F4163" t="inlineStr">
        <is>
          <t>Rep_04</t>
        </is>
      </c>
      <c r="G4163" t="n">
        <v>9.19</v>
      </c>
      <c r="H4163" t="inlineStr">
        <is>
          <t>Demo Completed</t>
        </is>
      </c>
      <c r="I4163" t="inlineStr">
        <is>
          <t>Lost</t>
        </is>
      </c>
      <c r="J4163" t="inlineStr">
        <is>
          <t>No Response / Ghosted</t>
        </is>
      </c>
      <c r="K4163" t="n">
        <v>502.25</v>
      </c>
      <c r="L4163" t="inlineStr">
        <is>
          <t>2025-05-03 02:58:17.421683</t>
        </is>
      </c>
      <c r="M4163">
        <f>VLOOKUP(H4163,'Stage Order'!$A$2:$B$8,2,FALSE)</f>
        <v/>
      </c>
      <c r="N4163">
        <f>IF(G4163&lt;=1,"1. Under 1 hour",IF(G4163&lt;=24,"2. 1-24 hours",IF(G4163&lt;=72,"3. 1-3 days","4. Over 3 days")))</f>
        <v/>
      </c>
      <c r="O4163">
        <f>TEXT(B4163,"YYYY-MM")</f>
        <v/>
      </c>
    </row>
    <row r="4164">
      <c r="A4164" t="inlineStr">
        <is>
          <t>LD-304162</t>
        </is>
      </c>
      <c r="B4164" t="inlineStr">
        <is>
          <t>2025-11-28 13:39:00</t>
        </is>
      </c>
      <c r="C4164" t="inlineStr">
        <is>
          <t>Referral</t>
        </is>
      </c>
      <c r="D4164" t="inlineStr">
        <is>
          <t>Study Abroad Prep</t>
        </is>
      </c>
      <c r="E4164" t="inlineStr">
        <is>
          <t>South Region</t>
        </is>
      </c>
      <c r="F4164" t="inlineStr">
        <is>
          <t>Rep_02</t>
        </is>
      </c>
      <c r="G4164" t="n">
        <v>4.63</v>
      </c>
      <c r="H4164" t="inlineStr">
        <is>
          <t>Negotiation</t>
        </is>
      </c>
      <c r="I4164" t="inlineStr">
        <is>
          <t>Lost</t>
        </is>
      </c>
      <c r="J4164" t="inlineStr">
        <is>
          <t>No Response / Ghosted</t>
        </is>
      </c>
      <c r="K4164" t="n">
        <v>1237.31</v>
      </c>
      <c r="L4164" t="inlineStr">
        <is>
          <t>2025-12-31 04:58:38.255447</t>
        </is>
      </c>
      <c r="M4164">
        <f>VLOOKUP(H4164,'Stage Order'!$A$2:$B$8,2,FALSE)</f>
        <v/>
      </c>
      <c r="N4164">
        <f>IF(G4164&lt;=1,"1. Under 1 hour",IF(G4164&lt;=24,"2. 1-24 hours",IF(G4164&lt;=72,"3. 1-3 days","4. Over 3 days")))</f>
        <v/>
      </c>
      <c r="O4164">
        <f>TEXT(B4164,"YYYY-MM")</f>
        <v/>
      </c>
    </row>
    <row r="4165">
      <c r="A4165" t="inlineStr">
        <is>
          <t>LD-304163</t>
        </is>
      </c>
      <c r="B4165" t="inlineStr">
        <is>
          <t>2025-09-22 15:24:00</t>
        </is>
      </c>
      <c r="C4165" t="inlineStr">
        <is>
          <t>Organic Search</t>
        </is>
      </c>
      <c r="D4165" t="inlineStr">
        <is>
          <t>K-12 Math</t>
        </is>
      </c>
      <c r="E4165" t="inlineStr">
        <is>
          <t>West Region</t>
        </is>
      </c>
      <c r="F4165" t="inlineStr">
        <is>
          <t>Rep_13</t>
        </is>
      </c>
      <c r="G4165" t="n">
        <v>2.88</v>
      </c>
      <c r="H4165" t="inlineStr">
        <is>
          <t>Lead</t>
        </is>
      </c>
      <c r="I4165" t="inlineStr">
        <is>
          <t>Open</t>
        </is>
      </c>
      <c r="M4165">
        <f>VLOOKUP(H4165,'Stage Order'!$A$2:$B$8,2,FALSE)</f>
        <v/>
      </c>
      <c r="N4165">
        <f>IF(G4165&lt;=1,"1. Under 1 hour",IF(G4165&lt;=24,"2. 1-24 hours",IF(G4165&lt;=72,"3. 1-3 days","4. Over 3 days")))</f>
        <v/>
      </c>
      <c r="O4165">
        <f>TEXT(B4165,"YYYY-MM")</f>
        <v/>
      </c>
    </row>
    <row r="4166">
      <c r="A4166" t="inlineStr">
        <is>
          <t>LD-304164</t>
        </is>
      </c>
      <c r="B4166" t="inlineStr">
        <is>
          <t>2025-06-30 12:14:00</t>
        </is>
      </c>
      <c r="C4166" t="inlineStr">
        <is>
          <t>Organic Search</t>
        </is>
      </c>
      <c r="D4166" t="inlineStr">
        <is>
          <t>Language Learning</t>
        </is>
      </c>
      <c r="E4166" t="inlineStr">
        <is>
          <t>South Region</t>
        </is>
      </c>
      <c r="F4166" t="inlineStr">
        <is>
          <t>Rep_02</t>
        </is>
      </c>
      <c r="G4166" t="n">
        <v>6.2</v>
      </c>
      <c r="H4166" t="inlineStr">
        <is>
          <t>Contacted</t>
        </is>
      </c>
      <c r="I4166" t="inlineStr">
        <is>
          <t>Open</t>
        </is>
      </c>
      <c r="M4166">
        <f>VLOOKUP(H4166,'Stage Order'!$A$2:$B$8,2,FALSE)</f>
        <v/>
      </c>
      <c r="N4166">
        <f>IF(G4166&lt;=1,"1. Under 1 hour",IF(G4166&lt;=24,"2. 1-24 hours",IF(G4166&lt;=72,"3. 1-3 days","4. Over 3 days")))</f>
        <v/>
      </c>
      <c r="O4166">
        <f>TEXT(B4166,"YYYY-MM")</f>
        <v/>
      </c>
    </row>
    <row r="4167">
      <c r="A4167" t="inlineStr">
        <is>
          <t>LD-304165</t>
        </is>
      </c>
      <c r="B4167" t="inlineStr">
        <is>
          <t>2025-03-14 20:23:00</t>
        </is>
      </c>
      <c r="C4167" t="inlineStr">
        <is>
          <t>Paid Search</t>
        </is>
      </c>
      <c r="D4167" t="inlineStr">
        <is>
          <t>Coding for Kids</t>
        </is>
      </c>
      <c r="E4167" t="inlineStr">
        <is>
          <t>South Region</t>
        </is>
      </c>
      <c r="F4167" t="inlineStr">
        <is>
          <t>Rep_07</t>
        </is>
      </c>
      <c r="G4167" t="n">
        <v>5.49</v>
      </c>
      <c r="H4167" t="inlineStr">
        <is>
          <t>Contacted</t>
        </is>
      </c>
      <c r="I4167" t="inlineStr">
        <is>
          <t>Open</t>
        </is>
      </c>
      <c r="M4167">
        <f>VLOOKUP(H4167,'Stage Order'!$A$2:$B$8,2,FALSE)</f>
        <v/>
      </c>
      <c r="N4167">
        <f>IF(G4167&lt;=1,"1. Under 1 hour",IF(G4167&lt;=24,"2. 1-24 hours",IF(G4167&lt;=72,"3. 1-3 days","4. Over 3 days")))</f>
        <v/>
      </c>
      <c r="O4167">
        <f>TEXT(B4167,"YYYY-MM")</f>
        <v/>
      </c>
    </row>
    <row r="4168">
      <c r="A4168" t="inlineStr">
        <is>
          <t>LD-304166</t>
        </is>
      </c>
      <c r="B4168" t="inlineStr">
        <is>
          <t>2025-08-26 18:37:00</t>
        </is>
      </c>
      <c r="C4168" t="inlineStr">
        <is>
          <t>Social Media</t>
        </is>
      </c>
      <c r="D4168" t="inlineStr">
        <is>
          <t>K-12 Math</t>
        </is>
      </c>
      <c r="E4168" t="inlineStr">
        <is>
          <t>International</t>
        </is>
      </c>
      <c r="F4168" t="inlineStr">
        <is>
          <t>Rep_15</t>
        </is>
      </c>
      <c r="G4168" t="n">
        <v>2.31</v>
      </c>
      <c r="H4168" t="inlineStr">
        <is>
          <t>Lead</t>
        </is>
      </c>
      <c r="I4168" t="inlineStr">
        <is>
          <t>Open</t>
        </is>
      </c>
      <c r="M4168">
        <f>VLOOKUP(H4168,'Stage Order'!$A$2:$B$8,2,FALSE)</f>
        <v/>
      </c>
      <c r="N4168">
        <f>IF(G4168&lt;=1,"1. Under 1 hour",IF(G4168&lt;=24,"2. 1-24 hours",IF(G4168&lt;=72,"3. 1-3 days","4. Over 3 days")))</f>
        <v/>
      </c>
      <c r="O4168">
        <f>TEXT(B4168,"YYYY-MM")</f>
        <v/>
      </c>
    </row>
    <row r="4169">
      <c r="A4169" t="inlineStr">
        <is>
          <t>LD-304167</t>
        </is>
      </c>
      <c r="B4169" t="inlineStr">
        <is>
          <t>2025-08-03 13:03:00</t>
        </is>
      </c>
      <c r="C4169" t="inlineStr">
        <is>
          <t>Partner Channel</t>
        </is>
      </c>
      <c r="D4169" t="inlineStr">
        <is>
          <t>Coding for Kids</t>
        </is>
      </c>
      <c r="E4169" t="inlineStr">
        <is>
          <t>North Region</t>
        </is>
      </c>
      <c r="F4169" t="inlineStr">
        <is>
          <t>Rep_11</t>
        </is>
      </c>
      <c r="G4169" t="n">
        <v>1.6</v>
      </c>
      <c r="H4169" t="inlineStr">
        <is>
          <t>Contacted</t>
        </is>
      </c>
      <c r="I4169" t="inlineStr">
        <is>
          <t>Open</t>
        </is>
      </c>
      <c r="M4169">
        <f>VLOOKUP(H4169,'Stage Order'!$A$2:$B$8,2,FALSE)</f>
        <v/>
      </c>
      <c r="N4169">
        <f>IF(G4169&lt;=1,"1. Under 1 hour",IF(G4169&lt;=24,"2. 1-24 hours",IF(G4169&lt;=72,"3. 1-3 days","4. Over 3 days")))</f>
        <v/>
      </c>
      <c r="O4169">
        <f>TEXT(B4169,"YYYY-MM")</f>
        <v/>
      </c>
    </row>
    <row r="4170">
      <c r="A4170" t="inlineStr">
        <is>
          <t>LD-304168</t>
        </is>
      </c>
      <c r="B4170" t="inlineStr">
        <is>
          <t>2025-10-16 15:11:00</t>
        </is>
      </c>
      <c r="C4170" t="inlineStr">
        <is>
          <t>Organic Search</t>
        </is>
      </c>
      <c r="D4170" t="inlineStr">
        <is>
          <t>Study Abroad Prep</t>
        </is>
      </c>
      <c r="E4170" t="inlineStr">
        <is>
          <t>East Region</t>
        </is>
      </c>
      <c r="F4170" t="inlineStr">
        <is>
          <t>Rep_04</t>
        </is>
      </c>
      <c r="G4170" t="n">
        <v>5.89</v>
      </c>
      <c r="H4170" t="inlineStr">
        <is>
          <t>Contacted</t>
        </is>
      </c>
      <c r="I4170" t="inlineStr">
        <is>
          <t>Open</t>
        </is>
      </c>
      <c r="M4170">
        <f>VLOOKUP(H4170,'Stage Order'!$A$2:$B$8,2,FALSE)</f>
        <v/>
      </c>
      <c r="N4170">
        <f>IF(G4170&lt;=1,"1. Under 1 hour",IF(G4170&lt;=24,"2. 1-24 hours",IF(G4170&lt;=72,"3. 1-3 days","4. Over 3 days")))</f>
        <v/>
      </c>
      <c r="O4170">
        <f>TEXT(B4170,"YYYY-MM")</f>
        <v/>
      </c>
    </row>
    <row r="4171">
      <c r="A4171" t="inlineStr">
        <is>
          <t>LD-304169</t>
        </is>
      </c>
      <c r="B4171" t="inlineStr">
        <is>
          <t>2026-04-01 16:40:00</t>
        </is>
      </c>
      <c r="C4171" t="inlineStr">
        <is>
          <t>Partner Channel</t>
        </is>
      </c>
      <c r="D4171" t="inlineStr">
        <is>
          <t>K-12 Math</t>
        </is>
      </c>
      <c r="E4171" t="inlineStr">
        <is>
          <t>North Region</t>
        </is>
      </c>
      <c r="F4171" t="inlineStr">
        <is>
          <t>Rep_11</t>
        </is>
      </c>
      <c r="G4171" t="n">
        <v>1.61</v>
      </c>
      <c r="H4171" t="inlineStr">
        <is>
          <t>Contacted</t>
        </is>
      </c>
      <c r="I4171" t="inlineStr">
        <is>
          <t>Open</t>
        </is>
      </c>
      <c r="M4171">
        <f>VLOOKUP(H4171,'Stage Order'!$A$2:$B$8,2,FALSE)</f>
        <v/>
      </c>
      <c r="N4171">
        <f>IF(G4171&lt;=1,"1. Under 1 hour",IF(G4171&lt;=24,"2. 1-24 hours",IF(G4171&lt;=72,"3. 1-3 days","4. Over 3 days")))</f>
        <v/>
      </c>
      <c r="O4171">
        <f>TEXT(B4171,"YYYY-MM")</f>
        <v/>
      </c>
    </row>
    <row r="4172">
      <c r="A4172" t="inlineStr">
        <is>
          <t>LD-304170</t>
        </is>
      </c>
      <c r="B4172" t="inlineStr">
        <is>
          <t>2025-08-09 07:04:00</t>
        </is>
      </c>
      <c r="C4172" t="inlineStr">
        <is>
          <t>Paid Search</t>
        </is>
      </c>
      <c r="D4172" t="inlineStr">
        <is>
          <t>K-12 Math</t>
        </is>
      </c>
      <c r="E4172" t="inlineStr">
        <is>
          <t>West Region</t>
        </is>
      </c>
      <c r="F4172" t="inlineStr">
        <is>
          <t>Rep_03</t>
        </is>
      </c>
      <c r="G4172" t="n">
        <v>3.76</v>
      </c>
      <c r="H4172" t="inlineStr">
        <is>
          <t>Lead</t>
        </is>
      </c>
      <c r="I4172" t="inlineStr">
        <is>
          <t>Open</t>
        </is>
      </c>
      <c r="M4172">
        <f>VLOOKUP(H4172,'Stage Order'!$A$2:$B$8,2,FALSE)</f>
        <v/>
      </c>
      <c r="N4172">
        <f>IF(G4172&lt;=1,"1. Under 1 hour",IF(G4172&lt;=24,"2. 1-24 hours",IF(G4172&lt;=72,"3. 1-3 days","4. Over 3 days")))</f>
        <v/>
      </c>
      <c r="O4172">
        <f>TEXT(B4172,"YYYY-MM")</f>
        <v/>
      </c>
    </row>
    <row r="4173">
      <c r="A4173" t="inlineStr">
        <is>
          <t>LD-304171</t>
        </is>
      </c>
      <c r="B4173" t="inlineStr">
        <is>
          <t>2025-07-26 16:43:00</t>
        </is>
      </c>
      <c r="C4173" t="inlineStr">
        <is>
          <t>Paid Search</t>
        </is>
      </c>
      <c r="D4173" t="inlineStr">
        <is>
          <t>Coding for Kids</t>
        </is>
      </c>
      <c r="E4173" t="inlineStr">
        <is>
          <t>South Region</t>
        </is>
      </c>
      <c r="F4173" t="inlineStr">
        <is>
          <t>Rep_12</t>
        </is>
      </c>
      <c r="G4173" t="n">
        <v>4.59</v>
      </c>
      <c r="H4173" t="inlineStr">
        <is>
          <t>Negotiation</t>
        </is>
      </c>
      <c r="I4173" t="inlineStr">
        <is>
          <t>Lost</t>
        </is>
      </c>
      <c r="J4173" t="inlineStr">
        <is>
          <t>Went With Competitor</t>
        </is>
      </c>
      <c r="K4173" t="n">
        <v>541.61</v>
      </c>
      <c r="L4173" t="inlineStr">
        <is>
          <t>2025-08-19 03:27:50.861923</t>
        </is>
      </c>
      <c r="M4173">
        <f>VLOOKUP(H4173,'Stage Order'!$A$2:$B$8,2,FALSE)</f>
        <v/>
      </c>
      <c r="N4173">
        <f>IF(G4173&lt;=1,"1. Under 1 hour",IF(G4173&lt;=24,"2. 1-24 hours",IF(G4173&lt;=72,"3. 1-3 days","4. Over 3 days")))</f>
        <v/>
      </c>
      <c r="O4173">
        <f>TEXT(B4173,"YYYY-MM")</f>
        <v/>
      </c>
    </row>
    <row r="4174">
      <c r="A4174" t="inlineStr">
        <is>
          <t>LD-304172</t>
        </is>
      </c>
      <c r="B4174" t="inlineStr">
        <is>
          <t>2025-01-25 16:51:00</t>
        </is>
      </c>
      <c r="C4174" t="inlineStr">
        <is>
          <t>Cold Outreach</t>
        </is>
      </c>
      <c r="D4174" t="inlineStr">
        <is>
          <t>Competitive Exam Prep</t>
        </is>
      </c>
      <c r="E4174" t="inlineStr">
        <is>
          <t>South Region</t>
        </is>
      </c>
      <c r="F4174" t="inlineStr">
        <is>
          <t>Rep_07</t>
        </is>
      </c>
      <c r="G4174" t="n">
        <v>15.64</v>
      </c>
      <c r="H4174" t="inlineStr">
        <is>
          <t>Lead</t>
        </is>
      </c>
      <c r="I4174" t="inlineStr">
        <is>
          <t>Open</t>
        </is>
      </c>
      <c r="M4174">
        <f>VLOOKUP(H4174,'Stage Order'!$A$2:$B$8,2,FALSE)</f>
        <v/>
      </c>
      <c r="N4174">
        <f>IF(G4174&lt;=1,"1. Under 1 hour",IF(G4174&lt;=24,"2. 1-24 hours",IF(G4174&lt;=72,"3. 1-3 days","4. Over 3 days")))</f>
        <v/>
      </c>
      <c r="O4174">
        <f>TEXT(B4174,"YYYY-MM")</f>
        <v/>
      </c>
    </row>
    <row r="4175">
      <c r="A4175" t="inlineStr">
        <is>
          <t>LD-304173</t>
        </is>
      </c>
      <c r="B4175" t="inlineStr">
        <is>
          <t>2025-04-17 17:23:00</t>
        </is>
      </c>
      <c r="C4175" t="inlineStr">
        <is>
          <t>Referral</t>
        </is>
      </c>
      <c r="D4175" t="inlineStr">
        <is>
          <t>Coding for Kids</t>
        </is>
      </c>
      <c r="E4175" t="inlineStr">
        <is>
          <t>North Region</t>
        </is>
      </c>
      <c r="F4175" t="inlineStr">
        <is>
          <t>Rep_06</t>
        </is>
      </c>
      <c r="G4175" t="n">
        <v>1.51</v>
      </c>
      <c r="H4175" t="inlineStr">
        <is>
          <t>Contacted</t>
        </is>
      </c>
      <c r="I4175" t="inlineStr">
        <is>
          <t>Open</t>
        </is>
      </c>
      <c r="M4175">
        <f>VLOOKUP(H4175,'Stage Order'!$A$2:$B$8,2,FALSE)</f>
        <v/>
      </c>
      <c r="N4175">
        <f>IF(G4175&lt;=1,"1. Under 1 hour",IF(G4175&lt;=24,"2. 1-24 hours",IF(G4175&lt;=72,"3. 1-3 days","4. Over 3 days")))</f>
        <v/>
      </c>
      <c r="O4175">
        <f>TEXT(B4175,"YYYY-MM")</f>
        <v/>
      </c>
    </row>
    <row r="4176">
      <c r="A4176" t="inlineStr">
        <is>
          <t>LD-304174</t>
        </is>
      </c>
      <c r="B4176" t="inlineStr">
        <is>
          <t>2026-04-03 16:01:00</t>
        </is>
      </c>
      <c r="C4176" t="inlineStr">
        <is>
          <t>Organic Search</t>
        </is>
      </c>
      <c r="D4176" t="inlineStr">
        <is>
          <t>Language Learning</t>
        </is>
      </c>
      <c r="E4176" t="inlineStr">
        <is>
          <t>International</t>
        </is>
      </c>
      <c r="F4176" t="inlineStr">
        <is>
          <t>Rep_10</t>
        </is>
      </c>
      <c r="G4176" t="n">
        <v>10.67</v>
      </c>
      <c r="H4176" t="inlineStr">
        <is>
          <t>Lead</t>
        </is>
      </c>
      <c r="I4176" t="inlineStr">
        <is>
          <t>Open</t>
        </is>
      </c>
      <c r="M4176">
        <f>VLOOKUP(H4176,'Stage Order'!$A$2:$B$8,2,FALSE)</f>
        <v/>
      </c>
      <c r="N4176">
        <f>IF(G4176&lt;=1,"1. Under 1 hour",IF(G4176&lt;=24,"2. 1-24 hours",IF(G4176&lt;=72,"3. 1-3 days","4. Over 3 days")))</f>
        <v/>
      </c>
      <c r="O4176">
        <f>TEXT(B4176,"YYYY-MM")</f>
        <v/>
      </c>
    </row>
    <row r="4177">
      <c r="A4177" t="inlineStr">
        <is>
          <t>LD-304175</t>
        </is>
      </c>
      <c r="B4177" t="inlineStr">
        <is>
          <t>2025-11-24 14:22:00</t>
        </is>
      </c>
      <c r="C4177" t="inlineStr">
        <is>
          <t>Organic Search</t>
        </is>
      </c>
      <c r="D4177" t="inlineStr">
        <is>
          <t>Coding for Kids</t>
        </is>
      </c>
      <c r="E4177" t="inlineStr">
        <is>
          <t>South Region</t>
        </is>
      </c>
      <c r="F4177" t="inlineStr">
        <is>
          <t>Rep_12</t>
        </is>
      </c>
      <c r="G4177" t="n">
        <v>4.57</v>
      </c>
      <c r="H4177" t="inlineStr">
        <is>
          <t>Closed</t>
        </is>
      </c>
      <c r="I4177" t="inlineStr">
        <is>
          <t>Won</t>
        </is>
      </c>
      <c r="K4177" t="n">
        <v>583.54</v>
      </c>
      <c r="L4177" t="inlineStr">
        <is>
          <t>2026-01-01 01:58:47.344085</t>
        </is>
      </c>
      <c r="M4177">
        <f>VLOOKUP(H4177,'Stage Order'!$A$2:$B$8,2,FALSE)</f>
        <v/>
      </c>
      <c r="N4177">
        <f>IF(G4177&lt;=1,"1. Under 1 hour",IF(G4177&lt;=24,"2. 1-24 hours",IF(G4177&lt;=72,"3. 1-3 days","4. Over 3 days")))</f>
        <v/>
      </c>
      <c r="O4177">
        <f>TEXT(B4177,"YYYY-MM")</f>
        <v/>
      </c>
    </row>
    <row r="4178">
      <c r="A4178" t="inlineStr">
        <is>
          <t>LD-304176</t>
        </is>
      </c>
      <c r="B4178" t="inlineStr">
        <is>
          <t>2026-01-01 19:25:00</t>
        </is>
      </c>
      <c r="C4178" t="inlineStr">
        <is>
          <t>Paid Search</t>
        </is>
      </c>
      <c r="D4178" t="inlineStr">
        <is>
          <t>Coding for Kids</t>
        </is>
      </c>
      <c r="E4178" t="inlineStr">
        <is>
          <t>South Region</t>
        </is>
      </c>
      <c r="F4178" t="inlineStr">
        <is>
          <t>Rep_12</t>
        </is>
      </c>
      <c r="G4178" t="n">
        <v>1.36</v>
      </c>
      <c r="H4178" t="inlineStr">
        <is>
          <t>Contacted</t>
        </is>
      </c>
      <c r="I4178" t="inlineStr">
        <is>
          <t>Open</t>
        </is>
      </c>
      <c r="M4178">
        <f>VLOOKUP(H4178,'Stage Order'!$A$2:$B$8,2,FALSE)</f>
        <v/>
      </c>
      <c r="N4178">
        <f>IF(G4178&lt;=1,"1. Under 1 hour",IF(G4178&lt;=24,"2. 1-24 hours",IF(G4178&lt;=72,"3. 1-3 days","4. Over 3 days")))</f>
        <v/>
      </c>
      <c r="O4178">
        <f>TEXT(B4178,"YYYY-MM")</f>
        <v/>
      </c>
    </row>
    <row r="4179">
      <c r="A4179" t="inlineStr">
        <is>
          <t>LD-304177</t>
        </is>
      </c>
      <c r="B4179" t="inlineStr">
        <is>
          <t>2026-03-23 16:17:00</t>
        </is>
      </c>
      <c r="C4179" t="inlineStr">
        <is>
          <t>Cold Outreach</t>
        </is>
      </c>
      <c r="D4179" t="inlineStr">
        <is>
          <t>Competitive Exam Prep</t>
        </is>
      </c>
      <c r="E4179" t="inlineStr">
        <is>
          <t>South Region</t>
        </is>
      </c>
      <c r="F4179" t="inlineStr">
        <is>
          <t>Rep_07</t>
        </is>
      </c>
      <c r="G4179" t="n">
        <v>2.95</v>
      </c>
      <c r="H4179" t="inlineStr">
        <is>
          <t>Lead</t>
        </is>
      </c>
      <c r="I4179" t="inlineStr">
        <is>
          <t>Open</t>
        </is>
      </c>
      <c r="M4179">
        <f>VLOOKUP(H4179,'Stage Order'!$A$2:$B$8,2,FALSE)</f>
        <v/>
      </c>
      <c r="N4179">
        <f>IF(G4179&lt;=1,"1. Under 1 hour",IF(G4179&lt;=24,"2. 1-24 hours",IF(G4179&lt;=72,"3. 1-3 days","4. Over 3 days")))</f>
        <v/>
      </c>
      <c r="O4179">
        <f>TEXT(B4179,"YYYY-MM")</f>
        <v/>
      </c>
    </row>
    <row r="4180">
      <c r="A4180" t="inlineStr">
        <is>
          <t>LD-304178</t>
        </is>
      </c>
      <c r="B4180" t="inlineStr">
        <is>
          <t>2025-08-09 17:03:00</t>
        </is>
      </c>
      <c r="C4180" t="inlineStr">
        <is>
          <t>Partner Channel</t>
        </is>
      </c>
      <c r="D4180" t="inlineStr">
        <is>
          <t>Competitive Exam Prep</t>
        </is>
      </c>
      <c r="E4180" t="inlineStr">
        <is>
          <t>West Region</t>
        </is>
      </c>
      <c r="F4180" t="inlineStr">
        <is>
          <t>Rep_13</t>
        </is>
      </c>
      <c r="G4180" t="n">
        <v>3.96</v>
      </c>
      <c r="H4180" t="inlineStr">
        <is>
          <t>Closed</t>
        </is>
      </c>
      <c r="I4180" t="inlineStr">
        <is>
          <t>Won</t>
        </is>
      </c>
      <c r="K4180" t="n">
        <v>845.72</v>
      </c>
      <c r="L4180" t="inlineStr">
        <is>
          <t>2025-09-16 00:09:47.593555</t>
        </is>
      </c>
      <c r="M4180">
        <f>VLOOKUP(H4180,'Stage Order'!$A$2:$B$8,2,FALSE)</f>
        <v/>
      </c>
      <c r="N4180">
        <f>IF(G4180&lt;=1,"1. Under 1 hour",IF(G4180&lt;=24,"2. 1-24 hours",IF(G4180&lt;=72,"3. 1-3 days","4. Over 3 days")))</f>
        <v/>
      </c>
      <c r="O4180">
        <f>TEXT(B4180,"YYYY-MM")</f>
        <v/>
      </c>
    </row>
    <row r="4181">
      <c r="A4181" t="inlineStr">
        <is>
          <t>LD-304179</t>
        </is>
      </c>
      <c r="B4181" t="inlineStr">
        <is>
          <t>2025-05-08 19:22:00</t>
        </is>
      </c>
      <c r="C4181" t="inlineStr">
        <is>
          <t>Organic Search</t>
        </is>
      </c>
      <c r="D4181" t="inlineStr">
        <is>
          <t>Study Abroad Prep</t>
        </is>
      </c>
      <c r="E4181" t="inlineStr">
        <is>
          <t>West Region</t>
        </is>
      </c>
      <c r="F4181" t="inlineStr">
        <is>
          <t>Rep_13</t>
        </is>
      </c>
      <c r="G4181" t="n">
        <v>3.44</v>
      </c>
      <c r="H4181" t="inlineStr">
        <is>
          <t>Negotiation</t>
        </is>
      </c>
      <c r="I4181" t="inlineStr">
        <is>
          <t>Lost</t>
        </is>
      </c>
      <c r="J4181" t="inlineStr">
        <is>
          <t>No Response / Ghosted</t>
        </is>
      </c>
      <c r="K4181" t="n">
        <v>1674.65</v>
      </c>
      <c r="L4181" t="inlineStr">
        <is>
          <t>2025-06-21 04:32:02.318456</t>
        </is>
      </c>
      <c r="M4181">
        <f>VLOOKUP(H4181,'Stage Order'!$A$2:$B$8,2,FALSE)</f>
        <v/>
      </c>
      <c r="N4181">
        <f>IF(G4181&lt;=1,"1. Under 1 hour",IF(G4181&lt;=24,"2. 1-24 hours",IF(G4181&lt;=72,"3. 1-3 days","4. Over 3 days")))</f>
        <v/>
      </c>
      <c r="O4181">
        <f>TEXT(B4181,"YYYY-MM")</f>
        <v/>
      </c>
    </row>
    <row r="4182">
      <c r="A4182" t="inlineStr">
        <is>
          <t>LD-304180</t>
        </is>
      </c>
      <c r="B4182" t="inlineStr">
        <is>
          <t>2026-04-28 19:57:00</t>
        </is>
      </c>
      <c r="C4182" t="inlineStr">
        <is>
          <t>Webinar</t>
        </is>
      </c>
      <c r="D4182" t="inlineStr">
        <is>
          <t>K-12 Math</t>
        </is>
      </c>
      <c r="E4182" t="inlineStr">
        <is>
          <t>South Region</t>
        </is>
      </c>
      <c r="F4182" t="inlineStr">
        <is>
          <t>Rep_12</t>
        </is>
      </c>
      <c r="G4182" t="n">
        <v>1.41</v>
      </c>
      <c r="H4182" t="inlineStr">
        <is>
          <t>Closed</t>
        </is>
      </c>
      <c r="I4182" t="inlineStr">
        <is>
          <t>Won</t>
        </is>
      </c>
      <c r="K4182" t="n">
        <v>510.09</v>
      </c>
      <c r="L4182" t="inlineStr">
        <is>
          <t>2026-05-26 02:22:19.471674</t>
        </is>
      </c>
      <c r="M4182">
        <f>VLOOKUP(H4182,'Stage Order'!$A$2:$B$8,2,FALSE)</f>
        <v/>
      </c>
      <c r="N4182">
        <f>IF(G4182&lt;=1,"1. Under 1 hour",IF(G4182&lt;=24,"2. 1-24 hours",IF(G4182&lt;=72,"3. 1-3 days","4. Over 3 days")))</f>
        <v/>
      </c>
      <c r="O4182">
        <f>TEXT(B4182,"YYYY-MM")</f>
        <v/>
      </c>
    </row>
    <row r="4183">
      <c r="A4183" t="inlineStr">
        <is>
          <t>LD-304181</t>
        </is>
      </c>
      <c r="B4183" t="inlineStr">
        <is>
          <t>2026-05-22 08:37:00</t>
        </is>
      </c>
      <c r="C4183" t="inlineStr">
        <is>
          <t>Organic Search</t>
        </is>
      </c>
      <c r="D4183" t="inlineStr">
        <is>
          <t>Study Abroad Prep</t>
        </is>
      </c>
      <c r="E4183" t="inlineStr">
        <is>
          <t>International</t>
        </is>
      </c>
      <c r="F4183" t="inlineStr">
        <is>
          <t>Rep_15</t>
        </is>
      </c>
      <c r="G4183" t="n">
        <v>13.42</v>
      </c>
      <c r="H4183" t="inlineStr">
        <is>
          <t>Contacted</t>
        </is>
      </c>
      <c r="I4183" t="inlineStr">
        <is>
          <t>Open</t>
        </is>
      </c>
      <c r="M4183">
        <f>VLOOKUP(H4183,'Stage Order'!$A$2:$B$8,2,FALSE)</f>
        <v/>
      </c>
      <c r="N4183">
        <f>IF(G4183&lt;=1,"1. Under 1 hour",IF(G4183&lt;=24,"2. 1-24 hours",IF(G4183&lt;=72,"3. 1-3 days","4. Over 3 days")))</f>
        <v/>
      </c>
      <c r="O4183">
        <f>TEXT(B4183,"YYYY-MM")</f>
        <v/>
      </c>
    </row>
    <row r="4184">
      <c r="A4184" t="inlineStr">
        <is>
          <t>LD-304182</t>
        </is>
      </c>
      <c r="B4184" t="inlineStr">
        <is>
          <t>2025-11-07 19:41:00</t>
        </is>
      </c>
      <c r="C4184" t="inlineStr">
        <is>
          <t>Social Media</t>
        </is>
      </c>
      <c r="D4184" t="inlineStr">
        <is>
          <t>Competitive Exam Prep</t>
        </is>
      </c>
      <c r="E4184" t="inlineStr">
        <is>
          <t>North Region</t>
        </is>
      </c>
      <c r="F4184" t="inlineStr">
        <is>
          <t>Rep_11</t>
        </is>
      </c>
      <c r="G4184" t="n">
        <v>2.29</v>
      </c>
      <c r="H4184" t="inlineStr">
        <is>
          <t>Contacted</t>
        </is>
      </c>
      <c r="I4184" t="inlineStr">
        <is>
          <t>Open</t>
        </is>
      </c>
      <c r="M4184">
        <f>VLOOKUP(H4184,'Stage Order'!$A$2:$B$8,2,FALSE)</f>
        <v/>
      </c>
      <c r="N4184">
        <f>IF(G4184&lt;=1,"1. Under 1 hour",IF(G4184&lt;=24,"2. 1-24 hours",IF(G4184&lt;=72,"3. 1-3 days","4. Over 3 days")))</f>
        <v/>
      </c>
      <c r="O4184">
        <f>TEXT(B4184,"YYYY-MM")</f>
        <v/>
      </c>
    </row>
    <row r="4185">
      <c r="A4185" t="inlineStr">
        <is>
          <t>LD-304183</t>
        </is>
      </c>
      <c r="B4185" t="inlineStr">
        <is>
          <t>2025-08-27 16:10:00</t>
        </is>
      </c>
      <c r="C4185" t="inlineStr">
        <is>
          <t>Cold Outreach</t>
        </is>
      </c>
      <c r="D4185" t="inlineStr">
        <is>
          <t>Coding for Kids</t>
        </is>
      </c>
      <c r="E4185" t="inlineStr">
        <is>
          <t>East Region</t>
        </is>
      </c>
      <c r="F4185" t="inlineStr">
        <is>
          <t>Rep_14</t>
        </is>
      </c>
      <c r="G4185" t="n">
        <v>1.63</v>
      </c>
      <c r="H4185" t="inlineStr">
        <is>
          <t>Lead</t>
        </is>
      </c>
      <c r="I4185" t="inlineStr">
        <is>
          <t>Open</t>
        </is>
      </c>
      <c r="M4185">
        <f>VLOOKUP(H4185,'Stage Order'!$A$2:$B$8,2,FALSE)</f>
        <v/>
      </c>
      <c r="N4185">
        <f>IF(G4185&lt;=1,"1. Under 1 hour",IF(G4185&lt;=24,"2. 1-24 hours",IF(G4185&lt;=72,"3. 1-3 days","4. Over 3 days")))</f>
        <v/>
      </c>
      <c r="O4185">
        <f>TEXT(B4185,"YYYY-MM")</f>
        <v/>
      </c>
    </row>
    <row r="4186">
      <c r="A4186" t="inlineStr">
        <is>
          <t>LD-304184</t>
        </is>
      </c>
      <c r="B4186" t="inlineStr">
        <is>
          <t>2025-06-27 17:38:00</t>
        </is>
      </c>
      <c r="C4186" t="inlineStr">
        <is>
          <t>Webinar</t>
        </is>
      </c>
      <c r="D4186" t="inlineStr">
        <is>
          <t>Language Learning</t>
        </is>
      </c>
      <c r="E4186" t="inlineStr">
        <is>
          <t>West Region</t>
        </is>
      </c>
      <c r="F4186" t="inlineStr">
        <is>
          <t>Rep_13</t>
        </is>
      </c>
      <c r="G4186" t="n">
        <v>3.35</v>
      </c>
      <c r="H4186" t="inlineStr">
        <is>
          <t>Negotiation</t>
        </is>
      </c>
      <c r="I4186" t="inlineStr">
        <is>
          <t>Lost</t>
        </is>
      </c>
      <c r="J4186" t="inlineStr">
        <is>
          <t>Price Objection</t>
        </is>
      </c>
      <c r="K4186" t="n">
        <v>416.43</v>
      </c>
      <c r="L4186" t="inlineStr">
        <is>
          <t>2025-08-13 22:07:27.170348</t>
        </is>
      </c>
      <c r="M4186">
        <f>VLOOKUP(H4186,'Stage Order'!$A$2:$B$8,2,FALSE)</f>
        <v/>
      </c>
      <c r="N4186">
        <f>IF(G4186&lt;=1,"1. Under 1 hour",IF(G4186&lt;=24,"2. 1-24 hours",IF(G4186&lt;=72,"3. 1-3 days","4. Over 3 days")))</f>
        <v/>
      </c>
      <c r="O4186">
        <f>TEXT(B4186,"YYYY-MM")</f>
        <v/>
      </c>
    </row>
    <row r="4187">
      <c r="A4187" t="inlineStr">
        <is>
          <t>LD-304185</t>
        </is>
      </c>
      <c r="B4187" t="inlineStr">
        <is>
          <t>2025-11-21 08:11:00</t>
        </is>
      </c>
      <c r="C4187" t="inlineStr">
        <is>
          <t>Partner Channel</t>
        </is>
      </c>
      <c r="D4187" t="inlineStr">
        <is>
          <t>Study Abroad Prep</t>
        </is>
      </c>
      <c r="E4187" t="inlineStr">
        <is>
          <t>South Region</t>
        </is>
      </c>
      <c r="F4187" t="inlineStr">
        <is>
          <t>Rep_02</t>
        </is>
      </c>
      <c r="G4187" t="n">
        <v>8.15</v>
      </c>
      <c r="H4187" t="inlineStr">
        <is>
          <t>Closed</t>
        </is>
      </c>
      <c r="I4187" t="inlineStr">
        <is>
          <t>Won</t>
        </is>
      </c>
      <c r="K4187" t="n">
        <v>1681.1</v>
      </c>
      <c r="L4187" t="inlineStr">
        <is>
          <t>2025-12-21 12:02:22.973808</t>
        </is>
      </c>
      <c r="M4187">
        <f>VLOOKUP(H4187,'Stage Order'!$A$2:$B$8,2,FALSE)</f>
        <v/>
      </c>
      <c r="N4187">
        <f>IF(G4187&lt;=1,"1. Under 1 hour",IF(G4187&lt;=24,"2. 1-24 hours",IF(G4187&lt;=72,"3. 1-3 days","4. Over 3 days")))</f>
        <v/>
      </c>
      <c r="O4187">
        <f>TEXT(B4187,"YYYY-MM")</f>
        <v/>
      </c>
    </row>
    <row r="4188">
      <c r="A4188" t="inlineStr">
        <is>
          <t>LD-304186</t>
        </is>
      </c>
      <c r="B4188" t="inlineStr">
        <is>
          <t>2026-05-01 20:20:00</t>
        </is>
      </c>
      <c r="C4188" t="inlineStr">
        <is>
          <t>Paid Search</t>
        </is>
      </c>
      <c r="D4188" t="inlineStr">
        <is>
          <t>Coding for Kids</t>
        </is>
      </c>
      <c r="E4188" t="inlineStr">
        <is>
          <t>West Region</t>
        </is>
      </c>
      <c r="F4188" t="inlineStr">
        <is>
          <t>Rep_03</t>
        </is>
      </c>
      <c r="G4188" t="n">
        <v>1.8</v>
      </c>
      <c r="H4188" t="inlineStr">
        <is>
          <t>Contacted</t>
        </is>
      </c>
      <c r="I4188" t="inlineStr">
        <is>
          <t>Open</t>
        </is>
      </c>
      <c r="M4188">
        <f>VLOOKUP(H4188,'Stage Order'!$A$2:$B$8,2,FALSE)</f>
        <v/>
      </c>
      <c r="N4188">
        <f>IF(G4188&lt;=1,"1. Under 1 hour",IF(G4188&lt;=24,"2. 1-24 hours",IF(G4188&lt;=72,"3. 1-3 days","4. Over 3 days")))</f>
        <v/>
      </c>
      <c r="O4188">
        <f>TEXT(B4188,"YYYY-MM")</f>
        <v/>
      </c>
    </row>
    <row r="4189">
      <c r="A4189" t="inlineStr">
        <is>
          <t>LD-304187</t>
        </is>
      </c>
      <c r="B4189" t="inlineStr">
        <is>
          <t>2026-02-05 11:24:00</t>
        </is>
      </c>
      <c r="C4189" t="inlineStr">
        <is>
          <t>Referral</t>
        </is>
      </c>
      <c r="D4189" t="inlineStr">
        <is>
          <t>Coding for Kids</t>
        </is>
      </c>
      <c r="E4189" t="inlineStr">
        <is>
          <t>North Region</t>
        </is>
      </c>
      <c r="F4189" t="inlineStr">
        <is>
          <t>Rep_11</t>
        </is>
      </c>
      <c r="G4189" t="n">
        <v>1.57</v>
      </c>
      <c r="H4189" t="inlineStr">
        <is>
          <t>Demo Scheduled</t>
        </is>
      </c>
      <c r="I4189" t="inlineStr">
        <is>
          <t>Open</t>
        </is>
      </c>
      <c r="M4189">
        <f>VLOOKUP(H4189,'Stage Order'!$A$2:$B$8,2,FALSE)</f>
        <v/>
      </c>
      <c r="N4189">
        <f>IF(G4189&lt;=1,"1. Under 1 hour",IF(G4189&lt;=24,"2. 1-24 hours",IF(G4189&lt;=72,"3. 1-3 days","4. Over 3 days")))</f>
        <v/>
      </c>
      <c r="O4189">
        <f>TEXT(B4189,"YYYY-MM")</f>
        <v/>
      </c>
    </row>
    <row r="4190">
      <c r="A4190" t="inlineStr">
        <is>
          <t>LD-304188</t>
        </is>
      </c>
      <c r="B4190" t="inlineStr">
        <is>
          <t>2025-08-13 11:10:00</t>
        </is>
      </c>
      <c r="C4190" t="inlineStr">
        <is>
          <t>Referral</t>
        </is>
      </c>
      <c r="D4190" t="inlineStr">
        <is>
          <t>K-12 Math</t>
        </is>
      </c>
      <c r="E4190" t="inlineStr">
        <is>
          <t>South Region</t>
        </is>
      </c>
      <c r="F4190" t="inlineStr">
        <is>
          <t>Rep_02</t>
        </is>
      </c>
      <c r="G4190" t="n">
        <v>2.15</v>
      </c>
      <c r="H4190" t="inlineStr">
        <is>
          <t>Negotiation</t>
        </is>
      </c>
      <c r="I4190" t="inlineStr">
        <is>
          <t>Lost</t>
        </is>
      </c>
      <c r="J4190" t="inlineStr">
        <is>
          <t>Went With Competitor</t>
        </is>
      </c>
      <c r="K4190" t="n">
        <v>580.41</v>
      </c>
      <c r="L4190" t="inlineStr">
        <is>
          <t>2025-09-19 18:12:41.457643</t>
        </is>
      </c>
      <c r="M4190">
        <f>VLOOKUP(H4190,'Stage Order'!$A$2:$B$8,2,FALSE)</f>
        <v/>
      </c>
      <c r="N4190">
        <f>IF(G4190&lt;=1,"1. Under 1 hour",IF(G4190&lt;=24,"2. 1-24 hours",IF(G4190&lt;=72,"3. 1-3 days","4. Over 3 days")))</f>
        <v/>
      </c>
      <c r="O4190">
        <f>TEXT(B4190,"YYYY-MM")</f>
        <v/>
      </c>
    </row>
    <row r="4191">
      <c r="A4191" t="inlineStr">
        <is>
          <t>LD-304189</t>
        </is>
      </c>
      <c r="B4191" t="inlineStr">
        <is>
          <t>2025-05-23 08:08:00</t>
        </is>
      </c>
      <c r="C4191" t="inlineStr">
        <is>
          <t>Webinar</t>
        </is>
      </c>
      <c r="D4191" t="inlineStr">
        <is>
          <t>K-12 Math</t>
        </is>
      </c>
      <c r="E4191" t="inlineStr">
        <is>
          <t>North Region</t>
        </is>
      </c>
      <c r="F4191" t="inlineStr">
        <is>
          <t>Rep_01</t>
        </is>
      </c>
      <c r="G4191" t="n">
        <v>4.68</v>
      </c>
      <c r="H4191" t="inlineStr">
        <is>
          <t>Closed</t>
        </is>
      </c>
      <c r="I4191" t="inlineStr">
        <is>
          <t>Won</t>
        </is>
      </c>
      <c r="K4191" t="n">
        <v>586.71</v>
      </c>
      <c r="L4191" t="inlineStr">
        <is>
          <t>2025-06-24 08:44:53.976922</t>
        </is>
      </c>
      <c r="M4191">
        <f>VLOOKUP(H4191,'Stage Order'!$A$2:$B$8,2,FALSE)</f>
        <v/>
      </c>
      <c r="N4191">
        <f>IF(G4191&lt;=1,"1. Under 1 hour",IF(G4191&lt;=24,"2. 1-24 hours",IF(G4191&lt;=72,"3. 1-3 days","4. Over 3 days")))</f>
        <v/>
      </c>
      <c r="O4191">
        <f>TEXT(B4191,"YYYY-MM")</f>
        <v/>
      </c>
    </row>
    <row r="4192">
      <c r="A4192" t="inlineStr">
        <is>
          <t>LD-304190</t>
        </is>
      </c>
      <c r="B4192" t="inlineStr">
        <is>
          <t>2025-12-31 15:43:00</t>
        </is>
      </c>
      <c r="C4192" t="inlineStr">
        <is>
          <t>Organic Search</t>
        </is>
      </c>
      <c r="D4192" t="inlineStr">
        <is>
          <t>Language Learning</t>
        </is>
      </c>
      <c r="E4192" t="inlineStr">
        <is>
          <t>International</t>
        </is>
      </c>
      <c r="F4192" t="inlineStr">
        <is>
          <t>Rep_15</t>
        </is>
      </c>
      <c r="G4192" t="n">
        <v>2.29</v>
      </c>
      <c r="H4192" t="inlineStr">
        <is>
          <t>Contacted</t>
        </is>
      </c>
      <c r="I4192" t="inlineStr">
        <is>
          <t>Open</t>
        </is>
      </c>
      <c r="M4192">
        <f>VLOOKUP(H4192,'Stage Order'!$A$2:$B$8,2,FALSE)</f>
        <v/>
      </c>
      <c r="N4192">
        <f>IF(G4192&lt;=1,"1. Under 1 hour",IF(G4192&lt;=24,"2. 1-24 hours",IF(G4192&lt;=72,"3. 1-3 days","4. Over 3 days")))</f>
        <v/>
      </c>
      <c r="O4192">
        <f>TEXT(B4192,"YYYY-MM")</f>
        <v/>
      </c>
    </row>
    <row r="4193">
      <c r="A4193" t="inlineStr">
        <is>
          <t>LD-304191</t>
        </is>
      </c>
      <c r="B4193" t="inlineStr">
        <is>
          <t>2025-05-28 14:12:00</t>
        </is>
      </c>
      <c r="C4193" t="inlineStr">
        <is>
          <t>Partner Channel</t>
        </is>
      </c>
      <c r="D4193" t="inlineStr">
        <is>
          <t>Competitive Exam Prep</t>
        </is>
      </c>
      <c r="E4193" t="inlineStr">
        <is>
          <t>South Region</t>
        </is>
      </c>
      <c r="F4193" t="inlineStr">
        <is>
          <t>Rep_02</t>
        </is>
      </c>
      <c r="G4193" t="n">
        <v>4.62</v>
      </c>
      <c r="H4193" t="inlineStr">
        <is>
          <t>Negotiation</t>
        </is>
      </c>
      <c r="I4193" t="inlineStr">
        <is>
          <t>Lost</t>
        </is>
      </c>
      <c r="J4193" t="inlineStr">
        <is>
          <t>Budget Not Approved</t>
        </is>
      </c>
      <c r="K4193" t="n">
        <v>877.05</v>
      </c>
      <c r="L4193" t="inlineStr">
        <is>
          <t>2025-07-11 03:50:40.775342</t>
        </is>
      </c>
      <c r="M4193">
        <f>VLOOKUP(H4193,'Stage Order'!$A$2:$B$8,2,FALSE)</f>
        <v/>
      </c>
      <c r="N4193">
        <f>IF(G4193&lt;=1,"1. Under 1 hour",IF(G4193&lt;=24,"2. 1-24 hours",IF(G4193&lt;=72,"3. 1-3 days","4. Over 3 days")))</f>
        <v/>
      </c>
      <c r="O4193">
        <f>TEXT(B4193,"YYYY-MM")</f>
        <v/>
      </c>
    </row>
    <row r="4194">
      <c r="A4194" t="inlineStr">
        <is>
          <t>LD-304192</t>
        </is>
      </c>
      <c r="B4194" t="inlineStr">
        <is>
          <t>2026-04-06 18:31:00</t>
        </is>
      </c>
      <c r="C4194" t="inlineStr">
        <is>
          <t>Paid Search</t>
        </is>
      </c>
      <c r="D4194" t="inlineStr">
        <is>
          <t>Competitive Exam Prep</t>
        </is>
      </c>
      <c r="E4194" t="inlineStr">
        <is>
          <t>East Region</t>
        </is>
      </c>
      <c r="F4194" t="inlineStr">
        <is>
          <t>Rep_04</t>
        </is>
      </c>
      <c r="G4194" t="n">
        <v>10.65</v>
      </c>
      <c r="H4194" t="inlineStr">
        <is>
          <t>Contacted</t>
        </is>
      </c>
      <c r="I4194" t="inlineStr">
        <is>
          <t>Open</t>
        </is>
      </c>
      <c r="M4194">
        <f>VLOOKUP(H4194,'Stage Order'!$A$2:$B$8,2,FALSE)</f>
        <v/>
      </c>
      <c r="N4194">
        <f>IF(G4194&lt;=1,"1. Under 1 hour",IF(G4194&lt;=24,"2. 1-24 hours",IF(G4194&lt;=72,"3. 1-3 days","4. Over 3 days")))</f>
        <v/>
      </c>
      <c r="O4194">
        <f>TEXT(B4194,"YYYY-MM")</f>
        <v/>
      </c>
    </row>
    <row r="4195">
      <c r="A4195" t="inlineStr">
        <is>
          <t>LD-304193</t>
        </is>
      </c>
      <c r="B4195" t="inlineStr">
        <is>
          <t>2025-06-17 17:16:00</t>
        </is>
      </c>
      <c r="C4195" t="inlineStr">
        <is>
          <t>Paid Search</t>
        </is>
      </c>
      <c r="D4195" t="inlineStr">
        <is>
          <t>Language Learning</t>
        </is>
      </c>
      <c r="E4195" t="inlineStr">
        <is>
          <t>West Region</t>
        </is>
      </c>
      <c r="F4195" t="inlineStr">
        <is>
          <t>Rep_08</t>
        </is>
      </c>
      <c r="G4195" t="n">
        <v>0.45</v>
      </c>
      <c r="H4195" t="inlineStr">
        <is>
          <t>Negotiation</t>
        </is>
      </c>
      <c r="I4195" t="inlineStr">
        <is>
          <t>Lost</t>
        </is>
      </c>
      <c r="J4195" t="inlineStr">
        <is>
          <t>Went With Competitor</t>
        </is>
      </c>
      <c r="K4195" t="n">
        <v>412.28</v>
      </c>
      <c r="L4195" t="inlineStr">
        <is>
          <t>2025-08-05 05:40:26.570573</t>
        </is>
      </c>
      <c r="M4195">
        <f>VLOOKUP(H4195,'Stage Order'!$A$2:$B$8,2,FALSE)</f>
        <v/>
      </c>
      <c r="N4195">
        <f>IF(G4195&lt;=1,"1. Under 1 hour",IF(G4195&lt;=24,"2. 1-24 hours",IF(G4195&lt;=72,"3. 1-3 days","4. Over 3 days")))</f>
        <v/>
      </c>
      <c r="O4195">
        <f>TEXT(B4195,"YYYY-MM")</f>
        <v/>
      </c>
    </row>
    <row r="4196">
      <c r="A4196" t="inlineStr">
        <is>
          <t>LD-304194</t>
        </is>
      </c>
      <c r="B4196" t="inlineStr">
        <is>
          <t>2026-05-29 17:07:00</t>
        </is>
      </c>
      <c r="C4196" t="inlineStr">
        <is>
          <t>Social Media</t>
        </is>
      </c>
      <c r="D4196" t="inlineStr">
        <is>
          <t>Coding for Kids</t>
        </is>
      </c>
      <c r="E4196" t="inlineStr">
        <is>
          <t>South Region</t>
        </is>
      </c>
      <c r="F4196" t="inlineStr">
        <is>
          <t>Rep_02</t>
        </is>
      </c>
      <c r="G4196" t="n">
        <v>2.65</v>
      </c>
      <c r="H4196" t="inlineStr">
        <is>
          <t>Contacted</t>
        </is>
      </c>
      <c r="I4196" t="inlineStr">
        <is>
          <t>Open</t>
        </is>
      </c>
      <c r="M4196">
        <f>VLOOKUP(H4196,'Stage Order'!$A$2:$B$8,2,FALSE)</f>
        <v/>
      </c>
      <c r="N4196">
        <f>IF(G4196&lt;=1,"1. Under 1 hour",IF(G4196&lt;=24,"2. 1-24 hours",IF(G4196&lt;=72,"3. 1-3 days","4. Over 3 days")))</f>
        <v/>
      </c>
      <c r="O4196">
        <f>TEXT(B4196,"YYYY-MM")</f>
        <v/>
      </c>
    </row>
    <row r="4197">
      <c r="A4197" t="inlineStr">
        <is>
          <t>LD-304195</t>
        </is>
      </c>
      <c r="B4197" t="inlineStr">
        <is>
          <t>2025-05-13 17:29:00</t>
        </is>
      </c>
      <c r="C4197" t="inlineStr">
        <is>
          <t>Social Media</t>
        </is>
      </c>
      <c r="D4197" t="inlineStr">
        <is>
          <t>Competitive Exam Prep</t>
        </is>
      </c>
      <c r="E4197" t="inlineStr">
        <is>
          <t>South Region</t>
        </is>
      </c>
      <c r="F4197" t="inlineStr">
        <is>
          <t>Rep_12</t>
        </is>
      </c>
      <c r="G4197" t="n">
        <v>10.62</v>
      </c>
      <c r="H4197" t="inlineStr">
        <is>
          <t>Contacted</t>
        </is>
      </c>
      <c r="I4197" t="inlineStr">
        <is>
          <t>Open</t>
        </is>
      </c>
      <c r="M4197">
        <f>VLOOKUP(H4197,'Stage Order'!$A$2:$B$8,2,FALSE)</f>
        <v/>
      </c>
      <c r="N4197">
        <f>IF(G4197&lt;=1,"1. Under 1 hour",IF(G4197&lt;=24,"2. 1-24 hours",IF(G4197&lt;=72,"3. 1-3 days","4. Over 3 days")))</f>
        <v/>
      </c>
      <c r="O4197">
        <f>TEXT(B4197,"YYYY-MM")</f>
        <v/>
      </c>
    </row>
    <row r="4198">
      <c r="A4198" t="inlineStr">
        <is>
          <t>LD-304196</t>
        </is>
      </c>
      <c r="B4198" t="inlineStr">
        <is>
          <t>2025-10-31 16:07:00</t>
        </is>
      </c>
      <c r="C4198" t="inlineStr">
        <is>
          <t>Organic Search</t>
        </is>
      </c>
      <c r="D4198" t="inlineStr">
        <is>
          <t>Competitive Exam Prep</t>
        </is>
      </c>
      <c r="E4198" t="inlineStr">
        <is>
          <t>International</t>
        </is>
      </c>
      <c r="F4198" t="inlineStr">
        <is>
          <t>Rep_15</t>
        </is>
      </c>
      <c r="G4198" t="n">
        <v>1.81</v>
      </c>
      <c r="H4198" t="inlineStr">
        <is>
          <t>Contacted</t>
        </is>
      </c>
      <c r="I4198" t="inlineStr">
        <is>
          <t>Open</t>
        </is>
      </c>
      <c r="M4198">
        <f>VLOOKUP(H4198,'Stage Order'!$A$2:$B$8,2,FALSE)</f>
        <v/>
      </c>
      <c r="N4198">
        <f>IF(G4198&lt;=1,"1. Under 1 hour",IF(G4198&lt;=24,"2. 1-24 hours",IF(G4198&lt;=72,"3. 1-3 days","4. Over 3 days")))</f>
        <v/>
      </c>
      <c r="O4198">
        <f>TEXT(B4198,"YYYY-MM")</f>
        <v/>
      </c>
    </row>
    <row r="4199">
      <c r="A4199" t="inlineStr">
        <is>
          <t>LD-304197</t>
        </is>
      </c>
      <c r="B4199" t="inlineStr">
        <is>
          <t>2025-12-11 08:26:00</t>
        </is>
      </c>
      <c r="C4199" t="inlineStr">
        <is>
          <t>Organic Search</t>
        </is>
      </c>
      <c r="D4199" t="inlineStr">
        <is>
          <t>Competitive Exam Prep</t>
        </is>
      </c>
      <c r="E4199" t="inlineStr">
        <is>
          <t>West Region</t>
        </is>
      </c>
      <c r="F4199" t="inlineStr">
        <is>
          <t>Rep_13</t>
        </is>
      </c>
      <c r="G4199" t="n">
        <v>3.96</v>
      </c>
      <c r="H4199" t="inlineStr">
        <is>
          <t>Demo Completed</t>
        </is>
      </c>
      <c r="I4199" t="inlineStr">
        <is>
          <t>Lost</t>
        </is>
      </c>
      <c r="J4199" t="inlineStr">
        <is>
          <t>No Response / Ghosted</t>
        </is>
      </c>
      <c r="K4199" t="n">
        <v>912.41</v>
      </c>
      <c r="L4199" t="inlineStr">
        <is>
          <t>2026-01-21 09:51:54.153926</t>
        </is>
      </c>
      <c r="M4199">
        <f>VLOOKUP(H4199,'Stage Order'!$A$2:$B$8,2,FALSE)</f>
        <v/>
      </c>
      <c r="N4199">
        <f>IF(G4199&lt;=1,"1. Under 1 hour",IF(G4199&lt;=24,"2. 1-24 hours",IF(G4199&lt;=72,"3. 1-3 days","4. Over 3 days")))</f>
        <v/>
      </c>
      <c r="O4199">
        <f>TEXT(B4199,"YYYY-MM")</f>
        <v/>
      </c>
    </row>
    <row r="4200">
      <c r="A4200" t="inlineStr">
        <is>
          <t>LD-304198</t>
        </is>
      </c>
      <c r="B4200" t="inlineStr">
        <is>
          <t>2025-03-07 10:52:00</t>
        </is>
      </c>
      <c r="C4200" t="inlineStr">
        <is>
          <t>Organic Search</t>
        </is>
      </c>
      <c r="D4200" t="inlineStr">
        <is>
          <t>K-12 Math</t>
        </is>
      </c>
      <c r="E4200" t="inlineStr">
        <is>
          <t>South Region</t>
        </is>
      </c>
      <c r="F4200" t="inlineStr">
        <is>
          <t>Rep_07</t>
        </is>
      </c>
      <c r="G4200" t="n">
        <v>11.36</v>
      </c>
      <c r="H4200" t="inlineStr">
        <is>
          <t>Contacted</t>
        </is>
      </c>
      <c r="I4200" t="inlineStr">
        <is>
          <t>Open</t>
        </is>
      </c>
      <c r="M4200">
        <f>VLOOKUP(H4200,'Stage Order'!$A$2:$B$8,2,FALSE)</f>
        <v/>
      </c>
      <c r="N4200">
        <f>IF(G4200&lt;=1,"1. Under 1 hour",IF(G4200&lt;=24,"2. 1-24 hours",IF(G4200&lt;=72,"3. 1-3 days","4. Over 3 days")))</f>
        <v/>
      </c>
      <c r="O4200">
        <f>TEXT(B4200,"YYYY-MM")</f>
        <v/>
      </c>
    </row>
    <row r="4201">
      <c r="A4201" t="inlineStr">
        <is>
          <t>LD-304199</t>
        </is>
      </c>
      <c r="B4201" t="inlineStr">
        <is>
          <t>2026-04-24 19:37:00</t>
        </is>
      </c>
      <c r="C4201" t="inlineStr">
        <is>
          <t>Social Media</t>
        </is>
      </c>
      <c r="D4201" t="inlineStr">
        <is>
          <t>K-12 Math</t>
        </is>
      </c>
      <c r="E4201" t="inlineStr">
        <is>
          <t>East Region</t>
        </is>
      </c>
      <c r="F4201" t="inlineStr">
        <is>
          <t>Rep_04</t>
        </is>
      </c>
      <c r="G4201" t="n">
        <v>2.71</v>
      </c>
      <c r="H4201" t="inlineStr">
        <is>
          <t>Lead</t>
        </is>
      </c>
      <c r="I4201" t="inlineStr">
        <is>
          <t>Open</t>
        </is>
      </c>
      <c r="M4201">
        <f>VLOOKUP(H4201,'Stage Order'!$A$2:$B$8,2,FALSE)</f>
        <v/>
      </c>
      <c r="N4201">
        <f>IF(G4201&lt;=1,"1. Under 1 hour",IF(G4201&lt;=24,"2. 1-24 hours",IF(G4201&lt;=72,"3. 1-3 days","4. Over 3 days")))</f>
        <v/>
      </c>
      <c r="O4201">
        <f>TEXT(B4201,"YYYY-MM")</f>
        <v/>
      </c>
    </row>
    <row r="4202">
      <c r="A4202" t="inlineStr">
        <is>
          <t>LD-304200</t>
        </is>
      </c>
      <c r="B4202" t="inlineStr">
        <is>
          <t>2025-08-02 20:21:00</t>
        </is>
      </c>
      <c r="C4202" t="inlineStr">
        <is>
          <t>Paid Search</t>
        </is>
      </c>
      <c r="D4202" t="inlineStr">
        <is>
          <t>K-12 Math</t>
        </is>
      </c>
      <c r="E4202" t="inlineStr">
        <is>
          <t>East Region</t>
        </is>
      </c>
      <c r="F4202" t="inlineStr">
        <is>
          <t>Rep_14</t>
        </is>
      </c>
      <c r="G4202" t="n">
        <v>1.71</v>
      </c>
      <c r="H4202" t="inlineStr">
        <is>
          <t>Contacted</t>
        </is>
      </c>
      <c r="I4202" t="inlineStr">
        <is>
          <t>Open</t>
        </is>
      </c>
      <c r="M4202">
        <f>VLOOKUP(H4202,'Stage Order'!$A$2:$B$8,2,FALSE)</f>
        <v/>
      </c>
      <c r="N4202">
        <f>IF(G4202&lt;=1,"1. Under 1 hour",IF(G4202&lt;=24,"2. 1-24 hours",IF(G4202&lt;=72,"3. 1-3 days","4. Over 3 days")))</f>
        <v/>
      </c>
      <c r="O4202">
        <f>TEXT(B4202,"YYYY-MM")</f>
        <v/>
      </c>
    </row>
    <row r="4203">
      <c r="A4203" t="inlineStr">
        <is>
          <t>LD-304201</t>
        </is>
      </c>
      <c r="B4203" t="inlineStr">
        <is>
          <t>2026-05-06 11:20:00</t>
        </is>
      </c>
      <c r="C4203" t="inlineStr">
        <is>
          <t>Organic Search</t>
        </is>
      </c>
      <c r="D4203" t="inlineStr">
        <is>
          <t>K-12 Math</t>
        </is>
      </c>
      <c r="E4203" t="inlineStr">
        <is>
          <t>East Region</t>
        </is>
      </c>
      <c r="F4203" t="inlineStr">
        <is>
          <t>Rep_04</t>
        </is>
      </c>
      <c r="G4203" t="n">
        <v>0.72</v>
      </c>
      <c r="H4203" t="inlineStr">
        <is>
          <t>Closed</t>
        </is>
      </c>
      <c r="I4203" t="inlineStr">
        <is>
          <t>Won</t>
        </is>
      </c>
      <c r="K4203" t="n">
        <v>581.52</v>
      </c>
      <c r="L4203" t="inlineStr">
        <is>
          <t>2026-06-20 02:45:48.467825</t>
        </is>
      </c>
      <c r="M4203">
        <f>VLOOKUP(H4203,'Stage Order'!$A$2:$B$8,2,FALSE)</f>
        <v/>
      </c>
      <c r="N4203">
        <f>IF(G4203&lt;=1,"1. Under 1 hour",IF(G4203&lt;=24,"2. 1-24 hours",IF(G4203&lt;=72,"3. 1-3 days","4. Over 3 days")))</f>
        <v/>
      </c>
      <c r="O4203">
        <f>TEXT(B4203,"YYYY-MM")</f>
        <v/>
      </c>
    </row>
    <row r="4204">
      <c r="A4204" t="inlineStr">
        <is>
          <t>LD-304202</t>
        </is>
      </c>
      <c r="B4204" t="inlineStr">
        <is>
          <t>2025-02-24 14:01:00</t>
        </is>
      </c>
      <c r="C4204" t="inlineStr">
        <is>
          <t>Referral</t>
        </is>
      </c>
      <c r="D4204" t="inlineStr">
        <is>
          <t>Competitive Exam Prep</t>
        </is>
      </c>
      <c r="E4204" t="inlineStr">
        <is>
          <t>South Region</t>
        </is>
      </c>
      <c r="F4204" t="inlineStr">
        <is>
          <t>Rep_07</t>
        </is>
      </c>
      <c r="G4204" t="n">
        <v>4.86</v>
      </c>
      <c r="H4204" t="inlineStr">
        <is>
          <t>Contacted</t>
        </is>
      </c>
      <c r="I4204" t="inlineStr">
        <is>
          <t>Open</t>
        </is>
      </c>
      <c r="M4204">
        <f>VLOOKUP(H4204,'Stage Order'!$A$2:$B$8,2,FALSE)</f>
        <v/>
      </c>
      <c r="N4204">
        <f>IF(G4204&lt;=1,"1. Under 1 hour",IF(G4204&lt;=24,"2. 1-24 hours",IF(G4204&lt;=72,"3. 1-3 days","4. Over 3 days")))</f>
        <v/>
      </c>
      <c r="O4204">
        <f>TEXT(B4204,"YYYY-MM")</f>
        <v/>
      </c>
    </row>
    <row r="4205">
      <c r="A4205" t="inlineStr">
        <is>
          <t>LD-304203</t>
        </is>
      </c>
      <c r="B4205" t="inlineStr">
        <is>
          <t>2025-06-24 09:18:00</t>
        </is>
      </c>
      <c r="C4205" t="inlineStr">
        <is>
          <t>Organic Search</t>
        </is>
      </c>
      <c r="D4205" t="inlineStr">
        <is>
          <t>Coding for Kids</t>
        </is>
      </c>
      <c r="E4205" t="inlineStr">
        <is>
          <t>International</t>
        </is>
      </c>
      <c r="F4205" t="inlineStr">
        <is>
          <t>Rep_05</t>
        </is>
      </c>
      <c r="G4205" t="n">
        <v>2.51</v>
      </c>
      <c r="H4205" t="inlineStr">
        <is>
          <t>Demo Completed</t>
        </is>
      </c>
      <c r="I4205" t="inlineStr">
        <is>
          <t>Lost</t>
        </is>
      </c>
      <c r="J4205" t="inlineStr">
        <is>
          <t>Price Objection</t>
        </is>
      </c>
      <c r="K4205" t="n">
        <v>676.26</v>
      </c>
      <c r="L4205" t="inlineStr">
        <is>
          <t>2025-07-21 13:58:45.801874</t>
        </is>
      </c>
      <c r="M4205">
        <f>VLOOKUP(H4205,'Stage Order'!$A$2:$B$8,2,FALSE)</f>
        <v/>
      </c>
      <c r="N4205">
        <f>IF(G4205&lt;=1,"1. Under 1 hour",IF(G4205&lt;=24,"2. 1-24 hours",IF(G4205&lt;=72,"3. 1-3 days","4. Over 3 days")))</f>
        <v/>
      </c>
      <c r="O4205">
        <f>TEXT(B4205,"YYYY-MM")</f>
        <v/>
      </c>
    </row>
    <row r="4206">
      <c r="A4206" t="inlineStr">
        <is>
          <t>LD-304204</t>
        </is>
      </c>
      <c r="B4206" t="inlineStr">
        <is>
          <t>2025-06-07 20:34:00</t>
        </is>
      </c>
      <c r="C4206" t="inlineStr">
        <is>
          <t>Organic Search</t>
        </is>
      </c>
      <c r="D4206" t="inlineStr">
        <is>
          <t>Competitive Exam Prep</t>
        </is>
      </c>
      <c r="E4206" t="inlineStr">
        <is>
          <t>West Region</t>
        </is>
      </c>
      <c r="F4206" t="inlineStr">
        <is>
          <t>Rep_13</t>
        </is>
      </c>
      <c r="G4206" t="n">
        <v>4.45</v>
      </c>
      <c r="H4206" t="inlineStr">
        <is>
          <t>Contacted</t>
        </is>
      </c>
      <c r="I4206" t="inlineStr">
        <is>
          <t>Open</t>
        </is>
      </c>
      <c r="M4206">
        <f>VLOOKUP(H4206,'Stage Order'!$A$2:$B$8,2,FALSE)</f>
        <v/>
      </c>
      <c r="N4206">
        <f>IF(G4206&lt;=1,"1. Under 1 hour",IF(G4206&lt;=24,"2. 1-24 hours",IF(G4206&lt;=72,"3. 1-3 days","4. Over 3 days")))</f>
        <v/>
      </c>
      <c r="O4206">
        <f>TEXT(B4206,"YYYY-MM")</f>
        <v/>
      </c>
    </row>
    <row r="4207">
      <c r="A4207" t="inlineStr">
        <is>
          <t>LD-304205</t>
        </is>
      </c>
      <c r="B4207" t="inlineStr">
        <is>
          <t>2025-08-08 13:39:00</t>
        </is>
      </c>
      <c r="C4207" t="inlineStr">
        <is>
          <t>Organic Search</t>
        </is>
      </c>
      <c r="D4207" t="inlineStr">
        <is>
          <t>Coding for Kids</t>
        </is>
      </c>
      <c r="E4207" t="inlineStr">
        <is>
          <t>South Region</t>
        </is>
      </c>
      <c r="F4207" t="inlineStr">
        <is>
          <t>Rep_02</t>
        </is>
      </c>
      <c r="G4207" t="n">
        <v>7.35</v>
      </c>
      <c r="H4207" t="inlineStr">
        <is>
          <t>Contacted</t>
        </is>
      </c>
      <c r="I4207" t="inlineStr">
        <is>
          <t>Open</t>
        </is>
      </c>
      <c r="M4207">
        <f>VLOOKUP(H4207,'Stage Order'!$A$2:$B$8,2,FALSE)</f>
        <v/>
      </c>
      <c r="N4207">
        <f>IF(G4207&lt;=1,"1. Under 1 hour",IF(G4207&lt;=24,"2. 1-24 hours",IF(G4207&lt;=72,"3. 1-3 days","4. Over 3 days")))</f>
        <v/>
      </c>
      <c r="O4207">
        <f>TEXT(B4207,"YYYY-MM")</f>
        <v/>
      </c>
    </row>
    <row r="4208">
      <c r="A4208" t="inlineStr">
        <is>
          <t>LD-304206</t>
        </is>
      </c>
      <c r="B4208" t="inlineStr">
        <is>
          <t>2025-01-08 16:10:00</t>
        </is>
      </c>
      <c r="C4208" t="inlineStr">
        <is>
          <t>Partner Channel</t>
        </is>
      </c>
      <c r="D4208" t="inlineStr">
        <is>
          <t>Coding for Kids</t>
        </is>
      </c>
      <c r="E4208" t="inlineStr">
        <is>
          <t>International</t>
        </is>
      </c>
      <c r="F4208" t="inlineStr">
        <is>
          <t>Rep_10</t>
        </is>
      </c>
      <c r="G4208" t="n">
        <v>2.54</v>
      </c>
      <c r="H4208" t="inlineStr">
        <is>
          <t>Contacted</t>
        </is>
      </c>
      <c r="I4208" t="inlineStr">
        <is>
          <t>Open</t>
        </is>
      </c>
      <c r="M4208">
        <f>VLOOKUP(H4208,'Stage Order'!$A$2:$B$8,2,FALSE)</f>
        <v/>
      </c>
      <c r="N4208">
        <f>IF(G4208&lt;=1,"1. Under 1 hour",IF(G4208&lt;=24,"2. 1-24 hours",IF(G4208&lt;=72,"3. 1-3 days","4. Over 3 days")))</f>
        <v/>
      </c>
      <c r="O4208">
        <f>TEXT(B4208,"YYYY-MM")</f>
        <v/>
      </c>
    </row>
    <row r="4209">
      <c r="A4209" t="inlineStr">
        <is>
          <t>LD-304207</t>
        </is>
      </c>
      <c r="B4209" t="inlineStr">
        <is>
          <t>2026-04-23 09:05:00</t>
        </is>
      </c>
      <c r="C4209" t="inlineStr">
        <is>
          <t>Webinar</t>
        </is>
      </c>
      <c r="D4209" t="inlineStr">
        <is>
          <t>Study Abroad Prep</t>
        </is>
      </c>
      <c r="E4209" t="inlineStr">
        <is>
          <t>North Region</t>
        </is>
      </c>
      <c r="F4209" t="inlineStr">
        <is>
          <t>Rep_06</t>
        </is>
      </c>
      <c r="G4209" t="n">
        <v>5.6</v>
      </c>
      <c r="H4209" t="inlineStr">
        <is>
          <t>Contacted</t>
        </is>
      </c>
      <c r="I4209" t="inlineStr">
        <is>
          <t>Open</t>
        </is>
      </c>
      <c r="M4209">
        <f>VLOOKUP(H4209,'Stage Order'!$A$2:$B$8,2,FALSE)</f>
        <v/>
      </c>
      <c r="N4209">
        <f>IF(G4209&lt;=1,"1. Under 1 hour",IF(G4209&lt;=24,"2. 1-24 hours",IF(G4209&lt;=72,"3. 1-3 days","4. Over 3 days")))</f>
        <v/>
      </c>
      <c r="O4209">
        <f>TEXT(B4209,"YYYY-MM")</f>
        <v/>
      </c>
    </row>
    <row r="4210">
      <c r="A4210" t="inlineStr">
        <is>
          <t>LD-304208</t>
        </is>
      </c>
      <c r="B4210" t="inlineStr">
        <is>
          <t>2025-11-10 11:40:00</t>
        </is>
      </c>
      <c r="C4210" t="inlineStr">
        <is>
          <t>Social Media</t>
        </is>
      </c>
      <c r="D4210" t="inlineStr">
        <is>
          <t>K-12 Math</t>
        </is>
      </c>
      <c r="E4210" t="inlineStr">
        <is>
          <t>International</t>
        </is>
      </c>
      <c r="F4210" t="inlineStr">
        <is>
          <t>Rep_10</t>
        </is>
      </c>
      <c r="G4210" t="n">
        <v>1.04</v>
      </c>
      <c r="H4210" t="inlineStr">
        <is>
          <t>Contacted</t>
        </is>
      </c>
      <c r="I4210" t="inlineStr">
        <is>
          <t>Open</t>
        </is>
      </c>
      <c r="M4210">
        <f>VLOOKUP(H4210,'Stage Order'!$A$2:$B$8,2,FALSE)</f>
        <v/>
      </c>
      <c r="N4210">
        <f>IF(G4210&lt;=1,"1. Under 1 hour",IF(G4210&lt;=24,"2. 1-24 hours",IF(G4210&lt;=72,"3. 1-3 days","4. Over 3 days")))</f>
        <v/>
      </c>
      <c r="O4210">
        <f>TEXT(B4210,"YYYY-MM")</f>
        <v/>
      </c>
    </row>
    <row r="4211">
      <c r="A4211" t="inlineStr">
        <is>
          <t>LD-304209</t>
        </is>
      </c>
      <c r="B4211" t="inlineStr">
        <is>
          <t>2025-04-29 10:30:00</t>
        </is>
      </c>
      <c r="C4211" t="inlineStr">
        <is>
          <t>Organic Search</t>
        </is>
      </c>
      <c r="D4211" t="inlineStr">
        <is>
          <t>K-12 Math</t>
        </is>
      </c>
      <c r="E4211" t="inlineStr">
        <is>
          <t>East Region</t>
        </is>
      </c>
      <c r="F4211" t="inlineStr">
        <is>
          <t>Rep_04</t>
        </is>
      </c>
      <c r="G4211" t="n">
        <v>10</v>
      </c>
      <c r="H4211" t="inlineStr">
        <is>
          <t>Lead</t>
        </is>
      </c>
      <c r="I4211" t="inlineStr">
        <is>
          <t>Open</t>
        </is>
      </c>
      <c r="M4211">
        <f>VLOOKUP(H4211,'Stage Order'!$A$2:$B$8,2,FALSE)</f>
        <v/>
      </c>
      <c r="N4211">
        <f>IF(G4211&lt;=1,"1. Under 1 hour",IF(G4211&lt;=24,"2. 1-24 hours",IF(G4211&lt;=72,"3. 1-3 days","4. Over 3 days")))</f>
        <v/>
      </c>
      <c r="O4211">
        <f>TEXT(B4211,"YYYY-MM")</f>
        <v/>
      </c>
    </row>
    <row r="4212">
      <c r="A4212" t="inlineStr">
        <is>
          <t>LD-304210</t>
        </is>
      </c>
      <c r="B4212" t="inlineStr">
        <is>
          <t>2025-02-27 07:17:00</t>
        </is>
      </c>
      <c r="C4212" t="inlineStr">
        <is>
          <t>Organic Search</t>
        </is>
      </c>
      <c r="D4212" t="inlineStr">
        <is>
          <t>K-12 Math</t>
        </is>
      </c>
      <c r="E4212" t="inlineStr">
        <is>
          <t>North Region</t>
        </is>
      </c>
      <c r="F4212" t="inlineStr">
        <is>
          <t>Rep_01</t>
        </is>
      </c>
      <c r="G4212" t="n">
        <v>2.64</v>
      </c>
      <c r="H4212" t="inlineStr">
        <is>
          <t>Negotiation</t>
        </is>
      </c>
      <c r="I4212" t="inlineStr">
        <is>
          <t>Lost</t>
        </is>
      </c>
      <c r="J4212" t="inlineStr">
        <is>
          <t>Price Objection</t>
        </is>
      </c>
      <c r="K4212" t="n">
        <v>521.72</v>
      </c>
      <c r="L4212" t="inlineStr">
        <is>
          <t>2025-04-11 12:07:00.371382</t>
        </is>
      </c>
      <c r="M4212">
        <f>VLOOKUP(H4212,'Stage Order'!$A$2:$B$8,2,FALSE)</f>
        <v/>
      </c>
      <c r="N4212">
        <f>IF(G4212&lt;=1,"1. Under 1 hour",IF(G4212&lt;=24,"2. 1-24 hours",IF(G4212&lt;=72,"3. 1-3 days","4. Over 3 days")))</f>
        <v/>
      </c>
      <c r="O4212">
        <f>TEXT(B4212,"YYYY-MM")</f>
        <v/>
      </c>
    </row>
    <row r="4213">
      <c r="A4213" t="inlineStr">
        <is>
          <t>LD-304211</t>
        </is>
      </c>
      <c r="B4213" t="inlineStr">
        <is>
          <t>2025-06-15 11:05:00</t>
        </is>
      </c>
      <c r="C4213" t="inlineStr">
        <is>
          <t>Social Media</t>
        </is>
      </c>
      <c r="D4213" t="inlineStr">
        <is>
          <t>K-12 Math</t>
        </is>
      </c>
      <c r="E4213" t="inlineStr">
        <is>
          <t>West Region</t>
        </is>
      </c>
      <c r="F4213" t="inlineStr">
        <is>
          <t>Rep_13</t>
        </is>
      </c>
      <c r="G4213" t="n">
        <v>1.28</v>
      </c>
      <c r="H4213" t="inlineStr">
        <is>
          <t>Lead</t>
        </is>
      </c>
      <c r="I4213" t="inlineStr">
        <is>
          <t>Open</t>
        </is>
      </c>
      <c r="M4213">
        <f>VLOOKUP(H4213,'Stage Order'!$A$2:$B$8,2,FALSE)</f>
        <v/>
      </c>
      <c r="N4213">
        <f>IF(G4213&lt;=1,"1. Under 1 hour",IF(G4213&lt;=24,"2. 1-24 hours",IF(G4213&lt;=72,"3. 1-3 days","4. Over 3 days")))</f>
        <v/>
      </c>
      <c r="O4213">
        <f>TEXT(B4213,"YYYY-MM")</f>
        <v/>
      </c>
    </row>
    <row r="4214">
      <c r="A4214" t="inlineStr">
        <is>
          <t>LD-304212</t>
        </is>
      </c>
      <c r="B4214" t="inlineStr">
        <is>
          <t>2025-05-20 07:53:00</t>
        </is>
      </c>
      <c r="C4214" t="inlineStr">
        <is>
          <t>Webinar</t>
        </is>
      </c>
      <c r="D4214" t="inlineStr">
        <is>
          <t>Study Abroad Prep</t>
        </is>
      </c>
      <c r="E4214" t="inlineStr">
        <is>
          <t>East Region</t>
        </is>
      </c>
      <c r="F4214" t="inlineStr">
        <is>
          <t>Rep_04</t>
        </is>
      </c>
      <c r="G4214" t="n">
        <v>1.06</v>
      </c>
      <c r="H4214" t="inlineStr">
        <is>
          <t>Demo Completed</t>
        </is>
      </c>
      <c r="I4214" t="inlineStr">
        <is>
          <t>Lost</t>
        </is>
      </c>
      <c r="J4214" t="inlineStr">
        <is>
          <t>Bad Timing</t>
        </is>
      </c>
      <c r="K4214" t="n">
        <v>1430.98</v>
      </c>
      <c r="L4214" t="inlineStr">
        <is>
          <t>2025-06-18 12:21:04.667234</t>
        </is>
      </c>
      <c r="M4214">
        <f>VLOOKUP(H4214,'Stage Order'!$A$2:$B$8,2,FALSE)</f>
        <v/>
      </c>
      <c r="N4214">
        <f>IF(G4214&lt;=1,"1. Under 1 hour",IF(G4214&lt;=24,"2. 1-24 hours",IF(G4214&lt;=72,"3. 1-3 days","4. Over 3 days")))</f>
        <v/>
      </c>
      <c r="O4214">
        <f>TEXT(B4214,"YYYY-MM")</f>
        <v/>
      </c>
    </row>
    <row r="4215">
      <c r="A4215" t="inlineStr">
        <is>
          <t>LD-304213</t>
        </is>
      </c>
      <c r="B4215" t="inlineStr">
        <is>
          <t>2025-03-21 16:57:00</t>
        </is>
      </c>
      <c r="C4215" t="inlineStr">
        <is>
          <t>Cold Outreach</t>
        </is>
      </c>
      <c r="D4215" t="inlineStr">
        <is>
          <t>Language Learning</t>
        </is>
      </c>
      <c r="E4215" t="inlineStr">
        <is>
          <t>East Region</t>
        </is>
      </c>
      <c r="F4215" t="inlineStr">
        <is>
          <t>Rep_04</t>
        </is>
      </c>
      <c r="G4215" t="n">
        <v>2.14</v>
      </c>
      <c r="H4215" t="inlineStr">
        <is>
          <t>Lead</t>
        </is>
      </c>
      <c r="I4215" t="inlineStr">
        <is>
          <t>Open</t>
        </is>
      </c>
      <c r="M4215">
        <f>VLOOKUP(H4215,'Stage Order'!$A$2:$B$8,2,FALSE)</f>
        <v/>
      </c>
      <c r="N4215">
        <f>IF(G4215&lt;=1,"1. Under 1 hour",IF(G4215&lt;=24,"2. 1-24 hours",IF(G4215&lt;=72,"3. 1-3 days","4. Over 3 days")))</f>
        <v/>
      </c>
      <c r="O4215">
        <f>TEXT(B4215,"YYYY-MM")</f>
        <v/>
      </c>
    </row>
    <row r="4216">
      <c r="A4216" t="inlineStr">
        <is>
          <t>LD-304214</t>
        </is>
      </c>
      <c r="B4216" t="inlineStr">
        <is>
          <t>2026-04-13 14:47:00</t>
        </is>
      </c>
      <c r="C4216" t="inlineStr">
        <is>
          <t>Paid Search</t>
        </is>
      </c>
      <c r="D4216" t="inlineStr">
        <is>
          <t>Competitive Exam Prep</t>
        </is>
      </c>
      <c r="E4216" t="inlineStr">
        <is>
          <t>West Region</t>
        </is>
      </c>
      <c r="F4216" t="inlineStr">
        <is>
          <t>Rep_08</t>
        </is>
      </c>
      <c r="G4216" t="n">
        <v>3.68</v>
      </c>
      <c r="H4216" t="inlineStr">
        <is>
          <t>Proposal Sent</t>
        </is>
      </c>
      <c r="I4216" t="inlineStr">
        <is>
          <t>Lost</t>
        </is>
      </c>
      <c r="J4216" t="inlineStr">
        <is>
          <t>No Response / Ghosted</t>
        </is>
      </c>
      <c r="K4216" t="n">
        <v>1068.57</v>
      </c>
      <c r="L4216" t="inlineStr">
        <is>
          <t>2026-05-08 09:06:12.365010</t>
        </is>
      </c>
      <c r="M4216">
        <f>VLOOKUP(H4216,'Stage Order'!$A$2:$B$8,2,FALSE)</f>
        <v/>
      </c>
      <c r="N4216">
        <f>IF(G4216&lt;=1,"1. Under 1 hour",IF(G4216&lt;=24,"2. 1-24 hours",IF(G4216&lt;=72,"3. 1-3 days","4. Over 3 days")))</f>
        <v/>
      </c>
      <c r="O4216">
        <f>TEXT(B4216,"YYYY-MM")</f>
        <v/>
      </c>
    </row>
    <row r="4217">
      <c r="A4217" t="inlineStr">
        <is>
          <t>LD-304215</t>
        </is>
      </c>
      <c r="B4217" t="inlineStr">
        <is>
          <t>2025-11-11 13:09:00</t>
        </is>
      </c>
      <c r="C4217" t="inlineStr">
        <is>
          <t>Referral</t>
        </is>
      </c>
      <c r="D4217" t="inlineStr">
        <is>
          <t>Coding for Kids</t>
        </is>
      </c>
      <c r="E4217" t="inlineStr">
        <is>
          <t>North Region</t>
        </is>
      </c>
      <c r="F4217" t="inlineStr">
        <is>
          <t>Rep_01</t>
        </is>
      </c>
      <c r="G4217" t="n">
        <v>1.67</v>
      </c>
      <c r="H4217" t="inlineStr">
        <is>
          <t>Contacted</t>
        </is>
      </c>
      <c r="I4217" t="inlineStr">
        <is>
          <t>Open</t>
        </is>
      </c>
      <c r="M4217">
        <f>VLOOKUP(H4217,'Stage Order'!$A$2:$B$8,2,FALSE)</f>
        <v/>
      </c>
      <c r="N4217">
        <f>IF(G4217&lt;=1,"1. Under 1 hour",IF(G4217&lt;=24,"2. 1-24 hours",IF(G4217&lt;=72,"3. 1-3 days","4. Over 3 days")))</f>
        <v/>
      </c>
      <c r="O4217">
        <f>TEXT(B4217,"YYYY-MM")</f>
        <v/>
      </c>
    </row>
    <row r="4218">
      <c r="A4218" t="inlineStr">
        <is>
          <t>LD-304216</t>
        </is>
      </c>
      <c r="B4218" t="inlineStr">
        <is>
          <t>2025-10-03 15:18:00</t>
        </is>
      </c>
      <c r="C4218" t="inlineStr">
        <is>
          <t>Partner Channel</t>
        </is>
      </c>
      <c r="D4218" t="inlineStr">
        <is>
          <t>K-12 Math</t>
        </is>
      </c>
      <c r="E4218" t="inlineStr">
        <is>
          <t>South Region</t>
        </is>
      </c>
      <c r="F4218" t="inlineStr">
        <is>
          <t>Rep_07</t>
        </is>
      </c>
      <c r="G4218" t="n">
        <v>0.79</v>
      </c>
      <c r="H4218" t="inlineStr">
        <is>
          <t>Closed</t>
        </is>
      </c>
      <c r="I4218" t="inlineStr">
        <is>
          <t>Won</t>
        </is>
      </c>
      <c r="K4218" t="n">
        <v>549.58</v>
      </c>
      <c r="L4218" t="inlineStr">
        <is>
          <t>2025-11-10 08:45:40.180925</t>
        </is>
      </c>
      <c r="M4218">
        <f>VLOOKUP(H4218,'Stage Order'!$A$2:$B$8,2,FALSE)</f>
        <v/>
      </c>
      <c r="N4218">
        <f>IF(G4218&lt;=1,"1. Under 1 hour",IF(G4218&lt;=24,"2. 1-24 hours",IF(G4218&lt;=72,"3. 1-3 days","4. Over 3 days")))</f>
        <v/>
      </c>
      <c r="O4218">
        <f>TEXT(B4218,"YYYY-MM")</f>
        <v/>
      </c>
    </row>
    <row r="4219">
      <c r="A4219" t="inlineStr">
        <is>
          <t>LD-304217</t>
        </is>
      </c>
      <c r="B4219" t="inlineStr">
        <is>
          <t>2026-05-07 15:36:00</t>
        </is>
      </c>
      <c r="C4219" t="inlineStr">
        <is>
          <t>Paid Search</t>
        </is>
      </c>
      <c r="D4219" t="inlineStr">
        <is>
          <t>Coding for Kids</t>
        </is>
      </c>
      <c r="E4219" t="inlineStr">
        <is>
          <t>East Region</t>
        </is>
      </c>
      <c r="F4219" t="inlineStr">
        <is>
          <t>Rep_09</t>
        </is>
      </c>
      <c r="G4219" t="n">
        <v>4.18</v>
      </c>
      <c r="H4219" t="inlineStr">
        <is>
          <t>Demo Completed</t>
        </is>
      </c>
      <c r="I4219" t="inlineStr">
        <is>
          <t>Lost</t>
        </is>
      </c>
      <c r="J4219" t="inlineStr">
        <is>
          <t>Bad Timing</t>
        </is>
      </c>
      <c r="K4219" t="n">
        <v>597.6799999999999</v>
      </c>
      <c r="L4219" t="inlineStr">
        <is>
          <t>2026-06-26 22:08:05.644484</t>
        </is>
      </c>
      <c r="M4219">
        <f>VLOOKUP(H4219,'Stage Order'!$A$2:$B$8,2,FALSE)</f>
        <v/>
      </c>
      <c r="N4219">
        <f>IF(G4219&lt;=1,"1. Under 1 hour",IF(G4219&lt;=24,"2. 1-24 hours",IF(G4219&lt;=72,"3. 1-3 days","4. Over 3 days")))</f>
        <v/>
      </c>
      <c r="O4219">
        <f>TEXT(B4219,"YYYY-MM")</f>
        <v/>
      </c>
    </row>
    <row r="4220">
      <c r="A4220" t="inlineStr">
        <is>
          <t>LD-304218</t>
        </is>
      </c>
      <c r="B4220" t="inlineStr">
        <is>
          <t>2025-10-20 08:17:00</t>
        </is>
      </c>
      <c r="C4220" t="inlineStr">
        <is>
          <t>Cold Outreach</t>
        </is>
      </c>
      <c r="D4220" t="inlineStr">
        <is>
          <t>K-12 Math</t>
        </is>
      </c>
      <c r="E4220" t="inlineStr">
        <is>
          <t>South Region</t>
        </is>
      </c>
      <c r="F4220" t="inlineStr">
        <is>
          <t>Rep_12</t>
        </is>
      </c>
      <c r="G4220" t="n">
        <v>4.61</v>
      </c>
      <c r="H4220" t="inlineStr">
        <is>
          <t>Lead</t>
        </is>
      </c>
      <c r="I4220" t="inlineStr">
        <is>
          <t>Open</t>
        </is>
      </c>
      <c r="M4220">
        <f>VLOOKUP(H4220,'Stage Order'!$A$2:$B$8,2,FALSE)</f>
        <v/>
      </c>
      <c r="N4220">
        <f>IF(G4220&lt;=1,"1. Under 1 hour",IF(G4220&lt;=24,"2. 1-24 hours",IF(G4220&lt;=72,"3. 1-3 days","4. Over 3 days")))</f>
        <v/>
      </c>
      <c r="O4220">
        <f>TEXT(B4220,"YYYY-MM")</f>
        <v/>
      </c>
    </row>
    <row r="4221">
      <c r="A4221" t="inlineStr">
        <is>
          <t>LD-304219</t>
        </is>
      </c>
      <c r="B4221" t="inlineStr">
        <is>
          <t>2025-11-17 18:53:00</t>
        </is>
      </c>
      <c r="C4221" t="inlineStr">
        <is>
          <t>Organic Search</t>
        </is>
      </c>
      <c r="D4221" t="inlineStr">
        <is>
          <t>K-12 Math</t>
        </is>
      </c>
      <c r="E4221" t="inlineStr">
        <is>
          <t>West Region</t>
        </is>
      </c>
      <c r="F4221" t="inlineStr">
        <is>
          <t>Rep_03</t>
        </is>
      </c>
      <c r="G4221" t="n">
        <v>4.12</v>
      </c>
      <c r="H4221" t="inlineStr">
        <is>
          <t>Contacted</t>
        </is>
      </c>
      <c r="I4221" t="inlineStr">
        <is>
          <t>Open</t>
        </is>
      </c>
      <c r="M4221">
        <f>VLOOKUP(H4221,'Stage Order'!$A$2:$B$8,2,FALSE)</f>
        <v/>
      </c>
      <c r="N4221">
        <f>IF(G4221&lt;=1,"1. Under 1 hour",IF(G4221&lt;=24,"2. 1-24 hours",IF(G4221&lt;=72,"3. 1-3 days","4. Over 3 days")))</f>
        <v/>
      </c>
      <c r="O4221">
        <f>TEXT(B4221,"YYYY-MM")</f>
        <v/>
      </c>
    </row>
    <row r="4222">
      <c r="A4222" t="inlineStr">
        <is>
          <t>LD-304220</t>
        </is>
      </c>
      <c r="B4222" t="inlineStr">
        <is>
          <t>2025-05-02 15:18:00</t>
        </is>
      </c>
      <c r="C4222" t="inlineStr">
        <is>
          <t>Social Media</t>
        </is>
      </c>
      <c r="D4222" t="inlineStr">
        <is>
          <t>Coding for Kids</t>
        </is>
      </c>
      <c r="E4222" t="inlineStr">
        <is>
          <t>West Region</t>
        </is>
      </c>
      <c r="F4222" t="inlineStr">
        <is>
          <t>Rep_03</t>
        </is>
      </c>
      <c r="G4222" t="n">
        <v>3.22</v>
      </c>
      <c r="H4222" t="inlineStr">
        <is>
          <t>Demo Completed</t>
        </is>
      </c>
      <c r="I4222" t="inlineStr">
        <is>
          <t>Lost</t>
        </is>
      </c>
      <c r="J4222" t="inlineStr">
        <is>
          <t>Bad Timing</t>
        </is>
      </c>
      <c r="K4222" t="n">
        <v>708.6</v>
      </c>
      <c r="L4222" t="inlineStr">
        <is>
          <t>2025-05-23 01:48:45.997332</t>
        </is>
      </c>
      <c r="M4222">
        <f>VLOOKUP(H4222,'Stage Order'!$A$2:$B$8,2,FALSE)</f>
        <v/>
      </c>
      <c r="N4222">
        <f>IF(G4222&lt;=1,"1. Under 1 hour",IF(G4222&lt;=24,"2. 1-24 hours",IF(G4222&lt;=72,"3. 1-3 days","4. Over 3 days")))</f>
        <v/>
      </c>
      <c r="O4222">
        <f>TEXT(B4222,"YYYY-MM")</f>
        <v/>
      </c>
    </row>
    <row r="4223">
      <c r="A4223" t="inlineStr">
        <is>
          <t>LD-304221</t>
        </is>
      </c>
      <c r="B4223" t="inlineStr">
        <is>
          <t>2025-06-12 09:19:00</t>
        </is>
      </c>
      <c r="C4223" t="inlineStr">
        <is>
          <t>Organic Search</t>
        </is>
      </c>
      <c r="D4223" t="inlineStr">
        <is>
          <t>Competitive Exam Prep</t>
        </is>
      </c>
      <c r="E4223" t="inlineStr">
        <is>
          <t>East Region</t>
        </is>
      </c>
      <c r="F4223" t="inlineStr">
        <is>
          <t>Rep_09</t>
        </is>
      </c>
      <c r="G4223" t="n">
        <v>1.11</v>
      </c>
      <c r="H4223" t="inlineStr">
        <is>
          <t>Contacted</t>
        </is>
      </c>
      <c r="I4223" t="inlineStr">
        <is>
          <t>Open</t>
        </is>
      </c>
      <c r="M4223">
        <f>VLOOKUP(H4223,'Stage Order'!$A$2:$B$8,2,FALSE)</f>
        <v/>
      </c>
      <c r="N4223">
        <f>IF(G4223&lt;=1,"1. Under 1 hour",IF(G4223&lt;=24,"2. 1-24 hours",IF(G4223&lt;=72,"3. 1-3 days","4. Over 3 days")))</f>
        <v/>
      </c>
      <c r="O4223">
        <f>TEXT(B4223,"YYYY-MM")</f>
        <v/>
      </c>
    </row>
    <row r="4224">
      <c r="A4224" t="inlineStr">
        <is>
          <t>LD-304222</t>
        </is>
      </c>
      <c r="B4224" t="inlineStr">
        <is>
          <t>2026-03-23 13:02:00</t>
        </is>
      </c>
      <c r="C4224" t="inlineStr">
        <is>
          <t>Webinar</t>
        </is>
      </c>
      <c r="D4224" t="inlineStr">
        <is>
          <t>K-12 Math</t>
        </is>
      </c>
      <c r="E4224" t="inlineStr">
        <is>
          <t>North Region</t>
        </is>
      </c>
      <c r="F4224" t="inlineStr">
        <is>
          <t>Rep_01</t>
        </is>
      </c>
      <c r="G4224" t="n">
        <v>0.9399999999999999</v>
      </c>
      <c r="H4224" t="inlineStr">
        <is>
          <t>Closed</t>
        </is>
      </c>
      <c r="I4224" t="inlineStr">
        <is>
          <t>Won</t>
        </is>
      </c>
      <c r="K4224" t="n">
        <v>588.51</v>
      </c>
      <c r="L4224" t="inlineStr">
        <is>
          <t>2026-05-05 18:51:05.209769</t>
        </is>
      </c>
      <c r="M4224">
        <f>VLOOKUP(H4224,'Stage Order'!$A$2:$B$8,2,FALSE)</f>
        <v/>
      </c>
      <c r="N4224">
        <f>IF(G4224&lt;=1,"1. Under 1 hour",IF(G4224&lt;=24,"2. 1-24 hours",IF(G4224&lt;=72,"3. 1-3 days","4. Over 3 days")))</f>
        <v/>
      </c>
      <c r="O4224">
        <f>TEXT(B4224,"YYYY-MM")</f>
        <v/>
      </c>
    </row>
    <row r="4225">
      <c r="A4225" t="inlineStr">
        <is>
          <t>LD-304223</t>
        </is>
      </c>
      <c r="B4225" t="inlineStr">
        <is>
          <t>2025-12-13 14:27:00</t>
        </is>
      </c>
      <c r="C4225" t="inlineStr">
        <is>
          <t>Paid Search</t>
        </is>
      </c>
      <c r="D4225" t="inlineStr">
        <is>
          <t>K-12 Math</t>
        </is>
      </c>
      <c r="E4225" t="inlineStr">
        <is>
          <t>West Region</t>
        </is>
      </c>
      <c r="F4225" t="inlineStr">
        <is>
          <t>Rep_13</t>
        </is>
      </c>
      <c r="G4225" t="n">
        <v>3.78</v>
      </c>
      <c r="H4225" t="inlineStr">
        <is>
          <t>Lead</t>
        </is>
      </c>
      <c r="I4225" t="inlineStr">
        <is>
          <t>Open</t>
        </is>
      </c>
      <c r="M4225">
        <f>VLOOKUP(H4225,'Stage Order'!$A$2:$B$8,2,FALSE)</f>
        <v/>
      </c>
      <c r="N4225">
        <f>IF(G4225&lt;=1,"1. Under 1 hour",IF(G4225&lt;=24,"2. 1-24 hours",IF(G4225&lt;=72,"3. 1-3 days","4. Over 3 days")))</f>
        <v/>
      </c>
      <c r="O4225">
        <f>TEXT(B4225,"YYYY-MM")</f>
        <v/>
      </c>
    </row>
    <row r="4226">
      <c r="A4226" t="inlineStr">
        <is>
          <t>LD-304224</t>
        </is>
      </c>
      <c r="B4226" t="inlineStr">
        <is>
          <t>2026-05-09 15:18:00</t>
        </is>
      </c>
      <c r="C4226" t="inlineStr">
        <is>
          <t>Paid Search</t>
        </is>
      </c>
      <c r="D4226" t="inlineStr">
        <is>
          <t>K-12 Math</t>
        </is>
      </c>
      <c r="E4226" t="inlineStr">
        <is>
          <t>South Region</t>
        </is>
      </c>
      <c r="F4226" t="inlineStr">
        <is>
          <t>Rep_02</t>
        </is>
      </c>
      <c r="G4226" t="n">
        <v>9.09</v>
      </c>
      <c r="H4226" t="inlineStr">
        <is>
          <t>Negotiation</t>
        </is>
      </c>
      <c r="I4226" t="inlineStr">
        <is>
          <t>Lost</t>
        </is>
      </c>
      <c r="J4226" t="inlineStr">
        <is>
          <t>Went With Competitor</t>
        </is>
      </c>
      <c r="K4226" t="n">
        <v>519.34</v>
      </c>
      <c r="L4226" t="inlineStr">
        <is>
          <t>2026-07-04 11:29:48.119597</t>
        </is>
      </c>
      <c r="M4226">
        <f>VLOOKUP(H4226,'Stage Order'!$A$2:$B$8,2,FALSE)</f>
        <v/>
      </c>
      <c r="N4226">
        <f>IF(G4226&lt;=1,"1. Under 1 hour",IF(G4226&lt;=24,"2. 1-24 hours",IF(G4226&lt;=72,"3. 1-3 days","4. Over 3 days")))</f>
        <v/>
      </c>
      <c r="O4226">
        <f>TEXT(B4226,"YYYY-MM")</f>
        <v/>
      </c>
    </row>
    <row r="4227">
      <c r="A4227" t="inlineStr">
        <is>
          <t>LD-304225</t>
        </is>
      </c>
      <c r="B4227" t="inlineStr">
        <is>
          <t>2026-01-01 08:09:00</t>
        </is>
      </c>
      <c r="C4227" t="inlineStr">
        <is>
          <t>Social Media</t>
        </is>
      </c>
      <c r="D4227" t="inlineStr">
        <is>
          <t>Coding for Kids</t>
        </is>
      </c>
      <c r="E4227" t="inlineStr">
        <is>
          <t>East Region</t>
        </is>
      </c>
      <c r="F4227" t="inlineStr">
        <is>
          <t>Rep_09</t>
        </is>
      </c>
      <c r="G4227" t="n">
        <v>1.85</v>
      </c>
      <c r="H4227" t="inlineStr">
        <is>
          <t>Lead</t>
        </is>
      </c>
      <c r="I4227" t="inlineStr">
        <is>
          <t>Open</t>
        </is>
      </c>
      <c r="M4227">
        <f>VLOOKUP(H4227,'Stage Order'!$A$2:$B$8,2,FALSE)</f>
        <v/>
      </c>
      <c r="N4227">
        <f>IF(G4227&lt;=1,"1. Under 1 hour",IF(G4227&lt;=24,"2. 1-24 hours",IF(G4227&lt;=72,"3. 1-3 days","4. Over 3 days")))</f>
        <v/>
      </c>
      <c r="O4227">
        <f>TEXT(B4227,"YYYY-MM")</f>
        <v/>
      </c>
    </row>
    <row r="4228">
      <c r="A4228" t="inlineStr">
        <is>
          <t>LD-304226</t>
        </is>
      </c>
      <c r="B4228" t="inlineStr">
        <is>
          <t>2025-09-16 20:19:00</t>
        </is>
      </c>
      <c r="C4228" t="inlineStr">
        <is>
          <t>Social Media</t>
        </is>
      </c>
      <c r="D4228" t="inlineStr">
        <is>
          <t>Competitive Exam Prep</t>
        </is>
      </c>
      <c r="E4228" t="inlineStr">
        <is>
          <t>West Region</t>
        </is>
      </c>
      <c r="F4228" t="inlineStr">
        <is>
          <t>Rep_13</t>
        </is>
      </c>
      <c r="G4228" t="n">
        <v>1.25</v>
      </c>
      <c r="H4228" t="inlineStr">
        <is>
          <t>Lead</t>
        </is>
      </c>
      <c r="I4228" t="inlineStr">
        <is>
          <t>Open</t>
        </is>
      </c>
      <c r="M4228">
        <f>VLOOKUP(H4228,'Stage Order'!$A$2:$B$8,2,FALSE)</f>
        <v/>
      </c>
      <c r="N4228">
        <f>IF(G4228&lt;=1,"1. Under 1 hour",IF(G4228&lt;=24,"2. 1-24 hours",IF(G4228&lt;=72,"3. 1-3 days","4. Over 3 days")))</f>
        <v/>
      </c>
      <c r="O4228">
        <f>TEXT(B4228,"YYYY-MM")</f>
        <v/>
      </c>
    </row>
    <row r="4229">
      <c r="A4229" t="inlineStr">
        <is>
          <t>LD-304227</t>
        </is>
      </c>
      <c r="B4229" t="inlineStr">
        <is>
          <t>2026-05-08 09:08:00</t>
        </is>
      </c>
      <c r="C4229" t="inlineStr">
        <is>
          <t>Organic Search</t>
        </is>
      </c>
      <c r="D4229" t="inlineStr">
        <is>
          <t>Competitive Exam Prep</t>
        </is>
      </c>
      <c r="E4229" t="inlineStr">
        <is>
          <t>North Region</t>
        </is>
      </c>
      <c r="F4229" t="inlineStr">
        <is>
          <t>Rep_11</t>
        </is>
      </c>
      <c r="G4229" t="n">
        <v>4.95</v>
      </c>
      <c r="H4229" t="inlineStr">
        <is>
          <t>Proposal Sent</t>
        </is>
      </c>
      <c r="I4229" t="inlineStr">
        <is>
          <t>Lost</t>
        </is>
      </c>
      <c r="J4229" t="inlineStr">
        <is>
          <t>Price Objection</t>
        </is>
      </c>
      <c r="K4229" t="n">
        <v>845.3</v>
      </c>
      <c r="L4229" t="inlineStr">
        <is>
          <t>2026-06-19 19:28:23.832536</t>
        </is>
      </c>
      <c r="M4229">
        <f>VLOOKUP(H4229,'Stage Order'!$A$2:$B$8,2,FALSE)</f>
        <v/>
      </c>
      <c r="N4229">
        <f>IF(G4229&lt;=1,"1. Under 1 hour",IF(G4229&lt;=24,"2. 1-24 hours",IF(G4229&lt;=72,"3. 1-3 days","4. Over 3 days")))</f>
        <v/>
      </c>
      <c r="O4229">
        <f>TEXT(B4229,"YYYY-MM")</f>
        <v/>
      </c>
    </row>
    <row r="4230">
      <c r="A4230" t="inlineStr">
        <is>
          <t>LD-304228</t>
        </is>
      </c>
      <c r="B4230" t="inlineStr">
        <is>
          <t>2025-10-10 11:42:00</t>
        </is>
      </c>
      <c r="C4230" t="inlineStr">
        <is>
          <t>Webinar</t>
        </is>
      </c>
      <c r="D4230" t="inlineStr">
        <is>
          <t>Coding for Kids</t>
        </is>
      </c>
      <c r="E4230" t="inlineStr">
        <is>
          <t>North Region</t>
        </is>
      </c>
      <c r="F4230" t="inlineStr">
        <is>
          <t>Rep_06</t>
        </is>
      </c>
      <c r="G4230" t="n">
        <v>3.23</v>
      </c>
      <c r="H4230" t="inlineStr">
        <is>
          <t>Proposal Sent</t>
        </is>
      </c>
      <c r="I4230" t="inlineStr">
        <is>
          <t>Lost</t>
        </is>
      </c>
      <c r="J4230" t="inlineStr">
        <is>
          <t>Went With Competitor</t>
        </is>
      </c>
      <c r="K4230" t="n">
        <v>627.34</v>
      </c>
      <c r="L4230" t="inlineStr">
        <is>
          <t>2025-11-09 01:10:31.794302</t>
        </is>
      </c>
      <c r="M4230">
        <f>VLOOKUP(H4230,'Stage Order'!$A$2:$B$8,2,FALSE)</f>
        <v/>
      </c>
      <c r="N4230">
        <f>IF(G4230&lt;=1,"1. Under 1 hour",IF(G4230&lt;=24,"2. 1-24 hours",IF(G4230&lt;=72,"3. 1-3 days","4. Over 3 days")))</f>
        <v/>
      </c>
      <c r="O4230">
        <f>TEXT(B4230,"YYYY-MM")</f>
        <v/>
      </c>
    </row>
    <row r="4231">
      <c r="A4231" t="inlineStr">
        <is>
          <t>LD-304229</t>
        </is>
      </c>
      <c r="B4231" t="inlineStr">
        <is>
          <t>2026-05-04 10:10:00</t>
        </is>
      </c>
      <c r="C4231" t="inlineStr">
        <is>
          <t>Webinar</t>
        </is>
      </c>
      <c r="D4231" t="inlineStr">
        <is>
          <t>K-12 Math</t>
        </is>
      </c>
      <c r="E4231" t="inlineStr">
        <is>
          <t>North Region</t>
        </is>
      </c>
      <c r="F4231" t="inlineStr">
        <is>
          <t>Rep_11</t>
        </is>
      </c>
      <c r="G4231" t="n">
        <v>3.59</v>
      </c>
      <c r="H4231" t="inlineStr">
        <is>
          <t>Closed</t>
        </is>
      </c>
      <c r="I4231" t="inlineStr">
        <is>
          <t>Won</t>
        </is>
      </c>
      <c r="K4231" t="n">
        <v>519.36</v>
      </c>
      <c r="L4231" t="inlineStr">
        <is>
          <t>2026-06-26 01:52:44.006773</t>
        </is>
      </c>
      <c r="M4231">
        <f>VLOOKUP(H4231,'Stage Order'!$A$2:$B$8,2,FALSE)</f>
        <v/>
      </c>
      <c r="N4231">
        <f>IF(G4231&lt;=1,"1. Under 1 hour",IF(G4231&lt;=24,"2. 1-24 hours",IF(G4231&lt;=72,"3. 1-3 days","4. Over 3 days")))</f>
        <v/>
      </c>
      <c r="O4231">
        <f>TEXT(B4231,"YYYY-MM")</f>
        <v/>
      </c>
    </row>
    <row r="4232">
      <c r="A4232" t="inlineStr">
        <is>
          <t>LD-304230</t>
        </is>
      </c>
      <c r="B4232" t="inlineStr">
        <is>
          <t>2025-09-12 19:10:00</t>
        </is>
      </c>
      <c r="C4232" t="inlineStr">
        <is>
          <t>Paid Search</t>
        </is>
      </c>
      <c r="D4232" t="inlineStr">
        <is>
          <t>K-12 Math</t>
        </is>
      </c>
      <c r="E4232" t="inlineStr">
        <is>
          <t>South Region</t>
        </is>
      </c>
      <c r="F4232" t="inlineStr">
        <is>
          <t>Rep_07</t>
        </is>
      </c>
      <c r="G4232" t="n">
        <v>8.91</v>
      </c>
      <c r="H4232" t="inlineStr">
        <is>
          <t>Lead</t>
        </is>
      </c>
      <c r="I4232" t="inlineStr">
        <is>
          <t>Open</t>
        </is>
      </c>
      <c r="M4232">
        <f>VLOOKUP(H4232,'Stage Order'!$A$2:$B$8,2,FALSE)</f>
        <v/>
      </c>
      <c r="N4232">
        <f>IF(G4232&lt;=1,"1. Under 1 hour",IF(G4232&lt;=24,"2. 1-24 hours",IF(G4232&lt;=72,"3. 1-3 days","4. Over 3 days")))</f>
        <v/>
      </c>
      <c r="O4232">
        <f>TEXT(B4232,"YYYY-MM")</f>
        <v/>
      </c>
    </row>
    <row r="4233">
      <c r="A4233" t="inlineStr">
        <is>
          <t>LD-304231</t>
        </is>
      </c>
      <c r="B4233" t="inlineStr">
        <is>
          <t>2025-11-25 20:52:00</t>
        </is>
      </c>
      <c r="C4233" t="inlineStr">
        <is>
          <t>Webinar</t>
        </is>
      </c>
      <c r="D4233" t="inlineStr">
        <is>
          <t>Coding for Kids</t>
        </is>
      </c>
      <c r="E4233" t="inlineStr">
        <is>
          <t>North Region</t>
        </is>
      </c>
      <c r="F4233" t="inlineStr">
        <is>
          <t>Rep_11</t>
        </is>
      </c>
      <c r="G4233" t="n">
        <v>1.91</v>
      </c>
      <c r="H4233" t="inlineStr">
        <is>
          <t>Contacted</t>
        </is>
      </c>
      <c r="I4233" t="inlineStr">
        <is>
          <t>Open</t>
        </is>
      </c>
      <c r="M4233">
        <f>VLOOKUP(H4233,'Stage Order'!$A$2:$B$8,2,FALSE)</f>
        <v/>
      </c>
      <c r="N4233">
        <f>IF(G4233&lt;=1,"1. Under 1 hour",IF(G4233&lt;=24,"2. 1-24 hours",IF(G4233&lt;=72,"3. 1-3 days","4. Over 3 days")))</f>
        <v/>
      </c>
      <c r="O4233">
        <f>TEXT(B4233,"YYYY-MM")</f>
        <v/>
      </c>
    </row>
    <row r="4234">
      <c r="A4234" t="inlineStr">
        <is>
          <t>LD-304232</t>
        </is>
      </c>
      <c r="B4234" t="inlineStr">
        <is>
          <t>2026-02-18 12:17:00</t>
        </is>
      </c>
      <c r="C4234" t="inlineStr">
        <is>
          <t>Cold Outreach</t>
        </is>
      </c>
      <c r="D4234" t="inlineStr">
        <is>
          <t>Competitive Exam Prep</t>
        </is>
      </c>
      <c r="E4234" t="inlineStr">
        <is>
          <t>International</t>
        </is>
      </c>
      <c r="F4234" t="inlineStr">
        <is>
          <t>Rep_15</t>
        </is>
      </c>
      <c r="G4234" t="n">
        <v>9.27</v>
      </c>
      <c r="H4234" t="inlineStr">
        <is>
          <t>Lead</t>
        </is>
      </c>
      <c r="I4234" t="inlineStr">
        <is>
          <t>Open</t>
        </is>
      </c>
      <c r="M4234">
        <f>VLOOKUP(H4234,'Stage Order'!$A$2:$B$8,2,FALSE)</f>
        <v/>
      </c>
      <c r="N4234">
        <f>IF(G4234&lt;=1,"1. Under 1 hour",IF(G4234&lt;=24,"2. 1-24 hours",IF(G4234&lt;=72,"3. 1-3 days","4. Over 3 days")))</f>
        <v/>
      </c>
      <c r="O4234">
        <f>TEXT(B4234,"YYYY-MM")</f>
        <v/>
      </c>
    </row>
    <row r="4235">
      <c r="A4235" t="inlineStr">
        <is>
          <t>LD-304233</t>
        </is>
      </c>
      <c r="B4235" t="inlineStr">
        <is>
          <t>2025-06-27 08:51:00</t>
        </is>
      </c>
      <c r="C4235" t="inlineStr">
        <is>
          <t>Organic Search</t>
        </is>
      </c>
      <c r="D4235" t="inlineStr">
        <is>
          <t>K-12 Math</t>
        </is>
      </c>
      <c r="E4235" t="inlineStr">
        <is>
          <t>International</t>
        </is>
      </c>
      <c r="F4235" t="inlineStr">
        <is>
          <t>Rep_15</t>
        </is>
      </c>
      <c r="G4235" t="n">
        <v>2.92</v>
      </c>
      <c r="H4235" t="inlineStr">
        <is>
          <t>Contacted</t>
        </is>
      </c>
      <c r="I4235" t="inlineStr">
        <is>
          <t>Open</t>
        </is>
      </c>
      <c r="M4235">
        <f>VLOOKUP(H4235,'Stage Order'!$A$2:$B$8,2,FALSE)</f>
        <v/>
      </c>
      <c r="N4235">
        <f>IF(G4235&lt;=1,"1. Under 1 hour",IF(G4235&lt;=24,"2. 1-24 hours",IF(G4235&lt;=72,"3. 1-3 days","4. Over 3 days")))</f>
        <v/>
      </c>
      <c r="O4235">
        <f>TEXT(B4235,"YYYY-MM")</f>
        <v/>
      </c>
    </row>
    <row r="4236">
      <c r="A4236" t="inlineStr">
        <is>
          <t>LD-304234</t>
        </is>
      </c>
      <c r="B4236" t="inlineStr">
        <is>
          <t>2025-12-14 13:34:00</t>
        </is>
      </c>
      <c r="C4236" t="inlineStr">
        <is>
          <t>Referral</t>
        </is>
      </c>
      <c r="D4236" t="inlineStr">
        <is>
          <t>K-12 Math</t>
        </is>
      </c>
      <c r="E4236" t="inlineStr">
        <is>
          <t>South Region</t>
        </is>
      </c>
      <c r="F4236" t="inlineStr">
        <is>
          <t>Rep_02</t>
        </is>
      </c>
      <c r="G4236" t="n">
        <v>1.22</v>
      </c>
      <c r="H4236" t="inlineStr">
        <is>
          <t>Contacted</t>
        </is>
      </c>
      <c r="I4236" t="inlineStr">
        <is>
          <t>Open</t>
        </is>
      </c>
      <c r="M4236">
        <f>VLOOKUP(H4236,'Stage Order'!$A$2:$B$8,2,FALSE)</f>
        <v/>
      </c>
      <c r="N4236">
        <f>IF(G4236&lt;=1,"1. Under 1 hour",IF(G4236&lt;=24,"2. 1-24 hours",IF(G4236&lt;=72,"3. 1-3 days","4. Over 3 days")))</f>
        <v/>
      </c>
      <c r="O4236">
        <f>TEXT(B4236,"YYYY-MM")</f>
        <v/>
      </c>
    </row>
    <row r="4237">
      <c r="A4237" t="inlineStr">
        <is>
          <t>LD-304235</t>
        </is>
      </c>
      <c r="B4237" t="inlineStr">
        <is>
          <t>2026-04-28 18:44:00</t>
        </is>
      </c>
      <c r="C4237" t="inlineStr">
        <is>
          <t>Social Media</t>
        </is>
      </c>
      <c r="D4237" t="inlineStr">
        <is>
          <t>Competitive Exam Prep</t>
        </is>
      </c>
      <c r="E4237" t="inlineStr">
        <is>
          <t>South Region</t>
        </is>
      </c>
      <c r="F4237" t="inlineStr">
        <is>
          <t>Rep_02</t>
        </is>
      </c>
      <c r="G4237" t="n">
        <v>0.85</v>
      </c>
      <c r="H4237" t="inlineStr">
        <is>
          <t>Demo Completed</t>
        </is>
      </c>
      <c r="I4237" t="inlineStr">
        <is>
          <t>Lost</t>
        </is>
      </c>
      <c r="J4237" t="inlineStr">
        <is>
          <t>Price Objection</t>
        </is>
      </c>
      <c r="K4237" t="n">
        <v>1046.26</v>
      </c>
      <c r="L4237" t="inlineStr">
        <is>
          <t>2026-06-04 05:27:21.505359</t>
        </is>
      </c>
      <c r="M4237">
        <f>VLOOKUP(H4237,'Stage Order'!$A$2:$B$8,2,FALSE)</f>
        <v/>
      </c>
      <c r="N4237">
        <f>IF(G4237&lt;=1,"1. Under 1 hour",IF(G4237&lt;=24,"2. 1-24 hours",IF(G4237&lt;=72,"3. 1-3 days","4. Over 3 days")))</f>
        <v/>
      </c>
      <c r="O4237">
        <f>TEXT(B4237,"YYYY-MM")</f>
        <v/>
      </c>
    </row>
    <row r="4238">
      <c r="A4238" t="inlineStr">
        <is>
          <t>LD-304236</t>
        </is>
      </c>
      <c r="B4238" t="inlineStr">
        <is>
          <t>2025-02-07 13:42:00</t>
        </is>
      </c>
      <c r="C4238" t="inlineStr">
        <is>
          <t>Cold Outreach</t>
        </is>
      </c>
      <c r="D4238" t="inlineStr">
        <is>
          <t>Study Abroad Prep</t>
        </is>
      </c>
      <c r="E4238" t="inlineStr">
        <is>
          <t>International</t>
        </is>
      </c>
      <c r="F4238" t="inlineStr">
        <is>
          <t>Rep_15</t>
        </is>
      </c>
      <c r="G4238" t="n">
        <v>4.61</v>
      </c>
      <c r="H4238" t="inlineStr">
        <is>
          <t>Demo Completed</t>
        </is>
      </c>
      <c r="I4238" t="inlineStr">
        <is>
          <t>Lost</t>
        </is>
      </c>
      <c r="J4238" t="inlineStr">
        <is>
          <t>Price Objection</t>
        </is>
      </c>
      <c r="K4238" t="n">
        <v>1521.14</v>
      </c>
      <c r="L4238" t="inlineStr">
        <is>
          <t>2025-03-10 21:52:04.448224</t>
        </is>
      </c>
      <c r="M4238">
        <f>VLOOKUP(H4238,'Stage Order'!$A$2:$B$8,2,FALSE)</f>
        <v/>
      </c>
      <c r="N4238">
        <f>IF(G4238&lt;=1,"1. Under 1 hour",IF(G4238&lt;=24,"2. 1-24 hours",IF(G4238&lt;=72,"3. 1-3 days","4. Over 3 days")))</f>
        <v/>
      </c>
      <c r="O4238">
        <f>TEXT(B4238,"YYYY-MM")</f>
        <v/>
      </c>
    </row>
    <row r="4239">
      <c r="A4239" t="inlineStr">
        <is>
          <t>LD-304237</t>
        </is>
      </c>
      <c r="B4239" t="inlineStr">
        <is>
          <t>2025-07-10 18:10:00</t>
        </is>
      </c>
      <c r="C4239" t="inlineStr">
        <is>
          <t>Referral</t>
        </is>
      </c>
      <c r="D4239" t="inlineStr">
        <is>
          <t>Competitive Exam Prep</t>
        </is>
      </c>
      <c r="E4239" t="inlineStr">
        <is>
          <t>North Region</t>
        </is>
      </c>
      <c r="F4239" t="inlineStr">
        <is>
          <t>Rep_06</t>
        </is>
      </c>
      <c r="G4239" t="n">
        <v>2.52</v>
      </c>
      <c r="H4239" t="inlineStr">
        <is>
          <t>Contacted</t>
        </is>
      </c>
      <c r="I4239" t="inlineStr">
        <is>
          <t>Open</t>
        </is>
      </c>
      <c r="M4239">
        <f>VLOOKUP(H4239,'Stage Order'!$A$2:$B$8,2,FALSE)</f>
        <v/>
      </c>
      <c r="N4239">
        <f>IF(G4239&lt;=1,"1. Under 1 hour",IF(G4239&lt;=24,"2. 1-24 hours",IF(G4239&lt;=72,"3. 1-3 days","4. Over 3 days")))</f>
        <v/>
      </c>
      <c r="O4239">
        <f>TEXT(B4239,"YYYY-MM")</f>
        <v/>
      </c>
    </row>
    <row r="4240">
      <c r="A4240" t="inlineStr">
        <is>
          <t>LD-304238</t>
        </is>
      </c>
      <c r="B4240" t="inlineStr">
        <is>
          <t>2026-06-19 17:31:00</t>
        </is>
      </c>
      <c r="C4240" t="inlineStr">
        <is>
          <t>Social Media</t>
        </is>
      </c>
      <c r="D4240" t="inlineStr">
        <is>
          <t>Competitive Exam Prep</t>
        </is>
      </c>
      <c r="E4240" t="inlineStr">
        <is>
          <t>West Region</t>
        </is>
      </c>
      <c r="F4240" t="inlineStr">
        <is>
          <t>Rep_08</t>
        </is>
      </c>
      <c r="G4240" t="n">
        <v>1.18</v>
      </c>
      <c r="H4240" t="inlineStr">
        <is>
          <t>Contacted</t>
        </is>
      </c>
      <c r="I4240" t="inlineStr">
        <is>
          <t>Open</t>
        </is>
      </c>
      <c r="M4240">
        <f>VLOOKUP(H4240,'Stage Order'!$A$2:$B$8,2,FALSE)</f>
        <v/>
      </c>
      <c r="N4240">
        <f>IF(G4240&lt;=1,"1. Under 1 hour",IF(G4240&lt;=24,"2. 1-24 hours",IF(G4240&lt;=72,"3. 1-3 days","4. Over 3 days")))</f>
        <v/>
      </c>
      <c r="O4240">
        <f>TEXT(B4240,"YYYY-MM")</f>
        <v/>
      </c>
    </row>
    <row r="4241">
      <c r="A4241" t="inlineStr">
        <is>
          <t>LD-304239</t>
        </is>
      </c>
      <c r="B4241" t="inlineStr">
        <is>
          <t>2025-01-31 20:51:00</t>
        </is>
      </c>
      <c r="C4241" t="inlineStr">
        <is>
          <t>Cold Outreach</t>
        </is>
      </c>
      <c r="D4241" t="inlineStr">
        <is>
          <t>K-12 Math</t>
        </is>
      </c>
      <c r="E4241" t="inlineStr">
        <is>
          <t>West Region</t>
        </is>
      </c>
      <c r="F4241" t="inlineStr">
        <is>
          <t>Rep_03</t>
        </is>
      </c>
      <c r="G4241" t="n">
        <v>1.97</v>
      </c>
      <c r="H4241" t="inlineStr">
        <is>
          <t>Contacted</t>
        </is>
      </c>
      <c r="I4241" t="inlineStr">
        <is>
          <t>Open</t>
        </is>
      </c>
      <c r="M4241">
        <f>VLOOKUP(H4241,'Stage Order'!$A$2:$B$8,2,FALSE)</f>
        <v/>
      </c>
      <c r="N4241">
        <f>IF(G4241&lt;=1,"1. Under 1 hour",IF(G4241&lt;=24,"2. 1-24 hours",IF(G4241&lt;=72,"3. 1-3 days","4. Over 3 days")))</f>
        <v/>
      </c>
      <c r="O4241">
        <f>TEXT(B4241,"YYYY-MM")</f>
        <v/>
      </c>
    </row>
    <row r="4242">
      <c r="A4242" t="inlineStr">
        <is>
          <t>LD-304240</t>
        </is>
      </c>
      <c r="B4242" t="inlineStr">
        <is>
          <t>2025-06-06 18:22:00</t>
        </is>
      </c>
      <c r="C4242" t="inlineStr">
        <is>
          <t>Referral</t>
        </is>
      </c>
      <c r="D4242" t="inlineStr">
        <is>
          <t>Study Abroad Prep</t>
        </is>
      </c>
      <c r="E4242" t="inlineStr">
        <is>
          <t>South Region</t>
        </is>
      </c>
      <c r="F4242" t="inlineStr">
        <is>
          <t>Rep_02</t>
        </is>
      </c>
      <c r="G4242" t="n">
        <v>7.41</v>
      </c>
      <c r="H4242" t="inlineStr">
        <is>
          <t>Negotiation</t>
        </is>
      </c>
      <c r="I4242" t="inlineStr">
        <is>
          <t>Lost</t>
        </is>
      </c>
      <c r="J4242" t="inlineStr">
        <is>
          <t>Bad Timing</t>
        </is>
      </c>
      <c r="K4242" t="n">
        <v>1260.61</v>
      </c>
      <c r="L4242" t="inlineStr">
        <is>
          <t>2025-07-15 02:55:36.620907</t>
        </is>
      </c>
      <c r="M4242">
        <f>VLOOKUP(H4242,'Stage Order'!$A$2:$B$8,2,FALSE)</f>
        <v/>
      </c>
      <c r="N4242">
        <f>IF(G4242&lt;=1,"1. Under 1 hour",IF(G4242&lt;=24,"2. 1-24 hours",IF(G4242&lt;=72,"3. 1-3 days","4. Over 3 days")))</f>
        <v/>
      </c>
      <c r="O4242">
        <f>TEXT(B4242,"YYYY-MM")</f>
        <v/>
      </c>
    </row>
    <row r="4243">
      <c r="A4243" t="inlineStr">
        <is>
          <t>LD-304241</t>
        </is>
      </c>
      <c r="B4243" t="inlineStr">
        <is>
          <t>2025-11-09 08:49:00</t>
        </is>
      </c>
      <c r="C4243" t="inlineStr">
        <is>
          <t>Organic Search</t>
        </is>
      </c>
      <c r="D4243" t="inlineStr">
        <is>
          <t>Language Learning</t>
        </is>
      </c>
      <c r="E4243" t="inlineStr">
        <is>
          <t>West Region</t>
        </is>
      </c>
      <c r="F4243" t="inlineStr">
        <is>
          <t>Rep_08</t>
        </is>
      </c>
      <c r="G4243" t="n">
        <v>22.52</v>
      </c>
      <c r="H4243" t="inlineStr">
        <is>
          <t>Demo Scheduled</t>
        </is>
      </c>
      <c r="I4243" t="inlineStr">
        <is>
          <t>Open</t>
        </is>
      </c>
      <c r="M4243">
        <f>VLOOKUP(H4243,'Stage Order'!$A$2:$B$8,2,FALSE)</f>
        <v/>
      </c>
      <c r="N4243">
        <f>IF(G4243&lt;=1,"1. Under 1 hour",IF(G4243&lt;=24,"2. 1-24 hours",IF(G4243&lt;=72,"3. 1-3 days","4. Over 3 days")))</f>
        <v/>
      </c>
      <c r="O4243">
        <f>TEXT(B4243,"YYYY-MM")</f>
        <v/>
      </c>
    </row>
    <row r="4244">
      <c r="A4244" t="inlineStr">
        <is>
          <t>LD-304242</t>
        </is>
      </c>
      <c r="B4244" t="inlineStr">
        <is>
          <t>2025-07-16 17:14:00</t>
        </is>
      </c>
      <c r="C4244" t="inlineStr">
        <is>
          <t>Webinar</t>
        </is>
      </c>
      <c r="D4244" t="inlineStr">
        <is>
          <t>K-12 Math</t>
        </is>
      </c>
      <c r="E4244" t="inlineStr">
        <is>
          <t>North Region</t>
        </is>
      </c>
      <c r="F4244" t="inlineStr">
        <is>
          <t>Rep_06</t>
        </is>
      </c>
      <c r="G4244" t="n">
        <v>3.52</v>
      </c>
      <c r="H4244" t="inlineStr">
        <is>
          <t>Contacted</t>
        </is>
      </c>
      <c r="I4244" t="inlineStr">
        <is>
          <t>Open</t>
        </is>
      </c>
      <c r="M4244">
        <f>VLOOKUP(H4244,'Stage Order'!$A$2:$B$8,2,FALSE)</f>
        <v/>
      </c>
      <c r="N4244">
        <f>IF(G4244&lt;=1,"1. Under 1 hour",IF(G4244&lt;=24,"2. 1-24 hours",IF(G4244&lt;=72,"3. 1-3 days","4. Over 3 days")))</f>
        <v/>
      </c>
      <c r="O4244">
        <f>TEXT(B4244,"YYYY-MM")</f>
        <v/>
      </c>
    </row>
    <row r="4245">
      <c r="A4245" t="inlineStr">
        <is>
          <t>LD-304243</t>
        </is>
      </c>
      <c r="B4245" t="inlineStr">
        <is>
          <t>2025-11-14 11:49:00</t>
        </is>
      </c>
      <c r="C4245" t="inlineStr">
        <is>
          <t>Paid Search</t>
        </is>
      </c>
      <c r="D4245" t="inlineStr">
        <is>
          <t>Competitive Exam Prep</t>
        </is>
      </c>
      <c r="E4245" t="inlineStr">
        <is>
          <t>South Region</t>
        </is>
      </c>
      <c r="F4245" t="inlineStr">
        <is>
          <t>Rep_12</t>
        </is>
      </c>
      <c r="G4245" t="n">
        <v>1.54</v>
      </c>
      <c r="H4245" t="inlineStr">
        <is>
          <t>Contacted</t>
        </is>
      </c>
      <c r="I4245" t="inlineStr">
        <is>
          <t>Open</t>
        </is>
      </c>
      <c r="M4245">
        <f>VLOOKUP(H4245,'Stage Order'!$A$2:$B$8,2,FALSE)</f>
        <v/>
      </c>
      <c r="N4245">
        <f>IF(G4245&lt;=1,"1. Under 1 hour",IF(G4245&lt;=24,"2. 1-24 hours",IF(G4245&lt;=72,"3. 1-3 days","4. Over 3 days")))</f>
        <v/>
      </c>
      <c r="O4245">
        <f>TEXT(B4245,"YYYY-MM")</f>
        <v/>
      </c>
    </row>
    <row r="4246">
      <c r="A4246" t="inlineStr">
        <is>
          <t>LD-304244</t>
        </is>
      </c>
      <c r="B4246" t="inlineStr">
        <is>
          <t>2025-08-16 19:17:00</t>
        </is>
      </c>
      <c r="C4246" t="inlineStr">
        <is>
          <t>Referral</t>
        </is>
      </c>
      <c r="D4246" t="inlineStr">
        <is>
          <t>Competitive Exam Prep</t>
        </is>
      </c>
      <c r="E4246" t="inlineStr">
        <is>
          <t>South Region</t>
        </is>
      </c>
      <c r="F4246" t="inlineStr">
        <is>
          <t>Rep_12</t>
        </is>
      </c>
      <c r="G4246" t="n">
        <v>3.67</v>
      </c>
      <c r="H4246" t="inlineStr">
        <is>
          <t>Closed</t>
        </is>
      </c>
      <c r="I4246" t="inlineStr">
        <is>
          <t>Won</t>
        </is>
      </c>
      <c r="K4246" t="n">
        <v>998.49</v>
      </c>
      <c r="L4246" t="inlineStr">
        <is>
          <t>2025-09-17 19:39:06.320867</t>
        </is>
      </c>
      <c r="M4246">
        <f>VLOOKUP(H4246,'Stage Order'!$A$2:$B$8,2,FALSE)</f>
        <v/>
      </c>
      <c r="N4246">
        <f>IF(G4246&lt;=1,"1. Under 1 hour",IF(G4246&lt;=24,"2. 1-24 hours",IF(G4246&lt;=72,"3. 1-3 days","4. Over 3 days")))</f>
        <v/>
      </c>
      <c r="O4246">
        <f>TEXT(B4246,"YYYY-MM")</f>
        <v/>
      </c>
    </row>
    <row r="4247">
      <c r="A4247" t="inlineStr">
        <is>
          <t>LD-304245</t>
        </is>
      </c>
      <c r="B4247" t="inlineStr">
        <is>
          <t>2025-12-05 13:17:00</t>
        </is>
      </c>
      <c r="C4247" t="inlineStr">
        <is>
          <t>Paid Search</t>
        </is>
      </c>
      <c r="D4247" t="inlineStr">
        <is>
          <t>Language Learning</t>
        </is>
      </c>
      <c r="E4247" t="inlineStr">
        <is>
          <t>South Region</t>
        </is>
      </c>
      <c r="F4247" t="inlineStr">
        <is>
          <t>Rep_12</t>
        </is>
      </c>
      <c r="G4247" t="n">
        <v>2.17</v>
      </c>
      <c r="H4247" t="inlineStr">
        <is>
          <t>Lead</t>
        </is>
      </c>
      <c r="I4247" t="inlineStr">
        <is>
          <t>Open</t>
        </is>
      </c>
      <c r="M4247">
        <f>VLOOKUP(H4247,'Stage Order'!$A$2:$B$8,2,FALSE)</f>
        <v/>
      </c>
      <c r="N4247">
        <f>IF(G4247&lt;=1,"1. Under 1 hour",IF(G4247&lt;=24,"2. 1-24 hours",IF(G4247&lt;=72,"3. 1-3 days","4. Over 3 days")))</f>
        <v/>
      </c>
      <c r="O4247">
        <f>TEXT(B4247,"YYYY-MM")</f>
        <v/>
      </c>
    </row>
    <row r="4248">
      <c r="A4248" t="inlineStr">
        <is>
          <t>LD-304246</t>
        </is>
      </c>
      <c r="B4248" t="inlineStr">
        <is>
          <t>2025-12-16 12:02:00</t>
        </is>
      </c>
      <c r="C4248" t="inlineStr">
        <is>
          <t>Referral</t>
        </is>
      </c>
      <c r="D4248" t="inlineStr">
        <is>
          <t>K-12 Math</t>
        </is>
      </c>
      <c r="E4248" t="inlineStr">
        <is>
          <t>West Region</t>
        </is>
      </c>
      <c r="F4248" t="inlineStr">
        <is>
          <t>Rep_08</t>
        </is>
      </c>
      <c r="G4248" t="n">
        <v>2.6</v>
      </c>
      <c r="H4248" t="inlineStr">
        <is>
          <t>Closed</t>
        </is>
      </c>
      <c r="I4248" t="inlineStr">
        <is>
          <t>Won</t>
        </is>
      </c>
      <c r="K4248" t="n">
        <v>477.17</v>
      </c>
      <c r="L4248" t="inlineStr">
        <is>
          <t>2026-01-20 00:05:29.137652</t>
        </is>
      </c>
      <c r="M4248">
        <f>VLOOKUP(H4248,'Stage Order'!$A$2:$B$8,2,FALSE)</f>
        <v/>
      </c>
      <c r="N4248">
        <f>IF(G4248&lt;=1,"1. Under 1 hour",IF(G4248&lt;=24,"2. 1-24 hours",IF(G4248&lt;=72,"3. 1-3 days","4. Over 3 days")))</f>
        <v/>
      </c>
      <c r="O4248">
        <f>TEXT(B4248,"YYYY-MM")</f>
        <v/>
      </c>
    </row>
    <row r="4249">
      <c r="A4249" t="inlineStr">
        <is>
          <t>LD-304247</t>
        </is>
      </c>
      <c r="B4249" t="inlineStr">
        <is>
          <t>2026-06-01 19:55:00</t>
        </is>
      </c>
      <c r="C4249" t="inlineStr">
        <is>
          <t>Social Media</t>
        </is>
      </c>
      <c r="D4249" t="inlineStr">
        <is>
          <t>Coding for Kids</t>
        </is>
      </c>
      <c r="E4249" t="inlineStr">
        <is>
          <t>South Region</t>
        </is>
      </c>
      <c r="F4249" t="inlineStr">
        <is>
          <t>Rep_12</t>
        </is>
      </c>
      <c r="G4249" t="n">
        <v>2.18</v>
      </c>
      <c r="H4249" t="inlineStr">
        <is>
          <t>Demo Scheduled</t>
        </is>
      </c>
      <c r="I4249" t="inlineStr">
        <is>
          <t>Open</t>
        </is>
      </c>
      <c r="M4249">
        <f>VLOOKUP(H4249,'Stage Order'!$A$2:$B$8,2,FALSE)</f>
        <v/>
      </c>
      <c r="N4249">
        <f>IF(G4249&lt;=1,"1. Under 1 hour",IF(G4249&lt;=24,"2. 1-24 hours",IF(G4249&lt;=72,"3. 1-3 days","4. Over 3 days")))</f>
        <v/>
      </c>
      <c r="O4249">
        <f>TEXT(B4249,"YYYY-MM")</f>
        <v/>
      </c>
    </row>
    <row r="4250">
      <c r="A4250" t="inlineStr">
        <is>
          <t>LD-304248</t>
        </is>
      </c>
      <c r="B4250" t="inlineStr">
        <is>
          <t>2025-03-14 15:16:00</t>
        </is>
      </c>
      <c r="C4250" t="inlineStr">
        <is>
          <t>Organic Search</t>
        </is>
      </c>
      <c r="D4250" t="inlineStr">
        <is>
          <t>Language Learning</t>
        </is>
      </c>
      <c r="E4250" t="inlineStr">
        <is>
          <t>West Region</t>
        </is>
      </c>
      <c r="F4250" t="inlineStr">
        <is>
          <t>Rep_08</t>
        </is>
      </c>
      <c r="G4250" t="n">
        <v>2.01</v>
      </c>
      <c r="H4250" t="inlineStr">
        <is>
          <t>Closed</t>
        </is>
      </c>
      <c r="I4250" t="inlineStr">
        <is>
          <t>Won</t>
        </is>
      </c>
      <c r="K4250" t="n">
        <v>296.25</v>
      </c>
      <c r="L4250" t="inlineStr">
        <is>
          <t>2025-04-23 20:26:42.974703</t>
        </is>
      </c>
      <c r="M4250">
        <f>VLOOKUP(H4250,'Stage Order'!$A$2:$B$8,2,FALSE)</f>
        <v/>
      </c>
      <c r="N4250">
        <f>IF(G4250&lt;=1,"1. Under 1 hour",IF(G4250&lt;=24,"2. 1-24 hours",IF(G4250&lt;=72,"3. 1-3 days","4. Over 3 days")))</f>
        <v/>
      </c>
      <c r="O4250">
        <f>TEXT(B4250,"YYYY-MM")</f>
        <v/>
      </c>
    </row>
    <row r="4251">
      <c r="A4251" t="inlineStr">
        <is>
          <t>LD-304249</t>
        </is>
      </c>
      <c r="B4251" t="inlineStr">
        <is>
          <t>2025-09-07 17:35:00</t>
        </is>
      </c>
      <c r="C4251" t="inlineStr">
        <is>
          <t>Referral</t>
        </is>
      </c>
      <c r="D4251" t="inlineStr">
        <is>
          <t>Coding for Kids</t>
        </is>
      </c>
      <c r="E4251" t="inlineStr">
        <is>
          <t>North Region</t>
        </is>
      </c>
      <c r="F4251" t="inlineStr">
        <is>
          <t>Rep_06</t>
        </is>
      </c>
      <c r="G4251" t="n">
        <v>11.18</v>
      </c>
      <c r="H4251" t="inlineStr">
        <is>
          <t>Demo Completed</t>
        </is>
      </c>
      <c r="I4251" t="inlineStr">
        <is>
          <t>Lost</t>
        </is>
      </c>
      <c r="J4251" t="inlineStr">
        <is>
          <t>Went With Competitor</t>
        </is>
      </c>
      <c r="K4251" t="n">
        <v>680</v>
      </c>
      <c r="L4251" t="inlineStr">
        <is>
          <t>2025-10-11 21:47:11.576367</t>
        </is>
      </c>
      <c r="M4251">
        <f>VLOOKUP(H4251,'Stage Order'!$A$2:$B$8,2,FALSE)</f>
        <v/>
      </c>
      <c r="N4251">
        <f>IF(G4251&lt;=1,"1. Under 1 hour",IF(G4251&lt;=24,"2. 1-24 hours",IF(G4251&lt;=72,"3. 1-3 days","4. Over 3 days")))</f>
        <v/>
      </c>
      <c r="O4251">
        <f>TEXT(B4251,"YYYY-MM")</f>
        <v/>
      </c>
    </row>
    <row r="4252">
      <c r="A4252" t="inlineStr">
        <is>
          <t>LD-304250</t>
        </is>
      </c>
      <c r="B4252" t="inlineStr">
        <is>
          <t>2025-09-05 20:59:00</t>
        </is>
      </c>
      <c r="C4252" t="inlineStr">
        <is>
          <t>Referral</t>
        </is>
      </c>
      <c r="D4252" t="inlineStr">
        <is>
          <t>Coding for Kids</t>
        </is>
      </c>
      <c r="E4252" t="inlineStr">
        <is>
          <t>West Region</t>
        </is>
      </c>
      <c r="F4252" t="inlineStr">
        <is>
          <t>Rep_03</t>
        </is>
      </c>
      <c r="G4252" t="n">
        <v>1.47</v>
      </c>
      <c r="H4252" t="inlineStr">
        <is>
          <t>Closed</t>
        </is>
      </c>
      <c r="I4252" t="inlineStr">
        <is>
          <t>Won</t>
        </is>
      </c>
      <c r="K4252" t="n">
        <v>672.36</v>
      </c>
      <c r="L4252" t="inlineStr">
        <is>
          <t>2025-10-14 12:40:47.075780</t>
        </is>
      </c>
      <c r="M4252">
        <f>VLOOKUP(H4252,'Stage Order'!$A$2:$B$8,2,FALSE)</f>
        <v/>
      </c>
      <c r="N4252">
        <f>IF(G4252&lt;=1,"1. Under 1 hour",IF(G4252&lt;=24,"2. 1-24 hours",IF(G4252&lt;=72,"3. 1-3 days","4. Over 3 days")))</f>
        <v/>
      </c>
      <c r="O4252">
        <f>TEXT(B4252,"YYYY-MM")</f>
        <v/>
      </c>
    </row>
    <row r="4253">
      <c r="A4253" t="inlineStr">
        <is>
          <t>LD-304251</t>
        </is>
      </c>
      <c r="B4253" t="inlineStr">
        <is>
          <t>2025-02-21 16:47:00</t>
        </is>
      </c>
      <c r="C4253" t="inlineStr">
        <is>
          <t>Referral</t>
        </is>
      </c>
      <c r="D4253" t="inlineStr">
        <is>
          <t>Coding for Kids</t>
        </is>
      </c>
      <c r="E4253" t="inlineStr">
        <is>
          <t>North Region</t>
        </is>
      </c>
      <c r="F4253" t="inlineStr">
        <is>
          <t>Rep_06</t>
        </is>
      </c>
      <c r="G4253" t="n">
        <v>1.61</v>
      </c>
      <c r="H4253" t="inlineStr">
        <is>
          <t>Proposal Sent</t>
        </is>
      </c>
      <c r="I4253" t="inlineStr">
        <is>
          <t>Lost</t>
        </is>
      </c>
      <c r="J4253" t="inlineStr">
        <is>
          <t>Went With Competitor</t>
        </is>
      </c>
      <c r="K4253" t="n">
        <v>721.27</v>
      </c>
      <c r="L4253" t="inlineStr">
        <is>
          <t>2025-04-24 11:06:34.529072</t>
        </is>
      </c>
      <c r="M4253">
        <f>VLOOKUP(H4253,'Stage Order'!$A$2:$B$8,2,FALSE)</f>
        <v/>
      </c>
      <c r="N4253">
        <f>IF(G4253&lt;=1,"1. Under 1 hour",IF(G4253&lt;=24,"2. 1-24 hours",IF(G4253&lt;=72,"3. 1-3 days","4. Over 3 days")))</f>
        <v/>
      </c>
      <c r="O4253">
        <f>TEXT(B4253,"YYYY-MM")</f>
        <v/>
      </c>
    </row>
    <row r="4254">
      <c r="A4254" t="inlineStr">
        <is>
          <t>LD-304252</t>
        </is>
      </c>
      <c r="B4254" t="inlineStr">
        <is>
          <t>2026-04-26 14:37:00</t>
        </is>
      </c>
      <c r="C4254" t="inlineStr">
        <is>
          <t>Webinar</t>
        </is>
      </c>
      <c r="D4254" t="inlineStr">
        <is>
          <t>Competitive Exam Prep</t>
        </is>
      </c>
      <c r="E4254" t="inlineStr">
        <is>
          <t>West Region</t>
        </is>
      </c>
      <c r="F4254" t="inlineStr">
        <is>
          <t>Rep_13</t>
        </is>
      </c>
      <c r="G4254" t="n">
        <v>0.89</v>
      </c>
      <c r="H4254" t="inlineStr">
        <is>
          <t>Contacted</t>
        </is>
      </c>
      <c r="I4254" t="inlineStr">
        <is>
          <t>Open</t>
        </is>
      </c>
      <c r="M4254">
        <f>VLOOKUP(H4254,'Stage Order'!$A$2:$B$8,2,FALSE)</f>
        <v/>
      </c>
      <c r="N4254">
        <f>IF(G4254&lt;=1,"1. Under 1 hour",IF(G4254&lt;=24,"2. 1-24 hours",IF(G4254&lt;=72,"3. 1-3 days","4. Over 3 days")))</f>
        <v/>
      </c>
      <c r="O4254">
        <f>TEXT(B4254,"YYYY-MM")</f>
        <v/>
      </c>
    </row>
    <row r="4255">
      <c r="A4255" t="inlineStr">
        <is>
          <t>LD-304253</t>
        </is>
      </c>
      <c r="B4255" t="inlineStr">
        <is>
          <t>2025-11-19 12:06:00</t>
        </is>
      </c>
      <c r="C4255" t="inlineStr">
        <is>
          <t>Paid Search</t>
        </is>
      </c>
      <c r="D4255" t="inlineStr">
        <is>
          <t>Language Learning</t>
        </is>
      </c>
      <c r="E4255" t="inlineStr">
        <is>
          <t>South Region</t>
        </is>
      </c>
      <c r="F4255" t="inlineStr">
        <is>
          <t>Rep_07</t>
        </is>
      </c>
      <c r="G4255" t="n">
        <v>4.74</v>
      </c>
      <c r="H4255" t="inlineStr">
        <is>
          <t>Contacted</t>
        </is>
      </c>
      <c r="I4255" t="inlineStr">
        <is>
          <t>Open</t>
        </is>
      </c>
      <c r="M4255">
        <f>VLOOKUP(H4255,'Stage Order'!$A$2:$B$8,2,FALSE)</f>
        <v/>
      </c>
      <c r="N4255">
        <f>IF(G4255&lt;=1,"1. Under 1 hour",IF(G4255&lt;=24,"2. 1-24 hours",IF(G4255&lt;=72,"3. 1-3 days","4. Over 3 days")))</f>
        <v/>
      </c>
      <c r="O4255">
        <f>TEXT(B4255,"YYYY-MM")</f>
        <v/>
      </c>
    </row>
    <row r="4256">
      <c r="A4256" t="inlineStr">
        <is>
          <t>LD-304254</t>
        </is>
      </c>
      <c r="B4256" t="inlineStr">
        <is>
          <t>2026-06-08 11:05:00</t>
        </is>
      </c>
      <c r="C4256" t="inlineStr">
        <is>
          <t>Organic Search</t>
        </is>
      </c>
      <c r="D4256" t="inlineStr">
        <is>
          <t>K-12 Math</t>
        </is>
      </c>
      <c r="E4256" t="inlineStr">
        <is>
          <t>North Region</t>
        </is>
      </c>
      <c r="F4256" t="inlineStr">
        <is>
          <t>Rep_01</t>
        </is>
      </c>
      <c r="G4256" t="n">
        <v>8.59</v>
      </c>
      <c r="H4256" t="inlineStr">
        <is>
          <t>Negotiation</t>
        </is>
      </c>
      <c r="I4256" t="inlineStr">
        <is>
          <t>Lost</t>
        </is>
      </c>
      <c r="J4256" t="inlineStr">
        <is>
          <t>Bad Timing</t>
        </is>
      </c>
      <c r="K4256" t="n">
        <v>571.88</v>
      </c>
      <c r="L4256" t="inlineStr">
        <is>
          <t>2026-07-21 09:49:14.181212</t>
        </is>
      </c>
      <c r="M4256">
        <f>VLOOKUP(H4256,'Stage Order'!$A$2:$B$8,2,FALSE)</f>
        <v/>
      </c>
      <c r="N4256">
        <f>IF(G4256&lt;=1,"1. Under 1 hour",IF(G4256&lt;=24,"2. 1-24 hours",IF(G4256&lt;=72,"3. 1-3 days","4. Over 3 days")))</f>
        <v/>
      </c>
      <c r="O4256">
        <f>TEXT(B4256,"YYYY-MM")</f>
        <v/>
      </c>
    </row>
    <row r="4257">
      <c r="A4257" t="inlineStr">
        <is>
          <t>LD-304255</t>
        </is>
      </c>
      <c r="B4257" t="inlineStr">
        <is>
          <t>2026-06-29 08:18:00</t>
        </is>
      </c>
      <c r="C4257" t="inlineStr">
        <is>
          <t>Referral</t>
        </is>
      </c>
      <c r="D4257" t="inlineStr">
        <is>
          <t>Coding for Kids</t>
        </is>
      </c>
      <c r="E4257" t="inlineStr">
        <is>
          <t>West Region</t>
        </is>
      </c>
      <c r="F4257" t="inlineStr">
        <is>
          <t>Rep_13</t>
        </is>
      </c>
      <c r="G4257" t="n">
        <v>2.7</v>
      </c>
      <c r="H4257" t="inlineStr">
        <is>
          <t>Lead</t>
        </is>
      </c>
      <c r="I4257" t="inlineStr">
        <is>
          <t>Open</t>
        </is>
      </c>
      <c r="M4257">
        <f>VLOOKUP(H4257,'Stage Order'!$A$2:$B$8,2,FALSE)</f>
        <v/>
      </c>
      <c r="N4257">
        <f>IF(G4257&lt;=1,"1. Under 1 hour",IF(G4257&lt;=24,"2. 1-24 hours",IF(G4257&lt;=72,"3. 1-3 days","4. Over 3 days")))</f>
        <v/>
      </c>
      <c r="O4257">
        <f>TEXT(B4257,"YYYY-MM")</f>
        <v/>
      </c>
    </row>
    <row r="4258">
      <c r="A4258" t="inlineStr">
        <is>
          <t>LD-304256</t>
        </is>
      </c>
      <c r="B4258" t="inlineStr">
        <is>
          <t>2026-05-02 11:14:00</t>
        </is>
      </c>
      <c r="C4258" t="inlineStr">
        <is>
          <t>Paid Search</t>
        </is>
      </c>
      <c r="D4258" t="inlineStr">
        <is>
          <t>Coding for Kids</t>
        </is>
      </c>
      <c r="E4258" t="inlineStr">
        <is>
          <t>South Region</t>
        </is>
      </c>
      <c r="F4258" t="inlineStr">
        <is>
          <t>Rep_07</t>
        </is>
      </c>
      <c r="G4258" t="n">
        <v>2.59</v>
      </c>
      <c r="H4258" t="inlineStr">
        <is>
          <t>Contacted</t>
        </is>
      </c>
      <c r="I4258" t="inlineStr">
        <is>
          <t>Open</t>
        </is>
      </c>
      <c r="M4258">
        <f>VLOOKUP(H4258,'Stage Order'!$A$2:$B$8,2,FALSE)</f>
        <v/>
      </c>
      <c r="N4258">
        <f>IF(G4258&lt;=1,"1. Under 1 hour",IF(G4258&lt;=24,"2. 1-24 hours",IF(G4258&lt;=72,"3. 1-3 days","4. Over 3 days")))</f>
        <v/>
      </c>
      <c r="O4258">
        <f>TEXT(B4258,"YYYY-MM")</f>
        <v/>
      </c>
    </row>
    <row r="4259">
      <c r="A4259" t="inlineStr">
        <is>
          <t>LD-304257</t>
        </is>
      </c>
      <c r="B4259" t="inlineStr">
        <is>
          <t>2026-03-13 14:46:00</t>
        </is>
      </c>
      <c r="C4259" t="inlineStr">
        <is>
          <t>Cold Outreach</t>
        </is>
      </c>
      <c r="D4259" t="inlineStr">
        <is>
          <t>Coding for Kids</t>
        </is>
      </c>
      <c r="E4259" t="inlineStr">
        <is>
          <t>West Region</t>
        </is>
      </c>
      <c r="F4259" t="inlineStr">
        <is>
          <t>Rep_08</t>
        </is>
      </c>
      <c r="G4259" t="n">
        <v>1.37</v>
      </c>
      <c r="H4259" t="inlineStr">
        <is>
          <t>Contacted</t>
        </is>
      </c>
      <c r="I4259" t="inlineStr">
        <is>
          <t>Open</t>
        </is>
      </c>
      <c r="M4259">
        <f>VLOOKUP(H4259,'Stage Order'!$A$2:$B$8,2,FALSE)</f>
        <v/>
      </c>
      <c r="N4259">
        <f>IF(G4259&lt;=1,"1. Under 1 hour",IF(G4259&lt;=24,"2. 1-24 hours",IF(G4259&lt;=72,"3. 1-3 days","4. Over 3 days")))</f>
        <v/>
      </c>
      <c r="O4259">
        <f>TEXT(B4259,"YYYY-MM")</f>
        <v/>
      </c>
    </row>
    <row r="4260">
      <c r="A4260" t="inlineStr">
        <is>
          <t>LD-304258</t>
        </is>
      </c>
      <c r="B4260" t="inlineStr">
        <is>
          <t>2025-03-13 15:35:00</t>
        </is>
      </c>
      <c r="C4260" t="inlineStr">
        <is>
          <t>Social Media</t>
        </is>
      </c>
      <c r="D4260" t="inlineStr">
        <is>
          <t>Language Learning</t>
        </is>
      </c>
      <c r="E4260" t="inlineStr">
        <is>
          <t>East Region</t>
        </is>
      </c>
      <c r="F4260" t="inlineStr">
        <is>
          <t>Rep_04</t>
        </is>
      </c>
      <c r="G4260" t="n">
        <v>2.57</v>
      </c>
      <c r="H4260" t="inlineStr">
        <is>
          <t>Lead</t>
        </is>
      </c>
      <c r="I4260" t="inlineStr">
        <is>
          <t>Open</t>
        </is>
      </c>
      <c r="M4260">
        <f>VLOOKUP(H4260,'Stage Order'!$A$2:$B$8,2,FALSE)</f>
        <v/>
      </c>
      <c r="N4260">
        <f>IF(G4260&lt;=1,"1. Under 1 hour",IF(G4260&lt;=24,"2. 1-24 hours",IF(G4260&lt;=72,"3. 1-3 days","4. Over 3 days")))</f>
        <v/>
      </c>
      <c r="O4260">
        <f>TEXT(B4260,"YYYY-MM")</f>
        <v/>
      </c>
    </row>
    <row r="4261">
      <c r="A4261" t="inlineStr">
        <is>
          <t>LD-304259</t>
        </is>
      </c>
      <c r="B4261" t="inlineStr">
        <is>
          <t>2025-12-04 16:48:00</t>
        </is>
      </c>
      <c r="C4261" t="inlineStr">
        <is>
          <t>Paid Search</t>
        </is>
      </c>
      <c r="D4261" t="inlineStr">
        <is>
          <t>Coding for Kids</t>
        </is>
      </c>
      <c r="E4261" t="inlineStr">
        <is>
          <t>South Region</t>
        </is>
      </c>
      <c r="F4261" t="inlineStr">
        <is>
          <t>Rep_12</t>
        </is>
      </c>
      <c r="G4261" t="n">
        <v>1.75</v>
      </c>
      <c r="H4261" t="inlineStr">
        <is>
          <t>Contacted</t>
        </is>
      </c>
      <c r="I4261" t="inlineStr">
        <is>
          <t>Open</t>
        </is>
      </c>
      <c r="M4261">
        <f>VLOOKUP(H4261,'Stage Order'!$A$2:$B$8,2,FALSE)</f>
        <v/>
      </c>
      <c r="N4261">
        <f>IF(G4261&lt;=1,"1. Under 1 hour",IF(G4261&lt;=24,"2. 1-24 hours",IF(G4261&lt;=72,"3. 1-3 days","4. Over 3 days")))</f>
        <v/>
      </c>
      <c r="O4261">
        <f>TEXT(B4261,"YYYY-MM")</f>
        <v/>
      </c>
    </row>
    <row r="4262">
      <c r="A4262" t="inlineStr">
        <is>
          <t>LD-304260</t>
        </is>
      </c>
      <c r="B4262" t="inlineStr">
        <is>
          <t>2026-01-29 16:48:00</t>
        </is>
      </c>
      <c r="C4262" t="inlineStr">
        <is>
          <t>Organic Search</t>
        </is>
      </c>
      <c r="D4262" t="inlineStr">
        <is>
          <t>Coding for Kids</t>
        </is>
      </c>
      <c r="E4262" t="inlineStr">
        <is>
          <t>International</t>
        </is>
      </c>
      <c r="F4262" t="inlineStr">
        <is>
          <t>Rep_10</t>
        </is>
      </c>
      <c r="G4262" t="n">
        <v>15.26</v>
      </c>
      <c r="H4262" t="inlineStr">
        <is>
          <t>Negotiation</t>
        </is>
      </c>
      <c r="I4262" t="inlineStr">
        <is>
          <t>Lost</t>
        </is>
      </c>
      <c r="J4262" t="inlineStr">
        <is>
          <t>Bad Timing</t>
        </is>
      </c>
      <c r="K4262" t="n">
        <v>544.72</v>
      </c>
      <c r="L4262" t="inlineStr">
        <is>
          <t>2026-03-25 17:59:04.275061</t>
        </is>
      </c>
      <c r="M4262">
        <f>VLOOKUP(H4262,'Stage Order'!$A$2:$B$8,2,FALSE)</f>
        <v/>
      </c>
      <c r="N4262">
        <f>IF(G4262&lt;=1,"1. Under 1 hour",IF(G4262&lt;=24,"2. 1-24 hours",IF(G4262&lt;=72,"3. 1-3 days","4. Over 3 days")))</f>
        <v/>
      </c>
      <c r="O4262">
        <f>TEXT(B4262,"YYYY-MM")</f>
        <v/>
      </c>
    </row>
    <row r="4263">
      <c r="A4263" t="inlineStr">
        <is>
          <t>LD-304261</t>
        </is>
      </c>
      <c r="B4263" t="inlineStr">
        <is>
          <t>2026-02-06 15:05:00</t>
        </is>
      </c>
      <c r="C4263" t="inlineStr">
        <is>
          <t>Paid Search</t>
        </is>
      </c>
      <c r="D4263" t="inlineStr">
        <is>
          <t>Competitive Exam Prep</t>
        </is>
      </c>
      <c r="E4263" t="inlineStr">
        <is>
          <t>North Region</t>
        </is>
      </c>
      <c r="F4263" t="inlineStr">
        <is>
          <t>Rep_11</t>
        </is>
      </c>
      <c r="G4263" t="n">
        <v>6.77</v>
      </c>
      <c r="H4263" t="inlineStr">
        <is>
          <t>Contacted</t>
        </is>
      </c>
      <c r="I4263" t="inlineStr">
        <is>
          <t>Open</t>
        </is>
      </c>
      <c r="M4263">
        <f>VLOOKUP(H4263,'Stage Order'!$A$2:$B$8,2,FALSE)</f>
        <v/>
      </c>
      <c r="N4263">
        <f>IF(G4263&lt;=1,"1. Under 1 hour",IF(G4263&lt;=24,"2. 1-24 hours",IF(G4263&lt;=72,"3. 1-3 days","4. Over 3 days")))</f>
        <v/>
      </c>
      <c r="O4263">
        <f>TEXT(B4263,"YYYY-MM")</f>
        <v/>
      </c>
    </row>
    <row r="4264">
      <c r="A4264" t="inlineStr">
        <is>
          <t>LD-304262</t>
        </is>
      </c>
      <c r="B4264" t="inlineStr">
        <is>
          <t>2025-06-12 09:34:00</t>
        </is>
      </c>
      <c r="C4264" t="inlineStr">
        <is>
          <t>Webinar</t>
        </is>
      </c>
      <c r="D4264" t="inlineStr">
        <is>
          <t>Coding for Kids</t>
        </is>
      </c>
      <c r="E4264" t="inlineStr">
        <is>
          <t>East Region</t>
        </is>
      </c>
      <c r="F4264" t="inlineStr">
        <is>
          <t>Rep_04</t>
        </is>
      </c>
      <c r="G4264" t="n">
        <v>1.21</v>
      </c>
      <c r="H4264" t="inlineStr">
        <is>
          <t>Contacted</t>
        </is>
      </c>
      <c r="I4264" t="inlineStr">
        <is>
          <t>Open</t>
        </is>
      </c>
      <c r="M4264">
        <f>VLOOKUP(H4264,'Stage Order'!$A$2:$B$8,2,FALSE)</f>
        <v/>
      </c>
      <c r="N4264">
        <f>IF(G4264&lt;=1,"1. Under 1 hour",IF(G4264&lt;=24,"2. 1-24 hours",IF(G4264&lt;=72,"3. 1-3 days","4. Over 3 days")))</f>
        <v/>
      </c>
      <c r="O4264">
        <f>TEXT(B4264,"YYYY-MM")</f>
        <v/>
      </c>
    </row>
    <row r="4265">
      <c r="A4265" t="inlineStr">
        <is>
          <t>LD-304263</t>
        </is>
      </c>
      <c r="B4265" t="inlineStr">
        <is>
          <t>2025-10-03 11:15:00</t>
        </is>
      </c>
      <c r="C4265" t="inlineStr">
        <is>
          <t>Cold Outreach</t>
        </is>
      </c>
      <c r="D4265" t="inlineStr">
        <is>
          <t>Competitive Exam Prep</t>
        </is>
      </c>
      <c r="E4265" t="inlineStr">
        <is>
          <t>South Region</t>
        </is>
      </c>
      <c r="F4265" t="inlineStr">
        <is>
          <t>Rep_07</t>
        </is>
      </c>
      <c r="G4265" t="n">
        <v>2.16</v>
      </c>
      <c r="H4265" t="inlineStr">
        <is>
          <t>Lead</t>
        </is>
      </c>
      <c r="I4265" t="inlineStr">
        <is>
          <t>Open</t>
        </is>
      </c>
      <c r="M4265">
        <f>VLOOKUP(H4265,'Stage Order'!$A$2:$B$8,2,FALSE)</f>
        <v/>
      </c>
      <c r="N4265">
        <f>IF(G4265&lt;=1,"1. Under 1 hour",IF(G4265&lt;=24,"2. 1-24 hours",IF(G4265&lt;=72,"3. 1-3 days","4. Over 3 days")))</f>
        <v/>
      </c>
      <c r="O4265">
        <f>TEXT(B4265,"YYYY-MM")</f>
        <v/>
      </c>
    </row>
    <row r="4266">
      <c r="A4266" t="inlineStr">
        <is>
          <t>LD-304264</t>
        </is>
      </c>
      <c r="B4266" t="inlineStr">
        <is>
          <t>2025-05-16 16:43:00</t>
        </is>
      </c>
      <c r="C4266" t="inlineStr">
        <is>
          <t>Social Media</t>
        </is>
      </c>
      <c r="D4266" t="inlineStr">
        <is>
          <t>Study Abroad Prep</t>
        </is>
      </c>
      <c r="E4266" t="inlineStr">
        <is>
          <t>International</t>
        </is>
      </c>
      <c r="F4266" t="inlineStr">
        <is>
          <t>Rep_10</t>
        </is>
      </c>
      <c r="G4266" t="n">
        <v>10.91</v>
      </c>
      <c r="H4266" t="inlineStr">
        <is>
          <t>Contacted</t>
        </is>
      </c>
      <c r="I4266" t="inlineStr">
        <is>
          <t>Open</t>
        </is>
      </c>
      <c r="M4266">
        <f>VLOOKUP(H4266,'Stage Order'!$A$2:$B$8,2,FALSE)</f>
        <v/>
      </c>
      <c r="N4266">
        <f>IF(G4266&lt;=1,"1. Under 1 hour",IF(G4266&lt;=24,"2. 1-24 hours",IF(G4266&lt;=72,"3. 1-3 days","4. Over 3 days")))</f>
        <v/>
      </c>
      <c r="O4266">
        <f>TEXT(B4266,"YYYY-MM")</f>
        <v/>
      </c>
    </row>
    <row r="4267">
      <c r="A4267" t="inlineStr">
        <is>
          <t>LD-304265</t>
        </is>
      </c>
      <c r="B4267" t="inlineStr">
        <is>
          <t>2025-06-21 07:39:00</t>
        </is>
      </c>
      <c r="C4267" t="inlineStr">
        <is>
          <t>Cold Outreach</t>
        </is>
      </c>
      <c r="D4267" t="inlineStr">
        <is>
          <t>Competitive Exam Prep</t>
        </is>
      </c>
      <c r="E4267" t="inlineStr">
        <is>
          <t>South Region</t>
        </is>
      </c>
      <c r="F4267" t="inlineStr">
        <is>
          <t>Rep_12</t>
        </is>
      </c>
      <c r="G4267" t="n">
        <v>0.97</v>
      </c>
      <c r="H4267" t="inlineStr">
        <is>
          <t>Lead</t>
        </is>
      </c>
      <c r="I4267" t="inlineStr">
        <is>
          <t>Open</t>
        </is>
      </c>
      <c r="M4267">
        <f>VLOOKUP(H4267,'Stage Order'!$A$2:$B$8,2,FALSE)</f>
        <v/>
      </c>
      <c r="N4267">
        <f>IF(G4267&lt;=1,"1. Under 1 hour",IF(G4267&lt;=24,"2. 1-24 hours",IF(G4267&lt;=72,"3. 1-3 days","4. Over 3 days")))</f>
        <v/>
      </c>
      <c r="O4267">
        <f>TEXT(B4267,"YYYY-MM")</f>
        <v/>
      </c>
    </row>
    <row r="4268">
      <c r="A4268" t="inlineStr">
        <is>
          <t>LD-304266</t>
        </is>
      </c>
      <c r="B4268" t="inlineStr">
        <is>
          <t>2025-09-01 12:30:00</t>
        </is>
      </c>
      <c r="C4268" t="inlineStr">
        <is>
          <t>Cold Outreach</t>
        </is>
      </c>
      <c r="D4268" t="inlineStr">
        <is>
          <t>Coding for Kids</t>
        </is>
      </c>
      <c r="E4268" t="inlineStr">
        <is>
          <t>West Region</t>
        </is>
      </c>
      <c r="F4268" t="inlineStr">
        <is>
          <t>Rep_08</t>
        </is>
      </c>
      <c r="G4268" t="n">
        <v>2.46</v>
      </c>
      <c r="H4268" t="inlineStr">
        <is>
          <t>Contacted</t>
        </is>
      </c>
      <c r="I4268" t="inlineStr">
        <is>
          <t>Open</t>
        </is>
      </c>
      <c r="M4268">
        <f>VLOOKUP(H4268,'Stage Order'!$A$2:$B$8,2,FALSE)</f>
        <v/>
      </c>
      <c r="N4268">
        <f>IF(G4268&lt;=1,"1. Under 1 hour",IF(G4268&lt;=24,"2. 1-24 hours",IF(G4268&lt;=72,"3. 1-3 days","4. Over 3 days")))</f>
        <v/>
      </c>
      <c r="O4268">
        <f>TEXT(B4268,"YYYY-MM")</f>
        <v/>
      </c>
    </row>
    <row r="4269">
      <c r="A4269" t="inlineStr">
        <is>
          <t>LD-304267</t>
        </is>
      </c>
      <c r="B4269" t="inlineStr">
        <is>
          <t>2025-01-14 19:25:00</t>
        </is>
      </c>
      <c r="C4269" t="inlineStr">
        <is>
          <t>Social Media</t>
        </is>
      </c>
      <c r="D4269" t="inlineStr">
        <is>
          <t>Language Learning</t>
        </is>
      </c>
      <c r="E4269" t="inlineStr">
        <is>
          <t>East Region</t>
        </is>
      </c>
      <c r="F4269" t="inlineStr">
        <is>
          <t>Rep_04</t>
        </is>
      </c>
      <c r="G4269" t="n">
        <v>0.82</v>
      </c>
      <c r="H4269" t="inlineStr">
        <is>
          <t>Demo Completed</t>
        </is>
      </c>
      <c r="I4269" t="inlineStr">
        <is>
          <t>Lost</t>
        </is>
      </c>
      <c r="J4269" t="inlineStr">
        <is>
          <t>Went With Competitor</t>
        </is>
      </c>
      <c r="K4269" t="n">
        <v>319.57</v>
      </c>
      <c r="L4269" t="inlineStr">
        <is>
          <t>2025-02-03 00:04:39.916058</t>
        </is>
      </c>
      <c r="M4269">
        <f>VLOOKUP(H4269,'Stage Order'!$A$2:$B$8,2,FALSE)</f>
        <v/>
      </c>
      <c r="N4269">
        <f>IF(G4269&lt;=1,"1. Under 1 hour",IF(G4269&lt;=24,"2. 1-24 hours",IF(G4269&lt;=72,"3. 1-3 days","4. Over 3 days")))</f>
        <v/>
      </c>
      <c r="O4269">
        <f>TEXT(B4269,"YYYY-MM")</f>
        <v/>
      </c>
    </row>
    <row r="4270">
      <c r="A4270" t="inlineStr">
        <is>
          <t>LD-304268</t>
        </is>
      </c>
      <c r="B4270" t="inlineStr">
        <is>
          <t>2025-12-02 20:05:00</t>
        </is>
      </c>
      <c r="C4270" t="inlineStr">
        <is>
          <t>Referral</t>
        </is>
      </c>
      <c r="D4270" t="inlineStr">
        <is>
          <t>Language Learning</t>
        </is>
      </c>
      <c r="E4270" t="inlineStr">
        <is>
          <t>East Region</t>
        </is>
      </c>
      <c r="F4270" t="inlineStr">
        <is>
          <t>Rep_04</t>
        </is>
      </c>
      <c r="G4270" t="n">
        <v>37.7</v>
      </c>
      <c r="H4270" t="inlineStr">
        <is>
          <t>Contacted</t>
        </is>
      </c>
      <c r="I4270" t="inlineStr">
        <is>
          <t>Open</t>
        </is>
      </c>
      <c r="M4270">
        <f>VLOOKUP(H4270,'Stage Order'!$A$2:$B$8,2,FALSE)</f>
        <v/>
      </c>
      <c r="N4270">
        <f>IF(G4270&lt;=1,"1. Under 1 hour",IF(G4270&lt;=24,"2. 1-24 hours",IF(G4270&lt;=72,"3. 1-3 days","4. Over 3 days")))</f>
        <v/>
      </c>
      <c r="O4270">
        <f>TEXT(B4270,"YYYY-MM")</f>
        <v/>
      </c>
    </row>
    <row r="4271">
      <c r="A4271" t="inlineStr">
        <is>
          <t>LD-304269</t>
        </is>
      </c>
      <c r="B4271" t="inlineStr">
        <is>
          <t>2025-10-23 11:21:00</t>
        </is>
      </c>
      <c r="C4271" t="inlineStr">
        <is>
          <t>Paid Search</t>
        </is>
      </c>
      <c r="D4271" t="inlineStr">
        <is>
          <t>K-12 Math</t>
        </is>
      </c>
      <c r="E4271" t="inlineStr">
        <is>
          <t>East Region</t>
        </is>
      </c>
      <c r="F4271" t="inlineStr">
        <is>
          <t>Rep_04</t>
        </is>
      </c>
      <c r="G4271" t="n">
        <v>0.71</v>
      </c>
      <c r="H4271" t="inlineStr">
        <is>
          <t>Lead</t>
        </is>
      </c>
      <c r="I4271" t="inlineStr">
        <is>
          <t>Open</t>
        </is>
      </c>
      <c r="M4271">
        <f>VLOOKUP(H4271,'Stage Order'!$A$2:$B$8,2,FALSE)</f>
        <v/>
      </c>
      <c r="N4271">
        <f>IF(G4271&lt;=1,"1. Under 1 hour",IF(G4271&lt;=24,"2. 1-24 hours",IF(G4271&lt;=72,"3. 1-3 days","4. Over 3 days")))</f>
        <v/>
      </c>
      <c r="O4271">
        <f>TEXT(B4271,"YYYY-MM")</f>
        <v/>
      </c>
    </row>
    <row r="4272">
      <c r="A4272" t="inlineStr">
        <is>
          <t>LD-304270</t>
        </is>
      </c>
      <c r="B4272" t="inlineStr">
        <is>
          <t>2025-09-02 15:38:00</t>
        </is>
      </c>
      <c r="C4272" t="inlineStr">
        <is>
          <t>Referral</t>
        </is>
      </c>
      <c r="D4272" t="inlineStr">
        <is>
          <t>K-12 Math</t>
        </is>
      </c>
      <c r="E4272" t="inlineStr">
        <is>
          <t>International</t>
        </is>
      </c>
      <c r="F4272" t="inlineStr">
        <is>
          <t>Rep_10</t>
        </is>
      </c>
      <c r="G4272" t="n">
        <v>1.41</v>
      </c>
      <c r="H4272" t="inlineStr">
        <is>
          <t>Negotiation</t>
        </is>
      </c>
      <c r="I4272" t="inlineStr">
        <is>
          <t>Lost</t>
        </is>
      </c>
      <c r="J4272" t="inlineStr">
        <is>
          <t>Price Objection</t>
        </is>
      </c>
      <c r="K4272" t="n">
        <v>570.21</v>
      </c>
      <c r="L4272" t="inlineStr">
        <is>
          <t>2025-10-15 01:51:39.740330</t>
        </is>
      </c>
      <c r="M4272">
        <f>VLOOKUP(H4272,'Stage Order'!$A$2:$B$8,2,FALSE)</f>
        <v/>
      </c>
      <c r="N4272">
        <f>IF(G4272&lt;=1,"1. Under 1 hour",IF(G4272&lt;=24,"2. 1-24 hours",IF(G4272&lt;=72,"3. 1-3 days","4. Over 3 days")))</f>
        <v/>
      </c>
      <c r="O4272">
        <f>TEXT(B4272,"YYYY-MM")</f>
        <v/>
      </c>
    </row>
    <row r="4273">
      <c r="A4273" t="inlineStr">
        <is>
          <t>LD-304271</t>
        </is>
      </c>
      <c r="B4273" t="inlineStr">
        <is>
          <t>2026-02-13 14:28:00</t>
        </is>
      </c>
      <c r="C4273" t="inlineStr">
        <is>
          <t>Partner Channel</t>
        </is>
      </c>
      <c r="D4273" t="inlineStr">
        <is>
          <t>Competitive Exam Prep</t>
        </is>
      </c>
      <c r="E4273" t="inlineStr">
        <is>
          <t>International</t>
        </is>
      </c>
      <c r="F4273" t="inlineStr">
        <is>
          <t>Rep_10</t>
        </is>
      </c>
      <c r="G4273" t="n">
        <v>3.32</v>
      </c>
      <c r="H4273" t="inlineStr">
        <is>
          <t>Lead</t>
        </is>
      </c>
      <c r="I4273" t="inlineStr">
        <is>
          <t>Open</t>
        </is>
      </c>
      <c r="M4273">
        <f>VLOOKUP(H4273,'Stage Order'!$A$2:$B$8,2,FALSE)</f>
        <v/>
      </c>
      <c r="N4273">
        <f>IF(G4273&lt;=1,"1. Under 1 hour",IF(G4273&lt;=24,"2. 1-24 hours",IF(G4273&lt;=72,"3. 1-3 days","4. Over 3 days")))</f>
        <v/>
      </c>
      <c r="O4273">
        <f>TEXT(B4273,"YYYY-MM")</f>
        <v/>
      </c>
    </row>
    <row r="4274">
      <c r="A4274" t="inlineStr">
        <is>
          <t>LD-304272</t>
        </is>
      </c>
      <c r="B4274" t="inlineStr">
        <is>
          <t>2025-10-02 12:02:00</t>
        </is>
      </c>
      <c r="C4274" t="inlineStr">
        <is>
          <t>Organic Search</t>
        </is>
      </c>
      <c r="D4274" t="inlineStr">
        <is>
          <t>K-12 Math</t>
        </is>
      </c>
      <c r="E4274" t="inlineStr">
        <is>
          <t>West Region</t>
        </is>
      </c>
      <c r="F4274" t="inlineStr">
        <is>
          <t>Rep_03</t>
        </is>
      </c>
      <c r="G4274" t="n">
        <v>1.53</v>
      </c>
      <c r="H4274" t="inlineStr">
        <is>
          <t>Contacted</t>
        </is>
      </c>
      <c r="I4274" t="inlineStr">
        <is>
          <t>Open</t>
        </is>
      </c>
      <c r="M4274">
        <f>VLOOKUP(H4274,'Stage Order'!$A$2:$B$8,2,FALSE)</f>
        <v/>
      </c>
      <c r="N4274">
        <f>IF(G4274&lt;=1,"1. Under 1 hour",IF(G4274&lt;=24,"2. 1-24 hours",IF(G4274&lt;=72,"3. 1-3 days","4. Over 3 days")))</f>
        <v/>
      </c>
      <c r="O4274">
        <f>TEXT(B4274,"YYYY-MM")</f>
        <v/>
      </c>
    </row>
    <row r="4275">
      <c r="A4275" t="inlineStr">
        <is>
          <t>LD-304273</t>
        </is>
      </c>
      <c r="B4275" t="inlineStr">
        <is>
          <t>2025-04-13 20:21:00</t>
        </is>
      </c>
      <c r="C4275" t="inlineStr">
        <is>
          <t>Referral</t>
        </is>
      </c>
      <c r="D4275" t="inlineStr">
        <is>
          <t>K-12 Math</t>
        </is>
      </c>
      <c r="E4275" t="inlineStr">
        <is>
          <t>International</t>
        </is>
      </c>
      <c r="F4275" t="inlineStr">
        <is>
          <t>Rep_15</t>
        </is>
      </c>
      <c r="G4275" t="n">
        <v>1.02</v>
      </c>
      <c r="H4275" t="inlineStr">
        <is>
          <t>Closed</t>
        </is>
      </c>
      <c r="I4275" t="inlineStr">
        <is>
          <t>Won</t>
        </is>
      </c>
      <c r="K4275" t="n">
        <v>597.3099999999999</v>
      </c>
      <c r="L4275" t="inlineStr">
        <is>
          <t>2025-05-16 16:27:14.922488</t>
        </is>
      </c>
      <c r="M4275">
        <f>VLOOKUP(H4275,'Stage Order'!$A$2:$B$8,2,FALSE)</f>
        <v/>
      </c>
      <c r="N4275">
        <f>IF(G4275&lt;=1,"1. Under 1 hour",IF(G4275&lt;=24,"2. 1-24 hours",IF(G4275&lt;=72,"3. 1-3 days","4. Over 3 days")))</f>
        <v/>
      </c>
      <c r="O4275">
        <f>TEXT(B4275,"YYYY-MM")</f>
        <v/>
      </c>
    </row>
    <row r="4276">
      <c r="A4276" t="inlineStr">
        <is>
          <t>LD-304274</t>
        </is>
      </c>
      <c r="B4276" t="inlineStr">
        <is>
          <t>2026-06-16 18:13:00</t>
        </is>
      </c>
      <c r="C4276" t="inlineStr">
        <is>
          <t>Paid Search</t>
        </is>
      </c>
      <c r="D4276" t="inlineStr">
        <is>
          <t>Coding for Kids</t>
        </is>
      </c>
      <c r="E4276" t="inlineStr">
        <is>
          <t>South Region</t>
        </is>
      </c>
      <c r="F4276" t="inlineStr">
        <is>
          <t>Rep_02</t>
        </is>
      </c>
      <c r="G4276" t="n">
        <v>1.07</v>
      </c>
      <c r="H4276" t="inlineStr">
        <is>
          <t>Closed</t>
        </is>
      </c>
      <c r="I4276" t="inlineStr">
        <is>
          <t>Won</t>
        </is>
      </c>
      <c r="K4276" t="n">
        <v>586.37</v>
      </c>
      <c r="L4276" t="inlineStr">
        <is>
          <t>2026-07-27 18:39:32.144599</t>
        </is>
      </c>
      <c r="M4276">
        <f>VLOOKUP(H4276,'Stage Order'!$A$2:$B$8,2,FALSE)</f>
        <v/>
      </c>
      <c r="N4276">
        <f>IF(G4276&lt;=1,"1. Under 1 hour",IF(G4276&lt;=24,"2. 1-24 hours",IF(G4276&lt;=72,"3. 1-3 days","4. Over 3 days")))</f>
        <v/>
      </c>
      <c r="O4276">
        <f>TEXT(B4276,"YYYY-MM")</f>
        <v/>
      </c>
    </row>
    <row r="4277">
      <c r="A4277" t="inlineStr">
        <is>
          <t>LD-304275</t>
        </is>
      </c>
      <c r="B4277" t="inlineStr">
        <is>
          <t>2026-04-23 14:42:00</t>
        </is>
      </c>
      <c r="C4277" t="inlineStr">
        <is>
          <t>Webinar</t>
        </is>
      </c>
      <c r="D4277" t="inlineStr">
        <is>
          <t>K-12 Math</t>
        </is>
      </c>
      <c r="E4277" t="inlineStr">
        <is>
          <t>South Region</t>
        </is>
      </c>
      <c r="F4277" t="inlineStr">
        <is>
          <t>Rep_07</t>
        </is>
      </c>
      <c r="G4277" t="n">
        <v>2.36</v>
      </c>
      <c r="H4277" t="inlineStr">
        <is>
          <t>Contacted</t>
        </is>
      </c>
      <c r="I4277" t="inlineStr">
        <is>
          <t>Open</t>
        </is>
      </c>
      <c r="M4277">
        <f>VLOOKUP(H4277,'Stage Order'!$A$2:$B$8,2,FALSE)</f>
        <v/>
      </c>
      <c r="N4277">
        <f>IF(G4277&lt;=1,"1. Under 1 hour",IF(G4277&lt;=24,"2. 1-24 hours",IF(G4277&lt;=72,"3. 1-3 days","4. Over 3 days")))</f>
        <v/>
      </c>
      <c r="O4277">
        <f>TEXT(B4277,"YYYY-MM")</f>
        <v/>
      </c>
    </row>
    <row r="4278">
      <c r="A4278" t="inlineStr">
        <is>
          <t>LD-304276</t>
        </is>
      </c>
      <c r="B4278" t="inlineStr">
        <is>
          <t>2026-01-23 07:04:00</t>
        </is>
      </c>
      <c r="C4278" t="inlineStr">
        <is>
          <t>Organic Search</t>
        </is>
      </c>
      <c r="D4278" t="inlineStr">
        <is>
          <t>Competitive Exam Prep</t>
        </is>
      </c>
      <c r="E4278" t="inlineStr">
        <is>
          <t>North Region</t>
        </is>
      </c>
      <c r="F4278" t="inlineStr">
        <is>
          <t>Rep_11</t>
        </is>
      </c>
      <c r="G4278" t="n">
        <v>4.17</v>
      </c>
      <c r="H4278" t="inlineStr">
        <is>
          <t>Closed</t>
        </is>
      </c>
      <c r="I4278" t="inlineStr">
        <is>
          <t>Won</t>
        </is>
      </c>
      <c r="K4278" t="n">
        <v>1123.13</v>
      </c>
      <c r="L4278" t="inlineStr">
        <is>
          <t>2026-03-09 10:14:45.526507</t>
        </is>
      </c>
      <c r="M4278">
        <f>VLOOKUP(H4278,'Stage Order'!$A$2:$B$8,2,FALSE)</f>
        <v/>
      </c>
      <c r="N4278">
        <f>IF(G4278&lt;=1,"1. Under 1 hour",IF(G4278&lt;=24,"2. 1-24 hours",IF(G4278&lt;=72,"3. 1-3 days","4. Over 3 days")))</f>
        <v/>
      </c>
      <c r="O4278">
        <f>TEXT(B4278,"YYYY-MM")</f>
        <v/>
      </c>
    </row>
    <row r="4279">
      <c r="A4279" t="inlineStr">
        <is>
          <t>LD-304277</t>
        </is>
      </c>
      <c r="B4279" t="inlineStr">
        <is>
          <t>2026-02-04 17:53:00</t>
        </is>
      </c>
      <c r="C4279" t="inlineStr">
        <is>
          <t>Referral</t>
        </is>
      </c>
      <c r="D4279" t="inlineStr">
        <is>
          <t>K-12 Math</t>
        </is>
      </c>
      <c r="E4279" t="inlineStr">
        <is>
          <t>East Region</t>
        </is>
      </c>
      <c r="F4279" t="inlineStr">
        <is>
          <t>Rep_04</t>
        </is>
      </c>
      <c r="G4279" t="n">
        <v>5.33</v>
      </c>
      <c r="H4279" t="inlineStr">
        <is>
          <t>Negotiation</t>
        </is>
      </c>
      <c r="I4279" t="inlineStr">
        <is>
          <t>Lost</t>
        </is>
      </c>
      <c r="J4279" t="inlineStr">
        <is>
          <t>Went With Competitor</t>
        </is>
      </c>
      <c r="K4279" t="n">
        <v>449.27</v>
      </c>
      <c r="L4279" t="inlineStr">
        <is>
          <t>2026-03-31 07:07:24.060329</t>
        </is>
      </c>
      <c r="M4279">
        <f>VLOOKUP(H4279,'Stage Order'!$A$2:$B$8,2,FALSE)</f>
        <v/>
      </c>
      <c r="N4279">
        <f>IF(G4279&lt;=1,"1. Under 1 hour",IF(G4279&lt;=24,"2. 1-24 hours",IF(G4279&lt;=72,"3. 1-3 days","4. Over 3 days")))</f>
        <v/>
      </c>
      <c r="O4279">
        <f>TEXT(B4279,"YYYY-MM")</f>
        <v/>
      </c>
    </row>
    <row r="4280">
      <c r="A4280" t="inlineStr">
        <is>
          <t>LD-304278</t>
        </is>
      </c>
      <c r="B4280" t="inlineStr">
        <is>
          <t>2026-05-08 12:43:00</t>
        </is>
      </c>
      <c r="C4280" t="inlineStr">
        <is>
          <t>Organic Search</t>
        </is>
      </c>
      <c r="D4280" t="inlineStr">
        <is>
          <t>Study Abroad Prep</t>
        </is>
      </c>
      <c r="E4280" t="inlineStr">
        <is>
          <t>South Region</t>
        </is>
      </c>
      <c r="F4280" t="inlineStr">
        <is>
          <t>Rep_12</t>
        </is>
      </c>
      <c r="G4280" t="n">
        <v>4.55</v>
      </c>
      <c r="H4280" t="inlineStr">
        <is>
          <t>Lead</t>
        </is>
      </c>
      <c r="I4280" t="inlineStr">
        <is>
          <t>Open</t>
        </is>
      </c>
      <c r="M4280">
        <f>VLOOKUP(H4280,'Stage Order'!$A$2:$B$8,2,FALSE)</f>
        <v/>
      </c>
      <c r="N4280">
        <f>IF(G4280&lt;=1,"1. Under 1 hour",IF(G4280&lt;=24,"2. 1-24 hours",IF(G4280&lt;=72,"3. 1-3 days","4. Over 3 days")))</f>
        <v/>
      </c>
      <c r="O4280">
        <f>TEXT(B4280,"YYYY-MM")</f>
        <v/>
      </c>
    </row>
    <row r="4281">
      <c r="A4281" t="inlineStr">
        <is>
          <t>LD-304279</t>
        </is>
      </c>
      <c r="B4281" t="inlineStr">
        <is>
          <t>2025-07-13 15:37:00</t>
        </is>
      </c>
      <c r="C4281" t="inlineStr">
        <is>
          <t>Partner Channel</t>
        </is>
      </c>
      <c r="D4281" t="inlineStr">
        <is>
          <t>K-12 Math</t>
        </is>
      </c>
      <c r="E4281" t="inlineStr">
        <is>
          <t>International</t>
        </is>
      </c>
      <c r="F4281" t="inlineStr">
        <is>
          <t>Rep_15</t>
        </is>
      </c>
      <c r="G4281" t="n">
        <v>2.45</v>
      </c>
      <c r="H4281" t="inlineStr">
        <is>
          <t>Contacted</t>
        </is>
      </c>
      <c r="I4281" t="inlineStr">
        <is>
          <t>Open</t>
        </is>
      </c>
      <c r="M4281">
        <f>VLOOKUP(H4281,'Stage Order'!$A$2:$B$8,2,FALSE)</f>
        <v/>
      </c>
      <c r="N4281">
        <f>IF(G4281&lt;=1,"1. Under 1 hour",IF(G4281&lt;=24,"2. 1-24 hours",IF(G4281&lt;=72,"3. 1-3 days","4. Over 3 days")))</f>
        <v/>
      </c>
      <c r="O4281">
        <f>TEXT(B4281,"YYYY-MM")</f>
        <v/>
      </c>
    </row>
    <row r="4282">
      <c r="A4282" t="inlineStr">
        <is>
          <t>LD-304280</t>
        </is>
      </c>
      <c r="B4282" t="inlineStr">
        <is>
          <t>2025-08-27 19:19:00</t>
        </is>
      </c>
      <c r="C4282" t="inlineStr">
        <is>
          <t>Cold Outreach</t>
        </is>
      </c>
      <c r="D4282" t="inlineStr">
        <is>
          <t>Competitive Exam Prep</t>
        </is>
      </c>
      <c r="E4282" t="inlineStr">
        <is>
          <t>South Region</t>
        </is>
      </c>
      <c r="F4282" t="inlineStr">
        <is>
          <t>Rep_12</t>
        </is>
      </c>
      <c r="G4282" t="n">
        <v>2.83</v>
      </c>
      <c r="H4282" t="inlineStr">
        <is>
          <t>Lead</t>
        </is>
      </c>
      <c r="I4282" t="inlineStr">
        <is>
          <t>Open</t>
        </is>
      </c>
      <c r="M4282">
        <f>VLOOKUP(H4282,'Stage Order'!$A$2:$B$8,2,FALSE)</f>
        <v/>
      </c>
      <c r="N4282">
        <f>IF(G4282&lt;=1,"1. Under 1 hour",IF(G4282&lt;=24,"2. 1-24 hours",IF(G4282&lt;=72,"3. 1-3 days","4. Over 3 days")))</f>
        <v/>
      </c>
      <c r="O4282">
        <f>TEXT(B4282,"YYYY-MM")</f>
        <v/>
      </c>
    </row>
    <row r="4283">
      <c r="A4283" t="inlineStr">
        <is>
          <t>LD-304281</t>
        </is>
      </c>
      <c r="B4283" t="inlineStr">
        <is>
          <t>2026-06-03 11:20:00</t>
        </is>
      </c>
      <c r="C4283" t="inlineStr">
        <is>
          <t>Paid Search</t>
        </is>
      </c>
      <c r="D4283" t="inlineStr">
        <is>
          <t>Language Learning</t>
        </is>
      </c>
      <c r="E4283" t="inlineStr">
        <is>
          <t>North Region</t>
        </is>
      </c>
      <c r="F4283" t="inlineStr">
        <is>
          <t>Rep_06</t>
        </is>
      </c>
      <c r="G4283" t="n">
        <v>6.13</v>
      </c>
      <c r="H4283" t="inlineStr">
        <is>
          <t>Demo Completed</t>
        </is>
      </c>
      <c r="I4283" t="inlineStr">
        <is>
          <t>Lost</t>
        </is>
      </c>
      <c r="J4283" t="inlineStr">
        <is>
          <t>No Response / Ghosted</t>
        </is>
      </c>
      <c r="K4283" t="n">
        <v>395.2</v>
      </c>
      <c r="L4283" t="inlineStr">
        <is>
          <t>2026-06-28 23:36:54.489249</t>
        </is>
      </c>
      <c r="M4283">
        <f>VLOOKUP(H4283,'Stage Order'!$A$2:$B$8,2,FALSE)</f>
        <v/>
      </c>
      <c r="N4283">
        <f>IF(G4283&lt;=1,"1. Under 1 hour",IF(G4283&lt;=24,"2. 1-24 hours",IF(G4283&lt;=72,"3. 1-3 days","4. Over 3 days")))</f>
        <v/>
      </c>
      <c r="O4283">
        <f>TEXT(B4283,"YYYY-MM")</f>
        <v/>
      </c>
    </row>
    <row r="4284">
      <c r="A4284" t="inlineStr">
        <is>
          <t>LD-304282</t>
        </is>
      </c>
      <c r="B4284" t="inlineStr">
        <is>
          <t>2026-03-11 09:59:00</t>
        </is>
      </c>
      <c r="C4284" t="inlineStr">
        <is>
          <t>Referral</t>
        </is>
      </c>
      <c r="D4284" t="inlineStr">
        <is>
          <t>Competitive Exam Prep</t>
        </is>
      </c>
      <c r="E4284" t="inlineStr">
        <is>
          <t>North Region</t>
        </is>
      </c>
      <c r="F4284" t="inlineStr">
        <is>
          <t>Rep_06</t>
        </is>
      </c>
      <c r="G4284" t="n">
        <v>1.37</v>
      </c>
      <c r="H4284" t="inlineStr">
        <is>
          <t>Closed</t>
        </is>
      </c>
      <c r="I4284" t="inlineStr">
        <is>
          <t>Won</t>
        </is>
      </c>
      <c r="K4284" t="n">
        <v>1023.97</v>
      </c>
      <c r="L4284" t="inlineStr">
        <is>
          <t>2026-04-15 04:16:06.133087</t>
        </is>
      </c>
      <c r="M4284">
        <f>VLOOKUP(H4284,'Stage Order'!$A$2:$B$8,2,FALSE)</f>
        <v/>
      </c>
      <c r="N4284">
        <f>IF(G4284&lt;=1,"1. Under 1 hour",IF(G4284&lt;=24,"2. 1-24 hours",IF(G4284&lt;=72,"3. 1-3 days","4. Over 3 days")))</f>
        <v/>
      </c>
      <c r="O4284">
        <f>TEXT(B4284,"YYYY-MM")</f>
        <v/>
      </c>
    </row>
    <row r="4285">
      <c r="A4285" t="inlineStr">
        <is>
          <t>LD-304283</t>
        </is>
      </c>
      <c r="B4285" t="inlineStr">
        <is>
          <t>2025-04-03 16:35:00</t>
        </is>
      </c>
      <c r="C4285" t="inlineStr">
        <is>
          <t>Cold Outreach</t>
        </is>
      </c>
      <c r="D4285" t="inlineStr">
        <is>
          <t>Language Learning</t>
        </is>
      </c>
      <c r="E4285" t="inlineStr">
        <is>
          <t>International</t>
        </is>
      </c>
      <c r="F4285" t="inlineStr">
        <is>
          <t>Rep_05</t>
        </is>
      </c>
      <c r="G4285" t="n">
        <v>8.619999999999999</v>
      </c>
      <c r="H4285" t="inlineStr">
        <is>
          <t>Lead</t>
        </is>
      </c>
      <c r="I4285" t="inlineStr">
        <is>
          <t>Open</t>
        </is>
      </c>
      <c r="M4285">
        <f>VLOOKUP(H4285,'Stage Order'!$A$2:$B$8,2,FALSE)</f>
        <v/>
      </c>
      <c r="N4285">
        <f>IF(G4285&lt;=1,"1. Under 1 hour",IF(G4285&lt;=24,"2. 1-24 hours",IF(G4285&lt;=72,"3. 1-3 days","4. Over 3 days")))</f>
        <v/>
      </c>
      <c r="O4285">
        <f>TEXT(B4285,"YYYY-MM")</f>
        <v/>
      </c>
    </row>
    <row r="4286">
      <c r="A4286" t="inlineStr">
        <is>
          <t>LD-304284</t>
        </is>
      </c>
      <c r="B4286" t="inlineStr">
        <is>
          <t>2025-03-28 13:23:00</t>
        </is>
      </c>
      <c r="C4286" t="inlineStr">
        <is>
          <t>Social Media</t>
        </is>
      </c>
      <c r="D4286" t="inlineStr">
        <is>
          <t>K-12 Math</t>
        </is>
      </c>
      <c r="E4286" t="inlineStr">
        <is>
          <t>South Region</t>
        </is>
      </c>
      <c r="F4286" t="inlineStr">
        <is>
          <t>Rep_12</t>
        </is>
      </c>
      <c r="G4286" t="n">
        <v>1.03</v>
      </c>
      <c r="H4286" t="inlineStr">
        <is>
          <t>Contacted</t>
        </is>
      </c>
      <c r="I4286" t="inlineStr">
        <is>
          <t>Open</t>
        </is>
      </c>
      <c r="M4286">
        <f>VLOOKUP(H4286,'Stage Order'!$A$2:$B$8,2,FALSE)</f>
        <v/>
      </c>
      <c r="N4286">
        <f>IF(G4286&lt;=1,"1. Under 1 hour",IF(G4286&lt;=24,"2. 1-24 hours",IF(G4286&lt;=72,"3. 1-3 days","4. Over 3 days")))</f>
        <v/>
      </c>
      <c r="O4286">
        <f>TEXT(B4286,"YYYY-MM")</f>
        <v/>
      </c>
    </row>
    <row r="4287">
      <c r="A4287" t="inlineStr">
        <is>
          <t>LD-304285</t>
        </is>
      </c>
      <c r="B4287" t="inlineStr">
        <is>
          <t>2025-04-29 12:03:00</t>
        </is>
      </c>
      <c r="C4287" t="inlineStr">
        <is>
          <t>Referral</t>
        </is>
      </c>
      <c r="D4287" t="inlineStr">
        <is>
          <t>Coding for Kids</t>
        </is>
      </c>
      <c r="E4287" t="inlineStr">
        <is>
          <t>North Region</t>
        </is>
      </c>
      <c r="F4287" t="inlineStr">
        <is>
          <t>Rep_06</t>
        </is>
      </c>
      <c r="G4287" t="n">
        <v>1.43</v>
      </c>
      <c r="H4287" t="inlineStr">
        <is>
          <t>Contacted</t>
        </is>
      </c>
      <c r="I4287" t="inlineStr">
        <is>
          <t>Open</t>
        </is>
      </c>
      <c r="M4287">
        <f>VLOOKUP(H4287,'Stage Order'!$A$2:$B$8,2,FALSE)</f>
        <v/>
      </c>
      <c r="N4287">
        <f>IF(G4287&lt;=1,"1. Under 1 hour",IF(G4287&lt;=24,"2. 1-24 hours",IF(G4287&lt;=72,"3. 1-3 days","4. Over 3 days")))</f>
        <v/>
      </c>
      <c r="O4287">
        <f>TEXT(B4287,"YYYY-MM")</f>
        <v/>
      </c>
    </row>
    <row r="4288">
      <c r="A4288" t="inlineStr">
        <is>
          <t>LD-304286</t>
        </is>
      </c>
      <c r="B4288" t="inlineStr">
        <is>
          <t>2026-05-29 13:00:00</t>
        </is>
      </c>
      <c r="C4288" t="inlineStr">
        <is>
          <t>Webinar</t>
        </is>
      </c>
      <c r="D4288" t="inlineStr">
        <is>
          <t>Coding for Kids</t>
        </is>
      </c>
      <c r="E4288" t="inlineStr">
        <is>
          <t>International</t>
        </is>
      </c>
      <c r="F4288" t="inlineStr">
        <is>
          <t>Rep_10</t>
        </is>
      </c>
      <c r="G4288" t="n">
        <v>2.71</v>
      </c>
      <c r="H4288" t="inlineStr">
        <is>
          <t>Proposal Sent</t>
        </is>
      </c>
      <c r="I4288" t="inlineStr">
        <is>
          <t>Lost</t>
        </is>
      </c>
      <c r="J4288" t="inlineStr">
        <is>
          <t>Price Objection</t>
        </is>
      </c>
      <c r="K4288" t="n">
        <v>769.3</v>
      </c>
      <c r="L4288" t="inlineStr">
        <is>
          <t>2026-06-26 08:53:55.039874</t>
        </is>
      </c>
      <c r="M4288">
        <f>VLOOKUP(H4288,'Stage Order'!$A$2:$B$8,2,FALSE)</f>
        <v/>
      </c>
      <c r="N4288">
        <f>IF(G4288&lt;=1,"1. Under 1 hour",IF(G4288&lt;=24,"2. 1-24 hours",IF(G4288&lt;=72,"3. 1-3 days","4. Over 3 days")))</f>
        <v/>
      </c>
      <c r="O4288">
        <f>TEXT(B4288,"YYYY-MM")</f>
        <v/>
      </c>
    </row>
    <row r="4289">
      <c r="A4289" t="inlineStr">
        <is>
          <t>LD-304287</t>
        </is>
      </c>
      <c r="B4289" t="inlineStr">
        <is>
          <t>2026-05-22 18:14:00</t>
        </is>
      </c>
      <c r="C4289" t="inlineStr">
        <is>
          <t>Webinar</t>
        </is>
      </c>
      <c r="D4289" t="inlineStr">
        <is>
          <t>Competitive Exam Prep</t>
        </is>
      </c>
      <c r="E4289" t="inlineStr">
        <is>
          <t>South Region</t>
        </is>
      </c>
      <c r="F4289" t="inlineStr">
        <is>
          <t>Rep_02</t>
        </is>
      </c>
      <c r="G4289" t="n">
        <v>5.95</v>
      </c>
      <c r="H4289" t="inlineStr">
        <is>
          <t>Closed</t>
        </is>
      </c>
      <c r="I4289" t="inlineStr">
        <is>
          <t>Won</t>
        </is>
      </c>
      <c r="K4289" t="n">
        <v>821.5700000000001</v>
      </c>
      <c r="L4289" t="inlineStr">
        <is>
          <t>2026-06-25 10:50:02.202819</t>
        </is>
      </c>
      <c r="M4289">
        <f>VLOOKUP(H4289,'Stage Order'!$A$2:$B$8,2,FALSE)</f>
        <v/>
      </c>
      <c r="N4289">
        <f>IF(G4289&lt;=1,"1. Under 1 hour",IF(G4289&lt;=24,"2. 1-24 hours",IF(G4289&lt;=72,"3. 1-3 days","4. Over 3 days")))</f>
        <v/>
      </c>
      <c r="O4289">
        <f>TEXT(B4289,"YYYY-MM")</f>
        <v/>
      </c>
    </row>
    <row r="4290">
      <c r="A4290" t="inlineStr">
        <is>
          <t>LD-304288</t>
        </is>
      </c>
      <c r="B4290" t="inlineStr">
        <is>
          <t>2026-03-12 17:01:00</t>
        </is>
      </c>
      <c r="C4290" t="inlineStr">
        <is>
          <t>Paid Search</t>
        </is>
      </c>
      <c r="D4290" t="inlineStr">
        <is>
          <t>Coding for Kids</t>
        </is>
      </c>
      <c r="E4290" t="inlineStr">
        <is>
          <t>West Region</t>
        </is>
      </c>
      <c r="F4290" t="inlineStr">
        <is>
          <t>Rep_08</t>
        </is>
      </c>
      <c r="G4290" t="n">
        <v>3.16</v>
      </c>
      <c r="H4290" t="inlineStr">
        <is>
          <t>Demo Completed</t>
        </is>
      </c>
      <c r="I4290" t="inlineStr">
        <is>
          <t>Lost</t>
        </is>
      </c>
      <c r="J4290" t="inlineStr">
        <is>
          <t>Budget Not Approved</t>
        </is>
      </c>
      <c r="K4290" t="n">
        <v>713.74</v>
      </c>
      <c r="L4290" t="inlineStr">
        <is>
          <t>2026-04-22 09:59:17.878331</t>
        </is>
      </c>
      <c r="M4290">
        <f>VLOOKUP(H4290,'Stage Order'!$A$2:$B$8,2,FALSE)</f>
        <v/>
      </c>
      <c r="N4290">
        <f>IF(G4290&lt;=1,"1. Under 1 hour",IF(G4290&lt;=24,"2. 1-24 hours",IF(G4290&lt;=72,"3. 1-3 days","4. Over 3 days")))</f>
        <v/>
      </c>
      <c r="O4290">
        <f>TEXT(B4290,"YYYY-MM")</f>
        <v/>
      </c>
    </row>
    <row r="4291">
      <c r="A4291" t="inlineStr">
        <is>
          <t>LD-304289</t>
        </is>
      </c>
      <c r="B4291" t="inlineStr">
        <is>
          <t>2025-12-31 20:54:00</t>
        </is>
      </c>
      <c r="C4291" t="inlineStr">
        <is>
          <t>Webinar</t>
        </is>
      </c>
      <c r="D4291" t="inlineStr">
        <is>
          <t>K-12 Math</t>
        </is>
      </c>
      <c r="E4291" t="inlineStr">
        <is>
          <t>East Region</t>
        </is>
      </c>
      <c r="F4291" t="inlineStr">
        <is>
          <t>Rep_04</t>
        </is>
      </c>
      <c r="G4291" t="n">
        <v>4.11</v>
      </c>
      <c r="H4291" t="inlineStr">
        <is>
          <t>Negotiation</t>
        </is>
      </c>
      <c r="I4291" t="inlineStr">
        <is>
          <t>Lost</t>
        </is>
      </c>
      <c r="J4291" t="inlineStr">
        <is>
          <t>Price Objection</t>
        </is>
      </c>
      <c r="K4291" t="n">
        <v>471.26</v>
      </c>
      <c r="L4291" t="inlineStr">
        <is>
          <t>2026-02-16 10:03:02.918479</t>
        </is>
      </c>
      <c r="M4291">
        <f>VLOOKUP(H4291,'Stage Order'!$A$2:$B$8,2,FALSE)</f>
        <v/>
      </c>
      <c r="N4291">
        <f>IF(G4291&lt;=1,"1. Under 1 hour",IF(G4291&lt;=24,"2. 1-24 hours",IF(G4291&lt;=72,"3. 1-3 days","4. Over 3 days")))</f>
        <v/>
      </c>
      <c r="O4291">
        <f>TEXT(B4291,"YYYY-MM")</f>
        <v/>
      </c>
    </row>
    <row r="4292">
      <c r="A4292" t="inlineStr">
        <is>
          <t>LD-304290</t>
        </is>
      </c>
      <c r="B4292" t="inlineStr">
        <is>
          <t>2025-03-17 09:46:00</t>
        </is>
      </c>
      <c r="C4292" t="inlineStr">
        <is>
          <t>Organic Search</t>
        </is>
      </c>
      <c r="D4292" t="inlineStr">
        <is>
          <t>Competitive Exam Prep</t>
        </is>
      </c>
      <c r="E4292" t="inlineStr">
        <is>
          <t>East Region</t>
        </is>
      </c>
      <c r="F4292" t="inlineStr">
        <is>
          <t>Rep_09</t>
        </is>
      </c>
      <c r="G4292" t="n">
        <v>11.24</v>
      </c>
      <c r="H4292" t="inlineStr">
        <is>
          <t>Contacted</t>
        </is>
      </c>
      <c r="I4292" t="inlineStr">
        <is>
          <t>Open</t>
        </is>
      </c>
      <c r="M4292">
        <f>VLOOKUP(H4292,'Stage Order'!$A$2:$B$8,2,FALSE)</f>
        <v/>
      </c>
      <c r="N4292">
        <f>IF(G4292&lt;=1,"1. Under 1 hour",IF(G4292&lt;=24,"2. 1-24 hours",IF(G4292&lt;=72,"3. 1-3 days","4. Over 3 days")))</f>
        <v/>
      </c>
      <c r="O4292">
        <f>TEXT(B4292,"YYYY-MM")</f>
        <v/>
      </c>
    </row>
    <row r="4293">
      <c r="A4293" t="inlineStr">
        <is>
          <t>LD-304291</t>
        </is>
      </c>
      <c r="B4293" t="inlineStr">
        <is>
          <t>2025-02-28 09:38:00</t>
        </is>
      </c>
      <c r="C4293" t="inlineStr">
        <is>
          <t>Paid Search</t>
        </is>
      </c>
      <c r="D4293" t="inlineStr">
        <is>
          <t>Competitive Exam Prep</t>
        </is>
      </c>
      <c r="E4293" t="inlineStr">
        <is>
          <t>South Region</t>
        </is>
      </c>
      <c r="F4293" t="inlineStr">
        <is>
          <t>Rep_07</t>
        </is>
      </c>
      <c r="G4293" t="n">
        <v>0.5</v>
      </c>
      <c r="H4293" t="inlineStr">
        <is>
          <t>Contacted</t>
        </is>
      </c>
      <c r="I4293" t="inlineStr">
        <is>
          <t>Open</t>
        </is>
      </c>
      <c r="M4293">
        <f>VLOOKUP(H4293,'Stage Order'!$A$2:$B$8,2,FALSE)</f>
        <v/>
      </c>
      <c r="N4293">
        <f>IF(G4293&lt;=1,"1. Under 1 hour",IF(G4293&lt;=24,"2. 1-24 hours",IF(G4293&lt;=72,"3. 1-3 days","4. Over 3 days")))</f>
        <v/>
      </c>
      <c r="O4293">
        <f>TEXT(B4293,"YYYY-MM")</f>
        <v/>
      </c>
    </row>
    <row r="4294">
      <c r="A4294" t="inlineStr">
        <is>
          <t>LD-304292</t>
        </is>
      </c>
      <c r="B4294" t="inlineStr">
        <is>
          <t>2025-08-22 18:29:00</t>
        </is>
      </c>
      <c r="C4294" t="inlineStr">
        <is>
          <t>Referral</t>
        </is>
      </c>
      <c r="D4294" t="inlineStr">
        <is>
          <t>K-12 Math</t>
        </is>
      </c>
      <c r="E4294" t="inlineStr">
        <is>
          <t>South Region</t>
        </is>
      </c>
      <c r="F4294" t="inlineStr">
        <is>
          <t>Rep_07</t>
        </is>
      </c>
      <c r="G4294" t="n">
        <v>3.55</v>
      </c>
      <c r="H4294" t="inlineStr">
        <is>
          <t>Contacted</t>
        </is>
      </c>
      <c r="I4294" t="inlineStr">
        <is>
          <t>Open</t>
        </is>
      </c>
      <c r="M4294">
        <f>VLOOKUP(H4294,'Stage Order'!$A$2:$B$8,2,FALSE)</f>
        <v/>
      </c>
      <c r="N4294">
        <f>IF(G4294&lt;=1,"1. Under 1 hour",IF(G4294&lt;=24,"2. 1-24 hours",IF(G4294&lt;=72,"3. 1-3 days","4. Over 3 days")))</f>
        <v/>
      </c>
      <c r="O4294">
        <f>TEXT(B4294,"YYYY-MM")</f>
        <v/>
      </c>
    </row>
    <row r="4295">
      <c r="A4295" t="inlineStr">
        <is>
          <t>LD-304293</t>
        </is>
      </c>
      <c r="B4295" t="inlineStr">
        <is>
          <t>2026-02-13 14:31:00</t>
        </is>
      </c>
      <c r="C4295" t="inlineStr">
        <is>
          <t>Paid Search</t>
        </is>
      </c>
      <c r="D4295" t="inlineStr">
        <is>
          <t>Language Learning</t>
        </is>
      </c>
      <c r="E4295" t="inlineStr">
        <is>
          <t>International</t>
        </is>
      </c>
      <c r="F4295" t="inlineStr">
        <is>
          <t>Rep_10</t>
        </is>
      </c>
      <c r="G4295" t="n">
        <v>1.31</v>
      </c>
      <c r="H4295" t="inlineStr">
        <is>
          <t>Closed</t>
        </is>
      </c>
      <c r="I4295" t="inlineStr">
        <is>
          <t>Won</t>
        </is>
      </c>
      <c r="K4295" t="n">
        <v>294.05</v>
      </c>
      <c r="L4295" t="inlineStr">
        <is>
          <t>2026-04-05 12:39:35.886834</t>
        </is>
      </c>
      <c r="M4295">
        <f>VLOOKUP(H4295,'Stage Order'!$A$2:$B$8,2,FALSE)</f>
        <v/>
      </c>
      <c r="N4295">
        <f>IF(G4295&lt;=1,"1. Under 1 hour",IF(G4295&lt;=24,"2. 1-24 hours",IF(G4295&lt;=72,"3. 1-3 days","4. Over 3 days")))</f>
        <v/>
      </c>
      <c r="O4295">
        <f>TEXT(B4295,"YYYY-MM")</f>
        <v/>
      </c>
    </row>
    <row r="4296">
      <c r="A4296" t="inlineStr">
        <is>
          <t>LD-304294</t>
        </is>
      </c>
      <c r="B4296" t="inlineStr">
        <is>
          <t>2026-03-10 19:55:00</t>
        </is>
      </c>
      <c r="C4296" t="inlineStr">
        <is>
          <t>Organic Search</t>
        </is>
      </c>
      <c r="D4296" t="inlineStr">
        <is>
          <t>Coding for Kids</t>
        </is>
      </c>
      <c r="E4296" t="inlineStr">
        <is>
          <t>West Region</t>
        </is>
      </c>
      <c r="F4296" t="inlineStr">
        <is>
          <t>Rep_13</t>
        </is>
      </c>
      <c r="G4296" t="n">
        <v>3.39</v>
      </c>
      <c r="H4296" t="inlineStr">
        <is>
          <t>Contacted</t>
        </is>
      </c>
      <c r="I4296" t="inlineStr">
        <is>
          <t>Open</t>
        </is>
      </c>
      <c r="M4296">
        <f>VLOOKUP(H4296,'Stage Order'!$A$2:$B$8,2,FALSE)</f>
        <v/>
      </c>
      <c r="N4296">
        <f>IF(G4296&lt;=1,"1. Under 1 hour",IF(G4296&lt;=24,"2. 1-24 hours",IF(G4296&lt;=72,"3. 1-3 days","4. Over 3 days")))</f>
        <v/>
      </c>
      <c r="O4296">
        <f>TEXT(B4296,"YYYY-MM")</f>
        <v/>
      </c>
    </row>
    <row r="4297">
      <c r="A4297" t="inlineStr">
        <is>
          <t>LD-304295</t>
        </is>
      </c>
      <c r="B4297" t="inlineStr">
        <is>
          <t>2026-01-22 11:02:00</t>
        </is>
      </c>
      <c r="C4297" t="inlineStr">
        <is>
          <t>Webinar</t>
        </is>
      </c>
      <c r="D4297" t="inlineStr">
        <is>
          <t>Competitive Exam Prep</t>
        </is>
      </c>
      <c r="E4297" t="inlineStr">
        <is>
          <t>West Region</t>
        </is>
      </c>
      <c r="F4297" t="inlineStr">
        <is>
          <t>Rep_08</t>
        </is>
      </c>
      <c r="G4297" t="n">
        <v>4.47</v>
      </c>
      <c r="H4297" t="inlineStr">
        <is>
          <t>Negotiation</t>
        </is>
      </c>
      <c r="I4297" t="inlineStr">
        <is>
          <t>Lost</t>
        </is>
      </c>
      <c r="J4297" t="inlineStr">
        <is>
          <t>No Response / Ghosted</t>
        </is>
      </c>
      <c r="K4297" t="n">
        <v>846.3</v>
      </c>
      <c r="L4297" t="inlineStr">
        <is>
          <t>2026-03-08 03:47:17.789948</t>
        </is>
      </c>
      <c r="M4297">
        <f>VLOOKUP(H4297,'Stage Order'!$A$2:$B$8,2,FALSE)</f>
        <v/>
      </c>
      <c r="N4297">
        <f>IF(G4297&lt;=1,"1. Under 1 hour",IF(G4297&lt;=24,"2. 1-24 hours",IF(G4297&lt;=72,"3. 1-3 days","4. Over 3 days")))</f>
        <v/>
      </c>
      <c r="O4297">
        <f>TEXT(B4297,"YYYY-MM")</f>
        <v/>
      </c>
    </row>
    <row r="4298">
      <c r="A4298" t="inlineStr">
        <is>
          <t>LD-304296</t>
        </is>
      </c>
      <c r="B4298" t="inlineStr">
        <is>
          <t>2025-07-21 13:37:00</t>
        </is>
      </c>
      <c r="C4298" t="inlineStr">
        <is>
          <t>Paid Search</t>
        </is>
      </c>
      <c r="D4298" t="inlineStr">
        <is>
          <t>Competitive Exam Prep</t>
        </is>
      </c>
      <c r="E4298" t="inlineStr">
        <is>
          <t>West Region</t>
        </is>
      </c>
      <c r="F4298" t="inlineStr">
        <is>
          <t>Rep_03</t>
        </is>
      </c>
      <c r="G4298" t="n">
        <v>2.99</v>
      </c>
      <c r="H4298" t="inlineStr">
        <is>
          <t>Contacted</t>
        </is>
      </c>
      <c r="I4298" t="inlineStr">
        <is>
          <t>Open</t>
        </is>
      </c>
      <c r="M4298">
        <f>VLOOKUP(H4298,'Stage Order'!$A$2:$B$8,2,FALSE)</f>
        <v/>
      </c>
      <c r="N4298">
        <f>IF(G4298&lt;=1,"1. Under 1 hour",IF(G4298&lt;=24,"2. 1-24 hours",IF(G4298&lt;=72,"3. 1-3 days","4. Over 3 days")))</f>
        <v/>
      </c>
      <c r="O4298">
        <f>TEXT(B4298,"YYYY-MM")</f>
        <v/>
      </c>
    </row>
    <row r="4299">
      <c r="A4299" t="inlineStr">
        <is>
          <t>LD-304297</t>
        </is>
      </c>
      <c r="B4299" t="inlineStr">
        <is>
          <t>2026-06-11 20:37:00</t>
        </is>
      </c>
      <c r="C4299" t="inlineStr">
        <is>
          <t>Cold Outreach</t>
        </is>
      </c>
      <c r="D4299" t="inlineStr">
        <is>
          <t>Competitive Exam Prep</t>
        </is>
      </c>
      <c r="E4299" t="inlineStr">
        <is>
          <t>West Region</t>
        </is>
      </c>
      <c r="F4299" t="inlineStr">
        <is>
          <t>Rep_08</t>
        </is>
      </c>
      <c r="G4299" t="n">
        <v>0.96</v>
      </c>
      <c r="H4299" t="inlineStr">
        <is>
          <t>Lead</t>
        </is>
      </c>
      <c r="I4299" t="inlineStr">
        <is>
          <t>Open</t>
        </is>
      </c>
      <c r="M4299">
        <f>VLOOKUP(H4299,'Stage Order'!$A$2:$B$8,2,FALSE)</f>
        <v/>
      </c>
      <c r="N4299">
        <f>IF(G4299&lt;=1,"1. Under 1 hour",IF(G4299&lt;=24,"2. 1-24 hours",IF(G4299&lt;=72,"3. 1-3 days","4. Over 3 days")))</f>
        <v/>
      </c>
      <c r="O4299">
        <f>TEXT(B4299,"YYYY-MM")</f>
        <v/>
      </c>
    </row>
    <row r="4300">
      <c r="A4300" t="inlineStr">
        <is>
          <t>LD-304298</t>
        </is>
      </c>
      <c r="B4300" t="inlineStr">
        <is>
          <t>2026-05-04 14:27:00</t>
        </is>
      </c>
      <c r="C4300" t="inlineStr">
        <is>
          <t>Social Media</t>
        </is>
      </c>
      <c r="D4300" t="inlineStr">
        <is>
          <t>Competitive Exam Prep</t>
        </is>
      </c>
      <c r="E4300" t="inlineStr">
        <is>
          <t>South Region</t>
        </is>
      </c>
      <c r="F4300" t="inlineStr">
        <is>
          <t>Rep_07</t>
        </is>
      </c>
      <c r="G4300" t="n">
        <v>1.49</v>
      </c>
      <c r="H4300" t="inlineStr">
        <is>
          <t>Lead</t>
        </is>
      </c>
      <c r="I4300" t="inlineStr">
        <is>
          <t>Open</t>
        </is>
      </c>
      <c r="M4300">
        <f>VLOOKUP(H4300,'Stage Order'!$A$2:$B$8,2,FALSE)</f>
        <v/>
      </c>
      <c r="N4300">
        <f>IF(G4300&lt;=1,"1. Under 1 hour",IF(G4300&lt;=24,"2. 1-24 hours",IF(G4300&lt;=72,"3. 1-3 days","4. Over 3 days")))</f>
        <v/>
      </c>
      <c r="O4300">
        <f>TEXT(B4300,"YYYY-MM")</f>
        <v/>
      </c>
    </row>
    <row r="4301">
      <c r="A4301" t="inlineStr">
        <is>
          <t>LD-304299</t>
        </is>
      </c>
      <c r="B4301" t="inlineStr">
        <is>
          <t>2026-01-09 12:28:00</t>
        </is>
      </c>
      <c r="C4301" t="inlineStr">
        <is>
          <t>Paid Search</t>
        </is>
      </c>
      <c r="D4301" t="inlineStr">
        <is>
          <t>Study Abroad Prep</t>
        </is>
      </c>
      <c r="E4301" t="inlineStr">
        <is>
          <t>East Region</t>
        </is>
      </c>
      <c r="F4301" t="inlineStr">
        <is>
          <t>Rep_04</t>
        </is>
      </c>
      <c r="G4301" t="n">
        <v>1.19</v>
      </c>
      <c r="H4301" t="inlineStr">
        <is>
          <t>Demo Completed</t>
        </is>
      </c>
      <c r="I4301" t="inlineStr">
        <is>
          <t>Lost</t>
        </is>
      </c>
      <c r="J4301" t="inlineStr">
        <is>
          <t>Bad Timing</t>
        </is>
      </c>
      <c r="K4301" t="n">
        <v>1435.49</v>
      </c>
      <c r="L4301" t="inlineStr">
        <is>
          <t>2026-02-11 10:34:54.880719</t>
        </is>
      </c>
      <c r="M4301">
        <f>VLOOKUP(H4301,'Stage Order'!$A$2:$B$8,2,FALSE)</f>
        <v/>
      </c>
      <c r="N4301">
        <f>IF(G4301&lt;=1,"1. Under 1 hour",IF(G4301&lt;=24,"2. 1-24 hours",IF(G4301&lt;=72,"3. 1-3 days","4. Over 3 days")))</f>
        <v/>
      </c>
      <c r="O4301">
        <f>TEXT(B4301,"YYYY-MM")</f>
        <v/>
      </c>
    </row>
    <row r="4302">
      <c r="A4302" t="inlineStr">
        <is>
          <t>LD-304300</t>
        </is>
      </c>
      <c r="B4302" t="inlineStr">
        <is>
          <t>2026-04-30 20:56:00</t>
        </is>
      </c>
      <c r="C4302" t="inlineStr">
        <is>
          <t>Social Media</t>
        </is>
      </c>
      <c r="D4302" t="inlineStr">
        <is>
          <t>Competitive Exam Prep</t>
        </is>
      </c>
      <c r="E4302" t="inlineStr">
        <is>
          <t>North Region</t>
        </is>
      </c>
      <c r="F4302" t="inlineStr">
        <is>
          <t>Rep_06</t>
        </is>
      </c>
      <c r="G4302" t="n">
        <v>8.960000000000001</v>
      </c>
      <c r="H4302" t="inlineStr">
        <is>
          <t>Lead</t>
        </is>
      </c>
      <c r="I4302" t="inlineStr">
        <is>
          <t>Open</t>
        </is>
      </c>
      <c r="M4302">
        <f>VLOOKUP(H4302,'Stage Order'!$A$2:$B$8,2,FALSE)</f>
        <v/>
      </c>
      <c r="N4302">
        <f>IF(G4302&lt;=1,"1. Under 1 hour",IF(G4302&lt;=24,"2. 1-24 hours",IF(G4302&lt;=72,"3. 1-3 days","4. Over 3 days")))</f>
        <v/>
      </c>
      <c r="O4302">
        <f>TEXT(B4302,"YYYY-MM")</f>
        <v/>
      </c>
    </row>
    <row r="4303">
      <c r="A4303" t="inlineStr">
        <is>
          <t>LD-304301</t>
        </is>
      </c>
      <c r="B4303" t="inlineStr">
        <is>
          <t>2026-06-26 15:16:00</t>
        </is>
      </c>
      <c r="C4303" t="inlineStr">
        <is>
          <t>Social Media</t>
        </is>
      </c>
      <c r="D4303" t="inlineStr">
        <is>
          <t>Language Learning</t>
        </is>
      </c>
      <c r="E4303" t="inlineStr">
        <is>
          <t>North Region</t>
        </is>
      </c>
      <c r="F4303" t="inlineStr">
        <is>
          <t>Rep_06</t>
        </is>
      </c>
      <c r="G4303" t="n">
        <v>3.96</v>
      </c>
      <c r="H4303" t="inlineStr">
        <is>
          <t>Lead</t>
        </is>
      </c>
      <c r="I4303" t="inlineStr">
        <is>
          <t>Open</t>
        </is>
      </c>
      <c r="M4303">
        <f>VLOOKUP(H4303,'Stage Order'!$A$2:$B$8,2,FALSE)</f>
        <v/>
      </c>
      <c r="N4303">
        <f>IF(G4303&lt;=1,"1. Under 1 hour",IF(G4303&lt;=24,"2. 1-24 hours",IF(G4303&lt;=72,"3. 1-3 days","4. Over 3 days")))</f>
        <v/>
      </c>
      <c r="O4303">
        <f>TEXT(B4303,"YYYY-MM")</f>
        <v/>
      </c>
    </row>
    <row r="4304">
      <c r="A4304" t="inlineStr">
        <is>
          <t>LD-304302</t>
        </is>
      </c>
      <c r="B4304" t="inlineStr">
        <is>
          <t>2025-01-25 17:40:00</t>
        </is>
      </c>
      <c r="C4304" t="inlineStr">
        <is>
          <t>Organic Search</t>
        </is>
      </c>
      <c r="D4304" t="inlineStr">
        <is>
          <t>Coding for Kids</t>
        </is>
      </c>
      <c r="E4304" t="inlineStr">
        <is>
          <t>South Region</t>
        </is>
      </c>
      <c r="F4304" t="inlineStr">
        <is>
          <t>Rep_07</t>
        </is>
      </c>
      <c r="G4304" t="n">
        <v>1.99</v>
      </c>
      <c r="H4304" t="inlineStr">
        <is>
          <t>Contacted</t>
        </is>
      </c>
      <c r="I4304" t="inlineStr">
        <is>
          <t>Open</t>
        </is>
      </c>
      <c r="M4304">
        <f>VLOOKUP(H4304,'Stage Order'!$A$2:$B$8,2,FALSE)</f>
        <v/>
      </c>
      <c r="N4304">
        <f>IF(G4304&lt;=1,"1. Under 1 hour",IF(G4304&lt;=24,"2. 1-24 hours",IF(G4304&lt;=72,"3. 1-3 days","4. Over 3 days")))</f>
        <v/>
      </c>
      <c r="O4304">
        <f>TEXT(B4304,"YYYY-MM")</f>
        <v/>
      </c>
    </row>
    <row r="4305">
      <c r="A4305" t="inlineStr">
        <is>
          <t>LD-304303</t>
        </is>
      </c>
      <c r="B4305" t="inlineStr">
        <is>
          <t>2026-03-25 09:16:00</t>
        </is>
      </c>
      <c r="C4305" t="inlineStr">
        <is>
          <t>Organic Search</t>
        </is>
      </c>
      <c r="D4305" t="inlineStr">
        <is>
          <t>K-12 Math</t>
        </is>
      </c>
      <c r="E4305" t="inlineStr">
        <is>
          <t>International</t>
        </is>
      </c>
      <c r="F4305" t="inlineStr">
        <is>
          <t>Rep_15</t>
        </is>
      </c>
      <c r="G4305" t="n">
        <v>9.92</v>
      </c>
      <c r="H4305" t="inlineStr">
        <is>
          <t>Proposal Sent</t>
        </is>
      </c>
      <c r="I4305" t="inlineStr">
        <is>
          <t>Lost</t>
        </is>
      </c>
      <c r="J4305" t="inlineStr">
        <is>
          <t>Went With Competitor</t>
        </is>
      </c>
      <c r="K4305" t="n">
        <v>482.26</v>
      </c>
      <c r="L4305" t="inlineStr">
        <is>
          <t>2026-04-30 22:54:35.880767</t>
        </is>
      </c>
      <c r="M4305">
        <f>VLOOKUP(H4305,'Stage Order'!$A$2:$B$8,2,FALSE)</f>
        <v/>
      </c>
      <c r="N4305">
        <f>IF(G4305&lt;=1,"1. Under 1 hour",IF(G4305&lt;=24,"2. 1-24 hours",IF(G4305&lt;=72,"3. 1-3 days","4. Over 3 days")))</f>
        <v/>
      </c>
      <c r="O4305">
        <f>TEXT(B4305,"YYYY-MM")</f>
        <v/>
      </c>
    </row>
    <row r="4306">
      <c r="A4306" t="inlineStr">
        <is>
          <t>LD-304304</t>
        </is>
      </c>
      <c r="B4306" t="inlineStr">
        <is>
          <t>2025-11-08 14:59:00</t>
        </is>
      </c>
      <c r="C4306" t="inlineStr">
        <is>
          <t>Cold Outreach</t>
        </is>
      </c>
      <c r="D4306" t="inlineStr">
        <is>
          <t>K-12 Math</t>
        </is>
      </c>
      <c r="E4306" t="inlineStr">
        <is>
          <t>South Region</t>
        </is>
      </c>
      <c r="F4306" t="inlineStr">
        <is>
          <t>Rep_07</t>
        </is>
      </c>
      <c r="G4306" t="n">
        <v>13.47</v>
      </c>
      <c r="H4306" t="inlineStr">
        <is>
          <t>Contacted</t>
        </is>
      </c>
      <c r="I4306" t="inlineStr">
        <is>
          <t>Open</t>
        </is>
      </c>
      <c r="M4306">
        <f>VLOOKUP(H4306,'Stage Order'!$A$2:$B$8,2,FALSE)</f>
        <v/>
      </c>
      <c r="N4306">
        <f>IF(G4306&lt;=1,"1. Under 1 hour",IF(G4306&lt;=24,"2. 1-24 hours",IF(G4306&lt;=72,"3. 1-3 days","4. Over 3 days")))</f>
        <v/>
      </c>
      <c r="O4306">
        <f>TEXT(B4306,"YYYY-MM")</f>
        <v/>
      </c>
    </row>
    <row r="4307">
      <c r="A4307" t="inlineStr">
        <is>
          <t>LD-304305</t>
        </is>
      </c>
      <c r="B4307" t="inlineStr">
        <is>
          <t>2025-01-03 13:00:00</t>
        </is>
      </c>
      <c r="C4307" t="inlineStr">
        <is>
          <t>Partner Channel</t>
        </is>
      </c>
      <c r="D4307" t="inlineStr">
        <is>
          <t>Coding for Kids</t>
        </is>
      </c>
      <c r="E4307" t="inlineStr">
        <is>
          <t>North Region</t>
        </is>
      </c>
      <c r="F4307" t="inlineStr">
        <is>
          <t>Rep_06</t>
        </is>
      </c>
      <c r="G4307" t="n">
        <v>1.74</v>
      </c>
      <c r="H4307" t="inlineStr">
        <is>
          <t>Demo Completed</t>
        </is>
      </c>
      <c r="I4307" t="inlineStr">
        <is>
          <t>Lost</t>
        </is>
      </c>
      <c r="J4307" t="inlineStr">
        <is>
          <t>Budget Not Approved</t>
        </is>
      </c>
      <c r="K4307" t="n">
        <v>648.5599999999999</v>
      </c>
      <c r="L4307" t="inlineStr">
        <is>
          <t>2025-02-07 19:58:15.453279</t>
        </is>
      </c>
      <c r="M4307">
        <f>VLOOKUP(H4307,'Stage Order'!$A$2:$B$8,2,FALSE)</f>
        <v/>
      </c>
      <c r="N4307">
        <f>IF(G4307&lt;=1,"1. Under 1 hour",IF(G4307&lt;=24,"2. 1-24 hours",IF(G4307&lt;=72,"3. 1-3 days","4. Over 3 days")))</f>
        <v/>
      </c>
      <c r="O4307">
        <f>TEXT(B4307,"YYYY-MM")</f>
        <v/>
      </c>
    </row>
    <row r="4308">
      <c r="A4308" t="inlineStr">
        <is>
          <t>LD-304306</t>
        </is>
      </c>
      <c r="B4308" t="inlineStr">
        <is>
          <t>2025-06-19 19:06:00</t>
        </is>
      </c>
      <c r="C4308" t="inlineStr">
        <is>
          <t>Referral</t>
        </is>
      </c>
      <c r="D4308" t="inlineStr">
        <is>
          <t>Language Learning</t>
        </is>
      </c>
      <c r="E4308" t="inlineStr">
        <is>
          <t>North Region</t>
        </is>
      </c>
      <c r="F4308" t="inlineStr">
        <is>
          <t>Rep_11</t>
        </is>
      </c>
      <c r="G4308" t="n">
        <v>4.28</v>
      </c>
      <c r="H4308" t="inlineStr">
        <is>
          <t>Closed</t>
        </is>
      </c>
      <c r="I4308" t="inlineStr">
        <is>
          <t>Won</t>
        </is>
      </c>
      <c r="K4308" t="n">
        <v>422.53</v>
      </c>
      <c r="L4308" t="inlineStr">
        <is>
          <t>2025-07-17 14:17:29.524869</t>
        </is>
      </c>
      <c r="M4308">
        <f>VLOOKUP(H4308,'Stage Order'!$A$2:$B$8,2,FALSE)</f>
        <v/>
      </c>
      <c r="N4308">
        <f>IF(G4308&lt;=1,"1. Under 1 hour",IF(G4308&lt;=24,"2. 1-24 hours",IF(G4308&lt;=72,"3. 1-3 days","4. Over 3 days")))</f>
        <v/>
      </c>
      <c r="O4308">
        <f>TEXT(B4308,"YYYY-MM")</f>
        <v/>
      </c>
    </row>
    <row r="4309">
      <c r="A4309" t="inlineStr">
        <is>
          <t>LD-304307</t>
        </is>
      </c>
      <c r="B4309" t="inlineStr">
        <is>
          <t>2025-05-08 11:56:00</t>
        </is>
      </c>
      <c r="C4309" t="inlineStr">
        <is>
          <t>Referral</t>
        </is>
      </c>
      <c r="D4309" t="inlineStr">
        <is>
          <t>Coding for Kids</t>
        </is>
      </c>
      <c r="E4309" t="inlineStr">
        <is>
          <t>South Region</t>
        </is>
      </c>
      <c r="F4309" t="inlineStr">
        <is>
          <t>Rep_07</t>
        </is>
      </c>
      <c r="G4309" t="n">
        <v>3.92</v>
      </c>
      <c r="H4309" t="inlineStr">
        <is>
          <t>Closed</t>
        </is>
      </c>
      <c r="I4309" t="inlineStr">
        <is>
          <t>Won</t>
        </is>
      </c>
      <c r="K4309" t="n">
        <v>600.97</v>
      </c>
      <c r="L4309" t="inlineStr">
        <is>
          <t>2025-06-15 05:09:52.827170</t>
        </is>
      </c>
      <c r="M4309">
        <f>VLOOKUP(H4309,'Stage Order'!$A$2:$B$8,2,FALSE)</f>
        <v/>
      </c>
      <c r="N4309">
        <f>IF(G4309&lt;=1,"1. Under 1 hour",IF(G4309&lt;=24,"2. 1-24 hours",IF(G4309&lt;=72,"3. 1-3 days","4. Over 3 days")))</f>
        <v/>
      </c>
      <c r="O4309">
        <f>TEXT(B4309,"YYYY-MM")</f>
        <v/>
      </c>
    </row>
    <row r="4310">
      <c r="A4310" t="inlineStr">
        <is>
          <t>LD-304308</t>
        </is>
      </c>
      <c r="B4310" t="inlineStr">
        <is>
          <t>2026-06-12 15:04:00</t>
        </is>
      </c>
      <c r="C4310" t="inlineStr">
        <is>
          <t>Social Media</t>
        </is>
      </c>
      <c r="D4310" t="inlineStr">
        <is>
          <t>Study Abroad Prep</t>
        </is>
      </c>
      <c r="E4310" t="inlineStr">
        <is>
          <t>South Region</t>
        </is>
      </c>
      <c r="F4310" t="inlineStr">
        <is>
          <t>Rep_07</t>
        </is>
      </c>
      <c r="G4310" t="n">
        <v>3.66</v>
      </c>
      <c r="H4310" t="inlineStr">
        <is>
          <t>Contacted</t>
        </is>
      </c>
      <c r="I4310" t="inlineStr">
        <is>
          <t>Open</t>
        </is>
      </c>
      <c r="M4310">
        <f>VLOOKUP(H4310,'Stage Order'!$A$2:$B$8,2,FALSE)</f>
        <v/>
      </c>
      <c r="N4310">
        <f>IF(G4310&lt;=1,"1. Under 1 hour",IF(G4310&lt;=24,"2. 1-24 hours",IF(G4310&lt;=72,"3. 1-3 days","4. Over 3 days")))</f>
        <v/>
      </c>
      <c r="O4310">
        <f>TEXT(B4310,"YYYY-MM")</f>
        <v/>
      </c>
    </row>
    <row r="4311">
      <c r="A4311" t="inlineStr">
        <is>
          <t>LD-304309</t>
        </is>
      </c>
      <c r="B4311" t="inlineStr">
        <is>
          <t>2025-02-12 12:04:00</t>
        </is>
      </c>
      <c r="C4311" t="inlineStr">
        <is>
          <t>Organic Search</t>
        </is>
      </c>
      <c r="D4311" t="inlineStr">
        <is>
          <t>Coding for Kids</t>
        </is>
      </c>
      <c r="E4311" t="inlineStr">
        <is>
          <t>East Region</t>
        </is>
      </c>
      <c r="F4311" t="inlineStr">
        <is>
          <t>Rep_04</t>
        </is>
      </c>
      <c r="G4311" t="n">
        <v>2.71</v>
      </c>
      <c r="H4311" t="inlineStr">
        <is>
          <t>Demo Scheduled</t>
        </is>
      </c>
      <c r="I4311" t="inlineStr">
        <is>
          <t>Open</t>
        </is>
      </c>
      <c r="M4311">
        <f>VLOOKUP(H4311,'Stage Order'!$A$2:$B$8,2,FALSE)</f>
        <v/>
      </c>
      <c r="N4311">
        <f>IF(G4311&lt;=1,"1. Under 1 hour",IF(G4311&lt;=24,"2. 1-24 hours",IF(G4311&lt;=72,"3. 1-3 days","4. Over 3 days")))</f>
        <v/>
      </c>
      <c r="O4311">
        <f>TEXT(B4311,"YYYY-MM")</f>
        <v/>
      </c>
    </row>
    <row r="4312">
      <c r="A4312" t="inlineStr">
        <is>
          <t>LD-304310</t>
        </is>
      </c>
      <c r="B4312" t="inlineStr">
        <is>
          <t>2026-06-20 18:20:00</t>
        </is>
      </c>
      <c r="C4312" t="inlineStr">
        <is>
          <t>Paid Search</t>
        </is>
      </c>
      <c r="D4312" t="inlineStr">
        <is>
          <t>Coding for Kids</t>
        </is>
      </c>
      <c r="E4312" t="inlineStr">
        <is>
          <t>South Region</t>
        </is>
      </c>
      <c r="F4312" t="inlineStr">
        <is>
          <t>Rep_02</t>
        </is>
      </c>
      <c r="G4312" t="n">
        <v>9.85</v>
      </c>
      <c r="H4312" t="inlineStr">
        <is>
          <t>Negotiation</t>
        </is>
      </c>
      <c r="I4312" t="inlineStr">
        <is>
          <t>Lost</t>
        </is>
      </c>
      <c r="J4312" t="inlineStr">
        <is>
          <t>Price Objection</t>
        </is>
      </c>
      <c r="K4312" t="n">
        <v>620.5700000000001</v>
      </c>
      <c r="L4312" t="inlineStr">
        <is>
          <t>2026-07-30 17:15:44.195564</t>
        </is>
      </c>
      <c r="M4312">
        <f>VLOOKUP(H4312,'Stage Order'!$A$2:$B$8,2,FALSE)</f>
        <v/>
      </c>
      <c r="N4312">
        <f>IF(G4312&lt;=1,"1. Under 1 hour",IF(G4312&lt;=24,"2. 1-24 hours",IF(G4312&lt;=72,"3. 1-3 days","4. Over 3 days")))</f>
        <v/>
      </c>
      <c r="O4312">
        <f>TEXT(B4312,"YYYY-MM")</f>
        <v/>
      </c>
    </row>
    <row r="4313">
      <c r="A4313" t="inlineStr">
        <is>
          <t>LD-304311</t>
        </is>
      </c>
      <c r="B4313" t="inlineStr">
        <is>
          <t>2026-06-21 10:10:00</t>
        </is>
      </c>
      <c r="C4313" t="inlineStr">
        <is>
          <t>Paid Search</t>
        </is>
      </c>
      <c r="D4313" t="inlineStr">
        <is>
          <t>Study Abroad Prep</t>
        </is>
      </c>
      <c r="E4313" t="inlineStr">
        <is>
          <t>North Region</t>
        </is>
      </c>
      <c r="F4313" t="inlineStr">
        <is>
          <t>Rep_11</t>
        </is>
      </c>
      <c r="G4313" t="n">
        <v>1.34</v>
      </c>
      <c r="H4313" t="inlineStr">
        <is>
          <t>Lead</t>
        </is>
      </c>
      <c r="I4313" t="inlineStr">
        <is>
          <t>Open</t>
        </is>
      </c>
      <c r="M4313">
        <f>VLOOKUP(H4313,'Stage Order'!$A$2:$B$8,2,FALSE)</f>
        <v/>
      </c>
      <c r="N4313">
        <f>IF(G4313&lt;=1,"1. Under 1 hour",IF(G4313&lt;=24,"2. 1-24 hours",IF(G4313&lt;=72,"3. 1-3 days","4. Over 3 days")))</f>
        <v/>
      </c>
      <c r="O4313">
        <f>TEXT(B4313,"YYYY-MM")</f>
        <v/>
      </c>
    </row>
    <row r="4314">
      <c r="A4314" t="inlineStr">
        <is>
          <t>LD-304312</t>
        </is>
      </c>
      <c r="B4314" t="inlineStr">
        <is>
          <t>2025-07-21 13:51:00</t>
        </is>
      </c>
      <c r="C4314" t="inlineStr">
        <is>
          <t>Referral</t>
        </is>
      </c>
      <c r="D4314" t="inlineStr">
        <is>
          <t>K-12 Math</t>
        </is>
      </c>
      <c r="E4314" t="inlineStr">
        <is>
          <t>East Region</t>
        </is>
      </c>
      <c r="F4314" t="inlineStr">
        <is>
          <t>Rep_14</t>
        </is>
      </c>
      <c r="G4314" t="n">
        <v>8.970000000000001</v>
      </c>
      <c r="H4314" t="inlineStr">
        <is>
          <t>Contacted</t>
        </is>
      </c>
      <c r="I4314" t="inlineStr">
        <is>
          <t>Open</t>
        </is>
      </c>
      <c r="M4314">
        <f>VLOOKUP(H4314,'Stage Order'!$A$2:$B$8,2,FALSE)</f>
        <v/>
      </c>
      <c r="N4314">
        <f>IF(G4314&lt;=1,"1. Under 1 hour",IF(G4314&lt;=24,"2. 1-24 hours",IF(G4314&lt;=72,"3. 1-3 days","4. Over 3 days")))</f>
        <v/>
      </c>
      <c r="O4314">
        <f>TEXT(B4314,"YYYY-MM")</f>
        <v/>
      </c>
    </row>
    <row r="4315">
      <c r="A4315" t="inlineStr">
        <is>
          <t>LD-304313</t>
        </is>
      </c>
      <c r="B4315" t="inlineStr">
        <is>
          <t>2025-05-23 08:12:00</t>
        </is>
      </c>
      <c r="C4315" t="inlineStr">
        <is>
          <t>Paid Search</t>
        </is>
      </c>
      <c r="D4315" t="inlineStr">
        <is>
          <t>Language Learning</t>
        </is>
      </c>
      <c r="E4315" t="inlineStr">
        <is>
          <t>North Region</t>
        </is>
      </c>
      <c r="F4315" t="inlineStr">
        <is>
          <t>Rep_06</t>
        </is>
      </c>
      <c r="G4315" t="n">
        <v>3.17</v>
      </c>
      <c r="H4315" t="inlineStr">
        <is>
          <t>Lead</t>
        </is>
      </c>
      <c r="I4315" t="inlineStr">
        <is>
          <t>Open</t>
        </is>
      </c>
      <c r="M4315">
        <f>VLOOKUP(H4315,'Stage Order'!$A$2:$B$8,2,FALSE)</f>
        <v/>
      </c>
      <c r="N4315">
        <f>IF(G4315&lt;=1,"1. Under 1 hour",IF(G4315&lt;=24,"2. 1-24 hours",IF(G4315&lt;=72,"3. 1-3 days","4. Over 3 days")))</f>
        <v/>
      </c>
      <c r="O4315">
        <f>TEXT(B4315,"YYYY-MM")</f>
        <v/>
      </c>
    </row>
    <row r="4316">
      <c r="A4316" t="inlineStr">
        <is>
          <t>LD-304314</t>
        </is>
      </c>
      <c r="B4316" t="inlineStr">
        <is>
          <t>2025-06-06 07:41:00</t>
        </is>
      </c>
      <c r="C4316" t="inlineStr">
        <is>
          <t>Social Media</t>
        </is>
      </c>
      <c r="D4316" t="inlineStr">
        <is>
          <t>Language Learning</t>
        </is>
      </c>
      <c r="E4316" t="inlineStr">
        <is>
          <t>International</t>
        </is>
      </c>
      <c r="F4316" t="inlineStr">
        <is>
          <t>Rep_15</t>
        </is>
      </c>
      <c r="G4316" t="n">
        <v>1.93</v>
      </c>
      <c r="H4316" t="inlineStr">
        <is>
          <t>Contacted</t>
        </is>
      </c>
      <c r="I4316" t="inlineStr">
        <is>
          <t>Open</t>
        </is>
      </c>
      <c r="M4316">
        <f>VLOOKUP(H4316,'Stage Order'!$A$2:$B$8,2,FALSE)</f>
        <v/>
      </c>
      <c r="N4316">
        <f>IF(G4316&lt;=1,"1. Under 1 hour",IF(G4316&lt;=24,"2. 1-24 hours",IF(G4316&lt;=72,"3. 1-3 days","4. Over 3 days")))</f>
        <v/>
      </c>
      <c r="O4316">
        <f>TEXT(B4316,"YYYY-MM")</f>
        <v/>
      </c>
    </row>
    <row r="4317">
      <c r="A4317" t="inlineStr">
        <is>
          <t>LD-304315</t>
        </is>
      </c>
      <c r="B4317" t="inlineStr">
        <is>
          <t>2025-03-24 08:03:00</t>
        </is>
      </c>
      <c r="C4317" t="inlineStr">
        <is>
          <t>Referral</t>
        </is>
      </c>
      <c r="D4317" t="inlineStr">
        <is>
          <t>Study Abroad Prep</t>
        </is>
      </c>
      <c r="E4317" t="inlineStr">
        <is>
          <t>South Region</t>
        </is>
      </c>
      <c r="F4317" t="inlineStr">
        <is>
          <t>Rep_07</t>
        </is>
      </c>
      <c r="G4317" t="n">
        <v>6.07</v>
      </c>
      <c r="H4317" t="inlineStr">
        <is>
          <t>Contacted</t>
        </is>
      </c>
      <c r="I4317" t="inlineStr">
        <is>
          <t>Open</t>
        </is>
      </c>
      <c r="M4317">
        <f>VLOOKUP(H4317,'Stage Order'!$A$2:$B$8,2,FALSE)</f>
        <v/>
      </c>
      <c r="N4317">
        <f>IF(G4317&lt;=1,"1. Under 1 hour",IF(G4317&lt;=24,"2. 1-24 hours",IF(G4317&lt;=72,"3. 1-3 days","4. Over 3 days")))</f>
        <v/>
      </c>
      <c r="O4317">
        <f>TEXT(B4317,"YYYY-MM")</f>
        <v/>
      </c>
    </row>
    <row r="4318">
      <c r="A4318" t="inlineStr">
        <is>
          <t>LD-304316</t>
        </is>
      </c>
      <c r="B4318" t="inlineStr">
        <is>
          <t>2025-03-28 16:37:00</t>
        </is>
      </c>
      <c r="C4318" t="inlineStr">
        <is>
          <t>Partner Channel</t>
        </is>
      </c>
      <c r="D4318" t="inlineStr">
        <is>
          <t>Competitive Exam Prep</t>
        </is>
      </c>
      <c r="E4318" t="inlineStr">
        <is>
          <t>North Region</t>
        </is>
      </c>
      <c r="F4318" t="inlineStr">
        <is>
          <t>Rep_11</t>
        </is>
      </c>
      <c r="G4318" t="n">
        <v>2.06</v>
      </c>
      <c r="H4318" t="inlineStr">
        <is>
          <t>Contacted</t>
        </is>
      </c>
      <c r="I4318" t="inlineStr">
        <is>
          <t>Open</t>
        </is>
      </c>
      <c r="M4318">
        <f>VLOOKUP(H4318,'Stage Order'!$A$2:$B$8,2,FALSE)</f>
        <v/>
      </c>
      <c r="N4318">
        <f>IF(G4318&lt;=1,"1. Under 1 hour",IF(G4318&lt;=24,"2. 1-24 hours",IF(G4318&lt;=72,"3. 1-3 days","4. Over 3 days")))</f>
        <v/>
      </c>
      <c r="O4318">
        <f>TEXT(B4318,"YYYY-MM")</f>
        <v/>
      </c>
    </row>
    <row r="4319">
      <c r="A4319" t="inlineStr">
        <is>
          <t>LD-304317</t>
        </is>
      </c>
      <c r="B4319" t="inlineStr">
        <is>
          <t>2025-11-27 09:12:00</t>
        </is>
      </c>
      <c r="C4319" t="inlineStr">
        <is>
          <t>Organic Search</t>
        </is>
      </c>
      <c r="D4319" t="inlineStr">
        <is>
          <t>K-12 Math</t>
        </is>
      </c>
      <c r="E4319" t="inlineStr">
        <is>
          <t>West Region</t>
        </is>
      </c>
      <c r="F4319" t="inlineStr">
        <is>
          <t>Rep_13</t>
        </is>
      </c>
      <c r="G4319" t="n">
        <v>2.57</v>
      </c>
      <c r="H4319" t="inlineStr">
        <is>
          <t>Contacted</t>
        </is>
      </c>
      <c r="I4319" t="inlineStr">
        <is>
          <t>Open</t>
        </is>
      </c>
      <c r="M4319">
        <f>VLOOKUP(H4319,'Stage Order'!$A$2:$B$8,2,FALSE)</f>
        <v/>
      </c>
      <c r="N4319">
        <f>IF(G4319&lt;=1,"1. Under 1 hour",IF(G4319&lt;=24,"2. 1-24 hours",IF(G4319&lt;=72,"3. 1-3 days","4. Over 3 days")))</f>
        <v/>
      </c>
      <c r="O4319">
        <f>TEXT(B4319,"YYYY-MM")</f>
        <v/>
      </c>
    </row>
    <row r="4320">
      <c r="A4320" t="inlineStr">
        <is>
          <t>LD-304318</t>
        </is>
      </c>
      <c r="B4320" t="inlineStr">
        <is>
          <t>2026-02-13 15:44:00</t>
        </is>
      </c>
      <c r="C4320" t="inlineStr">
        <is>
          <t>Paid Search</t>
        </is>
      </c>
      <c r="D4320" t="inlineStr">
        <is>
          <t>Language Learning</t>
        </is>
      </c>
      <c r="E4320" t="inlineStr">
        <is>
          <t>North Region</t>
        </is>
      </c>
      <c r="F4320" t="inlineStr">
        <is>
          <t>Rep_01</t>
        </is>
      </c>
      <c r="G4320" t="n">
        <v>3.68</v>
      </c>
      <c r="H4320" t="inlineStr">
        <is>
          <t>Contacted</t>
        </is>
      </c>
      <c r="I4320" t="inlineStr">
        <is>
          <t>Open</t>
        </is>
      </c>
      <c r="M4320">
        <f>VLOOKUP(H4320,'Stage Order'!$A$2:$B$8,2,FALSE)</f>
        <v/>
      </c>
      <c r="N4320">
        <f>IF(G4320&lt;=1,"1. Under 1 hour",IF(G4320&lt;=24,"2. 1-24 hours",IF(G4320&lt;=72,"3. 1-3 days","4. Over 3 days")))</f>
        <v/>
      </c>
      <c r="O4320">
        <f>TEXT(B4320,"YYYY-MM")</f>
        <v/>
      </c>
    </row>
    <row r="4321">
      <c r="A4321" t="inlineStr">
        <is>
          <t>LD-304319</t>
        </is>
      </c>
      <c r="B4321" t="inlineStr">
        <is>
          <t>2026-02-13 14:49:00</t>
        </is>
      </c>
      <c r="C4321" t="inlineStr">
        <is>
          <t>Organic Search</t>
        </is>
      </c>
      <c r="D4321" t="inlineStr">
        <is>
          <t>Coding for Kids</t>
        </is>
      </c>
      <c r="E4321" t="inlineStr">
        <is>
          <t>West Region</t>
        </is>
      </c>
      <c r="F4321" t="inlineStr">
        <is>
          <t>Rep_08</t>
        </is>
      </c>
      <c r="G4321" t="n">
        <v>4.35</v>
      </c>
      <c r="H4321" t="inlineStr">
        <is>
          <t>Lead</t>
        </is>
      </c>
      <c r="I4321" t="inlineStr">
        <is>
          <t>Open</t>
        </is>
      </c>
      <c r="M4321">
        <f>VLOOKUP(H4321,'Stage Order'!$A$2:$B$8,2,FALSE)</f>
        <v/>
      </c>
      <c r="N4321">
        <f>IF(G4321&lt;=1,"1. Under 1 hour",IF(G4321&lt;=24,"2. 1-24 hours",IF(G4321&lt;=72,"3. 1-3 days","4. Over 3 days")))</f>
        <v/>
      </c>
      <c r="O4321">
        <f>TEXT(B4321,"YYYY-MM")</f>
        <v/>
      </c>
    </row>
    <row r="4322">
      <c r="A4322" t="inlineStr">
        <is>
          <t>LD-304320</t>
        </is>
      </c>
      <c r="B4322" t="inlineStr">
        <is>
          <t>2025-05-09 14:20:00</t>
        </is>
      </c>
      <c r="C4322" t="inlineStr">
        <is>
          <t>Paid Search</t>
        </is>
      </c>
      <c r="D4322" t="inlineStr">
        <is>
          <t>Coding for Kids</t>
        </is>
      </c>
      <c r="E4322" t="inlineStr">
        <is>
          <t>North Region</t>
        </is>
      </c>
      <c r="F4322" t="inlineStr">
        <is>
          <t>Rep_01</t>
        </is>
      </c>
      <c r="G4322" t="n">
        <v>1.92</v>
      </c>
      <c r="H4322" t="inlineStr">
        <is>
          <t>Contacted</t>
        </is>
      </c>
      <c r="I4322" t="inlineStr">
        <is>
          <t>Open</t>
        </is>
      </c>
      <c r="M4322">
        <f>VLOOKUP(H4322,'Stage Order'!$A$2:$B$8,2,FALSE)</f>
        <v/>
      </c>
      <c r="N4322">
        <f>IF(G4322&lt;=1,"1. Under 1 hour",IF(G4322&lt;=24,"2. 1-24 hours",IF(G4322&lt;=72,"3. 1-3 days","4. Over 3 days")))</f>
        <v/>
      </c>
      <c r="O4322">
        <f>TEXT(B4322,"YYYY-MM")</f>
        <v/>
      </c>
    </row>
    <row r="4323">
      <c r="A4323" t="inlineStr">
        <is>
          <t>LD-304321</t>
        </is>
      </c>
      <c r="B4323" t="inlineStr">
        <is>
          <t>2025-04-28 09:23:00</t>
        </is>
      </c>
      <c r="C4323" t="inlineStr">
        <is>
          <t>Cold Outreach</t>
        </is>
      </c>
      <c r="D4323" t="inlineStr">
        <is>
          <t>Study Abroad Prep</t>
        </is>
      </c>
      <c r="E4323" t="inlineStr">
        <is>
          <t>East Region</t>
        </is>
      </c>
      <c r="F4323" t="inlineStr">
        <is>
          <t>Rep_04</t>
        </is>
      </c>
      <c r="G4323" t="n">
        <v>2.88</v>
      </c>
      <c r="H4323" t="inlineStr">
        <is>
          <t>Demo Scheduled</t>
        </is>
      </c>
      <c r="I4323" t="inlineStr">
        <is>
          <t>Open</t>
        </is>
      </c>
      <c r="M4323">
        <f>VLOOKUP(H4323,'Stage Order'!$A$2:$B$8,2,FALSE)</f>
        <v/>
      </c>
      <c r="N4323">
        <f>IF(G4323&lt;=1,"1. Under 1 hour",IF(G4323&lt;=24,"2. 1-24 hours",IF(G4323&lt;=72,"3. 1-3 days","4. Over 3 days")))</f>
        <v/>
      </c>
      <c r="O4323">
        <f>TEXT(B4323,"YYYY-MM")</f>
        <v/>
      </c>
    </row>
    <row r="4324">
      <c r="A4324" t="inlineStr">
        <is>
          <t>LD-304322</t>
        </is>
      </c>
      <c r="B4324" t="inlineStr">
        <is>
          <t>2026-05-30 12:12:00</t>
        </is>
      </c>
      <c r="C4324" t="inlineStr">
        <is>
          <t>Organic Search</t>
        </is>
      </c>
      <c r="D4324" t="inlineStr">
        <is>
          <t>Coding for Kids</t>
        </is>
      </c>
      <c r="E4324" t="inlineStr">
        <is>
          <t>West Region</t>
        </is>
      </c>
      <c r="F4324" t="inlineStr">
        <is>
          <t>Rep_13</t>
        </is>
      </c>
      <c r="G4324" t="n">
        <v>2.32</v>
      </c>
      <c r="H4324" t="inlineStr">
        <is>
          <t>Contacted</t>
        </is>
      </c>
      <c r="I4324" t="inlineStr">
        <is>
          <t>Open</t>
        </is>
      </c>
      <c r="M4324">
        <f>VLOOKUP(H4324,'Stage Order'!$A$2:$B$8,2,FALSE)</f>
        <v/>
      </c>
      <c r="N4324">
        <f>IF(G4324&lt;=1,"1. Under 1 hour",IF(G4324&lt;=24,"2. 1-24 hours",IF(G4324&lt;=72,"3. 1-3 days","4. Over 3 days")))</f>
        <v/>
      </c>
      <c r="O4324">
        <f>TEXT(B4324,"YYYY-MM")</f>
        <v/>
      </c>
    </row>
    <row r="4325">
      <c r="A4325" t="inlineStr">
        <is>
          <t>LD-304323</t>
        </is>
      </c>
      <c r="B4325" t="inlineStr">
        <is>
          <t>2025-10-06 17:36:00</t>
        </is>
      </c>
      <c r="C4325" t="inlineStr">
        <is>
          <t>Referral</t>
        </is>
      </c>
      <c r="D4325" t="inlineStr">
        <is>
          <t>K-12 Math</t>
        </is>
      </c>
      <c r="E4325" t="inlineStr">
        <is>
          <t>South Region</t>
        </is>
      </c>
      <c r="F4325" t="inlineStr">
        <is>
          <t>Rep_07</t>
        </is>
      </c>
      <c r="G4325" t="n">
        <v>2.98</v>
      </c>
      <c r="H4325" t="inlineStr">
        <is>
          <t>Demo Scheduled</t>
        </is>
      </c>
      <c r="I4325" t="inlineStr">
        <is>
          <t>Open</t>
        </is>
      </c>
      <c r="M4325">
        <f>VLOOKUP(H4325,'Stage Order'!$A$2:$B$8,2,FALSE)</f>
        <v/>
      </c>
      <c r="N4325">
        <f>IF(G4325&lt;=1,"1. Under 1 hour",IF(G4325&lt;=24,"2. 1-24 hours",IF(G4325&lt;=72,"3. 1-3 days","4. Over 3 days")))</f>
        <v/>
      </c>
      <c r="O4325">
        <f>TEXT(B4325,"YYYY-MM")</f>
        <v/>
      </c>
    </row>
    <row r="4326">
      <c r="A4326" t="inlineStr">
        <is>
          <t>LD-304324</t>
        </is>
      </c>
      <c r="B4326" t="inlineStr">
        <is>
          <t>2025-04-22 17:58:00</t>
        </is>
      </c>
      <c r="C4326" t="inlineStr">
        <is>
          <t>Organic Search</t>
        </is>
      </c>
      <c r="D4326" t="inlineStr">
        <is>
          <t>Language Learning</t>
        </is>
      </c>
      <c r="E4326" t="inlineStr">
        <is>
          <t>North Region</t>
        </is>
      </c>
      <c r="F4326" t="inlineStr">
        <is>
          <t>Rep_06</t>
        </is>
      </c>
      <c r="G4326" t="n">
        <v>4.43</v>
      </c>
      <c r="H4326" t="inlineStr">
        <is>
          <t>Contacted</t>
        </is>
      </c>
      <c r="I4326" t="inlineStr">
        <is>
          <t>Open</t>
        </is>
      </c>
      <c r="M4326">
        <f>VLOOKUP(H4326,'Stage Order'!$A$2:$B$8,2,FALSE)</f>
        <v/>
      </c>
      <c r="N4326">
        <f>IF(G4326&lt;=1,"1. Under 1 hour",IF(G4326&lt;=24,"2. 1-24 hours",IF(G4326&lt;=72,"3. 1-3 days","4. Over 3 days")))</f>
        <v/>
      </c>
      <c r="O4326">
        <f>TEXT(B4326,"YYYY-MM")</f>
        <v/>
      </c>
    </row>
    <row r="4327">
      <c r="A4327" t="inlineStr">
        <is>
          <t>LD-304325</t>
        </is>
      </c>
      <c r="B4327" t="inlineStr">
        <is>
          <t>2026-01-21 16:15:00</t>
        </is>
      </c>
      <c r="C4327" t="inlineStr">
        <is>
          <t>Organic Search</t>
        </is>
      </c>
      <c r="D4327" t="inlineStr">
        <is>
          <t>Coding for Kids</t>
        </is>
      </c>
      <c r="E4327" t="inlineStr">
        <is>
          <t>West Region</t>
        </is>
      </c>
      <c r="F4327" t="inlineStr">
        <is>
          <t>Rep_03</t>
        </is>
      </c>
      <c r="G4327" t="n">
        <v>0.92</v>
      </c>
      <c r="H4327" t="inlineStr">
        <is>
          <t>Demo Completed</t>
        </is>
      </c>
      <c r="I4327" t="inlineStr">
        <is>
          <t>Lost</t>
        </is>
      </c>
      <c r="J4327" t="inlineStr">
        <is>
          <t>Budget Not Approved</t>
        </is>
      </c>
      <c r="K4327" t="n">
        <v>665.53</v>
      </c>
      <c r="L4327" t="inlineStr">
        <is>
          <t>2026-03-04 11:52:39.884543</t>
        </is>
      </c>
      <c r="M4327">
        <f>VLOOKUP(H4327,'Stage Order'!$A$2:$B$8,2,FALSE)</f>
        <v/>
      </c>
      <c r="N4327">
        <f>IF(G4327&lt;=1,"1. Under 1 hour",IF(G4327&lt;=24,"2. 1-24 hours",IF(G4327&lt;=72,"3. 1-3 days","4. Over 3 days")))</f>
        <v/>
      </c>
      <c r="O4327">
        <f>TEXT(B4327,"YYYY-MM")</f>
        <v/>
      </c>
    </row>
    <row r="4328">
      <c r="A4328" t="inlineStr">
        <is>
          <t>LD-304326</t>
        </is>
      </c>
      <c r="B4328" t="inlineStr">
        <is>
          <t>2025-05-16 17:45:00</t>
        </is>
      </c>
      <c r="C4328" t="inlineStr">
        <is>
          <t>Paid Search</t>
        </is>
      </c>
      <c r="D4328" t="inlineStr">
        <is>
          <t>Coding for Kids</t>
        </is>
      </c>
      <c r="E4328" t="inlineStr">
        <is>
          <t>West Region</t>
        </is>
      </c>
      <c r="F4328" t="inlineStr">
        <is>
          <t>Rep_03</t>
        </is>
      </c>
      <c r="G4328" t="n">
        <v>5.37</v>
      </c>
      <c r="H4328" t="inlineStr">
        <is>
          <t>Negotiation</t>
        </is>
      </c>
      <c r="I4328" t="inlineStr">
        <is>
          <t>Lost</t>
        </is>
      </c>
      <c r="J4328" t="inlineStr">
        <is>
          <t>Price Objection</t>
        </is>
      </c>
      <c r="K4328" t="n">
        <v>720.67</v>
      </c>
      <c r="L4328" t="inlineStr">
        <is>
          <t>2025-07-04 13:55:07.146331</t>
        </is>
      </c>
      <c r="M4328">
        <f>VLOOKUP(H4328,'Stage Order'!$A$2:$B$8,2,FALSE)</f>
        <v/>
      </c>
      <c r="N4328">
        <f>IF(G4328&lt;=1,"1. Under 1 hour",IF(G4328&lt;=24,"2. 1-24 hours",IF(G4328&lt;=72,"3. 1-3 days","4. Over 3 days")))</f>
        <v/>
      </c>
      <c r="O4328">
        <f>TEXT(B4328,"YYYY-MM")</f>
        <v/>
      </c>
    </row>
    <row r="4329">
      <c r="A4329" t="inlineStr">
        <is>
          <t>LD-304327</t>
        </is>
      </c>
      <c r="B4329" t="inlineStr">
        <is>
          <t>2025-01-09 13:38:00</t>
        </is>
      </c>
      <c r="C4329" t="inlineStr">
        <is>
          <t>Partner Channel</t>
        </is>
      </c>
      <c r="D4329" t="inlineStr">
        <is>
          <t>Language Learning</t>
        </is>
      </c>
      <c r="E4329" t="inlineStr">
        <is>
          <t>South Region</t>
        </is>
      </c>
      <c r="F4329" t="inlineStr">
        <is>
          <t>Rep_07</t>
        </is>
      </c>
      <c r="G4329" t="n">
        <v>3.3</v>
      </c>
      <c r="H4329" t="inlineStr">
        <is>
          <t>Contacted</t>
        </is>
      </c>
      <c r="I4329" t="inlineStr">
        <is>
          <t>Open</t>
        </is>
      </c>
      <c r="M4329">
        <f>VLOOKUP(H4329,'Stage Order'!$A$2:$B$8,2,FALSE)</f>
        <v/>
      </c>
      <c r="N4329">
        <f>IF(G4329&lt;=1,"1. Under 1 hour",IF(G4329&lt;=24,"2. 1-24 hours",IF(G4329&lt;=72,"3. 1-3 days","4. Over 3 days")))</f>
        <v/>
      </c>
      <c r="O4329">
        <f>TEXT(B4329,"YYYY-MM")</f>
        <v/>
      </c>
    </row>
    <row r="4330">
      <c r="A4330" t="inlineStr">
        <is>
          <t>LD-304328</t>
        </is>
      </c>
      <c r="B4330" t="inlineStr">
        <is>
          <t>2025-09-05 10:54:00</t>
        </is>
      </c>
      <c r="C4330" t="inlineStr">
        <is>
          <t>Social Media</t>
        </is>
      </c>
      <c r="D4330" t="inlineStr">
        <is>
          <t>Language Learning</t>
        </is>
      </c>
      <c r="E4330" t="inlineStr">
        <is>
          <t>West Region</t>
        </is>
      </c>
      <c r="F4330" t="inlineStr">
        <is>
          <t>Rep_03</t>
        </is>
      </c>
      <c r="G4330" t="n">
        <v>1.57</v>
      </c>
      <c r="H4330" t="inlineStr">
        <is>
          <t>Demo Completed</t>
        </is>
      </c>
      <c r="I4330" t="inlineStr">
        <is>
          <t>Lost</t>
        </is>
      </c>
      <c r="J4330" t="inlineStr">
        <is>
          <t>Budget Not Approved</t>
        </is>
      </c>
      <c r="K4330" t="n">
        <v>306.75</v>
      </c>
      <c r="L4330" t="inlineStr">
        <is>
          <t>2025-10-09 23:05:56.530362</t>
        </is>
      </c>
      <c r="M4330">
        <f>VLOOKUP(H4330,'Stage Order'!$A$2:$B$8,2,FALSE)</f>
        <v/>
      </c>
      <c r="N4330">
        <f>IF(G4330&lt;=1,"1. Under 1 hour",IF(G4330&lt;=24,"2. 1-24 hours",IF(G4330&lt;=72,"3. 1-3 days","4. Over 3 days")))</f>
        <v/>
      </c>
      <c r="O4330">
        <f>TEXT(B4330,"YYYY-MM")</f>
        <v/>
      </c>
    </row>
    <row r="4331">
      <c r="A4331" t="inlineStr">
        <is>
          <t>LD-304329</t>
        </is>
      </c>
      <c r="B4331" t="inlineStr">
        <is>
          <t>2025-02-26 13:40:00</t>
        </is>
      </c>
      <c r="C4331" t="inlineStr">
        <is>
          <t>Organic Search</t>
        </is>
      </c>
      <c r="D4331" t="inlineStr">
        <is>
          <t>K-12 Math</t>
        </is>
      </c>
      <c r="E4331" t="inlineStr">
        <is>
          <t>North Region</t>
        </is>
      </c>
      <c r="F4331" t="inlineStr">
        <is>
          <t>Rep_11</t>
        </is>
      </c>
      <c r="G4331" t="n">
        <v>2.92</v>
      </c>
      <c r="H4331" t="inlineStr">
        <is>
          <t>Closed</t>
        </is>
      </c>
      <c r="I4331" t="inlineStr">
        <is>
          <t>Won</t>
        </is>
      </c>
      <c r="K4331" t="n">
        <v>467.05</v>
      </c>
      <c r="L4331" t="inlineStr">
        <is>
          <t>2025-04-08 21:16:00.653466</t>
        </is>
      </c>
      <c r="M4331">
        <f>VLOOKUP(H4331,'Stage Order'!$A$2:$B$8,2,FALSE)</f>
        <v/>
      </c>
      <c r="N4331">
        <f>IF(G4331&lt;=1,"1. Under 1 hour",IF(G4331&lt;=24,"2. 1-24 hours",IF(G4331&lt;=72,"3. 1-3 days","4. Over 3 days")))</f>
        <v/>
      </c>
      <c r="O4331">
        <f>TEXT(B4331,"YYYY-MM")</f>
        <v/>
      </c>
    </row>
    <row r="4332">
      <c r="A4332" t="inlineStr">
        <is>
          <t>LD-304330</t>
        </is>
      </c>
      <c r="B4332" t="inlineStr">
        <is>
          <t>2025-03-14 15:24:00</t>
        </is>
      </c>
      <c r="C4332" t="inlineStr">
        <is>
          <t>Cold Outreach</t>
        </is>
      </c>
      <c r="D4332" t="inlineStr">
        <is>
          <t>K-12 Math</t>
        </is>
      </c>
      <c r="E4332" t="inlineStr">
        <is>
          <t>East Region</t>
        </is>
      </c>
      <c r="F4332" t="inlineStr">
        <is>
          <t>Rep_09</t>
        </is>
      </c>
      <c r="G4332" t="n">
        <v>4.43</v>
      </c>
      <c r="H4332" t="inlineStr">
        <is>
          <t>Lead</t>
        </is>
      </c>
      <c r="I4332" t="inlineStr">
        <is>
          <t>Open</t>
        </is>
      </c>
      <c r="M4332">
        <f>VLOOKUP(H4332,'Stage Order'!$A$2:$B$8,2,FALSE)</f>
        <v/>
      </c>
      <c r="N4332">
        <f>IF(G4332&lt;=1,"1. Under 1 hour",IF(G4332&lt;=24,"2. 1-24 hours",IF(G4332&lt;=72,"3. 1-3 days","4. Over 3 days")))</f>
        <v/>
      </c>
      <c r="O4332">
        <f>TEXT(B4332,"YYYY-MM")</f>
        <v/>
      </c>
    </row>
    <row r="4333">
      <c r="A4333" t="inlineStr">
        <is>
          <t>LD-304331</t>
        </is>
      </c>
      <c r="B4333" t="inlineStr">
        <is>
          <t>2025-09-27 16:38:00</t>
        </is>
      </c>
      <c r="C4333" t="inlineStr">
        <is>
          <t>Referral</t>
        </is>
      </c>
      <c r="D4333" t="inlineStr">
        <is>
          <t>K-12 Math</t>
        </is>
      </c>
      <c r="E4333" t="inlineStr">
        <is>
          <t>International</t>
        </is>
      </c>
      <c r="F4333" t="inlineStr">
        <is>
          <t>Rep_15</t>
        </is>
      </c>
      <c r="G4333" t="n">
        <v>4.26</v>
      </c>
      <c r="H4333" t="inlineStr">
        <is>
          <t>Contacted</t>
        </is>
      </c>
      <c r="I4333" t="inlineStr">
        <is>
          <t>Open</t>
        </is>
      </c>
      <c r="M4333">
        <f>VLOOKUP(H4333,'Stage Order'!$A$2:$B$8,2,FALSE)</f>
        <v/>
      </c>
      <c r="N4333">
        <f>IF(G4333&lt;=1,"1. Under 1 hour",IF(G4333&lt;=24,"2. 1-24 hours",IF(G4333&lt;=72,"3. 1-3 days","4. Over 3 days")))</f>
        <v/>
      </c>
      <c r="O4333">
        <f>TEXT(B4333,"YYYY-MM")</f>
        <v/>
      </c>
    </row>
    <row r="4334">
      <c r="A4334" t="inlineStr">
        <is>
          <t>LD-304332</t>
        </is>
      </c>
      <c r="B4334" t="inlineStr">
        <is>
          <t>2026-04-14 10:28:00</t>
        </is>
      </c>
      <c r="C4334" t="inlineStr">
        <is>
          <t>Referral</t>
        </is>
      </c>
      <c r="D4334" t="inlineStr">
        <is>
          <t>Competitive Exam Prep</t>
        </is>
      </c>
      <c r="E4334" t="inlineStr">
        <is>
          <t>East Region</t>
        </is>
      </c>
      <c r="F4334" t="inlineStr">
        <is>
          <t>Rep_14</t>
        </is>
      </c>
      <c r="G4334" t="n">
        <v>1.11</v>
      </c>
      <c r="H4334" t="inlineStr">
        <is>
          <t>Contacted</t>
        </is>
      </c>
      <c r="I4334" t="inlineStr">
        <is>
          <t>Open</t>
        </is>
      </c>
      <c r="M4334">
        <f>VLOOKUP(H4334,'Stage Order'!$A$2:$B$8,2,FALSE)</f>
        <v/>
      </c>
      <c r="N4334">
        <f>IF(G4334&lt;=1,"1. Under 1 hour",IF(G4334&lt;=24,"2. 1-24 hours",IF(G4334&lt;=72,"3. 1-3 days","4. Over 3 days")))</f>
        <v/>
      </c>
      <c r="O4334">
        <f>TEXT(B4334,"YYYY-MM")</f>
        <v/>
      </c>
    </row>
    <row r="4335">
      <c r="A4335" t="inlineStr">
        <is>
          <t>LD-304333</t>
        </is>
      </c>
      <c r="B4335" t="inlineStr">
        <is>
          <t>2025-04-14 15:55:00</t>
        </is>
      </c>
      <c r="C4335" t="inlineStr">
        <is>
          <t>Partner Channel</t>
        </is>
      </c>
      <c r="D4335" t="inlineStr">
        <is>
          <t>Language Learning</t>
        </is>
      </c>
      <c r="E4335" t="inlineStr">
        <is>
          <t>North Region</t>
        </is>
      </c>
      <c r="F4335" t="inlineStr">
        <is>
          <t>Rep_11</t>
        </is>
      </c>
      <c r="G4335" t="n">
        <v>1.98</v>
      </c>
      <c r="H4335" t="inlineStr">
        <is>
          <t>Contacted</t>
        </is>
      </c>
      <c r="I4335" t="inlineStr">
        <is>
          <t>Open</t>
        </is>
      </c>
      <c r="M4335">
        <f>VLOOKUP(H4335,'Stage Order'!$A$2:$B$8,2,FALSE)</f>
        <v/>
      </c>
      <c r="N4335">
        <f>IF(G4335&lt;=1,"1. Under 1 hour",IF(G4335&lt;=24,"2. 1-24 hours",IF(G4335&lt;=72,"3. 1-3 days","4. Over 3 days")))</f>
        <v/>
      </c>
      <c r="O4335">
        <f>TEXT(B4335,"YYYY-MM")</f>
        <v/>
      </c>
    </row>
    <row r="4336">
      <c r="A4336" t="inlineStr">
        <is>
          <t>LD-304334</t>
        </is>
      </c>
      <c r="B4336" t="inlineStr">
        <is>
          <t>2026-03-03 15:50:00</t>
        </is>
      </c>
      <c r="C4336" t="inlineStr">
        <is>
          <t>Webinar</t>
        </is>
      </c>
      <c r="D4336" t="inlineStr">
        <is>
          <t>Language Learning</t>
        </is>
      </c>
      <c r="E4336" t="inlineStr">
        <is>
          <t>West Region</t>
        </is>
      </c>
      <c r="F4336" t="inlineStr">
        <is>
          <t>Rep_03</t>
        </is>
      </c>
      <c r="G4336" t="n">
        <v>0.71</v>
      </c>
      <c r="H4336" t="inlineStr">
        <is>
          <t>Contacted</t>
        </is>
      </c>
      <c r="I4336" t="inlineStr">
        <is>
          <t>Open</t>
        </is>
      </c>
      <c r="M4336">
        <f>VLOOKUP(H4336,'Stage Order'!$A$2:$B$8,2,FALSE)</f>
        <v/>
      </c>
      <c r="N4336">
        <f>IF(G4336&lt;=1,"1. Under 1 hour",IF(G4336&lt;=24,"2. 1-24 hours",IF(G4336&lt;=72,"3. 1-3 days","4. Over 3 days")))</f>
        <v/>
      </c>
      <c r="O4336">
        <f>TEXT(B4336,"YYYY-MM")</f>
        <v/>
      </c>
    </row>
    <row r="4337">
      <c r="A4337" t="inlineStr">
        <is>
          <t>LD-304335</t>
        </is>
      </c>
      <c r="B4337" t="inlineStr">
        <is>
          <t>2025-03-30 19:33:00</t>
        </is>
      </c>
      <c r="C4337" t="inlineStr">
        <is>
          <t>Cold Outreach</t>
        </is>
      </c>
      <c r="D4337" t="inlineStr">
        <is>
          <t>Competitive Exam Prep</t>
        </is>
      </c>
      <c r="E4337" t="inlineStr">
        <is>
          <t>North Region</t>
        </is>
      </c>
      <c r="F4337" t="inlineStr">
        <is>
          <t>Rep_11</t>
        </is>
      </c>
      <c r="G4337" t="n">
        <v>4.32</v>
      </c>
      <c r="H4337" t="inlineStr">
        <is>
          <t>Contacted</t>
        </is>
      </c>
      <c r="I4337" t="inlineStr">
        <is>
          <t>Open</t>
        </is>
      </c>
      <c r="M4337">
        <f>VLOOKUP(H4337,'Stage Order'!$A$2:$B$8,2,FALSE)</f>
        <v/>
      </c>
      <c r="N4337">
        <f>IF(G4337&lt;=1,"1. Under 1 hour",IF(G4337&lt;=24,"2. 1-24 hours",IF(G4337&lt;=72,"3. 1-3 days","4. Over 3 days")))</f>
        <v/>
      </c>
      <c r="O4337">
        <f>TEXT(B4337,"YYYY-MM")</f>
        <v/>
      </c>
    </row>
    <row r="4338">
      <c r="A4338" t="inlineStr">
        <is>
          <t>LD-304336</t>
        </is>
      </c>
      <c r="B4338" t="inlineStr">
        <is>
          <t>2025-10-29 20:20:00</t>
        </is>
      </c>
      <c r="C4338" t="inlineStr">
        <is>
          <t>Partner Channel</t>
        </is>
      </c>
      <c r="D4338" t="inlineStr">
        <is>
          <t>K-12 Math</t>
        </is>
      </c>
      <c r="E4338" t="inlineStr">
        <is>
          <t>International</t>
        </is>
      </c>
      <c r="F4338" t="inlineStr">
        <is>
          <t>Rep_10</t>
        </is>
      </c>
      <c r="G4338" t="n">
        <v>3.69</v>
      </c>
      <c r="H4338" t="inlineStr">
        <is>
          <t>Contacted</t>
        </is>
      </c>
      <c r="I4338" t="inlineStr">
        <is>
          <t>Open</t>
        </is>
      </c>
      <c r="M4338">
        <f>VLOOKUP(H4338,'Stage Order'!$A$2:$B$8,2,FALSE)</f>
        <v/>
      </c>
      <c r="N4338">
        <f>IF(G4338&lt;=1,"1. Under 1 hour",IF(G4338&lt;=24,"2. 1-24 hours",IF(G4338&lt;=72,"3. 1-3 days","4. Over 3 days")))</f>
        <v/>
      </c>
      <c r="O4338">
        <f>TEXT(B4338,"YYYY-MM")</f>
        <v/>
      </c>
    </row>
    <row r="4339">
      <c r="A4339" t="inlineStr">
        <is>
          <t>LD-304337</t>
        </is>
      </c>
      <c r="B4339" t="inlineStr">
        <is>
          <t>2026-06-26 13:03:00</t>
        </is>
      </c>
      <c r="C4339" t="inlineStr">
        <is>
          <t>Referral</t>
        </is>
      </c>
      <c r="D4339" t="inlineStr">
        <is>
          <t>K-12 Math</t>
        </is>
      </c>
      <c r="E4339" t="inlineStr">
        <is>
          <t>South Region</t>
        </is>
      </c>
      <c r="F4339" t="inlineStr">
        <is>
          <t>Rep_07</t>
        </is>
      </c>
      <c r="G4339" t="n">
        <v>0.85</v>
      </c>
      <c r="H4339" t="inlineStr">
        <is>
          <t>Closed</t>
        </is>
      </c>
      <c r="I4339" t="inlineStr">
        <is>
          <t>Won</t>
        </is>
      </c>
      <c r="K4339" t="n">
        <v>426.89</v>
      </c>
      <c r="L4339" t="inlineStr">
        <is>
          <t>2026-08-03 16:28:33.790425</t>
        </is>
      </c>
      <c r="M4339">
        <f>VLOOKUP(H4339,'Stage Order'!$A$2:$B$8,2,FALSE)</f>
        <v/>
      </c>
      <c r="N4339">
        <f>IF(G4339&lt;=1,"1. Under 1 hour",IF(G4339&lt;=24,"2. 1-24 hours",IF(G4339&lt;=72,"3. 1-3 days","4. Over 3 days")))</f>
        <v/>
      </c>
      <c r="O4339">
        <f>TEXT(B4339,"YYYY-MM")</f>
        <v/>
      </c>
    </row>
    <row r="4340">
      <c r="A4340" t="inlineStr">
        <is>
          <t>LD-304338</t>
        </is>
      </c>
      <c r="B4340" t="inlineStr">
        <is>
          <t>2026-06-12 11:00:00</t>
        </is>
      </c>
      <c r="C4340" t="inlineStr">
        <is>
          <t>Paid Search</t>
        </is>
      </c>
      <c r="D4340" t="inlineStr">
        <is>
          <t>K-12 Math</t>
        </is>
      </c>
      <c r="E4340" t="inlineStr">
        <is>
          <t>West Region</t>
        </is>
      </c>
      <c r="F4340" t="inlineStr">
        <is>
          <t>Rep_08</t>
        </is>
      </c>
      <c r="G4340" t="n">
        <v>0.24</v>
      </c>
      <c r="H4340" t="inlineStr">
        <is>
          <t>Negotiation</t>
        </is>
      </c>
      <c r="I4340" t="inlineStr">
        <is>
          <t>Lost</t>
        </is>
      </c>
      <c r="J4340" t="inlineStr">
        <is>
          <t>Went With Competitor</t>
        </is>
      </c>
      <c r="K4340" t="n">
        <v>567.14</v>
      </c>
      <c r="L4340" t="inlineStr">
        <is>
          <t>2026-08-01 11:08:14.892306</t>
        </is>
      </c>
      <c r="M4340">
        <f>VLOOKUP(H4340,'Stage Order'!$A$2:$B$8,2,FALSE)</f>
        <v/>
      </c>
      <c r="N4340">
        <f>IF(G4340&lt;=1,"1. Under 1 hour",IF(G4340&lt;=24,"2. 1-24 hours",IF(G4340&lt;=72,"3. 1-3 days","4. Over 3 days")))</f>
        <v/>
      </c>
      <c r="O4340">
        <f>TEXT(B4340,"YYYY-MM")</f>
        <v/>
      </c>
    </row>
    <row r="4341">
      <c r="A4341" t="inlineStr">
        <is>
          <t>LD-304339</t>
        </is>
      </c>
      <c r="B4341" t="inlineStr">
        <is>
          <t>2025-06-15 14:12:00</t>
        </is>
      </c>
      <c r="C4341" t="inlineStr">
        <is>
          <t>Cold Outreach</t>
        </is>
      </c>
      <c r="D4341" t="inlineStr">
        <is>
          <t>Coding for Kids</t>
        </is>
      </c>
      <c r="E4341" t="inlineStr">
        <is>
          <t>International</t>
        </is>
      </c>
      <c r="F4341" t="inlineStr">
        <is>
          <t>Rep_15</t>
        </is>
      </c>
      <c r="G4341" t="n">
        <v>3.71</v>
      </c>
      <c r="H4341" t="inlineStr">
        <is>
          <t>Demo Completed</t>
        </is>
      </c>
      <c r="I4341" t="inlineStr">
        <is>
          <t>Lost</t>
        </is>
      </c>
      <c r="J4341" t="inlineStr">
        <is>
          <t>Price Objection</t>
        </is>
      </c>
      <c r="K4341" t="n">
        <v>617.1799999999999</v>
      </c>
      <c r="L4341" t="inlineStr">
        <is>
          <t>2025-07-23 07:42:45.570862</t>
        </is>
      </c>
      <c r="M4341">
        <f>VLOOKUP(H4341,'Stage Order'!$A$2:$B$8,2,FALSE)</f>
        <v/>
      </c>
      <c r="N4341">
        <f>IF(G4341&lt;=1,"1. Under 1 hour",IF(G4341&lt;=24,"2. 1-24 hours",IF(G4341&lt;=72,"3. 1-3 days","4. Over 3 days")))</f>
        <v/>
      </c>
      <c r="O4341">
        <f>TEXT(B4341,"YYYY-MM")</f>
        <v/>
      </c>
    </row>
    <row r="4342">
      <c r="A4342" t="inlineStr">
        <is>
          <t>LD-304340</t>
        </is>
      </c>
      <c r="B4342" t="inlineStr">
        <is>
          <t>2025-07-25 10:51:00</t>
        </is>
      </c>
      <c r="C4342" t="inlineStr">
        <is>
          <t>Organic Search</t>
        </is>
      </c>
      <c r="D4342" t="inlineStr">
        <is>
          <t>Study Abroad Prep</t>
        </is>
      </c>
      <c r="E4342" t="inlineStr">
        <is>
          <t>South Region</t>
        </is>
      </c>
      <c r="F4342" t="inlineStr">
        <is>
          <t>Rep_02</t>
        </is>
      </c>
      <c r="G4342" t="n">
        <v>5.08</v>
      </c>
      <c r="H4342" t="inlineStr">
        <is>
          <t>Demo Completed</t>
        </is>
      </c>
      <c r="I4342" t="inlineStr">
        <is>
          <t>Lost</t>
        </is>
      </c>
      <c r="J4342" t="inlineStr">
        <is>
          <t>No Response / Ghosted</t>
        </is>
      </c>
      <c r="K4342" t="n">
        <v>1238.57</v>
      </c>
      <c r="L4342" t="inlineStr">
        <is>
          <t>2025-08-08 17:55:05.344822</t>
        </is>
      </c>
      <c r="M4342">
        <f>VLOOKUP(H4342,'Stage Order'!$A$2:$B$8,2,FALSE)</f>
        <v/>
      </c>
      <c r="N4342">
        <f>IF(G4342&lt;=1,"1. Under 1 hour",IF(G4342&lt;=24,"2. 1-24 hours",IF(G4342&lt;=72,"3. 1-3 days","4. Over 3 days")))</f>
        <v/>
      </c>
      <c r="O4342">
        <f>TEXT(B4342,"YYYY-MM")</f>
        <v/>
      </c>
    </row>
    <row r="4343">
      <c r="A4343" t="inlineStr">
        <is>
          <t>LD-304341</t>
        </is>
      </c>
      <c r="B4343" t="inlineStr">
        <is>
          <t>2025-03-27 17:48:00</t>
        </is>
      </c>
      <c r="C4343" t="inlineStr">
        <is>
          <t>Paid Search</t>
        </is>
      </c>
      <c r="D4343" t="inlineStr">
        <is>
          <t>K-12 Math</t>
        </is>
      </c>
      <c r="E4343" t="inlineStr">
        <is>
          <t>East Region</t>
        </is>
      </c>
      <c r="F4343" t="inlineStr">
        <is>
          <t>Rep_14</t>
        </is>
      </c>
      <c r="G4343" t="n">
        <v>3.24</v>
      </c>
      <c r="H4343" t="inlineStr">
        <is>
          <t>Contacted</t>
        </is>
      </c>
      <c r="I4343" t="inlineStr">
        <is>
          <t>Open</t>
        </is>
      </c>
      <c r="M4343">
        <f>VLOOKUP(H4343,'Stage Order'!$A$2:$B$8,2,FALSE)</f>
        <v/>
      </c>
      <c r="N4343">
        <f>IF(G4343&lt;=1,"1. Under 1 hour",IF(G4343&lt;=24,"2. 1-24 hours",IF(G4343&lt;=72,"3. 1-3 days","4. Over 3 days")))</f>
        <v/>
      </c>
      <c r="O4343">
        <f>TEXT(B4343,"YYYY-MM")</f>
        <v/>
      </c>
    </row>
    <row r="4344">
      <c r="A4344" t="inlineStr">
        <is>
          <t>LD-304342</t>
        </is>
      </c>
      <c r="B4344" t="inlineStr">
        <is>
          <t>2025-10-15 17:18:00</t>
        </is>
      </c>
      <c r="C4344" t="inlineStr">
        <is>
          <t>Social Media</t>
        </is>
      </c>
      <c r="D4344" t="inlineStr">
        <is>
          <t>Coding for Kids</t>
        </is>
      </c>
      <c r="E4344" t="inlineStr">
        <is>
          <t>South Region</t>
        </is>
      </c>
      <c r="F4344" t="inlineStr">
        <is>
          <t>Rep_12</t>
        </is>
      </c>
      <c r="G4344" t="n">
        <v>1.23</v>
      </c>
      <c r="H4344" t="inlineStr">
        <is>
          <t>Proposal Sent</t>
        </is>
      </c>
      <c r="I4344" t="inlineStr">
        <is>
          <t>Lost</t>
        </is>
      </c>
      <c r="J4344" t="inlineStr">
        <is>
          <t>Price Objection</t>
        </is>
      </c>
      <c r="K4344" t="n">
        <v>637.05</v>
      </c>
      <c r="L4344" t="inlineStr">
        <is>
          <t>2025-11-19 14:28:31.488361</t>
        </is>
      </c>
      <c r="M4344">
        <f>VLOOKUP(H4344,'Stage Order'!$A$2:$B$8,2,FALSE)</f>
        <v/>
      </c>
      <c r="N4344">
        <f>IF(G4344&lt;=1,"1. Under 1 hour",IF(G4344&lt;=24,"2. 1-24 hours",IF(G4344&lt;=72,"3. 1-3 days","4. Over 3 days")))</f>
        <v/>
      </c>
      <c r="O4344">
        <f>TEXT(B4344,"YYYY-MM")</f>
        <v/>
      </c>
    </row>
    <row r="4345">
      <c r="A4345" t="inlineStr">
        <is>
          <t>LD-304343</t>
        </is>
      </c>
      <c r="B4345" t="inlineStr">
        <is>
          <t>2025-01-23 18:34:00</t>
        </is>
      </c>
      <c r="C4345" t="inlineStr">
        <is>
          <t>Paid Search</t>
        </is>
      </c>
      <c r="D4345" t="inlineStr">
        <is>
          <t>Coding for Kids</t>
        </is>
      </c>
      <c r="E4345" t="inlineStr">
        <is>
          <t>West Region</t>
        </is>
      </c>
      <c r="F4345" t="inlineStr">
        <is>
          <t>Rep_08</t>
        </is>
      </c>
      <c r="G4345" t="n">
        <v>3.33</v>
      </c>
      <c r="H4345" t="inlineStr">
        <is>
          <t>Closed</t>
        </is>
      </c>
      <c r="I4345" t="inlineStr">
        <is>
          <t>Won</t>
        </is>
      </c>
      <c r="K4345" t="n">
        <v>589.16</v>
      </c>
      <c r="L4345" t="inlineStr">
        <is>
          <t>2025-03-01 13:47:54.184618</t>
        </is>
      </c>
      <c r="M4345">
        <f>VLOOKUP(H4345,'Stage Order'!$A$2:$B$8,2,FALSE)</f>
        <v/>
      </c>
      <c r="N4345">
        <f>IF(G4345&lt;=1,"1. Under 1 hour",IF(G4345&lt;=24,"2. 1-24 hours",IF(G4345&lt;=72,"3. 1-3 days","4. Over 3 days")))</f>
        <v/>
      </c>
      <c r="O4345">
        <f>TEXT(B4345,"YYYY-MM")</f>
        <v/>
      </c>
    </row>
    <row r="4346">
      <c r="A4346" t="inlineStr">
        <is>
          <t>LD-304344</t>
        </is>
      </c>
      <c r="B4346" t="inlineStr">
        <is>
          <t>2025-04-04 15:32:00</t>
        </is>
      </c>
      <c r="C4346" t="inlineStr">
        <is>
          <t>Organic Search</t>
        </is>
      </c>
      <c r="D4346" t="inlineStr">
        <is>
          <t>Competitive Exam Prep</t>
        </is>
      </c>
      <c r="E4346" t="inlineStr">
        <is>
          <t>East Region</t>
        </is>
      </c>
      <c r="F4346" t="inlineStr">
        <is>
          <t>Rep_04</t>
        </is>
      </c>
      <c r="G4346" t="n">
        <v>2.35</v>
      </c>
      <c r="H4346" t="inlineStr">
        <is>
          <t>Lead</t>
        </is>
      </c>
      <c r="I4346" t="inlineStr">
        <is>
          <t>Open</t>
        </is>
      </c>
      <c r="M4346">
        <f>VLOOKUP(H4346,'Stage Order'!$A$2:$B$8,2,FALSE)</f>
        <v/>
      </c>
      <c r="N4346">
        <f>IF(G4346&lt;=1,"1. Under 1 hour",IF(G4346&lt;=24,"2. 1-24 hours",IF(G4346&lt;=72,"3. 1-3 days","4. Over 3 days")))</f>
        <v/>
      </c>
      <c r="O4346">
        <f>TEXT(B4346,"YYYY-MM")</f>
        <v/>
      </c>
    </row>
    <row r="4347">
      <c r="A4347" t="inlineStr">
        <is>
          <t>LD-304345</t>
        </is>
      </c>
      <c r="B4347" t="inlineStr">
        <is>
          <t>2025-01-10 09:24:00</t>
        </is>
      </c>
      <c r="C4347" t="inlineStr">
        <is>
          <t>Cold Outreach</t>
        </is>
      </c>
      <c r="D4347" t="inlineStr">
        <is>
          <t>Coding for Kids</t>
        </is>
      </c>
      <c r="E4347" t="inlineStr">
        <is>
          <t>North Region</t>
        </is>
      </c>
      <c r="F4347" t="inlineStr">
        <is>
          <t>Rep_01</t>
        </is>
      </c>
      <c r="G4347" t="n">
        <v>9.140000000000001</v>
      </c>
      <c r="H4347" t="inlineStr">
        <is>
          <t>Lead</t>
        </is>
      </c>
      <c r="I4347" t="inlineStr">
        <is>
          <t>Open</t>
        </is>
      </c>
      <c r="M4347">
        <f>VLOOKUP(H4347,'Stage Order'!$A$2:$B$8,2,FALSE)</f>
        <v/>
      </c>
      <c r="N4347">
        <f>IF(G4347&lt;=1,"1. Under 1 hour",IF(G4347&lt;=24,"2. 1-24 hours",IF(G4347&lt;=72,"3. 1-3 days","4. Over 3 days")))</f>
        <v/>
      </c>
      <c r="O4347">
        <f>TEXT(B4347,"YYYY-MM")</f>
        <v/>
      </c>
    </row>
    <row r="4348">
      <c r="A4348" t="inlineStr">
        <is>
          <t>LD-304346</t>
        </is>
      </c>
      <c r="B4348" t="inlineStr">
        <is>
          <t>2026-02-04 18:05:00</t>
        </is>
      </c>
      <c r="C4348" t="inlineStr">
        <is>
          <t>Organic Search</t>
        </is>
      </c>
      <c r="D4348" t="inlineStr">
        <is>
          <t>K-12 Math</t>
        </is>
      </c>
      <c r="E4348" t="inlineStr">
        <is>
          <t>East Region</t>
        </is>
      </c>
      <c r="F4348" t="inlineStr">
        <is>
          <t>Rep_09</t>
        </is>
      </c>
      <c r="G4348" t="n">
        <v>6.35</v>
      </c>
      <c r="H4348" t="inlineStr">
        <is>
          <t>Demo Scheduled</t>
        </is>
      </c>
      <c r="I4348" t="inlineStr">
        <is>
          <t>Open</t>
        </is>
      </c>
      <c r="M4348">
        <f>VLOOKUP(H4348,'Stage Order'!$A$2:$B$8,2,FALSE)</f>
        <v/>
      </c>
      <c r="N4348">
        <f>IF(G4348&lt;=1,"1. Under 1 hour",IF(G4348&lt;=24,"2. 1-24 hours",IF(G4348&lt;=72,"3. 1-3 days","4. Over 3 days")))</f>
        <v/>
      </c>
      <c r="O4348">
        <f>TEXT(B4348,"YYYY-MM")</f>
        <v/>
      </c>
    </row>
    <row r="4349">
      <c r="A4349" t="inlineStr">
        <is>
          <t>LD-304347</t>
        </is>
      </c>
      <c r="B4349" t="inlineStr">
        <is>
          <t>2025-08-25 18:25:00</t>
        </is>
      </c>
      <c r="C4349" t="inlineStr">
        <is>
          <t>Referral</t>
        </is>
      </c>
      <c r="D4349" t="inlineStr">
        <is>
          <t>K-12 Math</t>
        </is>
      </c>
      <c r="E4349" t="inlineStr">
        <is>
          <t>East Region</t>
        </is>
      </c>
      <c r="F4349" t="inlineStr">
        <is>
          <t>Rep_04</t>
        </is>
      </c>
      <c r="G4349" t="n">
        <v>9.550000000000001</v>
      </c>
      <c r="H4349" t="inlineStr">
        <is>
          <t>Demo Completed</t>
        </is>
      </c>
      <c r="I4349" t="inlineStr">
        <is>
          <t>Lost</t>
        </is>
      </c>
      <c r="J4349" t="inlineStr">
        <is>
          <t>Price Objection</t>
        </is>
      </c>
      <c r="K4349" t="n">
        <v>501.15</v>
      </c>
      <c r="L4349" t="inlineStr">
        <is>
          <t>2025-09-26 10:24:17.344968</t>
        </is>
      </c>
      <c r="M4349">
        <f>VLOOKUP(H4349,'Stage Order'!$A$2:$B$8,2,FALSE)</f>
        <v/>
      </c>
      <c r="N4349">
        <f>IF(G4349&lt;=1,"1. Under 1 hour",IF(G4349&lt;=24,"2. 1-24 hours",IF(G4349&lt;=72,"3. 1-3 days","4. Over 3 days")))</f>
        <v/>
      </c>
      <c r="O4349">
        <f>TEXT(B4349,"YYYY-MM")</f>
        <v/>
      </c>
    </row>
    <row r="4350">
      <c r="A4350" t="inlineStr">
        <is>
          <t>LD-304348</t>
        </is>
      </c>
      <c r="B4350" t="inlineStr">
        <is>
          <t>2025-06-09 10:33:00</t>
        </is>
      </c>
      <c r="C4350" t="inlineStr">
        <is>
          <t>Organic Search</t>
        </is>
      </c>
      <c r="D4350" t="inlineStr">
        <is>
          <t>Language Learning</t>
        </is>
      </c>
      <c r="E4350" t="inlineStr">
        <is>
          <t>North Region</t>
        </is>
      </c>
      <c r="F4350" t="inlineStr">
        <is>
          <t>Rep_11</t>
        </is>
      </c>
      <c r="G4350" t="n">
        <v>2.32</v>
      </c>
      <c r="H4350" t="inlineStr">
        <is>
          <t>Closed</t>
        </is>
      </c>
      <c r="I4350" t="inlineStr">
        <is>
          <t>Won</t>
        </is>
      </c>
      <c r="K4350" t="n">
        <v>320.33</v>
      </c>
      <c r="L4350" t="inlineStr">
        <is>
          <t>2025-07-11 14:46:20.106212</t>
        </is>
      </c>
      <c r="M4350">
        <f>VLOOKUP(H4350,'Stage Order'!$A$2:$B$8,2,FALSE)</f>
        <v/>
      </c>
      <c r="N4350">
        <f>IF(G4350&lt;=1,"1. Under 1 hour",IF(G4350&lt;=24,"2. 1-24 hours",IF(G4350&lt;=72,"3. 1-3 days","4. Over 3 days")))</f>
        <v/>
      </c>
      <c r="O4350">
        <f>TEXT(B4350,"YYYY-MM")</f>
        <v/>
      </c>
    </row>
    <row r="4351">
      <c r="A4351" t="inlineStr">
        <is>
          <t>LD-304349</t>
        </is>
      </c>
      <c r="B4351" t="inlineStr">
        <is>
          <t>2026-01-16 19:31:00</t>
        </is>
      </c>
      <c r="C4351" t="inlineStr">
        <is>
          <t>Organic Search</t>
        </is>
      </c>
      <c r="D4351" t="inlineStr">
        <is>
          <t>K-12 Math</t>
        </is>
      </c>
      <c r="E4351" t="inlineStr">
        <is>
          <t>South Region</t>
        </is>
      </c>
      <c r="F4351" t="inlineStr">
        <is>
          <t>Rep_02</t>
        </is>
      </c>
      <c r="G4351" t="n">
        <v>3.73</v>
      </c>
      <c r="H4351" t="inlineStr">
        <is>
          <t>Contacted</t>
        </is>
      </c>
      <c r="I4351" t="inlineStr">
        <is>
          <t>Open</t>
        </is>
      </c>
      <c r="M4351">
        <f>VLOOKUP(H4351,'Stage Order'!$A$2:$B$8,2,FALSE)</f>
        <v/>
      </c>
      <c r="N4351">
        <f>IF(G4351&lt;=1,"1. Under 1 hour",IF(G4351&lt;=24,"2. 1-24 hours",IF(G4351&lt;=72,"3. 1-3 days","4. Over 3 days")))</f>
        <v/>
      </c>
      <c r="O4351">
        <f>TEXT(B4351,"YYYY-MM")</f>
        <v/>
      </c>
    </row>
    <row r="4352">
      <c r="A4352" t="inlineStr">
        <is>
          <t>LD-304350</t>
        </is>
      </c>
      <c r="B4352" t="inlineStr">
        <is>
          <t>2026-05-21 11:02:00</t>
        </is>
      </c>
      <c r="C4352" t="inlineStr">
        <is>
          <t>Organic Search</t>
        </is>
      </c>
      <c r="D4352" t="inlineStr">
        <is>
          <t>Competitive Exam Prep</t>
        </is>
      </c>
      <c r="E4352" t="inlineStr">
        <is>
          <t>North Region</t>
        </is>
      </c>
      <c r="F4352" t="inlineStr">
        <is>
          <t>Rep_11</t>
        </is>
      </c>
      <c r="G4352" t="n">
        <v>23.54</v>
      </c>
      <c r="H4352" t="inlineStr">
        <is>
          <t>Contacted</t>
        </is>
      </c>
      <c r="I4352" t="inlineStr">
        <is>
          <t>Open</t>
        </is>
      </c>
      <c r="M4352">
        <f>VLOOKUP(H4352,'Stage Order'!$A$2:$B$8,2,FALSE)</f>
        <v/>
      </c>
      <c r="N4352">
        <f>IF(G4352&lt;=1,"1. Under 1 hour",IF(G4352&lt;=24,"2. 1-24 hours",IF(G4352&lt;=72,"3. 1-3 days","4. Over 3 days")))</f>
        <v/>
      </c>
      <c r="O4352">
        <f>TEXT(B4352,"YYYY-MM")</f>
        <v/>
      </c>
    </row>
    <row r="4353">
      <c r="A4353" t="inlineStr">
        <is>
          <t>LD-304351</t>
        </is>
      </c>
      <c r="B4353" t="inlineStr">
        <is>
          <t>2025-09-05 19:31:00</t>
        </is>
      </c>
      <c r="C4353" t="inlineStr">
        <is>
          <t>Referral</t>
        </is>
      </c>
      <c r="D4353" t="inlineStr">
        <is>
          <t>Language Learning</t>
        </is>
      </c>
      <c r="E4353" t="inlineStr">
        <is>
          <t>East Region</t>
        </is>
      </c>
      <c r="F4353" t="inlineStr">
        <is>
          <t>Rep_09</t>
        </is>
      </c>
      <c r="G4353" t="n">
        <v>1.19</v>
      </c>
      <c r="H4353" t="inlineStr">
        <is>
          <t>Closed</t>
        </is>
      </c>
      <c r="I4353" t="inlineStr">
        <is>
          <t>Won</t>
        </is>
      </c>
      <c r="K4353" t="n">
        <v>309.28</v>
      </c>
      <c r="L4353" t="inlineStr">
        <is>
          <t>2025-10-23 14:53:34.139669</t>
        </is>
      </c>
      <c r="M4353">
        <f>VLOOKUP(H4353,'Stage Order'!$A$2:$B$8,2,FALSE)</f>
        <v/>
      </c>
      <c r="N4353">
        <f>IF(G4353&lt;=1,"1. Under 1 hour",IF(G4353&lt;=24,"2. 1-24 hours",IF(G4353&lt;=72,"3. 1-3 days","4. Over 3 days")))</f>
        <v/>
      </c>
      <c r="O4353">
        <f>TEXT(B4353,"YYYY-MM")</f>
        <v/>
      </c>
    </row>
    <row r="4354">
      <c r="A4354" t="inlineStr">
        <is>
          <t>LD-304352</t>
        </is>
      </c>
      <c r="B4354" t="inlineStr">
        <is>
          <t>2026-01-15 09:43:00</t>
        </is>
      </c>
      <c r="C4354" t="inlineStr">
        <is>
          <t>Webinar</t>
        </is>
      </c>
      <c r="D4354" t="inlineStr">
        <is>
          <t>Competitive Exam Prep</t>
        </is>
      </c>
      <c r="E4354" t="inlineStr">
        <is>
          <t>West Region</t>
        </is>
      </c>
      <c r="F4354" t="inlineStr">
        <is>
          <t>Rep_13</t>
        </is>
      </c>
      <c r="G4354" t="n">
        <v>2.42</v>
      </c>
      <c r="H4354" t="inlineStr">
        <is>
          <t>Closed</t>
        </is>
      </c>
      <c r="I4354" t="inlineStr">
        <is>
          <t>Won</t>
        </is>
      </c>
      <c r="K4354" t="n">
        <v>998.15</v>
      </c>
      <c r="L4354" t="inlineStr">
        <is>
          <t>2026-02-27 12:24:56.459535</t>
        </is>
      </c>
      <c r="M4354">
        <f>VLOOKUP(H4354,'Stage Order'!$A$2:$B$8,2,FALSE)</f>
        <v/>
      </c>
      <c r="N4354">
        <f>IF(G4354&lt;=1,"1. Under 1 hour",IF(G4354&lt;=24,"2. 1-24 hours",IF(G4354&lt;=72,"3. 1-3 days","4. Over 3 days")))</f>
        <v/>
      </c>
      <c r="O4354">
        <f>TEXT(B4354,"YYYY-MM")</f>
        <v/>
      </c>
    </row>
    <row r="4355">
      <c r="A4355" t="inlineStr">
        <is>
          <t>LD-304353</t>
        </is>
      </c>
      <c r="B4355" t="inlineStr">
        <is>
          <t>2026-02-27 18:22:00</t>
        </is>
      </c>
      <c r="C4355" t="inlineStr">
        <is>
          <t>Organic Search</t>
        </is>
      </c>
      <c r="D4355" t="inlineStr">
        <is>
          <t>Competitive Exam Prep</t>
        </is>
      </c>
      <c r="E4355" t="inlineStr">
        <is>
          <t>North Region</t>
        </is>
      </c>
      <c r="F4355" t="inlineStr">
        <is>
          <t>Rep_06</t>
        </is>
      </c>
      <c r="G4355" t="n">
        <v>1.4</v>
      </c>
      <c r="H4355" t="inlineStr">
        <is>
          <t>Demo Scheduled</t>
        </is>
      </c>
      <c r="I4355" t="inlineStr">
        <is>
          <t>Open</t>
        </is>
      </c>
      <c r="M4355">
        <f>VLOOKUP(H4355,'Stage Order'!$A$2:$B$8,2,FALSE)</f>
        <v/>
      </c>
      <c r="N4355">
        <f>IF(G4355&lt;=1,"1. Under 1 hour",IF(G4355&lt;=24,"2. 1-24 hours",IF(G4355&lt;=72,"3. 1-3 days","4. Over 3 days")))</f>
        <v/>
      </c>
      <c r="O4355">
        <f>TEXT(B4355,"YYYY-MM")</f>
        <v/>
      </c>
    </row>
    <row r="4356">
      <c r="A4356" t="inlineStr">
        <is>
          <t>LD-304354</t>
        </is>
      </c>
      <c r="B4356" t="inlineStr">
        <is>
          <t>2026-05-12 11:39:00</t>
        </is>
      </c>
      <c r="C4356" t="inlineStr">
        <is>
          <t>Paid Search</t>
        </is>
      </c>
      <c r="D4356" t="inlineStr">
        <is>
          <t>K-12 Math</t>
        </is>
      </c>
      <c r="E4356" t="inlineStr">
        <is>
          <t>East Region</t>
        </is>
      </c>
      <c r="F4356" t="inlineStr">
        <is>
          <t>Rep_09</t>
        </is>
      </c>
      <c r="G4356" t="n">
        <v>4.64</v>
      </c>
      <c r="H4356" t="inlineStr">
        <is>
          <t>Lead</t>
        </is>
      </c>
      <c r="I4356" t="inlineStr">
        <is>
          <t>Open</t>
        </is>
      </c>
      <c r="M4356">
        <f>VLOOKUP(H4356,'Stage Order'!$A$2:$B$8,2,FALSE)</f>
        <v/>
      </c>
      <c r="N4356">
        <f>IF(G4356&lt;=1,"1. Under 1 hour",IF(G4356&lt;=24,"2. 1-24 hours",IF(G4356&lt;=72,"3. 1-3 days","4. Over 3 days")))</f>
        <v/>
      </c>
      <c r="O4356">
        <f>TEXT(B4356,"YYYY-MM")</f>
        <v/>
      </c>
    </row>
    <row r="4357">
      <c r="A4357" t="inlineStr">
        <is>
          <t>LD-304355</t>
        </is>
      </c>
      <c r="B4357" t="inlineStr">
        <is>
          <t>2026-04-03 17:28:00</t>
        </is>
      </c>
      <c r="C4357" t="inlineStr">
        <is>
          <t>Paid Search</t>
        </is>
      </c>
      <c r="D4357" t="inlineStr">
        <is>
          <t>K-12 Math</t>
        </is>
      </c>
      <c r="E4357" t="inlineStr">
        <is>
          <t>West Region</t>
        </is>
      </c>
      <c r="F4357" t="inlineStr">
        <is>
          <t>Rep_03</t>
        </is>
      </c>
      <c r="G4357" t="n">
        <v>2.36</v>
      </c>
      <c r="H4357" t="inlineStr">
        <is>
          <t>Demo Completed</t>
        </is>
      </c>
      <c r="I4357" t="inlineStr">
        <is>
          <t>Lost</t>
        </is>
      </c>
      <c r="J4357" t="inlineStr">
        <is>
          <t>No Response / Ghosted</t>
        </is>
      </c>
      <c r="K4357" t="n">
        <v>410.32</v>
      </c>
      <c r="L4357" t="inlineStr">
        <is>
          <t>2026-05-01 09:14:45.592217</t>
        </is>
      </c>
      <c r="M4357">
        <f>VLOOKUP(H4357,'Stage Order'!$A$2:$B$8,2,FALSE)</f>
        <v/>
      </c>
      <c r="N4357">
        <f>IF(G4357&lt;=1,"1. Under 1 hour",IF(G4357&lt;=24,"2. 1-24 hours",IF(G4357&lt;=72,"3. 1-3 days","4. Over 3 days")))</f>
        <v/>
      </c>
      <c r="O4357">
        <f>TEXT(B4357,"YYYY-MM")</f>
        <v/>
      </c>
    </row>
    <row r="4358">
      <c r="A4358" t="inlineStr">
        <is>
          <t>LD-304356</t>
        </is>
      </c>
      <c r="B4358" t="inlineStr">
        <is>
          <t>2026-01-20 08:42:00</t>
        </is>
      </c>
      <c r="C4358" t="inlineStr">
        <is>
          <t>Paid Search</t>
        </is>
      </c>
      <c r="D4358" t="inlineStr">
        <is>
          <t>Study Abroad Prep</t>
        </is>
      </c>
      <c r="E4358" t="inlineStr">
        <is>
          <t>North Region</t>
        </is>
      </c>
      <c r="F4358" t="inlineStr">
        <is>
          <t>Rep_11</t>
        </is>
      </c>
      <c r="G4358" t="n">
        <v>1.85</v>
      </c>
      <c r="H4358" t="inlineStr">
        <is>
          <t>Proposal Sent</t>
        </is>
      </c>
      <c r="I4358" t="inlineStr">
        <is>
          <t>Lost</t>
        </is>
      </c>
      <c r="J4358" t="inlineStr">
        <is>
          <t>Went With Competitor</t>
        </is>
      </c>
      <c r="K4358" t="n">
        <v>1496.37</v>
      </c>
      <c r="L4358" t="inlineStr">
        <is>
          <t>2026-02-17 09:43:13.368737</t>
        </is>
      </c>
      <c r="M4358">
        <f>VLOOKUP(H4358,'Stage Order'!$A$2:$B$8,2,FALSE)</f>
        <v/>
      </c>
      <c r="N4358">
        <f>IF(G4358&lt;=1,"1. Under 1 hour",IF(G4358&lt;=24,"2. 1-24 hours",IF(G4358&lt;=72,"3. 1-3 days","4. Over 3 days")))</f>
        <v/>
      </c>
      <c r="O4358">
        <f>TEXT(B4358,"YYYY-MM")</f>
        <v/>
      </c>
    </row>
    <row r="4359">
      <c r="A4359" t="inlineStr">
        <is>
          <t>LD-304357</t>
        </is>
      </c>
      <c r="B4359" t="inlineStr">
        <is>
          <t>2025-02-14 09:13:00</t>
        </is>
      </c>
      <c r="C4359" t="inlineStr">
        <is>
          <t>Paid Search</t>
        </is>
      </c>
      <c r="D4359" t="inlineStr">
        <is>
          <t>Competitive Exam Prep</t>
        </is>
      </c>
      <c r="E4359" t="inlineStr">
        <is>
          <t>East Region</t>
        </is>
      </c>
      <c r="F4359" t="inlineStr">
        <is>
          <t>Rep_04</t>
        </is>
      </c>
      <c r="G4359" t="n">
        <v>1.58</v>
      </c>
      <c r="H4359" t="inlineStr">
        <is>
          <t>Lead</t>
        </is>
      </c>
      <c r="I4359" t="inlineStr">
        <is>
          <t>Open</t>
        </is>
      </c>
      <c r="M4359">
        <f>VLOOKUP(H4359,'Stage Order'!$A$2:$B$8,2,FALSE)</f>
        <v/>
      </c>
      <c r="N4359">
        <f>IF(G4359&lt;=1,"1. Under 1 hour",IF(G4359&lt;=24,"2. 1-24 hours",IF(G4359&lt;=72,"3. 1-3 days","4. Over 3 days")))</f>
        <v/>
      </c>
      <c r="O4359">
        <f>TEXT(B4359,"YYYY-MM")</f>
        <v/>
      </c>
    </row>
    <row r="4360">
      <c r="A4360" t="inlineStr">
        <is>
          <t>LD-304358</t>
        </is>
      </c>
      <c r="B4360" t="inlineStr">
        <is>
          <t>2026-05-23 10:41:00</t>
        </is>
      </c>
      <c r="C4360" t="inlineStr">
        <is>
          <t>Social Media</t>
        </is>
      </c>
      <c r="D4360" t="inlineStr">
        <is>
          <t>Language Learning</t>
        </is>
      </c>
      <c r="E4360" t="inlineStr">
        <is>
          <t>East Region</t>
        </is>
      </c>
      <c r="F4360" t="inlineStr">
        <is>
          <t>Rep_04</t>
        </is>
      </c>
      <c r="G4360" t="n">
        <v>3.26</v>
      </c>
      <c r="H4360" t="inlineStr">
        <is>
          <t>Demo Completed</t>
        </is>
      </c>
      <c r="I4360" t="inlineStr">
        <is>
          <t>Lost</t>
        </is>
      </c>
      <c r="J4360" t="inlineStr">
        <is>
          <t>Bad Timing</t>
        </is>
      </c>
      <c r="K4360" t="n">
        <v>417.11</v>
      </c>
      <c r="L4360" t="inlineStr">
        <is>
          <t>2026-06-23 11:29:28.258581</t>
        </is>
      </c>
      <c r="M4360">
        <f>VLOOKUP(H4360,'Stage Order'!$A$2:$B$8,2,FALSE)</f>
        <v/>
      </c>
      <c r="N4360">
        <f>IF(G4360&lt;=1,"1. Under 1 hour",IF(G4360&lt;=24,"2. 1-24 hours",IF(G4360&lt;=72,"3. 1-3 days","4. Over 3 days")))</f>
        <v/>
      </c>
      <c r="O4360">
        <f>TEXT(B4360,"YYYY-MM")</f>
        <v/>
      </c>
    </row>
    <row r="4361">
      <c r="A4361" t="inlineStr">
        <is>
          <t>LD-304359</t>
        </is>
      </c>
      <c r="B4361" t="inlineStr">
        <is>
          <t>2025-12-19 15:58:00</t>
        </is>
      </c>
      <c r="C4361" t="inlineStr">
        <is>
          <t>Referral</t>
        </is>
      </c>
      <c r="D4361" t="inlineStr">
        <is>
          <t>Coding for Kids</t>
        </is>
      </c>
      <c r="E4361" t="inlineStr">
        <is>
          <t>West Region</t>
        </is>
      </c>
      <c r="F4361" t="inlineStr">
        <is>
          <t>Rep_03</t>
        </is>
      </c>
      <c r="G4361" t="n">
        <v>0.68</v>
      </c>
      <c r="H4361" t="inlineStr">
        <is>
          <t>Closed</t>
        </is>
      </c>
      <c r="I4361" t="inlineStr">
        <is>
          <t>Won</t>
        </is>
      </c>
      <c r="K4361" t="n">
        <v>765.9299999999999</v>
      </c>
      <c r="L4361" t="inlineStr">
        <is>
          <t>2026-01-23 11:54:02.323078</t>
        </is>
      </c>
      <c r="M4361">
        <f>VLOOKUP(H4361,'Stage Order'!$A$2:$B$8,2,FALSE)</f>
        <v/>
      </c>
      <c r="N4361">
        <f>IF(G4361&lt;=1,"1. Under 1 hour",IF(G4361&lt;=24,"2. 1-24 hours",IF(G4361&lt;=72,"3. 1-3 days","4. Over 3 days")))</f>
        <v/>
      </c>
      <c r="O4361">
        <f>TEXT(B4361,"YYYY-MM")</f>
        <v/>
      </c>
    </row>
    <row r="4362">
      <c r="A4362" t="inlineStr">
        <is>
          <t>LD-304360</t>
        </is>
      </c>
      <c r="B4362" t="inlineStr">
        <is>
          <t>2026-05-06 08:52:00</t>
        </is>
      </c>
      <c r="C4362" t="inlineStr">
        <is>
          <t>Referral</t>
        </is>
      </c>
      <c r="D4362" t="inlineStr">
        <is>
          <t>K-12 Math</t>
        </is>
      </c>
      <c r="E4362" t="inlineStr">
        <is>
          <t>North Region</t>
        </is>
      </c>
      <c r="F4362" t="inlineStr">
        <is>
          <t>Rep_06</t>
        </is>
      </c>
      <c r="G4362" t="n">
        <v>1.8</v>
      </c>
      <c r="H4362" t="inlineStr">
        <is>
          <t>Negotiation</t>
        </is>
      </c>
      <c r="I4362" t="inlineStr">
        <is>
          <t>Lost</t>
        </is>
      </c>
      <c r="J4362" t="inlineStr">
        <is>
          <t>Went With Competitor</t>
        </is>
      </c>
      <c r="K4362" t="n">
        <v>415.5</v>
      </c>
      <c r="L4362" t="inlineStr">
        <is>
          <t>2026-06-13 00:42:33.099538</t>
        </is>
      </c>
      <c r="M4362">
        <f>VLOOKUP(H4362,'Stage Order'!$A$2:$B$8,2,FALSE)</f>
        <v/>
      </c>
      <c r="N4362">
        <f>IF(G4362&lt;=1,"1. Under 1 hour",IF(G4362&lt;=24,"2. 1-24 hours",IF(G4362&lt;=72,"3. 1-3 days","4. Over 3 days")))</f>
        <v/>
      </c>
      <c r="O4362">
        <f>TEXT(B4362,"YYYY-MM")</f>
        <v/>
      </c>
    </row>
    <row r="4363">
      <c r="A4363" t="inlineStr">
        <is>
          <t>LD-304361</t>
        </is>
      </c>
      <c r="B4363" t="inlineStr">
        <is>
          <t>2025-07-01 11:58:00</t>
        </is>
      </c>
      <c r="C4363" t="inlineStr">
        <is>
          <t>Referral</t>
        </is>
      </c>
      <c r="D4363" t="inlineStr">
        <is>
          <t>K-12 Math</t>
        </is>
      </c>
      <c r="E4363" t="inlineStr">
        <is>
          <t>West Region</t>
        </is>
      </c>
      <c r="F4363" t="inlineStr">
        <is>
          <t>Rep_03</t>
        </is>
      </c>
      <c r="G4363" t="n">
        <v>0.6899999999999999</v>
      </c>
      <c r="H4363" t="inlineStr">
        <is>
          <t>Closed</t>
        </is>
      </c>
      <c r="I4363" t="inlineStr">
        <is>
          <t>Won</t>
        </is>
      </c>
      <c r="K4363" t="n">
        <v>482.55</v>
      </c>
      <c r="L4363" t="inlineStr">
        <is>
          <t>2025-07-20 22:36:50.210225</t>
        </is>
      </c>
      <c r="M4363">
        <f>VLOOKUP(H4363,'Stage Order'!$A$2:$B$8,2,FALSE)</f>
        <v/>
      </c>
      <c r="N4363">
        <f>IF(G4363&lt;=1,"1. Under 1 hour",IF(G4363&lt;=24,"2. 1-24 hours",IF(G4363&lt;=72,"3. 1-3 days","4. Over 3 days")))</f>
        <v/>
      </c>
      <c r="O4363">
        <f>TEXT(B4363,"YYYY-MM")</f>
        <v/>
      </c>
    </row>
    <row r="4364">
      <c r="A4364" t="inlineStr">
        <is>
          <t>LD-304362</t>
        </is>
      </c>
      <c r="B4364" t="inlineStr">
        <is>
          <t>2026-03-07 19:27:00</t>
        </is>
      </c>
      <c r="C4364" t="inlineStr">
        <is>
          <t>Organic Search</t>
        </is>
      </c>
      <c r="D4364" t="inlineStr">
        <is>
          <t>Competitive Exam Prep</t>
        </is>
      </c>
      <c r="E4364" t="inlineStr">
        <is>
          <t>North Region</t>
        </is>
      </c>
      <c r="F4364" t="inlineStr">
        <is>
          <t>Rep_11</t>
        </is>
      </c>
      <c r="G4364" t="n">
        <v>1.77</v>
      </c>
      <c r="H4364" t="inlineStr">
        <is>
          <t>Lead</t>
        </is>
      </c>
      <c r="I4364" t="inlineStr">
        <is>
          <t>Open</t>
        </is>
      </c>
      <c r="M4364">
        <f>VLOOKUP(H4364,'Stage Order'!$A$2:$B$8,2,FALSE)</f>
        <v/>
      </c>
      <c r="N4364">
        <f>IF(G4364&lt;=1,"1. Under 1 hour",IF(G4364&lt;=24,"2. 1-24 hours",IF(G4364&lt;=72,"3. 1-3 days","4. Over 3 days")))</f>
        <v/>
      </c>
      <c r="O4364">
        <f>TEXT(B4364,"YYYY-MM")</f>
        <v/>
      </c>
    </row>
    <row r="4365">
      <c r="A4365" t="inlineStr">
        <is>
          <t>LD-304363</t>
        </is>
      </c>
      <c r="B4365" t="inlineStr">
        <is>
          <t>2025-03-12 09:37:00</t>
        </is>
      </c>
      <c r="C4365" t="inlineStr">
        <is>
          <t>Referral</t>
        </is>
      </c>
      <c r="D4365" t="inlineStr">
        <is>
          <t>Language Learning</t>
        </is>
      </c>
      <c r="E4365" t="inlineStr">
        <is>
          <t>South Region</t>
        </is>
      </c>
      <c r="F4365" t="inlineStr">
        <is>
          <t>Rep_02</t>
        </is>
      </c>
      <c r="G4365" t="n">
        <v>1.75</v>
      </c>
      <c r="H4365" t="inlineStr">
        <is>
          <t>Closed</t>
        </is>
      </c>
      <c r="I4365" t="inlineStr">
        <is>
          <t>Won</t>
        </is>
      </c>
      <c r="K4365" t="n">
        <v>352.5</v>
      </c>
      <c r="L4365" t="inlineStr">
        <is>
          <t>2025-04-15 10:34:00.638017</t>
        </is>
      </c>
      <c r="M4365">
        <f>VLOOKUP(H4365,'Stage Order'!$A$2:$B$8,2,FALSE)</f>
        <v/>
      </c>
      <c r="N4365">
        <f>IF(G4365&lt;=1,"1. Under 1 hour",IF(G4365&lt;=24,"2. 1-24 hours",IF(G4365&lt;=72,"3. 1-3 days","4. Over 3 days")))</f>
        <v/>
      </c>
      <c r="O4365">
        <f>TEXT(B4365,"YYYY-MM")</f>
        <v/>
      </c>
    </row>
    <row r="4366">
      <c r="A4366" t="inlineStr">
        <is>
          <t>LD-304364</t>
        </is>
      </c>
      <c r="B4366" t="inlineStr">
        <is>
          <t>2025-12-14 13:05:00</t>
        </is>
      </c>
      <c r="C4366" t="inlineStr">
        <is>
          <t>Organic Search</t>
        </is>
      </c>
      <c r="D4366" t="inlineStr">
        <is>
          <t>Language Learning</t>
        </is>
      </c>
      <c r="E4366" t="inlineStr">
        <is>
          <t>North Region</t>
        </is>
      </c>
      <c r="F4366" t="inlineStr">
        <is>
          <t>Rep_06</t>
        </is>
      </c>
      <c r="G4366" t="n">
        <v>7.93</v>
      </c>
      <c r="H4366" t="inlineStr">
        <is>
          <t>Proposal Sent</t>
        </is>
      </c>
      <c r="I4366" t="inlineStr">
        <is>
          <t>Lost</t>
        </is>
      </c>
      <c r="J4366" t="inlineStr">
        <is>
          <t>Went With Competitor</t>
        </is>
      </c>
      <c r="K4366" t="n">
        <v>354.69</v>
      </c>
      <c r="L4366" t="inlineStr">
        <is>
          <t>2026-01-27 04:28:05.129135</t>
        </is>
      </c>
      <c r="M4366">
        <f>VLOOKUP(H4366,'Stage Order'!$A$2:$B$8,2,FALSE)</f>
        <v/>
      </c>
      <c r="N4366">
        <f>IF(G4366&lt;=1,"1. Under 1 hour",IF(G4366&lt;=24,"2. 1-24 hours",IF(G4366&lt;=72,"3. 1-3 days","4. Over 3 days")))</f>
        <v/>
      </c>
      <c r="O4366">
        <f>TEXT(B4366,"YYYY-MM")</f>
        <v/>
      </c>
    </row>
    <row r="4367">
      <c r="A4367" t="inlineStr">
        <is>
          <t>LD-304365</t>
        </is>
      </c>
      <c r="B4367" t="inlineStr">
        <is>
          <t>2025-10-27 13:34:00</t>
        </is>
      </c>
      <c r="C4367" t="inlineStr">
        <is>
          <t>Paid Search</t>
        </is>
      </c>
      <c r="D4367" t="inlineStr">
        <is>
          <t>Language Learning</t>
        </is>
      </c>
      <c r="E4367" t="inlineStr">
        <is>
          <t>East Region</t>
        </is>
      </c>
      <c r="F4367" t="inlineStr">
        <is>
          <t>Rep_09</t>
        </is>
      </c>
      <c r="G4367" t="n">
        <v>3.26</v>
      </c>
      <c r="H4367" t="inlineStr">
        <is>
          <t>Contacted</t>
        </is>
      </c>
      <c r="I4367" t="inlineStr">
        <is>
          <t>Open</t>
        </is>
      </c>
      <c r="M4367">
        <f>VLOOKUP(H4367,'Stage Order'!$A$2:$B$8,2,FALSE)</f>
        <v/>
      </c>
      <c r="N4367">
        <f>IF(G4367&lt;=1,"1. Under 1 hour",IF(G4367&lt;=24,"2. 1-24 hours",IF(G4367&lt;=72,"3. 1-3 days","4. Over 3 days")))</f>
        <v/>
      </c>
      <c r="O4367">
        <f>TEXT(B4367,"YYYY-MM")</f>
        <v/>
      </c>
    </row>
    <row r="4368">
      <c r="A4368" t="inlineStr">
        <is>
          <t>LD-304366</t>
        </is>
      </c>
      <c r="B4368" t="inlineStr">
        <is>
          <t>2025-08-01 12:38:00</t>
        </is>
      </c>
      <c r="C4368" t="inlineStr">
        <is>
          <t>Organic Search</t>
        </is>
      </c>
      <c r="D4368" t="inlineStr">
        <is>
          <t>Language Learning</t>
        </is>
      </c>
      <c r="E4368" t="inlineStr">
        <is>
          <t>North Region</t>
        </is>
      </c>
      <c r="F4368" t="inlineStr">
        <is>
          <t>Rep_06</t>
        </is>
      </c>
      <c r="G4368" t="n">
        <v>2.27</v>
      </c>
      <c r="H4368" t="inlineStr">
        <is>
          <t>Lead</t>
        </is>
      </c>
      <c r="I4368" t="inlineStr">
        <is>
          <t>Open</t>
        </is>
      </c>
      <c r="M4368">
        <f>VLOOKUP(H4368,'Stage Order'!$A$2:$B$8,2,FALSE)</f>
        <v/>
      </c>
      <c r="N4368">
        <f>IF(G4368&lt;=1,"1. Under 1 hour",IF(G4368&lt;=24,"2. 1-24 hours",IF(G4368&lt;=72,"3. 1-3 days","4. Over 3 days")))</f>
        <v/>
      </c>
      <c r="O4368">
        <f>TEXT(B4368,"YYYY-MM")</f>
        <v/>
      </c>
    </row>
    <row r="4369">
      <c r="A4369" t="inlineStr">
        <is>
          <t>LD-304367</t>
        </is>
      </c>
      <c r="B4369" t="inlineStr">
        <is>
          <t>2025-09-21 12:56:00</t>
        </is>
      </c>
      <c r="C4369" t="inlineStr">
        <is>
          <t>Organic Search</t>
        </is>
      </c>
      <c r="D4369" t="inlineStr">
        <is>
          <t>Coding for Kids</t>
        </is>
      </c>
      <c r="E4369" t="inlineStr">
        <is>
          <t>North Region</t>
        </is>
      </c>
      <c r="F4369" t="inlineStr">
        <is>
          <t>Rep_06</t>
        </is>
      </c>
      <c r="G4369" t="n">
        <v>15.01</v>
      </c>
      <c r="H4369" t="inlineStr">
        <is>
          <t>Demo Scheduled</t>
        </is>
      </c>
      <c r="I4369" t="inlineStr">
        <is>
          <t>Open</t>
        </is>
      </c>
      <c r="M4369">
        <f>VLOOKUP(H4369,'Stage Order'!$A$2:$B$8,2,FALSE)</f>
        <v/>
      </c>
      <c r="N4369">
        <f>IF(G4369&lt;=1,"1. Under 1 hour",IF(G4369&lt;=24,"2. 1-24 hours",IF(G4369&lt;=72,"3. 1-3 days","4. Over 3 days")))</f>
        <v/>
      </c>
      <c r="O4369">
        <f>TEXT(B4369,"YYYY-MM")</f>
        <v/>
      </c>
    </row>
    <row r="4370">
      <c r="A4370" t="inlineStr">
        <is>
          <t>LD-304368</t>
        </is>
      </c>
      <c r="B4370" t="inlineStr">
        <is>
          <t>2026-06-09 15:11:00</t>
        </is>
      </c>
      <c r="C4370" t="inlineStr">
        <is>
          <t>Social Media</t>
        </is>
      </c>
      <c r="D4370" t="inlineStr">
        <is>
          <t>Competitive Exam Prep</t>
        </is>
      </c>
      <c r="E4370" t="inlineStr">
        <is>
          <t>West Region</t>
        </is>
      </c>
      <c r="F4370" t="inlineStr">
        <is>
          <t>Rep_03</t>
        </is>
      </c>
      <c r="G4370" t="n">
        <v>1.65</v>
      </c>
      <c r="H4370" t="inlineStr">
        <is>
          <t>Contacted</t>
        </is>
      </c>
      <c r="I4370" t="inlineStr">
        <is>
          <t>Open</t>
        </is>
      </c>
      <c r="M4370">
        <f>VLOOKUP(H4370,'Stage Order'!$A$2:$B$8,2,FALSE)</f>
        <v/>
      </c>
      <c r="N4370">
        <f>IF(G4370&lt;=1,"1. Under 1 hour",IF(G4370&lt;=24,"2. 1-24 hours",IF(G4370&lt;=72,"3. 1-3 days","4. Over 3 days")))</f>
        <v/>
      </c>
      <c r="O4370">
        <f>TEXT(B4370,"YYYY-MM")</f>
        <v/>
      </c>
    </row>
    <row r="4371">
      <c r="A4371" t="inlineStr">
        <is>
          <t>LD-304369</t>
        </is>
      </c>
      <c r="B4371" t="inlineStr">
        <is>
          <t>2025-01-17 19:58:00</t>
        </is>
      </c>
      <c r="C4371" t="inlineStr">
        <is>
          <t>Referral</t>
        </is>
      </c>
      <c r="D4371" t="inlineStr">
        <is>
          <t>Competitive Exam Prep</t>
        </is>
      </c>
      <c r="E4371" t="inlineStr">
        <is>
          <t>South Region</t>
        </is>
      </c>
      <c r="F4371" t="inlineStr">
        <is>
          <t>Rep_12</t>
        </is>
      </c>
      <c r="G4371" t="n">
        <v>0.3</v>
      </c>
      <c r="H4371" t="inlineStr">
        <is>
          <t>Closed</t>
        </is>
      </c>
      <c r="I4371" t="inlineStr">
        <is>
          <t>Won</t>
        </is>
      </c>
      <c r="K4371" t="n">
        <v>1130.2</v>
      </c>
      <c r="L4371" t="inlineStr">
        <is>
          <t>2025-03-02 04:16:37.356858</t>
        </is>
      </c>
      <c r="M4371">
        <f>VLOOKUP(H4371,'Stage Order'!$A$2:$B$8,2,FALSE)</f>
        <v/>
      </c>
      <c r="N4371">
        <f>IF(G4371&lt;=1,"1. Under 1 hour",IF(G4371&lt;=24,"2. 1-24 hours",IF(G4371&lt;=72,"3. 1-3 days","4. Over 3 days")))</f>
        <v/>
      </c>
      <c r="O4371">
        <f>TEXT(B4371,"YYYY-MM")</f>
        <v/>
      </c>
    </row>
    <row r="4372">
      <c r="A4372" t="inlineStr">
        <is>
          <t>LD-304370</t>
        </is>
      </c>
      <c r="B4372" t="inlineStr">
        <is>
          <t>2025-10-30 10:09:00</t>
        </is>
      </c>
      <c r="C4372" t="inlineStr">
        <is>
          <t>Partner Channel</t>
        </is>
      </c>
      <c r="D4372" t="inlineStr">
        <is>
          <t>Competitive Exam Prep</t>
        </is>
      </c>
      <c r="E4372" t="inlineStr">
        <is>
          <t>North Region</t>
        </is>
      </c>
      <c r="F4372" t="inlineStr">
        <is>
          <t>Rep_01</t>
        </is>
      </c>
      <c r="G4372" t="n">
        <v>3.54</v>
      </c>
      <c r="H4372" t="inlineStr">
        <is>
          <t>Proposal Sent</t>
        </is>
      </c>
      <c r="I4372" t="inlineStr">
        <is>
          <t>Lost</t>
        </is>
      </c>
      <c r="J4372" t="inlineStr">
        <is>
          <t>No Response / Ghosted</t>
        </is>
      </c>
      <c r="K4372" t="n">
        <v>947.09</v>
      </c>
      <c r="L4372" t="inlineStr">
        <is>
          <t>2025-12-10 01:25:19.196323</t>
        </is>
      </c>
      <c r="M4372">
        <f>VLOOKUP(H4372,'Stage Order'!$A$2:$B$8,2,FALSE)</f>
        <v/>
      </c>
      <c r="N4372">
        <f>IF(G4372&lt;=1,"1. Under 1 hour",IF(G4372&lt;=24,"2. 1-24 hours",IF(G4372&lt;=72,"3. 1-3 days","4. Over 3 days")))</f>
        <v/>
      </c>
      <c r="O4372">
        <f>TEXT(B4372,"YYYY-MM")</f>
        <v/>
      </c>
    </row>
    <row r="4373">
      <c r="A4373" t="inlineStr">
        <is>
          <t>LD-304371</t>
        </is>
      </c>
      <c r="B4373" t="inlineStr">
        <is>
          <t>2026-03-28 07:27:00</t>
        </is>
      </c>
      <c r="C4373" t="inlineStr">
        <is>
          <t>Paid Search</t>
        </is>
      </c>
      <c r="D4373" t="inlineStr">
        <is>
          <t>Coding for Kids</t>
        </is>
      </c>
      <c r="E4373" t="inlineStr">
        <is>
          <t>South Region</t>
        </is>
      </c>
      <c r="F4373" t="inlineStr">
        <is>
          <t>Rep_07</t>
        </is>
      </c>
      <c r="G4373" t="n">
        <v>4.31</v>
      </c>
      <c r="H4373" t="inlineStr">
        <is>
          <t>Contacted</t>
        </is>
      </c>
      <c r="I4373" t="inlineStr">
        <is>
          <t>Open</t>
        </is>
      </c>
      <c r="M4373">
        <f>VLOOKUP(H4373,'Stage Order'!$A$2:$B$8,2,FALSE)</f>
        <v/>
      </c>
      <c r="N4373">
        <f>IF(G4373&lt;=1,"1. Under 1 hour",IF(G4373&lt;=24,"2. 1-24 hours",IF(G4373&lt;=72,"3. 1-3 days","4. Over 3 days")))</f>
        <v/>
      </c>
      <c r="O4373">
        <f>TEXT(B4373,"YYYY-MM")</f>
        <v/>
      </c>
    </row>
    <row r="4374">
      <c r="A4374" t="inlineStr">
        <is>
          <t>LD-304372</t>
        </is>
      </c>
      <c r="B4374" t="inlineStr">
        <is>
          <t>2025-09-19 12:22:00</t>
        </is>
      </c>
      <c r="C4374" t="inlineStr">
        <is>
          <t>Paid Search</t>
        </is>
      </c>
      <c r="D4374" t="inlineStr">
        <is>
          <t>Competitive Exam Prep</t>
        </is>
      </c>
      <c r="E4374" t="inlineStr">
        <is>
          <t>North Region</t>
        </is>
      </c>
      <c r="F4374" t="inlineStr">
        <is>
          <t>Rep_01</t>
        </is>
      </c>
      <c r="G4374" t="n">
        <v>1.17</v>
      </c>
      <c r="H4374" t="inlineStr">
        <is>
          <t>Demo Completed</t>
        </is>
      </c>
      <c r="I4374" t="inlineStr">
        <is>
          <t>Lost</t>
        </is>
      </c>
      <c r="J4374" t="inlineStr">
        <is>
          <t>Went With Competitor</t>
        </is>
      </c>
      <c r="K4374" t="n">
        <v>1032.43</v>
      </c>
      <c r="L4374" t="inlineStr">
        <is>
          <t>2025-10-26 08:16:54.908033</t>
        </is>
      </c>
      <c r="M4374">
        <f>VLOOKUP(H4374,'Stage Order'!$A$2:$B$8,2,FALSE)</f>
        <v/>
      </c>
      <c r="N4374">
        <f>IF(G4374&lt;=1,"1. Under 1 hour",IF(G4374&lt;=24,"2. 1-24 hours",IF(G4374&lt;=72,"3. 1-3 days","4. Over 3 days")))</f>
        <v/>
      </c>
      <c r="O4374">
        <f>TEXT(B4374,"YYYY-MM")</f>
        <v/>
      </c>
    </row>
    <row r="4375">
      <c r="A4375" t="inlineStr">
        <is>
          <t>LD-304373</t>
        </is>
      </c>
      <c r="B4375" t="inlineStr">
        <is>
          <t>2025-03-14 19:16:00</t>
        </is>
      </c>
      <c r="C4375" t="inlineStr">
        <is>
          <t>Organic Search</t>
        </is>
      </c>
      <c r="D4375" t="inlineStr">
        <is>
          <t>Study Abroad Prep</t>
        </is>
      </c>
      <c r="E4375" t="inlineStr">
        <is>
          <t>West Region</t>
        </is>
      </c>
      <c r="F4375" t="inlineStr">
        <is>
          <t>Rep_08</t>
        </is>
      </c>
      <c r="G4375" t="n">
        <v>4.58</v>
      </c>
      <c r="H4375" t="inlineStr">
        <is>
          <t>Closed</t>
        </is>
      </c>
      <c r="I4375" t="inlineStr">
        <is>
          <t>Won</t>
        </is>
      </c>
      <c r="K4375" t="n">
        <v>1685.45</v>
      </c>
      <c r="L4375" t="inlineStr">
        <is>
          <t>2025-04-27 02:36:27.970350</t>
        </is>
      </c>
      <c r="M4375">
        <f>VLOOKUP(H4375,'Stage Order'!$A$2:$B$8,2,FALSE)</f>
        <v/>
      </c>
      <c r="N4375">
        <f>IF(G4375&lt;=1,"1. Under 1 hour",IF(G4375&lt;=24,"2. 1-24 hours",IF(G4375&lt;=72,"3. 1-3 days","4. Over 3 days")))</f>
        <v/>
      </c>
      <c r="O4375">
        <f>TEXT(B4375,"YYYY-MM")</f>
        <v/>
      </c>
    </row>
    <row r="4376">
      <c r="A4376" t="inlineStr">
        <is>
          <t>LD-304374</t>
        </is>
      </c>
      <c r="B4376" t="inlineStr">
        <is>
          <t>2026-06-26 20:45:00</t>
        </is>
      </c>
      <c r="C4376" t="inlineStr">
        <is>
          <t>Paid Search</t>
        </is>
      </c>
      <c r="D4376" t="inlineStr">
        <is>
          <t>Competitive Exam Prep</t>
        </is>
      </c>
      <c r="E4376" t="inlineStr">
        <is>
          <t>North Region</t>
        </is>
      </c>
      <c r="F4376" t="inlineStr">
        <is>
          <t>Rep_11</t>
        </is>
      </c>
      <c r="G4376" t="n">
        <v>5.88</v>
      </c>
      <c r="H4376" t="inlineStr">
        <is>
          <t>Demo Scheduled</t>
        </is>
      </c>
      <c r="I4376" t="inlineStr">
        <is>
          <t>Open</t>
        </is>
      </c>
      <c r="M4376">
        <f>VLOOKUP(H4376,'Stage Order'!$A$2:$B$8,2,FALSE)</f>
        <v/>
      </c>
      <c r="N4376">
        <f>IF(G4376&lt;=1,"1. Under 1 hour",IF(G4376&lt;=24,"2. 1-24 hours",IF(G4376&lt;=72,"3. 1-3 days","4. Over 3 days")))</f>
        <v/>
      </c>
      <c r="O4376">
        <f>TEXT(B4376,"YYYY-MM")</f>
        <v/>
      </c>
    </row>
    <row r="4377">
      <c r="A4377" t="inlineStr">
        <is>
          <t>LD-304375</t>
        </is>
      </c>
      <c r="B4377" t="inlineStr">
        <is>
          <t>2026-02-28 10:00:00</t>
        </is>
      </c>
      <c r="C4377" t="inlineStr">
        <is>
          <t>Cold Outreach</t>
        </is>
      </c>
      <c r="D4377" t="inlineStr">
        <is>
          <t>Competitive Exam Prep</t>
        </is>
      </c>
      <c r="E4377" t="inlineStr">
        <is>
          <t>West Region</t>
        </is>
      </c>
      <c r="F4377" t="inlineStr">
        <is>
          <t>Rep_03</t>
        </is>
      </c>
      <c r="G4377" t="n">
        <v>1.25</v>
      </c>
      <c r="H4377" t="inlineStr">
        <is>
          <t>Contacted</t>
        </is>
      </c>
      <c r="I4377" t="inlineStr">
        <is>
          <t>Open</t>
        </is>
      </c>
      <c r="M4377">
        <f>VLOOKUP(H4377,'Stage Order'!$A$2:$B$8,2,FALSE)</f>
        <v/>
      </c>
      <c r="N4377">
        <f>IF(G4377&lt;=1,"1. Under 1 hour",IF(G4377&lt;=24,"2. 1-24 hours",IF(G4377&lt;=72,"3. 1-3 days","4. Over 3 days")))</f>
        <v/>
      </c>
      <c r="O4377">
        <f>TEXT(B4377,"YYYY-MM")</f>
        <v/>
      </c>
    </row>
    <row r="4378">
      <c r="A4378" t="inlineStr">
        <is>
          <t>LD-304376</t>
        </is>
      </c>
      <c r="B4378" t="inlineStr">
        <is>
          <t>2025-12-19 11:00:00</t>
        </is>
      </c>
      <c r="C4378" t="inlineStr">
        <is>
          <t>Referral</t>
        </is>
      </c>
      <c r="D4378" t="inlineStr">
        <is>
          <t>Language Learning</t>
        </is>
      </c>
      <c r="E4378" t="inlineStr">
        <is>
          <t>West Region</t>
        </is>
      </c>
      <c r="F4378" t="inlineStr">
        <is>
          <t>Rep_03</t>
        </is>
      </c>
      <c r="G4378" t="n">
        <v>16.08</v>
      </c>
      <c r="H4378" t="inlineStr">
        <is>
          <t>Lead</t>
        </is>
      </c>
      <c r="I4378" t="inlineStr">
        <is>
          <t>Open</t>
        </is>
      </c>
      <c r="M4378">
        <f>VLOOKUP(H4378,'Stage Order'!$A$2:$B$8,2,FALSE)</f>
        <v/>
      </c>
      <c r="N4378">
        <f>IF(G4378&lt;=1,"1. Under 1 hour",IF(G4378&lt;=24,"2. 1-24 hours",IF(G4378&lt;=72,"3. 1-3 days","4. Over 3 days")))</f>
        <v/>
      </c>
      <c r="O4378">
        <f>TEXT(B4378,"YYYY-MM")</f>
        <v/>
      </c>
    </row>
    <row r="4379">
      <c r="A4379" t="inlineStr">
        <is>
          <t>LD-304377</t>
        </is>
      </c>
      <c r="B4379" t="inlineStr">
        <is>
          <t>2026-02-12 08:52:00</t>
        </is>
      </c>
      <c r="C4379" t="inlineStr">
        <is>
          <t>Organic Search</t>
        </is>
      </c>
      <c r="D4379" t="inlineStr">
        <is>
          <t>K-12 Math</t>
        </is>
      </c>
      <c r="E4379" t="inlineStr">
        <is>
          <t>North Region</t>
        </is>
      </c>
      <c r="F4379" t="inlineStr">
        <is>
          <t>Rep_06</t>
        </is>
      </c>
      <c r="G4379" t="n">
        <v>2.72</v>
      </c>
      <c r="H4379" t="inlineStr">
        <is>
          <t>Contacted</t>
        </is>
      </c>
      <c r="I4379" t="inlineStr">
        <is>
          <t>Open</t>
        </is>
      </c>
      <c r="M4379">
        <f>VLOOKUP(H4379,'Stage Order'!$A$2:$B$8,2,FALSE)</f>
        <v/>
      </c>
      <c r="N4379">
        <f>IF(G4379&lt;=1,"1. Under 1 hour",IF(G4379&lt;=24,"2. 1-24 hours",IF(G4379&lt;=72,"3. 1-3 days","4. Over 3 days")))</f>
        <v/>
      </c>
      <c r="O4379">
        <f>TEXT(B4379,"YYYY-MM")</f>
        <v/>
      </c>
    </row>
    <row r="4380">
      <c r="A4380" t="inlineStr">
        <is>
          <t>LD-304378</t>
        </is>
      </c>
      <c r="B4380" t="inlineStr">
        <is>
          <t>2025-12-25 20:44:00</t>
        </is>
      </c>
      <c r="C4380" t="inlineStr">
        <is>
          <t>Paid Search</t>
        </is>
      </c>
      <c r="D4380" t="inlineStr">
        <is>
          <t>Language Learning</t>
        </is>
      </c>
      <c r="E4380" t="inlineStr">
        <is>
          <t>East Region</t>
        </is>
      </c>
      <c r="F4380" t="inlineStr">
        <is>
          <t>Rep_09</t>
        </is>
      </c>
      <c r="G4380" t="n">
        <v>1.35</v>
      </c>
      <c r="H4380" t="inlineStr">
        <is>
          <t>Demo Completed</t>
        </is>
      </c>
      <c r="I4380" t="inlineStr">
        <is>
          <t>Lost</t>
        </is>
      </c>
      <c r="J4380" t="inlineStr">
        <is>
          <t>No Response / Ghosted</t>
        </is>
      </c>
      <c r="K4380" t="n">
        <v>407.32</v>
      </c>
      <c r="L4380" t="inlineStr">
        <is>
          <t>2026-01-16 13:11:47.506104</t>
        </is>
      </c>
      <c r="M4380">
        <f>VLOOKUP(H4380,'Stage Order'!$A$2:$B$8,2,FALSE)</f>
        <v/>
      </c>
      <c r="N4380">
        <f>IF(G4380&lt;=1,"1. Under 1 hour",IF(G4380&lt;=24,"2. 1-24 hours",IF(G4380&lt;=72,"3. 1-3 days","4. Over 3 days")))</f>
        <v/>
      </c>
      <c r="O4380">
        <f>TEXT(B4380,"YYYY-MM")</f>
        <v/>
      </c>
    </row>
    <row r="4381">
      <c r="A4381" t="inlineStr">
        <is>
          <t>LD-304379</t>
        </is>
      </c>
      <c r="B4381" t="inlineStr">
        <is>
          <t>2025-07-15 17:25:00</t>
        </is>
      </c>
      <c r="C4381" t="inlineStr">
        <is>
          <t>Organic Search</t>
        </is>
      </c>
      <c r="D4381" t="inlineStr">
        <is>
          <t>Competitive Exam Prep</t>
        </is>
      </c>
      <c r="E4381" t="inlineStr">
        <is>
          <t>North Region</t>
        </is>
      </c>
      <c r="F4381" t="inlineStr">
        <is>
          <t>Rep_11</t>
        </is>
      </c>
      <c r="G4381" t="n">
        <v>10.48</v>
      </c>
      <c r="H4381" t="inlineStr">
        <is>
          <t>Proposal Sent</t>
        </is>
      </c>
      <c r="I4381" t="inlineStr">
        <is>
          <t>Lost</t>
        </is>
      </c>
      <c r="J4381" t="inlineStr">
        <is>
          <t>Bad Timing</t>
        </is>
      </c>
      <c r="K4381" t="n">
        <v>1128.77</v>
      </c>
      <c r="L4381" t="inlineStr">
        <is>
          <t>2025-08-25 21:12:29.002915</t>
        </is>
      </c>
      <c r="M4381">
        <f>VLOOKUP(H4381,'Stage Order'!$A$2:$B$8,2,FALSE)</f>
        <v/>
      </c>
      <c r="N4381">
        <f>IF(G4381&lt;=1,"1. Under 1 hour",IF(G4381&lt;=24,"2. 1-24 hours",IF(G4381&lt;=72,"3. 1-3 days","4. Over 3 days")))</f>
        <v/>
      </c>
      <c r="O4381">
        <f>TEXT(B4381,"YYYY-MM")</f>
        <v/>
      </c>
    </row>
    <row r="4382">
      <c r="A4382" t="inlineStr">
        <is>
          <t>LD-304380</t>
        </is>
      </c>
      <c r="B4382" t="inlineStr">
        <is>
          <t>2025-09-24 08:11:00</t>
        </is>
      </c>
      <c r="C4382" t="inlineStr">
        <is>
          <t>Social Media</t>
        </is>
      </c>
      <c r="D4382" t="inlineStr">
        <is>
          <t>Coding for Kids</t>
        </is>
      </c>
      <c r="E4382" t="inlineStr">
        <is>
          <t>North Region</t>
        </is>
      </c>
      <c r="F4382" t="inlineStr">
        <is>
          <t>Rep_06</t>
        </is>
      </c>
      <c r="G4382" t="n">
        <v>2.06</v>
      </c>
      <c r="H4382" t="inlineStr">
        <is>
          <t>Lead</t>
        </is>
      </c>
      <c r="I4382" t="inlineStr">
        <is>
          <t>Open</t>
        </is>
      </c>
      <c r="M4382">
        <f>VLOOKUP(H4382,'Stage Order'!$A$2:$B$8,2,FALSE)</f>
        <v/>
      </c>
      <c r="N4382">
        <f>IF(G4382&lt;=1,"1. Under 1 hour",IF(G4382&lt;=24,"2. 1-24 hours",IF(G4382&lt;=72,"3. 1-3 days","4. Over 3 days")))</f>
        <v/>
      </c>
      <c r="O4382">
        <f>TEXT(B4382,"YYYY-MM")</f>
        <v/>
      </c>
    </row>
    <row r="4383">
      <c r="A4383" t="inlineStr">
        <is>
          <t>LD-304381</t>
        </is>
      </c>
      <c r="B4383" t="inlineStr">
        <is>
          <t>2025-08-02 14:20:00</t>
        </is>
      </c>
      <c r="C4383" t="inlineStr">
        <is>
          <t>Webinar</t>
        </is>
      </c>
      <c r="D4383" t="inlineStr">
        <is>
          <t>K-12 Math</t>
        </is>
      </c>
      <c r="E4383" t="inlineStr">
        <is>
          <t>South Region</t>
        </is>
      </c>
      <c r="F4383" t="inlineStr">
        <is>
          <t>Rep_12</t>
        </is>
      </c>
      <c r="G4383" t="n">
        <v>4.05</v>
      </c>
      <c r="H4383" t="inlineStr">
        <is>
          <t>Contacted</t>
        </is>
      </c>
      <c r="I4383" t="inlineStr">
        <is>
          <t>Open</t>
        </is>
      </c>
      <c r="M4383">
        <f>VLOOKUP(H4383,'Stage Order'!$A$2:$B$8,2,FALSE)</f>
        <v/>
      </c>
      <c r="N4383">
        <f>IF(G4383&lt;=1,"1. Under 1 hour",IF(G4383&lt;=24,"2. 1-24 hours",IF(G4383&lt;=72,"3. 1-3 days","4. Over 3 days")))</f>
        <v/>
      </c>
      <c r="O4383">
        <f>TEXT(B4383,"YYYY-MM")</f>
        <v/>
      </c>
    </row>
    <row r="4384">
      <c r="A4384" t="inlineStr">
        <is>
          <t>LD-304382</t>
        </is>
      </c>
      <c r="B4384" t="inlineStr">
        <is>
          <t>2025-11-14 17:14:00</t>
        </is>
      </c>
      <c r="C4384" t="inlineStr">
        <is>
          <t>Paid Search</t>
        </is>
      </c>
      <c r="D4384" t="inlineStr">
        <is>
          <t>K-12 Math</t>
        </is>
      </c>
      <c r="E4384" t="inlineStr">
        <is>
          <t>South Region</t>
        </is>
      </c>
      <c r="F4384" t="inlineStr">
        <is>
          <t>Rep_02</t>
        </is>
      </c>
      <c r="G4384" t="n">
        <v>2.18</v>
      </c>
      <c r="H4384" t="inlineStr">
        <is>
          <t>Contacted</t>
        </is>
      </c>
      <c r="I4384" t="inlineStr">
        <is>
          <t>Open</t>
        </is>
      </c>
      <c r="M4384">
        <f>VLOOKUP(H4384,'Stage Order'!$A$2:$B$8,2,FALSE)</f>
        <v/>
      </c>
      <c r="N4384">
        <f>IF(G4384&lt;=1,"1. Under 1 hour",IF(G4384&lt;=24,"2. 1-24 hours",IF(G4384&lt;=72,"3. 1-3 days","4. Over 3 days")))</f>
        <v/>
      </c>
      <c r="O4384">
        <f>TEXT(B4384,"YYYY-MM")</f>
        <v/>
      </c>
    </row>
    <row r="4385">
      <c r="A4385" t="inlineStr">
        <is>
          <t>LD-304383</t>
        </is>
      </c>
      <c r="B4385" t="inlineStr">
        <is>
          <t>2026-01-25 10:38:00</t>
        </is>
      </c>
      <c r="C4385" t="inlineStr">
        <is>
          <t>Organic Search</t>
        </is>
      </c>
      <c r="D4385" t="inlineStr">
        <is>
          <t>Competitive Exam Prep</t>
        </is>
      </c>
      <c r="E4385" t="inlineStr">
        <is>
          <t>West Region</t>
        </is>
      </c>
      <c r="F4385" t="inlineStr">
        <is>
          <t>Rep_08</t>
        </is>
      </c>
      <c r="G4385" t="n">
        <v>0.35</v>
      </c>
      <c r="H4385" t="inlineStr">
        <is>
          <t>Closed</t>
        </is>
      </c>
      <c r="I4385" t="inlineStr">
        <is>
          <t>Won</t>
        </is>
      </c>
      <c r="K4385" t="n">
        <v>829.61</v>
      </c>
      <c r="L4385" t="inlineStr">
        <is>
          <t>2026-03-03 22:31:59.266960</t>
        </is>
      </c>
      <c r="M4385">
        <f>VLOOKUP(H4385,'Stage Order'!$A$2:$B$8,2,FALSE)</f>
        <v/>
      </c>
      <c r="N4385">
        <f>IF(G4385&lt;=1,"1. Under 1 hour",IF(G4385&lt;=24,"2. 1-24 hours",IF(G4385&lt;=72,"3. 1-3 days","4. Over 3 days")))</f>
        <v/>
      </c>
      <c r="O4385">
        <f>TEXT(B4385,"YYYY-MM")</f>
        <v/>
      </c>
    </row>
    <row r="4386">
      <c r="A4386" t="inlineStr">
        <is>
          <t>LD-304384</t>
        </is>
      </c>
      <c r="B4386" t="inlineStr">
        <is>
          <t>2025-02-21 09:54:00</t>
        </is>
      </c>
      <c r="C4386" t="inlineStr">
        <is>
          <t>Organic Search</t>
        </is>
      </c>
      <c r="D4386" t="inlineStr">
        <is>
          <t>K-12 Math</t>
        </is>
      </c>
      <c r="E4386" t="inlineStr">
        <is>
          <t>South Region</t>
        </is>
      </c>
      <c r="F4386" t="inlineStr">
        <is>
          <t>Rep_12</t>
        </is>
      </c>
      <c r="G4386" t="n">
        <v>2.83</v>
      </c>
      <c r="H4386" t="inlineStr">
        <is>
          <t>Contacted</t>
        </is>
      </c>
      <c r="I4386" t="inlineStr">
        <is>
          <t>Open</t>
        </is>
      </c>
      <c r="M4386">
        <f>VLOOKUP(H4386,'Stage Order'!$A$2:$B$8,2,FALSE)</f>
        <v/>
      </c>
      <c r="N4386">
        <f>IF(G4386&lt;=1,"1. Under 1 hour",IF(G4386&lt;=24,"2. 1-24 hours",IF(G4386&lt;=72,"3. 1-3 days","4. Over 3 days")))</f>
        <v/>
      </c>
      <c r="O4386">
        <f>TEXT(B4386,"YYYY-MM")</f>
        <v/>
      </c>
    </row>
    <row r="4387">
      <c r="A4387" t="inlineStr">
        <is>
          <t>LD-304385</t>
        </is>
      </c>
      <c r="B4387" t="inlineStr">
        <is>
          <t>2025-10-06 11:25:00</t>
        </is>
      </c>
      <c r="C4387" t="inlineStr">
        <is>
          <t>Cold Outreach</t>
        </is>
      </c>
      <c r="D4387" t="inlineStr">
        <is>
          <t>Coding for Kids</t>
        </is>
      </c>
      <c r="E4387" t="inlineStr">
        <is>
          <t>West Region</t>
        </is>
      </c>
      <c r="F4387" t="inlineStr">
        <is>
          <t>Rep_08</t>
        </is>
      </c>
      <c r="G4387" t="n">
        <v>7.51</v>
      </c>
      <c r="H4387" t="inlineStr">
        <is>
          <t>Lead</t>
        </is>
      </c>
      <c r="I4387" t="inlineStr">
        <is>
          <t>Open</t>
        </is>
      </c>
      <c r="M4387">
        <f>VLOOKUP(H4387,'Stage Order'!$A$2:$B$8,2,FALSE)</f>
        <v/>
      </c>
      <c r="N4387">
        <f>IF(G4387&lt;=1,"1. Under 1 hour",IF(G4387&lt;=24,"2. 1-24 hours",IF(G4387&lt;=72,"3. 1-3 days","4. Over 3 days")))</f>
        <v/>
      </c>
      <c r="O4387">
        <f>TEXT(B4387,"YYYY-MM")</f>
        <v/>
      </c>
    </row>
    <row r="4388">
      <c r="A4388" t="inlineStr">
        <is>
          <t>LD-304386</t>
        </is>
      </c>
      <c r="B4388" t="inlineStr">
        <is>
          <t>2025-10-24 13:35:00</t>
        </is>
      </c>
      <c r="C4388" t="inlineStr">
        <is>
          <t>Cold Outreach</t>
        </is>
      </c>
      <c r="D4388" t="inlineStr">
        <is>
          <t>Study Abroad Prep</t>
        </is>
      </c>
      <c r="E4388" t="inlineStr">
        <is>
          <t>West Region</t>
        </is>
      </c>
      <c r="F4388" t="inlineStr">
        <is>
          <t>Rep_03</t>
        </is>
      </c>
      <c r="G4388" t="n">
        <v>2.45</v>
      </c>
      <c r="H4388" t="inlineStr">
        <is>
          <t>Lead</t>
        </is>
      </c>
      <c r="I4388" t="inlineStr">
        <is>
          <t>Open</t>
        </is>
      </c>
      <c r="M4388">
        <f>VLOOKUP(H4388,'Stage Order'!$A$2:$B$8,2,FALSE)</f>
        <v/>
      </c>
      <c r="N4388">
        <f>IF(G4388&lt;=1,"1. Under 1 hour",IF(G4388&lt;=24,"2. 1-24 hours",IF(G4388&lt;=72,"3. 1-3 days","4. Over 3 days")))</f>
        <v/>
      </c>
      <c r="O4388">
        <f>TEXT(B4388,"YYYY-MM")</f>
        <v/>
      </c>
    </row>
    <row r="4389">
      <c r="A4389" t="inlineStr">
        <is>
          <t>LD-304387</t>
        </is>
      </c>
      <c r="B4389" t="inlineStr">
        <is>
          <t>2025-07-22 07:02:00</t>
        </is>
      </c>
      <c r="C4389" t="inlineStr">
        <is>
          <t>Paid Search</t>
        </is>
      </c>
      <c r="D4389" t="inlineStr">
        <is>
          <t>Coding for Kids</t>
        </is>
      </c>
      <c r="E4389" t="inlineStr">
        <is>
          <t>East Region</t>
        </is>
      </c>
      <c r="F4389" t="inlineStr">
        <is>
          <t>Rep_04</t>
        </is>
      </c>
      <c r="G4389" t="n">
        <v>4.6</v>
      </c>
      <c r="H4389" t="inlineStr">
        <is>
          <t>Demo Scheduled</t>
        </is>
      </c>
      <c r="I4389" t="inlineStr">
        <is>
          <t>Open</t>
        </is>
      </c>
      <c r="M4389">
        <f>VLOOKUP(H4389,'Stage Order'!$A$2:$B$8,2,FALSE)</f>
        <v/>
      </c>
      <c r="N4389">
        <f>IF(G4389&lt;=1,"1. Under 1 hour",IF(G4389&lt;=24,"2. 1-24 hours",IF(G4389&lt;=72,"3. 1-3 days","4. Over 3 days")))</f>
        <v/>
      </c>
      <c r="O4389">
        <f>TEXT(B4389,"YYYY-MM")</f>
        <v/>
      </c>
    </row>
    <row r="4390">
      <c r="A4390" t="inlineStr">
        <is>
          <t>LD-304388</t>
        </is>
      </c>
      <c r="B4390" t="inlineStr">
        <is>
          <t>2025-01-15 16:41:00</t>
        </is>
      </c>
      <c r="C4390" t="inlineStr">
        <is>
          <t>Partner Channel</t>
        </is>
      </c>
      <c r="D4390" t="inlineStr">
        <is>
          <t>K-12 Math</t>
        </is>
      </c>
      <c r="E4390" t="inlineStr">
        <is>
          <t>South Region</t>
        </is>
      </c>
      <c r="F4390" t="inlineStr">
        <is>
          <t>Rep_07</t>
        </is>
      </c>
      <c r="G4390" t="n">
        <v>5.81</v>
      </c>
      <c r="H4390" t="inlineStr">
        <is>
          <t>Demo Completed</t>
        </is>
      </c>
      <c r="I4390" t="inlineStr">
        <is>
          <t>Lost</t>
        </is>
      </c>
      <c r="J4390" t="inlineStr">
        <is>
          <t>Bad Timing</t>
        </is>
      </c>
      <c r="K4390" t="n">
        <v>456.24</v>
      </c>
      <c r="L4390" t="inlineStr">
        <is>
          <t>2025-02-08 09:51:20.702887</t>
        </is>
      </c>
      <c r="M4390">
        <f>VLOOKUP(H4390,'Stage Order'!$A$2:$B$8,2,FALSE)</f>
        <v/>
      </c>
      <c r="N4390">
        <f>IF(G4390&lt;=1,"1. Under 1 hour",IF(G4390&lt;=24,"2. 1-24 hours",IF(G4390&lt;=72,"3. 1-3 days","4. Over 3 days")))</f>
        <v/>
      </c>
      <c r="O4390">
        <f>TEXT(B4390,"YYYY-MM")</f>
        <v/>
      </c>
    </row>
    <row r="4391">
      <c r="A4391" t="inlineStr">
        <is>
          <t>LD-304389</t>
        </is>
      </c>
      <c r="B4391" t="inlineStr">
        <is>
          <t>2026-03-14 15:33:00</t>
        </is>
      </c>
      <c r="C4391" t="inlineStr">
        <is>
          <t>Cold Outreach</t>
        </is>
      </c>
      <c r="D4391" t="inlineStr">
        <is>
          <t>K-12 Math</t>
        </is>
      </c>
      <c r="E4391" t="inlineStr">
        <is>
          <t>North Region</t>
        </is>
      </c>
      <c r="F4391" t="inlineStr">
        <is>
          <t>Rep_01</t>
        </is>
      </c>
      <c r="G4391" t="n">
        <v>2.17</v>
      </c>
      <c r="H4391" t="inlineStr">
        <is>
          <t>Lead</t>
        </is>
      </c>
      <c r="I4391" t="inlineStr">
        <is>
          <t>Open</t>
        </is>
      </c>
      <c r="M4391">
        <f>VLOOKUP(H4391,'Stage Order'!$A$2:$B$8,2,FALSE)</f>
        <v/>
      </c>
      <c r="N4391">
        <f>IF(G4391&lt;=1,"1. Under 1 hour",IF(G4391&lt;=24,"2. 1-24 hours",IF(G4391&lt;=72,"3. 1-3 days","4. Over 3 days")))</f>
        <v/>
      </c>
      <c r="O4391">
        <f>TEXT(B4391,"YYYY-MM")</f>
        <v/>
      </c>
    </row>
    <row r="4392">
      <c r="A4392" t="inlineStr">
        <is>
          <t>LD-304390</t>
        </is>
      </c>
      <c r="B4392" t="inlineStr">
        <is>
          <t>2026-05-22 11:36:00</t>
        </is>
      </c>
      <c r="C4392" t="inlineStr">
        <is>
          <t>Social Media</t>
        </is>
      </c>
      <c r="D4392" t="inlineStr">
        <is>
          <t>Coding for Kids</t>
        </is>
      </c>
      <c r="E4392" t="inlineStr">
        <is>
          <t>South Region</t>
        </is>
      </c>
      <c r="F4392" t="inlineStr">
        <is>
          <t>Rep_07</t>
        </is>
      </c>
      <c r="G4392" t="n">
        <v>1.55</v>
      </c>
      <c r="H4392" t="inlineStr">
        <is>
          <t>Contacted</t>
        </is>
      </c>
      <c r="I4392" t="inlineStr">
        <is>
          <t>Open</t>
        </is>
      </c>
      <c r="M4392">
        <f>VLOOKUP(H4392,'Stage Order'!$A$2:$B$8,2,FALSE)</f>
        <v/>
      </c>
      <c r="N4392">
        <f>IF(G4392&lt;=1,"1. Under 1 hour",IF(G4392&lt;=24,"2. 1-24 hours",IF(G4392&lt;=72,"3. 1-3 days","4. Over 3 days")))</f>
        <v/>
      </c>
      <c r="O4392">
        <f>TEXT(B4392,"YYYY-MM")</f>
        <v/>
      </c>
    </row>
    <row r="4393">
      <c r="A4393" t="inlineStr">
        <is>
          <t>LD-304391</t>
        </is>
      </c>
      <c r="B4393" t="inlineStr">
        <is>
          <t>2025-12-11 18:04:00</t>
        </is>
      </c>
      <c r="C4393" t="inlineStr">
        <is>
          <t>Paid Search</t>
        </is>
      </c>
      <c r="D4393" t="inlineStr">
        <is>
          <t>K-12 Math</t>
        </is>
      </c>
      <c r="E4393" t="inlineStr">
        <is>
          <t>International</t>
        </is>
      </c>
      <c r="F4393" t="inlineStr">
        <is>
          <t>Rep_15</t>
        </is>
      </c>
      <c r="G4393" t="n">
        <v>2.98</v>
      </c>
      <c r="H4393" t="inlineStr">
        <is>
          <t>Contacted</t>
        </is>
      </c>
      <c r="I4393" t="inlineStr">
        <is>
          <t>Open</t>
        </is>
      </c>
      <c r="M4393">
        <f>VLOOKUP(H4393,'Stage Order'!$A$2:$B$8,2,FALSE)</f>
        <v/>
      </c>
      <c r="N4393">
        <f>IF(G4393&lt;=1,"1. Under 1 hour",IF(G4393&lt;=24,"2. 1-24 hours",IF(G4393&lt;=72,"3. 1-3 days","4. Over 3 days")))</f>
        <v/>
      </c>
      <c r="O4393">
        <f>TEXT(B4393,"YYYY-MM")</f>
        <v/>
      </c>
    </row>
    <row r="4394">
      <c r="A4394" t="inlineStr">
        <is>
          <t>LD-304392</t>
        </is>
      </c>
      <c r="B4394" t="inlineStr">
        <is>
          <t>2025-09-05 16:16:00</t>
        </is>
      </c>
      <c r="C4394" t="inlineStr">
        <is>
          <t>Referral</t>
        </is>
      </c>
      <c r="D4394" t="inlineStr">
        <is>
          <t>Competitive Exam Prep</t>
        </is>
      </c>
      <c r="E4394" t="inlineStr">
        <is>
          <t>North Region</t>
        </is>
      </c>
      <c r="F4394" t="inlineStr">
        <is>
          <t>Rep_11</t>
        </is>
      </c>
      <c r="G4394" t="n">
        <v>1.36</v>
      </c>
      <c r="H4394" t="inlineStr">
        <is>
          <t>Closed</t>
        </is>
      </c>
      <c r="I4394" t="inlineStr">
        <is>
          <t>Won</t>
        </is>
      </c>
      <c r="K4394" t="n">
        <v>1179.84</v>
      </c>
      <c r="L4394" t="inlineStr">
        <is>
          <t>2025-10-15 17:08:04.294601</t>
        </is>
      </c>
      <c r="M4394">
        <f>VLOOKUP(H4394,'Stage Order'!$A$2:$B$8,2,FALSE)</f>
        <v/>
      </c>
      <c r="N4394">
        <f>IF(G4394&lt;=1,"1. Under 1 hour",IF(G4394&lt;=24,"2. 1-24 hours",IF(G4394&lt;=72,"3. 1-3 days","4. Over 3 days")))</f>
        <v/>
      </c>
      <c r="O4394">
        <f>TEXT(B4394,"YYYY-MM")</f>
        <v/>
      </c>
    </row>
    <row r="4395">
      <c r="A4395" t="inlineStr">
        <is>
          <t>LD-304393</t>
        </is>
      </c>
      <c r="B4395" t="inlineStr">
        <is>
          <t>2026-05-22 19:46:00</t>
        </is>
      </c>
      <c r="C4395" t="inlineStr">
        <is>
          <t>Paid Search</t>
        </is>
      </c>
      <c r="D4395" t="inlineStr">
        <is>
          <t>Competitive Exam Prep</t>
        </is>
      </c>
      <c r="E4395" t="inlineStr">
        <is>
          <t>East Region</t>
        </is>
      </c>
      <c r="F4395" t="inlineStr">
        <is>
          <t>Rep_04</t>
        </is>
      </c>
      <c r="G4395" t="n">
        <v>4.03</v>
      </c>
      <c r="H4395" t="inlineStr">
        <is>
          <t>Proposal Sent</t>
        </is>
      </c>
      <c r="I4395" t="inlineStr">
        <is>
          <t>Lost</t>
        </is>
      </c>
      <c r="J4395" t="inlineStr">
        <is>
          <t>Bad Timing</t>
        </is>
      </c>
      <c r="K4395" t="n">
        <v>1166.92</v>
      </c>
      <c r="L4395" t="inlineStr">
        <is>
          <t>2026-06-24 07:05:25.203642</t>
        </is>
      </c>
      <c r="M4395">
        <f>VLOOKUP(H4395,'Stage Order'!$A$2:$B$8,2,FALSE)</f>
        <v/>
      </c>
      <c r="N4395">
        <f>IF(G4395&lt;=1,"1. Under 1 hour",IF(G4395&lt;=24,"2. 1-24 hours",IF(G4395&lt;=72,"3. 1-3 days","4. Over 3 days")))</f>
        <v/>
      </c>
      <c r="O4395">
        <f>TEXT(B4395,"YYYY-MM")</f>
        <v/>
      </c>
    </row>
    <row r="4396">
      <c r="A4396" t="inlineStr">
        <is>
          <t>LD-304394</t>
        </is>
      </c>
      <c r="B4396" t="inlineStr">
        <is>
          <t>2025-07-28 11:31:00</t>
        </is>
      </c>
      <c r="C4396" t="inlineStr">
        <is>
          <t>Paid Search</t>
        </is>
      </c>
      <c r="D4396" t="inlineStr">
        <is>
          <t>K-12 Math</t>
        </is>
      </c>
      <c r="E4396" t="inlineStr">
        <is>
          <t>South Region</t>
        </is>
      </c>
      <c r="F4396" t="inlineStr">
        <is>
          <t>Rep_07</t>
        </is>
      </c>
      <c r="G4396" t="n">
        <v>2.18</v>
      </c>
      <c r="H4396" t="inlineStr">
        <is>
          <t>Contacted</t>
        </is>
      </c>
      <c r="I4396" t="inlineStr">
        <is>
          <t>Open</t>
        </is>
      </c>
      <c r="M4396">
        <f>VLOOKUP(H4396,'Stage Order'!$A$2:$B$8,2,FALSE)</f>
        <v/>
      </c>
      <c r="N4396">
        <f>IF(G4396&lt;=1,"1. Under 1 hour",IF(G4396&lt;=24,"2. 1-24 hours",IF(G4396&lt;=72,"3. 1-3 days","4. Over 3 days")))</f>
        <v/>
      </c>
      <c r="O4396">
        <f>TEXT(B4396,"YYYY-MM")</f>
        <v/>
      </c>
    </row>
    <row r="4397">
      <c r="A4397" t="inlineStr">
        <is>
          <t>LD-304395</t>
        </is>
      </c>
      <c r="B4397" t="inlineStr">
        <is>
          <t>2025-06-09 17:35:00</t>
        </is>
      </c>
      <c r="C4397" t="inlineStr">
        <is>
          <t>Paid Search</t>
        </is>
      </c>
      <c r="D4397" t="inlineStr">
        <is>
          <t>K-12 Math</t>
        </is>
      </c>
      <c r="E4397" t="inlineStr">
        <is>
          <t>West Region</t>
        </is>
      </c>
      <c r="F4397" t="inlineStr">
        <is>
          <t>Rep_03</t>
        </is>
      </c>
      <c r="G4397" t="n">
        <v>7.37</v>
      </c>
      <c r="H4397" t="inlineStr">
        <is>
          <t>Contacted</t>
        </is>
      </c>
      <c r="I4397" t="inlineStr">
        <is>
          <t>Open</t>
        </is>
      </c>
      <c r="M4397">
        <f>VLOOKUP(H4397,'Stage Order'!$A$2:$B$8,2,FALSE)</f>
        <v/>
      </c>
      <c r="N4397">
        <f>IF(G4397&lt;=1,"1. Under 1 hour",IF(G4397&lt;=24,"2. 1-24 hours",IF(G4397&lt;=72,"3. 1-3 days","4. Over 3 days")))</f>
        <v/>
      </c>
      <c r="O4397">
        <f>TEXT(B4397,"YYYY-MM")</f>
        <v/>
      </c>
    </row>
    <row r="4398">
      <c r="A4398" t="inlineStr">
        <is>
          <t>LD-304396</t>
        </is>
      </c>
      <c r="B4398" t="inlineStr">
        <is>
          <t>2025-11-06 07:53:00</t>
        </is>
      </c>
      <c r="C4398" t="inlineStr">
        <is>
          <t>Webinar</t>
        </is>
      </c>
      <c r="D4398" t="inlineStr">
        <is>
          <t>Language Learning</t>
        </is>
      </c>
      <c r="E4398" t="inlineStr">
        <is>
          <t>East Region</t>
        </is>
      </c>
      <c r="F4398" t="inlineStr">
        <is>
          <t>Rep_04</t>
        </is>
      </c>
      <c r="G4398" t="n">
        <v>1.88</v>
      </c>
      <c r="H4398" t="inlineStr">
        <is>
          <t>Contacted</t>
        </is>
      </c>
      <c r="I4398" t="inlineStr">
        <is>
          <t>Open</t>
        </is>
      </c>
      <c r="M4398">
        <f>VLOOKUP(H4398,'Stage Order'!$A$2:$B$8,2,FALSE)</f>
        <v/>
      </c>
      <c r="N4398">
        <f>IF(G4398&lt;=1,"1. Under 1 hour",IF(G4398&lt;=24,"2. 1-24 hours",IF(G4398&lt;=72,"3. 1-3 days","4. Over 3 days")))</f>
        <v/>
      </c>
      <c r="O4398">
        <f>TEXT(B4398,"YYYY-MM")</f>
        <v/>
      </c>
    </row>
    <row r="4399">
      <c r="A4399" t="inlineStr">
        <is>
          <t>LD-304397</t>
        </is>
      </c>
      <c r="B4399" t="inlineStr">
        <is>
          <t>2026-04-20 09:22:00</t>
        </is>
      </c>
      <c r="C4399" t="inlineStr">
        <is>
          <t>Organic Search</t>
        </is>
      </c>
      <c r="D4399" t="inlineStr">
        <is>
          <t>Coding for Kids</t>
        </is>
      </c>
      <c r="E4399" t="inlineStr">
        <is>
          <t>North Region</t>
        </is>
      </c>
      <c r="F4399" t="inlineStr">
        <is>
          <t>Rep_11</t>
        </is>
      </c>
      <c r="G4399" t="n">
        <v>5.11</v>
      </c>
      <c r="H4399" t="inlineStr">
        <is>
          <t>Proposal Sent</t>
        </is>
      </c>
      <c r="I4399" t="inlineStr">
        <is>
          <t>Lost</t>
        </is>
      </c>
      <c r="J4399" t="inlineStr">
        <is>
          <t>Bad Timing</t>
        </is>
      </c>
      <c r="K4399" t="n">
        <v>682.8</v>
      </c>
      <c r="L4399" t="inlineStr">
        <is>
          <t>2026-05-18 01:52:37.240600</t>
        </is>
      </c>
      <c r="M4399">
        <f>VLOOKUP(H4399,'Stage Order'!$A$2:$B$8,2,FALSE)</f>
        <v/>
      </c>
      <c r="N4399">
        <f>IF(G4399&lt;=1,"1. Under 1 hour",IF(G4399&lt;=24,"2. 1-24 hours",IF(G4399&lt;=72,"3. 1-3 days","4. Over 3 days")))</f>
        <v/>
      </c>
      <c r="O4399">
        <f>TEXT(B4399,"YYYY-MM")</f>
        <v/>
      </c>
    </row>
    <row r="4400">
      <c r="A4400" t="inlineStr">
        <is>
          <t>LD-304398</t>
        </is>
      </c>
      <c r="B4400" t="inlineStr">
        <is>
          <t>2025-02-25 08:40:00</t>
        </is>
      </c>
      <c r="C4400" t="inlineStr">
        <is>
          <t>Cold Outreach</t>
        </is>
      </c>
      <c r="D4400" t="inlineStr">
        <is>
          <t>K-12 Math</t>
        </is>
      </c>
      <c r="E4400" t="inlineStr">
        <is>
          <t>West Region</t>
        </is>
      </c>
      <c r="F4400" t="inlineStr">
        <is>
          <t>Rep_08</t>
        </is>
      </c>
      <c r="G4400" t="n">
        <v>1.24</v>
      </c>
      <c r="H4400" t="inlineStr">
        <is>
          <t>Contacted</t>
        </is>
      </c>
      <c r="I4400" t="inlineStr">
        <is>
          <t>Open</t>
        </is>
      </c>
      <c r="M4400">
        <f>VLOOKUP(H4400,'Stage Order'!$A$2:$B$8,2,FALSE)</f>
        <v/>
      </c>
      <c r="N4400">
        <f>IF(G4400&lt;=1,"1. Under 1 hour",IF(G4400&lt;=24,"2. 1-24 hours",IF(G4400&lt;=72,"3. 1-3 days","4. Over 3 days")))</f>
        <v/>
      </c>
      <c r="O4400">
        <f>TEXT(B4400,"YYYY-MM")</f>
        <v/>
      </c>
    </row>
    <row r="4401">
      <c r="A4401" t="inlineStr">
        <is>
          <t>LD-304399</t>
        </is>
      </c>
      <c r="B4401" t="inlineStr">
        <is>
          <t>2025-07-11 17:55:00</t>
        </is>
      </c>
      <c r="C4401" t="inlineStr">
        <is>
          <t>Paid Search</t>
        </is>
      </c>
      <c r="D4401" t="inlineStr">
        <is>
          <t>K-12 Math</t>
        </is>
      </c>
      <c r="E4401" t="inlineStr">
        <is>
          <t>West Region</t>
        </is>
      </c>
      <c r="F4401" t="inlineStr">
        <is>
          <t>Rep_13</t>
        </is>
      </c>
      <c r="G4401" t="n">
        <v>3.12</v>
      </c>
      <c r="H4401" t="inlineStr">
        <is>
          <t>Contacted</t>
        </is>
      </c>
      <c r="I4401" t="inlineStr">
        <is>
          <t>Open</t>
        </is>
      </c>
      <c r="M4401">
        <f>VLOOKUP(H4401,'Stage Order'!$A$2:$B$8,2,FALSE)</f>
        <v/>
      </c>
      <c r="N4401">
        <f>IF(G4401&lt;=1,"1. Under 1 hour",IF(G4401&lt;=24,"2. 1-24 hours",IF(G4401&lt;=72,"3. 1-3 days","4. Over 3 days")))</f>
        <v/>
      </c>
      <c r="O4401">
        <f>TEXT(B4401,"YYYY-MM")</f>
        <v/>
      </c>
    </row>
    <row r="4402">
      <c r="A4402" t="inlineStr">
        <is>
          <t>LD-304400</t>
        </is>
      </c>
      <c r="B4402" t="inlineStr">
        <is>
          <t>2026-02-20 15:51:00</t>
        </is>
      </c>
      <c r="C4402" t="inlineStr">
        <is>
          <t>Partner Channel</t>
        </is>
      </c>
      <c r="D4402" t="inlineStr">
        <is>
          <t>Study Abroad Prep</t>
        </is>
      </c>
      <c r="E4402" t="inlineStr">
        <is>
          <t>South Region</t>
        </is>
      </c>
      <c r="F4402" t="inlineStr">
        <is>
          <t>Rep_07</t>
        </is>
      </c>
      <c r="G4402" t="n">
        <v>8.73</v>
      </c>
      <c r="H4402" t="inlineStr">
        <is>
          <t>Contacted</t>
        </is>
      </c>
      <c r="I4402" t="inlineStr">
        <is>
          <t>Open</t>
        </is>
      </c>
      <c r="M4402">
        <f>VLOOKUP(H4402,'Stage Order'!$A$2:$B$8,2,FALSE)</f>
        <v/>
      </c>
      <c r="N4402">
        <f>IF(G4402&lt;=1,"1. Under 1 hour",IF(G4402&lt;=24,"2. 1-24 hours",IF(G4402&lt;=72,"3. 1-3 days","4. Over 3 days")))</f>
        <v/>
      </c>
      <c r="O4402">
        <f>TEXT(B4402,"YYYY-MM")</f>
        <v/>
      </c>
    </row>
    <row r="4403">
      <c r="A4403" t="inlineStr">
        <is>
          <t>LD-304401</t>
        </is>
      </c>
      <c r="B4403" t="inlineStr">
        <is>
          <t>2025-11-21 10:19:00</t>
        </is>
      </c>
      <c r="C4403" t="inlineStr">
        <is>
          <t>Cold Outreach</t>
        </is>
      </c>
      <c r="D4403" t="inlineStr">
        <is>
          <t>Competitive Exam Prep</t>
        </is>
      </c>
      <c r="E4403" t="inlineStr">
        <is>
          <t>West Region</t>
        </is>
      </c>
      <c r="F4403" t="inlineStr">
        <is>
          <t>Rep_13</t>
        </is>
      </c>
      <c r="G4403" t="n">
        <v>2.35</v>
      </c>
      <c r="H4403" t="inlineStr">
        <is>
          <t>Lead</t>
        </is>
      </c>
      <c r="I4403" t="inlineStr">
        <is>
          <t>Open</t>
        </is>
      </c>
      <c r="M4403">
        <f>VLOOKUP(H4403,'Stage Order'!$A$2:$B$8,2,FALSE)</f>
        <v/>
      </c>
      <c r="N4403">
        <f>IF(G4403&lt;=1,"1. Under 1 hour",IF(G4403&lt;=24,"2. 1-24 hours",IF(G4403&lt;=72,"3. 1-3 days","4. Over 3 days")))</f>
        <v/>
      </c>
      <c r="O4403">
        <f>TEXT(B4403,"YYYY-MM")</f>
        <v/>
      </c>
    </row>
    <row r="4404">
      <c r="A4404" t="inlineStr">
        <is>
          <t>LD-304402</t>
        </is>
      </c>
      <c r="B4404" t="inlineStr">
        <is>
          <t>2025-12-25 10:45:00</t>
        </is>
      </c>
      <c r="C4404" t="inlineStr">
        <is>
          <t>Cold Outreach</t>
        </is>
      </c>
      <c r="D4404" t="inlineStr">
        <is>
          <t>K-12 Math</t>
        </is>
      </c>
      <c r="E4404" t="inlineStr">
        <is>
          <t>East Region</t>
        </is>
      </c>
      <c r="F4404" t="inlineStr">
        <is>
          <t>Rep_14</t>
        </is>
      </c>
      <c r="G4404" t="n">
        <v>7.01</v>
      </c>
      <c r="H4404" t="inlineStr">
        <is>
          <t>Contacted</t>
        </is>
      </c>
      <c r="I4404" t="inlineStr">
        <is>
          <t>Open</t>
        </is>
      </c>
      <c r="M4404">
        <f>VLOOKUP(H4404,'Stage Order'!$A$2:$B$8,2,FALSE)</f>
        <v/>
      </c>
      <c r="N4404">
        <f>IF(G4404&lt;=1,"1. Under 1 hour",IF(G4404&lt;=24,"2. 1-24 hours",IF(G4404&lt;=72,"3. 1-3 days","4. Over 3 days")))</f>
        <v/>
      </c>
      <c r="O4404">
        <f>TEXT(B4404,"YYYY-MM")</f>
        <v/>
      </c>
    </row>
    <row r="4405">
      <c r="A4405" t="inlineStr">
        <is>
          <t>LD-304403</t>
        </is>
      </c>
      <c r="B4405" t="inlineStr">
        <is>
          <t>2025-02-07 20:38:00</t>
        </is>
      </c>
      <c r="C4405" t="inlineStr">
        <is>
          <t>Cold Outreach</t>
        </is>
      </c>
      <c r="D4405" t="inlineStr">
        <is>
          <t>K-12 Math</t>
        </is>
      </c>
      <c r="E4405" t="inlineStr">
        <is>
          <t>South Region</t>
        </is>
      </c>
      <c r="F4405" t="inlineStr">
        <is>
          <t>Rep_12</t>
        </is>
      </c>
      <c r="G4405" t="n">
        <v>3.72</v>
      </c>
      <c r="H4405" t="inlineStr">
        <is>
          <t>Contacted</t>
        </is>
      </c>
      <c r="I4405" t="inlineStr">
        <is>
          <t>Open</t>
        </is>
      </c>
      <c r="M4405">
        <f>VLOOKUP(H4405,'Stage Order'!$A$2:$B$8,2,FALSE)</f>
        <v/>
      </c>
      <c r="N4405">
        <f>IF(G4405&lt;=1,"1. Under 1 hour",IF(G4405&lt;=24,"2. 1-24 hours",IF(G4405&lt;=72,"3. 1-3 days","4. Over 3 days")))</f>
        <v/>
      </c>
      <c r="O4405">
        <f>TEXT(B4405,"YYYY-MM")</f>
        <v/>
      </c>
    </row>
    <row r="4406">
      <c r="A4406" t="inlineStr">
        <is>
          <t>LD-304404</t>
        </is>
      </c>
      <c r="B4406" t="inlineStr">
        <is>
          <t>2025-07-28 07:18:00</t>
        </is>
      </c>
      <c r="C4406" t="inlineStr">
        <is>
          <t>Cold Outreach</t>
        </is>
      </c>
      <c r="D4406" t="inlineStr">
        <is>
          <t>K-12 Math</t>
        </is>
      </c>
      <c r="E4406" t="inlineStr">
        <is>
          <t>South Region</t>
        </is>
      </c>
      <c r="F4406" t="inlineStr">
        <is>
          <t>Rep_02</t>
        </is>
      </c>
      <c r="G4406" t="n">
        <v>7.38</v>
      </c>
      <c r="H4406" t="inlineStr">
        <is>
          <t>Contacted</t>
        </is>
      </c>
      <c r="I4406" t="inlineStr">
        <is>
          <t>Open</t>
        </is>
      </c>
      <c r="M4406">
        <f>VLOOKUP(H4406,'Stage Order'!$A$2:$B$8,2,FALSE)</f>
        <v/>
      </c>
      <c r="N4406">
        <f>IF(G4406&lt;=1,"1. Under 1 hour",IF(G4406&lt;=24,"2. 1-24 hours",IF(G4406&lt;=72,"3. 1-3 days","4. Over 3 days")))</f>
        <v/>
      </c>
      <c r="O4406">
        <f>TEXT(B4406,"YYYY-MM")</f>
        <v/>
      </c>
    </row>
    <row r="4407">
      <c r="A4407" t="inlineStr">
        <is>
          <t>LD-304405</t>
        </is>
      </c>
      <c r="B4407" t="inlineStr">
        <is>
          <t>2025-02-14 11:09:00</t>
        </is>
      </c>
      <c r="C4407" t="inlineStr">
        <is>
          <t>Organic Search</t>
        </is>
      </c>
      <c r="D4407" t="inlineStr">
        <is>
          <t>K-12 Math</t>
        </is>
      </c>
      <c r="E4407" t="inlineStr">
        <is>
          <t>South Region</t>
        </is>
      </c>
      <c r="F4407" t="inlineStr">
        <is>
          <t>Rep_12</t>
        </is>
      </c>
      <c r="G4407" t="n">
        <v>3.65</v>
      </c>
      <c r="H4407" t="inlineStr">
        <is>
          <t>Contacted</t>
        </is>
      </c>
      <c r="I4407" t="inlineStr">
        <is>
          <t>Open</t>
        </is>
      </c>
      <c r="M4407">
        <f>VLOOKUP(H4407,'Stage Order'!$A$2:$B$8,2,FALSE)</f>
        <v/>
      </c>
      <c r="N4407">
        <f>IF(G4407&lt;=1,"1. Under 1 hour",IF(G4407&lt;=24,"2. 1-24 hours",IF(G4407&lt;=72,"3. 1-3 days","4. Over 3 days")))</f>
        <v/>
      </c>
      <c r="O4407">
        <f>TEXT(B4407,"YYYY-MM")</f>
        <v/>
      </c>
    </row>
    <row r="4408">
      <c r="A4408" t="inlineStr">
        <is>
          <t>LD-304406</t>
        </is>
      </c>
      <c r="B4408" t="inlineStr">
        <is>
          <t>2025-11-07 17:29:00</t>
        </is>
      </c>
      <c r="C4408" t="inlineStr">
        <is>
          <t>Referral</t>
        </is>
      </c>
      <c r="D4408" t="inlineStr">
        <is>
          <t>Study Abroad Prep</t>
        </is>
      </c>
      <c r="E4408" t="inlineStr">
        <is>
          <t>North Region</t>
        </is>
      </c>
      <c r="F4408" t="inlineStr">
        <is>
          <t>Rep_11</t>
        </is>
      </c>
      <c r="G4408" t="n">
        <v>7.91</v>
      </c>
      <c r="H4408" t="inlineStr">
        <is>
          <t>Closed</t>
        </is>
      </c>
      <c r="I4408" t="inlineStr">
        <is>
          <t>Won</t>
        </is>
      </c>
      <c r="K4408" t="n">
        <v>1488.11</v>
      </c>
      <c r="L4408" t="inlineStr">
        <is>
          <t>2025-12-25 13:49:51.631747</t>
        </is>
      </c>
      <c r="M4408">
        <f>VLOOKUP(H4408,'Stage Order'!$A$2:$B$8,2,FALSE)</f>
        <v/>
      </c>
      <c r="N4408">
        <f>IF(G4408&lt;=1,"1. Under 1 hour",IF(G4408&lt;=24,"2. 1-24 hours",IF(G4408&lt;=72,"3. 1-3 days","4. Over 3 days")))</f>
        <v/>
      </c>
      <c r="O4408">
        <f>TEXT(B4408,"YYYY-MM")</f>
        <v/>
      </c>
    </row>
    <row r="4409">
      <c r="A4409" t="inlineStr">
        <is>
          <t>LD-304407</t>
        </is>
      </c>
      <c r="B4409" t="inlineStr">
        <is>
          <t>2026-02-20 20:09:00</t>
        </is>
      </c>
      <c r="C4409" t="inlineStr">
        <is>
          <t>Social Media</t>
        </is>
      </c>
      <c r="D4409" t="inlineStr">
        <is>
          <t>K-12 Math</t>
        </is>
      </c>
      <c r="E4409" t="inlineStr">
        <is>
          <t>South Region</t>
        </is>
      </c>
      <c r="F4409" t="inlineStr">
        <is>
          <t>Rep_02</t>
        </is>
      </c>
      <c r="G4409" t="n">
        <v>4.08</v>
      </c>
      <c r="H4409" t="inlineStr">
        <is>
          <t>Contacted</t>
        </is>
      </c>
      <c r="I4409" t="inlineStr">
        <is>
          <t>Open</t>
        </is>
      </c>
      <c r="M4409">
        <f>VLOOKUP(H4409,'Stage Order'!$A$2:$B$8,2,FALSE)</f>
        <v/>
      </c>
      <c r="N4409">
        <f>IF(G4409&lt;=1,"1. Under 1 hour",IF(G4409&lt;=24,"2. 1-24 hours",IF(G4409&lt;=72,"3. 1-3 days","4. Over 3 days")))</f>
        <v/>
      </c>
      <c r="O4409">
        <f>TEXT(B4409,"YYYY-MM")</f>
        <v/>
      </c>
    </row>
    <row r="4410">
      <c r="A4410" t="inlineStr">
        <is>
          <t>LD-304408</t>
        </is>
      </c>
      <c r="B4410" t="inlineStr">
        <is>
          <t>2026-03-23 08:28:00</t>
        </is>
      </c>
      <c r="C4410" t="inlineStr">
        <is>
          <t>Cold Outreach</t>
        </is>
      </c>
      <c r="D4410" t="inlineStr">
        <is>
          <t>Coding for Kids</t>
        </is>
      </c>
      <c r="E4410" t="inlineStr">
        <is>
          <t>West Region</t>
        </is>
      </c>
      <c r="F4410" t="inlineStr">
        <is>
          <t>Rep_08</t>
        </is>
      </c>
      <c r="G4410" t="n">
        <v>1.31</v>
      </c>
      <c r="H4410" t="inlineStr">
        <is>
          <t>Lead</t>
        </is>
      </c>
      <c r="I4410" t="inlineStr">
        <is>
          <t>Open</t>
        </is>
      </c>
      <c r="M4410">
        <f>VLOOKUP(H4410,'Stage Order'!$A$2:$B$8,2,FALSE)</f>
        <v/>
      </c>
      <c r="N4410">
        <f>IF(G4410&lt;=1,"1. Under 1 hour",IF(G4410&lt;=24,"2. 1-24 hours",IF(G4410&lt;=72,"3. 1-3 days","4. Over 3 days")))</f>
        <v/>
      </c>
      <c r="O4410">
        <f>TEXT(B4410,"YYYY-MM")</f>
        <v/>
      </c>
    </row>
    <row r="4411">
      <c r="A4411" t="inlineStr">
        <is>
          <t>LD-304409</t>
        </is>
      </c>
      <c r="B4411" t="inlineStr">
        <is>
          <t>2025-10-02 09:44:00</t>
        </is>
      </c>
      <c r="C4411" t="inlineStr">
        <is>
          <t>Organic Search</t>
        </is>
      </c>
      <c r="D4411" t="inlineStr">
        <is>
          <t>K-12 Math</t>
        </is>
      </c>
      <c r="E4411" t="inlineStr">
        <is>
          <t>South Region</t>
        </is>
      </c>
      <c r="F4411" t="inlineStr">
        <is>
          <t>Rep_07</t>
        </is>
      </c>
      <c r="G4411" t="n">
        <v>3.35</v>
      </c>
      <c r="H4411" t="inlineStr">
        <is>
          <t>Proposal Sent</t>
        </is>
      </c>
      <c r="I4411" t="inlineStr">
        <is>
          <t>Lost</t>
        </is>
      </c>
      <c r="J4411" t="inlineStr">
        <is>
          <t>Went With Competitor</t>
        </is>
      </c>
      <c r="K4411" t="n">
        <v>572.59</v>
      </c>
      <c r="L4411" t="inlineStr">
        <is>
          <t>2025-11-01 22:58:42.016340</t>
        </is>
      </c>
      <c r="M4411">
        <f>VLOOKUP(H4411,'Stage Order'!$A$2:$B$8,2,FALSE)</f>
        <v/>
      </c>
      <c r="N4411">
        <f>IF(G4411&lt;=1,"1. Under 1 hour",IF(G4411&lt;=24,"2. 1-24 hours",IF(G4411&lt;=72,"3. 1-3 days","4. Over 3 days")))</f>
        <v/>
      </c>
      <c r="O4411">
        <f>TEXT(B4411,"YYYY-MM")</f>
        <v/>
      </c>
    </row>
    <row r="4412">
      <c r="A4412" t="inlineStr">
        <is>
          <t>LD-304410</t>
        </is>
      </c>
      <c r="B4412" t="inlineStr">
        <is>
          <t>2025-04-01 07:37:00</t>
        </is>
      </c>
      <c r="C4412" t="inlineStr">
        <is>
          <t>Partner Channel</t>
        </is>
      </c>
      <c r="D4412" t="inlineStr">
        <is>
          <t>Coding for Kids</t>
        </is>
      </c>
      <c r="E4412" t="inlineStr">
        <is>
          <t>South Region</t>
        </is>
      </c>
      <c r="F4412" t="inlineStr">
        <is>
          <t>Rep_02</t>
        </is>
      </c>
      <c r="G4412" t="n">
        <v>1.45</v>
      </c>
      <c r="H4412" t="inlineStr">
        <is>
          <t>Negotiation</t>
        </is>
      </c>
      <c r="I4412" t="inlineStr">
        <is>
          <t>Lost</t>
        </is>
      </c>
      <c r="J4412" t="inlineStr">
        <is>
          <t>Price Objection</t>
        </is>
      </c>
      <c r="K4412" t="n">
        <v>544.75</v>
      </c>
      <c r="L4412" t="inlineStr">
        <is>
          <t>2025-05-14 15:51:49.415652</t>
        </is>
      </c>
      <c r="M4412">
        <f>VLOOKUP(H4412,'Stage Order'!$A$2:$B$8,2,FALSE)</f>
        <v/>
      </c>
      <c r="N4412">
        <f>IF(G4412&lt;=1,"1. Under 1 hour",IF(G4412&lt;=24,"2. 1-24 hours",IF(G4412&lt;=72,"3. 1-3 days","4. Over 3 days")))</f>
        <v/>
      </c>
      <c r="O4412">
        <f>TEXT(B4412,"YYYY-MM")</f>
        <v/>
      </c>
    </row>
    <row r="4413">
      <c r="A4413" t="inlineStr">
        <is>
          <t>LD-304411</t>
        </is>
      </c>
      <c r="B4413" t="inlineStr">
        <is>
          <t>2025-06-26 08:59:00</t>
        </is>
      </c>
      <c r="C4413" t="inlineStr">
        <is>
          <t>Cold Outreach</t>
        </is>
      </c>
      <c r="D4413" t="inlineStr">
        <is>
          <t>K-12 Math</t>
        </is>
      </c>
      <c r="E4413" t="inlineStr">
        <is>
          <t>South Region</t>
        </is>
      </c>
      <c r="F4413" t="inlineStr">
        <is>
          <t>Rep_07</t>
        </is>
      </c>
      <c r="G4413" t="n">
        <v>1.63</v>
      </c>
      <c r="H4413" t="inlineStr">
        <is>
          <t>Lead</t>
        </is>
      </c>
      <c r="I4413" t="inlineStr">
        <is>
          <t>Open</t>
        </is>
      </c>
      <c r="M4413">
        <f>VLOOKUP(H4413,'Stage Order'!$A$2:$B$8,2,FALSE)</f>
        <v/>
      </c>
      <c r="N4413">
        <f>IF(G4413&lt;=1,"1. Under 1 hour",IF(G4413&lt;=24,"2. 1-24 hours",IF(G4413&lt;=72,"3. 1-3 days","4. Over 3 days")))</f>
        <v/>
      </c>
      <c r="O4413">
        <f>TEXT(B4413,"YYYY-MM")</f>
        <v/>
      </c>
    </row>
    <row r="4414">
      <c r="A4414" t="inlineStr">
        <is>
          <t>LD-304412</t>
        </is>
      </c>
      <c r="B4414" t="inlineStr">
        <is>
          <t>2025-09-26 19:43:00</t>
        </is>
      </c>
      <c r="C4414" t="inlineStr">
        <is>
          <t>Partner Channel</t>
        </is>
      </c>
      <c r="D4414" t="inlineStr">
        <is>
          <t>Language Learning</t>
        </is>
      </c>
      <c r="E4414" t="inlineStr">
        <is>
          <t>International</t>
        </is>
      </c>
      <c r="F4414" t="inlineStr">
        <is>
          <t>Rep_15</t>
        </is>
      </c>
      <c r="G4414" t="n">
        <v>4.15</v>
      </c>
      <c r="H4414" t="inlineStr">
        <is>
          <t>Closed</t>
        </is>
      </c>
      <c r="I4414" t="inlineStr">
        <is>
          <t>Won</t>
        </is>
      </c>
      <c r="K4414" t="n">
        <v>348.09</v>
      </c>
      <c r="L4414" t="inlineStr">
        <is>
          <t>2025-11-05 22:59:19.207563</t>
        </is>
      </c>
      <c r="M4414">
        <f>VLOOKUP(H4414,'Stage Order'!$A$2:$B$8,2,FALSE)</f>
        <v/>
      </c>
      <c r="N4414">
        <f>IF(G4414&lt;=1,"1. Under 1 hour",IF(G4414&lt;=24,"2. 1-24 hours",IF(G4414&lt;=72,"3. 1-3 days","4. Over 3 days")))</f>
        <v/>
      </c>
      <c r="O4414">
        <f>TEXT(B4414,"YYYY-MM")</f>
        <v/>
      </c>
    </row>
    <row r="4415">
      <c r="A4415" t="inlineStr">
        <is>
          <t>LD-304413</t>
        </is>
      </c>
      <c r="B4415" t="inlineStr">
        <is>
          <t>2025-04-10 14:48:00</t>
        </is>
      </c>
      <c r="C4415" t="inlineStr">
        <is>
          <t>Organic Search</t>
        </is>
      </c>
      <c r="D4415" t="inlineStr">
        <is>
          <t>Language Learning</t>
        </is>
      </c>
      <c r="E4415" t="inlineStr">
        <is>
          <t>East Region</t>
        </is>
      </c>
      <c r="F4415" t="inlineStr">
        <is>
          <t>Rep_09</t>
        </is>
      </c>
      <c r="G4415" t="n">
        <v>2.91</v>
      </c>
      <c r="H4415" t="inlineStr">
        <is>
          <t>Contacted</t>
        </is>
      </c>
      <c r="I4415" t="inlineStr">
        <is>
          <t>Open</t>
        </is>
      </c>
      <c r="M4415">
        <f>VLOOKUP(H4415,'Stage Order'!$A$2:$B$8,2,FALSE)</f>
        <v/>
      </c>
      <c r="N4415">
        <f>IF(G4415&lt;=1,"1. Under 1 hour",IF(G4415&lt;=24,"2. 1-24 hours",IF(G4415&lt;=72,"3. 1-3 days","4. Over 3 days")))</f>
        <v/>
      </c>
      <c r="O4415">
        <f>TEXT(B4415,"YYYY-MM")</f>
        <v/>
      </c>
    </row>
    <row r="4416">
      <c r="A4416" t="inlineStr">
        <is>
          <t>LD-304414</t>
        </is>
      </c>
      <c r="B4416" t="inlineStr">
        <is>
          <t>2025-05-22 18:34:00</t>
        </is>
      </c>
      <c r="C4416" t="inlineStr">
        <is>
          <t>Paid Search</t>
        </is>
      </c>
      <c r="D4416" t="inlineStr">
        <is>
          <t>K-12 Math</t>
        </is>
      </c>
      <c r="E4416" t="inlineStr">
        <is>
          <t>East Region</t>
        </is>
      </c>
      <c r="F4416" t="inlineStr">
        <is>
          <t>Rep_04</t>
        </is>
      </c>
      <c r="G4416" t="n">
        <v>2.3</v>
      </c>
      <c r="H4416" t="inlineStr">
        <is>
          <t>Lead</t>
        </is>
      </c>
      <c r="I4416" t="inlineStr">
        <is>
          <t>Open</t>
        </is>
      </c>
      <c r="M4416">
        <f>VLOOKUP(H4416,'Stage Order'!$A$2:$B$8,2,FALSE)</f>
        <v/>
      </c>
      <c r="N4416">
        <f>IF(G4416&lt;=1,"1. Under 1 hour",IF(G4416&lt;=24,"2. 1-24 hours",IF(G4416&lt;=72,"3. 1-3 days","4. Over 3 days")))</f>
        <v/>
      </c>
      <c r="O4416">
        <f>TEXT(B4416,"YYYY-MM")</f>
        <v/>
      </c>
    </row>
    <row r="4417">
      <c r="A4417" t="inlineStr">
        <is>
          <t>LD-304415</t>
        </is>
      </c>
      <c r="B4417" t="inlineStr">
        <is>
          <t>2026-01-15 16:27:00</t>
        </is>
      </c>
      <c r="C4417" t="inlineStr">
        <is>
          <t>Organic Search</t>
        </is>
      </c>
      <c r="D4417" t="inlineStr">
        <is>
          <t>Language Learning</t>
        </is>
      </c>
      <c r="E4417" t="inlineStr">
        <is>
          <t>West Region</t>
        </is>
      </c>
      <c r="F4417" t="inlineStr">
        <is>
          <t>Rep_03</t>
        </is>
      </c>
      <c r="G4417" t="n">
        <v>0.45</v>
      </c>
      <c r="H4417" t="inlineStr">
        <is>
          <t>Negotiation</t>
        </is>
      </c>
      <c r="I4417" t="inlineStr">
        <is>
          <t>Lost</t>
        </is>
      </c>
      <c r="J4417" t="inlineStr">
        <is>
          <t>Went With Competitor</t>
        </is>
      </c>
      <c r="K4417" t="n">
        <v>385.7</v>
      </c>
      <c r="L4417" t="inlineStr">
        <is>
          <t>2026-03-08 10:01:22.639072</t>
        </is>
      </c>
      <c r="M4417">
        <f>VLOOKUP(H4417,'Stage Order'!$A$2:$B$8,2,FALSE)</f>
        <v/>
      </c>
      <c r="N4417">
        <f>IF(G4417&lt;=1,"1. Under 1 hour",IF(G4417&lt;=24,"2. 1-24 hours",IF(G4417&lt;=72,"3. 1-3 days","4. Over 3 days")))</f>
        <v/>
      </c>
      <c r="O4417">
        <f>TEXT(B4417,"YYYY-MM")</f>
        <v/>
      </c>
    </row>
    <row r="4418">
      <c r="A4418" t="inlineStr">
        <is>
          <t>LD-304416</t>
        </is>
      </c>
      <c r="B4418" t="inlineStr">
        <is>
          <t>2026-06-09 07:26:00</t>
        </is>
      </c>
      <c r="C4418" t="inlineStr">
        <is>
          <t>Webinar</t>
        </is>
      </c>
      <c r="D4418" t="inlineStr">
        <is>
          <t>K-12 Math</t>
        </is>
      </c>
      <c r="E4418" t="inlineStr">
        <is>
          <t>East Region</t>
        </is>
      </c>
      <c r="F4418" t="inlineStr">
        <is>
          <t>Rep_09</t>
        </is>
      </c>
      <c r="G4418" t="n">
        <v>3.83</v>
      </c>
      <c r="H4418" t="inlineStr">
        <is>
          <t>Closed</t>
        </is>
      </c>
      <c r="I4418" t="inlineStr">
        <is>
          <t>Won</t>
        </is>
      </c>
      <c r="K4418" t="n">
        <v>596.02</v>
      </c>
      <c r="L4418" t="inlineStr">
        <is>
          <t>2026-07-18 01:13:31.286550</t>
        </is>
      </c>
      <c r="M4418">
        <f>VLOOKUP(H4418,'Stage Order'!$A$2:$B$8,2,FALSE)</f>
        <v/>
      </c>
      <c r="N4418">
        <f>IF(G4418&lt;=1,"1. Under 1 hour",IF(G4418&lt;=24,"2. 1-24 hours",IF(G4418&lt;=72,"3. 1-3 days","4. Over 3 days")))</f>
        <v/>
      </c>
      <c r="O4418">
        <f>TEXT(B4418,"YYYY-MM")</f>
        <v/>
      </c>
    </row>
    <row r="4419">
      <c r="A4419" t="inlineStr">
        <is>
          <t>LD-304417</t>
        </is>
      </c>
      <c r="B4419" t="inlineStr">
        <is>
          <t>2025-01-29 11:06:00</t>
        </is>
      </c>
      <c r="C4419" t="inlineStr">
        <is>
          <t>Organic Search</t>
        </is>
      </c>
      <c r="D4419" t="inlineStr">
        <is>
          <t>Competitive Exam Prep</t>
        </is>
      </c>
      <c r="E4419" t="inlineStr">
        <is>
          <t>North Region</t>
        </is>
      </c>
      <c r="F4419" t="inlineStr">
        <is>
          <t>Rep_11</t>
        </is>
      </c>
      <c r="G4419" t="n">
        <v>0.97</v>
      </c>
      <c r="H4419" t="inlineStr">
        <is>
          <t>Contacted</t>
        </is>
      </c>
      <c r="I4419" t="inlineStr">
        <is>
          <t>Open</t>
        </is>
      </c>
      <c r="M4419">
        <f>VLOOKUP(H4419,'Stage Order'!$A$2:$B$8,2,FALSE)</f>
        <v/>
      </c>
      <c r="N4419">
        <f>IF(G4419&lt;=1,"1. Under 1 hour",IF(G4419&lt;=24,"2. 1-24 hours",IF(G4419&lt;=72,"3. 1-3 days","4. Over 3 days")))</f>
        <v/>
      </c>
      <c r="O4419">
        <f>TEXT(B4419,"YYYY-MM")</f>
        <v/>
      </c>
    </row>
    <row r="4420">
      <c r="A4420" t="inlineStr">
        <is>
          <t>LD-304418</t>
        </is>
      </c>
      <c r="B4420" t="inlineStr">
        <is>
          <t>2026-05-29 07:28:00</t>
        </is>
      </c>
      <c r="C4420" t="inlineStr">
        <is>
          <t>Referral</t>
        </is>
      </c>
      <c r="D4420" t="inlineStr">
        <is>
          <t>K-12 Math</t>
        </is>
      </c>
      <c r="E4420" t="inlineStr">
        <is>
          <t>South Region</t>
        </is>
      </c>
      <c r="F4420" t="inlineStr">
        <is>
          <t>Rep_02</t>
        </is>
      </c>
      <c r="G4420" t="n">
        <v>3.31</v>
      </c>
      <c r="H4420" t="inlineStr">
        <is>
          <t>Contacted</t>
        </is>
      </c>
      <c r="I4420" t="inlineStr">
        <is>
          <t>Open</t>
        </is>
      </c>
      <c r="M4420">
        <f>VLOOKUP(H4420,'Stage Order'!$A$2:$B$8,2,FALSE)</f>
        <v/>
      </c>
      <c r="N4420">
        <f>IF(G4420&lt;=1,"1. Under 1 hour",IF(G4420&lt;=24,"2. 1-24 hours",IF(G4420&lt;=72,"3. 1-3 days","4. Over 3 days")))</f>
        <v/>
      </c>
      <c r="O4420">
        <f>TEXT(B4420,"YYYY-MM")</f>
        <v/>
      </c>
    </row>
    <row r="4421">
      <c r="A4421" t="inlineStr">
        <is>
          <t>LD-304419</t>
        </is>
      </c>
      <c r="B4421" t="inlineStr">
        <is>
          <t>2025-08-26 13:47:00</t>
        </is>
      </c>
      <c r="C4421" t="inlineStr">
        <is>
          <t>Social Media</t>
        </is>
      </c>
      <c r="D4421" t="inlineStr">
        <is>
          <t>Coding for Kids</t>
        </is>
      </c>
      <c r="E4421" t="inlineStr">
        <is>
          <t>International</t>
        </is>
      </c>
      <c r="F4421" t="inlineStr">
        <is>
          <t>Rep_15</t>
        </is>
      </c>
      <c r="G4421" t="n">
        <v>5.71</v>
      </c>
      <c r="H4421" t="inlineStr">
        <is>
          <t>Contacted</t>
        </is>
      </c>
      <c r="I4421" t="inlineStr">
        <is>
          <t>Open</t>
        </is>
      </c>
      <c r="M4421">
        <f>VLOOKUP(H4421,'Stage Order'!$A$2:$B$8,2,FALSE)</f>
        <v/>
      </c>
      <c r="N4421">
        <f>IF(G4421&lt;=1,"1. Under 1 hour",IF(G4421&lt;=24,"2. 1-24 hours",IF(G4421&lt;=72,"3. 1-3 days","4. Over 3 days")))</f>
        <v/>
      </c>
      <c r="O4421">
        <f>TEXT(B4421,"YYYY-MM")</f>
        <v/>
      </c>
    </row>
    <row r="4422">
      <c r="A4422" t="inlineStr">
        <is>
          <t>LD-304420</t>
        </is>
      </c>
      <c r="B4422" t="inlineStr">
        <is>
          <t>2025-05-06 14:08:00</t>
        </is>
      </c>
      <c r="C4422" t="inlineStr">
        <is>
          <t>Partner Channel</t>
        </is>
      </c>
      <c r="D4422" t="inlineStr">
        <is>
          <t>Study Abroad Prep</t>
        </is>
      </c>
      <c r="E4422" t="inlineStr">
        <is>
          <t>West Region</t>
        </is>
      </c>
      <c r="F4422" t="inlineStr">
        <is>
          <t>Rep_03</t>
        </is>
      </c>
      <c r="G4422" t="n">
        <v>1.74</v>
      </c>
      <c r="H4422" t="inlineStr">
        <is>
          <t>Contacted</t>
        </is>
      </c>
      <c r="I4422" t="inlineStr">
        <is>
          <t>Open</t>
        </is>
      </c>
      <c r="M4422">
        <f>VLOOKUP(H4422,'Stage Order'!$A$2:$B$8,2,FALSE)</f>
        <v/>
      </c>
      <c r="N4422">
        <f>IF(G4422&lt;=1,"1. Under 1 hour",IF(G4422&lt;=24,"2. 1-24 hours",IF(G4422&lt;=72,"3. 1-3 days","4. Over 3 days")))</f>
        <v/>
      </c>
      <c r="O4422">
        <f>TEXT(B4422,"YYYY-MM")</f>
        <v/>
      </c>
    </row>
    <row r="4423">
      <c r="A4423" t="inlineStr">
        <is>
          <t>LD-304421</t>
        </is>
      </c>
      <c r="B4423" t="inlineStr">
        <is>
          <t>2025-10-31 14:23:00</t>
        </is>
      </c>
      <c r="C4423" t="inlineStr">
        <is>
          <t>Paid Search</t>
        </is>
      </c>
      <c r="D4423" t="inlineStr">
        <is>
          <t>Coding for Kids</t>
        </is>
      </c>
      <c r="E4423" t="inlineStr">
        <is>
          <t>East Region</t>
        </is>
      </c>
      <c r="F4423" t="inlineStr">
        <is>
          <t>Rep_04</t>
        </is>
      </c>
      <c r="G4423" t="n">
        <v>0.72</v>
      </c>
      <c r="H4423" t="inlineStr">
        <is>
          <t>Contacted</t>
        </is>
      </c>
      <c r="I4423" t="inlineStr">
        <is>
          <t>Open</t>
        </is>
      </c>
      <c r="M4423">
        <f>VLOOKUP(H4423,'Stage Order'!$A$2:$B$8,2,FALSE)</f>
        <v/>
      </c>
      <c r="N4423">
        <f>IF(G4423&lt;=1,"1. Under 1 hour",IF(G4423&lt;=24,"2. 1-24 hours",IF(G4423&lt;=72,"3. 1-3 days","4. Over 3 days")))</f>
        <v/>
      </c>
      <c r="O4423">
        <f>TEXT(B4423,"YYYY-MM")</f>
        <v/>
      </c>
    </row>
    <row r="4424">
      <c r="A4424" t="inlineStr">
        <is>
          <t>LD-304422</t>
        </is>
      </c>
      <c r="B4424" t="inlineStr">
        <is>
          <t>2025-10-05 13:52:00</t>
        </is>
      </c>
      <c r="C4424" t="inlineStr">
        <is>
          <t>Organic Search</t>
        </is>
      </c>
      <c r="D4424" t="inlineStr">
        <is>
          <t>Coding for Kids</t>
        </is>
      </c>
      <c r="E4424" t="inlineStr">
        <is>
          <t>West Region</t>
        </is>
      </c>
      <c r="F4424" t="inlineStr">
        <is>
          <t>Rep_13</t>
        </is>
      </c>
      <c r="G4424" t="n">
        <v>4.96</v>
      </c>
      <c r="H4424" t="inlineStr">
        <is>
          <t>Contacted</t>
        </is>
      </c>
      <c r="I4424" t="inlineStr">
        <is>
          <t>Open</t>
        </is>
      </c>
      <c r="M4424">
        <f>VLOOKUP(H4424,'Stage Order'!$A$2:$B$8,2,FALSE)</f>
        <v/>
      </c>
      <c r="N4424">
        <f>IF(G4424&lt;=1,"1. Under 1 hour",IF(G4424&lt;=24,"2. 1-24 hours",IF(G4424&lt;=72,"3. 1-3 days","4. Over 3 days")))</f>
        <v/>
      </c>
      <c r="O4424">
        <f>TEXT(B4424,"YYYY-MM")</f>
        <v/>
      </c>
    </row>
    <row r="4425">
      <c r="A4425" t="inlineStr">
        <is>
          <t>LD-304423</t>
        </is>
      </c>
      <c r="B4425" t="inlineStr">
        <is>
          <t>2026-02-04 12:14:00</t>
        </is>
      </c>
      <c r="C4425" t="inlineStr">
        <is>
          <t>Organic Search</t>
        </is>
      </c>
      <c r="D4425" t="inlineStr">
        <is>
          <t>K-12 Math</t>
        </is>
      </c>
      <c r="E4425" t="inlineStr">
        <is>
          <t>South Region</t>
        </is>
      </c>
      <c r="F4425" t="inlineStr">
        <is>
          <t>Rep_12</t>
        </is>
      </c>
      <c r="G4425" t="n">
        <v>30.45</v>
      </c>
      <c r="H4425" t="inlineStr">
        <is>
          <t>Contacted</t>
        </is>
      </c>
      <c r="I4425" t="inlineStr">
        <is>
          <t>Open</t>
        </is>
      </c>
      <c r="M4425">
        <f>VLOOKUP(H4425,'Stage Order'!$A$2:$B$8,2,FALSE)</f>
        <v/>
      </c>
      <c r="N4425">
        <f>IF(G4425&lt;=1,"1. Under 1 hour",IF(G4425&lt;=24,"2. 1-24 hours",IF(G4425&lt;=72,"3. 1-3 days","4. Over 3 days")))</f>
        <v/>
      </c>
      <c r="O4425">
        <f>TEXT(B4425,"YYYY-MM")</f>
        <v/>
      </c>
    </row>
    <row r="4426">
      <c r="A4426" t="inlineStr">
        <is>
          <t>LD-304424</t>
        </is>
      </c>
      <c r="B4426" t="inlineStr">
        <is>
          <t>2025-02-24 10:58:00</t>
        </is>
      </c>
      <c r="C4426" t="inlineStr">
        <is>
          <t>Social Media</t>
        </is>
      </c>
      <c r="D4426" t="inlineStr">
        <is>
          <t>K-12 Math</t>
        </is>
      </c>
      <c r="E4426" t="inlineStr">
        <is>
          <t>South Region</t>
        </is>
      </c>
      <c r="F4426" t="inlineStr">
        <is>
          <t>Rep_07</t>
        </is>
      </c>
      <c r="G4426" t="n">
        <v>3.5</v>
      </c>
      <c r="H4426" t="inlineStr">
        <is>
          <t>Contacted</t>
        </is>
      </c>
      <c r="I4426" t="inlineStr">
        <is>
          <t>Open</t>
        </is>
      </c>
      <c r="M4426">
        <f>VLOOKUP(H4426,'Stage Order'!$A$2:$B$8,2,FALSE)</f>
        <v/>
      </c>
      <c r="N4426">
        <f>IF(G4426&lt;=1,"1. Under 1 hour",IF(G4426&lt;=24,"2. 1-24 hours",IF(G4426&lt;=72,"3. 1-3 days","4. Over 3 days")))</f>
        <v/>
      </c>
      <c r="O4426">
        <f>TEXT(B4426,"YYYY-MM")</f>
        <v/>
      </c>
    </row>
    <row r="4427">
      <c r="A4427" t="inlineStr">
        <is>
          <t>LD-304425</t>
        </is>
      </c>
      <c r="B4427" t="inlineStr">
        <is>
          <t>2026-01-27 09:14:00</t>
        </is>
      </c>
      <c r="C4427" t="inlineStr">
        <is>
          <t>Partner Channel</t>
        </is>
      </c>
      <c r="D4427" t="inlineStr">
        <is>
          <t>Competitive Exam Prep</t>
        </is>
      </c>
      <c r="E4427" t="inlineStr">
        <is>
          <t>South Region</t>
        </is>
      </c>
      <c r="F4427" t="inlineStr">
        <is>
          <t>Rep_07</t>
        </is>
      </c>
      <c r="G4427" t="n">
        <v>6.08</v>
      </c>
      <c r="H4427" t="inlineStr">
        <is>
          <t>Contacted</t>
        </is>
      </c>
      <c r="I4427" t="inlineStr">
        <is>
          <t>Open</t>
        </is>
      </c>
      <c r="M4427">
        <f>VLOOKUP(H4427,'Stage Order'!$A$2:$B$8,2,FALSE)</f>
        <v/>
      </c>
      <c r="N4427">
        <f>IF(G4427&lt;=1,"1. Under 1 hour",IF(G4427&lt;=24,"2. 1-24 hours",IF(G4427&lt;=72,"3. 1-3 days","4. Over 3 days")))</f>
        <v/>
      </c>
      <c r="O4427">
        <f>TEXT(B4427,"YYYY-MM")</f>
        <v/>
      </c>
    </row>
    <row r="4428">
      <c r="A4428" t="inlineStr">
        <is>
          <t>LD-304426</t>
        </is>
      </c>
      <c r="B4428" t="inlineStr">
        <is>
          <t>2025-02-05 14:20:00</t>
        </is>
      </c>
      <c r="C4428" t="inlineStr">
        <is>
          <t>Cold Outreach</t>
        </is>
      </c>
      <c r="D4428" t="inlineStr">
        <is>
          <t>Study Abroad Prep</t>
        </is>
      </c>
      <c r="E4428" t="inlineStr">
        <is>
          <t>West Region</t>
        </is>
      </c>
      <c r="F4428" t="inlineStr">
        <is>
          <t>Rep_03</t>
        </is>
      </c>
      <c r="G4428" t="n">
        <v>3.98</v>
      </c>
      <c r="H4428" t="inlineStr">
        <is>
          <t>Lead</t>
        </is>
      </c>
      <c r="I4428" t="inlineStr">
        <is>
          <t>Open</t>
        </is>
      </c>
      <c r="M4428">
        <f>VLOOKUP(H4428,'Stage Order'!$A$2:$B$8,2,FALSE)</f>
        <v/>
      </c>
      <c r="N4428">
        <f>IF(G4428&lt;=1,"1. Under 1 hour",IF(G4428&lt;=24,"2. 1-24 hours",IF(G4428&lt;=72,"3. 1-3 days","4. Over 3 days")))</f>
        <v/>
      </c>
      <c r="O4428">
        <f>TEXT(B4428,"YYYY-MM")</f>
        <v/>
      </c>
    </row>
    <row r="4429">
      <c r="A4429" t="inlineStr">
        <is>
          <t>LD-304427</t>
        </is>
      </c>
      <c r="B4429" t="inlineStr">
        <is>
          <t>2025-07-04 13:34:00</t>
        </is>
      </c>
      <c r="C4429" t="inlineStr">
        <is>
          <t>Referral</t>
        </is>
      </c>
      <c r="D4429" t="inlineStr">
        <is>
          <t>Coding for Kids</t>
        </is>
      </c>
      <c r="E4429" t="inlineStr">
        <is>
          <t>East Region</t>
        </is>
      </c>
      <c r="F4429" t="inlineStr">
        <is>
          <t>Rep_14</t>
        </is>
      </c>
      <c r="G4429" t="n">
        <v>11.2</v>
      </c>
      <c r="H4429" t="inlineStr">
        <is>
          <t>Contacted</t>
        </is>
      </c>
      <c r="I4429" t="inlineStr">
        <is>
          <t>Open</t>
        </is>
      </c>
      <c r="M4429">
        <f>VLOOKUP(H4429,'Stage Order'!$A$2:$B$8,2,FALSE)</f>
        <v/>
      </c>
      <c r="N4429">
        <f>IF(G4429&lt;=1,"1. Under 1 hour",IF(G4429&lt;=24,"2. 1-24 hours",IF(G4429&lt;=72,"3. 1-3 days","4. Over 3 days")))</f>
        <v/>
      </c>
      <c r="O4429">
        <f>TEXT(B4429,"YYYY-MM")</f>
        <v/>
      </c>
    </row>
    <row r="4430">
      <c r="A4430" t="inlineStr">
        <is>
          <t>LD-304428</t>
        </is>
      </c>
      <c r="B4430" t="inlineStr">
        <is>
          <t>2025-10-04 12:58:00</t>
        </is>
      </c>
      <c r="C4430" t="inlineStr">
        <is>
          <t>Organic Search</t>
        </is>
      </c>
      <c r="D4430" t="inlineStr">
        <is>
          <t>K-12 Math</t>
        </is>
      </c>
      <c r="E4430" t="inlineStr">
        <is>
          <t>West Region</t>
        </is>
      </c>
      <c r="F4430" t="inlineStr">
        <is>
          <t>Rep_08</t>
        </is>
      </c>
      <c r="G4430" t="n">
        <v>2.55</v>
      </c>
      <c r="H4430" t="inlineStr">
        <is>
          <t>Contacted</t>
        </is>
      </c>
      <c r="I4430" t="inlineStr">
        <is>
          <t>Open</t>
        </is>
      </c>
      <c r="M4430">
        <f>VLOOKUP(H4430,'Stage Order'!$A$2:$B$8,2,FALSE)</f>
        <v/>
      </c>
      <c r="N4430">
        <f>IF(G4430&lt;=1,"1. Under 1 hour",IF(G4430&lt;=24,"2. 1-24 hours",IF(G4430&lt;=72,"3. 1-3 days","4. Over 3 days")))</f>
        <v/>
      </c>
      <c r="O4430">
        <f>TEXT(B4430,"YYYY-MM")</f>
        <v/>
      </c>
    </row>
    <row r="4431">
      <c r="A4431" t="inlineStr">
        <is>
          <t>LD-304429</t>
        </is>
      </c>
      <c r="B4431" t="inlineStr">
        <is>
          <t>2026-01-21 09:35:00</t>
        </is>
      </c>
      <c r="C4431" t="inlineStr">
        <is>
          <t>Paid Search</t>
        </is>
      </c>
      <c r="D4431" t="inlineStr">
        <is>
          <t>Coding for Kids</t>
        </is>
      </c>
      <c r="E4431" t="inlineStr">
        <is>
          <t>West Region</t>
        </is>
      </c>
      <c r="F4431" t="inlineStr">
        <is>
          <t>Rep_03</t>
        </is>
      </c>
      <c r="G4431" t="n">
        <v>5.24</v>
      </c>
      <c r="H4431" t="inlineStr">
        <is>
          <t>Contacted</t>
        </is>
      </c>
      <c r="I4431" t="inlineStr">
        <is>
          <t>Open</t>
        </is>
      </c>
      <c r="M4431">
        <f>VLOOKUP(H4431,'Stage Order'!$A$2:$B$8,2,FALSE)</f>
        <v/>
      </c>
      <c r="N4431">
        <f>IF(G4431&lt;=1,"1. Under 1 hour",IF(G4431&lt;=24,"2. 1-24 hours",IF(G4431&lt;=72,"3. 1-3 days","4. Over 3 days")))</f>
        <v/>
      </c>
      <c r="O4431">
        <f>TEXT(B4431,"YYYY-MM")</f>
        <v/>
      </c>
    </row>
    <row r="4432">
      <c r="A4432" t="inlineStr">
        <is>
          <t>LD-304430</t>
        </is>
      </c>
      <c r="B4432" t="inlineStr">
        <is>
          <t>2025-11-14 07:23:00</t>
        </is>
      </c>
      <c r="C4432" t="inlineStr">
        <is>
          <t>Organic Search</t>
        </is>
      </c>
      <c r="D4432" t="inlineStr">
        <is>
          <t>Coding for Kids</t>
        </is>
      </c>
      <c r="E4432" t="inlineStr">
        <is>
          <t>International</t>
        </is>
      </c>
      <c r="F4432" t="inlineStr">
        <is>
          <t>Rep_15</t>
        </is>
      </c>
      <c r="G4432" t="n">
        <v>1.27</v>
      </c>
      <c r="H4432" t="inlineStr">
        <is>
          <t>Lead</t>
        </is>
      </c>
      <c r="I4432" t="inlineStr">
        <is>
          <t>Open</t>
        </is>
      </c>
      <c r="M4432">
        <f>VLOOKUP(H4432,'Stage Order'!$A$2:$B$8,2,FALSE)</f>
        <v/>
      </c>
      <c r="N4432">
        <f>IF(G4432&lt;=1,"1. Under 1 hour",IF(G4432&lt;=24,"2. 1-24 hours",IF(G4432&lt;=72,"3. 1-3 days","4. Over 3 days")))</f>
        <v/>
      </c>
      <c r="O4432">
        <f>TEXT(B4432,"YYYY-MM")</f>
        <v/>
      </c>
    </row>
    <row r="4433">
      <c r="A4433" t="inlineStr">
        <is>
          <t>LD-304431</t>
        </is>
      </c>
      <c r="B4433" t="inlineStr">
        <is>
          <t>2025-11-10 20:36:00</t>
        </is>
      </c>
      <c r="C4433" t="inlineStr">
        <is>
          <t>Webinar</t>
        </is>
      </c>
      <c r="D4433" t="inlineStr">
        <is>
          <t>Language Learning</t>
        </is>
      </c>
      <c r="E4433" t="inlineStr">
        <is>
          <t>North Region</t>
        </is>
      </c>
      <c r="F4433" t="inlineStr">
        <is>
          <t>Rep_11</t>
        </is>
      </c>
      <c r="G4433" t="n">
        <v>7.43</v>
      </c>
      <c r="H4433" t="inlineStr">
        <is>
          <t>Closed</t>
        </is>
      </c>
      <c r="I4433" t="inlineStr">
        <is>
          <t>Won</t>
        </is>
      </c>
      <c r="K4433" t="n">
        <v>419.69</v>
      </c>
      <c r="L4433" t="inlineStr">
        <is>
          <t>2025-12-27 04:41:32.845456</t>
        </is>
      </c>
      <c r="M4433">
        <f>VLOOKUP(H4433,'Stage Order'!$A$2:$B$8,2,FALSE)</f>
        <v/>
      </c>
      <c r="N4433">
        <f>IF(G4433&lt;=1,"1. Under 1 hour",IF(G4433&lt;=24,"2. 1-24 hours",IF(G4433&lt;=72,"3. 1-3 days","4. Over 3 days")))</f>
        <v/>
      </c>
      <c r="O4433">
        <f>TEXT(B4433,"YYYY-MM")</f>
        <v/>
      </c>
    </row>
    <row r="4434">
      <c r="A4434" t="inlineStr">
        <is>
          <t>LD-304432</t>
        </is>
      </c>
      <c r="B4434" t="inlineStr">
        <is>
          <t>2025-01-30 09:41:00</t>
        </is>
      </c>
      <c r="C4434" t="inlineStr">
        <is>
          <t>Social Media</t>
        </is>
      </c>
      <c r="D4434" t="inlineStr">
        <is>
          <t>Study Abroad Prep</t>
        </is>
      </c>
      <c r="E4434" t="inlineStr">
        <is>
          <t>North Region</t>
        </is>
      </c>
      <c r="F4434" t="inlineStr">
        <is>
          <t>Rep_11</t>
        </is>
      </c>
      <c r="G4434" t="n">
        <v>3.24</v>
      </c>
      <c r="H4434" t="inlineStr">
        <is>
          <t>Proposal Sent</t>
        </is>
      </c>
      <c r="I4434" t="inlineStr">
        <is>
          <t>Lost</t>
        </is>
      </c>
      <c r="J4434" t="inlineStr">
        <is>
          <t>No Response / Ghosted</t>
        </is>
      </c>
      <c r="K4434" t="n">
        <v>1247.64</v>
      </c>
      <c r="L4434" t="inlineStr">
        <is>
          <t>2025-02-23 06:21:13.996485</t>
        </is>
      </c>
      <c r="M4434">
        <f>VLOOKUP(H4434,'Stage Order'!$A$2:$B$8,2,FALSE)</f>
        <v/>
      </c>
      <c r="N4434">
        <f>IF(G4434&lt;=1,"1. Under 1 hour",IF(G4434&lt;=24,"2. 1-24 hours",IF(G4434&lt;=72,"3. 1-3 days","4. Over 3 days")))</f>
        <v/>
      </c>
      <c r="O4434">
        <f>TEXT(B4434,"YYYY-MM")</f>
        <v/>
      </c>
    </row>
    <row r="4435">
      <c r="A4435" t="inlineStr">
        <is>
          <t>LD-304433</t>
        </is>
      </c>
      <c r="B4435" t="inlineStr">
        <is>
          <t>2025-05-09 10:38:00</t>
        </is>
      </c>
      <c r="C4435" t="inlineStr">
        <is>
          <t>Organic Search</t>
        </is>
      </c>
      <c r="D4435" t="inlineStr">
        <is>
          <t>Coding for Kids</t>
        </is>
      </c>
      <c r="E4435" t="inlineStr">
        <is>
          <t>South Region</t>
        </is>
      </c>
      <c r="F4435" t="inlineStr">
        <is>
          <t>Rep_02</t>
        </is>
      </c>
      <c r="G4435" t="n">
        <v>4.23</v>
      </c>
      <c r="H4435" t="inlineStr">
        <is>
          <t>Negotiation</t>
        </is>
      </c>
      <c r="I4435" t="inlineStr">
        <is>
          <t>Lost</t>
        </is>
      </c>
      <c r="J4435" t="inlineStr">
        <is>
          <t>No Response / Ghosted</t>
        </is>
      </c>
      <c r="K4435" t="n">
        <v>608.45</v>
      </c>
      <c r="L4435" t="inlineStr">
        <is>
          <t>2025-06-21 16:45:12.166291</t>
        </is>
      </c>
      <c r="M4435">
        <f>VLOOKUP(H4435,'Stage Order'!$A$2:$B$8,2,FALSE)</f>
        <v/>
      </c>
      <c r="N4435">
        <f>IF(G4435&lt;=1,"1. Under 1 hour",IF(G4435&lt;=24,"2. 1-24 hours",IF(G4435&lt;=72,"3. 1-3 days","4. Over 3 days")))</f>
        <v/>
      </c>
      <c r="O4435">
        <f>TEXT(B4435,"YYYY-MM")</f>
        <v/>
      </c>
    </row>
    <row r="4436">
      <c r="A4436" t="inlineStr">
        <is>
          <t>LD-304434</t>
        </is>
      </c>
      <c r="B4436" t="inlineStr">
        <is>
          <t>2026-02-05 07:37:00</t>
        </is>
      </c>
      <c r="C4436" t="inlineStr">
        <is>
          <t>Cold Outreach</t>
        </is>
      </c>
      <c r="D4436" t="inlineStr">
        <is>
          <t>Competitive Exam Prep</t>
        </is>
      </c>
      <c r="E4436" t="inlineStr">
        <is>
          <t>South Region</t>
        </is>
      </c>
      <c r="F4436" t="inlineStr">
        <is>
          <t>Rep_07</t>
        </is>
      </c>
      <c r="G4436" t="n">
        <v>3.35</v>
      </c>
      <c r="H4436" t="inlineStr">
        <is>
          <t>Contacted</t>
        </is>
      </c>
      <c r="I4436" t="inlineStr">
        <is>
          <t>Open</t>
        </is>
      </c>
      <c r="M4436">
        <f>VLOOKUP(H4436,'Stage Order'!$A$2:$B$8,2,FALSE)</f>
        <v/>
      </c>
      <c r="N4436">
        <f>IF(G4436&lt;=1,"1. Under 1 hour",IF(G4436&lt;=24,"2. 1-24 hours",IF(G4436&lt;=72,"3. 1-3 days","4. Over 3 days")))</f>
        <v/>
      </c>
      <c r="O4436">
        <f>TEXT(B4436,"YYYY-MM")</f>
        <v/>
      </c>
    </row>
    <row r="4437">
      <c r="A4437" t="inlineStr">
        <is>
          <t>LD-304435</t>
        </is>
      </c>
      <c r="B4437" t="inlineStr">
        <is>
          <t>2026-04-07 16:36:00</t>
        </is>
      </c>
      <c r="C4437" t="inlineStr">
        <is>
          <t>Partner Channel</t>
        </is>
      </c>
      <c r="D4437" t="inlineStr">
        <is>
          <t>Language Learning</t>
        </is>
      </c>
      <c r="E4437" t="inlineStr">
        <is>
          <t>South Region</t>
        </is>
      </c>
      <c r="F4437" t="inlineStr">
        <is>
          <t>Rep_07</t>
        </is>
      </c>
      <c r="G4437" t="n">
        <v>4.53</v>
      </c>
      <c r="H4437" t="inlineStr">
        <is>
          <t>Contacted</t>
        </is>
      </c>
      <c r="I4437" t="inlineStr">
        <is>
          <t>Open</t>
        </is>
      </c>
      <c r="M4437">
        <f>VLOOKUP(H4437,'Stage Order'!$A$2:$B$8,2,FALSE)</f>
        <v/>
      </c>
      <c r="N4437">
        <f>IF(G4437&lt;=1,"1. Under 1 hour",IF(G4437&lt;=24,"2. 1-24 hours",IF(G4437&lt;=72,"3. 1-3 days","4. Over 3 days")))</f>
        <v/>
      </c>
      <c r="O4437">
        <f>TEXT(B4437,"YYYY-MM")</f>
        <v/>
      </c>
    </row>
    <row r="4438">
      <c r="A4438" t="inlineStr">
        <is>
          <t>LD-304436</t>
        </is>
      </c>
      <c r="B4438" t="inlineStr">
        <is>
          <t>2025-12-30 09:51:00</t>
        </is>
      </c>
      <c r="C4438" t="inlineStr">
        <is>
          <t>Organic Search</t>
        </is>
      </c>
      <c r="D4438" t="inlineStr">
        <is>
          <t>Coding for Kids</t>
        </is>
      </c>
      <c r="E4438" t="inlineStr">
        <is>
          <t>North Region</t>
        </is>
      </c>
      <c r="F4438" t="inlineStr">
        <is>
          <t>Rep_06</t>
        </is>
      </c>
      <c r="G4438" t="n">
        <v>3.95</v>
      </c>
      <c r="H4438" t="inlineStr">
        <is>
          <t>Demo Completed</t>
        </is>
      </c>
      <c r="I4438" t="inlineStr">
        <is>
          <t>Lost</t>
        </is>
      </c>
      <c r="J4438" t="inlineStr">
        <is>
          <t>Went With Competitor</t>
        </is>
      </c>
      <c r="K4438" t="n">
        <v>722.51</v>
      </c>
      <c r="L4438" t="inlineStr">
        <is>
          <t>2026-01-21 22:42:09.196041</t>
        </is>
      </c>
      <c r="M4438">
        <f>VLOOKUP(H4438,'Stage Order'!$A$2:$B$8,2,FALSE)</f>
        <v/>
      </c>
      <c r="N4438">
        <f>IF(G4438&lt;=1,"1. Under 1 hour",IF(G4438&lt;=24,"2. 1-24 hours",IF(G4438&lt;=72,"3. 1-3 days","4. Over 3 days")))</f>
        <v/>
      </c>
      <c r="O4438">
        <f>TEXT(B4438,"YYYY-MM")</f>
        <v/>
      </c>
    </row>
    <row r="4439">
      <c r="A4439" t="inlineStr">
        <is>
          <t>LD-304437</t>
        </is>
      </c>
      <c r="B4439" t="inlineStr">
        <is>
          <t>2025-08-12 11:33:00</t>
        </is>
      </c>
      <c r="C4439" t="inlineStr">
        <is>
          <t>Webinar</t>
        </is>
      </c>
      <c r="D4439" t="inlineStr">
        <is>
          <t>Language Learning</t>
        </is>
      </c>
      <c r="E4439" t="inlineStr">
        <is>
          <t>International</t>
        </is>
      </c>
      <c r="F4439" t="inlineStr">
        <is>
          <t>Rep_15</t>
        </is>
      </c>
      <c r="G4439" t="n">
        <v>9.24</v>
      </c>
      <c r="H4439" t="inlineStr">
        <is>
          <t>Contacted</t>
        </is>
      </c>
      <c r="I4439" t="inlineStr">
        <is>
          <t>Open</t>
        </is>
      </c>
      <c r="M4439">
        <f>VLOOKUP(H4439,'Stage Order'!$A$2:$B$8,2,FALSE)</f>
        <v/>
      </c>
      <c r="N4439">
        <f>IF(G4439&lt;=1,"1. Under 1 hour",IF(G4439&lt;=24,"2. 1-24 hours",IF(G4439&lt;=72,"3. 1-3 days","4. Over 3 days")))</f>
        <v/>
      </c>
      <c r="O4439">
        <f>TEXT(B4439,"YYYY-MM")</f>
        <v/>
      </c>
    </row>
    <row r="4440">
      <c r="A4440" t="inlineStr">
        <is>
          <t>LD-304438</t>
        </is>
      </c>
      <c r="B4440" t="inlineStr">
        <is>
          <t>2025-10-24 08:16:00</t>
        </is>
      </c>
      <c r="C4440" t="inlineStr">
        <is>
          <t>Webinar</t>
        </is>
      </c>
      <c r="D4440" t="inlineStr">
        <is>
          <t>Competitive Exam Prep</t>
        </is>
      </c>
      <c r="E4440" t="inlineStr">
        <is>
          <t>East Region</t>
        </is>
      </c>
      <c r="F4440" t="inlineStr">
        <is>
          <t>Rep_09</t>
        </is>
      </c>
      <c r="G4440" t="n">
        <v>3.78</v>
      </c>
      <c r="H4440" t="inlineStr">
        <is>
          <t>Contacted</t>
        </is>
      </c>
      <c r="I4440" t="inlineStr">
        <is>
          <t>Open</t>
        </is>
      </c>
      <c r="M4440">
        <f>VLOOKUP(H4440,'Stage Order'!$A$2:$B$8,2,FALSE)</f>
        <v/>
      </c>
      <c r="N4440">
        <f>IF(G4440&lt;=1,"1. Under 1 hour",IF(G4440&lt;=24,"2. 1-24 hours",IF(G4440&lt;=72,"3. 1-3 days","4. Over 3 days")))</f>
        <v/>
      </c>
      <c r="O4440">
        <f>TEXT(B4440,"YYYY-MM")</f>
        <v/>
      </c>
    </row>
    <row r="4441">
      <c r="A4441" t="inlineStr">
        <is>
          <t>LD-304439</t>
        </is>
      </c>
      <c r="B4441" t="inlineStr">
        <is>
          <t>2025-03-11 07:55:00</t>
        </is>
      </c>
      <c r="C4441" t="inlineStr">
        <is>
          <t>Referral</t>
        </is>
      </c>
      <c r="D4441" t="inlineStr">
        <is>
          <t>Study Abroad Prep</t>
        </is>
      </c>
      <c r="E4441" t="inlineStr">
        <is>
          <t>West Region</t>
        </is>
      </c>
      <c r="F4441" t="inlineStr">
        <is>
          <t>Rep_03</t>
        </is>
      </c>
      <c r="G4441" t="n">
        <v>0.92</v>
      </c>
      <c r="H4441" t="inlineStr">
        <is>
          <t>Lead</t>
        </is>
      </c>
      <c r="I4441" t="inlineStr">
        <is>
          <t>Open</t>
        </is>
      </c>
      <c r="M4441">
        <f>VLOOKUP(H4441,'Stage Order'!$A$2:$B$8,2,FALSE)</f>
        <v/>
      </c>
      <c r="N4441">
        <f>IF(G4441&lt;=1,"1. Under 1 hour",IF(G4441&lt;=24,"2. 1-24 hours",IF(G4441&lt;=72,"3. 1-3 days","4. Over 3 days")))</f>
        <v/>
      </c>
      <c r="O4441">
        <f>TEXT(B4441,"YYYY-MM")</f>
        <v/>
      </c>
    </row>
    <row r="4442">
      <c r="A4442" t="inlineStr">
        <is>
          <t>LD-304440</t>
        </is>
      </c>
      <c r="B4442" t="inlineStr">
        <is>
          <t>2025-03-04 19:54:00</t>
        </is>
      </c>
      <c r="C4442" t="inlineStr">
        <is>
          <t>Organic Search</t>
        </is>
      </c>
      <c r="D4442" t="inlineStr">
        <is>
          <t>Study Abroad Prep</t>
        </is>
      </c>
      <c r="E4442" t="inlineStr">
        <is>
          <t>East Region</t>
        </is>
      </c>
      <c r="F4442" t="inlineStr">
        <is>
          <t>Rep_14</t>
        </is>
      </c>
      <c r="G4442" t="n">
        <v>3.83</v>
      </c>
      <c r="H4442" t="inlineStr">
        <is>
          <t>Lead</t>
        </is>
      </c>
      <c r="I4442" t="inlineStr">
        <is>
          <t>Open</t>
        </is>
      </c>
      <c r="M4442">
        <f>VLOOKUP(H4442,'Stage Order'!$A$2:$B$8,2,FALSE)</f>
        <v/>
      </c>
      <c r="N4442">
        <f>IF(G4442&lt;=1,"1. Under 1 hour",IF(G4442&lt;=24,"2. 1-24 hours",IF(G4442&lt;=72,"3. 1-3 days","4. Over 3 days")))</f>
        <v/>
      </c>
      <c r="O4442">
        <f>TEXT(B4442,"YYYY-MM")</f>
        <v/>
      </c>
    </row>
    <row r="4443">
      <c r="A4443" t="inlineStr">
        <is>
          <t>LD-304441</t>
        </is>
      </c>
      <c r="B4443" t="inlineStr">
        <is>
          <t>2026-04-17 19:36:00</t>
        </is>
      </c>
      <c r="C4443" t="inlineStr">
        <is>
          <t>Social Media</t>
        </is>
      </c>
      <c r="D4443" t="inlineStr">
        <is>
          <t>Language Learning</t>
        </is>
      </c>
      <c r="E4443" t="inlineStr">
        <is>
          <t>East Region</t>
        </is>
      </c>
      <c r="F4443" t="inlineStr">
        <is>
          <t>Rep_04</t>
        </is>
      </c>
      <c r="G4443" t="n">
        <v>2.92</v>
      </c>
      <c r="H4443" t="inlineStr">
        <is>
          <t>Contacted</t>
        </is>
      </c>
      <c r="I4443" t="inlineStr">
        <is>
          <t>Open</t>
        </is>
      </c>
      <c r="M4443">
        <f>VLOOKUP(H4443,'Stage Order'!$A$2:$B$8,2,FALSE)</f>
        <v/>
      </c>
      <c r="N4443">
        <f>IF(G4443&lt;=1,"1. Under 1 hour",IF(G4443&lt;=24,"2. 1-24 hours",IF(G4443&lt;=72,"3. 1-3 days","4. Over 3 days")))</f>
        <v/>
      </c>
      <c r="O4443">
        <f>TEXT(B4443,"YYYY-MM")</f>
        <v/>
      </c>
    </row>
    <row r="4444">
      <c r="A4444" t="inlineStr">
        <is>
          <t>LD-304442</t>
        </is>
      </c>
      <c r="B4444" t="inlineStr">
        <is>
          <t>2025-02-07 18:46:00</t>
        </is>
      </c>
      <c r="C4444" t="inlineStr">
        <is>
          <t>Organic Search</t>
        </is>
      </c>
      <c r="D4444" t="inlineStr">
        <is>
          <t>Competitive Exam Prep</t>
        </is>
      </c>
      <c r="E4444" t="inlineStr">
        <is>
          <t>North Region</t>
        </is>
      </c>
      <c r="F4444" t="inlineStr">
        <is>
          <t>Rep_01</t>
        </is>
      </c>
      <c r="G4444" t="n">
        <v>16.06</v>
      </c>
      <c r="H4444" t="inlineStr">
        <is>
          <t>Closed</t>
        </is>
      </c>
      <c r="I4444" t="inlineStr">
        <is>
          <t>Won</t>
        </is>
      </c>
      <c r="K4444" t="n">
        <v>1027.24</v>
      </c>
      <c r="L4444" t="inlineStr">
        <is>
          <t>2025-03-26 05:16:16.886302</t>
        </is>
      </c>
      <c r="M4444">
        <f>VLOOKUP(H4444,'Stage Order'!$A$2:$B$8,2,FALSE)</f>
        <v/>
      </c>
      <c r="N4444">
        <f>IF(G4444&lt;=1,"1. Under 1 hour",IF(G4444&lt;=24,"2. 1-24 hours",IF(G4444&lt;=72,"3. 1-3 days","4. Over 3 days")))</f>
        <v/>
      </c>
      <c r="O4444">
        <f>TEXT(B4444,"YYYY-MM")</f>
        <v/>
      </c>
    </row>
    <row r="4445">
      <c r="A4445" t="inlineStr">
        <is>
          <t>LD-304443</t>
        </is>
      </c>
      <c r="B4445" t="inlineStr">
        <is>
          <t>2026-02-09 15:06:00</t>
        </is>
      </c>
      <c r="C4445" t="inlineStr">
        <is>
          <t>Cold Outreach</t>
        </is>
      </c>
      <c r="D4445" t="inlineStr">
        <is>
          <t>Coding for Kids</t>
        </is>
      </c>
      <c r="E4445" t="inlineStr">
        <is>
          <t>South Region</t>
        </is>
      </c>
      <c r="F4445" t="inlineStr">
        <is>
          <t>Rep_12</t>
        </is>
      </c>
      <c r="G4445" t="n">
        <v>7.17</v>
      </c>
      <c r="H4445" t="inlineStr">
        <is>
          <t>Contacted</t>
        </is>
      </c>
      <c r="I4445" t="inlineStr">
        <is>
          <t>Open</t>
        </is>
      </c>
      <c r="M4445">
        <f>VLOOKUP(H4445,'Stage Order'!$A$2:$B$8,2,FALSE)</f>
        <v/>
      </c>
      <c r="N4445">
        <f>IF(G4445&lt;=1,"1. Under 1 hour",IF(G4445&lt;=24,"2. 1-24 hours",IF(G4445&lt;=72,"3. 1-3 days","4. Over 3 days")))</f>
        <v/>
      </c>
      <c r="O4445">
        <f>TEXT(B4445,"YYYY-MM")</f>
        <v/>
      </c>
    </row>
    <row r="4446">
      <c r="A4446" t="inlineStr">
        <is>
          <t>LD-304444</t>
        </is>
      </c>
      <c r="B4446" t="inlineStr">
        <is>
          <t>2026-05-26 09:13:00</t>
        </is>
      </c>
      <c r="C4446" t="inlineStr">
        <is>
          <t>Social Media</t>
        </is>
      </c>
      <c r="D4446" t="inlineStr">
        <is>
          <t>K-12 Math</t>
        </is>
      </c>
      <c r="E4446" t="inlineStr">
        <is>
          <t>West Region</t>
        </is>
      </c>
      <c r="F4446" t="inlineStr">
        <is>
          <t>Rep_08</t>
        </is>
      </c>
      <c r="G4446" t="n">
        <v>6.63</v>
      </c>
      <c r="H4446" t="inlineStr">
        <is>
          <t>Contacted</t>
        </is>
      </c>
      <c r="I4446" t="inlineStr">
        <is>
          <t>Open</t>
        </is>
      </c>
      <c r="M4446">
        <f>VLOOKUP(H4446,'Stage Order'!$A$2:$B$8,2,FALSE)</f>
        <v/>
      </c>
      <c r="N4446">
        <f>IF(G4446&lt;=1,"1. Under 1 hour",IF(G4446&lt;=24,"2. 1-24 hours",IF(G4446&lt;=72,"3. 1-3 days","4. Over 3 days")))</f>
        <v/>
      </c>
      <c r="O4446">
        <f>TEXT(B4446,"YYYY-MM")</f>
        <v/>
      </c>
    </row>
    <row r="4447">
      <c r="A4447" t="inlineStr">
        <is>
          <t>LD-304445</t>
        </is>
      </c>
      <c r="B4447" t="inlineStr">
        <is>
          <t>2025-09-16 16:01:00</t>
        </is>
      </c>
      <c r="C4447" t="inlineStr">
        <is>
          <t>Paid Search</t>
        </is>
      </c>
      <c r="D4447" t="inlineStr">
        <is>
          <t>Competitive Exam Prep</t>
        </is>
      </c>
      <c r="E4447" t="inlineStr">
        <is>
          <t>North Region</t>
        </is>
      </c>
      <c r="F4447" t="inlineStr">
        <is>
          <t>Rep_11</t>
        </is>
      </c>
      <c r="G4447" t="n">
        <v>54.77</v>
      </c>
      <c r="H4447" t="inlineStr">
        <is>
          <t>Lead</t>
        </is>
      </c>
      <c r="I4447" t="inlineStr">
        <is>
          <t>Open</t>
        </is>
      </c>
      <c r="M4447">
        <f>VLOOKUP(H4447,'Stage Order'!$A$2:$B$8,2,FALSE)</f>
        <v/>
      </c>
      <c r="N4447">
        <f>IF(G4447&lt;=1,"1. Under 1 hour",IF(G4447&lt;=24,"2. 1-24 hours",IF(G4447&lt;=72,"3. 1-3 days","4. Over 3 days")))</f>
        <v/>
      </c>
      <c r="O4447">
        <f>TEXT(B4447,"YYYY-MM")</f>
        <v/>
      </c>
    </row>
    <row r="4448">
      <c r="A4448" t="inlineStr">
        <is>
          <t>LD-304446</t>
        </is>
      </c>
      <c r="B4448" t="inlineStr">
        <is>
          <t>2026-05-08 15:27:00</t>
        </is>
      </c>
      <c r="C4448" t="inlineStr">
        <is>
          <t>Cold Outreach</t>
        </is>
      </c>
      <c r="D4448" t="inlineStr">
        <is>
          <t>Language Learning</t>
        </is>
      </c>
      <c r="E4448" t="inlineStr">
        <is>
          <t>East Region</t>
        </is>
      </c>
      <c r="F4448" t="inlineStr">
        <is>
          <t>Rep_14</t>
        </is>
      </c>
      <c r="G4448" t="n">
        <v>5.58</v>
      </c>
      <c r="H4448" t="inlineStr">
        <is>
          <t>Lead</t>
        </is>
      </c>
      <c r="I4448" t="inlineStr">
        <is>
          <t>Open</t>
        </is>
      </c>
      <c r="M4448">
        <f>VLOOKUP(H4448,'Stage Order'!$A$2:$B$8,2,FALSE)</f>
        <v/>
      </c>
      <c r="N4448">
        <f>IF(G4448&lt;=1,"1. Under 1 hour",IF(G4448&lt;=24,"2. 1-24 hours",IF(G4448&lt;=72,"3. 1-3 days","4. Over 3 days")))</f>
        <v/>
      </c>
      <c r="O4448">
        <f>TEXT(B4448,"YYYY-MM")</f>
        <v/>
      </c>
    </row>
    <row r="4449">
      <c r="A4449" t="inlineStr">
        <is>
          <t>LD-304447</t>
        </is>
      </c>
      <c r="B4449" t="inlineStr">
        <is>
          <t>2025-12-15 17:41:00</t>
        </is>
      </c>
      <c r="C4449" t="inlineStr">
        <is>
          <t>Organic Search</t>
        </is>
      </c>
      <c r="D4449" t="inlineStr">
        <is>
          <t>Language Learning</t>
        </is>
      </c>
      <c r="E4449" t="inlineStr">
        <is>
          <t>East Region</t>
        </is>
      </c>
      <c r="F4449" t="inlineStr">
        <is>
          <t>Rep_04</t>
        </is>
      </c>
      <c r="G4449" t="n">
        <v>13.88</v>
      </c>
      <c r="H4449" t="inlineStr">
        <is>
          <t>Lead</t>
        </is>
      </c>
      <c r="I4449" t="inlineStr">
        <is>
          <t>Open</t>
        </is>
      </c>
      <c r="M4449">
        <f>VLOOKUP(H4449,'Stage Order'!$A$2:$B$8,2,FALSE)</f>
        <v/>
      </c>
      <c r="N4449">
        <f>IF(G4449&lt;=1,"1. Under 1 hour",IF(G4449&lt;=24,"2. 1-24 hours",IF(G4449&lt;=72,"3. 1-3 days","4. Over 3 days")))</f>
        <v/>
      </c>
      <c r="O4449">
        <f>TEXT(B4449,"YYYY-MM")</f>
        <v/>
      </c>
    </row>
    <row r="4450">
      <c r="A4450" t="inlineStr">
        <is>
          <t>LD-304448</t>
        </is>
      </c>
      <c r="B4450" t="inlineStr">
        <is>
          <t>2025-10-31 11:52:00</t>
        </is>
      </c>
      <c r="C4450" t="inlineStr">
        <is>
          <t>Organic Search</t>
        </is>
      </c>
      <c r="D4450" t="inlineStr">
        <is>
          <t>Language Learning</t>
        </is>
      </c>
      <c r="E4450" t="inlineStr">
        <is>
          <t>North Region</t>
        </is>
      </c>
      <c r="F4450" t="inlineStr">
        <is>
          <t>Rep_06</t>
        </is>
      </c>
      <c r="G4450" t="n">
        <v>6.95</v>
      </c>
      <c r="H4450" t="inlineStr">
        <is>
          <t>Lead</t>
        </is>
      </c>
      <c r="I4450" t="inlineStr">
        <is>
          <t>Open</t>
        </is>
      </c>
      <c r="M4450">
        <f>VLOOKUP(H4450,'Stage Order'!$A$2:$B$8,2,FALSE)</f>
        <v/>
      </c>
      <c r="N4450">
        <f>IF(G4450&lt;=1,"1. Under 1 hour",IF(G4450&lt;=24,"2. 1-24 hours",IF(G4450&lt;=72,"3. 1-3 days","4. Over 3 days")))</f>
        <v/>
      </c>
      <c r="O4450">
        <f>TEXT(B4450,"YYYY-MM")</f>
        <v/>
      </c>
    </row>
    <row r="4451">
      <c r="A4451" t="inlineStr">
        <is>
          <t>LD-304449</t>
        </is>
      </c>
      <c r="B4451" t="inlineStr">
        <is>
          <t>2025-01-14 07:03:00</t>
        </is>
      </c>
      <c r="C4451" t="inlineStr">
        <is>
          <t>Paid Search</t>
        </is>
      </c>
      <c r="D4451" t="inlineStr">
        <is>
          <t>Competitive Exam Prep</t>
        </is>
      </c>
      <c r="E4451" t="inlineStr">
        <is>
          <t>International</t>
        </is>
      </c>
      <c r="F4451" t="inlineStr">
        <is>
          <t>Rep_15</t>
        </is>
      </c>
      <c r="G4451" t="n">
        <v>5.46</v>
      </c>
      <c r="H4451" t="inlineStr">
        <is>
          <t>Contacted</t>
        </is>
      </c>
      <c r="I4451" t="inlineStr">
        <is>
          <t>Open</t>
        </is>
      </c>
      <c r="M4451">
        <f>VLOOKUP(H4451,'Stage Order'!$A$2:$B$8,2,FALSE)</f>
        <v/>
      </c>
      <c r="N4451">
        <f>IF(G4451&lt;=1,"1. Under 1 hour",IF(G4451&lt;=24,"2. 1-24 hours",IF(G4451&lt;=72,"3. 1-3 days","4. Over 3 days")))</f>
        <v/>
      </c>
      <c r="O4451">
        <f>TEXT(B4451,"YYYY-MM")</f>
        <v/>
      </c>
    </row>
    <row r="4452">
      <c r="A4452" t="inlineStr">
        <is>
          <t>LD-304450</t>
        </is>
      </c>
      <c r="B4452" t="inlineStr">
        <is>
          <t>2025-02-21 13:32:00</t>
        </is>
      </c>
      <c r="C4452" t="inlineStr">
        <is>
          <t>Cold Outreach</t>
        </is>
      </c>
      <c r="D4452" t="inlineStr">
        <is>
          <t>K-12 Math</t>
        </is>
      </c>
      <c r="E4452" t="inlineStr">
        <is>
          <t>East Region</t>
        </is>
      </c>
      <c r="F4452" t="inlineStr">
        <is>
          <t>Rep_04</t>
        </is>
      </c>
      <c r="G4452" t="n">
        <v>1.97</v>
      </c>
      <c r="H4452" t="inlineStr">
        <is>
          <t>Demo Scheduled</t>
        </is>
      </c>
      <c r="I4452" t="inlineStr">
        <is>
          <t>Open</t>
        </is>
      </c>
      <c r="M4452">
        <f>VLOOKUP(H4452,'Stage Order'!$A$2:$B$8,2,FALSE)</f>
        <v/>
      </c>
      <c r="N4452">
        <f>IF(G4452&lt;=1,"1. Under 1 hour",IF(G4452&lt;=24,"2. 1-24 hours",IF(G4452&lt;=72,"3. 1-3 days","4. Over 3 days")))</f>
        <v/>
      </c>
      <c r="O4452">
        <f>TEXT(B4452,"YYYY-MM")</f>
        <v/>
      </c>
    </row>
    <row r="4453">
      <c r="A4453" t="inlineStr">
        <is>
          <t>LD-304451</t>
        </is>
      </c>
      <c r="B4453" t="inlineStr">
        <is>
          <t>2026-02-16 20:02:00</t>
        </is>
      </c>
      <c r="C4453" t="inlineStr">
        <is>
          <t>Referral</t>
        </is>
      </c>
      <c r="D4453" t="inlineStr">
        <is>
          <t>K-12 Math</t>
        </is>
      </c>
      <c r="E4453" t="inlineStr">
        <is>
          <t>South Region</t>
        </is>
      </c>
      <c r="F4453" t="inlineStr">
        <is>
          <t>Rep_02</t>
        </is>
      </c>
      <c r="G4453" t="n">
        <v>5.17</v>
      </c>
      <c r="H4453" t="inlineStr">
        <is>
          <t>Closed</t>
        </is>
      </c>
      <c r="I4453" t="inlineStr">
        <is>
          <t>Won</t>
        </is>
      </c>
      <c r="K4453" t="n">
        <v>423.38</v>
      </c>
      <c r="L4453" t="inlineStr">
        <is>
          <t>2026-03-28 15:08:36.470618</t>
        </is>
      </c>
      <c r="M4453">
        <f>VLOOKUP(H4453,'Stage Order'!$A$2:$B$8,2,FALSE)</f>
        <v/>
      </c>
      <c r="N4453">
        <f>IF(G4453&lt;=1,"1. Under 1 hour",IF(G4453&lt;=24,"2. 1-24 hours",IF(G4453&lt;=72,"3. 1-3 days","4. Over 3 days")))</f>
        <v/>
      </c>
      <c r="O4453">
        <f>TEXT(B4453,"YYYY-MM")</f>
        <v/>
      </c>
    </row>
    <row r="4454">
      <c r="A4454" t="inlineStr">
        <is>
          <t>LD-304452</t>
        </is>
      </c>
      <c r="B4454" t="inlineStr">
        <is>
          <t>2025-01-31 17:08:00</t>
        </is>
      </c>
      <c r="C4454" t="inlineStr">
        <is>
          <t>Social Media</t>
        </is>
      </c>
      <c r="D4454" t="inlineStr">
        <is>
          <t>K-12 Math</t>
        </is>
      </c>
      <c r="E4454" t="inlineStr">
        <is>
          <t>North Region</t>
        </is>
      </c>
      <c r="F4454" t="inlineStr">
        <is>
          <t>Rep_11</t>
        </is>
      </c>
      <c r="G4454" t="n">
        <v>6.9</v>
      </c>
      <c r="H4454" t="inlineStr">
        <is>
          <t>Lead</t>
        </is>
      </c>
      <c r="I4454" t="inlineStr">
        <is>
          <t>Open</t>
        </is>
      </c>
      <c r="M4454">
        <f>VLOOKUP(H4454,'Stage Order'!$A$2:$B$8,2,FALSE)</f>
        <v/>
      </c>
      <c r="N4454">
        <f>IF(G4454&lt;=1,"1. Under 1 hour",IF(G4454&lt;=24,"2. 1-24 hours",IF(G4454&lt;=72,"3. 1-3 days","4. Over 3 days")))</f>
        <v/>
      </c>
      <c r="O4454">
        <f>TEXT(B4454,"YYYY-MM")</f>
        <v/>
      </c>
    </row>
    <row r="4455">
      <c r="A4455" t="inlineStr">
        <is>
          <t>LD-304453</t>
        </is>
      </c>
      <c r="B4455" t="inlineStr">
        <is>
          <t>2026-04-03 08:00:00</t>
        </is>
      </c>
      <c r="C4455" t="inlineStr">
        <is>
          <t>Referral</t>
        </is>
      </c>
      <c r="D4455" t="inlineStr">
        <is>
          <t>Coding for Kids</t>
        </is>
      </c>
      <c r="E4455" t="inlineStr">
        <is>
          <t>North Region</t>
        </is>
      </c>
      <c r="F4455" t="inlineStr">
        <is>
          <t>Rep_01</t>
        </is>
      </c>
      <c r="G4455" t="n">
        <v>3.12</v>
      </c>
      <c r="H4455" t="inlineStr">
        <is>
          <t>Negotiation</t>
        </is>
      </c>
      <c r="I4455" t="inlineStr">
        <is>
          <t>Lost</t>
        </is>
      </c>
      <c r="J4455" t="inlineStr">
        <is>
          <t>No Response / Ghosted</t>
        </is>
      </c>
      <c r="K4455" t="n">
        <v>612.58</v>
      </c>
      <c r="L4455" t="inlineStr">
        <is>
          <t>2026-05-20 17:08:47.784549</t>
        </is>
      </c>
      <c r="M4455">
        <f>VLOOKUP(H4455,'Stage Order'!$A$2:$B$8,2,FALSE)</f>
        <v/>
      </c>
      <c r="N4455">
        <f>IF(G4455&lt;=1,"1. Under 1 hour",IF(G4455&lt;=24,"2. 1-24 hours",IF(G4455&lt;=72,"3. 1-3 days","4. Over 3 days")))</f>
        <v/>
      </c>
      <c r="O4455">
        <f>TEXT(B4455,"YYYY-MM")</f>
        <v/>
      </c>
    </row>
    <row r="4456">
      <c r="A4456" t="inlineStr">
        <is>
          <t>LD-304454</t>
        </is>
      </c>
      <c r="B4456" t="inlineStr">
        <is>
          <t>2025-07-11 19:20:00</t>
        </is>
      </c>
      <c r="C4456" t="inlineStr">
        <is>
          <t>Cold Outreach</t>
        </is>
      </c>
      <c r="D4456" t="inlineStr">
        <is>
          <t>K-12 Math</t>
        </is>
      </c>
      <c r="E4456" t="inlineStr">
        <is>
          <t>North Region</t>
        </is>
      </c>
      <c r="F4456" t="inlineStr">
        <is>
          <t>Rep_06</t>
        </is>
      </c>
      <c r="G4456" t="n">
        <v>1.92</v>
      </c>
      <c r="H4456" t="inlineStr">
        <is>
          <t>Lead</t>
        </is>
      </c>
      <c r="I4456" t="inlineStr">
        <is>
          <t>Open</t>
        </is>
      </c>
      <c r="M4456">
        <f>VLOOKUP(H4456,'Stage Order'!$A$2:$B$8,2,FALSE)</f>
        <v/>
      </c>
      <c r="N4456">
        <f>IF(G4456&lt;=1,"1. Under 1 hour",IF(G4456&lt;=24,"2. 1-24 hours",IF(G4456&lt;=72,"3. 1-3 days","4. Over 3 days")))</f>
        <v/>
      </c>
      <c r="O4456">
        <f>TEXT(B4456,"YYYY-MM")</f>
        <v/>
      </c>
    </row>
    <row r="4457">
      <c r="A4457" t="inlineStr">
        <is>
          <t>LD-304455</t>
        </is>
      </c>
      <c r="B4457" t="inlineStr">
        <is>
          <t>2026-03-30 14:30:00</t>
        </is>
      </c>
      <c r="C4457" t="inlineStr">
        <is>
          <t>Organic Search</t>
        </is>
      </c>
      <c r="D4457" t="inlineStr">
        <is>
          <t>Competitive Exam Prep</t>
        </is>
      </c>
      <c r="E4457" t="inlineStr">
        <is>
          <t>South Region</t>
        </is>
      </c>
      <c r="F4457" t="inlineStr">
        <is>
          <t>Rep_02</t>
        </is>
      </c>
      <c r="G4457" t="n">
        <v>1.04</v>
      </c>
      <c r="H4457" t="inlineStr">
        <is>
          <t>Contacted</t>
        </is>
      </c>
      <c r="I4457" t="inlineStr">
        <is>
          <t>Open</t>
        </is>
      </c>
      <c r="M4457">
        <f>VLOOKUP(H4457,'Stage Order'!$A$2:$B$8,2,FALSE)</f>
        <v/>
      </c>
      <c r="N4457">
        <f>IF(G4457&lt;=1,"1. Under 1 hour",IF(G4457&lt;=24,"2. 1-24 hours",IF(G4457&lt;=72,"3. 1-3 days","4. Over 3 days")))</f>
        <v/>
      </c>
      <c r="O4457">
        <f>TEXT(B4457,"YYYY-MM")</f>
        <v/>
      </c>
    </row>
    <row r="4458">
      <c r="A4458" t="inlineStr">
        <is>
          <t>LD-304456</t>
        </is>
      </c>
      <c r="B4458" t="inlineStr">
        <is>
          <t>2025-11-22 08:07:00</t>
        </is>
      </c>
      <c r="C4458" t="inlineStr">
        <is>
          <t>Social Media</t>
        </is>
      </c>
      <c r="D4458" t="inlineStr">
        <is>
          <t>K-12 Math</t>
        </is>
      </c>
      <c r="E4458" t="inlineStr">
        <is>
          <t>North Region</t>
        </is>
      </c>
      <c r="F4458" t="inlineStr">
        <is>
          <t>Rep_11</t>
        </is>
      </c>
      <c r="G4458" t="n">
        <v>1.55</v>
      </c>
      <c r="H4458" t="inlineStr">
        <is>
          <t>Contacted</t>
        </is>
      </c>
      <c r="I4458" t="inlineStr">
        <is>
          <t>Open</t>
        </is>
      </c>
      <c r="M4458">
        <f>VLOOKUP(H4458,'Stage Order'!$A$2:$B$8,2,FALSE)</f>
        <v/>
      </c>
      <c r="N4458">
        <f>IF(G4458&lt;=1,"1. Under 1 hour",IF(G4458&lt;=24,"2. 1-24 hours",IF(G4458&lt;=72,"3. 1-3 days","4. Over 3 days")))</f>
        <v/>
      </c>
      <c r="O4458">
        <f>TEXT(B4458,"YYYY-MM")</f>
        <v/>
      </c>
    </row>
    <row r="4459">
      <c r="A4459" t="inlineStr">
        <is>
          <t>LD-304457</t>
        </is>
      </c>
      <c r="B4459" t="inlineStr">
        <is>
          <t>2026-01-28 19:17:00</t>
        </is>
      </c>
      <c r="C4459" t="inlineStr">
        <is>
          <t>Cold Outreach</t>
        </is>
      </c>
      <c r="D4459" t="inlineStr">
        <is>
          <t>Language Learning</t>
        </is>
      </c>
      <c r="E4459" t="inlineStr">
        <is>
          <t>South Region</t>
        </is>
      </c>
      <c r="F4459" t="inlineStr">
        <is>
          <t>Rep_02</t>
        </is>
      </c>
      <c r="G4459" t="n">
        <v>10.19</v>
      </c>
      <c r="H4459" t="inlineStr">
        <is>
          <t>Lead</t>
        </is>
      </c>
      <c r="I4459" t="inlineStr">
        <is>
          <t>Open</t>
        </is>
      </c>
      <c r="M4459">
        <f>VLOOKUP(H4459,'Stage Order'!$A$2:$B$8,2,FALSE)</f>
        <v/>
      </c>
      <c r="N4459">
        <f>IF(G4459&lt;=1,"1. Under 1 hour",IF(G4459&lt;=24,"2. 1-24 hours",IF(G4459&lt;=72,"3. 1-3 days","4. Over 3 days")))</f>
        <v/>
      </c>
      <c r="O4459">
        <f>TEXT(B4459,"YYYY-MM")</f>
        <v/>
      </c>
    </row>
    <row r="4460">
      <c r="A4460" t="inlineStr">
        <is>
          <t>LD-304458</t>
        </is>
      </c>
      <c r="B4460" t="inlineStr">
        <is>
          <t>2025-05-25 09:23:00</t>
        </is>
      </c>
      <c r="C4460" t="inlineStr">
        <is>
          <t>Referral</t>
        </is>
      </c>
      <c r="D4460" t="inlineStr">
        <is>
          <t>Study Abroad Prep</t>
        </is>
      </c>
      <c r="E4460" t="inlineStr">
        <is>
          <t>West Region</t>
        </is>
      </c>
      <c r="F4460" t="inlineStr">
        <is>
          <t>Rep_13</t>
        </is>
      </c>
      <c r="G4460" t="n">
        <v>3.98</v>
      </c>
      <c r="H4460" t="inlineStr">
        <is>
          <t>Contacted</t>
        </is>
      </c>
      <c r="I4460" t="inlineStr">
        <is>
          <t>Open</t>
        </is>
      </c>
      <c r="M4460">
        <f>VLOOKUP(H4460,'Stage Order'!$A$2:$B$8,2,FALSE)</f>
        <v/>
      </c>
      <c r="N4460">
        <f>IF(G4460&lt;=1,"1. Under 1 hour",IF(G4460&lt;=24,"2. 1-24 hours",IF(G4460&lt;=72,"3. 1-3 days","4. Over 3 days")))</f>
        <v/>
      </c>
      <c r="O4460">
        <f>TEXT(B4460,"YYYY-MM")</f>
        <v/>
      </c>
    </row>
    <row r="4461">
      <c r="A4461" t="inlineStr">
        <is>
          <t>LD-304459</t>
        </is>
      </c>
      <c r="B4461" t="inlineStr">
        <is>
          <t>2025-04-28 07:55:00</t>
        </is>
      </c>
      <c r="C4461" t="inlineStr">
        <is>
          <t>Partner Channel</t>
        </is>
      </c>
      <c r="D4461" t="inlineStr">
        <is>
          <t>Coding for Kids</t>
        </is>
      </c>
      <c r="E4461" t="inlineStr">
        <is>
          <t>North Region</t>
        </is>
      </c>
      <c r="F4461" t="inlineStr">
        <is>
          <t>Rep_06</t>
        </is>
      </c>
      <c r="G4461" t="n">
        <v>8.449999999999999</v>
      </c>
      <c r="H4461" t="inlineStr">
        <is>
          <t>Lead</t>
        </is>
      </c>
      <c r="I4461" t="inlineStr">
        <is>
          <t>Open</t>
        </is>
      </c>
      <c r="M4461">
        <f>VLOOKUP(H4461,'Stage Order'!$A$2:$B$8,2,FALSE)</f>
        <v/>
      </c>
      <c r="N4461">
        <f>IF(G4461&lt;=1,"1. Under 1 hour",IF(G4461&lt;=24,"2. 1-24 hours",IF(G4461&lt;=72,"3. 1-3 days","4. Over 3 days")))</f>
        <v/>
      </c>
      <c r="O4461">
        <f>TEXT(B4461,"YYYY-MM")</f>
        <v/>
      </c>
    </row>
    <row r="4462">
      <c r="A4462" t="inlineStr">
        <is>
          <t>LD-304460</t>
        </is>
      </c>
      <c r="B4462" t="inlineStr">
        <is>
          <t>2025-10-25 20:15:00</t>
        </is>
      </c>
      <c r="C4462" t="inlineStr">
        <is>
          <t>Referral</t>
        </is>
      </c>
      <c r="D4462" t="inlineStr">
        <is>
          <t>K-12 Math</t>
        </is>
      </c>
      <c r="E4462" t="inlineStr">
        <is>
          <t>South Region</t>
        </is>
      </c>
      <c r="F4462" t="inlineStr">
        <is>
          <t>Rep_07</t>
        </is>
      </c>
      <c r="G4462" t="n">
        <v>3.27</v>
      </c>
      <c r="H4462" t="inlineStr">
        <is>
          <t>Contacted</t>
        </is>
      </c>
      <c r="I4462" t="inlineStr">
        <is>
          <t>Open</t>
        </is>
      </c>
      <c r="M4462">
        <f>VLOOKUP(H4462,'Stage Order'!$A$2:$B$8,2,FALSE)</f>
        <v/>
      </c>
      <c r="N4462">
        <f>IF(G4462&lt;=1,"1. Under 1 hour",IF(G4462&lt;=24,"2. 1-24 hours",IF(G4462&lt;=72,"3. 1-3 days","4. Over 3 days")))</f>
        <v/>
      </c>
      <c r="O4462">
        <f>TEXT(B4462,"YYYY-MM")</f>
        <v/>
      </c>
    </row>
    <row r="4463">
      <c r="A4463" t="inlineStr">
        <is>
          <t>LD-304461</t>
        </is>
      </c>
      <c r="B4463" t="inlineStr">
        <is>
          <t>2026-06-29 20:24:00</t>
        </is>
      </c>
      <c r="C4463" t="inlineStr">
        <is>
          <t>Webinar</t>
        </is>
      </c>
      <c r="D4463" t="inlineStr">
        <is>
          <t>Competitive Exam Prep</t>
        </is>
      </c>
      <c r="E4463" t="inlineStr">
        <is>
          <t>South Region</t>
        </is>
      </c>
      <c r="F4463" t="inlineStr">
        <is>
          <t>Rep_12</t>
        </is>
      </c>
      <c r="G4463" t="n">
        <v>1.44</v>
      </c>
      <c r="H4463" t="inlineStr">
        <is>
          <t>Closed</t>
        </is>
      </c>
      <c r="I4463" t="inlineStr">
        <is>
          <t>Won</t>
        </is>
      </c>
      <c r="K4463" t="n">
        <v>932.66</v>
      </c>
      <c r="L4463" t="inlineStr">
        <is>
          <t>2026-08-10 13:14:44.231967</t>
        </is>
      </c>
      <c r="M4463">
        <f>VLOOKUP(H4463,'Stage Order'!$A$2:$B$8,2,FALSE)</f>
        <v/>
      </c>
      <c r="N4463">
        <f>IF(G4463&lt;=1,"1. Under 1 hour",IF(G4463&lt;=24,"2. 1-24 hours",IF(G4463&lt;=72,"3. 1-3 days","4. Over 3 days")))</f>
        <v/>
      </c>
      <c r="O4463">
        <f>TEXT(B4463,"YYYY-MM")</f>
        <v/>
      </c>
    </row>
    <row r="4464">
      <c r="A4464" t="inlineStr">
        <is>
          <t>LD-304462</t>
        </is>
      </c>
      <c r="B4464" t="inlineStr">
        <is>
          <t>2026-06-12 12:31:00</t>
        </is>
      </c>
      <c r="C4464" t="inlineStr">
        <is>
          <t>Paid Search</t>
        </is>
      </c>
      <c r="D4464" t="inlineStr">
        <is>
          <t>Competitive Exam Prep</t>
        </is>
      </c>
      <c r="E4464" t="inlineStr">
        <is>
          <t>South Region</t>
        </is>
      </c>
      <c r="F4464" t="inlineStr">
        <is>
          <t>Rep_12</t>
        </is>
      </c>
      <c r="G4464" t="n">
        <v>4.87</v>
      </c>
      <c r="H4464" t="inlineStr">
        <is>
          <t>Contacted</t>
        </is>
      </c>
      <c r="I4464" t="inlineStr">
        <is>
          <t>Open</t>
        </is>
      </c>
      <c r="M4464">
        <f>VLOOKUP(H4464,'Stage Order'!$A$2:$B$8,2,FALSE)</f>
        <v/>
      </c>
      <c r="N4464">
        <f>IF(G4464&lt;=1,"1. Under 1 hour",IF(G4464&lt;=24,"2. 1-24 hours",IF(G4464&lt;=72,"3. 1-3 days","4. Over 3 days")))</f>
        <v/>
      </c>
      <c r="O4464">
        <f>TEXT(B4464,"YYYY-MM")</f>
        <v/>
      </c>
    </row>
    <row r="4465">
      <c r="A4465" t="inlineStr">
        <is>
          <t>LD-304463</t>
        </is>
      </c>
      <c r="B4465" t="inlineStr">
        <is>
          <t>2025-03-22 12:42:00</t>
        </is>
      </c>
      <c r="C4465" t="inlineStr">
        <is>
          <t>Social Media</t>
        </is>
      </c>
      <c r="D4465" t="inlineStr">
        <is>
          <t>Language Learning</t>
        </is>
      </c>
      <c r="E4465" t="inlineStr">
        <is>
          <t>South Region</t>
        </is>
      </c>
      <c r="F4465" t="inlineStr">
        <is>
          <t>Rep_07</t>
        </is>
      </c>
      <c r="G4465" t="n">
        <v>3.18</v>
      </c>
      <c r="H4465" t="inlineStr">
        <is>
          <t>Demo Completed</t>
        </is>
      </c>
      <c r="I4465" t="inlineStr">
        <is>
          <t>Lost</t>
        </is>
      </c>
      <c r="J4465" t="inlineStr">
        <is>
          <t>Price Objection</t>
        </is>
      </c>
      <c r="K4465" t="n">
        <v>373.95</v>
      </c>
      <c r="L4465" t="inlineStr">
        <is>
          <t>2025-04-24 04:02:32.898765</t>
        </is>
      </c>
      <c r="M4465">
        <f>VLOOKUP(H4465,'Stage Order'!$A$2:$B$8,2,FALSE)</f>
        <v/>
      </c>
      <c r="N4465">
        <f>IF(G4465&lt;=1,"1. Under 1 hour",IF(G4465&lt;=24,"2. 1-24 hours",IF(G4465&lt;=72,"3. 1-3 days","4. Over 3 days")))</f>
        <v/>
      </c>
      <c r="O4465">
        <f>TEXT(B4465,"YYYY-MM")</f>
        <v/>
      </c>
    </row>
    <row r="4466">
      <c r="A4466" t="inlineStr">
        <is>
          <t>LD-304464</t>
        </is>
      </c>
      <c r="B4466" t="inlineStr">
        <is>
          <t>2026-02-03 07:43:00</t>
        </is>
      </c>
      <c r="C4466" t="inlineStr">
        <is>
          <t>Organic Search</t>
        </is>
      </c>
      <c r="D4466" t="inlineStr">
        <is>
          <t>K-12 Math</t>
        </is>
      </c>
      <c r="E4466" t="inlineStr">
        <is>
          <t>South Region</t>
        </is>
      </c>
      <c r="F4466" t="inlineStr">
        <is>
          <t>Rep_07</t>
        </is>
      </c>
      <c r="G4466" t="n">
        <v>1.41</v>
      </c>
      <c r="H4466" t="inlineStr">
        <is>
          <t>Demo Completed</t>
        </is>
      </c>
      <c r="I4466" t="inlineStr">
        <is>
          <t>Lost</t>
        </is>
      </c>
      <c r="J4466" t="inlineStr">
        <is>
          <t>Bad Timing</t>
        </is>
      </c>
      <c r="K4466" t="n">
        <v>509.96</v>
      </c>
      <c r="L4466" t="inlineStr">
        <is>
          <t>2026-03-09 00:14:43.950311</t>
        </is>
      </c>
      <c r="M4466">
        <f>VLOOKUP(H4466,'Stage Order'!$A$2:$B$8,2,FALSE)</f>
        <v/>
      </c>
      <c r="N4466">
        <f>IF(G4466&lt;=1,"1. Under 1 hour",IF(G4466&lt;=24,"2. 1-24 hours",IF(G4466&lt;=72,"3. 1-3 days","4. Over 3 days")))</f>
        <v/>
      </c>
      <c r="O4466">
        <f>TEXT(B4466,"YYYY-MM")</f>
        <v/>
      </c>
    </row>
    <row r="4467">
      <c r="A4467" t="inlineStr">
        <is>
          <t>LD-304465</t>
        </is>
      </c>
      <c r="B4467" t="inlineStr">
        <is>
          <t>2025-05-10 13:09:00</t>
        </is>
      </c>
      <c r="C4467" t="inlineStr">
        <is>
          <t>Referral</t>
        </is>
      </c>
      <c r="D4467" t="inlineStr">
        <is>
          <t>K-12 Math</t>
        </is>
      </c>
      <c r="E4467" t="inlineStr">
        <is>
          <t>West Region</t>
        </is>
      </c>
      <c r="F4467" t="inlineStr">
        <is>
          <t>Rep_03</t>
        </is>
      </c>
      <c r="G4467" t="n">
        <v>0.9</v>
      </c>
      <c r="H4467" t="inlineStr">
        <is>
          <t>Contacted</t>
        </is>
      </c>
      <c r="I4467" t="inlineStr">
        <is>
          <t>Open</t>
        </is>
      </c>
      <c r="M4467">
        <f>VLOOKUP(H4467,'Stage Order'!$A$2:$B$8,2,FALSE)</f>
        <v/>
      </c>
      <c r="N4467">
        <f>IF(G4467&lt;=1,"1. Under 1 hour",IF(G4467&lt;=24,"2. 1-24 hours",IF(G4467&lt;=72,"3. 1-3 days","4. Over 3 days")))</f>
        <v/>
      </c>
      <c r="O4467">
        <f>TEXT(B4467,"YYYY-MM")</f>
        <v/>
      </c>
    </row>
    <row r="4468">
      <c r="A4468" t="inlineStr">
        <is>
          <t>LD-304466</t>
        </is>
      </c>
      <c r="B4468" t="inlineStr">
        <is>
          <t>2025-03-03 15:56:00</t>
        </is>
      </c>
      <c r="C4468" t="inlineStr">
        <is>
          <t>Referral</t>
        </is>
      </c>
      <c r="D4468" t="inlineStr">
        <is>
          <t>Coding for Kids</t>
        </is>
      </c>
      <c r="E4468" t="inlineStr">
        <is>
          <t>West Region</t>
        </is>
      </c>
      <c r="F4468" t="inlineStr">
        <is>
          <t>Rep_13</t>
        </is>
      </c>
      <c r="G4468" t="n">
        <v>35.7</v>
      </c>
      <c r="H4468" t="inlineStr">
        <is>
          <t>Contacted</t>
        </is>
      </c>
      <c r="I4468" t="inlineStr">
        <is>
          <t>Open</t>
        </is>
      </c>
      <c r="M4468">
        <f>VLOOKUP(H4468,'Stage Order'!$A$2:$B$8,2,FALSE)</f>
        <v/>
      </c>
      <c r="N4468">
        <f>IF(G4468&lt;=1,"1. Under 1 hour",IF(G4468&lt;=24,"2. 1-24 hours",IF(G4468&lt;=72,"3. 1-3 days","4. Over 3 days")))</f>
        <v/>
      </c>
      <c r="O4468">
        <f>TEXT(B4468,"YYYY-MM")</f>
        <v/>
      </c>
    </row>
    <row r="4469">
      <c r="A4469" t="inlineStr">
        <is>
          <t>LD-304467</t>
        </is>
      </c>
      <c r="B4469" t="inlineStr">
        <is>
          <t>2026-03-22 16:50:00</t>
        </is>
      </c>
      <c r="C4469" t="inlineStr">
        <is>
          <t>Paid Search</t>
        </is>
      </c>
      <c r="D4469" t="inlineStr">
        <is>
          <t>Coding for Kids</t>
        </is>
      </c>
      <c r="E4469" t="inlineStr">
        <is>
          <t>East Region</t>
        </is>
      </c>
      <c r="F4469" t="inlineStr">
        <is>
          <t>Rep_09</t>
        </is>
      </c>
      <c r="G4469" t="n">
        <v>0.63</v>
      </c>
      <c r="H4469" t="inlineStr">
        <is>
          <t>Contacted</t>
        </is>
      </c>
      <c r="I4469" t="inlineStr">
        <is>
          <t>Open</t>
        </is>
      </c>
      <c r="M4469">
        <f>VLOOKUP(H4469,'Stage Order'!$A$2:$B$8,2,FALSE)</f>
        <v/>
      </c>
      <c r="N4469">
        <f>IF(G4469&lt;=1,"1. Under 1 hour",IF(G4469&lt;=24,"2. 1-24 hours",IF(G4469&lt;=72,"3. 1-3 days","4. Over 3 days")))</f>
        <v/>
      </c>
      <c r="O4469">
        <f>TEXT(B4469,"YYYY-MM")</f>
        <v/>
      </c>
    </row>
    <row r="4470">
      <c r="A4470" t="inlineStr">
        <is>
          <t>LD-304468</t>
        </is>
      </c>
      <c r="B4470" t="inlineStr">
        <is>
          <t>2025-03-12 15:57:00</t>
        </is>
      </c>
      <c r="C4470" t="inlineStr">
        <is>
          <t>Paid Search</t>
        </is>
      </c>
      <c r="D4470" t="inlineStr">
        <is>
          <t>K-12 Math</t>
        </is>
      </c>
      <c r="E4470" t="inlineStr">
        <is>
          <t>International</t>
        </is>
      </c>
      <c r="F4470" t="inlineStr">
        <is>
          <t>Rep_15</t>
        </is>
      </c>
      <c r="G4470" t="n">
        <v>2.33</v>
      </c>
      <c r="H4470" t="inlineStr">
        <is>
          <t>Contacted</t>
        </is>
      </c>
      <c r="I4470" t="inlineStr">
        <is>
          <t>Open</t>
        </is>
      </c>
      <c r="M4470">
        <f>VLOOKUP(H4470,'Stage Order'!$A$2:$B$8,2,FALSE)</f>
        <v/>
      </c>
      <c r="N4470">
        <f>IF(G4470&lt;=1,"1. Under 1 hour",IF(G4470&lt;=24,"2. 1-24 hours",IF(G4470&lt;=72,"3. 1-3 days","4. Over 3 days")))</f>
        <v/>
      </c>
      <c r="O4470">
        <f>TEXT(B4470,"YYYY-MM")</f>
        <v/>
      </c>
    </row>
    <row r="4471">
      <c r="A4471" t="inlineStr">
        <is>
          <t>LD-304469</t>
        </is>
      </c>
      <c r="B4471" t="inlineStr">
        <is>
          <t>2026-01-19 19:32:00</t>
        </is>
      </c>
      <c r="C4471" t="inlineStr">
        <is>
          <t>Referral</t>
        </is>
      </c>
      <c r="D4471" t="inlineStr">
        <is>
          <t>Competitive Exam Prep</t>
        </is>
      </c>
      <c r="E4471" t="inlineStr">
        <is>
          <t>West Region</t>
        </is>
      </c>
      <c r="F4471" t="inlineStr">
        <is>
          <t>Rep_03</t>
        </is>
      </c>
      <c r="G4471" t="n">
        <v>2.35</v>
      </c>
      <c r="H4471" t="inlineStr">
        <is>
          <t>Contacted</t>
        </is>
      </c>
      <c r="I4471" t="inlineStr">
        <is>
          <t>Open</t>
        </is>
      </c>
      <c r="M4471">
        <f>VLOOKUP(H4471,'Stage Order'!$A$2:$B$8,2,FALSE)</f>
        <v/>
      </c>
      <c r="N4471">
        <f>IF(G4471&lt;=1,"1. Under 1 hour",IF(G4471&lt;=24,"2. 1-24 hours",IF(G4471&lt;=72,"3. 1-3 days","4. Over 3 days")))</f>
        <v/>
      </c>
      <c r="O4471">
        <f>TEXT(B4471,"YYYY-MM")</f>
        <v/>
      </c>
    </row>
    <row r="4472">
      <c r="A4472" t="inlineStr">
        <is>
          <t>LD-304470</t>
        </is>
      </c>
      <c r="B4472" t="inlineStr">
        <is>
          <t>2025-10-03 11:08:00</t>
        </is>
      </c>
      <c r="C4472" t="inlineStr">
        <is>
          <t>Social Media</t>
        </is>
      </c>
      <c r="D4472" t="inlineStr">
        <is>
          <t>Coding for Kids</t>
        </is>
      </c>
      <c r="E4472" t="inlineStr">
        <is>
          <t>East Region</t>
        </is>
      </c>
      <c r="F4472" t="inlineStr">
        <is>
          <t>Rep_09</t>
        </is>
      </c>
      <c r="G4472" t="n">
        <v>0.41</v>
      </c>
      <c r="H4472" t="inlineStr">
        <is>
          <t>Negotiation</t>
        </is>
      </c>
      <c r="I4472" t="inlineStr">
        <is>
          <t>Lost</t>
        </is>
      </c>
      <c r="J4472" t="inlineStr">
        <is>
          <t>Bad Timing</t>
        </is>
      </c>
      <c r="K4472" t="n">
        <v>725.4299999999999</v>
      </c>
      <c r="L4472" t="inlineStr">
        <is>
          <t>2025-11-22 12:35:17.002038</t>
        </is>
      </c>
      <c r="M4472">
        <f>VLOOKUP(H4472,'Stage Order'!$A$2:$B$8,2,FALSE)</f>
        <v/>
      </c>
      <c r="N4472">
        <f>IF(G4472&lt;=1,"1. Under 1 hour",IF(G4472&lt;=24,"2. 1-24 hours",IF(G4472&lt;=72,"3. 1-3 days","4. Over 3 days")))</f>
        <v/>
      </c>
      <c r="O4472">
        <f>TEXT(B4472,"YYYY-MM")</f>
        <v/>
      </c>
    </row>
    <row r="4473">
      <c r="A4473" t="inlineStr">
        <is>
          <t>LD-304471</t>
        </is>
      </c>
      <c r="B4473" t="inlineStr">
        <is>
          <t>2026-03-28 07:16:00</t>
        </is>
      </c>
      <c r="C4473" t="inlineStr">
        <is>
          <t>Social Media</t>
        </is>
      </c>
      <c r="D4473" t="inlineStr">
        <is>
          <t>Competitive Exam Prep</t>
        </is>
      </c>
      <c r="E4473" t="inlineStr">
        <is>
          <t>South Region</t>
        </is>
      </c>
      <c r="F4473" t="inlineStr">
        <is>
          <t>Rep_07</t>
        </is>
      </c>
      <c r="G4473" t="n">
        <v>0.78</v>
      </c>
      <c r="H4473" t="inlineStr">
        <is>
          <t>Lead</t>
        </is>
      </c>
      <c r="I4473" t="inlineStr">
        <is>
          <t>Open</t>
        </is>
      </c>
      <c r="M4473">
        <f>VLOOKUP(H4473,'Stage Order'!$A$2:$B$8,2,FALSE)</f>
        <v/>
      </c>
      <c r="N4473">
        <f>IF(G4473&lt;=1,"1. Under 1 hour",IF(G4473&lt;=24,"2. 1-24 hours",IF(G4473&lt;=72,"3. 1-3 days","4. Over 3 days")))</f>
        <v/>
      </c>
      <c r="O4473">
        <f>TEXT(B4473,"YYYY-MM")</f>
        <v/>
      </c>
    </row>
    <row r="4474">
      <c r="A4474" t="inlineStr">
        <is>
          <t>LD-304472</t>
        </is>
      </c>
      <c r="B4474" t="inlineStr">
        <is>
          <t>2026-02-23 18:19:00</t>
        </is>
      </c>
      <c r="C4474" t="inlineStr">
        <is>
          <t>Referral</t>
        </is>
      </c>
      <c r="D4474" t="inlineStr">
        <is>
          <t>Coding for Kids</t>
        </is>
      </c>
      <c r="E4474" t="inlineStr">
        <is>
          <t>South Region</t>
        </is>
      </c>
      <c r="F4474" t="inlineStr">
        <is>
          <t>Rep_07</t>
        </is>
      </c>
      <c r="G4474" t="n">
        <v>2.79</v>
      </c>
      <c r="H4474" t="inlineStr">
        <is>
          <t>Negotiation</t>
        </is>
      </c>
      <c r="I4474" t="inlineStr">
        <is>
          <t>Lost</t>
        </is>
      </c>
      <c r="J4474" t="inlineStr">
        <is>
          <t>Price Objection</t>
        </is>
      </c>
      <c r="K4474" t="n">
        <v>756.84</v>
      </c>
      <c r="L4474" t="inlineStr">
        <is>
          <t>2026-04-09 06:40:00.826856</t>
        </is>
      </c>
      <c r="M4474">
        <f>VLOOKUP(H4474,'Stage Order'!$A$2:$B$8,2,FALSE)</f>
        <v/>
      </c>
      <c r="N4474">
        <f>IF(G4474&lt;=1,"1. Under 1 hour",IF(G4474&lt;=24,"2. 1-24 hours",IF(G4474&lt;=72,"3. 1-3 days","4. Over 3 days")))</f>
        <v/>
      </c>
      <c r="O4474">
        <f>TEXT(B4474,"YYYY-MM")</f>
        <v/>
      </c>
    </row>
    <row r="4475">
      <c r="A4475" t="inlineStr">
        <is>
          <t>LD-304473</t>
        </is>
      </c>
      <c r="B4475" t="inlineStr">
        <is>
          <t>2025-04-16 12:54:00</t>
        </is>
      </c>
      <c r="C4475" t="inlineStr">
        <is>
          <t>Paid Search</t>
        </is>
      </c>
      <c r="D4475" t="inlineStr">
        <is>
          <t>Language Learning</t>
        </is>
      </c>
      <c r="E4475" t="inlineStr">
        <is>
          <t>North Region</t>
        </is>
      </c>
      <c r="F4475" t="inlineStr">
        <is>
          <t>Rep_06</t>
        </is>
      </c>
      <c r="G4475" t="n">
        <v>1.12</v>
      </c>
      <c r="H4475" t="inlineStr">
        <is>
          <t>Demo Scheduled</t>
        </is>
      </c>
      <c r="I4475" t="inlineStr">
        <is>
          <t>Open</t>
        </is>
      </c>
      <c r="M4475">
        <f>VLOOKUP(H4475,'Stage Order'!$A$2:$B$8,2,FALSE)</f>
        <v/>
      </c>
      <c r="N4475">
        <f>IF(G4475&lt;=1,"1. Under 1 hour",IF(G4475&lt;=24,"2. 1-24 hours",IF(G4475&lt;=72,"3. 1-3 days","4. Over 3 days")))</f>
        <v/>
      </c>
      <c r="O4475">
        <f>TEXT(B4475,"YYYY-MM")</f>
        <v/>
      </c>
    </row>
    <row r="4476">
      <c r="A4476" t="inlineStr">
        <is>
          <t>LD-304474</t>
        </is>
      </c>
      <c r="B4476" t="inlineStr">
        <is>
          <t>2025-05-30 20:12:00</t>
        </is>
      </c>
      <c r="C4476" t="inlineStr">
        <is>
          <t>Paid Search</t>
        </is>
      </c>
      <c r="D4476" t="inlineStr">
        <is>
          <t>Coding for Kids</t>
        </is>
      </c>
      <c r="E4476" t="inlineStr">
        <is>
          <t>North Region</t>
        </is>
      </c>
      <c r="F4476" t="inlineStr">
        <is>
          <t>Rep_06</t>
        </is>
      </c>
      <c r="G4476" t="n">
        <v>1.15</v>
      </c>
      <c r="H4476" t="inlineStr">
        <is>
          <t>Contacted</t>
        </is>
      </c>
      <c r="I4476" t="inlineStr">
        <is>
          <t>Open</t>
        </is>
      </c>
      <c r="M4476">
        <f>VLOOKUP(H4476,'Stage Order'!$A$2:$B$8,2,FALSE)</f>
        <v/>
      </c>
      <c r="N4476">
        <f>IF(G4476&lt;=1,"1. Under 1 hour",IF(G4476&lt;=24,"2. 1-24 hours",IF(G4476&lt;=72,"3. 1-3 days","4. Over 3 days")))</f>
        <v/>
      </c>
      <c r="O4476">
        <f>TEXT(B4476,"YYYY-MM")</f>
        <v/>
      </c>
    </row>
    <row r="4477">
      <c r="A4477" t="inlineStr">
        <is>
          <t>LD-304475</t>
        </is>
      </c>
      <c r="B4477" t="inlineStr">
        <is>
          <t>2026-06-16 07:39:00</t>
        </is>
      </c>
      <c r="C4477" t="inlineStr">
        <is>
          <t>Webinar</t>
        </is>
      </c>
      <c r="D4477" t="inlineStr">
        <is>
          <t>Language Learning</t>
        </is>
      </c>
      <c r="E4477" t="inlineStr">
        <is>
          <t>West Region</t>
        </is>
      </c>
      <c r="F4477" t="inlineStr">
        <is>
          <t>Rep_08</t>
        </is>
      </c>
      <c r="G4477" t="n">
        <v>6.81</v>
      </c>
      <c r="H4477" t="inlineStr">
        <is>
          <t>Closed</t>
        </is>
      </c>
      <c r="I4477" t="inlineStr">
        <is>
          <t>Won</t>
        </is>
      </c>
      <c r="K4477" t="n">
        <v>312.97</v>
      </c>
      <c r="L4477" t="inlineStr">
        <is>
          <t>2026-08-06 23:22:36.989955</t>
        </is>
      </c>
      <c r="M4477">
        <f>VLOOKUP(H4477,'Stage Order'!$A$2:$B$8,2,FALSE)</f>
        <v/>
      </c>
      <c r="N4477">
        <f>IF(G4477&lt;=1,"1. Under 1 hour",IF(G4477&lt;=24,"2. 1-24 hours",IF(G4477&lt;=72,"3. 1-3 days","4. Over 3 days")))</f>
        <v/>
      </c>
      <c r="O4477">
        <f>TEXT(B4477,"YYYY-MM")</f>
        <v/>
      </c>
    </row>
    <row r="4478">
      <c r="A4478" t="inlineStr">
        <is>
          <t>LD-304476</t>
        </is>
      </c>
      <c r="B4478" t="inlineStr">
        <is>
          <t>2026-01-31 07:47:00</t>
        </is>
      </c>
      <c r="C4478" t="inlineStr">
        <is>
          <t>Cold Outreach</t>
        </is>
      </c>
      <c r="D4478" t="inlineStr">
        <is>
          <t>Study Abroad Prep</t>
        </is>
      </c>
      <c r="E4478" t="inlineStr">
        <is>
          <t>South Region</t>
        </is>
      </c>
      <c r="F4478" t="inlineStr">
        <is>
          <t>Rep_02</t>
        </is>
      </c>
      <c r="G4478" t="n">
        <v>1.1</v>
      </c>
      <c r="H4478" t="inlineStr">
        <is>
          <t>Lead</t>
        </is>
      </c>
      <c r="I4478" t="inlineStr">
        <is>
          <t>Open</t>
        </is>
      </c>
      <c r="M4478">
        <f>VLOOKUP(H4478,'Stage Order'!$A$2:$B$8,2,FALSE)</f>
        <v/>
      </c>
      <c r="N4478">
        <f>IF(G4478&lt;=1,"1. Under 1 hour",IF(G4478&lt;=24,"2. 1-24 hours",IF(G4478&lt;=72,"3. 1-3 days","4. Over 3 days")))</f>
        <v/>
      </c>
      <c r="O4478">
        <f>TEXT(B4478,"YYYY-MM")</f>
        <v/>
      </c>
    </row>
    <row r="4479">
      <c r="A4479" t="inlineStr">
        <is>
          <t>LD-304477</t>
        </is>
      </c>
      <c r="B4479" t="inlineStr">
        <is>
          <t>2026-05-26 09:25:00</t>
        </is>
      </c>
      <c r="C4479" t="inlineStr">
        <is>
          <t>Webinar</t>
        </is>
      </c>
      <c r="D4479" t="inlineStr">
        <is>
          <t>Language Learning</t>
        </is>
      </c>
      <c r="E4479" t="inlineStr">
        <is>
          <t>North Region</t>
        </is>
      </c>
      <c r="F4479" t="inlineStr">
        <is>
          <t>Rep_11</t>
        </is>
      </c>
      <c r="G4479" t="n">
        <v>5.15</v>
      </c>
      <c r="H4479" t="inlineStr">
        <is>
          <t>Contacted</t>
        </is>
      </c>
      <c r="I4479" t="inlineStr">
        <is>
          <t>Open</t>
        </is>
      </c>
      <c r="M4479">
        <f>VLOOKUP(H4479,'Stage Order'!$A$2:$B$8,2,FALSE)</f>
        <v/>
      </c>
      <c r="N4479">
        <f>IF(G4479&lt;=1,"1. Under 1 hour",IF(G4479&lt;=24,"2. 1-24 hours",IF(G4479&lt;=72,"3. 1-3 days","4. Over 3 days")))</f>
        <v/>
      </c>
      <c r="O4479">
        <f>TEXT(B4479,"YYYY-MM")</f>
        <v/>
      </c>
    </row>
    <row r="4480">
      <c r="A4480" t="inlineStr">
        <is>
          <t>LD-304478</t>
        </is>
      </c>
      <c r="B4480" t="inlineStr">
        <is>
          <t>2026-06-22 10:02:00</t>
        </is>
      </c>
      <c r="C4480" t="inlineStr">
        <is>
          <t>Referral</t>
        </is>
      </c>
      <c r="D4480" t="inlineStr">
        <is>
          <t>Competitive Exam Prep</t>
        </is>
      </c>
      <c r="E4480" t="inlineStr">
        <is>
          <t>North Region</t>
        </is>
      </c>
      <c r="F4480" t="inlineStr">
        <is>
          <t>Rep_06</t>
        </is>
      </c>
      <c r="G4480" t="n">
        <v>2.59</v>
      </c>
      <c r="H4480" t="inlineStr">
        <is>
          <t>Contacted</t>
        </is>
      </c>
      <c r="I4480" t="inlineStr">
        <is>
          <t>Open</t>
        </is>
      </c>
      <c r="M4480">
        <f>VLOOKUP(H4480,'Stage Order'!$A$2:$B$8,2,FALSE)</f>
        <v/>
      </c>
      <c r="N4480">
        <f>IF(G4480&lt;=1,"1. Under 1 hour",IF(G4480&lt;=24,"2. 1-24 hours",IF(G4480&lt;=72,"3. 1-3 days","4. Over 3 days")))</f>
        <v/>
      </c>
      <c r="O4480">
        <f>TEXT(B4480,"YYYY-MM")</f>
        <v/>
      </c>
    </row>
    <row r="4481">
      <c r="A4481" t="inlineStr">
        <is>
          <t>LD-304479</t>
        </is>
      </c>
      <c r="B4481" t="inlineStr">
        <is>
          <t>2026-01-01 17:36:00</t>
        </is>
      </c>
      <c r="C4481" t="inlineStr">
        <is>
          <t>Social Media</t>
        </is>
      </c>
      <c r="D4481" t="inlineStr">
        <is>
          <t>Language Learning</t>
        </is>
      </c>
      <c r="E4481" t="inlineStr">
        <is>
          <t>South Region</t>
        </is>
      </c>
      <c r="F4481" t="inlineStr">
        <is>
          <t>Rep_07</t>
        </is>
      </c>
      <c r="G4481" t="n">
        <v>1.08</v>
      </c>
      <c r="H4481" t="inlineStr">
        <is>
          <t>Lead</t>
        </is>
      </c>
      <c r="I4481" t="inlineStr">
        <is>
          <t>Open</t>
        </is>
      </c>
      <c r="M4481">
        <f>VLOOKUP(H4481,'Stage Order'!$A$2:$B$8,2,FALSE)</f>
        <v/>
      </c>
      <c r="N4481">
        <f>IF(G4481&lt;=1,"1. Under 1 hour",IF(G4481&lt;=24,"2. 1-24 hours",IF(G4481&lt;=72,"3. 1-3 days","4. Over 3 days")))</f>
        <v/>
      </c>
      <c r="O4481">
        <f>TEXT(B4481,"YYYY-MM")</f>
        <v/>
      </c>
    </row>
    <row r="4482">
      <c r="A4482" t="inlineStr">
        <is>
          <t>LD-304480</t>
        </is>
      </c>
      <c r="B4482" t="inlineStr">
        <is>
          <t>2026-02-19 13:29:00</t>
        </is>
      </c>
      <c r="C4482" t="inlineStr">
        <is>
          <t>Paid Search</t>
        </is>
      </c>
      <c r="D4482" t="inlineStr">
        <is>
          <t>K-12 Math</t>
        </is>
      </c>
      <c r="E4482" t="inlineStr">
        <is>
          <t>South Region</t>
        </is>
      </c>
      <c r="F4482" t="inlineStr">
        <is>
          <t>Rep_07</t>
        </is>
      </c>
      <c r="G4482" t="n">
        <v>16.87</v>
      </c>
      <c r="H4482" t="inlineStr">
        <is>
          <t>Demo Scheduled</t>
        </is>
      </c>
      <c r="I4482" t="inlineStr">
        <is>
          <t>Open</t>
        </is>
      </c>
      <c r="M4482">
        <f>VLOOKUP(H4482,'Stage Order'!$A$2:$B$8,2,FALSE)</f>
        <v/>
      </c>
      <c r="N4482">
        <f>IF(G4482&lt;=1,"1. Under 1 hour",IF(G4482&lt;=24,"2. 1-24 hours",IF(G4482&lt;=72,"3. 1-3 days","4. Over 3 days")))</f>
        <v/>
      </c>
      <c r="O4482">
        <f>TEXT(B4482,"YYYY-MM")</f>
        <v/>
      </c>
    </row>
    <row r="4483">
      <c r="A4483" t="inlineStr">
        <is>
          <t>LD-304481</t>
        </is>
      </c>
      <c r="B4483" t="inlineStr">
        <is>
          <t>2025-01-26 09:22:00</t>
        </is>
      </c>
      <c r="C4483" t="inlineStr">
        <is>
          <t>Webinar</t>
        </is>
      </c>
      <c r="D4483" t="inlineStr">
        <is>
          <t>K-12 Math</t>
        </is>
      </c>
      <c r="E4483" t="inlineStr">
        <is>
          <t>North Region</t>
        </is>
      </c>
      <c r="F4483" t="inlineStr">
        <is>
          <t>Rep_01</t>
        </is>
      </c>
      <c r="G4483" t="n">
        <v>4.23</v>
      </c>
      <c r="H4483" t="inlineStr">
        <is>
          <t>Closed</t>
        </is>
      </c>
      <c r="I4483" t="inlineStr">
        <is>
          <t>Won</t>
        </is>
      </c>
      <c r="K4483" t="n">
        <v>476.02</v>
      </c>
      <c r="L4483" t="inlineStr">
        <is>
          <t>2025-03-04 16:05:27.337599</t>
        </is>
      </c>
      <c r="M4483">
        <f>VLOOKUP(H4483,'Stage Order'!$A$2:$B$8,2,FALSE)</f>
        <v/>
      </c>
      <c r="N4483">
        <f>IF(G4483&lt;=1,"1. Under 1 hour",IF(G4483&lt;=24,"2. 1-24 hours",IF(G4483&lt;=72,"3. 1-3 days","4. Over 3 days")))</f>
        <v/>
      </c>
      <c r="O4483">
        <f>TEXT(B4483,"YYYY-MM")</f>
        <v/>
      </c>
    </row>
    <row r="4484">
      <c r="A4484" t="inlineStr">
        <is>
          <t>LD-304482</t>
        </is>
      </c>
      <c r="B4484" t="inlineStr">
        <is>
          <t>2025-05-03 08:18:00</t>
        </is>
      </c>
      <c r="C4484" t="inlineStr">
        <is>
          <t>Paid Search</t>
        </is>
      </c>
      <c r="D4484" t="inlineStr">
        <is>
          <t>K-12 Math</t>
        </is>
      </c>
      <c r="E4484" t="inlineStr">
        <is>
          <t>North Region</t>
        </is>
      </c>
      <c r="F4484" t="inlineStr">
        <is>
          <t>Rep_01</t>
        </is>
      </c>
      <c r="G4484" t="n">
        <v>0.97</v>
      </c>
      <c r="H4484" t="inlineStr">
        <is>
          <t>Lead</t>
        </is>
      </c>
      <c r="I4484" t="inlineStr">
        <is>
          <t>Open</t>
        </is>
      </c>
      <c r="M4484">
        <f>VLOOKUP(H4484,'Stage Order'!$A$2:$B$8,2,FALSE)</f>
        <v/>
      </c>
      <c r="N4484">
        <f>IF(G4484&lt;=1,"1. Under 1 hour",IF(G4484&lt;=24,"2. 1-24 hours",IF(G4484&lt;=72,"3. 1-3 days","4. Over 3 days")))</f>
        <v/>
      </c>
      <c r="O4484">
        <f>TEXT(B4484,"YYYY-MM")</f>
        <v/>
      </c>
    </row>
    <row r="4485">
      <c r="A4485" t="inlineStr">
        <is>
          <t>LD-304483</t>
        </is>
      </c>
      <c r="B4485" t="inlineStr">
        <is>
          <t>2026-02-19 07:57:00</t>
        </is>
      </c>
      <c r="C4485" t="inlineStr">
        <is>
          <t>Organic Search</t>
        </is>
      </c>
      <c r="D4485" t="inlineStr">
        <is>
          <t>Language Learning</t>
        </is>
      </c>
      <c r="E4485" t="inlineStr">
        <is>
          <t>East Region</t>
        </is>
      </c>
      <c r="F4485" t="inlineStr">
        <is>
          <t>Rep_04</t>
        </is>
      </c>
      <c r="G4485" t="n">
        <v>2.8</v>
      </c>
      <c r="H4485" t="inlineStr">
        <is>
          <t>Demo Scheduled</t>
        </is>
      </c>
      <c r="I4485" t="inlineStr">
        <is>
          <t>Open</t>
        </is>
      </c>
      <c r="M4485">
        <f>VLOOKUP(H4485,'Stage Order'!$A$2:$B$8,2,FALSE)</f>
        <v/>
      </c>
      <c r="N4485">
        <f>IF(G4485&lt;=1,"1. Under 1 hour",IF(G4485&lt;=24,"2. 1-24 hours",IF(G4485&lt;=72,"3. 1-3 days","4. Over 3 days")))</f>
        <v/>
      </c>
      <c r="O4485">
        <f>TEXT(B4485,"YYYY-MM")</f>
        <v/>
      </c>
    </row>
    <row r="4486">
      <c r="A4486" t="inlineStr">
        <is>
          <t>LD-304484</t>
        </is>
      </c>
      <c r="B4486" t="inlineStr">
        <is>
          <t>2026-01-15 14:37:00</t>
        </is>
      </c>
      <c r="C4486" t="inlineStr">
        <is>
          <t>Paid Search</t>
        </is>
      </c>
      <c r="D4486" t="inlineStr">
        <is>
          <t>K-12 Math</t>
        </is>
      </c>
      <c r="E4486" t="inlineStr">
        <is>
          <t>West Region</t>
        </is>
      </c>
      <c r="F4486" t="inlineStr">
        <is>
          <t>Rep_03</t>
        </is>
      </c>
      <c r="G4486" t="n">
        <v>3.07</v>
      </c>
      <c r="H4486" t="inlineStr">
        <is>
          <t>Demo Scheduled</t>
        </is>
      </c>
      <c r="I4486" t="inlineStr">
        <is>
          <t>Open</t>
        </is>
      </c>
      <c r="M4486">
        <f>VLOOKUP(H4486,'Stage Order'!$A$2:$B$8,2,FALSE)</f>
        <v/>
      </c>
      <c r="N4486">
        <f>IF(G4486&lt;=1,"1. Under 1 hour",IF(G4486&lt;=24,"2. 1-24 hours",IF(G4486&lt;=72,"3. 1-3 days","4. Over 3 days")))</f>
        <v/>
      </c>
      <c r="O4486">
        <f>TEXT(B4486,"YYYY-MM")</f>
        <v/>
      </c>
    </row>
    <row r="4487">
      <c r="A4487" t="inlineStr">
        <is>
          <t>LD-304485</t>
        </is>
      </c>
      <c r="B4487" t="inlineStr">
        <is>
          <t>2026-02-11 16:45:00</t>
        </is>
      </c>
      <c r="C4487" t="inlineStr">
        <is>
          <t>Social Media</t>
        </is>
      </c>
      <c r="D4487" t="inlineStr">
        <is>
          <t>Competitive Exam Prep</t>
        </is>
      </c>
      <c r="E4487" t="inlineStr">
        <is>
          <t>West Region</t>
        </is>
      </c>
      <c r="F4487" t="inlineStr">
        <is>
          <t>Rep_13</t>
        </is>
      </c>
      <c r="G4487" t="n">
        <v>2.38</v>
      </c>
      <c r="H4487" t="inlineStr">
        <is>
          <t>Negotiation</t>
        </is>
      </c>
      <c r="I4487" t="inlineStr">
        <is>
          <t>Lost</t>
        </is>
      </c>
      <c r="J4487" t="inlineStr">
        <is>
          <t>No Response / Ghosted</t>
        </is>
      </c>
      <c r="K4487" t="n">
        <v>1143.02</v>
      </c>
      <c r="L4487" t="inlineStr">
        <is>
          <t>2026-04-10 11:07:31.988607</t>
        </is>
      </c>
      <c r="M4487">
        <f>VLOOKUP(H4487,'Stage Order'!$A$2:$B$8,2,FALSE)</f>
        <v/>
      </c>
      <c r="N4487">
        <f>IF(G4487&lt;=1,"1. Under 1 hour",IF(G4487&lt;=24,"2. 1-24 hours",IF(G4487&lt;=72,"3. 1-3 days","4. Over 3 days")))</f>
        <v/>
      </c>
      <c r="O4487">
        <f>TEXT(B4487,"YYYY-MM")</f>
        <v/>
      </c>
    </row>
    <row r="4488">
      <c r="A4488" t="inlineStr">
        <is>
          <t>LD-304486</t>
        </is>
      </c>
      <c r="B4488" t="inlineStr">
        <is>
          <t>2025-12-24 17:42:00</t>
        </is>
      </c>
      <c r="C4488" t="inlineStr">
        <is>
          <t>Organic Search</t>
        </is>
      </c>
      <c r="D4488" t="inlineStr">
        <is>
          <t>Study Abroad Prep</t>
        </is>
      </c>
      <c r="E4488" t="inlineStr">
        <is>
          <t>North Region</t>
        </is>
      </c>
      <c r="F4488" t="inlineStr">
        <is>
          <t>Rep_06</t>
        </is>
      </c>
      <c r="G4488" t="n">
        <v>2.56</v>
      </c>
      <c r="H4488" t="inlineStr">
        <is>
          <t>Demo Scheduled</t>
        </is>
      </c>
      <c r="I4488" t="inlineStr">
        <is>
          <t>Open</t>
        </is>
      </c>
      <c r="M4488">
        <f>VLOOKUP(H4488,'Stage Order'!$A$2:$B$8,2,FALSE)</f>
        <v/>
      </c>
      <c r="N4488">
        <f>IF(G4488&lt;=1,"1. Under 1 hour",IF(G4488&lt;=24,"2. 1-24 hours",IF(G4488&lt;=72,"3. 1-3 days","4. Over 3 days")))</f>
        <v/>
      </c>
      <c r="O4488">
        <f>TEXT(B4488,"YYYY-MM")</f>
        <v/>
      </c>
    </row>
    <row r="4489">
      <c r="A4489" t="inlineStr">
        <is>
          <t>LD-304487</t>
        </is>
      </c>
      <c r="B4489" t="inlineStr">
        <is>
          <t>2025-07-23 19:26:00</t>
        </is>
      </c>
      <c r="C4489" t="inlineStr">
        <is>
          <t>Paid Search</t>
        </is>
      </c>
      <c r="D4489" t="inlineStr">
        <is>
          <t>K-12 Math</t>
        </is>
      </c>
      <c r="E4489" t="inlineStr">
        <is>
          <t>West Region</t>
        </is>
      </c>
      <c r="F4489" t="inlineStr">
        <is>
          <t>Rep_03</t>
        </is>
      </c>
      <c r="G4489" t="n">
        <v>4.57</v>
      </c>
      <c r="H4489" t="inlineStr">
        <is>
          <t>Contacted</t>
        </is>
      </c>
      <c r="I4489" t="inlineStr">
        <is>
          <t>Open</t>
        </is>
      </c>
      <c r="M4489">
        <f>VLOOKUP(H4489,'Stage Order'!$A$2:$B$8,2,FALSE)</f>
        <v/>
      </c>
      <c r="N4489">
        <f>IF(G4489&lt;=1,"1. Under 1 hour",IF(G4489&lt;=24,"2. 1-24 hours",IF(G4489&lt;=72,"3. 1-3 days","4. Over 3 days")))</f>
        <v/>
      </c>
      <c r="O4489">
        <f>TEXT(B4489,"YYYY-MM")</f>
        <v/>
      </c>
    </row>
    <row r="4490">
      <c r="A4490" t="inlineStr">
        <is>
          <t>LD-304488</t>
        </is>
      </c>
      <c r="B4490" t="inlineStr">
        <is>
          <t>2025-10-31 17:49:00</t>
        </is>
      </c>
      <c r="C4490" t="inlineStr">
        <is>
          <t>Webinar</t>
        </is>
      </c>
      <c r="D4490" t="inlineStr">
        <is>
          <t>K-12 Math</t>
        </is>
      </c>
      <c r="E4490" t="inlineStr">
        <is>
          <t>South Region</t>
        </is>
      </c>
      <c r="F4490" t="inlineStr">
        <is>
          <t>Rep_02</t>
        </is>
      </c>
      <c r="G4490" t="n">
        <v>3.99</v>
      </c>
      <c r="H4490" t="inlineStr">
        <is>
          <t>Closed</t>
        </is>
      </c>
      <c r="I4490" t="inlineStr">
        <is>
          <t>Won</t>
        </is>
      </c>
      <c r="K4490" t="n">
        <v>577.67</v>
      </c>
      <c r="L4490" t="inlineStr">
        <is>
          <t>2025-11-29 08:45:26.163466</t>
        </is>
      </c>
      <c r="M4490">
        <f>VLOOKUP(H4490,'Stage Order'!$A$2:$B$8,2,FALSE)</f>
        <v/>
      </c>
      <c r="N4490">
        <f>IF(G4490&lt;=1,"1. Under 1 hour",IF(G4490&lt;=24,"2. 1-24 hours",IF(G4490&lt;=72,"3. 1-3 days","4. Over 3 days")))</f>
        <v/>
      </c>
      <c r="O4490">
        <f>TEXT(B4490,"YYYY-MM")</f>
        <v/>
      </c>
    </row>
    <row r="4491">
      <c r="A4491" t="inlineStr">
        <is>
          <t>LD-304489</t>
        </is>
      </c>
      <c r="B4491" t="inlineStr">
        <is>
          <t>2026-01-05 20:21:00</t>
        </is>
      </c>
      <c r="C4491" t="inlineStr">
        <is>
          <t>Partner Channel</t>
        </is>
      </c>
      <c r="D4491" t="inlineStr">
        <is>
          <t>K-12 Math</t>
        </is>
      </c>
      <c r="E4491" t="inlineStr">
        <is>
          <t>South Region</t>
        </is>
      </c>
      <c r="F4491" t="inlineStr">
        <is>
          <t>Rep_02</t>
        </is>
      </c>
      <c r="G4491" t="n">
        <v>4.84</v>
      </c>
      <c r="H4491" t="inlineStr">
        <is>
          <t>Contacted</t>
        </is>
      </c>
      <c r="I4491" t="inlineStr">
        <is>
          <t>Open</t>
        </is>
      </c>
      <c r="M4491">
        <f>VLOOKUP(H4491,'Stage Order'!$A$2:$B$8,2,FALSE)</f>
        <v/>
      </c>
      <c r="N4491">
        <f>IF(G4491&lt;=1,"1. Under 1 hour",IF(G4491&lt;=24,"2. 1-24 hours",IF(G4491&lt;=72,"3. 1-3 days","4. Over 3 days")))</f>
        <v/>
      </c>
      <c r="O4491">
        <f>TEXT(B4491,"YYYY-MM")</f>
        <v/>
      </c>
    </row>
    <row r="4492">
      <c r="A4492" t="inlineStr">
        <is>
          <t>LD-304490</t>
        </is>
      </c>
      <c r="B4492" t="inlineStr">
        <is>
          <t>2025-07-30 12:37:00</t>
        </is>
      </c>
      <c r="C4492" t="inlineStr">
        <is>
          <t>Paid Search</t>
        </is>
      </c>
      <c r="D4492" t="inlineStr">
        <is>
          <t>Competitive Exam Prep</t>
        </is>
      </c>
      <c r="E4492" t="inlineStr">
        <is>
          <t>South Region</t>
        </is>
      </c>
      <c r="F4492" t="inlineStr">
        <is>
          <t>Rep_07</t>
        </is>
      </c>
      <c r="G4492" t="n">
        <v>4.69</v>
      </c>
      <c r="H4492" t="inlineStr">
        <is>
          <t>Demo Completed</t>
        </is>
      </c>
      <c r="I4492" t="inlineStr">
        <is>
          <t>Lost</t>
        </is>
      </c>
      <c r="J4492" t="inlineStr">
        <is>
          <t>No Response / Ghosted</t>
        </is>
      </c>
      <c r="K4492" t="n">
        <v>966.8</v>
      </c>
      <c r="L4492" t="inlineStr">
        <is>
          <t>2025-08-25 01:37:38.435406</t>
        </is>
      </c>
      <c r="M4492">
        <f>VLOOKUP(H4492,'Stage Order'!$A$2:$B$8,2,FALSE)</f>
        <v/>
      </c>
      <c r="N4492">
        <f>IF(G4492&lt;=1,"1. Under 1 hour",IF(G4492&lt;=24,"2. 1-24 hours",IF(G4492&lt;=72,"3. 1-3 days","4. Over 3 days")))</f>
        <v/>
      </c>
      <c r="O4492">
        <f>TEXT(B4492,"YYYY-MM")</f>
        <v/>
      </c>
    </row>
    <row r="4493">
      <c r="A4493" t="inlineStr">
        <is>
          <t>LD-304491</t>
        </is>
      </c>
      <c r="B4493" t="inlineStr">
        <is>
          <t>2025-03-03 18:58:00</t>
        </is>
      </c>
      <c r="C4493" t="inlineStr">
        <is>
          <t>Organic Search</t>
        </is>
      </c>
      <c r="D4493" t="inlineStr">
        <is>
          <t>Coding for Kids</t>
        </is>
      </c>
      <c r="E4493" t="inlineStr">
        <is>
          <t>International</t>
        </is>
      </c>
      <c r="F4493" t="inlineStr">
        <is>
          <t>Rep_15</t>
        </is>
      </c>
      <c r="G4493" t="n">
        <v>3.81</v>
      </c>
      <c r="H4493" t="inlineStr">
        <is>
          <t>Negotiation</t>
        </is>
      </c>
      <c r="I4493" t="inlineStr">
        <is>
          <t>Lost</t>
        </is>
      </c>
      <c r="J4493" t="inlineStr">
        <is>
          <t>No Response / Ghosted</t>
        </is>
      </c>
      <c r="K4493" t="n">
        <v>748.48</v>
      </c>
      <c r="L4493" t="inlineStr">
        <is>
          <t>2025-04-22 13:47:57.986510</t>
        </is>
      </c>
      <c r="M4493">
        <f>VLOOKUP(H4493,'Stage Order'!$A$2:$B$8,2,FALSE)</f>
        <v/>
      </c>
      <c r="N4493">
        <f>IF(G4493&lt;=1,"1. Under 1 hour",IF(G4493&lt;=24,"2. 1-24 hours",IF(G4493&lt;=72,"3. 1-3 days","4. Over 3 days")))</f>
        <v/>
      </c>
      <c r="O4493">
        <f>TEXT(B4493,"YYYY-MM")</f>
        <v/>
      </c>
    </row>
    <row r="4494">
      <c r="A4494" t="inlineStr">
        <is>
          <t>LD-304492</t>
        </is>
      </c>
      <c r="B4494" t="inlineStr">
        <is>
          <t>2025-09-29 16:59:00</t>
        </is>
      </c>
      <c r="C4494" t="inlineStr">
        <is>
          <t>Social Media</t>
        </is>
      </c>
      <c r="D4494" t="inlineStr">
        <is>
          <t>Coding for Kids</t>
        </is>
      </c>
      <c r="E4494" t="inlineStr">
        <is>
          <t>South Region</t>
        </is>
      </c>
      <c r="F4494" t="inlineStr">
        <is>
          <t>Rep_12</t>
        </is>
      </c>
      <c r="G4494" t="n">
        <v>1.06</v>
      </c>
      <c r="H4494" t="inlineStr">
        <is>
          <t>Demo Scheduled</t>
        </is>
      </c>
      <c r="I4494" t="inlineStr">
        <is>
          <t>Open</t>
        </is>
      </c>
      <c r="M4494">
        <f>VLOOKUP(H4494,'Stage Order'!$A$2:$B$8,2,FALSE)</f>
        <v/>
      </c>
      <c r="N4494">
        <f>IF(G4494&lt;=1,"1. Under 1 hour",IF(G4494&lt;=24,"2. 1-24 hours",IF(G4494&lt;=72,"3. 1-3 days","4. Over 3 days")))</f>
        <v/>
      </c>
      <c r="O4494">
        <f>TEXT(B4494,"YYYY-MM")</f>
        <v/>
      </c>
    </row>
    <row r="4495">
      <c r="A4495" t="inlineStr">
        <is>
          <t>LD-304493</t>
        </is>
      </c>
      <c r="B4495" t="inlineStr">
        <is>
          <t>2025-09-25 20:59:00</t>
        </is>
      </c>
      <c r="C4495" t="inlineStr">
        <is>
          <t>Paid Search</t>
        </is>
      </c>
      <c r="D4495" t="inlineStr">
        <is>
          <t>Competitive Exam Prep</t>
        </is>
      </c>
      <c r="E4495" t="inlineStr">
        <is>
          <t>North Region</t>
        </is>
      </c>
      <c r="F4495" t="inlineStr">
        <is>
          <t>Rep_01</t>
        </is>
      </c>
      <c r="G4495" t="n">
        <v>2.15</v>
      </c>
      <c r="H4495" t="inlineStr">
        <is>
          <t>Closed</t>
        </is>
      </c>
      <c r="I4495" t="inlineStr">
        <is>
          <t>Won</t>
        </is>
      </c>
      <c r="K4495" t="n">
        <v>863.71</v>
      </c>
      <c r="L4495" t="inlineStr">
        <is>
          <t>2025-10-23 18:06:34.470386</t>
        </is>
      </c>
      <c r="M4495">
        <f>VLOOKUP(H4495,'Stage Order'!$A$2:$B$8,2,FALSE)</f>
        <v/>
      </c>
      <c r="N4495">
        <f>IF(G4495&lt;=1,"1. Under 1 hour",IF(G4495&lt;=24,"2. 1-24 hours",IF(G4495&lt;=72,"3. 1-3 days","4. Over 3 days")))</f>
        <v/>
      </c>
      <c r="O4495">
        <f>TEXT(B4495,"YYYY-MM")</f>
        <v/>
      </c>
    </row>
    <row r="4496">
      <c r="A4496" t="inlineStr">
        <is>
          <t>LD-304494</t>
        </is>
      </c>
      <c r="B4496" t="inlineStr">
        <is>
          <t>2025-05-16 09:51:00</t>
        </is>
      </c>
      <c r="C4496" t="inlineStr">
        <is>
          <t>Paid Search</t>
        </is>
      </c>
      <c r="D4496" t="inlineStr">
        <is>
          <t>Competitive Exam Prep</t>
        </is>
      </c>
      <c r="E4496" t="inlineStr">
        <is>
          <t>West Region</t>
        </is>
      </c>
      <c r="F4496" t="inlineStr">
        <is>
          <t>Rep_13</t>
        </is>
      </c>
      <c r="G4496" t="n">
        <v>3.52</v>
      </c>
      <c r="H4496" t="inlineStr">
        <is>
          <t>Contacted</t>
        </is>
      </c>
      <c r="I4496" t="inlineStr">
        <is>
          <t>Open</t>
        </is>
      </c>
      <c r="M4496">
        <f>VLOOKUP(H4496,'Stage Order'!$A$2:$B$8,2,FALSE)</f>
        <v/>
      </c>
      <c r="N4496">
        <f>IF(G4496&lt;=1,"1. Under 1 hour",IF(G4496&lt;=24,"2. 1-24 hours",IF(G4496&lt;=72,"3. 1-3 days","4. Over 3 days")))</f>
        <v/>
      </c>
      <c r="O4496">
        <f>TEXT(B4496,"YYYY-MM")</f>
        <v/>
      </c>
    </row>
    <row r="4497">
      <c r="A4497" t="inlineStr">
        <is>
          <t>LD-304495</t>
        </is>
      </c>
      <c r="B4497" t="inlineStr">
        <is>
          <t>2025-12-22 13:50:00</t>
        </is>
      </c>
      <c r="C4497" t="inlineStr">
        <is>
          <t>Organic Search</t>
        </is>
      </c>
      <c r="D4497" t="inlineStr">
        <is>
          <t>K-12 Math</t>
        </is>
      </c>
      <c r="E4497" t="inlineStr">
        <is>
          <t>South Region</t>
        </is>
      </c>
      <c r="F4497" t="inlineStr">
        <is>
          <t>Rep_07</t>
        </is>
      </c>
      <c r="G4497" t="n">
        <v>1.99</v>
      </c>
      <c r="H4497" t="inlineStr">
        <is>
          <t>Closed</t>
        </is>
      </c>
      <c r="I4497" t="inlineStr">
        <is>
          <t>Won</t>
        </is>
      </c>
      <c r="K4497" t="n">
        <v>482.32</v>
      </c>
      <c r="L4497" t="inlineStr">
        <is>
          <t>2026-02-09 09:18:50.290218</t>
        </is>
      </c>
      <c r="M4497">
        <f>VLOOKUP(H4497,'Stage Order'!$A$2:$B$8,2,FALSE)</f>
        <v/>
      </c>
      <c r="N4497">
        <f>IF(G4497&lt;=1,"1. Under 1 hour",IF(G4497&lt;=24,"2. 1-24 hours",IF(G4497&lt;=72,"3. 1-3 days","4. Over 3 days")))</f>
        <v/>
      </c>
      <c r="O4497">
        <f>TEXT(B4497,"YYYY-MM")</f>
        <v/>
      </c>
    </row>
    <row r="4498">
      <c r="A4498" t="inlineStr">
        <is>
          <t>LD-304496</t>
        </is>
      </c>
      <c r="B4498" t="inlineStr">
        <is>
          <t>2026-03-20 16:28:00</t>
        </is>
      </c>
      <c r="C4498" t="inlineStr">
        <is>
          <t>Referral</t>
        </is>
      </c>
      <c r="D4498" t="inlineStr">
        <is>
          <t>K-12 Math</t>
        </is>
      </c>
      <c r="E4498" t="inlineStr">
        <is>
          <t>North Region</t>
        </is>
      </c>
      <c r="F4498" t="inlineStr">
        <is>
          <t>Rep_11</t>
        </is>
      </c>
      <c r="G4498" t="n">
        <v>3.61</v>
      </c>
      <c r="H4498" t="inlineStr">
        <is>
          <t>Closed</t>
        </is>
      </c>
      <c r="I4498" t="inlineStr">
        <is>
          <t>Won</t>
        </is>
      </c>
      <c r="K4498" t="n">
        <v>489.11</v>
      </c>
      <c r="L4498" t="inlineStr">
        <is>
          <t>2026-04-24 15:46:55.652996</t>
        </is>
      </c>
      <c r="M4498">
        <f>VLOOKUP(H4498,'Stage Order'!$A$2:$B$8,2,FALSE)</f>
        <v/>
      </c>
      <c r="N4498">
        <f>IF(G4498&lt;=1,"1. Under 1 hour",IF(G4498&lt;=24,"2. 1-24 hours",IF(G4498&lt;=72,"3. 1-3 days","4. Over 3 days")))</f>
        <v/>
      </c>
      <c r="O4498">
        <f>TEXT(B4498,"YYYY-MM")</f>
        <v/>
      </c>
    </row>
    <row r="4499">
      <c r="A4499" t="inlineStr">
        <is>
          <t>LD-304497</t>
        </is>
      </c>
      <c r="B4499" t="inlineStr">
        <is>
          <t>2025-08-19 14:02:00</t>
        </is>
      </c>
      <c r="C4499" t="inlineStr">
        <is>
          <t>Organic Search</t>
        </is>
      </c>
      <c r="D4499" t="inlineStr">
        <is>
          <t>Language Learning</t>
        </is>
      </c>
      <c r="E4499" t="inlineStr">
        <is>
          <t>South Region</t>
        </is>
      </c>
      <c r="F4499" t="inlineStr">
        <is>
          <t>Rep_12</t>
        </is>
      </c>
      <c r="G4499" t="n">
        <v>2.25</v>
      </c>
      <c r="H4499" t="inlineStr">
        <is>
          <t>Contacted</t>
        </is>
      </c>
      <c r="I4499" t="inlineStr">
        <is>
          <t>Open</t>
        </is>
      </c>
      <c r="M4499">
        <f>VLOOKUP(H4499,'Stage Order'!$A$2:$B$8,2,FALSE)</f>
        <v/>
      </c>
      <c r="N4499">
        <f>IF(G4499&lt;=1,"1. Under 1 hour",IF(G4499&lt;=24,"2. 1-24 hours",IF(G4499&lt;=72,"3. 1-3 days","4. Over 3 days")))</f>
        <v/>
      </c>
      <c r="O4499">
        <f>TEXT(B4499,"YYYY-MM")</f>
        <v/>
      </c>
    </row>
    <row r="4500">
      <c r="A4500" t="inlineStr">
        <is>
          <t>LD-304498</t>
        </is>
      </c>
      <c r="B4500" t="inlineStr">
        <is>
          <t>2026-05-08 09:00:00</t>
        </is>
      </c>
      <c r="C4500" t="inlineStr">
        <is>
          <t>Organic Search</t>
        </is>
      </c>
      <c r="D4500" t="inlineStr">
        <is>
          <t>K-12 Math</t>
        </is>
      </c>
      <c r="E4500" t="inlineStr">
        <is>
          <t>International</t>
        </is>
      </c>
      <c r="F4500" t="inlineStr">
        <is>
          <t>Rep_05</t>
        </is>
      </c>
      <c r="G4500" t="n">
        <v>2.78</v>
      </c>
      <c r="H4500" t="inlineStr">
        <is>
          <t>Demo Completed</t>
        </is>
      </c>
      <c r="I4500" t="inlineStr">
        <is>
          <t>Lost</t>
        </is>
      </c>
      <c r="J4500" t="inlineStr">
        <is>
          <t>Went With Competitor</t>
        </is>
      </c>
      <c r="K4500" t="n">
        <v>442.09</v>
      </c>
      <c r="L4500" t="inlineStr">
        <is>
          <t>2026-06-23 06:44:45.600316</t>
        </is>
      </c>
      <c r="M4500">
        <f>VLOOKUP(H4500,'Stage Order'!$A$2:$B$8,2,FALSE)</f>
        <v/>
      </c>
      <c r="N4500">
        <f>IF(G4500&lt;=1,"1. Under 1 hour",IF(G4500&lt;=24,"2. 1-24 hours",IF(G4500&lt;=72,"3. 1-3 days","4. Over 3 days")))</f>
        <v/>
      </c>
      <c r="O4500">
        <f>TEXT(B4500,"YYYY-MM")</f>
        <v/>
      </c>
    </row>
    <row r="4501">
      <c r="A4501" t="inlineStr">
        <is>
          <t>LD-304499</t>
        </is>
      </c>
      <c r="B4501" t="inlineStr">
        <is>
          <t>2025-06-12 13:29:00</t>
        </is>
      </c>
      <c r="C4501" t="inlineStr">
        <is>
          <t>Organic Search</t>
        </is>
      </c>
      <c r="D4501" t="inlineStr">
        <is>
          <t>Coding for Kids</t>
        </is>
      </c>
      <c r="E4501" t="inlineStr">
        <is>
          <t>International</t>
        </is>
      </c>
      <c r="F4501" t="inlineStr">
        <is>
          <t>Rep_10</t>
        </is>
      </c>
      <c r="G4501" t="n">
        <v>4.78</v>
      </c>
      <c r="H4501" t="inlineStr">
        <is>
          <t>Lead</t>
        </is>
      </c>
      <c r="I4501" t="inlineStr">
        <is>
          <t>Open</t>
        </is>
      </c>
      <c r="M4501">
        <f>VLOOKUP(H4501,'Stage Order'!$A$2:$B$8,2,FALSE)</f>
        <v/>
      </c>
      <c r="N4501">
        <f>IF(G4501&lt;=1,"1. Under 1 hour",IF(G4501&lt;=24,"2. 1-24 hours",IF(G4501&lt;=72,"3. 1-3 days","4. Over 3 days")))</f>
        <v/>
      </c>
      <c r="O4501">
        <f>TEXT(B4501,"YYYY-MM")</f>
        <v/>
      </c>
    </row>
    <row r="4502">
      <c r="A4502" t="inlineStr">
        <is>
          <t>LD-304500</t>
        </is>
      </c>
      <c r="B4502" t="inlineStr">
        <is>
          <t>2025-11-13 19:50:00</t>
        </is>
      </c>
      <c r="C4502" t="inlineStr">
        <is>
          <t>Organic Search</t>
        </is>
      </c>
      <c r="D4502" t="inlineStr">
        <is>
          <t>Language Learning</t>
        </is>
      </c>
      <c r="E4502" t="inlineStr">
        <is>
          <t>North Region</t>
        </is>
      </c>
      <c r="F4502" t="inlineStr">
        <is>
          <t>Rep_11</t>
        </is>
      </c>
      <c r="G4502" t="n">
        <v>0.53</v>
      </c>
      <c r="H4502" t="inlineStr">
        <is>
          <t>Negotiation</t>
        </is>
      </c>
      <c r="I4502" t="inlineStr">
        <is>
          <t>Lost</t>
        </is>
      </c>
      <c r="J4502" t="inlineStr">
        <is>
          <t>No Response / Ghosted</t>
        </is>
      </c>
      <c r="K4502" t="n">
        <v>366.18</v>
      </c>
      <c r="L4502" t="inlineStr">
        <is>
          <t>2025-12-15 10:37:39.518525</t>
        </is>
      </c>
      <c r="M4502">
        <f>VLOOKUP(H4502,'Stage Order'!$A$2:$B$8,2,FALSE)</f>
        <v/>
      </c>
      <c r="N4502">
        <f>IF(G4502&lt;=1,"1. Under 1 hour",IF(G4502&lt;=24,"2. 1-24 hours",IF(G4502&lt;=72,"3. 1-3 days","4. Over 3 days")))</f>
        <v/>
      </c>
      <c r="O4502">
        <f>TEXT(B4502,"YYYY-MM")</f>
        <v/>
      </c>
    </row>
    <row r="4503">
      <c r="A4503" t="inlineStr">
        <is>
          <t>LD-304501</t>
        </is>
      </c>
      <c r="B4503" t="inlineStr">
        <is>
          <t>2025-06-13 16:03:00</t>
        </is>
      </c>
      <c r="C4503" t="inlineStr">
        <is>
          <t>Cold Outreach</t>
        </is>
      </c>
      <c r="D4503" t="inlineStr">
        <is>
          <t>K-12 Math</t>
        </is>
      </c>
      <c r="E4503" t="inlineStr">
        <is>
          <t>South Region</t>
        </is>
      </c>
      <c r="F4503" t="inlineStr">
        <is>
          <t>Rep_07</t>
        </is>
      </c>
      <c r="G4503" t="n">
        <v>16.21</v>
      </c>
      <c r="H4503" t="inlineStr">
        <is>
          <t>Lead</t>
        </is>
      </c>
      <c r="I4503" t="inlineStr">
        <is>
          <t>Open</t>
        </is>
      </c>
      <c r="M4503">
        <f>VLOOKUP(H4503,'Stage Order'!$A$2:$B$8,2,FALSE)</f>
        <v/>
      </c>
      <c r="N4503">
        <f>IF(G4503&lt;=1,"1. Under 1 hour",IF(G4503&lt;=24,"2. 1-24 hours",IF(G4503&lt;=72,"3. 1-3 days","4. Over 3 days")))</f>
        <v/>
      </c>
      <c r="O4503">
        <f>TEXT(B4503,"YYYY-MM")</f>
        <v/>
      </c>
    </row>
    <row r="4504">
      <c r="A4504" t="inlineStr">
        <is>
          <t>LD-304502</t>
        </is>
      </c>
      <c r="B4504" t="inlineStr">
        <is>
          <t>2026-02-18 10:56:00</t>
        </is>
      </c>
      <c r="C4504" t="inlineStr">
        <is>
          <t>Organic Search</t>
        </is>
      </c>
      <c r="D4504" t="inlineStr">
        <is>
          <t>Coding for Kids</t>
        </is>
      </c>
      <c r="E4504" t="inlineStr">
        <is>
          <t>South Region</t>
        </is>
      </c>
      <c r="F4504" t="inlineStr">
        <is>
          <t>Rep_02</t>
        </is>
      </c>
      <c r="G4504" t="n">
        <v>7.63</v>
      </c>
      <c r="H4504" t="inlineStr">
        <is>
          <t>Contacted</t>
        </is>
      </c>
      <c r="I4504" t="inlineStr">
        <is>
          <t>Open</t>
        </is>
      </c>
      <c r="M4504">
        <f>VLOOKUP(H4504,'Stage Order'!$A$2:$B$8,2,FALSE)</f>
        <v/>
      </c>
      <c r="N4504">
        <f>IF(G4504&lt;=1,"1. Under 1 hour",IF(G4504&lt;=24,"2. 1-24 hours",IF(G4504&lt;=72,"3. 1-3 days","4. Over 3 days")))</f>
        <v/>
      </c>
      <c r="O4504">
        <f>TEXT(B4504,"YYYY-MM")</f>
        <v/>
      </c>
    </row>
    <row r="4505">
      <c r="A4505" t="inlineStr">
        <is>
          <t>LD-304503</t>
        </is>
      </c>
      <c r="B4505" t="inlineStr">
        <is>
          <t>2025-06-07 20:55:00</t>
        </is>
      </c>
      <c r="C4505" t="inlineStr">
        <is>
          <t>Organic Search</t>
        </is>
      </c>
      <c r="D4505" t="inlineStr">
        <is>
          <t>Coding for Kids</t>
        </is>
      </c>
      <c r="E4505" t="inlineStr">
        <is>
          <t>South Region</t>
        </is>
      </c>
      <c r="F4505" t="inlineStr">
        <is>
          <t>Rep_02</t>
        </is>
      </c>
      <c r="G4505" t="n">
        <v>2.3</v>
      </c>
      <c r="H4505" t="inlineStr">
        <is>
          <t>Proposal Sent</t>
        </is>
      </c>
      <c r="I4505" t="inlineStr">
        <is>
          <t>Lost</t>
        </is>
      </c>
      <c r="J4505" t="inlineStr">
        <is>
          <t>Price Objection</t>
        </is>
      </c>
      <c r="K4505" t="n">
        <v>559.75</v>
      </c>
      <c r="L4505" t="inlineStr">
        <is>
          <t>2025-07-08 11:41:35.611092</t>
        </is>
      </c>
      <c r="M4505">
        <f>VLOOKUP(H4505,'Stage Order'!$A$2:$B$8,2,FALSE)</f>
        <v/>
      </c>
      <c r="N4505">
        <f>IF(G4505&lt;=1,"1. Under 1 hour",IF(G4505&lt;=24,"2. 1-24 hours",IF(G4505&lt;=72,"3. 1-3 days","4. Over 3 days")))</f>
        <v/>
      </c>
      <c r="O4505">
        <f>TEXT(B4505,"YYYY-MM")</f>
        <v/>
      </c>
    </row>
    <row r="4506">
      <c r="A4506" t="inlineStr">
        <is>
          <t>LD-304504</t>
        </is>
      </c>
      <c r="B4506" t="inlineStr">
        <is>
          <t>2025-02-24 11:02:00</t>
        </is>
      </c>
      <c r="C4506" t="inlineStr">
        <is>
          <t>Organic Search</t>
        </is>
      </c>
      <c r="D4506" t="inlineStr">
        <is>
          <t>Competitive Exam Prep</t>
        </is>
      </c>
      <c r="E4506" t="inlineStr">
        <is>
          <t>South Region</t>
        </is>
      </c>
      <c r="F4506" t="inlineStr">
        <is>
          <t>Rep_12</t>
        </is>
      </c>
      <c r="G4506" t="n">
        <v>10.14</v>
      </c>
      <c r="H4506" t="inlineStr">
        <is>
          <t>Contacted</t>
        </is>
      </c>
      <c r="I4506" t="inlineStr">
        <is>
          <t>Open</t>
        </is>
      </c>
      <c r="M4506">
        <f>VLOOKUP(H4506,'Stage Order'!$A$2:$B$8,2,FALSE)</f>
        <v/>
      </c>
      <c r="N4506">
        <f>IF(G4506&lt;=1,"1. Under 1 hour",IF(G4506&lt;=24,"2. 1-24 hours",IF(G4506&lt;=72,"3. 1-3 days","4. Over 3 days")))</f>
        <v/>
      </c>
      <c r="O4506">
        <f>TEXT(B4506,"YYYY-MM")</f>
        <v/>
      </c>
    </row>
    <row r="4507">
      <c r="A4507" t="inlineStr">
        <is>
          <t>LD-304505</t>
        </is>
      </c>
      <c r="B4507" t="inlineStr">
        <is>
          <t>2025-09-19 14:27:00</t>
        </is>
      </c>
      <c r="C4507" t="inlineStr">
        <is>
          <t>Partner Channel</t>
        </is>
      </c>
      <c r="D4507" t="inlineStr">
        <is>
          <t>Coding for Kids</t>
        </is>
      </c>
      <c r="E4507" t="inlineStr">
        <is>
          <t>South Region</t>
        </is>
      </c>
      <c r="F4507" t="inlineStr">
        <is>
          <t>Rep_12</t>
        </is>
      </c>
      <c r="G4507" t="n">
        <v>10.81</v>
      </c>
      <c r="H4507" t="inlineStr">
        <is>
          <t>Negotiation</t>
        </is>
      </c>
      <c r="I4507" t="inlineStr">
        <is>
          <t>Lost</t>
        </is>
      </c>
      <c r="J4507" t="inlineStr">
        <is>
          <t>Went With Competitor</t>
        </is>
      </c>
      <c r="K4507" t="n">
        <v>547.83</v>
      </c>
      <c r="L4507" t="inlineStr">
        <is>
          <t>2025-11-01 06:48:53.923285</t>
        </is>
      </c>
      <c r="M4507">
        <f>VLOOKUP(H4507,'Stage Order'!$A$2:$B$8,2,FALSE)</f>
        <v/>
      </c>
      <c r="N4507">
        <f>IF(G4507&lt;=1,"1. Under 1 hour",IF(G4507&lt;=24,"2. 1-24 hours",IF(G4507&lt;=72,"3. 1-3 days","4. Over 3 days")))</f>
        <v/>
      </c>
      <c r="O4507">
        <f>TEXT(B4507,"YYYY-MM")</f>
        <v/>
      </c>
    </row>
    <row r="4508">
      <c r="A4508" t="inlineStr">
        <is>
          <t>LD-304506</t>
        </is>
      </c>
      <c r="B4508" t="inlineStr">
        <is>
          <t>2026-06-17 11:17:00</t>
        </is>
      </c>
      <c r="C4508" t="inlineStr">
        <is>
          <t>Organic Search</t>
        </is>
      </c>
      <c r="D4508" t="inlineStr">
        <is>
          <t>Competitive Exam Prep</t>
        </is>
      </c>
      <c r="E4508" t="inlineStr">
        <is>
          <t>North Region</t>
        </is>
      </c>
      <c r="F4508" t="inlineStr">
        <is>
          <t>Rep_11</t>
        </is>
      </c>
      <c r="G4508" t="n">
        <v>6.59</v>
      </c>
      <c r="H4508" t="inlineStr">
        <is>
          <t>Closed</t>
        </is>
      </c>
      <c r="I4508" t="inlineStr">
        <is>
          <t>Won</t>
        </is>
      </c>
      <c r="K4508" t="n">
        <v>895.35</v>
      </c>
      <c r="L4508" t="inlineStr">
        <is>
          <t>2026-07-25 08:54:34.707674</t>
        </is>
      </c>
      <c r="M4508">
        <f>VLOOKUP(H4508,'Stage Order'!$A$2:$B$8,2,FALSE)</f>
        <v/>
      </c>
      <c r="N4508">
        <f>IF(G4508&lt;=1,"1. Under 1 hour",IF(G4508&lt;=24,"2. 1-24 hours",IF(G4508&lt;=72,"3. 1-3 days","4. Over 3 days")))</f>
        <v/>
      </c>
      <c r="O4508">
        <f>TEXT(B4508,"YYYY-MM")</f>
        <v/>
      </c>
    </row>
    <row r="4509">
      <c r="A4509" t="inlineStr">
        <is>
          <t>LD-304507</t>
        </is>
      </c>
      <c r="B4509" t="inlineStr">
        <is>
          <t>2025-11-07 11:50:00</t>
        </is>
      </c>
      <c r="C4509" t="inlineStr">
        <is>
          <t>Organic Search</t>
        </is>
      </c>
      <c r="D4509" t="inlineStr">
        <is>
          <t>Competitive Exam Prep</t>
        </is>
      </c>
      <c r="E4509" t="inlineStr">
        <is>
          <t>East Region</t>
        </is>
      </c>
      <c r="F4509" t="inlineStr">
        <is>
          <t>Rep_14</t>
        </is>
      </c>
      <c r="G4509" t="n">
        <v>48.39</v>
      </c>
      <c r="H4509" t="inlineStr">
        <is>
          <t>Contacted</t>
        </is>
      </c>
      <c r="I4509" t="inlineStr">
        <is>
          <t>Open</t>
        </is>
      </c>
      <c r="M4509">
        <f>VLOOKUP(H4509,'Stage Order'!$A$2:$B$8,2,FALSE)</f>
        <v/>
      </c>
      <c r="N4509">
        <f>IF(G4509&lt;=1,"1. Under 1 hour",IF(G4509&lt;=24,"2. 1-24 hours",IF(G4509&lt;=72,"3. 1-3 days","4. Over 3 days")))</f>
        <v/>
      </c>
      <c r="O4509">
        <f>TEXT(B4509,"YYYY-MM")</f>
        <v/>
      </c>
    </row>
    <row r="4510">
      <c r="A4510" t="inlineStr">
        <is>
          <t>LD-304508</t>
        </is>
      </c>
      <c r="B4510" t="inlineStr">
        <is>
          <t>2025-06-13 08:26:00</t>
        </is>
      </c>
      <c r="C4510" t="inlineStr">
        <is>
          <t>Referral</t>
        </is>
      </c>
      <c r="D4510" t="inlineStr">
        <is>
          <t>Study Abroad Prep</t>
        </is>
      </c>
      <c r="E4510" t="inlineStr">
        <is>
          <t>West Region</t>
        </is>
      </c>
      <c r="F4510" t="inlineStr">
        <is>
          <t>Rep_03</t>
        </is>
      </c>
      <c r="G4510" t="n">
        <v>6.71</v>
      </c>
      <c r="H4510" t="inlineStr">
        <is>
          <t>Contacted</t>
        </is>
      </c>
      <c r="I4510" t="inlineStr">
        <is>
          <t>Open</t>
        </is>
      </c>
      <c r="M4510">
        <f>VLOOKUP(H4510,'Stage Order'!$A$2:$B$8,2,FALSE)</f>
        <v/>
      </c>
      <c r="N4510">
        <f>IF(G4510&lt;=1,"1. Under 1 hour",IF(G4510&lt;=24,"2. 1-24 hours",IF(G4510&lt;=72,"3. 1-3 days","4. Over 3 days")))</f>
        <v/>
      </c>
      <c r="O4510">
        <f>TEXT(B4510,"YYYY-MM")</f>
        <v/>
      </c>
    </row>
    <row r="4511">
      <c r="A4511" t="inlineStr">
        <is>
          <t>LD-304509</t>
        </is>
      </c>
      <c r="B4511" t="inlineStr">
        <is>
          <t>2025-10-21 07:47:00</t>
        </is>
      </c>
      <c r="C4511" t="inlineStr">
        <is>
          <t>Referral</t>
        </is>
      </c>
      <c r="D4511" t="inlineStr">
        <is>
          <t>K-12 Math</t>
        </is>
      </c>
      <c r="E4511" t="inlineStr">
        <is>
          <t>East Region</t>
        </is>
      </c>
      <c r="F4511" t="inlineStr">
        <is>
          <t>Rep_14</t>
        </is>
      </c>
      <c r="G4511" t="n">
        <v>5.38</v>
      </c>
      <c r="H4511" t="inlineStr">
        <is>
          <t>Closed</t>
        </is>
      </c>
      <c r="I4511" t="inlineStr">
        <is>
          <t>Won</t>
        </is>
      </c>
      <c r="K4511" t="n">
        <v>595.58</v>
      </c>
      <c r="L4511" t="inlineStr">
        <is>
          <t>2025-11-21 23:54:44.872232</t>
        </is>
      </c>
      <c r="M4511">
        <f>VLOOKUP(H4511,'Stage Order'!$A$2:$B$8,2,FALSE)</f>
        <v/>
      </c>
      <c r="N4511">
        <f>IF(G4511&lt;=1,"1. Under 1 hour",IF(G4511&lt;=24,"2. 1-24 hours",IF(G4511&lt;=72,"3. 1-3 days","4. Over 3 days")))</f>
        <v/>
      </c>
      <c r="O4511">
        <f>TEXT(B4511,"YYYY-MM")</f>
        <v/>
      </c>
    </row>
    <row r="4512">
      <c r="A4512" t="inlineStr">
        <is>
          <t>LD-304510</t>
        </is>
      </c>
      <c r="B4512" t="inlineStr">
        <is>
          <t>2026-05-16 08:45:00</t>
        </is>
      </c>
      <c r="C4512" t="inlineStr">
        <is>
          <t>Organic Search</t>
        </is>
      </c>
      <c r="D4512" t="inlineStr">
        <is>
          <t>K-12 Math</t>
        </is>
      </c>
      <c r="E4512" t="inlineStr">
        <is>
          <t>North Region</t>
        </is>
      </c>
      <c r="F4512" t="inlineStr">
        <is>
          <t>Rep_11</t>
        </is>
      </c>
      <c r="G4512" t="n">
        <v>10</v>
      </c>
      <c r="H4512" t="inlineStr">
        <is>
          <t>Closed</t>
        </is>
      </c>
      <c r="I4512" t="inlineStr">
        <is>
          <t>Won</t>
        </is>
      </c>
      <c r="K4512" t="n">
        <v>408.54</v>
      </c>
      <c r="L4512" t="inlineStr">
        <is>
          <t>2026-06-20 07:09:09.855768</t>
        </is>
      </c>
      <c r="M4512">
        <f>VLOOKUP(H4512,'Stage Order'!$A$2:$B$8,2,FALSE)</f>
        <v/>
      </c>
      <c r="N4512">
        <f>IF(G4512&lt;=1,"1. Under 1 hour",IF(G4512&lt;=24,"2. 1-24 hours",IF(G4512&lt;=72,"3. 1-3 days","4. Over 3 days")))</f>
        <v/>
      </c>
      <c r="O4512">
        <f>TEXT(B4512,"YYYY-MM")</f>
        <v/>
      </c>
    </row>
    <row r="4513">
      <c r="A4513" t="inlineStr">
        <is>
          <t>LD-304511</t>
        </is>
      </c>
      <c r="B4513" t="inlineStr">
        <is>
          <t>2026-03-02 10:55:00</t>
        </is>
      </c>
      <c r="C4513" t="inlineStr">
        <is>
          <t>Social Media</t>
        </is>
      </c>
      <c r="D4513" t="inlineStr">
        <is>
          <t>Coding for Kids</t>
        </is>
      </c>
      <c r="E4513" t="inlineStr">
        <is>
          <t>North Region</t>
        </is>
      </c>
      <c r="F4513" t="inlineStr">
        <is>
          <t>Rep_11</t>
        </is>
      </c>
      <c r="G4513" t="n">
        <v>3.05</v>
      </c>
      <c r="H4513" t="inlineStr">
        <is>
          <t>Closed</t>
        </is>
      </c>
      <c r="I4513" t="inlineStr">
        <is>
          <t>Won</t>
        </is>
      </c>
      <c r="K4513" t="n">
        <v>685.76</v>
      </c>
      <c r="L4513" t="inlineStr">
        <is>
          <t>2026-04-07 22:35:45.187483</t>
        </is>
      </c>
      <c r="M4513">
        <f>VLOOKUP(H4513,'Stage Order'!$A$2:$B$8,2,FALSE)</f>
        <v/>
      </c>
      <c r="N4513">
        <f>IF(G4513&lt;=1,"1. Under 1 hour",IF(G4513&lt;=24,"2. 1-24 hours",IF(G4513&lt;=72,"3. 1-3 days","4. Over 3 days")))</f>
        <v/>
      </c>
      <c r="O4513">
        <f>TEXT(B4513,"YYYY-MM")</f>
        <v/>
      </c>
    </row>
    <row r="4514">
      <c r="A4514" t="inlineStr">
        <is>
          <t>LD-304512</t>
        </is>
      </c>
      <c r="B4514" t="inlineStr">
        <is>
          <t>2025-01-06 17:52:00</t>
        </is>
      </c>
      <c r="C4514" t="inlineStr">
        <is>
          <t>Cold Outreach</t>
        </is>
      </c>
      <c r="D4514" t="inlineStr">
        <is>
          <t>Competitive Exam Prep</t>
        </is>
      </c>
      <c r="E4514" t="inlineStr">
        <is>
          <t>West Region</t>
        </is>
      </c>
      <c r="F4514" t="inlineStr">
        <is>
          <t>Rep_08</t>
        </is>
      </c>
      <c r="G4514" t="n">
        <v>1.71</v>
      </c>
      <c r="H4514" t="inlineStr">
        <is>
          <t>Lead</t>
        </is>
      </c>
      <c r="I4514" t="inlineStr">
        <is>
          <t>Open</t>
        </is>
      </c>
      <c r="M4514">
        <f>VLOOKUP(H4514,'Stage Order'!$A$2:$B$8,2,FALSE)</f>
        <v/>
      </c>
      <c r="N4514">
        <f>IF(G4514&lt;=1,"1. Under 1 hour",IF(G4514&lt;=24,"2. 1-24 hours",IF(G4514&lt;=72,"3. 1-3 days","4. Over 3 days")))</f>
        <v/>
      </c>
      <c r="O4514">
        <f>TEXT(B4514,"YYYY-MM")</f>
        <v/>
      </c>
    </row>
    <row r="4515">
      <c r="A4515" t="inlineStr">
        <is>
          <t>LD-304513</t>
        </is>
      </c>
      <c r="B4515" t="inlineStr">
        <is>
          <t>2025-12-16 08:58:00</t>
        </is>
      </c>
      <c r="C4515" t="inlineStr">
        <is>
          <t>Organic Search</t>
        </is>
      </c>
      <c r="D4515" t="inlineStr">
        <is>
          <t>K-12 Math</t>
        </is>
      </c>
      <c r="E4515" t="inlineStr">
        <is>
          <t>South Region</t>
        </is>
      </c>
      <c r="F4515" t="inlineStr">
        <is>
          <t>Rep_07</t>
        </is>
      </c>
      <c r="G4515" t="n">
        <v>19.03</v>
      </c>
      <c r="H4515" t="inlineStr">
        <is>
          <t>Contacted</t>
        </is>
      </c>
      <c r="I4515" t="inlineStr">
        <is>
          <t>Open</t>
        </is>
      </c>
      <c r="M4515">
        <f>VLOOKUP(H4515,'Stage Order'!$A$2:$B$8,2,FALSE)</f>
        <v/>
      </c>
      <c r="N4515">
        <f>IF(G4515&lt;=1,"1. Under 1 hour",IF(G4515&lt;=24,"2. 1-24 hours",IF(G4515&lt;=72,"3. 1-3 days","4. Over 3 days")))</f>
        <v/>
      </c>
      <c r="O4515">
        <f>TEXT(B4515,"YYYY-MM")</f>
        <v/>
      </c>
    </row>
    <row r="4516">
      <c r="A4516" t="inlineStr">
        <is>
          <t>LD-304514</t>
        </is>
      </c>
      <c r="B4516" t="inlineStr">
        <is>
          <t>2025-11-03 19:10:00</t>
        </is>
      </c>
      <c r="C4516" t="inlineStr">
        <is>
          <t>Organic Search</t>
        </is>
      </c>
      <c r="D4516" t="inlineStr">
        <is>
          <t>Coding for Kids</t>
        </is>
      </c>
      <c r="E4516" t="inlineStr">
        <is>
          <t>West Region</t>
        </is>
      </c>
      <c r="F4516" t="inlineStr">
        <is>
          <t>Rep_13</t>
        </is>
      </c>
      <c r="G4516" t="n">
        <v>3.26</v>
      </c>
      <c r="H4516" t="inlineStr">
        <is>
          <t>Contacted</t>
        </is>
      </c>
      <c r="I4516" t="inlineStr">
        <is>
          <t>Open</t>
        </is>
      </c>
      <c r="M4516">
        <f>VLOOKUP(H4516,'Stage Order'!$A$2:$B$8,2,FALSE)</f>
        <v/>
      </c>
      <c r="N4516">
        <f>IF(G4516&lt;=1,"1. Under 1 hour",IF(G4516&lt;=24,"2. 1-24 hours",IF(G4516&lt;=72,"3. 1-3 days","4. Over 3 days")))</f>
        <v/>
      </c>
      <c r="O4516">
        <f>TEXT(B4516,"YYYY-MM")</f>
        <v/>
      </c>
    </row>
    <row r="4517">
      <c r="A4517" t="inlineStr">
        <is>
          <t>LD-304515</t>
        </is>
      </c>
      <c r="B4517" t="inlineStr">
        <is>
          <t>2026-01-27 15:00:00</t>
        </is>
      </c>
      <c r="C4517" t="inlineStr">
        <is>
          <t>Cold Outreach</t>
        </is>
      </c>
      <c r="D4517" t="inlineStr">
        <is>
          <t>Competitive Exam Prep</t>
        </is>
      </c>
      <c r="E4517" t="inlineStr">
        <is>
          <t>East Region</t>
        </is>
      </c>
      <c r="F4517" t="inlineStr">
        <is>
          <t>Rep_04</t>
        </is>
      </c>
      <c r="G4517" t="n">
        <v>2.46</v>
      </c>
      <c r="H4517" t="inlineStr">
        <is>
          <t>Lead</t>
        </is>
      </c>
      <c r="I4517" t="inlineStr">
        <is>
          <t>Open</t>
        </is>
      </c>
      <c r="M4517">
        <f>VLOOKUP(H4517,'Stage Order'!$A$2:$B$8,2,FALSE)</f>
        <v/>
      </c>
      <c r="N4517">
        <f>IF(G4517&lt;=1,"1. Under 1 hour",IF(G4517&lt;=24,"2. 1-24 hours",IF(G4517&lt;=72,"3. 1-3 days","4. Over 3 days")))</f>
        <v/>
      </c>
      <c r="O4517">
        <f>TEXT(B4517,"YYYY-MM")</f>
        <v/>
      </c>
    </row>
    <row r="4518">
      <c r="A4518" t="inlineStr">
        <is>
          <t>LD-304516</t>
        </is>
      </c>
      <c r="B4518" t="inlineStr">
        <is>
          <t>2025-04-25 14:33:00</t>
        </is>
      </c>
      <c r="C4518" t="inlineStr">
        <is>
          <t>Webinar</t>
        </is>
      </c>
      <c r="D4518" t="inlineStr">
        <is>
          <t>K-12 Math</t>
        </is>
      </c>
      <c r="E4518" t="inlineStr">
        <is>
          <t>North Region</t>
        </is>
      </c>
      <c r="F4518" t="inlineStr">
        <is>
          <t>Rep_01</t>
        </is>
      </c>
      <c r="G4518" t="n">
        <v>1.71</v>
      </c>
      <c r="H4518" t="inlineStr">
        <is>
          <t>Closed</t>
        </is>
      </c>
      <c r="I4518" t="inlineStr">
        <is>
          <t>Won</t>
        </is>
      </c>
      <c r="K4518" t="n">
        <v>504.25</v>
      </c>
      <c r="L4518" t="inlineStr">
        <is>
          <t>2025-06-10 10:44:15.079065</t>
        </is>
      </c>
      <c r="M4518">
        <f>VLOOKUP(H4518,'Stage Order'!$A$2:$B$8,2,FALSE)</f>
        <v/>
      </c>
      <c r="N4518">
        <f>IF(G4518&lt;=1,"1. Under 1 hour",IF(G4518&lt;=24,"2. 1-24 hours",IF(G4518&lt;=72,"3. 1-3 days","4. Over 3 days")))</f>
        <v/>
      </c>
      <c r="O4518">
        <f>TEXT(B4518,"YYYY-MM")</f>
        <v/>
      </c>
    </row>
    <row r="4519">
      <c r="A4519" t="inlineStr">
        <is>
          <t>LD-304517</t>
        </is>
      </c>
      <c r="B4519" t="inlineStr">
        <is>
          <t>2025-04-02 12:55:00</t>
        </is>
      </c>
      <c r="C4519" t="inlineStr">
        <is>
          <t>Social Media</t>
        </is>
      </c>
      <c r="D4519" t="inlineStr">
        <is>
          <t>Study Abroad Prep</t>
        </is>
      </c>
      <c r="E4519" t="inlineStr">
        <is>
          <t>South Region</t>
        </is>
      </c>
      <c r="F4519" t="inlineStr">
        <is>
          <t>Rep_07</t>
        </is>
      </c>
      <c r="G4519" t="n">
        <v>6.2</v>
      </c>
      <c r="H4519" t="inlineStr">
        <is>
          <t>Demo Completed</t>
        </is>
      </c>
      <c r="I4519" t="inlineStr">
        <is>
          <t>Lost</t>
        </is>
      </c>
      <c r="J4519" t="inlineStr">
        <is>
          <t>Went With Competitor</t>
        </is>
      </c>
      <c r="K4519" t="n">
        <v>1204.46</v>
      </c>
      <c r="L4519" t="inlineStr">
        <is>
          <t>2025-05-14 17:55:38.654498</t>
        </is>
      </c>
      <c r="M4519">
        <f>VLOOKUP(H4519,'Stage Order'!$A$2:$B$8,2,FALSE)</f>
        <v/>
      </c>
      <c r="N4519">
        <f>IF(G4519&lt;=1,"1. Under 1 hour",IF(G4519&lt;=24,"2. 1-24 hours",IF(G4519&lt;=72,"3. 1-3 days","4. Over 3 days")))</f>
        <v/>
      </c>
      <c r="O4519">
        <f>TEXT(B4519,"YYYY-MM")</f>
        <v/>
      </c>
    </row>
    <row r="4520">
      <c r="A4520" t="inlineStr">
        <is>
          <t>LD-304518</t>
        </is>
      </c>
      <c r="B4520" t="inlineStr">
        <is>
          <t>2026-04-07 12:17:00</t>
        </is>
      </c>
      <c r="C4520" t="inlineStr">
        <is>
          <t>Cold Outreach</t>
        </is>
      </c>
      <c r="D4520" t="inlineStr">
        <is>
          <t>Competitive Exam Prep</t>
        </is>
      </c>
      <c r="E4520" t="inlineStr">
        <is>
          <t>East Region</t>
        </is>
      </c>
      <c r="F4520" t="inlineStr">
        <is>
          <t>Rep_14</t>
        </is>
      </c>
      <c r="G4520" t="n">
        <v>1.99</v>
      </c>
      <c r="H4520" t="inlineStr">
        <is>
          <t>Lead</t>
        </is>
      </c>
      <c r="I4520" t="inlineStr">
        <is>
          <t>Open</t>
        </is>
      </c>
      <c r="M4520">
        <f>VLOOKUP(H4520,'Stage Order'!$A$2:$B$8,2,FALSE)</f>
        <v/>
      </c>
      <c r="N4520">
        <f>IF(G4520&lt;=1,"1. Under 1 hour",IF(G4520&lt;=24,"2. 1-24 hours",IF(G4520&lt;=72,"3. 1-3 days","4. Over 3 days")))</f>
        <v/>
      </c>
      <c r="O4520">
        <f>TEXT(B4520,"YYYY-MM")</f>
        <v/>
      </c>
    </row>
    <row r="4521">
      <c r="A4521" t="inlineStr">
        <is>
          <t>LD-304519</t>
        </is>
      </c>
      <c r="B4521" t="inlineStr">
        <is>
          <t>2025-09-02 09:01:00</t>
        </is>
      </c>
      <c r="C4521" t="inlineStr">
        <is>
          <t>Cold Outreach</t>
        </is>
      </c>
      <c r="D4521" t="inlineStr">
        <is>
          <t>Coding for Kids</t>
        </is>
      </c>
      <c r="E4521" t="inlineStr">
        <is>
          <t>South Region</t>
        </is>
      </c>
      <c r="F4521" t="inlineStr">
        <is>
          <t>Rep_12</t>
        </is>
      </c>
      <c r="G4521" t="n">
        <v>0.87</v>
      </c>
      <c r="H4521" t="inlineStr">
        <is>
          <t>Demo Scheduled</t>
        </is>
      </c>
      <c r="I4521" t="inlineStr">
        <is>
          <t>Open</t>
        </is>
      </c>
      <c r="M4521">
        <f>VLOOKUP(H4521,'Stage Order'!$A$2:$B$8,2,FALSE)</f>
        <v/>
      </c>
      <c r="N4521">
        <f>IF(G4521&lt;=1,"1. Under 1 hour",IF(G4521&lt;=24,"2. 1-24 hours",IF(G4521&lt;=72,"3. 1-3 days","4. Over 3 days")))</f>
        <v/>
      </c>
      <c r="O4521">
        <f>TEXT(B4521,"YYYY-MM")</f>
        <v/>
      </c>
    </row>
    <row r="4522">
      <c r="A4522" t="inlineStr">
        <is>
          <t>LD-304520</t>
        </is>
      </c>
      <c r="B4522" t="inlineStr">
        <is>
          <t>2025-07-25 14:43:00</t>
        </is>
      </c>
      <c r="C4522" t="inlineStr">
        <is>
          <t>Organic Search</t>
        </is>
      </c>
      <c r="D4522" t="inlineStr">
        <is>
          <t>Coding for Kids</t>
        </is>
      </c>
      <c r="E4522" t="inlineStr">
        <is>
          <t>North Region</t>
        </is>
      </c>
      <c r="F4522" t="inlineStr">
        <is>
          <t>Rep_01</t>
        </is>
      </c>
      <c r="G4522" t="n">
        <v>6.15</v>
      </c>
      <c r="H4522" t="inlineStr">
        <is>
          <t>Closed</t>
        </is>
      </c>
      <c r="I4522" t="inlineStr">
        <is>
          <t>Won</t>
        </is>
      </c>
      <c r="K4522" t="n">
        <v>574.04</v>
      </c>
      <c r="L4522" t="inlineStr">
        <is>
          <t>2025-08-24 04:16:24.706349</t>
        </is>
      </c>
      <c r="M4522">
        <f>VLOOKUP(H4522,'Stage Order'!$A$2:$B$8,2,FALSE)</f>
        <v/>
      </c>
      <c r="N4522">
        <f>IF(G4522&lt;=1,"1. Under 1 hour",IF(G4522&lt;=24,"2. 1-24 hours",IF(G4522&lt;=72,"3. 1-3 days","4. Over 3 days")))</f>
        <v/>
      </c>
      <c r="O4522">
        <f>TEXT(B4522,"YYYY-MM")</f>
        <v/>
      </c>
    </row>
    <row r="4523">
      <c r="A4523" t="inlineStr">
        <is>
          <t>LD-304521</t>
        </is>
      </c>
      <c r="B4523" t="inlineStr">
        <is>
          <t>2026-05-25 19:26:00</t>
        </is>
      </c>
      <c r="C4523" t="inlineStr">
        <is>
          <t>Webinar</t>
        </is>
      </c>
      <c r="D4523" t="inlineStr">
        <is>
          <t>Study Abroad Prep</t>
        </is>
      </c>
      <c r="E4523" t="inlineStr">
        <is>
          <t>South Region</t>
        </is>
      </c>
      <c r="F4523" t="inlineStr">
        <is>
          <t>Rep_12</t>
        </is>
      </c>
      <c r="G4523" t="n">
        <v>1.02</v>
      </c>
      <c r="H4523" t="inlineStr">
        <is>
          <t>Contacted</t>
        </is>
      </c>
      <c r="I4523" t="inlineStr">
        <is>
          <t>Open</t>
        </is>
      </c>
      <c r="M4523">
        <f>VLOOKUP(H4523,'Stage Order'!$A$2:$B$8,2,FALSE)</f>
        <v/>
      </c>
      <c r="N4523">
        <f>IF(G4523&lt;=1,"1. Under 1 hour",IF(G4523&lt;=24,"2. 1-24 hours",IF(G4523&lt;=72,"3. 1-3 days","4. Over 3 days")))</f>
        <v/>
      </c>
      <c r="O4523">
        <f>TEXT(B4523,"YYYY-MM")</f>
        <v/>
      </c>
    </row>
    <row r="4524">
      <c r="A4524" t="inlineStr">
        <is>
          <t>LD-304522</t>
        </is>
      </c>
      <c r="B4524" t="inlineStr">
        <is>
          <t>2025-05-20 16:01:00</t>
        </is>
      </c>
      <c r="C4524" t="inlineStr">
        <is>
          <t>Organic Search</t>
        </is>
      </c>
      <c r="D4524" t="inlineStr">
        <is>
          <t>K-12 Math</t>
        </is>
      </c>
      <c r="E4524" t="inlineStr">
        <is>
          <t>North Region</t>
        </is>
      </c>
      <c r="F4524" t="inlineStr">
        <is>
          <t>Rep_11</t>
        </is>
      </c>
      <c r="G4524" t="n">
        <v>2.7</v>
      </c>
      <c r="H4524" t="inlineStr">
        <is>
          <t>Closed</t>
        </is>
      </c>
      <c r="I4524" t="inlineStr">
        <is>
          <t>Won</t>
        </is>
      </c>
      <c r="K4524" t="n">
        <v>573.96</v>
      </c>
      <c r="L4524" t="inlineStr">
        <is>
          <t>2025-07-02 05:48:06.560256</t>
        </is>
      </c>
      <c r="M4524">
        <f>VLOOKUP(H4524,'Stage Order'!$A$2:$B$8,2,FALSE)</f>
        <v/>
      </c>
      <c r="N4524">
        <f>IF(G4524&lt;=1,"1. Under 1 hour",IF(G4524&lt;=24,"2. 1-24 hours",IF(G4524&lt;=72,"3. 1-3 days","4. Over 3 days")))</f>
        <v/>
      </c>
      <c r="O4524">
        <f>TEXT(B4524,"YYYY-MM")</f>
        <v/>
      </c>
    </row>
    <row r="4525">
      <c r="A4525" t="inlineStr">
        <is>
          <t>LD-304523</t>
        </is>
      </c>
      <c r="B4525" t="inlineStr">
        <is>
          <t>2025-01-31 07:33:00</t>
        </is>
      </c>
      <c r="C4525" t="inlineStr">
        <is>
          <t>Webinar</t>
        </is>
      </c>
      <c r="D4525" t="inlineStr">
        <is>
          <t>Study Abroad Prep</t>
        </is>
      </c>
      <c r="E4525" t="inlineStr">
        <is>
          <t>International</t>
        </is>
      </c>
      <c r="F4525" t="inlineStr">
        <is>
          <t>Rep_05</t>
        </is>
      </c>
      <c r="G4525" t="n">
        <v>2.41</v>
      </c>
      <c r="H4525" t="inlineStr">
        <is>
          <t>Negotiation</t>
        </is>
      </c>
      <c r="I4525" t="inlineStr">
        <is>
          <t>Lost</t>
        </is>
      </c>
      <c r="J4525" t="inlineStr">
        <is>
          <t>No Response / Ghosted</t>
        </is>
      </c>
      <c r="K4525" t="n">
        <v>1437.3</v>
      </c>
      <c r="L4525" t="inlineStr">
        <is>
          <t>2025-03-28 13:35:29.770269</t>
        </is>
      </c>
      <c r="M4525">
        <f>VLOOKUP(H4525,'Stage Order'!$A$2:$B$8,2,FALSE)</f>
        <v/>
      </c>
      <c r="N4525">
        <f>IF(G4525&lt;=1,"1. Under 1 hour",IF(G4525&lt;=24,"2. 1-24 hours",IF(G4525&lt;=72,"3. 1-3 days","4. Over 3 days")))</f>
        <v/>
      </c>
      <c r="O4525">
        <f>TEXT(B4525,"YYYY-MM")</f>
        <v/>
      </c>
    </row>
    <row r="4526">
      <c r="A4526" t="inlineStr">
        <is>
          <t>LD-304524</t>
        </is>
      </c>
      <c r="B4526" t="inlineStr">
        <is>
          <t>2026-04-03 09:00:00</t>
        </is>
      </c>
      <c r="C4526" t="inlineStr">
        <is>
          <t>Organic Search</t>
        </is>
      </c>
      <c r="D4526" t="inlineStr">
        <is>
          <t>Language Learning</t>
        </is>
      </c>
      <c r="E4526" t="inlineStr">
        <is>
          <t>West Region</t>
        </is>
      </c>
      <c r="F4526" t="inlineStr">
        <is>
          <t>Rep_03</t>
        </is>
      </c>
      <c r="G4526" t="n">
        <v>2.22</v>
      </c>
      <c r="H4526" t="inlineStr">
        <is>
          <t>Contacted</t>
        </is>
      </c>
      <c r="I4526" t="inlineStr">
        <is>
          <t>Open</t>
        </is>
      </c>
      <c r="M4526">
        <f>VLOOKUP(H4526,'Stage Order'!$A$2:$B$8,2,FALSE)</f>
        <v/>
      </c>
      <c r="N4526">
        <f>IF(G4526&lt;=1,"1. Under 1 hour",IF(G4526&lt;=24,"2. 1-24 hours",IF(G4526&lt;=72,"3. 1-3 days","4. Over 3 days")))</f>
        <v/>
      </c>
      <c r="O4526">
        <f>TEXT(B4526,"YYYY-MM")</f>
        <v/>
      </c>
    </row>
    <row r="4527">
      <c r="A4527" t="inlineStr">
        <is>
          <t>LD-304525</t>
        </is>
      </c>
      <c r="B4527" t="inlineStr">
        <is>
          <t>2026-03-08 16:19:00</t>
        </is>
      </c>
      <c r="C4527" t="inlineStr">
        <is>
          <t>Referral</t>
        </is>
      </c>
      <c r="D4527" t="inlineStr">
        <is>
          <t>Competitive Exam Prep</t>
        </is>
      </c>
      <c r="E4527" t="inlineStr">
        <is>
          <t>East Region</t>
        </is>
      </c>
      <c r="F4527" t="inlineStr">
        <is>
          <t>Rep_09</t>
        </is>
      </c>
      <c r="G4527" t="n">
        <v>1.96</v>
      </c>
      <c r="H4527" t="inlineStr">
        <is>
          <t>Contacted</t>
        </is>
      </c>
      <c r="I4527" t="inlineStr">
        <is>
          <t>Open</t>
        </is>
      </c>
      <c r="M4527">
        <f>VLOOKUP(H4527,'Stage Order'!$A$2:$B$8,2,FALSE)</f>
        <v/>
      </c>
      <c r="N4527">
        <f>IF(G4527&lt;=1,"1. Under 1 hour",IF(G4527&lt;=24,"2. 1-24 hours",IF(G4527&lt;=72,"3. 1-3 days","4. Over 3 days")))</f>
        <v/>
      </c>
      <c r="O4527">
        <f>TEXT(B4527,"YYYY-MM")</f>
        <v/>
      </c>
    </row>
    <row r="4528">
      <c r="A4528" t="inlineStr">
        <is>
          <t>LD-304526</t>
        </is>
      </c>
      <c r="B4528" t="inlineStr">
        <is>
          <t>2025-03-07 16:12:00</t>
        </is>
      </c>
      <c r="C4528" t="inlineStr">
        <is>
          <t>Social Media</t>
        </is>
      </c>
      <c r="D4528" t="inlineStr">
        <is>
          <t>Study Abroad Prep</t>
        </is>
      </c>
      <c r="E4528" t="inlineStr">
        <is>
          <t>North Region</t>
        </is>
      </c>
      <c r="F4528" t="inlineStr">
        <is>
          <t>Rep_11</t>
        </is>
      </c>
      <c r="G4528" t="n">
        <v>1.21</v>
      </c>
      <c r="H4528" t="inlineStr">
        <is>
          <t>Contacted</t>
        </is>
      </c>
      <c r="I4528" t="inlineStr">
        <is>
          <t>Open</t>
        </is>
      </c>
      <c r="M4528">
        <f>VLOOKUP(H4528,'Stage Order'!$A$2:$B$8,2,FALSE)</f>
        <v/>
      </c>
      <c r="N4528">
        <f>IF(G4528&lt;=1,"1. Under 1 hour",IF(G4528&lt;=24,"2. 1-24 hours",IF(G4528&lt;=72,"3. 1-3 days","4. Over 3 days")))</f>
        <v/>
      </c>
      <c r="O4528">
        <f>TEXT(B4528,"YYYY-MM")</f>
        <v/>
      </c>
    </row>
    <row r="4529">
      <c r="A4529" t="inlineStr">
        <is>
          <t>LD-304527</t>
        </is>
      </c>
      <c r="B4529" t="inlineStr">
        <is>
          <t>2026-06-15 15:59:00</t>
        </is>
      </c>
      <c r="C4529" t="inlineStr">
        <is>
          <t>Webinar</t>
        </is>
      </c>
      <c r="D4529" t="inlineStr">
        <is>
          <t>Competitive Exam Prep</t>
        </is>
      </c>
      <c r="E4529" t="inlineStr">
        <is>
          <t>East Region</t>
        </is>
      </c>
      <c r="F4529" t="inlineStr">
        <is>
          <t>Rep_09</t>
        </is>
      </c>
      <c r="G4529" t="n">
        <v>3.32</v>
      </c>
      <c r="H4529" t="inlineStr">
        <is>
          <t>Proposal Sent</t>
        </is>
      </c>
      <c r="I4529" t="inlineStr">
        <is>
          <t>Lost</t>
        </is>
      </c>
      <c r="J4529" t="inlineStr">
        <is>
          <t>Went With Competitor</t>
        </is>
      </c>
      <c r="K4529" t="n">
        <v>1003.73</v>
      </c>
      <c r="L4529" t="inlineStr">
        <is>
          <t>2026-07-28 05:27:43.434637</t>
        </is>
      </c>
      <c r="M4529">
        <f>VLOOKUP(H4529,'Stage Order'!$A$2:$B$8,2,FALSE)</f>
        <v/>
      </c>
      <c r="N4529">
        <f>IF(G4529&lt;=1,"1. Under 1 hour",IF(G4529&lt;=24,"2. 1-24 hours",IF(G4529&lt;=72,"3. 1-3 days","4. Over 3 days")))</f>
        <v/>
      </c>
      <c r="O4529">
        <f>TEXT(B4529,"YYYY-MM")</f>
        <v/>
      </c>
    </row>
    <row r="4530">
      <c r="A4530" t="inlineStr">
        <is>
          <t>LD-304528</t>
        </is>
      </c>
      <c r="B4530" t="inlineStr">
        <is>
          <t>2026-06-26 14:12:00</t>
        </is>
      </c>
      <c r="C4530" t="inlineStr">
        <is>
          <t>Social Media</t>
        </is>
      </c>
      <c r="D4530" t="inlineStr">
        <is>
          <t>Competitive Exam Prep</t>
        </is>
      </c>
      <c r="E4530" t="inlineStr">
        <is>
          <t>International</t>
        </is>
      </c>
      <c r="F4530" t="inlineStr">
        <is>
          <t>Rep_05</t>
        </is>
      </c>
      <c r="G4530" t="n">
        <v>7.6</v>
      </c>
      <c r="H4530" t="inlineStr">
        <is>
          <t>Contacted</t>
        </is>
      </c>
      <c r="I4530" t="inlineStr">
        <is>
          <t>Open</t>
        </is>
      </c>
      <c r="M4530">
        <f>VLOOKUP(H4530,'Stage Order'!$A$2:$B$8,2,FALSE)</f>
        <v/>
      </c>
      <c r="N4530">
        <f>IF(G4530&lt;=1,"1. Under 1 hour",IF(G4530&lt;=24,"2. 1-24 hours",IF(G4530&lt;=72,"3. 1-3 days","4. Over 3 days")))</f>
        <v/>
      </c>
      <c r="O4530">
        <f>TEXT(B4530,"YYYY-MM")</f>
        <v/>
      </c>
    </row>
    <row r="4531">
      <c r="A4531" t="inlineStr">
        <is>
          <t>LD-304529</t>
        </is>
      </c>
      <c r="B4531" t="inlineStr">
        <is>
          <t>2026-02-20 20:40:00</t>
        </is>
      </c>
      <c r="C4531" t="inlineStr">
        <is>
          <t>Webinar</t>
        </is>
      </c>
      <c r="D4531" t="inlineStr">
        <is>
          <t>Competitive Exam Prep</t>
        </is>
      </c>
      <c r="E4531" t="inlineStr">
        <is>
          <t>South Region</t>
        </is>
      </c>
      <c r="F4531" t="inlineStr">
        <is>
          <t>Rep_02</t>
        </is>
      </c>
      <c r="G4531" t="n">
        <v>4.3</v>
      </c>
      <c r="H4531" t="inlineStr">
        <is>
          <t>Closed</t>
        </is>
      </c>
      <c r="I4531" t="inlineStr">
        <is>
          <t>Won</t>
        </is>
      </c>
      <c r="K4531" t="n">
        <v>1081.97</v>
      </c>
      <c r="L4531" t="inlineStr">
        <is>
          <t>2026-03-15 20:34:51.458298</t>
        </is>
      </c>
      <c r="M4531">
        <f>VLOOKUP(H4531,'Stage Order'!$A$2:$B$8,2,FALSE)</f>
        <v/>
      </c>
      <c r="N4531">
        <f>IF(G4531&lt;=1,"1. Under 1 hour",IF(G4531&lt;=24,"2. 1-24 hours",IF(G4531&lt;=72,"3. 1-3 days","4. Over 3 days")))</f>
        <v/>
      </c>
      <c r="O4531">
        <f>TEXT(B4531,"YYYY-MM")</f>
        <v/>
      </c>
    </row>
    <row r="4532">
      <c r="A4532" t="inlineStr">
        <is>
          <t>LD-304530</t>
        </is>
      </c>
      <c r="B4532" t="inlineStr">
        <is>
          <t>2026-04-17 20:15:00</t>
        </is>
      </c>
      <c r="C4532" t="inlineStr">
        <is>
          <t>Paid Search</t>
        </is>
      </c>
      <c r="D4532" t="inlineStr">
        <is>
          <t>K-12 Math</t>
        </is>
      </c>
      <c r="E4532" t="inlineStr">
        <is>
          <t>West Region</t>
        </is>
      </c>
      <c r="F4532" t="inlineStr">
        <is>
          <t>Rep_03</t>
        </is>
      </c>
      <c r="G4532" t="n">
        <v>3.09</v>
      </c>
      <c r="H4532" t="inlineStr">
        <is>
          <t>Lead</t>
        </is>
      </c>
      <c r="I4532" t="inlineStr">
        <is>
          <t>Open</t>
        </is>
      </c>
      <c r="M4532">
        <f>VLOOKUP(H4532,'Stage Order'!$A$2:$B$8,2,FALSE)</f>
        <v/>
      </c>
      <c r="N4532">
        <f>IF(G4532&lt;=1,"1. Under 1 hour",IF(G4532&lt;=24,"2. 1-24 hours",IF(G4532&lt;=72,"3. 1-3 days","4. Over 3 days")))</f>
        <v/>
      </c>
      <c r="O4532">
        <f>TEXT(B4532,"YYYY-MM")</f>
        <v/>
      </c>
    </row>
    <row r="4533">
      <c r="A4533" t="inlineStr">
        <is>
          <t>LD-304531</t>
        </is>
      </c>
      <c r="B4533" t="inlineStr">
        <is>
          <t>2026-05-22 17:53:00</t>
        </is>
      </c>
      <c r="C4533" t="inlineStr">
        <is>
          <t>Social Media</t>
        </is>
      </c>
      <c r="D4533" t="inlineStr">
        <is>
          <t>K-12 Math</t>
        </is>
      </c>
      <c r="E4533" t="inlineStr">
        <is>
          <t>International</t>
        </is>
      </c>
      <c r="F4533" t="inlineStr">
        <is>
          <t>Rep_05</t>
        </is>
      </c>
      <c r="G4533" t="n">
        <v>2.5</v>
      </c>
      <c r="H4533" t="inlineStr">
        <is>
          <t>Lead</t>
        </is>
      </c>
      <c r="I4533" t="inlineStr">
        <is>
          <t>Open</t>
        </is>
      </c>
      <c r="M4533">
        <f>VLOOKUP(H4533,'Stage Order'!$A$2:$B$8,2,FALSE)</f>
        <v/>
      </c>
      <c r="N4533">
        <f>IF(G4533&lt;=1,"1. Under 1 hour",IF(G4533&lt;=24,"2. 1-24 hours",IF(G4533&lt;=72,"3. 1-3 days","4. Over 3 days")))</f>
        <v/>
      </c>
      <c r="O4533">
        <f>TEXT(B4533,"YYYY-MM")</f>
        <v/>
      </c>
    </row>
    <row r="4534">
      <c r="A4534" t="inlineStr">
        <is>
          <t>LD-304532</t>
        </is>
      </c>
      <c r="B4534" t="inlineStr">
        <is>
          <t>2026-01-22 13:13:00</t>
        </is>
      </c>
      <c r="C4534" t="inlineStr">
        <is>
          <t>Referral</t>
        </is>
      </c>
      <c r="D4534" t="inlineStr">
        <is>
          <t>K-12 Math</t>
        </is>
      </c>
      <c r="E4534" t="inlineStr">
        <is>
          <t>South Region</t>
        </is>
      </c>
      <c r="F4534" t="inlineStr">
        <is>
          <t>Rep_02</t>
        </is>
      </c>
      <c r="G4534" t="n">
        <v>1.56</v>
      </c>
      <c r="H4534" t="inlineStr">
        <is>
          <t>Contacted</t>
        </is>
      </c>
      <c r="I4534" t="inlineStr">
        <is>
          <t>Open</t>
        </is>
      </c>
      <c r="M4534">
        <f>VLOOKUP(H4534,'Stage Order'!$A$2:$B$8,2,FALSE)</f>
        <v/>
      </c>
      <c r="N4534">
        <f>IF(G4534&lt;=1,"1. Under 1 hour",IF(G4534&lt;=24,"2. 1-24 hours",IF(G4534&lt;=72,"3. 1-3 days","4. Over 3 days")))</f>
        <v/>
      </c>
      <c r="O4534">
        <f>TEXT(B4534,"YYYY-MM")</f>
        <v/>
      </c>
    </row>
    <row r="4535">
      <c r="A4535" t="inlineStr">
        <is>
          <t>LD-304533</t>
        </is>
      </c>
      <c r="B4535" t="inlineStr">
        <is>
          <t>2025-01-13 13:44:00</t>
        </is>
      </c>
      <c r="C4535" t="inlineStr">
        <is>
          <t>Partner Channel</t>
        </is>
      </c>
      <c r="D4535" t="inlineStr">
        <is>
          <t>K-12 Math</t>
        </is>
      </c>
      <c r="E4535" t="inlineStr">
        <is>
          <t>East Region</t>
        </is>
      </c>
      <c r="F4535" t="inlineStr">
        <is>
          <t>Rep_09</t>
        </is>
      </c>
      <c r="G4535" t="n">
        <v>7.02</v>
      </c>
      <c r="H4535" t="inlineStr">
        <is>
          <t>Closed</t>
        </is>
      </c>
      <c r="I4535" t="inlineStr">
        <is>
          <t>Won</t>
        </is>
      </c>
      <c r="K4535" t="n">
        <v>474.5</v>
      </c>
      <c r="L4535" t="inlineStr">
        <is>
          <t>2025-03-02 07:58:15.322293</t>
        </is>
      </c>
      <c r="M4535">
        <f>VLOOKUP(H4535,'Stage Order'!$A$2:$B$8,2,FALSE)</f>
        <v/>
      </c>
      <c r="N4535">
        <f>IF(G4535&lt;=1,"1. Under 1 hour",IF(G4535&lt;=24,"2. 1-24 hours",IF(G4535&lt;=72,"3. 1-3 days","4. Over 3 days")))</f>
        <v/>
      </c>
      <c r="O4535">
        <f>TEXT(B4535,"YYYY-MM")</f>
        <v/>
      </c>
    </row>
    <row r="4536">
      <c r="A4536" t="inlineStr">
        <is>
          <t>LD-304534</t>
        </is>
      </c>
      <c r="B4536" t="inlineStr">
        <is>
          <t>2025-06-27 18:07:00</t>
        </is>
      </c>
      <c r="C4536" t="inlineStr">
        <is>
          <t>Partner Channel</t>
        </is>
      </c>
      <c r="D4536" t="inlineStr">
        <is>
          <t>K-12 Math</t>
        </is>
      </c>
      <c r="E4536" t="inlineStr">
        <is>
          <t>North Region</t>
        </is>
      </c>
      <c r="F4536" t="inlineStr">
        <is>
          <t>Rep_06</t>
        </is>
      </c>
      <c r="G4536" t="n">
        <v>3.43</v>
      </c>
      <c r="H4536" t="inlineStr">
        <is>
          <t>Contacted</t>
        </is>
      </c>
      <c r="I4536" t="inlineStr">
        <is>
          <t>Open</t>
        </is>
      </c>
      <c r="M4536">
        <f>VLOOKUP(H4536,'Stage Order'!$A$2:$B$8,2,FALSE)</f>
        <v/>
      </c>
      <c r="N4536">
        <f>IF(G4536&lt;=1,"1. Under 1 hour",IF(G4536&lt;=24,"2. 1-24 hours",IF(G4536&lt;=72,"3. 1-3 days","4. Over 3 days")))</f>
        <v/>
      </c>
      <c r="O4536">
        <f>TEXT(B4536,"YYYY-MM")</f>
        <v/>
      </c>
    </row>
    <row r="4537">
      <c r="A4537" t="inlineStr">
        <is>
          <t>LD-304535</t>
        </is>
      </c>
      <c r="B4537" t="inlineStr">
        <is>
          <t>2026-05-22 10:14:00</t>
        </is>
      </c>
      <c r="C4537" t="inlineStr">
        <is>
          <t>Paid Search</t>
        </is>
      </c>
      <c r="D4537" t="inlineStr">
        <is>
          <t>K-12 Math</t>
        </is>
      </c>
      <c r="E4537" t="inlineStr">
        <is>
          <t>North Region</t>
        </is>
      </c>
      <c r="F4537" t="inlineStr">
        <is>
          <t>Rep_06</t>
        </is>
      </c>
      <c r="G4537" t="n">
        <v>1.06</v>
      </c>
      <c r="H4537" t="inlineStr">
        <is>
          <t>Lead</t>
        </is>
      </c>
      <c r="I4537" t="inlineStr">
        <is>
          <t>Open</t>
        </is>
      </c>
      <c r="M4537">
        <f>VLOOKUP(H4537,'Stage Order'!$A$2:$B$8,2,FALSE)</f>
        <v/>
      </c>
      <c r="N4537">
        <f>IF(G4537&lt;=1,"1. Under 1 hour",IF(G4537&lt;=24,"2. 1-24 hours",IF(G4537&lt;=72,"3. 1-3 days","4. Over 3 days")))</f>
        <v/>
      </c>
      <c r="O4537">
        <f>TEXT(B4537,"YYYY-MM")</f>
        <v/>
      </c>
    </row>
    <row r="4538">
      <c r="A4538" t="inlineStr">
        <is>
          <t>LD-304536</t>
        </is>
      </c>
      <c r="B4538" t="inlineStr">
        <is>
          <t>2025-03-18 08:15:00</t>
        </is>
      </c>
      <c r="C4538" t="inlineStr">
        <is>
          <t>Organic Search</t>
        </is>
      </c>
      <c r="D4538" t="inlineStr">
        <is>
          <t>Competitive Exam Prep</t>
        </is>
      </c>
      <c r="E4538" t="inlineStr">
        <is>
          <t>International</t>
        </is>
      </c>
      <c r="F4538" t="inlineStr">
        <is>
          <t>Rep_15</t>
        </is>
      </c>
      <c r="G4538" t="n">
        <v>7.16</v>
      </c>
      <c r="H4538" t="inlineStr">
        <is>
          <t>Contacted</t>
        </is>
      </c>
      <c r="I4538" t="inlineStr">
        <is>
          <t>Open</t>
        </is>
      </c>
      <c r="M4538">
        <f>VLOOKUP(H4538,'Stage Order'!$A$2:$B$8,2,FALSE)</f>
        <v/>
      </c>
      <c r="N4538">
        <f>IF(G4538&lt;=1,"1. Under 1 hour",IF(G4538&lt;=24,"2. 1-24 hours",IF(G4538&lt;=72,"3. 1-3 days","4. Over 3 days")))</f>
        <v/>
      </c>
      <c r="O4538">
        <f>TEXT(B4538,"YYYY-MM")</f>
        <v/>
      </c>
    </row>
    <row r="4539">
      <c r="A4539" t="inlineStr">
        <is>
          <t>LD-304537</t>
        </is>
      </c>
      <c r="B4539" t="inlineStr">
        <is>
          <t>2025-02-25 17:32:00</t>
        </is>
      </c>
      <c r="C4539" t="inlineStr">
        <is>
          <t>Partner Channel</t>
        </is>
      </c>
      <c r="D4539" t="inlineStr">
        <is>
          <t>K-12 Math</t>
        </is>
      </c>
      <c r="E4539" t="inlineStr">
        <is>
          <t>North Region</t>
        </is>
      </c>
      <c r="F4539" t="inlineStr">
        <is>
          <t>Rep_11</t>
        </is>
      </c>
      <c r="G4539" t="n">
        <v>5.64</v>
      </c>
      <c r="H4539" t="inlineStr">
        <is>
          <t>Contacted</t>
        </is>
      </c>
      <c r="I4539" t="inlineStr">
        <is>
          <t>Open</t>
        </is>
      </c>
      <c r="M4539">
        <f>VLOOKUP(H4539,'Stage Order'!$A$2:$B$8,2,FALSE)</f>
        <v/>
      </c>
      <c r="N4539">
        <f>IF(G4539&lt;=1,"1. Under 1 hour",IF(G4539&lt;=24,"2. 1-24 hours",IF(G4539&lt;=72,"3. 1-3 days","4. Over 3 days")))</f>
        <v/>
      </c>
      <c r="O4539">
        <f>TEXT(B4539,"YYYY-MM")</f>
        <v/>
      </c>
    </row>
    <row r="4540">
      <c r="A4540" t="inlineStr">
        <is>
          <t>LD-304538</t>
        </is>
      </c>
      <c r="B4540" t="inlineStr">
        <is>
          <t>2025-05-13 10:50:00</t>
        </is>
      </c>
      <c r="C4540" t="inlineStr">
        <is>
          <t>Social Media</t>
        </is>
      </c>
      <c r="D4540" t="inlineStr">
        <is>
          <t>Language Learning</t>
        </is>
      </c>
      <c r="E4540" t="inlineStr">
        <is>
          <t>South Region</t>
        </is>
      </c>
      <c r="F4540" t="inlineStr">
        <is>
          <t>Rep_02</t>
        </is>
      </c>
      <c r="G4540" t="n">
        <v>2.06</v>
      </c>
      <c r="H4540" t="inlineStr">
        <is>
          <t>Proposal Sent</t>
        </is>
      </c>
      <c r="I4540" t="inlineStr">
        <is>
          <t>Lost</t>
        </is>
      </c>
      <c r="J4540" t="inlineStr">
        <is>
          <t>Price Objection</t>
        </is>
      </c>
      <c r="K4540" t="n">
        <v>312.87</v>
      </c>
      <c r="L4540" t="inlineStr">
        <is>
          <t>2025-06-23 10:59:34.355969</t>
        </is>
      </c>
      <c r="M4540">
        <f>VLOOKUP(H4540,'Stage Order'!$A$2:$B$8,2,FALSE)</f>
        <v/>
      </c>
      <c r="N4540">
        <f>IF(G4540&lt;=1,"1. Under 1 hour",IF(G4540&lt;=24,"2. 1-24 hours",IF(G4540&lt;=72,"3. 1-3 days","4. Over 3 days")))</f>
        <v/>
      </c>
      <c r="O4540">
        <f>TEXT(B4540,"YYYY-MM")</f>
        <v/>
      </c>
    </row>
    <row r="4541">
      <c r="A4541" t="inlineStr">
        <is>
          <t>LD-304539</t>
        </is>
      </c>
      <c r="B4541" t="inlineStr">
        <is>
          <t>2025-08-20 20:11:00</t>
        </is>
      </c>
      <c r="C4541" t="inlineStr">
        <is>
          <t>Referral</t>
        </is>
      </c>
      <c r="D4541" t="inlineStr">
        <is>
          <t>K-12 Math</t>
        </is>
      </c>
      <c r="E4541" t="inlineStr">
        <is>
          <t>South Region</t>
        </is>
      </c>
      <c r="F4541" t="inlineStr">
        <is>
          <t>Rep_12</t>
        </is>
      </c>
      <c r="G4541" t="n">
        <v>1.06</v>
      </c>
      <c r="H4541" t="inlineStr">
        <is>
          <t>Closed</t>
        </is>
      </c>
      <c r="I4541" t="inlineStr">
        <is>
          <t>Won</t>
        </is>
      </c>
      <c r="K4541" t="n">
        <v>525.87</v>
      </c>
      <c r="L4541" t="inlineStr">
        <is>
          <t>2025-10-06 14:07:06.285783</t>
        </is>
      </c>
      <c r="M4541">
        <f>VLOOKUP(H4541,'Stage Order'!$A$2:$B$8,2,FALSE)</f>
        <v/>
      </c>
      <c r="N4541">
        <f>IF(G4541&lt;=1,"1. Under 1 hour",IF(G4541&lt;=24,"2. 1-24 hours",IF(G4541&lt;=72,"3. 1-3 days","4. Over 3 days")))</f>
        <v/>
      </c>
      <c r="O4541">
        <f>TEXT(B4541,"YYYY-MM")</f>
        <v/>
      </c>
    </row>
    <row r="4542">
      <c r="A4542" t="inlineStr">
        <is>
          <t>LD-304540</t>
        </is>
      </c>
      <c r="B4542" t="inlineStr">
        <is>
          <t>2025-09-26 10:31:00</t>
        </is>
      </c>
      <c r="C4542" t="inlineStr">
        <is>
          <t>Cold Outreach</t>
        </is>
      </c>
      <c r="D4542" t="inlineStr">
        <is>
          <t>K-12 Math</t>
        </is>
      </c>
      <c r="E4542" t="inlineStr">
        <is>
          <t>International</t>
        </is>
      </c>
      <c r="F4542" t="inlineStr">
        <is>
          <t>Rep_10</t>
        </is>
      </c>
      <c r="G4542" t="n">
        <v>0.73</v>
      </c>
      <c r="H4542" t="inlineStr">
        <is>
          <t>Lead</t>
        </is>
      </c>
      <c r="I4542" t="inlineStr">
        <is>
          <t>Open</t>
        </is>
      </c>
      <c r="M4542">
        <f>VLOOKUP(H4542,'Stage Order'!$A$2:$B$8,2,FALSE)</f>
        <v/>
      </c>
      <c r="N4542">
        <f>IF(G4542&lt;=1,"1. Under 1 hour",IF(G4542&lt;=24,"2. 1-24 hours",IF(G4542&lt;=72,"3. 1-3 days","4. Over 3 days")))</f>
        <v/>
      </c>
      <c r="O4542">
        <f>TEXT(B4542,"YYYY-MM")</f>
        <v/>
      </c>
    </row>
    <row r="4543">
      <c r="A4543" t="inlineStr">
        <is>
          <t>LD-304541</t>
        </is>
      </c>
      <c r="B4543" t="inlineStr">
        <is>
          <t>2026-03-04 14:39:00</t>
        </is>
      </c>
      <c r="C4543" t="inlineStr">
        <is>
          <t>Webinar</t>
        </is>
      </c>
      <c r="D4543" t="inlineStr">
        <is>
          <t>Study Abroad Prep</t>
        </is>
      </c>
      <c r="E4543" t="inlineStr">
        <is>
          <t>North Region</t>
        </is>
      </c>
      <c r="F4543" t="inlineStr">
        <is>
          <t>Rep_06</t>
        </is>
      </c>
      <c r="G4543" t="n">
        <v>2.65</v>
      </c>
      <c r="H4543" t="inlineStr">
        <is>
          <t>Contacted</t>
        </is>
      </c>
      <c r="I4543" t="inlineStr">
        <is>
          <t>Open</t>
        </is>
      </c>
      <c r="M4543">
        <f>VLOOKUP(H4543,'Stage Order'!$A$2:$B$8,2,FALSE)</f>
        <v/>
      </c>
      <c r="N4543">
        <f>IF(G4543&lt;=1,"1. Under 1 hour",IF(G4543&lt;=24,"2. 1-24 hours",IF(G4543&lt;=72,"3. 1-3 days","4. Over 3 days")))</f>
        <v/>
      </c>
      <c r="O4543">
        <f>TEXT(B4543,"YYYY-MM")</f>
        <v/>
      </c>
    </row>
    <row r="4544">
      <c r="A4544" t="inlineStr">
        <is>
          <t>LD-304542</t>
        </is>
      </c>
      <c r="B4544" t="inlineStr">
        <is>
          <t>2025-12-31 13:49:00</t>
        </is>
      </c>
      <c r="C4544" t="inlineStr">
        <is>
          <t>Paid Search</t>
        </is>
      </c>
      <c r="D4544" t="inlineStr">
        <is>
          <t>Competitive Exam Prep</t>
        </is>
      </c>
      <c r="E4544" t="inlineStr">
        <is>
          <t>West Region</t>
        </is>
      </c>
      <c r="F4544" t="inlineStr">
        <is>
          <t>Rep_08</t>
        </is>
      </c>
      <c r="G4544" t="n">
        <v>2.49</v>
      </c>
      <c r="H4544" t="inlineStr">
        <is>
          <t>Closed</t>
        </is>
      </c>
      <c r="I4544" t="inlineStr">
        <is>
          <t>Won</t>
        </is>
      </c>
      <c r="K4544" t="n">
        <v>860.67</v>
      </c>
      <c r="L4544" t="inlineStr">
        <is>
          <t>2026-02-04 18:07:53.032712</t>
        </is>
      </c>
      <c r="M4544">
        <f>VLOOKUP(H4544,'Stage Order'!$A$2:$B$8,2,FALSE)</f>
        <v/>
      </c>
      <c r="N4544">
        <f>IF(G4544&lt;=1,"1. Under 1 hour",IF(G4544&lt;=24,"2. 1-24 hours",IF(G4544&lt;=72,"3. 1-3 days","4. Over 3 days")))</f>
        <v/>
      </c>
      <c r="O4544">
        <f>TEXT(B4544,"YYYY-MM")</f>
        <v/>
      </c>
    </row>
    <row r="4545">
      <c r="A4545" t="inlineStr">
        <is>
          <t>LD-304543</t>
        </is>
      </c>
      <c r="B4545" t="inlineStr">
        <is>
          <t>2025-12-24 17:27:00</t>
        </is>
      </c>
      <c r="C4545" t="inlineStr">
        <is>
          <t>Referral</t>
        </is>
      </c>
      <c r="D4545" t="inlineStr">
        <is>
          <t>Competitive Exam Prep</t>
        </is>
      </c>
      <c r="E4545" t="inlineStr">
        <is>
          <t>South Region</t>
        </is>
      </c>
      <c r="F4545" t="inlineStr">
        <is>
          <t>Rep_12</t>
        </is>
      </c>
      <c r="G4545" t="n">
        <v>0.99</v>
      </c>
      <c r="H4545" t="inlineStr">
        <is>
          <t>Demo Scheduled</t>
        </is>
      </c>
      <c r="I4545" t="inlineStr">
        <is>
          <t>Open</t>
        </is>
      </c>
      <c r="M4545">
        <f>VLOOKUP(H4545,'Stage Order'!$A$2:$B$8,2,FALSE)</f>
        <v/>
      </c>
      <c r="N4545">
        <f>IF(G4545&lt;=1,"1. Under 1 hour",IF(G4545&lt;=24,"2. 1-24 hours",IF(G4545&lt;=72,"3. 1-3 days","4. Over 3 days")))</f>
        <v/>
      </c>
      <c r="O4545">
        <f>TEXT(B4545,"YYYY-MM")</f>
        <v/>
      </c>
    </row>
    <row r="4546">
      <c r="A4546" t="inlineStr">
        <is>
          <t>LD-304544</t>
        </is>
      </c>
      <c r="B4546" t="inlineStr">
        <is>
          <t>2026-01-30 09:35:00</t>
        </is>
      </c>
      <c r="C4546" t="inlineStr">
        <is>
          <t>Social Media</t>
        </is>
      </c>
      <c r="D4546" t="inlineStr">
        <is>
          <t>Coding for Kids</t>
        </is>
      </c>
      <c r="E4546" t="inlineStr">
        <is>
          <t>West Region</t>
        </is>
      </c>
      <c r="F4546" t="inlineStr">
        <is>
          <t>Rep_13</t>
        </is>
      </c>
      <c r="G4546" t="n">
        <v>0.22</v>
      </c>
      <c r="H4546" t="inlineStr">
        <is>
          <t>Closed</t>
        </is>
      </c>
      <c r="I4546" t="inlineStr">
        <is>
          <t>Won</t>
        </is>
      </c>
      <c r="K4546" t="n">
        <v>572.58</v>
      </c>
      <c r="L4546" t="inlineStr">
        <is>
          <t>2026-03-16 07:01:26.330859</t>
        </is>
      </c>
      <c r="M4546">
        <f>VLOOKUP(H4546,'Stage Order'!$A$2:$B$8,2,FALSE)</f>
        <v/>
      </c>
      <c r="N4546">
        <f>IF(G4546&lt;=1,"1. Under 1 hour",IF(G4546&lt;=24,"2. 1-24 hours",IF(G4546&lt;=72,"3. 1-3 days","4. Over 3 days")))</f>
        <v/>
      </c>
      <c r="O4546">
        <f>TEXT(B4546,"YYYY-MM")</f>
        <v/>
      </c>
    </row>
    <row r="4547">
      <c r="A4547" t="inlineStr">
        <is>
          <t>LD-304545</t>
        </is>
      </c>
      <c r="B4547" t="inlineStr">
        <is>
          <t>2025-08-05 09:13:00</t>
        </is>
      </c>
      <c r="C4547" t="inlineStr">
        <is>
          <t>Organic Search</t>
        </is>
      </c>
      <c r="D4547" t="inlineStr">
        <is>
          <t>K-12 Math</t>
        </is>
      </c>
      <c r="E4547" t="inlineStr">
        <is>
          <t>East Region</t>
        </is>
      </c>
      <c r="F4547" t="inlineStr">
        <is>
          <t>Rep_14</t>
        </is>
      </c>
      <c r="G4547" t="n">
        <v>1.15</v>
      </c>
      <c r="H4547" t="inlineStr">
        <is>
          <t>Lead</t>
        </is>
      </c>
      <c r="I4547" t="inlineStr">
        <is>
          <t>Open</t>
        </is>
      </c>
      <c r="M4547">
        <f>VLOOKUP(H4547,'Stage Order'!$A$2:$B$8,2,FALSE)</f>
        <v/>
      </c>
      <c r="N4547">
        <f>IF(G4547&lt;=1,"1. Under 1 hour",IF(G4547&lt;=24,"2. 1-24 hours",IF(G4547&lt;=72,"3. 1-3 days","4. Over 3 days")))</f>
        <v/>
      </c>
      <c r="O4547">
        <f>TEXT(B4547,"YYYY-MM")</f>
        <v/>
      </c>
    </row>
    <row r="4548">
      <c r="A4548" t="inlineStr">
        <is>
          <t>LD-304546</t>
        </is>
      </c>
      <c r="B4548" t="inlineStr">
        <is>
          <t>2025-08-26 12:15:00</t>
        </is>
      </c>
      <c r="C4548" t="inlineStr">
        <is>
          <t>Organic Search</t>
        </is>
      </c>
      <c r="D4548" t="inlineStr">
        <is>
          <t>Coding for Kids</t>
        </is>
      </c>
      <c r="E4548" t="inlineStr">
        <is>
          <t>South Region</t>
        </is>
      </c>
      <c r="F4548" t="inlineStr">
        <is>
          <t>Rep_02</t>
        </is>
      </c>
      <c r="G4548" t="n">
        <v>1.41</v>
      </c>
      <c r="H4548" t="inlineStr">
        <is>
          <t>Contacted</t>
        </is>
      </c>
      <c r="I4548" t="inlineStr">
        <is>
          <t>Open</t>
        </is>
      </c>
      <c r="M4548">
        <f>VLOOKUP(H4548,'Stage Order'!$A$2:$B$8,2,FALSE)</f>
        <v/>
      </c>
      <c r="N4548">
        <f>IF(G4548&lt;=1,"1. Under 1 hour",IF(G4548&lt;=24,"2. 1-24 hours",IF(G4548&lt;=72,"3. 1-3 days","4. Over 3 days")))</f>
        <v/>
      </c>
      <c r="O4548">
        <f>TEXT(B4548,"YYYY-MM")</f>
        <v/>
      </c>
    </row>
    <row r="4549">
      <c r="A4549" t="inlineStr">
        <is>
          <t>LD-304547</t>
        </is>
      </c>
      <c r="B4549" t="inlineStr">
        <is>
          <t>2026-02-02 17:10:00</t>
        </is>
      </c>
      <c r="C4549" t="inlineStr">
        <is>
          <t>Paid Search</t>
        </is>
      </c>
      <c r="D4549" t="inlineStr">
        <is>
          <t>Language Learning</t>
        </is>
      </c>
      <c r="E4549" t="inlineStr">
        <is>
          <t>West Region</t>
        </is>
      </c>
      <c r="F4549" t="inlineStr">
        <is>
          <t>Rep_08</t>
        </is>
      </c>
      <c r="G4549" t="n">
        <v>2.5</v>
      </c>
      <c r="H4549" t="inlineStr">
        <is>
          <t>Demo Completed</t>
        </is>
      </c>
      <c r="I4549" t="inlineStr">
        <is>
          <t>Lost</t>
        </is>
      </c>
      <c r="J4549" t="inlineStr">
        <is>
          <t>Price Objection</t>
        </is>
      </c>
      <c r="K4549" t="n">
        <v>333.19</v>
      </c>
      <c r="L4549" t="inlineStr">
        <is>
          <t>2026-03-08 09:37:41.951342</t>
        </is>
      </c>
      <c r="M4549">
        <f>VLOOKUP(H4549,'Stage Order'!$A$2:$B$8,2,FALSE)</f>
        <v/>
      </c>
      <c r="N4549">
        <f>IF(G4549&lt;=1,"1. Under 1 hour",IF(G4549&lt;=24,"2. 1-24 hours",IF(G4549&lt;=72,"3. 1-3 days","4. Over 3 days")))</f>
        <v/>
      </c>
      <c r="O4549">
        <f>TEXT(B4549,"YYYY-MM")</f>
        <v/>
      </c>
    </row>
    <row r="4550">
      <c r="A4550" t="inlineStr">
        <is>
          <t>LD-304548</t>
        </is>
      </c>
      <c r="B4550" t="inlineStr">
        <is>
          <t>2026-04-29 20:20:00</t>
        </is>
      </c>
      <c r="C4550" t="inlineStr">
        <is>
          <t>Cold Outreach</t>
        </is>
      </c>
      <c r="D4550" t="inlineStr">
        <is>
          <t>K-12 Math</t>
        </is>
      </c>
      <c r="E4550" t="inlineStr">
        <is>
          <t>North Region</t>
        </is>
      </c>
      <c r="F4550" t="inlineStr">
        <is>
          <t>Rep_06</t>
        </is>
      </c>
      <c r="G4550" t="n">
        <v>8.300000000000001</v>
      </c>
      <c r="H4550" t="inlineStr">
        <is>
          <t>Lead</t>
        </is>
      </c>
      <c r="I4550" t="inlineStr">
        <is>
          <t>Open</t>
        </is>
      </c>
      <c r="M4550">
        <f>VLOOKUP(H4550,'Stage Order'!$A$2:$B$8,2,FALSE)</f>
        <v/>
      </c>
      <c r="N4550">
        <f>IF(G4550&lt;=1,"1. Under 1 hour",IF(G4550&lt;=24,"2. 1-24 hours",IF(G4550&lt;=72,"3. 1-3 days","4. Over 3 days")))</f>
        <v/>
      </c>
      <c r="O4550">
        <f>TEXT(B4550,"YYYY-MM")</f>
        <v/>
      </c>
    </row>
    <row r="4551">
      <c r="A4551" t="inlineStr">
        <is>
          <t>LD-304549</t>
        </is>
      </c>
      <c r="B4551" t="inlineStr">
        <is>
          <t>2026-03-03 19:25:00</t>
        </is>
      </c>
      <c r="C4551" t="inlineStr">
        <is>
          <t>Partner Channel</t>
        </is>
      </c>
      <c r="D4551" t="inlineStr">
        <is>
          <t>K-12 Math</t>
        </is>
      </c>
      <c r="E4551" t="inlineStr">
        <is>
          <t>International</t>
        </is>
      </c>
      <c r="F4551" t="inlineStr">
        <is>
          <t>Rep_05</t>
        </is>
      </c>
      <c r="G4551" t="n">
        <v>4</v>
      </c>
      <c r="H4551" t="inlineStr">
        <is>
          <t>Demo Completed</t>
        </is>
      </c>
      <c r="I4551" t="inlineStr">
        <is>
          <t>Lost</t>
        </is>
      </c>
      <c r="J4551" t="inlineStr">
        <is>
          <t>Bad Timing</t>
        </is>
      </c>
      <c r="K4551" t="n">
        <v>580.5</v>
      </c>
      <c r="L4551" t="inlineStr">
        <is>
          <t>2026-03-30 19:41:18.556300</t>
        </is>
      </c>
      <c r="M4551">
        <f>VLOOKUP(H4551,'Stage Order'!$A$2:$B$8,2,FALSE)</f>
        <v/>
      </c>
      <c r="N4551">
        <f>IF(G4551&lt;=1,"1. Under 1 hour",IF(G4551&lt;=24,"2. 1-24 hours",IF(G4551&lt;=72,"3. 1-3 days","4. Over 3 days")))</f>
        <v/>
      </c>
      <c r="O4551">
        <f>TEXT(B4551,"YYYY-MM")</f>
        <v/>
      </c>
    </row>
    <row r="4552">
      <c r="A4552" t="inlineStr">
        <is>
          <t>LD-304550</t>
        </is>
      </c>
      <c r="B4552" t="inlineStr">
        <is>
          <t>2026-04-06 19:42:00</t>
        </is>
      </c>
      <c r="C4552" t="inlineStr">
        <is>
          <t>Referral</t>
        </is>
      </c>
      <c r="D4552" t="inlineStr">
        <is>
          <t>Study Abroad Prep</t>
        </is>
      </c>
      <c r="E4552" t="inlineStr">
        <is>
          <t>International</t>
        </is>
      </c>
      <c r="F4552" t="inlineStr">
        <is>
          <t>Rep_10</t>
        </is>
      </c>
      <c r="G4552" t="n">
        <v>3.71</v>
      </c>
      <c r="H4552" t="inlineStr">
        <is>
          <t>Demo Completed</t>
        </is>
      </c>
      <c r="I4552" t="inlineStr">
        <is>
          <t>Lost</t>
        </is>
      </c>
      <c r="J4552" t="inlineStr">
        <is>
          <t>Went With Competitor</t>
        </is>
      </c>
      <c r="K4552" t="n">
        <v>1727.91</v>
      </c>
      <c r="L4552" t="inlineStr">
        <is>
          <t>2026-05-20 18:36:46.079750</t>
        </is>
      </c>
      <c r="M4552">
        <f>VLOOKUP(H4552,'Stage Order'!$A$2:$B$8,2,FALSE)</f>
        <v/>
      </c>
      <c r="N4552">
        <f>IF(G4552&lt;=1,"1. Under 1 hour",IF(G4552&lt;=24,"2. 1-24 hours",IF(G4552&lt;=72,"3. 1-3 days","4. Over 3 days")))</f>
        <v/>
      </c>
      <c r="O4552">
        <f>TEXT(B4552,"YYYY-MM")</f>
        <v/>
      </c>
    </row>
    <row r="4553">
      <c r="A4553" t="inlineStr">
        <is>
          <t>LD-304551</t>
        </is>
      </c>
      <c r="B4553" t="inlineStr">
        <is>
          <t>2025-11-14 07:47:00</t>
        </is>
      </c>
      <c r="C4553" t="inlineStr">
        <is>
          <t>Webinar</t>
        </is>
      </c>
      <c r="D4553" t="inlineStr">
        <is>
          <t>Competitive Exam Prep</t>
        </is>
      </c>
      <c r="E4553" t="inlineStr">
        <is>
          <t>International</t>
        </is>
      </c>
      <c r="F4553" t="inlineStr">
        <is>
          <t>Rep_05</t>
        </is>
      </c>
      <c r="G4553" t="n">
        <v>1.96</v>
      </c>
      <c r="H4553" t="inlineStr">
        <is>
          <t>Contacted</t>
        </is>
      </c>
      <c r="I4553" t="inlineStr">
        <is>
          <t>Open</t>
        </is>
      </c>
      <c r="M4553">
        <f>VLOOKUP(H4553,'Stage Order'!$A$2:$B$8,2,FALSE)</f>
        <v/>
      </c>
      <c r="N4553">
        <f>IF(G4553&lt;=1,"1. Under 1 hour",IF(G4553&lt;=24,"2. 1-24 hours",IF(G4553&lt;=72,"3. 1-3 days","4. Over 3 days")))</f>
        <v/>
      </c>
      <c r="O4553">
        <f>TEXT(B4553,"YYYY-MM")</f>
        <v/>
      </c>
    </row>
    <row r="4554">
      <c r="A4554" t="inlineStr">
        <is>
          <t>LD-304552</t>
        </is>
      </c>
      <c r="B4554" t="inlineStr">
        <is>
          <t>2025-02-24 14:26:00</t>
        </is>
      </c>
      <c r="C4554" t="inlineStr">
        <is>
          <t>Organic Search</t>
        </is>
      </c>
      <c r="D4554" t="inlineStr">
        <is>
          <t>Competitive Exam Prep</t>
        </is>
      </c>
      <c r="E4554" t="inlineStr">
        <is>
          <t>North Region</t>
        </is>
      </c>
      <c r="F4554" t="inlineStr">
        <is>
          <t>Rep_11</t>
        </is>
      </c>
      <c r="G4554" t="n">
        <v>1.73</v>
      </c>
      <c r="H4554" t="inlineStr">
        <is>
          <t>Contacted</t>
        </is>
      </c>
      <c r="I4554" t="inlineStr">
        <is>
          <t>Open</t>
        </is>
      </c>
      <c r="M4554">
        <f>VLOOKUP(H4554,'Stage Order'!$A$2:$B$8,2,FALSE)</f>
        <v/>
      </c>
      <c r="N4554">
        <f>IF(G4554&lt;=1,"1. Under 1 hour",IF(G4554&lt;=24,"2. 1-24 hours",IF(G4554&lt;=72,"3. 1-3 days","4. Over 3 days")))</f>
        <v/>
      </c>
      <c r="O4554">
        <f>TEXT(B4554,"YYYY-MM")</f>
        <v/>
      </c>
    </row>
    <row r="4555">
      <c r="A4555" t="inlineStr">
        <is>
          <t>LD-304553</t>
        </is>
      </c>
      <c r="B4555" t="inlineStr">
        <is>
          <t>2025-05-09 12:34:00</t>
        </is>
      </c>
      <c r="C4555" t="inlineStr">
        <is>
          <t>Paid Search</t>
        </is>
      </c>
      <c r="D4555" t="inlineStr">
        <is>
          <t>Coding for Kids</t>
        </is>
      </c>
      <c r="E4555" t="inlineStr">
        <is>
          <t>International</t>
        </is>
      </c>
      <c r="F4555" t="inlineStr">
        <is>
          <t>Rep_05</t>
        </is>
      </c>
      <c r="G4555" t="n">
        <v>8.09</v>
      </c>
      <c r="H4555" t="inlineStr">
        <is>
          <t>Lead</t>
        </is>
      </c>
      <c r="I4555" t="inlineStr">
        <is>
          <t>Open</t>
        </is>
      </c>
      <c r="M4555">
        <f>VLOOKUP(H4555,'Stage Order'!$A$2:$B$8,2,FALSE)</f>
        <v/>
      </c>
      <c r="N4555">
        <f>IF(G4555&lt;=1,"1. Under 1 hour",IF(G4555&lt;=24,"2. 1-24 hours",IF(G4555&lt;=72,"3. 1-3 days","4. Over 3 days")))</f>
        <v/>
      </c>
      <c r="O4555">
        <f>TEXT(B4555,"YYYY-MM")</f>
        <v/>
      </c>
    </row>
    <row r="4556">
      <c r="A4556" t="inlineStr">
        <is>
          <t>LD-304554</t>
        </is>
      </c>
      <c r="B4556" t="inlineStr">
        <is>
          <t>2025-01-27 15:05:00</t>
        </is>
      </c>
      <c r="C4556" t="inlineStr">
        <is>
          <t>Paid Search</t>
        </is>
      </c>
      <c r="D4556" t="inlineStr">
        <is>
          <t>Competitive Exam Prep</t>
        </is>
      </c>
      <c r="E4556" t="inlineStr">
        <is>
          <t>International</t>
        </is>
      </c>
      <c r="F4556" t="inlineStr">
        <is>
          <t>Rep_05</t>
        </is>
      </c>
      <c r="G4556" t="n">
        <v>4.45</v>
      </c>
      <c r="H4556" t="inlineStr">
        <is>
          <t>Demo Completed</t>
        </is>
      </c>
      <c r="I4556" t="inlineStr">
        <is>
          <t>Lost</t>
        </is>
      </c>
      <c r="J4556" t="inlineStr">
        <is>
          <t>Price Objection</t>
        </is>
      </c>
      <c r="K4556" t="n">
        <v>1015.19</v>
      </c>
      <c r="L4556" t="inlineStr">
        <is>
          <t>2025-02-28 03:25:39.373973</t>
        </is>
      </c>
      <c r="M4556">
        <f>VLOOKUP(H4556,'Stage Order'!$A$2:$B$8,2,FALSE)</f>
        <v/>
      </c>
      <c r="N4556">
        <f>IF(G4556&lt;=1,"1. Under 1 hour",IF(G4556&lt;=24,"2. 1-24 hours",IF(G4556&lt;=72,"3. 1-3 days","4. Over 3 days")))</f>
        <v/>
      </c>
      <c r="O4556">
        <f>TEXT(B4556,"YYYY-MM")</f>
        <v/>
      </c>
    </row>
    <row r="4557">
      <c r="A4557" t="inlineStr">
        <is>
          <t>LD-304555</t>
        </is>
      </c>
      <c r="B4557" t="inlineStr">
        <is>
          <t>2025-12-26 16:57:00</t>
        </is>
      </c>
      <c r="C4557" t="inlineStr">
        <is>
          <t>Organic Search</t>
        </is>
      </c>
      <c r="D4557" t="inlineStr">
        <is>
          <t>Coding for Kids</t>
        </is>
      </c>
      <c r="E4557" t="inlineStr">
        <is>
          <t>West Region</t>
        </is>
      </c>
      <c r="F4557" t="inlineStr">
        <is>
          <t>Rep_03</t>
        </is>
      </c>
      <c r="G4557" t="n">
        <v>23.89</v>
      </c>
      <c r="H4557" t="inlineStr">
        <is>
          <t>Closed</t>
        </is>
      </c>
      <c r="I4557" t="inlineStr">
        <is>
          <t>Won</t>
        </is>
      </c>
      <c r="K4557" t="n">
        <v>745.78</v>
      </c>
      <c r="L4557" t="inlineStr">
        <is>
          <t>2026-01-21 23:22:34.840876</t>
        </is>
      </c>
      <c r="M4557">
        <f>VLOOKUP(H4557,'Stage Order'!$A$2:$B$8,2,FALSE)</f>
        <v/>
      </c>
      <c r="N4557">
        <f>IF(G4557&lt;=1,"1. Under 1 hour",IF(G4557&lt;=24,"2. 1-24 hours",IF(G4557&lt;=72,"3. 1-3 days","4. Over 3 days")))</f>
        <v/>
      </c>
      <c r="O4557">
        <f>TEXT(B4557,"YYYY-MM")</f>
        <v/>
      </c>
    </row>
    <row r="4558">
      <c r="A4558" t="inlineStr">
        <is>
          <t>LD-304556</t>
        </is>
      </c>
      <c r="B4558" t="inlineStr">
        <is>
          <t>2025-10-10 15:39:00</t>
        </is>
      </c>
      <c r="C4558" t="inlineStr">
        <is>
          <t>Cold Outreach</t>
        </is>
      </c>
      <c r="D4558" t="inlineStr">
        <is>
          <t>Coding for Kids</t>
        </is>
      </c>
      <c r="E4558" t="inlineStr">
        <is>
          <t>East Region</t>
        </is>
      </c>
      <c r="F4558" t="inlineStr">
        <is>
          <t>Rep_09</t>
        </is>
      </c>
      <c r="G4558" t="n">
        <v>4.65</v>
      </c>
      <c r="H4558" t="inlineStr">
        <is>
          <t>Contacted</t>
        </is>
      </c>
      <c r="I4558" t="inlineStr">
        <is>
          <t>Open</t>
        </is>
      </c>
      <c r="M4558">
        <f>VLOOKUP(H4558,'Stage Order'!$A$2:$B$8,2,FALSE)</f>
        <v/>
      </c>
      <c r="N4558">
        <f>IF(G4558&lt;=1,"1. Under 1 hour",IF(G4558&lt;=24,"2. 1-24 hours",IF(G4558&lt;=72,"3. 1-3 days","4. Over 3 days")))</f>
        <v/>
      </c>
      <c r="O4558">
        <f>TEXT(B4558,"YYYY-MM")</f>
        <v/>
      </c>
    </row>
    <row r="4559">
      <c r="A4559" t="inlineStr">
        <is>
          <t>LD-304557</t>
        </is>
      </c>
      <c r="B4559" t="inlineStr">
        <is>
          <t>2025-02-23 12:25:00</t>
        </is>
      </c>
      <c r="C4559" t="inlineStr">
        <is>
          <t>Webinar</t>
        </is>
      </c>
      <c r="D4559" t="inlineStr">
        <is>
          <t>Coding for Kids</t>
        </is>
      </c>
      <c r="E4559" t="inlineStr">
        <is>
          <t>East Region</t>
        </is>
      </c>
      <c r="F4559" t="inlineStr">
        <is>
          <t>Rep_14</t>
        </is>
      </c>
      <c r="G4559" t="n">
        <v>9.01</v>
      </c>
      <c r="H4559" t="inlineStr">
        <is>
          <t>Contacted</t>
        </is>
      </c>
      <c r="I4559" t="inlineStr">
        <is>
          <t>Open</t>
        </is>
      </c>
      <c r="M4559">
        <f>VLOOKUP(H4559,'Stage Order'!$A$2:$B$8,2,FALSE)</f>
        <v/>
      </c>
      <c r="N4559">
        <f>IF(G4559&lt;=1,"1. Under 1 hour",IF(G4559&lt;=24,"2. 1-24 hours",IF(G4559&lt;=72,"3. 1-3 days","4. Over 3 days")))</f>
        <v/>
      </c>
      <c r="O4559">
        <f>TEXT(B4559,"YYYY-MM")</f>
        <v/>
      </c>
    </row>
    <row r="4560">
      <c r="A4560" t="inlineStr">
        <is>
          <t>LD-304558</t>
        </is>
      </c>
      <c r="B4560" t="inlineStr">
        <is>
          <t>2025-03-28 15:09:00</t>
        </is>
      </c>
      <c r="C4560" t="inlineStr">
        <is>
          <t>Partner Channel</t>
        </is>
      </c>
      <c r="D4560" t="inlineStr">
        <is>
          <t>Study Abroad Prep</t>
        </is>
      </c>
      <c r="E4560" t="inlineStr">
        <is>
          <t>North Region</t>
        </is>
      </c>
      <c r="F4560" t="inlineStr">
        <is>
          <t>Rep_01</t>
        </is>
      </c>
      <c r="G4560" t="n">
        <v>3.67</v>
      </c>
      <c r="H4560" t="inlineStr">
        <is>
          <t>Contacted</t>
        </is>
      </c>
      <c r="I4560" t="inlineStr">
        <is>
          <t>Open</t>
        </is>
      </c>
      <c r="M4560">
        <f>VLOOKUP(H4560,'Stage Order'!$A$2:$B$8,2,FALSE)</f>
        <v/>
      </c>
      <c r="N4560">
        <f>IF(G4560&lt;=1,"1. Under 1 hour",IF(G4560&lt;=24,"2. 1-24 hours",IF(G4560&lt;=72,"3. 1-3 days","4. Over 3 days")))</f>
        <v/>
      </c>
      <c r="O4560">
        <f>TEXT(B4560,"YYYY-MM")</f>
        <v/>
      </c>
    </row>
    <row r="4561">
      <c r="A4561" t="inlineStr">
        <is>
          <t>LD-304559</t>
        </is>
      </c>
      <c r="B4561" t="inlineStr">
        <is>
          <t>2025-08-15 18:04:00</t>
        </is>
      </c>
      <c r="C4561" t="inlineStr">
        <is>
          <t>Paid Search</t>
        </is>
      </c>
      <c r="D4561" t="inlineStr">
        <is>
          <t>K-12 Math</t>
        </is>
      </c>
      <c r="E4561" t="inlineStr">
        <is>
          <t>International</t>
        </is>
      </c>
      <c r="F4561" t="inlineStr">
        <is>
          <t>Rep_05</t>
        </is>
      </c>
      <c r="G4561" t="n">
        <v>16.01</v>
      </c>
      <c r="H4561" t="inlineStr">
        <is>
          <t>Contacted</t>
        </is>
      </c>
      <c r="I4561" t="inlineStr">
        <is>
          <t>Open</t>
        </is>
      </c>
      <c r="M4561">
        <f>VLOOKUP(H4561,'Stage Order'!$A$2:$B$8,2,FALSE)</f>
        <v/>
      </c>
      <c r="N4561">
        <f>IF(G4561&lt;=1,"1. Under 1 hour",IF(G4561&lt;=24,"2. 1-24 hours",IF(G4561&lt;=72,"3. 1-3 days","4. Over 3 days")))</f>
        <v/>
      </c>
      <c r="O4561">
        <f>TEXT(B4561,"YYYY-MM")</f>
        <v/>
      </c>
    </row>
    <row r="4562">
      <c r="A4562" t="inlineStr">
        <is>
          <t>LD-304560</t>
        </is>
      </c>
      <c r="B4562" t="inlineStr">
        <is>
          <t>2026-01-16 17:39:00</t>
        </is>
      </c>
      <c r="C4562" t="inlineStr">
        <is>
          <t>Social Media</t>
        </is>
      </c>
      <c r="D4562" t="inlineStr">
        <is>
          <t>Competitive Exam Prep</t>
        </is>
      </c>
      <c r="E4562" t="inlineStr">
        <is>
          <t>West Region</t>
        </is>
      </c>
      <c r="F4562" t="inlineStr">
        <is>
          <t>Rep_13</t>
        </is>
      </c>
      <c r="G4562" t="n">
        <v>0.9399999999999999</v>
      </c>
      <c r="H4562" t="inlineStr">
        <is>
          <t>Lead</t>
        </is>
      </c>
      <c r="I4562" t="inlineStr">
        <is>
          <t>Open</t>
        </is>
      </c>
      <c r="M4562">
        <f>VLOOKUP(H4562,'Stage Order'!$A$2:$B$8,2,FALSE)</f>
        <v/>
      </c>
      <c r="N4562">
        <f>IF(G4562&lt;=1,"1. Under 1 hour",IF(G4562&lt;=24,"2. 1-24 hours",IF(G4562&lt;=72,"3. 1-3 days","4. Over 3 days")))</f>
        <v/>
      </c>
      <c r="O4562">
        <f>TEXT(B4562,"YYYY-MM")</f>
        <v/>
      </c>
    </row>
    <row r="4563">
      <c r="A4563" t="inlineStr">
        <is>
          <t>LD-304561</t>
        </is>
      </c>
      <c r="B4563" t="inlineStr">
        <is>
          <t>2025-03-27 19:41:00</t>
        </is>
      </c>
      <c r="C4563" t="inlineStr">
        <is>
          <t>Social Media</t>
        </is>
      </c>
      <c r="D4563" t="inlineStr">
        <is>
          <t>Competitive Exam Prep</t>
        </is>
      </c>
      <c r="E4563" t="inlineStr">
        <is>
          <t>North Region</t>
        </is>
      </c>
      <c r="F4563" t="inlineStr">
        <is>
          <t>Rep_01</t>
        </is>
      </c>
      <c r="G4563" t="n">
        <v>7.18</v>
      </c>
      <c r="H4563" t="inlineStr">
        <is>
          <t>Demo Completed</t>
        </is>
      </c>
      <c r="I4563" t="inlineStr">
        <is>
          <t>Lost</t>
        </is>
      </c>
      <c r="J4563" t="inlineStr">
        <is>
          <t>Went With Competitor</t>
        </is>
      </c>
      <c r="K4563" t="n">
        <v>1085.9</v>
      </c>
      <c r="L4563" t="inlineStr">
        <is>
          <t>2025-04-16 18:08:11.801402</t>
        </is>
      </c>
      <c r="M4563">
        <f>VLOOKUP(H4563,'Stage Order'!$A$2:$B$8,2,FALSE)</f>
        <v/>
      </c>
      <c r="N4563">
        <f>IF(G4563&lt;=1,"1. Under 1 hour",IF(G4563&lt;=24,"2. 1-24 hours",IF(G4563&lt;=72,"3. 1-3 days","4. Over 3 days")))</f>
        <v/>
      </c>
      <c r="O4563">
        <f>TEXT(B4563,"YYYY-MM")</f>
        <v/>
      </c>
    </row>
    <row r="4564">
      <c r="A4564" t="inlineStr">
        <is>
          <t>LD-304562</t>
        </is>
      </c>
      <c r="B4564" t="inlineStr">
        <is>
          <t>2025-04-18 13:22:00</t>
        </is>
      </c>
      <c r="C4564" t="inlineStr">
        <is>
          <t>Webinar</t>
        </is>
      </c>
      <c r="D4564" t="inlineStr">
        <is>
          <t>K-12 Math</t>
        </is>
      </c>
      <c r="E4564" t="inlineStr">
        <is>
          <t>North Region</t>
        </is>
      </c>
      <c r="F4564" t="inlineStr">
        <is>
          <t>Rep_01</t>
        </is>
      </c>
      <c r="G4564" t="n">
        <v>4.37</v>
      </c>
      <c r="H4564" t="inlineStr">
        <is>
          <t>Contacted</t>
        </is>
      </c>
      <c r="I4564" t="inlineStr">
        <is>
          <t>Open</t>
        </is>
      </c>
      <c r="M4564">
        <f>VLOOKUP(H4564,'Stage Order'!$A$2:$B$8,2,FALSE)</f>
        <v/>
      </c>
      <c r="N4564">
        <f>IF(G4564&lt;=1,"1. Under 1 hour",IF(G4564&lt;=24,"2. 1-24 hours",IF(G4564&lt;=72,"3. 1-3 days","4. Over 3 days")))</f>
        <v/>
      </c>
      <c r="O4564">
        <f>TEXT(B4564,"YYYY-MM")</f>
        <v/>
      </c>
    </row>
    <row r="4565">
      <c r="A4565" t="inlineStr">
        <is>
          <t>LD-304563</t>
        </is>
      </c>
      <c r="B4565" t="inlineStr">
        <is>
          <t>2025-11-19 20:41:00</t>
        </is>
      </c>
      <c r="C4565" t="inlineStr">
        <is>
          <t>Partner Channel</t>
        </is>
      </c>
      <c r="D4565" t="inlineStr">
        <is>
          <t>Competitive Exam Prep</t>
        </is>
      </c>
      <c r="E4565" t="inlineStr">
        <is>
          <t>South Region</t>
        </is>
      </c>
      <c r="F4565" t="inlineStr">
        <is>
          <t>Rep_02</t>
        </is>
      </c>
      <c r="G4565" t="n">
        <v>0.76</v>
      </c>
      <c r="H4565" t="inlineStr">
        <is>
          <t>Closed</t>
        </is>
      </c>
      <c r="I4565" t="inlineStr">
        <is>
          <t>Won</t>
        </is>
      </c>
      <c r="K4565" t="n">
        <v>1135.46</v>
      </c>
      <c r="L4565" t="inlineStr">
        <is>
          <t>2026-01-01 13:21:38.981857</t>
        </is>
      </c>
      <c r="M4565">
        <f>VLOOKUP(H4565,'Stage Order'!$A$2:$B$8,2,FALSE)</f>
        <v/>
      </c>
      <c r="N4565">
        <f>IF(G4565&lt;=1,"1. Under 1 hour",IF(G4565&lt;=24,"2. 1-24 hours",IF(G4565&lt;=72,"3. 1-3 days","4. Over 3 days")))</f>
        <v/>
      </c>
      <c r="O4565">
        <f>TEXT(B4565,"YYYY-MM")</f>
        <v/>
      </c>
    </row>
    <row r="4566">
      <c r="A4566" t="inlineStr">
        <is>
          <t>LD-304564</t>
        </is>
      </c>
      <c r="B4566" t="inlineStr">
        <is>
          <t>2026-03-13 19:45:00</t>
        </is>
      </c>
      <c r="C4566" t="inlineStr">
        <is>
          <t>Organic Search</t>
        </is>
      </c>
      <c r="D4566" t="inlineStr">
        <is>
          <t>Language Learning</t>
        </is>
      </c>
      <c r="E4566" t="inlineStr">
        <is>
          <t>International</t>
        </is>
      </c>
      <c r="F4566" t="inlineStr">
        <is>
          <t>Rep_10</t>
        </is>
      </c>
      <c r="G4566" t="n">
        <v>1.47</v>
      </c>
      <c r="H4566" t="inlineStr">
        <is>
          <t>Contacted</t>
        </is>
      </c>
      <c r="I4566" t="inlineStr">
        <is>
          <t>Open</t>
        </is>
      </c>
      <c r="M4566">
        <f>VLOOKUP(H4566,'Stage Order'!$A$2:$B$8,2,FALSE)</f>
        <v/>
      </c>
      <c r="N4566">
        <f>IF(G4566&lt;=1,"1. Under 1 hour",IF(G4566&lt;=24,"2. 1-24 hours",IF(G4566&lt;=72,"3. 1-3 days","4. Over 3 days")))</f>
        <v/>
      </c>
      <c r="O4566">
        <f>TEXT(B4566,"YYYY-MM")</f>
        <v/>
      </c>
    </row>
    <row r="4567">
      <c r="A4567" t="inlineStr">
        <is>
          <t>LD-304565</t>
        </is>
      </c>
      <c r="B4567" t="inlineStr">
        <is>
          <t>2025-02-28 14:28:00</t>
        </is>
      </c>
      <c r="C4567" t="inlineStr">
        <is>
          <t>Social Media</t>
        </is>
      </c>
      <c r="D4567" t="inlineStr">
        <is>
          <t>K-12 Math</t>
        </is>
      </c>
      <c r="E4567" t="inlineStr">
        <is>
          <t>North Region</t>
        </is>
      </c>
      <c r="F4567" t="inlineStr">
        <is>
          <t>Rep_06</t>
        </is>
      </c>
      <c r="G4567" t="n">
        <v>7.68</v>
      </c>
      <c r="H4567" t="inlineStr">
        <is>
          <t>Lead</t>
        </is>
      </c>
      <c r="I4567" t="inlineStr">
        <is>
          <t>Open</t>
        </is>
      </c>
      <c r="M4567">
        <f>VLOOKUP(H4567,'Stage Order'!$A$2:$B$8,2,FALSE)</f>
        <v/>
      </c>
      <c r="N4567">
        <f>IF(G4567&lt;=1,"1. Under 1 hour",IF(G4567&lt;=24,"2. 1-24 hours",IF(G4567&lt;=72,"3. 1-3 days","4. Over 3 days")))</f>
        <v/>
      </c>
      <c r="O4567">
        <f>TEXT(B4567,"YYYY-MM")</f>
        <v/>
      </c>
    </row>
    <row r="4568">
      <c r="A4568" t="inlineStr">
        <is>
          <t>LD-304566</t>
        </is>
      </c>
      <c r="B4568" t="inlineStr">
        <is>
          <t>2026-01-03 11:58:00</t>
        </is>
      </c>
      <c r="C4568" t="inlineStr">
        <is>
          <t>Webinar</t>
        </is>
      </c>
      <c r="D4568" t="inlineStr">
        <is>
          <t>Study Abroad Prep</t>
        </is>
      </c>
      <c r="E4568" t="inlineStr">
        <is>
          <t>International</t>
        </is>
      </c>
      <c r="F4568" t="inlineStr">
        <is>
          <t>Rep_10</t>
        </is>
      </c>
      <c r="G4568" t="n">
        <v>3.27</v>
      </c>
      <c r="H4568" t="inlineStr">
        <is>
          <t>Closed</t>
        </is>
      </c>
      <c r="I4568" t="inlineStr">
        <is>
          <t>Won</t>
        </is>
      </c>
      <c r="K4568" t="n">
        <v>1720.34</v>
      </c>
      <c r="L4568" t="inlineStr">
        <is>
          <t>2026-02-03 12:18:39.323154</t>
        </is>
      </c>
      <c r="M4568">
        <f>VLOOKUP(H4568,'Stage Order'!$A$2:$B$8,2,FALSE)</f>
        <v/>
      </c>
      <c r="N4568">
        <f>IF(G4568&lt;=1,"1. Under 1 hour",IF(G4568&lt;=24,"2. 1-24 hours",IF(G4568&lt;=72,"3. 1-3 days","4. Over 3 days")))</f>
        <v/>
      </c>
      <c r="O4568">
        <f>TEXT(B4568,"YYYY-MM")</f>
        <v/>
      </c>
    </row>
    <row r="4569">
      <c r="A4569" t="inlineStr">
        <is>
          <t>LD-304567</t>
        </is>
      </c>
      <c r="B4569" t="inlineStr">
        <is>
          <t>2025-04-03 09:29:00</t>
        </is>
      </c>
      <c r="C4569" t="inlineStr">
        <is>
          <t>Organic Search</t>
        </is>
      </c>
      <c r="D4569" t="inlineStr">
        <is>
          <t>Coding for Kids</t>
        </is>
      </c>
      <c r="E4569" t="inlineStr">
        <is>
          <t>South Region</t>
        </is>
      </c>
      <c r="F4569" t="inlineStr">
        <is>
          <t>Rep_12</t>
        </is>
      </c>
      <c r="G4569" t="n">
        <v>5.11</v>
      </c>
      <c r="H4569" t="inlineStr">
        <is>
          <t>Contacted</t>
        </is>
      </c>
      <c r="I4569" t="inlineStr">
        <is>
          <t>Open</t>
        </is>
      </c>
      <c r="M4569">
        <f>VLOOKUP(H4569,'Stage Order'!$A$2:$B$8,2,FALSE)</f>
        <v/>
      </c>
      <c r="N4569">
        <f>IF(G4569&lt;=1,"1. Under 1 hour",IF(G4569&lt;=24,"2. 1-24 hours",IF(G4569&lt;=72,"3. 1-3 days","4. Over 3 days")))</f>
        <v/>
      </c>
      <c r="O4569">
        <f>TEXT(B4569,"YYYY-MM")</f>
        <v/>
      </c>
    </row>
    <row r="4570">
      <c r="A4570" t="inlineStr">
        <is>
          <t>LD-304568</t>
        </is>
      </c>
      <c r="B4570" t="inlineStr">
        <is>
          <t>2025-08-06 14:03:00</t>
        </is>
      </c>
      <c r="C4570" t="inlineStr">
        <is>
          <t>Social Media</t>
        </is>
      </c>
      <c r="D4570" t="inlineStr">
        <is>
          <t>Coding for Kids</t>
        </is>
      </c>
      <c r="E4570" t="inlineStr">
        <is>
          <t>North Region</t>
        </is>
      </c>
      <c r="F4570" t="inlineStr">
        <is>
          <t>Rep_06</t>
        </is>
      </c>
      <c r="G4570" t="n">
        <v>2.09</v>
      </c>
      <c r="H4570" t="inlineStr">
        <is>
          <t>Contacted</t>
        </is>
      </c>
      <c r="I4570" t="inlineStr">
        <is>
          <t>Open</t>
        </is>
      </c>
      <c r="M4570">
        <f>VLOOKUP(H4570,'Stage Order'!$A$2:$B$8,2,FALSE)</f>
        <v/>
      </c>
      <c r="N4570">
        <f>IF(G4570&lt;=1,"1. Under 1 hour",IF(G4570&lt;=24,"2. 1-24 hours",IF(G4570&lt;=72,"3. 1-3 days","4. Over 3 days")))</f>
        <v/>
      </c>
      <c r="O4570">
        <f>TEXT(B4570,"YYYY-MM")</f>
        <v/>
      </c>
    </row>
    <row r="4571">
      <c r="A4571" t="inlineStr">
        <is>
          <t>LD-304569</t>
        </is>
      </c>
      <c r="B4571" t="inlineStr">
        <is>
          <t>2025-12-19 20:52:00</t>
        </is>
      </c>
      <c r="C4571" t="inlineStr">
        <is>
          <t>Social Media</t>
        </is>
      </c>
      <c r="D4571" t="inlineStr">
        <is>
          <t>K-12 Math</t>
        </is>
      </c>
      <c r="E4571" t="inlineStr">
        <is>
          <t>East Region</t>
        </is>
      </c>
      <c r="F4571" t="inlineStr">
        <is>
          <t>Rep_04</t>
        </is>
      </c>
      <c r="G4571" t="n">
        <v>9.73</v>
      </c>
      <c r="H4571" t="inlineStr">
        <is>
          <t>Contacted</t>
        </is>
      </c>
      <c r="I4571" t="inlineStr">
        <is>
          <t>Open</t>
        </is>
      </c>
      <c r="M4571">
        <f>VLOOKUP(H4571,'Stage Order'!$A$2:$B$8,2,FALSE)</f>
        <v/>
      </c>
      <c r="N4571">
        <f>IF(G4571&lt;=1,"1. Under 1 hour",IF(G4571&lt;=24,"2. 1-24 hours",IF(G4571&lt;=72,"3. 1-3 days","4. Over 3 days")))</f>
        <v/>
      </c>
      <c r="O4571">
        <f>TEXT(B4571,"YYYY-MM")</f>
        <v/>
      </c>
    </row>
    <row r="4572">
      <c r="A4572" t="inlineStr">
        <is>
          <t>LD-304570</t>
        </is>
      </c>
      <c r="B4572" t="inlineStr">
        <is>
          <t>2025-04-18 09:17:00</t>
        </is>
      </c>
      <c r="C4572" t="inlineStr">
        <is>
          <t>Paid Search</t>
        </is>
      </c>
      <c r="D4572" t="inlineStr">
        <is>
          <t>Language Learning</t>
        </is>
      </c>
      <c r="E4572" t="inlineStr">
        <is>
          <t>West Region</t>
        </is>
      </c>
      <c r="F4572" t="inlineStr">
        <is>
          <t>Rep_03</t>
        </is>
      </c>
      <c r="G4572" t="n">
        <v>3.22</v>
      </c>
      <c r="H4572" t="inlineStr">
        <is>
          <t>Lead</t>
        </is>
      </c>
      <c r="I4572" t="inlineStr">
        <is>
          <t>Open</t>
        </is>
      </c>
      <c r="M4572">
        <f>VLOOKUP(H4572,'Stage Order'!$A$2:$B$8,2,FALSE)</f>
        <v/>
      </c>
      <c r="N4572">
        <f>IF(G4572&lt;=1,"1. Under 1 hour",IF(G4572&lt;=24,"2. 1-24 hours",IF(G4572&lt;=72,"3. 1-3 days","4. Over 3 days")))</f>
        <v/>
      </c>
      <c r="O4572">
        <f>TEXT(B4572,"YYYY-MM")</f>
        <v/>
      </c>
    </row>
    <row r="4573">
      <c r="A4573" t="inlineStr">
        <is>
          <t>LD-304571</t>
        </is>
      </c>
      <c r="B4573" t="inlineStr">
        <is>
          <t>2025-09-18 18:05:00</t>
        </is>
      </c>
      <c r="C4573" t="inlineStr">
        <is>
          <t>Organic Search</t>
        </is>
      </c>
      <c r="D4573" t="inlineStr">
        <is>
          <t>Coding for Kids</t>
        </is>
      </c>
      <c r="E4573" t="inlineStr">
        <is>
          <t>East Region</t>
        </is>
      </c>
      <c r="F4573" t="inlineStr">
        <is>
          <t>Rep_14</t>
        </is>
      </c>
      <c r="G4573" t="n">
        <v>2.4</v>
      </c>
      <c r="H4573" t="inlineStr">
        <is>
          <t>Proposal Sent</t>
        </is>
      </c>
      <c r="I4573" t="inlineStr">
        <is>
          <t>Lost</t>
        </is>
      </c>
      <c r="J4573" t="inlineStr">
        <is>
          <t>Bad Timing</t>
        </is>
      </c>
      <c r="K4573" t="n">
        <v>598.28</v>
      </c>
      <c r="L4573" t="inlineStr">
        <is>
          <t>2025-10-27 06:15:41.214253</t>
        </is>
      </c>
      <c r="M4573">
        <f>VLOOKUP(H4573,'Stage Order'!$A$2:$B$8,2,FALSE)</f>
        <v/>
      </c>
      <c r="N4573">
        <f>IF(G4573&lt;=1,"1. Under 1 hour",IF(G4573&lt;=24,"2. 1-24 hours",IF(G4573&lt;=72,"3. 1-3 days","4. Over 3 days")))</f>
        <v/>
      </c>
      <c r="O4573">
        <f>TEXT(B4573,"YYYY-MM")</f>
        <v/>
      </c>
    </row>
    <row r="4574">
      <c r="A4574" t="inlineStr">
        <is>
          <t>LD-304572</t>
        </is>
      </c>
      <c r="B4574" t="inlineStr">
        <is>
          <t>2026-04-21 11:49:00</t>
        </is>
      </c>
      <c r="C4574" t="inlineStr">
        <is>
          <t>Organic Search</t>
        </is>
      </c>
      <c r="D4574" t="inlineStr">
        <is>
          <t>Competitive Exam Prep</t>
        </is>
      </c>
      <c r="E4574" t="inlineStr">
        <is>
          <t>West Region</t>
        </is>
      </c>
      <c r="F4574" t="inlineStr">
        <is>
          <t>Rep_13</t>
        </is>
      </c>
      <c r="G4574" t="n">
        <v>0.8100000000000001</v>
      </c>
      <c r="H4574" t="inlineStr">
        <is>
          <t>Negotiation</t>
        </is>
      </c>
      <c r="I4574" t="inlineStr">
        <is>
          <t>Lost</t>
        </is>
      </c>
      <c r="J4574" t="inlineStr">
        <is>
          <t>No Response / Ghosted</t>
        </is>
      </c>
      <c r="K4574" t="n">
        <v>955.34</v>
      </c>
      <c r="L4574" t="inlineStr">
        <is>
          <t>2026-06-13 15:09:36.270862</t>
        </is>
      </c>
      <c r="M4574">
        <f>VLOOKUP(H4574,'Stage Order'!$A$2:$B$8,2,FALSE)</f>
        <v/>
      </c>
      <c r="N4574">
        <f>IF(G4574&lt;=1,"1. Under 1 hour",IF(G4574&lt;=24,"2. 1-24 hours",IF(G4574&lt;=72,"3. 1-3 days","4. Over 3 days")))</f>
        <v/>
      </c>
      <c r="O4574">
        <f>TEXT(B4574,"YYYY-MM")</f>
        <v/>
      </c>
    </row>
    <row r="4575">
      <c r="A4575" t="inlineStr">
        <is>
          <t>LD-304573</t>
        </is>
      </c>
      <c r="B4575" t="inlineStr">
        <is>
          <t>2025-07-20 11:04:00</t>
        </is>
      </c>
      <c r="C4575" t="inlineStr">
        <is>
          <t>Social Media</t>
        </is>
      </c>
      <c r="D4575" t="inlineStr">
        <is>
          <t>K-12 Math</t>
        </is>
      </c>
      <c r="E4575" t="inlineStr">
        <is>
          <t>North Region</t>
        </is>
      </c>
      <c r="F4575" t="inlineStr">
        <is>
          <t>Rep_06</t>
        </is>
      </c>
      <c r="G4575" t="n">
        <v>1.53</v>
      </c>
      <c r="H4575" t="inlineStr">
        <is>
          <t>Lead</t>
        </is>
      </c>
      <c r="I4575" t="inlineStr">
        <is>
          <t>Open</t>
        </is>
      </c>
      <c r="M4575">
        <f>VLOOKUP(H4575,'Stage Order'!$A$2:$B$8,2,FALSE)</f>
        <v/>
      </c>
      <c r="N4575">
        <f>IF(G4575&lt;=1,"1. Under 1 hour",IF(G4575&lt;=24,"2. 1-24 hours",IF(G4575&lt;=72,"3. 1-3 days","4. Over 3 days")))</f>
        <v/>
      </c>
      <c r="O4575">
        <f>TEXT(B4575,"YYYY-MM")</f>
        <v/>
      </c>
    </row>
    <row r="4576">
      <c r="A4576" t="inlineStr">
        <is>
          <t>LD-304574</t>
        </is>
      </c>
      <c r="B4576" t="inlineStr">
        <is>
          <t>2025-03-22 14:52:00</t>
        </is>
      </c>
      <c r="C4576" t="inlineStr">
        <is>
          <t>Organic Search</t>
        </is>
      </c>
      <c r="D4576" t="inlineStr">
        <is>
          <t>Competitive Exam Prep</t>
        </is>
      </c>
      <c r="E4576" t="inlineStr">
        <is>
          <t>East Region</t>
        </is>
      </c>
      <c r="F4576" t="inlineStr">
        <is>
          <t>Rep_09</t>
        </is>
      </c>
      <c r="G4576" t="n">
        <v>7.84</v>
      </c>
      <c r="H4576" t="inlineStr">
        <is>
          <t>Contacted</t>
        </is>
      </c>
      <c r="I4576" t="inlineStr">
        <is>
          <t>Open</t>
        </is>
      </c>
      <c r="M4576">
        <f>VLOOKUP(H4576,'Stage Order'!$A$2:$B$8,2,FALSE)</f>
        <v/>
      </c>
      <c r="N4576">
        <f>IF(G4576&lt;=1,"1. Under 1 hour",IF(G4576&lt;=24,"2. 1-24 hours",IF(G4576&lt;=72,"3. 1-3 days","4. Over 3 days")))</f>
        <v/>
      </c>
      <c r="O4576">
        <f>TEXT(B4576,"YYYY-MM")</f>
        <v/>
      </c>
    </row>
    <row r="4577">
      <c r="A4577" t="inlineStr">
        <is>
          <t>LD-304575</t>
        </is>
      </c>
      <c r="B4577" t="inlineStr">
        <is>
          <t>2025-07-21 19:25:00</t>
        </is>
      </c>
      <c r="C4577" t="inlineStr">
        <is>
          <t>Paid Search</t>
        </is>
      </c>
      <c r="D4577" t="inlineStr">
        <is>
          <t>Competitive Exam Prep</t>
        </is>
      </c>
      <c r="E4577" t="inlineStr">
        <is>
          <t>West Region</t>
        </is>
      </c>
      <c r="F4577" t="inlineStr">
        <is>
          <t>Rep_13</t>
        </is>
      </c>
      <c r="G4577" t="n">
        <v>10.8</v>
      </c>
      <c r="H4577" t="inlineStr">
        <is>
          <t>Contacted</t>
        </is>
      </c>
      <c r="I4577" t="inlineStr">
        <is>
          <t>Open</t>
        </is>
      </c>
      <c r="M4577">
        <f>VLOOKUP(H4577,'Stage Order'!$A$2:$B$8,2,FALSE)</f>
        <v/>
      </c>
      <c r="N4577">
        <f>IF(G4577&lt;=1,"1. Under 1 hour",IF(G4577&lt;=24,"2. 1-24 hours",IF(G4577&lt;=72,"3. 1-3 days","4. Over 3 days")))</f>
        <v/>
      </c>
      <c r="O4577">
        <f>TEXT(B4577,"YYYY-MM")</f>
        <v/>
      </c>
    </row>
    <row r="4578">
      <c r="A4578" t="inlineStr">
        <is>
          <t>LD-304576</t>
        </is>
      </c>
      <c r="B4578" t="inlineStr">
        <is>
          <t>2026-01-30 18:02:00</t>
        </is>
      </c>
      <c r="C4578" t="inlineStr">
        <is>
          <t>Paid Search</t>
        </is>
      </c>
      <c r="D4578" t="inlineStr">
        <is>
          <t>K-12 Math</t>
        </is>
      </c>
      <c r="E4578" t="inlineStr">
        <is>
          <t>East Region</t>
        </is>
      </c>
      <c r="F4578" t="inlineStr">
        <is>
          <t>Rep_04</t>
        </is>
      </c>
      <c r="G4578" t="n">
        <v>2.93</v>
      </c>
      <c r="H4578" t="inlineStr">
        <is>
          <t>Contacted</t>
        </is>
      </c>
      <c r="I4578" t="inlineStr">
        <is>
          <t>Open</t>
        </is>
      </c>
      <c r="M4578">
        <f>VLOOKUP(H4578,'Stage Order'!$A$2:$B$8,2,FALSE)</f>
        <v/>
      </c>
      <c r="N4578">
        <f>IF(G4578&lt;=1,"1. Under 1 hour",IF(G4578&lt;=24,"2. 1-24 hours",IF(G4578&lt;=72,"3. 1-3 days","4. Over 3 days")))</f>
        <v/>
      </c>
      <c r="O4578">
        <f>TEXT(B4578,"YYYY-MM")</f>
        <v/>
      </c>
    </row>
    <row r="4579">
      <c r="A4579" t="inlineStr">
        <is>
          <t>LD-304577</t>
        </is>
      </c>
      <c r="B4579" t="inlineStr">
        <is>
          <t>2025-08-14 09:44:00</t>
        </is>
      </c>
      <c r="C4579" t="inlineStr">
        <is>
          <t>Cold Outreach</t>
        </is>
      </c>
      <c r="D4579" t="inlineStr">
        <is>
          <t>Coding for Kids</t>
        </is>
      </c>
      <c r="E4579" t="inlineStr">
        <is>
          <t>East Region</t>
        </is>
      </c>
      <c r="F4579" t="inlineStr">
        <is>
          <t>Rep_09</t>
        </is>
      </c>
      <c r="G4579" t="n">
        <v>5.46</v>
      </c>
      <c r="H4579" t="inlineStr">
        <is>
          <t>Lead</t>
        </is>
      </c>
      <c r="I4579" t="inlineStr">
        <is>
          <t>Open</t>
        </is>
      </c>
      <c r="M4579">
        <f>VLOOKUP(H4579,'Stage Order'!$A$2:$B$8,2,FALSE)</f>
        <v/>
      </c>
      <c r="N4579">
        <f>IF(G4579&lt;=1,"1. Under 1 hour",IF(G4579&lt;=24,"2. 1-24 hours",IF(G4579&lt;=72,"3. 1-3 days","4. Over 3 days")))</f>
        <v/>
      </c>
      <c r="O4579">
        <f>TEXT(B4579,"YYYY-MM")</f>
        <v/>
      </c>
    </row>
    <row r="4580">
      <c r="A4580" t="inlineStr">
        <is>
          <t>LD-304578</t>
        </is>
      </c>
      <c r="B4580" t="inlineStr">
        <is>
          <t>2026-01-29 19:51:00</t>
        </is>
      </c>
      <c r="C4580" t="inlineStr">
        <is>
          <t>Partner Channel</t>
        </is>
      </c>
      <c r="D4580" t="inlineStr">
        <is>
          <t>Study Abroad Prep</t>
        </is>
      </c>
      <c r="E4580" t="inlineStr">
        <is>
          <t>South Region</t>
        </is>
      </c>
      <c r="F4580" t="inlineStr">
        <is>
          <t>Rep_07</t>
        </is>
      </c>
      <c r="G4580" t="n">
        <v>5.08</v>
      </c>
      <c r="H4580" t="inlineStr">
        <is>
          <t>Contacted</t>
        </is>
      </c>
      <c r="I4580" t="inlineStr">
        <is>
          <t>Open</t>
        </is>
      </c>
      <c r="M4580">
        <f>VLOOKUP(H4580,'Stage Order'!$A$2:$B$8,2,FALSE)</f>
        <v/>
      </c>
      <c r="N4580">
        <f>IF(G4580&lt;=1,"1. Under 1 hour",IF(G4580&lt;=24,"2. 1-24 hours",IF(G4580&lt;=72,"3. 1-3 days","4. Over 3 days")))</f>
        <v/>
      </c>
      <c r="O4580">
        <f>TEXT(B4580,"YYYY-MM")</f>
        <v/>
      </c>
    </row>
    <row r="4581">
      <c r="A4581" t="inlineStr">
        <is>
          <t>LD-304579</t>
        </is>
      </c>
      <c r="B4581" t="inlineStr">
        <is>
          <t>2025-08-14 13:37:00</t>
        </is>
      </c>
      <c r="C4581" t="inlineStr">
        <is>
          <t>Referral</t>
        </is>
      </c>
      <c r="D4581" t="inlineStr">
        <is>
          <t>Coding for Kids</t>
        </is>
      </c>
      <c r="E4581" t="inlineStr">
        <is>
          <t>South Region</t>
        </is>
      </c>
      <c r="F4581" t="inlineStr">
        <is>
          <t>Rep_12</t>
        </is>
      </c>
      <c r="G4581" t="n">
        <v>5.14</v>
      </c>
      <c r="H4581" t="inlineStr">
        <is>
          <t>Contacted</t>
        </is>
      </c>
      <c r="I4581" t="inlineStr">
        <is>
          <t>Open</t>
        </is>
      </c>
      <c r="M4581">
        <f>VLOOKUP(H4581,'Stage Order'!$A$2:$B$8,2,FALSE)</f>
        <v/>
      </c>
      <c r="N4581">
        <f>IF(G4581&lt;=1,"1. Under 1 hour",IF(G4581&lt;=24,"2. 1-24 hours",IF(G4581&lt;=72,"3. 1-3 days","4. Over 3 days")))</f>
        <v/>
      </c>
      <c r="O4581">
        <f>TEXT(B4581,"YYYY-MM")</f>
        <v/>
      </c>
    </row>
    <row r="4582">
      <c r="A4582" t="inlineStr">
        <is>
          <t>LD-304580</t>
        </is>
      </c>
      <c r="B4582" t="inlineStr">
        <is>
          <t>2025-06-18 10:08:00</t>
        </is>
      </c>
      <c r="C4582" t="inlineStr">
        <is>
          <t>Paid Search</t>
        </is>
      </c>
      <c r="D4582" t="inlineStr">
        <is>
          <t>Coding for Kids</t>
        </is>
      </c>
      <c r="E4582" t="inlineStr">
        <is>
          <t>International</t>
        </is>
      </c>
      <c r="F4582" t="inlineStr">
        <is>
          <t>Rep_10</t>
        </is>
      </c>
      <c r="G4582" t="n">
        <v>3.7</v>
      </c>
      <c r="H4582" t="inlineStr">
        <is>
          <t>Demo Completed</t>
        </is>
      </c>
      <c r="I4582" t="inlineStr">
        <is>
          <t>Lost</t>
        </is>
      </c>
      <c r="J4582" t="inlineStr">
        <is>
          <t>Price Objection</t>
        </is>
      </c>
      <c r="K4582" t="n">
        <v>739.72</v>
      </c>
      <c r="L4582" t="inlineStr">
        <is>
          <t>2025-07-17 17:37:31.033073</t>
        </is>
      </c>
      <c r="M4582">
        <f>VLOOKUP(H4582,'Stage Order'!$A$2:$B$8,2,FALSE)</f>
        <v/>
      </c>
      <c r="N4582">
        <f>IF(G4582&lt;=1,"1. Under 1 hour",IF(G4582&lt;=24,"2. 1-24 hours",IF(G4582&lt;=72,"3. 1-3 days","4. Over 3 days")))</f>
        <v/>
      </c>
      <c r="O4582">
        <f>TEXT(B4582,"YYYY-MM")</f>
        <v/>
      </c>
    </row>
    <row r="4583">
      <c r="A4583" t="inlineStr">
        <is>
          <t>LD-304581</t>
        </is>
      </c>
      <c r="B4583" t="inlineStr">
        <is>
          <t>2025-05-02 18:12:00</t>
        </is>
      </c>
      <c r="C4583" t="inlineStr">
        <is>
          <t>Social Media</t>
        </is>
      </c>
      <c r="D4583" t="inlineStr">
        <is>
          <t>Competitive Exam Prep</t>
        </is>
      </c>
      <c r="E4583" t="inlineStr">
        <is>
          <t>West Region</t>
        </is>
      </c>
      <c r="F4583" t="inlineStr">
        <is>
          <t>Rep_08</t>
        </is>
      </c>
      <c r="G4583" t="n">
        <v>7.3</v>
      </c>
      <c r="H4583" t="inlineStr">
        <is>
          <t>Lead</t>
        </is>
      </c>
      <c r="I4583" t="inlineStr">
        <is>
          <t>Open</t>
        </is>
      </c>
      <c r="M4583">
        <f>VLOOKUP(H4583,'Stage Order'!$A$2:$B$8,2,FALSE)</f>
        <v/>
      </c>
      <c r="N4583">
        <f>IF(G4583&lt;=1,"1. Under 1 hour",IF(G4583&lt;=24,"2. 1-24 hours",IF(G4583&lt;=72,"3. 1-3 days","4. Over 3 days")))</f>
        <v/>
      </c>
      <c r="O4583">
        <f>TEXT(B4583,"YYYY-MM")</f>
        <v/>
      </c>
    </row>
    <row r="4584">
      <c r="A4584" t="inlineStr">
        <is>
          <t>LD-304582</t>
        </is>
      </c>
      <c r="B4584" t="inlineStr">
        <is>
          <t>2025-03-19 08:24:00</t>
        </is>
      </c>
      <c r="C4584" t="inlineStr">
        <is>
          <t>Partner Channel</t>
        </is>
      </c>
      <c r="D4584" t="inlineStr">
        <is>
          <t>Coding for Kids</t>
        </is>
      </c>
      <c r="E4584" t="inlineStr">
        <is>
          <t>East Region</t>
        </is>
      </c>
      <c r="F4584" t="inlineStr">
        <is>
          <t>Rep_04</t>
        </is>
      </c>
      <c r="G4584" t="n">
        <v>1.55</v>
      </c>
      <c r="H4584" t="inlineStr">
        <is>
          <t>Demo Scheduled</t>
        </is>
      </c>
      <c r="I4584" t="inlineStr">
        <is>
          <t>Open</t>
        </is>
      </c>
      <c r="M4584">
        <f>VLOOKUP(H4584,'Stage Order'!$A$2:$B$8,2,FALSE)</f>
        <v/>
      </c>
      <c r="N4584">
        <f>IF(G4584&lt;=1,"1. Under 1 hour",IF(G4584&lt;=24,"2. 1-24 hours",IF(G4584&lt;=72,"3. 1-3 days","4. Over 3 days")))</f>
        <v/>
      </c>
      <c r="O4584">
        <f>TEXT(B4584,"YYYY-MM")</f>
        <v/>
      </c>
    </row>
    <row r="4585">
      <c r="A4585" t="inlineStr">
        <is>
          <t>LD-304583</t>
        </is>
      </c>
      <c r="B4585" t="inlineStr">
        <is>
          <t>2025-03-27 08:52:00</t>
        </is>
      </c>
      <c r="C4585" t="inlineStr">
        <is>
          <t>Organic Search</t>
        </is>
      </c>
      <c r="D4585" t="inlineStr">
        <is>
          <t>Study Abroad Prep</t>
        </is>
      </c>
      <c r="E4585" t="inlineStr">
        <is>
          <t>East Region</t>
        </is>
      </c>
      <c r="F4585" t="inlineStr">
        <is>
          <t>Rep_14</t>
        </is>
      </c>
      <c r="G4585" t="n">
        <v>5.18</v>
      </c>
      <c r="H4585" t="inlineStr">
        <is>
          <t>Contacted</t>
        </is>
      </c>
      <c r="I4585" t="inlineStr">
        <is>
          <t>Open</t>
        </is>
      </c>
      <c r="M4585">
        <f>VLOOKUP(H4585,'Stage Order'!$A$2:$B$8,2,FALSE)</f>
        <v/>
      </c>
      <c r="N4585">
        <f>IF(G4585&lt;=1,"1. Under 1 hour",IF(G4585&lt;=24,"2. 1-24 hours",IF(G4585&lt;=72,"3. 1-3 days","4. Over 3 days")))</f>
        <v/>
      </c>
      <c r="O4585">
        <f>TEXT(B4585,"YYYY-MM")</f>
        <v/>
      </c>
    </row>
    <row r="4586">
      <c r="A4586" t="inlineStr">
        <is>
          <t>LD-304584</t>
        </is>
      </c>
      <c r="B4586" t="inlineStr">
        <is>
          <t>2025-11-26 15:20:00</t>
        </is>
      </c>
      <c r="C4586" t="inlineStr">
        <is>
          <t>Referral</t>
        </is>
      </c>
      <c r="D4586" t="inlineStr">
        <is>
          <t>Coding for Kids</t>
        </is>
      </c>
      <c r="E4586" t="inlineStr">
        <is>
          <t>North Region</t>
        </is>
      </c>
      <c r="F4586" t="inlineStr">
        <is>
          <t>Rep_01</t>
        </is>
      </c>
      <c r="G4586" t="n">
        <v>1.8</v>
      </c>
      <c r="H4586" t="inlineStr">
        <is>
          <t>Contacted</t>
        </is>
      </c>
      <c r="I4586" t="inlineStr">
        <is>
          <t>Open</t>
        </is>
      </c>
      <c r="M4586">
        <f>VLOOKUP(H4586,'Stage Order'!$A$2:$B$8,2,FALSE)</f>
        <v/>
      </c>
      <c r="N4586">
        <f>IF(G4586&lt;=1,"1. Under 1 hour",IF(G4586&lt;=24,"2. 1-24 hours",IF(G4586&lt;=72,"3. 1-3 days","4. Over 3 days")))</f>
        <v/>
      </c>
      <c r="O4586">
        <f>TEXT(B4586,"YYYY-MM")</f>
        <v/>
      </c>
    </row>
    <row r="4587">
      <c r="A4587" t="inlineStr">
        <is>
          <t>LD-304585</t>
        </is>
      </c>
      <c r="B4587" t="inlineStr">
        <is>
          <t>2025-09-18 12:00:00</t>
        </is>
      </c>
      <c r="C4587" t="inlineStr">
        <is>
          <t>Organic Search</t>
        </is>
      </c>
      <c r="D4587" t="inlineStr">
        <is>
          <t>K-12 Math</t>
        </is>
      </c>
      <c r="E4587" t="inlineStr">
        <is>
          <t>East Region</t>
        </is>
      </c>
      <c r="F4587" t="inlineStr">
        <is>
          <t>Rep_09</t>
        </is>
      </c>
      <c r="G4587" t="n">
        <v>10.63</v>
      </c>
      <c r="H4587" t="inlineStr">
        <is>
          <t>Closed</t>
        </is>
      </c>
      <c r="I4587" t="inlineStr">
        <is>
          <t>Won</t>
        </is>
      </c>
      <c r="K4587" t="n">
        <v>457.3</v>
      </c>
      <c r="L4587" t="inlineStr">
        <is>
          <t>2025-10-23 21:27:21.338487</t>
        </is>
      </c>
      <c r="M4587">
        <f>VLOOKUP(H4587,'Stage Order'!$A$2:$B$8,2,FALSE)</f>
        <v/>
      </c>
      <c r="N4587">
        <f>IF(G4587&lt;=1,"1. Under 1 hour",IF(G4587&lt;=24,"2. 1-24 hours",IF(G4587&lt;=72,"3. 1-3 days","4. Over 3 days")))</f>
        <v/>
      </c>
      <c r="O4587">
        <f>TEXT(B4587,"YYYY-MM")</f>
        <v/>
      </c>
    </row>
    <row r="4588">
      <c r="A4588" t="inlineStr">
        <is>
          <t>LD-304586</t>
        </is>
      </c>
      <c r="B4588" t="inlineStr">
        <is>
          <t>2026-04-15 16:24:00</t>
        </is>
      </c>
      <c r="C4588" t="inlineStr">
        <is>
          <t>Cold Outreach</t>
        </is>
      </c>
      <c r="D4588" t="inlineStr">
        <is>
          <t>Competitive Exam Prep</t>
        </is>
      </c>
      <c r="E4588" t="inlineStr">
        <is>
          <t>International</t>
        </is>
      </c>
      <c r="F4588" t="inlineStr">
        <is>
          <t>Rep_15</t>
        </is>
      </c>
      <c r="G4588" t="n">
        <v>1.96</v>
      </c>
      <c r="H4588" t="inlineStr">
        <is>
          <t>Contacted</t>
        </is>
      </c>
      <c r="I4588" t="inlineStr">
        <is>
          <t>Open</t>
        </is>
      </c>
      <c r="M4588">
        <f>VLOOKUP(H4588,'Stage Order'!$A$2:$B$8,2,FALSE)</f>
        <v/>
      </c>
      <c r="N4588">
        <f>IF(G4588&lt;=1,"1. Under 1 hour",IF(G4588&lt;=24,"2. 1-24 hours",IF(G4588&lt;=72,"3. 1-3 days","4. Over 3 days")))</f>
        <v/>
      </c>
      <c r="O4588">
        <f>TEXT(B4588,"YYYY-MM")</f>
        <v/>
      </c>
    </row>
    <row r="4589">
      <c r="A4589" t="inlineStr">
        <is>
          <t>LD-304587</t>
        </is>
      </c>
      <c r="B4589" t="inlineStr">
        <is>
          <t>2025-08-11 10:09:00</t>
        </is>
      </c>
      <c r="C4589" t="inlineStr">
        <is>
          <t>Organic Search</t>
        </is>
      </c>
      <c r="D4589" t="inlineStr">
        <is>
          <t>Competitive Exam Prep</t>
        </is>
      </c>
      <c r="E4589" t="inlineStr">
        <is>
          <t>West Region</t>
        </is>
      </c>
      <c r="F4589" t="inlineStr">
        <is>
          <t>Rep_08</t>
        </is>
      </c>
      <c r="G4589" t="n">
        <v>7.19</v>
      </c>
      <c r="H4589" t="inlineStr">
        <is>
          <t>Closed</t>
        </is>
      </c>
      <c r="I4589" t="inlineStr">
        <is>
          <t>Won</t>
        </is>
      </c>
      <c r="K4589" t="n">
        <v>936.47</v>
      </c>
      <c r="L4589" t="inlineStr">
        <is>
          <t>2025-09-14 15:27:22.983378</t>
        </is>
      </c>
      <c r="M4589">
        <f>VLOOKUP(H4589,'Stage Order'!$A$2:$B$8,2,FALSE)</f>
        <v/>
      </c>
      <c r="N4589">
        <f>IF(G4589&lt;=1,"1. Under 1 hour",IF(G4589&lt;=24,"2. 1-24 hours",IF(G4589&lt;=72,"3. 1-3 days","4. Over 3 days")))</f>
        <v/>
      </c>
      <c r="O4589">
        <f>TEXT(B4589,"YYYY-MM")</f>
        <v/>
      </c>
    </row>
    <row r="4590">
      <c r="A4590" t="inlineStr">
        <is>
          <t>LD-304588</t>
        </is>
      </c>
      <c r="B4590" t="inlineStr">
        <is>
          <t>2026-03-05 18:59:00</t>
        </is>
      </c>
      <c r="C4590" t="inlineStr">
        <is>
          <t>Partner Channel</t>
        </is>
      </c>
      <c r="D4590" t="inlineStr">
        <is>
          <t>Competitive Exam Prep</t>
        </is>
      </c>
      <c r="E4590" t="inlineStr">
        <is>
          <t>West Region</t>
        </is>
      </c>
      <c r="F4590" t="inlineStr">
        <is>
          <t>Rep_13</t>
        </is>
      </c>
      <c r="G4590" t="n">
        <v>8.09</v>
      </c>
      <c r="H4590" t="inlineStr">
        <is>
          <t>Demo Completed</t>
        </is>
      </c>
      <c r="I4590" t="inlineStr">
        <is>
          <t>Lost</t>
        </is>
      </c>
      <c r="J4590" t="inlineStr">
        <is>
          <t>Price Objection</t>
        </is>
      </c>
      <c r="K4590" t="n">
        <v>978.54</v>
      </c>
      <c r="L4590" t="inlineStr">
        <is>
          <t>2026-04-09 02:16:13.236313</t>
        </is>
      </c>
      <c r="M4590">
        <f>VLOOKUP(H4590,'Stage Order'!$A$2:$B$8,2,FALSE)</f>
        <v/>
      </c>
      <c r="N4590">
        <f>IF(G4590&lt;=1,"1. Under 1 hour",IF(G4590&lt;=24,"2. 1-24 hours",IF(G4590&lt;=72,"3. 1-3 days","4. Over 3 days")))</f>
        <v/>
      </c>
      <c r="O4590">
        <f>TEXT(B4590,"YYYY-MM")</f>
        <v/>
      </c>
    </row>
    <row r="4591">
      <c r="A4591" t="inlineStr">
        <is>
          <t>LD-304589</t>
        </is>
      </c>
      <c r="B4591" t="inlineStr">
        <is>
          <t>2026-05-05 08:17:00</t>
        </is>
      </c>
      <c r="C4591" t="inlineStr">
        <is>
          <t>Cold Outreach</t>
        </is>
      </c>
      <c r="D4591" t="inlineStr">
        <is>
          <t>Study Abroad Prep</t>
        </is>
      </c>
      <c r="E4591" t="inlineStr">
        <is>
          <t>South Region</t>
        </is>
      </c>
      <c r="F4591" t="inlineStr">
        <is>
          <t>Rep_12</t>
        </is>
      </c>
      <c r="G4591" t="n">
        <v>7.16</v>
      </c>
      <c r="H4591" t="inlineStr">
        <is>
          <t>Lead</t>
        </is>
      </c>
      <c r="I4591" t="inlineStr">
        <is>
          <t>Open</t>
        </is>
      </c>
      <c r="M4591">
        <f>VLOOKUP(H4591,'Stage Order'!$A$2:$B$8,2,FALSE)</f>
        <v/>
      </c>
      <c r="N4591">
        <f>IF(G4591&lt;=1,"1. Under 1 hour",IF(G4591&lt;=24,"2. 1-24 hours",IF(G4591&lt;=72,"3. 1-3 days","4. Over 3 days")))</f>
        <v/>
      </c>
      <c r="O4591">
        <f>TEXT(B4591,"YYYY-MM")</f>
        <v/>
      </c>
    </row>
    <row r="4592">
      <c r="A4592" t="inlineStr">
        <is>
          <t>LD-304590</t>
        </is>
      </c>
      <c r="B4592" t="inlineStr">
        <is>
          <t>2026-02-06 19:52:00</t>
        </is>
      </c>
      <c r="C4592" t="inlineStr">
        <is>
          <t>Partner Channel</t>
        </is>
      </c>
      <c r="D4592" t="inlineStr">
        <is>
          <t>K-12 Math</t>
        </is>
      </c>
      <c r="E4592" t="inlineStr">
        <is>
          <t>West Region</t>
        </is>
      </c>
      <c r="F4592" t="inlineStr">
        <is>
          <t>Rep_03</t>
        </is>
      </c>
      <c r="G4592" t="n">
        <v>18.98</v>
      </c>
      <c r="H4592" t="inlineStr">
        <is>
          <t>Demo Completed</t>
        </is>
      </c>
      <c r="I4592" t="inlineStr">
        <is>
          <t>Lost</t>
        </is>
      </c>
      <c r="J4592" t="inlineStr">
        <is>
          <t>Went With Competitor</t>
        </is>
      </c>
      <c r="K4592" t="n">
        <v>494.07</v>
      </c>
      <c r="L4592" t="inlineStr">
        <is>
          <t>2026-03-03 16:15:34.312761</t>
        </is>
      </c>
      <c r="M4592">
        <f>VLOOKUP(H4592,'Stage Order'!$A$2:$B$8,2,FALSE)</f>
        <v/>
      </c>
      <c r="N4592">
        <f>IF(G4592&lt;=1,"1. Under 1 hour",IF(G4592&lt;=24,"2. 1-24 hours",IF(G4592&lt;=72,"3. 1-3 days","4. Over 3 days")))</f>
        <v/>
      </c>
      <c r="O4592">
        <f>TEXT(B4592,"YYYY-MM")</f>
        <v/>
      </c>
    </row>
    <row r="4593">
      <c r="A4593" t="inlineStr">
        <is>
          <t>LD-304591</t>
        </is>
      </c>
      <c r="B4593" t="inlineStr">
        <is>
          <t>2025-04-18 19:46:00</t>
        </is>
      </c>
      <c r="C4593" t="inlineStr">
        <is>
          <t>Paid Search</t>
        </is>
      </c>
      <c r="D4593" t="inlineStr">
        <is>
          <t>Competitive Exam Prep</t>
        </is>
      </c>
      <c r="E4593" t="inlineStr">
        <is>
          <t>North Region</t>
        </is>
      </c>
      <c r="F4593" t="inlineStr">
        <is>
          <t>Rep_01</t>
        </is>
      </c>
      <c r="G4593" t="n">
        <v>2.68</v>
      </c>
      <c r="H4593" t="inlineStr">
        <is>
          <t>Demo Completed</t>
        </is>
      </c>
      <c r="I4593" t="inlineStr">
        <is>
          <t>Lost</t>
        </is>
      </c>
      <c r="J4593" t="inlineStr">
        <is>
          <t>Budget Not Approved</t>
        </is>
      </c>
      <c r="K4593" t="n">
        <v>841.84</v>
      </c>
      <c r="L4593" t="inlineStr">
        <is>
          <t>2025-05-06 04:55:47.280760</t>
        </is>
      </c>
      <c r="M4593">
        <f>VLOOKUP(H4593,'Stage Order'!$A$2:$B$8,2,FALSE)</f>
        <v/>
      </c>
      <c r="N4593">
        <f>IF(G4593&lt;=1,"1. Under 1 hour",IF(G4593&lt;=24,"2. 1-24 hours",IF(G4593&lt;=72,"3. 1-3 days","4. Over 3 days")))</f>
        <v/>
      </c>
      <c r="O4593">
        <f>TEXT(B4593,"YYYY-MM")</f>
        <v/>
      </c>
    </row>
    <row r="4594">
      <c r="A4594" t="inlineStr">
        <is>
          <t>LD-304592</t>
        </is>
      </c>
      <c r="B4594" t="inlineStr">
        <is>
          <t>2026-03-05 13:35:00</t>
        </is>
      </c>
      <c r="C4594" t="inlineStr">
        <is>
          <t>Referral</t>
        </is>
      </c>
      <c r="D4594" t="inlineStr">
        <is>
          <t>K-12 Math</t>
        </is>
      </c>
      <c r="E4594" t="inlineStr">
        <is>
          <t>North Region</t>
        </is>
      </c>
      <c r="F4594" t="inlineStr">
        <is>
          <t>Rep_06</t>
        </is>
      </c>
      <c r="G4594" t="n">
        <v>13.08</v>
      </c>
      <c r="H4594" t="inlineStr">
        <is>
          <t>Contacted</t>
        </is>
      </c>
      <c r="I4594" t="inlineStr">
        <is>
          <t>Open</t>
        </is>
      </c>
      <c r="M4594">
        <f>VLOOKUP(H4594,'Stage Order'!$A$2:$B$8,2,FALSE)</f>
        <v/>
      </c>
      <c r="N4594">
        <f>IF(G4594&lt;=1,"1. Under 1 hour",IF(G4594&lt;=24,"2. 1-24 hours",IF(G4594&lt;=72,"3. 1-3 days","4. Over 3 days")))</f>
        <v/>
      </c>
      <c r="O4594">
        <f>TEXT(B4594,"YYYY-MM")</f>
        <v/>
      </c>
    </row>
    <row r="4595">
      <c r="A4595" t="inlineStr">
        <is>
          <t>LD-304593</t>
        </is>
      </c>
      <c r="B4595" t="inlineStr">
        <is>
          <t>2026-05-19 09:40:00</t>
        </is>
      </c>
      <c r="C4595" t="inlineStr">
        <is>
          <t>Social Media</t>
        </is>
      </c>
      <c r="D4595" t="inlineStr">
        <is>
          <t>Language Learning</t>
        </is>
      </c>
      <c r="E4595" t="inlineStr">
        <is>
          <t>East Region</t>
        </is>
      </c>
      <c r="F4595" t="inlineStr">
        <is>
          <t>Rep_14</t>
        </is>
      </c>
      <c r="G4595" t="n">
        <v>1.63</v>
      </c>
      <c r="H4595" t="inlineStr">
        <is>
          <t>Contacted</t>
        </is>
      </c>
      <c r="I4595" t="inlineStr">
        <is>
          <t>Open</t>
        </is>
      </c>
      <c r="M4595">
        <f>VLOOKUP(H4595,'Stage Order'!$A$2:$B$8,2,FALSE)</f>
        <v/>
      </c>
      <c r="N4595">
        <f>IF(G4595&lt;=1,"1. Under 1 hour",IF(G4595&lt;=24,"2. 1-24 hours",IF(G4595&lt;=72,"3. 1-3 days","4. Over 3 days")))</f>
        <v/>
      </c>
      <c r="O4595">
        <f>TEXT(B4595,"YYYY-MM")</f>
        <v/>
      </c>
    </row>
    <row r="4596">
      <c r="A4596" t="inlineStr">
        <is>
          <t>LD-304594</t>
        </is>
      </c>
      <c r="B4596" t="inlineStr">
        <is>
          <t>2025-04-01 16:18:00</t>
        </is>
      </c>
      <c r="C4596" t="inlineStr">
        <is>
          <t>Paid Search</t>
        </is>
      </c>
      <c r="D4596" t="inlineStr">
        <is>
          <t>Competitive Exam Prep</t>
        </is>
      </c>
      <c r="E4596" t="inlineStr">
        <is>
          <t>International</t>
        </is>
      </c>
      <c r="F4596" t="inlineStr">
        <is>
          <t>Rep_10</t>
        </is>
      </c>
      <c r="G4596" t="n">
        <v>4.65</v>
      </c>
      <c r="H4596" t="inlineStr">
        <is>
          <t>Contacted</t>
        </is>
      </c>
      <c r="I4596" t="inlineStr">
        <is>
          <t>Open</t>
        </is>
      </c>
      <c r="M4596">
        <f>VLOOKUP(H4596,'Stage Order'!$A$2:$B$8,2,FALSE)</f>
        <v/>
      </c>
      <c r="N4596">
        <f>IF(G4596&lt;=1,"1. Under 1 hour",IF(G4596&lt;=24,"2. 1-24 hours",IF(G4596&lt;=72,"3. 1-3 days","4. Over 3 days")))</f>
        <v/>
      </c>
      <c r="O4596">
        <f>TEXT(B4596,"YYYY-MM")</f>
        <v/>
      </c>
    </row>
    <row r="4597">
      <c r="A4597" t="inlineStr">
        <is>
          <t>LD-304595</t>
        </is>
      </c>
      <c r="B4597" t="inlineStr">
        <is>
          <t>2025-02-28 09:25:00</t>
        </is>
      </c>
      <c r="C4597" t="inlineStr">
        <is>
          <t>Webinar</t>
        </is>
      </c>
      <c r="D4597" t="inlineStr">
        <is>
          <t>Study Abroad Prep</t>
        </is>
      </c>
      <c r="E4597" t="inlineStr">
        <is>
          <t>West Region</t>
        </is>
      </c>
      <c r="F4597" t="inlineStr">
        <is>
          <t>Rep_13</t>
        </is>
      </c>
      <c r="G4597" t="n">
        <v>10.74</v>
      </c>
      <c r="H4597" t="inlineStr">
        <is>
          <t>Lead</t>
        </is>
      </c>
      <c r="I4597" t="inlineStr">
        <is>
          <t>Open</t>
        </is>
      </c>
      <c r="M4597">
        <f>VLOOKUP(H4597,'Stage Order'!$A$2:$B$8,2,FALSE)</f>
        <v/>
      </c>
      <c r="N4597">
        <f>IF(G4597&lt;=1,"1. Under 1 hour",IF(G4597&lt;=24,"2. 1-24 hours",IF(G4597&lt;=72,"3. 1-3 days","4. Over 3 days")))</f>
        <v/>
      </c>
      <c r="O4597">
        <f>TEXT(B4597,"YYYY-MM")</f>
        <v/>
      </c>
    </row>
    <row r="4598">
      <c r="A4598" t="inlineStr">
        <is>
          <t>LD-304596</t>
        </is>
      </c>
      <c r="B4598" t="inlineStr">
        <is>
          <t>2026-06-25 13:13:00</t>
        </is>
      </c>
      <c r="C4598" t="inlineStr">
        <is>
          <t>Social Media</t>
        </is>
      </c>
      <c r="D4598" t="inlineStr">
        <is>
          <t>Coding for Kids</t>
        </is>
      </c>
      <c r="E4598" t="inlineStr">
        <is>
          <t>East Region</t>
        </is>
      </c>
      <c r="F4598" t="inlineStr">
        <is>
          <t>Rep_04</t>
        </is>
      </c>
      <c r="G4598" t="n">
        <v>2.33</v>
      </c>
      <c r="H4598" t="inlineStr">
        <is>
          <t>Contacted</t>
        </is>
      </c>
      <c r="I4598" t="inlineStr">
        <is>
          <t>Open</t>
        </is>
      </c>
      <c r="M4598">
        <f>VLOOKUP(H4598,'Stage Order'!$A$2:$B$8,2,FALSE)</f>
        <v/>
      </c>
      <c r="N4598">
        <f>IF(G4598&lt;=1,"1. Under 1 hour",IF(G4598&lt;=24,"2. 1-24 hours",IF(G4598&lt;=72,"3. 1-3 days","4. Over 3 days")))</f>
        <v/>
      </c>
      <c r="O4598">
        <f>TEXT(B4598,"YYYY-MM")</f>
        <v/>
      </c>
    </row>
    <row r="4599">
      <c r="A4599" t="inlineStr">
        <is>
          <t>LD-304597</t>
        </is>
      </c>
      <c r="B4599" t="inlineStr">
        <is>
          <t>2025-08-22 15:51:00</t>
        </is>
      </c>
      <c r="C4599" t="inlineStr">
        <is>
          <t>Paid Search</t>
        </is>
      </c>
      <c r="D4599" t="inlineStr">
        <is>
          <t>Competitive Exam Prep</t>
        </is>
      </c>
      <c r="E4599" t="inlineStr">
        <is>
          <t>East Region</t>
        </is>
      </c>
      <c r="F4599" t="inlineStr">
        <is>
          <t>Rep_09</t>
        </is>
      </c>
      <c r="G4599" t="n">
        <v>2.18</v>
      </c>
      <c r="H4599" t="inlineStr">
        <is>
          <t>Contacted</t>
        </is>
      </c>
      <c r="I4599" t="inlineStr">
        <is>
          <t>Open</t>
        </is>
      </c>
      <c r="M4599">
        <f>VLOOKUP(H4599,'Stage Order'!$A$2:$B$8,2,FALSE)</f>
        <v/>
      </c>
      <c r="N4599">
        <f>IF(G4599&lt;=1,"1. Under 1 hour",IF(G4599&lt;=24,"2. 1-24 hours",IF(G4599&lt;=72,"3. 1-3 days","4. Over 3 days")))</f>
        <v/>
      </c>
      <c r="O4599">
        <f>TEXT(B4599,"YYYY-MM")</f>
        <v/>
      </c>
    </row>
    <row r="4600">
      <c r="A4600" t="inlineStr">
        <is>
          <t>LD-304598</t>
        </is>
      </c>
      <c r="B4600" t="inlineStr">
        <is>
          <t>2025-10-10 11:55:00</t>
        </is>
      </c>
      <c r="C4600" t="inlineStr">
        <is>
          <t>Social Media</t>
        </is>
      </c>
      <c r="D4600" t="inlineStr">
        <is>
          <t>Competitive Exam Prep</t>
        </is>
      </c>
      <c r="E4600" t="inlineStr">
        <is>
          <t>International</t>
        </is>
      </c>
      <c r="F4600" t="inlineStr">
        <is>
          <t>Rep_10</t>
        </is>
      </c>
      <c r="G4600" t="n">
        <v>8.83</v>
      </c>
      <c r="H4600" t="inlineStr">
        <is>
          <t>Lead</t>
        </is>
      </c>
      <c r="I4600" t="inlineStr">
        <is>
          <t>Open</t>
        </is>
      </c>
      <c r="M4600">
        <f>VLOOKUP(H4600,'Stage Order'!$A$2:$B$8,2,FALSE)</f>
        <v/>
      </c>
      <c r="N4600">
        <f>IF(G4600&lt;=1,"1. Under 1 hour",IF(G4600&lt;=24,"2. 1-24 hours",IF(G4600&lt;=72,"3. 1-3 days","4. Over 3 days")))</f>
        <v/>
      </c>
      <c r="O4600">
        <f>TEXT(B4600,"YYYY-MM")</f>
        <v/>
      </c>
    </row>
    <row r="4601">
      <c r="A4601" t="inlineStr">
        <is>
          <t>LD-304599</t>
        </is>
      </c>
      <c r="B4601" t="inlineStr">
        <is>
          <t>2025-12-08 18:28:00</t>
        </is>
      </c>
      <c r="C4601" t="inlineStr">
        <is>
          <t>Organic Search</t>
        </is>
      </c>
      <c r="D4601" t="inlineStr">
        <is>
          <t>Competitive Exam Prep</t>
        </is>
      </c>
      <c r="E4601" t="inlineStr">
        <is>
          <t>South Region</t>
        </is>
      </c>
      <c r="F4601" t="inlineStr">
        <is>
          <t>Rep_12</t>
        </is>
      </c>
      <c r="G4601" t="n">
        <v>5.82</v>
      </c>
      <c r="H4601" t="inlineStr">
        <is>
          <t>Closed</t>
        </is>
      </c>
      <c r="I4601" t="inlineStr">
        <is>
          <t>Won</t>
        </is>
      </c>
      <c r="K4601" t="n">
        <v>931.51</v>
      </c>
      <c r="L4601" t="inlineStr">
        <is>
          <t>2026-01-17 03:18:35.712494</t>
        </is>
      </c>
      <c r="M4601">
        <f>VLOOKUP(H4601,'Stage Order'!$A$2:$B$8,2,FALSE)</f>
        <v/>
      </c>
      <c r="N4601">
        <f>IF(G4601&lt;=1,"1. Under 1 hour",IF(G4601&lt;=24,"2. 1-24 hours",IF(G4601&lt;=72,"3. 1-3 days","4. Over 3 days")))</f>
        <v/>
      </c>
      <c r="O4601">
        <f>TEXT(B4601,"YYYY-MM")</f>
        <v/>
      </c>
    </row>
    <row r="4602">
      <c r="A4602" t="inlineStr">
        <is>
          <t>LD-304600</t>
        </is>
      </c>
      <c r="B4602" t="inlineStr">
        <is>
          <t>2026-03-21 17:06:00</t>
        </is>
      </c>
      <c r="C4602" t="inlineStr">
        <is>
          <t>Organic Search</t>
        </is>
      </c>
      <c r="D4602" t="inlineStr">
        <is>
          <t>K-12 Math</t>
        </is>
      </c>
      <c r="E4602" t="inlineStr">
        <is>
          <t>South Region</t>
        </is>
      </c>
      <c r="F4602" t="inlineStr">
        <is>
          <t>Rep_12</t>
        </is>
      </c>
      <c r="G4602" t="n">
        <v>5.28</v>
      </c>
      <c r="H4602" t="inlineStr">
        <is>
          <t>Contacted</t>
        </is>
      </c>
      <c r="I4602" t="inlineStr">
        <is>
          <t>Open</t>
        </is>
      </c>
      <c r="M4602">
        <f>VLOOKUP(H4602,'Stage Order'!$A$2:$B$8,2,FALSE)</f>
        <v/>
      </c>
      <c r="N4602">
        <f>IF(G4602&lt;=1,"1. Under 1 hour",IF(G4602&lt;=24,"2. 1-24 hours",IF(G4602&lt;=72,"3. 1-3 days","4. Over 3 days")))</f>
        <v/>
      </c>
      <c r="O4602">
        <f>TEXT(B4602,"YYYY-MM")</f>
        <v/>
      </c>
    </row>
    <row r="4603">
      <c r="A4603" t="inlineStr">
        <is>
          <t>LD-304601</t>
        </is>
      </c>
      <c r="B4603" t="inlineStr">
        <is>
          <t>2025-10-31 08:32:00</t>
        </is>
      </c>
      <c r="C4603" t="inlineStr">
        <is>
          <t>Social Media</t>
        </is>
      </c>
      <c r="D4603" t="inlineStr">
        <is>
          <t>K-12 Math</t>
        </is>
      </c>
      <c r="E4603" t="inlineStr">
        <is>
          <t>International</t>
        </is>
      </c>
      <c r="F4603" t="inlineStr">
        <is>
          <t>Rep_15</t>
        </is>
      </c>
      <c r="G4603" t="n">
        <v>3.16</v>
      </c>
      <c r="H4603" t="inlineStr">
        <is>
          <t>Contacted</t>
        </is>
      </c>
      <c r="I4603" t="inlineStr">
        <is>
          <t>Open</t>
        </is>
      </c>
      <c r="M4603">
        <f>VLOOKUP(H4603,'Stage Order'!$A$2:$B$8,2,FALSE)</f>
        <v/>
      </c>
      <c r="N4603">
        <f>IF(G4603&lt;=1,"1. Under 1 hour",IF(G4603&lt;=24,"2. 1-24 hours",IF(G4603&lt;=72,"3. 1-3 days","4. Over 3 days")))</f>
        <v/>
      </c>
      <c r="O4603">
        <f>TEXT(B4603,"YYYY-MM")</f>
        <v/>
      </c>
    </row>
    <row r="4604">
      <c r="A4604" t="inlineStr">
        <is>
          <t>LD-304602</t>
        </is>
      </c>
      <c r="B4604" t="inlineStr">
        <is>
          <t>2026-05-25 09:37:00</t>
        </is>
      </c>
      <c r="C4604" t="inlineStr">
        <is>
          <t>Organic Search</t>
        </is>
      </c>
      <c r="D4604" t="inlineStr">
        <is>
          <t>Competitive Exam Prep</t>
        </is>
      </c>
      <c r="E4604" t="inlineStr">
        <is>
          <t>South Region</t>
        </is>
      </c>
      <c r="F4604" t="inlineStr">
        <is>
          <t>Rep_07</t>
        </is>
      </c>
      <c r="G4604" t="n">
        <v>0.15</v>
      </c>
      <c r="H4604" t="inlineStr">
        <is>
          <t>Negotiation</t>
        </is>
      </c>
      <c r="I4604" t="inlineStr">
        <is>
          <t>Lost</t>
        </is>
      </c>
      <c r="J4604" t="inlineStr">
        <is>
          <t>Bad Timing</t>
        </is>
      </c>
      <c r="K4604" t="n">
        <v>1051.46</v>
      </c>
      <c r="L4604" t="inlineStr">
        <is>
          <t>2026-07-09 11:03:26.837651</t>
        </is>
      </c>
      <c r="M4604">
        <f>VLOOKUP(H4604,'Stage Order'!$A$2:$B$8,2,FALSE)</f>
        <v/>
      </c>
      <c r="N4604">
        <f>IF(G4604&lt;=1,"1. Under 1 hour",IF(G4604&lt;=24,"2. 1-24 hours",IF(G4604&lt;=72,"3. 1-3 days","4. Over 3 days")))</f>
        <v/>
      </c>
      <c r="O4604">
        <f>TEXT(B4604,"YYYY-MM")</f>
        <v/>
      </c>
    </row>
    <row r="4605">
      <c r="A4605" t="inlineStr">
        <is>
          <t>LD-304603</t>
        </is>
      </c>
      <c r="B4605" t="inlineStr">
        <is>
          <t>2026-05-05 14:02:00</t>
        </is>
      </c>
      <c r="C4605" t="inlineStr">
        <is>
          <t>Paid Search</t>
        </is>
      </c>
      <c r="D4605" t="inlineStr">
        <is>
          <t>Competitive Exam Prep</t>
        </is>
      </c>
      <c r="E4605" t="inlineStr">
        <is>
          <t>South Region</t>
        </is>
      </c>
      <c r="F4605" t="inlineStr">
        <is>
          <t>Rep_02</t>
        </is>
      </c>
      <c r="G4605" t="n">
        <v>0.98</v>
      </c>
      <c r="H4605" t="inlineStr">
        <is>
          <t>Contacted</t>
        </is>
      </c>
      <c r="I4605" t="inlineStr">
        <is>
          <t>Open</t>
        </is>
      </c>
      <c r="M4605">
        <f>VLOOKUP(H4605,'Stage Order'!$A$2:$B$8,2,FALSE)</f>
        <v/>
      </c>
      <c r="N4605">
        <f>IF(G4605&lt;=1,"1. Under 1 hour",IF(G4605&lt;=24,"2. 1-24 hours",IF(G4605&lt;=72,"3. 1-3 days","4. Over 3 days")))</f>
        <v/>
      </c>
      <c r="O4605">
        <f>TEXT(B4605,"YYYY-MM")</f>
        <v/>
      </c>
    </row>
    <row r="4606">
      <c r="A4606" t="inlineStr">
        <is>
          <t>LD-304604</t>
        </is>
      </c>
      <c r="B4606" t="inlineStr">
        <is>
          <t>2026-03-26 17:34:00</t>
        </is>
      </c>
      <c r="C4606" t="inlineStr">
        <is>
          <t>Referral</t>
        </is>
      </c>
      <c r="D4606" t="inlineStr">
        <is>
          <t>K-12 Math</t>
        </is>
      </c>
      <c r="E4606" t="inlineStr">
        <is>
          <t>West Region</t>
        </is>
      </c>
      <c r="F4606" t="inlineStr">
        <is>
          <t>Rep_03</t>
        </is>
      </c>
      <c r="G4606" t="n">
        <v>4.67</v>
      </c>
      <c r="H4606" t="inlineStr">
        <is>
          <t>Contacted</t>
        </is>
      </c>
      <c r="I4606" t="inlineStr">
        <is>
          <t>Open</t>
        </is>
      </c>
      <c r="M4606">
        <f>VLOOKUP(H4606,'Stage Order'!$A$2:$B$8,2,FALSE)</f>
        <v/>
      </c>
      <c r="N4606">
        <f>IF(G4606&lt;=1,"1. Under 1 hour",IF(G4606&lt;=24,"2. 1-24 hours",IF(G4606&lt;=72,"3. 1-3 days","4. Over 3 days")))</f>
        <v/>
      </c>
      <c r="O4606">
        <f>TEXT(B4606,"YYYY-MM")</f>
        <v/>
      </c>
    </row>
    <row r="4607">
      <c r="A4607" t="inlineStr">
        <is>
          <t>LD-304605</t>
        </is>
      </c>
      <c r="B4607" t="inlineStr">
        <is>
          <t>2025-12-27 19:57:00</t>
        </is>
      </c>
      <c r="C4607" t="inlineStr">
        <is>
          <t>Partner Channel</t>
        </is>
      </c>
      <c r="D4607" t="inlineStr">
        <is>
          <t>Language Learning</t>
        </is>
      </c>
      <c r="E4607" t="inlineStr">
        <is>
          <t>West Region</t>
        </is>
      </c>
      <c r="F4607" t="inlineStr">
        <is>
          <t>Rep_13</t>
        </is>
      </c>
      <c r="G4607" t="n">
        <v>4.64</v>
      </c>
      <c r="H4607" t="inlineStr">
        <is>
          <t>Contacted</t>
        </is>
      </c>
      <c r="I4607" t="inlineStr">
        <is>
          <t>Open</t>
        </is>
      </c>
      <c r="M4607">
        <f>VLOOKUP(H4607,'Stage Order'!$A$2:$B$8,2,FALSE)</f>
        <v/>
      </c>
      <c r="N4607">
        <f>IF(G4607&lt;=1,"1. Under 1 hour",IF(G4607&lt;=24,"2. 1-24 hours",IF(G4607&lt;=72,"3. 1-3 days","4. Over 3 days")))</f>
        <v/>
      </c>
      <c r="O4607">
        <f>TEXT(B4607,"YYYY-MM")</f>
        <v/>
      </c>
    </row>
    <row r="4608">
      <c r="A4608" t="inlineStr">
        <is>
          <t>LD-304606</t>
        </is>
      </c>
      <c r="B4608" t="inlineStr">
        <is>
          <t>2025-11-20 09:19:00</t>
        </is>
      </c>
      <c r="C4608" t="inlineStr">
        <is>
          <t>Social Media</t>
        </is>
      </c>
      <c r="D4608" t="inlineStr">
        <is>
          <t>Competitive Exam Prep</t>
        </is>
      </c>
      <c r="E4608" t="inlineStr">
        <is>
          <t>North Region</t>
        </is>
      </c>
      <c r="F4608" t="inlineStr">
        <is>
          <t>Rep_01</t>
        </is>
      </c>
      <c r="G4608" t="n">
        <v>1.37</v>
      </c>
      <c r="H4608" t="inlineStr">
        <is>
          <t>Contacted</t>
        </is>
      </c>
      <c r="I4608" t="inlineStr">
        <is>
          <t>Open</t>
        </is>
      </c>
      <c r="M4608">
        <f>VLOOKUP(H4608,'Stage Order'!$A$2:$B$8,2,FALSE)</f>
        <v/>
      </c>
      <c r="N4608">
        <f>IF(G4608&lt;=1,"1. Under 1 hour",IF(G4608&lt;=24,"2. 1-24 hours",IF(G4608&lt;=72,"3. 1-3 days","4. Over 3 days")))</f>
        <v/>
      </c>
      <c r="O4608">
        <f>TEXT(B4608,"YYYY-MM")</f>
        <v/>
      </c>
    </row>
    <row r="4609">
      <c r="A4609" t="inlineStr">
        <is>
          <t>LD-304607</t>
        </is>
      </c>
      <c r="B4609" t="inlineStr">
        <is>
          <t>2025-12-13 19:45:00</t>
        </is>
      </c>
      <c r="C4609" t="inlineStr">
        <is>
          <t>Referral</t>
        </is>
      </c>
      <c r="D4609" t="inlineStr">
        <is>
          <t>Competitive Exam Prep</t>
        </is>
      </c>
      <c r="E4609" t="inlineStr">
        <is>
          <t>International</t>
        </is>
      </c>
      <c r="F4609" t="inlineStr">
        <is>
          <t>Rep_05</t>
        </is>
      </c>
      <c r="G4609" t="n">
        <v>1.23</v>
      </c>
      <c r="H4609" t="inlineStr">
        <is>
          <t>Contacted</t>
        </is>
      </c>
      <c r="I4609" t="inlineStr">
        <is>
          <t>Open</t>
        </is>
      </c>
      <c r="M4609">
        <f>VLOOKUP(H4609,'Stage Order'!$A$2:$B$8,2,FALSE)</f>
        <v/>
      </c>
      <c r="N4609">
        <f>IF(G4609&lt;=1,"1. Under 1 hour",IF(G4609&lt;=24,"2. 1-24 hours",IF(G4609&lt;=72,"3. 1-3 days","4. Over 3 days")))</f>
        <v/>
      </c>
      <c r="O4609">
        <f>TEXT(B4609,"YYYY-MM")</f>
        <v/>
      </c>
    </row>
    <row r="4610">
      <c r="A4610" t="inlineStr">
        <is>
          <t>LD-304608</t>
        </is>
      </c>
      <c r="B4610" t="inlineStr">
        <is>
          <t>2025-02-13 18:09:00</t>
        </is>
      </c>
      <c r="C4610" t="inlineStr">
        <is>
          <t>Organic Search</t>
        </is>
      </c>
      <c r="D4610" t="inlineStr">
        <is>
          <t>Language Learning</t>
        </is>
      </c>
      <c r="E4610" t="inlineStr">
        <is>
          <t>South Region</t>
        </is>
      </c>
      <c r="F4610" t="inlineStr">
        <is>
          <t>Rep_02</t>
        </is>
      </c>
      <c r="G4610" t="n">
        <v>2.54</v>
      </c>
      <c r="H4610" t="inlineStr">
        <is>
          <t>Contacted</t>
        </is>
      </c>
      <c r="I4610" t="inlineStr">
        <is>
          <t>Open</t>
        </is>
      </c>
      <c r="M4610">
        <f>VLOOKUP(H4610,'Stage Order'!$A$2:$B$8,2,FALSE)</f>
        <v/>
      </c>
      <c r="N4610">
        <f>IF(G4610&lt;=1,"1. Under 1 hour",IF(G4610&lt;=24,"2. 1-24 hours",IF(G4610&lt;=72,"3. 1-3 days","4. Over 3 days")))</f>
        <v/>
      </c>
      <c r="O4610">
        <f>TEXT(B4610,"YYYY-MM")</f>
        <v/>
      </c>
    </row>
    <row r="4611">
      <c r="A4611" t="inlineStr">
        <is>
          <t>LD-304609</t>
        </is>
      </c>
      <c r="B4611" t="inlineStr">
        <is>
          <t>2026-02-05 10:25:00</t>
        </is>
      </c>
      <c r="C4611" t="inlineStr">
        <is>
          <t>Social Media</t>
        </is>
      </c>
      <c r="D4611" t="inlineStr">
        <is>
          <t>Coding for Kids</t>
        </is>
      </c>
      <c r="E4611" t="inlineStr">
        <is>
          <t>North Region</t>
        </is>
      </c>
      <c r="F4611" t="inlineStr">
        <is>
          <t>Rep_01</t>
        </is>
      </c>
      <c r="G4611" t="n">
        <v>0.9399999999999999</v>
      </c>
      <c r="H4611" t="inlineStr">
        <is>
          <t>Demo Completed</t>
        </is>
      </c>
      <c r="I4611" t="inlineStr">
        <is>
          <t>Lost</t>
        </is>
      </c>
      <c r="J4611" t="inlineStr">
        <is>
          <t>Went With Competitor</t>
        </is>
      </c>
      <c r="K4611" t="n">
        <v>550.89</v>
      </c>
      <c r="L4611" t="inlineStr">
        <is>
          <t>2026-03-12 22:15:40.713242</t>
        </is>
      </c>
      <c r="M4611">
        <f>VLOOKUP(H4611,'Stage Order'!$A$2:$B$8,2,FALSE)</f>
        <v/>
      </c>
      <c r="N4611">
        <f>IF(G4611&lt;=1,"1. Under 1 hour",IF(G4611&lt;=24,"2. 1-24 hours",IF(G4611&lt;=72,"3. 1-3 days","4. Over 3 days")))</f>
        <v/>
      </c>
      <c r="O4611">
        <f>TEXT(B4611,"YYYY-MM")</f>
        <v/>
      </c>
    </row>
    <row r="4612">
      <c r="A4612" t="inlineStr">
        <is>
          <t>LD-304610</t>
        </is>
      </c>
      <c r="B4612" t="inlineStr">
        <is>
          <t>2026-04-03 13:34:00</t>
        </is>
      </c>
      <c r="C4612" t="inlineStr">
        <is>
          <t>Social Media</t>
        </is>
      </c>
      <c r="D4612" t="inlineStr">
        <is>
          <t>Language Learning</t>
        </is>
      </c>
      <c r="E4612" t="inlineStr">
        <is>
          <t>International</t>
        </is>
      </c>
      <c r="F4612" t="inlineStr">
        <is>
          <t>Rep_05</t>
        </is>
      </c>
      <c r="G4612" t="n">
        <v>2.23</v>
      </c>
      <c r="H4612" t="inlineStr">
        <is>
          <t>Contacted</t>
        </is>
      </c>
      <c r="I4612" t="inlineStr">
        <is>
          <t>Open</t>
        </is>
      </c>
      <c r="M4612">
        <f>VLOOKUP(H4612,'Stage Order'!$A$2:$B$8,2,FALSE)</f>
        <v/>
      </c>
      <c r="N4612">
        <f>IF(G4612&lt;=1,"1. Under 1 hour",IF(G4612&lt;=24,"2. 1-24 hours",IF(G4612&lt;=72,"3. 1-3 days","4. Over 3 days")))</f>
        <v/>
      </c>
      <c r="O4612">
        <f>TEXT(B4612,"YYYY-MM")</f>
        <v/>
      </c>
    </row>
    <row r="4613">
      <c r="A4613" t="inlineStr">
        <is>
          <t>LD-304611</t>
        </is>
      </c>
      <c r="B4613" t="inlineStr">
        <is>
          <t>2025-05-09 19:24:00</t>
        </is>
      </c>
      <c r="C4613" t="inlineStr">
        <is>
          <t>Referral</t>
        </is>
      </c>
      <c r="D4613" t="inlineStr">
        <is>
          <t>Language Learning</t>
        </is>
      </c>
      <c r="E4613" t="inlineStr">
        <is>
          <t>West Region</t>
        </is>
      </c>
      <c r="F4613" t="inlineStr">
        <is>
          <t>Rep_03</t>
        </is>
      </c>
      <c r="G4613" t="n">
        <v>1.11</v>
      </c>
      <c r="H4613" t="inlineStr">
        <is>
          <t>Contacted</t>
        </is>
      </c>
      <c r="I4613" t="inlineStr">
        <is>
          <t>Open</t>
        </is>
      </c>
      <c r="M4613">
        <f>VLOOKUP(H4613,'Stage Order'!$A$2:$B$8,2,FALSE)</f>
        <v/>
      </c>
      <c r="N4613">
        <f>IF(G4613&lt;=1,"1. Under 1 hour",IF(G4613&lt;=24,"2. 1-24 hours",IF(G4613&lt;=72,"3. 1-3 days","4. Over 3 days")))</f>
        <v/>
      </c>
      <c r="O4613">
        <f>TEXT(B4613,"YYYY-MM")</f>
        <v/>
      </c>
    </row>
    <row r="4614">
      <c r="A4614" t="inlineStr">
        <is>
          <t>LD-304612</t>
        </is>
      </c>
      <c r="B4614" t="inlineStr">
        <is>
          <t>2026-02-08 15:50:00</t>
        </is>
      </c>
      <c r="C4614" t="inlineStr">
        <is>
          <t>Social Media</t>
        </is>
      </c>
      <c r="D4614" t="inlineStr">
        <is>
          <t>K-12 Math</t>
        </is>
      </c>
      <c r="E4614" t="inlineStr">
        <is>
          <t>East Region</t>
        </is>
      </c>
      <c r="F4614" t="inlineStr">
        <is>
          <t>Rep_14</t>
        </is>
      </c>
      <c r="G4614" t="n">
        <v>3.41</v>
      </c>
      <c r="H4614" t="inlineStr">
        <is>
          <t>Lead</t>
        </is>
      </c>
      <c r="I4614" t="inlineStr">
        <is>
          <t>Open</t>
        </is>
      </c>
      <c r="M4614">
        <f>VLOOKUP(H4614,'Stage Order'!$A$2:$B$8,2,FALSE)</f>
        <v/>
      </c>
      <c r="N4614">
        <f>IF(G4614&lt;=1,"1. Under 1 hour",IF(G4614&lt;=24,"2. 1-24 hours",IF(G4614&lt;=72,"3. 1-3 days","4. Over 3 days")))</f>
        <v/>
      </c>
      <c r="O4614">
        <f>TEXT(B4614,"YYYY-MM")</f>
        <v/>
      </c>
    </row>
    <row r="4615">
      <c r="A4615" t="inlineStr">
        <is>
          <t>LD-304613</t>
        </is>
      </c>
      <c r="B4615" t="inlineStr">
        <is>
          <t>2025-11-28 20:44:00</t>
        </is>
      </c>
      <c r="C4615" t="inlineStr">
        <is>
          <t>Webinar</t>
        </is>
      </c>
      <c r="D4615" t="inlineStr">
        <is>
          <t>Competitive Exam Prep</t>
        </is>
      </c>
      <c r="E4615" t="inlineStr">
        <is>
          <t>South Region</t>
        </is>
      </c>
      <c r="F4615" t="inlineStr">
        <is>
          <t>Rep_02</t>
        </is>
      </c>
      <c r="G4615" t="n">
        <v>12.82</v>
      </c>
      <c r="H4615" t="inlineStr">
        <is>
          <t>Contacted</t>
        </is>
      </c>
      <c r="I4615" t="inlineStr">
        <is>
          <t>Open</t>
        </is>
      </c>
      <c r="M4615">
        <f>VLOOKUP(H4615,'Stage Order'!$A$2:$B$8,2,FALSE)</f>
        <v/>
      </c>
      <c r="N4615">
        <f>IF(G4615&lt;=1,"1. Under 1 hour",IF(G4615&lt;=24,"2. 1-24 hours",IF(G4615&lt;=72,"3. 1-3 days","4. Over 3 days")))</f>
        <v/>
      </c>
      <c r="O4615">
        <f>TEXT(B4615,"YYYY-MM")</f>
        <v/>
      </c>
    </row>
    <row r="4616">
      <c r="A4616" t="inlineStr">
        <is>
          <t>LD-304614</t>
        </is>
      </c>
      <c r="B4616" t="inlineStr">
        <is>
          <t>2026-04-24 18:55:00</t>
        </is>
      </c>
      <c r="C4616" t="inlineStr">
        <is>
          <t>Organic Search</t>
        </is>
      </c>
      <c r="D4616" t="inlineStr">
        <is>
          <t>K-12 Math</t>
        </is>
      </c>
      <c r="E4616" t="inlineStr">
        <is>
          <t>International</t>
        </is>
      </c>
      <c r="F4616" t="inlineStr">
        <is>
          <t>Rep_10</t>
        </is>
      </c>
      <c r="G4616" t="n">
        <v>8.460000000000001</v>
      </c>
      <c r="H4616" t="inlineStr">
        <is>
          <t>Contacted</t>
        </is>
      </c>
      <c r="I4616" t="inlineStr">
        <is>
          <t>Open</t>
        </is>
      </c>
      <c r="M4616">
        <f>VLOOKUP(H4616,'Stage Order'!$A$2:$B$8,2,FALSE)</f>
        <v/>
      </c>
      <c r="N4616">
        <f>IF(G4616&lt;=1,"1. Under 1 hour",IF(G4616&lt;=24,"2. 1-24 hours",IF(G4616&lt;=72,"3. 1-3 days","4. Over 3 days")))</f>
        <v/>
      </c>
      <c r="O4616">
        <f>TEXT(B4616,"YYYY-MM")</f>
        <v/>
      </c>
    </row>
    <row r="4617">
      <c r="A4617" t="inlineStr">
        <is>
          <t>LD-304615</t>
        </is>
      </c>
      <c r="B4617" t="inlineStr">
        <is>
          <t>2025-10-02 18:06:00</t>
        </is>
      </c>
      <c r="C4617" t="inlineStr">
        <is>
          <t>Social Media</t>
        </is>
      </c>
      <c r="D4617" t="inlineStr">
        <is>
          <t>Coding for Kids</t>
        </is>
      </c>
      <c r="E4617" t="inlineStr">
        <is>
          <t>West Region</t>
        </is>
      </c>
      <c r="F4617" t="inlineStr">
        <is>
          <t>Rep_08</t>
        </is>
      </c>
      <c r="G4617" t="n">
        <v>3.5</v>
      </c>
      <c r="H4617" t="inlineStr">
        <is>
          <t>Negotiation</t>
        </is>
      </c>
      <c r="I4617" t="inlineStr">
        <is>
          <t>Lost</t>
        </is>
      </c>
      <c r="J4617" t="inlineStr">
        <is>
          <t>Bad Timing</t>
        </is>
      </c>
      <c r="K4617" t="n">
        <v>715.15</v>
      </c>
      <c r="L4617" t="inlineStr">
        <is>
          <t>2025-11-11 22:24:26.676390</t>
        </is>
      </c>
      <c r="M4617">
        <f>VLOOKUP(H4617,'Stage Order'!$A$2:$B$8,2,FALSE)</f>
        <v/>
      </c>
      <c r="N4617">
        <f>IF(G4617&lt;=1,"1. Under 1 hour",IF(G4617&lt;=24,"2. 1-24 hours",IF(G4617&lt;=72,"3. 1-3 days","4. Over 3 days")))</f>
        <v/>
      </c>
      <c r="O4617">
        <f>TEXT(B4617,"YYYY-MM")</f>
        <v/>
      </c>
    </row>
    <row r="4618">
      <c r="A4618" t="inlineStr">
        <is>
          <t>LD-304616</t>
        </is>
      </c>
      <c r="B4618" t="inlineStr">
        <is>
          <t>2025-11-21 19:52:00</t>
        </is>
      </c>
      <c r="C4618" t="inlineStr">
        <is>
          <t>Organic Search</t>
        </is>
      </c>
      <c r="D4618" t="inlineStr">
        <is>
          <t>Language Learning</t>
        </is>
      </c>
      <c r="E4618" t="inlineStr">
        <is>
          <t>International</t>
        </is>
      </c>
      <c r="F4618" t="inlineStr">
        <is>
          <t>Rep_05</t>
        </is>
      </c>
      <c r="G4618" t="n">
        <v>3.24</v>
      </c>
      <c r="H4618" t="inlineStr">
        <is>
          <t>Lead</t>
        </is>
      </c>
      <c r="I4618" t="inlineStr">
        <is>
          <t>Open</t>
        </is>
      </c>
      <c r="M4618">
        <f>VLOOKUP(H4618,'Stage Order'!$A$2:$B$8,2,FALSE)</f>
        <v/>
      </c>
      <c r="N4618">
        <f>IF(G4618&lt;=1,"1. Under 1 hour",IF(G4618&lt;=24,"2. 1-24 hours",IF(G4618&lt;=72,"3. 1-3 days","4. Over 3 days")))</f>
        <v/>
      </c>
      <c r="O4618">
        <f>TEXT(B4618,"YYYY-MM")</f>
        <v/>
      </c>
    </row>
    <row r="4619">
      <c r="A4619" t="inlineStr">
        <is>
          <t>LD-304617</t>
        </is>
      </c>
      <c r="B4619" t="inlineStr">
        <is>
          <t>2026-01-21 15:36:00</t>
        </is>
      </c>
      <c r="C4619" t="inlineStr">
        <is>
          <t>Cold Outreach</t>
        </is>
      </c>
      <c r="D4619" t="inlineStr">
        <is>
          <t>Coding for Kids</t>
        </is>
      </c>
      <c r="E4619" t="inlineStr">
        <is>
          <t>South Region</t>
        </is>
      </c>
      <c r="F4619" t="inlineStr">
        <is>
          <t>Rep_07</t>
        </is>
      </c>
      <c r="G4619" t="n">
        <v>1.16</v>
      </c>
      <c r="H4619" t="inlineStr">
        <is>
          <t>Contacted</t>
        </is>
      </c>
      <c r="I4619" t="inlineStr">
        <is>
          <t>Open</t>
        </is>
      </c>
      <c r="M4619">
        <f>VLOOKUP(H4619,'Stage Order'!$A$2:$B$8,2,FALSE)</f>
        <v/>
      </c>
      <c r="N4619">
        <f>IF(G4619&lt;=1,"1. Under 1 hour",IF(G4619&lt;=24,"2. 1-24 hours",IF(G4619&lt;=72,"3. 1-3 days","4. Over 3 days")))</f>
        <v/>
      </c>
      <c r="O4619">
        <f>TEXT(B4619,"YYYY-MM")</f>
        <v/>
      </c>
    </row>
    <row r="4620">
      <c r="A4620" t="inlineStr">
        <is>
          <t>LD-304618</t>
        </is>
      </c>
      <c r="B4620" t="inlineStr">
        <is>
          <t>2025-10-15 07:43:00</t>
        </is>
      </c>
      <c r="C4620" t="inlineStr">
        <is>
          <t>Paid Search</t>
        </is>
      </c>
      <c r="D4620" t="inlineStr">
        <is>
          <t>Competitive Exam Prep</t>
        </is>
      </c>
      <c r="E4620" t="inlineStr">
        <is>
          <t>North Region</t>
        </is>
      </c>
      <c r="F4620" t="inlineStr">
        <is>
          <t>Rep_01</t>
        </is>
      </c>
      <c r="G4620" t="n">
        <v>2.45</v>
      </c>
      <c r="H4620" t="inlineStr">
        <is>
          <t>Demo Completed</t>
        </is>
      </c>
      <c r="I4620" t="inlineStr">
        <is>
          <t>Lost</t>
        </is>
      </c>
      <c r="J4620" t="inlineStr">
        <is>
          <t>Went With Competitor</t>
        </is>
      </c>
      <c r="K4620" t="n">
        <v>874.91</v>
      </c>
      <c r="L4620" t="inlineStr">
        <is>
          <t>2025-11-14 20:12:24.368812</t>
        </is>
      </c>
      <c r="M4620">
        <f>VLOOKUP(H4620,'Stage Order'!$A$2:$B$8,2,FALSE)</f>
        <v/>
      </c>
      <c r="N4620">
        <f>IF(G4620&lt;=1,"1. Under 1 hour",IF(G4620&lt;=24,"2. 1-24 hours",IF(G4620&lt;=72,"3. 1-3 days","4. Over 3 days")))</f>
        <v/>
      </c>
      <c r="O4620">
        <f>TEXT(B4620,"YYYY-MM")</f>
        <v/>
      </c>
    </row>
    <row r="4621">
      <c r="A4621" t="inlineStr">
        <is>
          <t>LD-304619</t>
        </is>
      </c>
      <c r="B4621" t="inlineStr">
        <is>
          <t>2026-06-12 12:25:00</t>
        </is>
      </c>
      <c r="C4621" t="inlineStr">
        <is>
          <t>Paid Search</t>
        </is>
      </c>
      <c r="D4621" t="inlineStr">
        <is>
          <t>Coding for Kids</t>
        </is>
      </c>
      <c r="E4621" t="inlineStr">
        <is>
          <t>North Region</t>
        </is>
      </c>
      <c r="F4621" t="inlineStr">
        <is>
          <t>Rep_06</t>
        </is>
      </c>
      <c r="G4621" t="n">
        <v>2.99</v>
      </c>
      <c r="H4621" t="inlineStr">
        <is>
          <t>Demo Scheduled</t>
        </is>
      </c>
      <c r="I4621" t="inlineStr">
        <is>
          <t>Open</t>
        </is>
      </c>
      <c r="M4621">
        <f>VLOOKUP(H4621,'Stage Order'!$A$2:$B$8,2,FALSE)</f>
        <v/>
      </c>
      <c r="N4621">
        <f>IF(G4621&lt;=1,"1. Under 1 hour",IF(G4621&lt;=24,"2. 1-24 hours",IF(G4621&lt;=72,"3. 1-3 days","4. Over 3 days")))</f>
        <v/>
      </c>
      <c r="O4621">
        <f>TEXT(B4621,"YYYY-MM")</f>
        <v/>
      </c>
    </row>
    <row r="4622">
      <c r="A4622" t="inlineStr">
        <is>
          <t>LD-304620</t>
        </is>
      </c>
      <c r="B4622" t="inlineStr">
        <is>
          <t>2025-02-28 11:57:00</t>
        </is>
      </c>
      <c r="C4622" t="inlineStr">
        <is>
          <t>Referral</t>
        </is>
      </c>
      <c r="D4622" t="inlineStr">
        <is>
          <t>K-12 Math</t>
        </is>
      </c>
      <c r="E4622" t="inlineStr">
        <is>
          <t>South Region</t>
        </is>
      </c>
      <c r="F4622" t="inlineStr">
        <is>
          <t>Rep_12</t>
        </is>
      </c>
      <c r="G4622" t="n">
        <v>6.16</v>
      </c>
      <c r="H4622" t="inlineStr">
        <is>
          <t>Closed</t>
        </is>
      </c>
      <c r="I4622" t="inlineStr">
        <is>
          <t>Won</t>
        </is>
      </c>
      <c r="K4622" t="n">
        <v>473.91</v>
      </c>
      <c r="L4622" t="inlineStr">
        <is>
          <t>2025-04-17 00:08:03.211382</t>
        </is>
      </c>
      <c r="M4622">
        <f>VLOOKUP(H4622,'Stage Order'!$A$2:$B$8,2,FALSE)</f>
        <v/>
      </c>
      <c r="N4622">
        <f>IF(G4622&lt;=1,"1. Under 1 hour",IF(G4622&lt;=24,"2. 1-24 hours",IF(G4622&lt;=72,"3. 1-3 days","4. Over 3 days")))</f>
        <v/>
      </c>
      <c r="O4622">
        <f>TEXT(B4622,"YYYY-MM")</f>
        <v/>
      </c>
    </row>
    <row r="4623">
      <c r="A4623" t="inlineStr">
        <is>
          <t>LD-304621</t>
        </is>
      </c>
      <c r="B4623" t="inlineStr">
        <is>
          <t>2025-03-21 18:39:00</t>
        </is>
      </c>
      <c r="C4623" t="inlineStr">
        <is>
          <t>Paid Search</t>
        </is>
      </c>
      <c r="D4623" t="inlineStr">
        <is>
          <t>Coding for Kids</t>
        </is>
      </c>
      <c r="E4623" t="inlineStr">
        <is>
          <t>South Region</t>
        </is>
      </c>
      <c r="F4623" t="inlineStr">
        <is>
          <t>Rep_12</t>
        </is>
      </c>
      <c r="G4623" t="n">
        <v>3.82</v>
      </c>
      <c r="H4623" t="inlineStr">
        <is>
          <t>Lead</t>
        </is>
      </c>
      <c r="I4623" t="inlineStr">
        <is>
          <t>Open</t>
        </is>
      </c>
      <c r="M4623">
        <f>VLOOKUP(H4623,'Stage Order'!$A$2:$B$8,2,FALSE)</f>
        <v/>
      </c>
      <c r="N4623">
        <f>IF(G4623&lt;=1,"1. Under 1 hour",IF(G4623&lt;=24,"2. 1-24 hours",IF(G4623&lt;=72,"3. 1-3 days","4. Over 3 days")))</f>
        <v/>
      </c>
      <c r="O4623">
        <f>TEXT(B4623,"YYYY-MM")</f>
        <v/>
      </c>
    </row>
    <row r="4624">
      <c r="A4624" t="inlineStr">
        <is>
          <t>LD-304622</t>
        </is>
      </c>
      <c r="B4624" t="inlineStr">
        <is>
          <t>2025-10-10 18:49:00</t>
        </is>
      </c>
      <c r="C4624" t="inlineStr">
        <is>
          <t>Webinar</t>
        </is>
      </c>
      <c r="D4624" t="inlineStr">
        <is>
          <t>Language Learning</t>
        </is>
      </c>
      <c r="E4624" t="inlineStr">
        <is>
          <t>East Region</t>
        </is>
      </c>
      <c r="F4624" t="inlineStr">
        <is>
          <t>Rep_14</t>
        </is>
      </c>
      <c r="G4624" t="n">
        <v>6.38</v>
      </c>
      <c r="H4624" t="inlineStr">
        <is>
          <t>Contacted</t>
        </is>
      </c>
      <c r="I4624" t="inlineStr">
        <is>
          <t>Open</t>
        </is>
      </c>
      <c r="M4624">
        <f>VLOOKUP(H4624,'Stage Order'!$A$2:$B$8,2,FALSE)</f>
        <v/>
      </c>
      <c r="N4624">
        <f>IF(G4624&lt;=1,"1. Under 1 hour",IF(G4624&lt;=24,"2. 1-24 hours",IF(G4624&lt;=72,"3. 1-3 days","4. Over 3 days")))</f>
        <v/>
      </c>
      <c r="O4624">
        <f>TEXT(B4624,"YYYY-MM")</f>
        <v/>
      </c>
    </row>
    <row r="4625">
      <c r="A4625" t="inlineStr">
        <is>
          <t>LD-304623</t>
        </is>
      </c>
      <c r="B4625" t="inlineStr">
        <is>
          <t>2025-11-27 07:06:00</t>
        </is>
      </c>
      <c r="C4625" t="inlineStr">
        <is>
          <t>Organic Search</t>
        </is>
      </c>
      <c r="D4625" t="inlineStr">
        <is>
          <t>K-12 Math</t>
        </is>
      </c>
      <c r="E4625" t="inlineStr">
        <is>
          <t>West Region</t>
        </is>
      </c>
      <c r="F4625" t="inlineStr">
        <is>
          <t>Rep_03</t>
        </is>
      </c>
      <c r="G4625" t="n">
        <v>4.84</v>
      </c>
      <c r="H4625" t="inlineStr">
        <is>
          <t>Contacted</t>
        </is>
      </c>
      <c r="I4625" t="inlineStr">
        <is>
          <t>Open</t>
        </is>
      </c>
      <c r="M4625">
        <f>VLOOKUP(H4625,'Stage Order'!$A$2:$B$8,2,FALSE)</f>
        <v/>
      </c>
      <c r="N4625">
        <f>IF(G4625&lt;=1,"1. Under 1 hour",IF(G4625&lt;=24,"2. 1-24 hours",IF(G4625&lt;=72,"3. 1-3 days","4. Over 3 days")))</f>
        <v/>
      </c>
      <c r="O4625">
        <f>TEXT(B4625,"YYYY-MM")</f>
        <v/>
      </c>
    </row>
    <row r="4626">
      <c r="A4626" t="inlineStr">
        <is>
          <t>LD-304624</t>
        </is>
      </c>
      <c r="B4626" t="inlineStr">
        <is>
          <t>2025-06-12 07:59:00</t>
        </is>
      </c>
      <c r="C4626" t="inlineStr">
        <is>
          <t>Referral</t>
        </is>
      </c>
      <c r="D4626" t="inlineStr">
        <is>
          <t>Study Abroad Prep</t>
        </is>
      </c>
      <c r="E4626" t="inlineStr">
        <is>
          <t>West Region</t>
        </is>
      </c>
      <c r="F4626" t="inlineStr">
        <is>
          <t>Rep_08</t>
        </is>
      </c>
      <c r="G4626" t="n">
        <v>1.4</v>
      </c>
      <c r="H4626" t="inlineStr">
        <is>
          <t>Negotiation</t>
        </is>
      </c>
      <c r="I4626" t="inlineStr">
        <is>
          <t>Lost</t>
        </is>
      </c>
      <c r="J4626" t="inlineStr">
        <is>
          <t>Price Objection</t>
        </is>
      </c>
      <c r="K4626" t="n">
        <v>1210.69</v>
      </c>
      <c r="L4626" t="inlineStr">
        <is>
          <t>2025-08-07 15:53:45.029678</t>
        </is>
      </c>
      <c r="M4626">
        <f>VLOOKUP(H4626,'Stage Order'!$A$2:$B$8,2,FALSE)</f>
        <v/>
      </c>
      <c r="N4626">
        <f>IF(G4626&lt;=1,"1. Under 1 hour",IF(G4626&lt;=24,"2. 1-24 hours",IF(G4626&lt;=72,"3. 1-3 days","4. Over 3 days")))</f>
        <v/>
      </c>
      <c r="O4626">
        <f>TEXT(B4626,"YYYY-MM")</f>
        <v/>
      </c>
    </row>
    <row r="4627">
      <c r="A4627" t="inlineStr">
        <is>
          <t>LD-304625</t>
        </is>
      </c>
      <c r="B4627" t="inlineStr">
        <is>
          <t>2026-01-16 12:12:00</t>
        </is>
      </c>
      <c r="C4627" t="inlineStr">
        <is>
          <t>Organic Search</t>
        </is>
      </c>
      <c r="D4627" t="inlineStr">
        <is>
          <t>Competitive Exam Prep</t>
        </is>
      </c>
      <c r="E4627" t="inlineStr">
        <is>
          <t>East Region</t>
        </is>
      </c>
      <c r="F4627" t="inlineStr">
        <is>
          <t>Rep_04</t>
        </is>
      </c>
      <c r="G4627" t="n">
        <v>13.93</v>
      </c>
      <c r="H4627" t="inlineStr">
        <is>
          <t>Lead</t>
        </is>
      </c>
      <c r="I4627" t="inlineStr">
        <is>
          <t>Open</t>
        </is>
      </c>
      <c r="M4627">
        <f>VLOOKUP(H4627,'Stage Order'!$A$2:$B$8,2,FALSE)</f>
        <v/>
      </c>
      <c r="N4627">
        <f>IF(G4627&lt;=1,"1. Under 1 hour",IF(G4627&lt;=24,"2. 1-24 hours",IF(G4627&lt;=72,"3. 1-3 days","4. Over 3 days")))</f>
        <v/>
      </c>
      <c r="O4627">
        <f>TEXT(B4627,"YYYY-MM")</f>
        <v/>
      </c>
    </row>
    <row r="4628">
      <c r="A4628" t="inlineStr">
        <is>
          <t>LD-304626</t>
        </is>
      </c>
      <c r="B4628" t="inlineStr">
        <is>
          <t>2026-01-05 15:32:00</t>
        </is>
      </c>
      <c r="C4628" t="inlineStr">
        <is>
          <t>Organic Search</t>
        </is>
      </c>
      <c r="D4628" t="inlineStr">
        <is>
          <t>Competitive Exam Prep</t>
        </is>
      </c>
      <c r="E4628" t="inlineStr">
        <is>
          <t>West Region</t>
        </is>
      </c>
      <c r="F4628" t="inlineStr">
        <is>
          <t>Rep_03</t>
        </is>
      </c>
      <c r="G4628" t="n">
        <v>2.86</v>
      </c>
      <c r="H4628" t="inlineStr">
        <is>
          <t>Contacted</t>
        </is>
      </c>
      <c r="I4628" t="inlineStr">
        <is>
          <t>Open</t>
        </is>
      </c>
      <c r="M4628">
        <f>VLOOKUP(H4628,'Stage Order'!$A$2:$B$8,2,FALSE)</f>
        <v/>
      </c>
      <c r="N4628">
        <f>IF(G4628&lt;=1,"1. Under 1 hour",IF(G4628&lt;=24,"2. 1-24 hours",IF(G4628&lt;=72,"3. 1-3 days","4. Over 3 days")))</f>
        <v/>
      </c>
      <c r="O4628">
        <f>TEXT(B4628,"YYYY-MM")</f>
        <v/>
      </c>
    </row>
    <row r="4629">
      <c r="A4629" t="inlineStr">
        <is>
          <t>LD-304627</t>
        </is>
      </c>
      <c r="B4629" t="inlineStr">
        <is>
          <t>2025-08-05 20:54:00</t>
        </is>
      </c>
      <c r="C4629" t="inlineStr">
        <is>
          <t>Paid Search</t>
        </is>
      </c>
      <c r="D4629" t="inlineStr">
        <is>
          <t>Coding for Kids</t>
        </is>
      </c>
      <c r="E4629" t="inlineStr">
        <is>
          <t>North Region</t>
        </is>
      </c>
      <c r="F4629" t="inlineStr">
        <is>
          <t>Rep_06</t>
        </is>
      </c>
      <c r="G4629" t="n">
        <v>19.51</v>
      </c>
      <c r="H4629" t="inlineStr">
        <is>
          <t>Lead</t>
        </is>
      </c>
      <c r="I4629" t="inlineStr">
        <is>
          <t>Open</t>
        </is>
      </c>
      <c r="M4629">
        <f>VLOOKUP(H4629,'Stage Order'!$A$2:$B$8,2,FALSE)</f>
        <v/>
      </c>
      <c r="N4629">
        <f>IF(G4629&lt;=1,"1. Under 1 hour",IF(G4629&lt;=24,"2. 1-24 hours",IF(G4629&lt;=72,"3. 1-3 days","4. Over 3 days")))</f>
        <v/>
      </c>
      <c r="O4629">
        <f>TEXT(B4629,"YYYY-MM")</f>
        <v/>
      </c>
    </row>
    <row r="4630">
      <c r="A4630" t="inlineStr">
        <is>
          <t>LD-304628</t>
        </is>
      </c>
      <c r="B4630" t="inlineStr">
        <is>
          <t>2026-05-15 13:10:00</t>
        </is>
      </c>
      <c r="C4630" t="inlineStr">
        <is>
          <t>Webinar</t>
        </is>
      </c>
      <c r="D4630" t="inlineStr">
        <is>
          <t>Study Abroad Prep</t>
        </is>
      </c>
      <c r="E4630" t="inlineStr">
        <is>
          <t>East Region</t>
        </is>
      </c>
      <c r="F4630" t="inlineStr">
        <is>
          <t>Rep_04</t>
        </is>
      </c>
      <c r="G4630" t="n">
        <v>21.16</v>
      </c>
      <c r="H4630" t="inlineStr">
        <is>
          <t>Contacted</t>
        </is>
      </c>
      <c r="I4630" t="inlineStr">
        <is>
          <t>Open</t>
        </is>
      </c>
      <c r="M4630">
        <f>VLOOKUP(H4630,'Stage Order'!$A$2:$B$8,2,FALSE)</f>
        <v/>
      </c>
      <c r="N4630">
        <f>IF(G4630&lt;=1,"1. Under 1 hour",IF(G4630&lt;=24,"2. 1-24 hours",IF(G4630&lt;=72,"3. 1-3 days","4. Over 3 days")))</f>
        <v/>
      </c>
      <c r="O4630">
        <f>TEXT(B4630,"YYYY-MM")</f>
        <v/>
      </c>
    </row>
    <row r="4631">
      <c r="A4631" t="inlineStr">
        <is>
          <t>LD-304629</t>
        </is>
      </c>
      <c r="B4631" t="inlineStr">
        <is>
          <t>2026-03-03 09:24:00</t>
        </is>
      </c>
      <c r="C4631" t="inlineStr">
        <is>
          <t>Social Media</t>
        </is>
      </c>
      <c r="D4631" t="inlineStr">
        <is>
          <t>K-12 Math</t>
        </is>
      </c>
      <c r="E4631" t="inlineStr">
        <is>
          <t>East Region</t>
        </is>
      </c>
      <c r="F4631" t="inlineStr">
        <is>
          <t>Rep_14</t>
        </is>
      </c>
      <c r="G4631" t="n">
        <v>11.75</v>
      </c>
      <c r="H4631" t="inlineStr">
        <is>
          <t>Contacted</t>
        </is>
      </c>
      <c r="I4631" t="inlineStr">
        <is>
          <t>Open</t>
        </is>
      </c>
      <c r="M4631">
        <f>VLOOKUP(H4631,'Stage Order'!$A$2:$B$8,2,FALSE)</f>
        <v/>
      </c>
      <c r="N4631">
        <f>IF(G4631&lt;=1,"1. Under 1 hour",IF(G4631&lt;=24,"2. 1-24 hours",IF(G4631&lt;=72,"3. 1-3 days","4. Over 3 days")))</f>
        <v/>
      </c>
      <c r="O4631">
        <f>TEXT(B4631,"YYYY-MM")</f>
        <v/>
      </c>
    </row>
    <row r="4632">
      <c r="A4632" t="inlineStr">
        <is>
          <t>LD-304630</t>
        </is>
      </c>
      <c r="B4632" t="inlineStr">
        <is>
          <t>2025-03-21 18:32:00</t>
        </is>
      </c>
      <c r="C4632" t="inlineStr">
        <is>
          <t>Referral</t>
        </is>
      </c>
      <c r="D4632" t="inlineStr">
        <is>
          <t>Competitive Exam Prep</t>
        </is>
      </c>
      <c r="E4632" t="inlineStr">
        <is>
          <t>International</t>
        </is>
      </c>
      <c r="F4632" t="inlineStr">
        <is>
          <t>Rep_05</t>
        </is>
      </c>
      <c r="G4632" t="n">
        <v>5.11</v>
      </c>
      <c r="H4632" t="inlineStr">
        <is>
          <t>Closed</t>
        </is>
      </c>
      <c r="I4632" t="inlineStr">
        <is>
          <t>Won</t>
        </is>
      </c>
      <c r="K4632" t="n">
        <v>1105.73</v>
      </c>
      <c r="L4632" t="inlineStr">
        <is>
          <t>2025-05-13 01:56:40.165142</t>
        </is>
      </c>
      <c r="M4632">
        <f>VLOOKUP(H4632,'Stage Order'!$A$2:$B$8,2,FALSE)</f>
        <v/>
      </c>
      <c r="N4632">
        <f>IF(G4632&lt;=1,"1. Under 1 hour",IF(G4632&lt;=24,"2. 1-24 hours",IF(G4632&lt;=72,"3. 1-3 days","4. Over 3 days")))</f>
        <v/>
      </c>
      <c r="O4632">
        <f>TEXT(B4632,"YYYY-MM")</f>
        <v/>
      </c>
    </row>
    <row r="4633">
      <c r="A4633" t="inlineStr">
        <is>
          <t>LD-304631</t>
        </is>
      </c>
      <c r="B4633" t="inlineStr">
        <is>
          <t>2025-05-27 10:34:00</t>
        </is>
      </c>
      <c r="C4633" t="inlineStr">
        <is>
          <t>Partner Channel</t>
        </is>
      </c>
      <c r="D4633" t="inlineStr">
        <is>
          <t>Competitive Exam Prep</t>
        </is>
      </c>
      <c r="E4633" t="inlineStr">
        <is>
          <t>West Region</t>
        </is>
      </c>
      <c r="F4633" t="inlineStr">
        <is>
          <t>Rep_03</t>
        </is>
      </c>
      <c r="G4633" t="n">
        <v>5.36</v>
      </c>
      <c r="H4633" t="inlineStr">
        <is>
          <t>Negotiation</t>
        </is>
      </c>
      <c r="I4633" t="inlineStr">
        <is>
          <t>Lost</t>
        </is>
      </c>
      <c r="J4633" t="inlineStr">
        <is>
          <t>Bad Timing</t>
        </is>
      </c>
      <c r="K4633" t="n">
        <v>1040.33</v>
      </c>
      <c r="L4633" t="inlineStr">
        <is>
          <t>2025-07-04 15:54:40.842488</t>
        </is>
      </c>
      <c r="M4633">
        <f>VLOOKUP(H4633,'Stage Order'!$A$2:$B$8,2,FALSE)</f>
        <v/>
      </c>
      <c r="N4633">
        <f>IF(G4633&lt;=1,"1. Under 1 hour",IF(G4633&lt;=24,"2. 1-24 hours",IF(G4633&lt;=72,"3. 1-3 days","4. Over 3 days")))</f>
        <v/>
      </c>
      <c r="O4633">
        <f>TEXT(B4633,"YYYY-MM")</f>
        <v/>
      </c>
    </row>
    <row r="4634">
      <c r="A4634" t="inlineStr">
        <is>
          <t>LD-304632</t>
        </is>
      </c>
      <c r="B4634" t="inlineStr">
        <is>
          <t>2025-07-25 14:20:00</t>
        </is>
      </c>
      <c r="C4634" t="inlineStr">
        <is>
          <t>Organic Search</t>
        </is>
      </c>
      <c r="D4634" t="inlineStr">
        <is>
          <t>Coding for Kids</t>
        </is>
      </c>
      <c r="E4634" t="inlineStr">
        <is>
          <t>North Region</t>
        </is>
      </c>
      <c r="F4634" t="inlineStr">
        <is>
          <t>Rep_01</t>
        </is>
      </c>
      <c r="G4634" t="n">
        <v>1.77</v>
      </c>
      <c r="H4634" t="inlineStr">
        <is>
          <t>Contacted</t>
        </is>
      </c>
      <c r="I4634" t="inlineStr">
        <is>
          <t>Open</t>
        </is>
      </c>
      <c r="M4634">
        <f>VLOOKUP(H4634,'Stage Order'!$A$2:$B$8,2,FALSE)</f>
        <v/>
      </c>
      <c r="N4634">
        <f>IF(G4634&lt;=1,"1. Under 1 hour",IF(G4634&lt;=24,"2. 1-24 hours",IF(G4634&lt;=72,"3. 1-3 days","4. Over 3 days")))</f>
        <v/>
      </c>
      <c r="O4634">
        <f>TEXT(B4634,"YYYY-MM")</f>
        <v/>
      </c>
    </row>
    <row r="4635">
      <c r="A4635" t="inlineStr">
        <is>
          <t>LD-304633</t>
        </is>
      </c>
      <c r="B4635" t="inlineStr">
        <is>
          <t>2025-07-28 17:43:00</t>
        </is>
      </c>
      <c r="C4635" t="inlineStr">
        <is>
          <t>Referral</t>
        </is>
      </c>
      <c r="D4635" t="inlineStr">
        <is>
          <t>Competitive Exam Prep</t>
        </is>
      </c>
      <c r="E4635" t="inlineStr">
        <is>
          <t>East Region</t>
        </is>
      </c>
      <c r="F4635" t="inlineStr">
        <is>
          <t>Rep_04</t>
        </is>
      </c>
      <c r="G4635" t="n">
        <v>0.67</v>
      </c>
      <c r="H4635" t="inlineStr">
        <is>
          <t>Demo Completed</t>
        </is>
      </c>
      <c r="I4635" t="inlineStr">
        <is>
          <t>Lost</t>
        </is>
      </c>
      <c r="J4635" t="inlineStr">
        <is>
          <t>No Response / Ghosted</t>
        </is>
      </c>
      <c r="K4635" t="n">
        <v>1031.35</v>
      </c>
      <c r="L4635" t="inlineStr">
        <is>
          <t>2025-08-17 14:50:26.937534</t>
        </is>
      </c>
      <c r="M4635">
        <f>VLOOKUP(H4635,'Stage Order'!$A$2:$B$8,2,FALSE)</f>
        <v/>
      </c>
      <c r="N4635">
        <f>IF(G4635&lt;=1,"1. Under 1 hour",IF(G4635&lt;=24,"2. 1-24 hours",IF(G4635&lt;=72,"3. 1-3 days","4. Over 3 days")))</f>
        <v/>
      </c>
      <c r="O4635">
        <f>TEXT(B4635,"YYYY-MM")</f>
        <v/>
      </c>
    </row>
    <row r="4636">
      <c r="A4636" t="inlineStr">
        <is>
          <t>LD-304634</t>
        </is>
      </c>
      <c r="B4636" t="inlineStr">
        <is>
          <t>2025-03-04 15:56:00</t>
        </is>
      </c>
      <c r="C4636" t="inlineStr">
        <is>
          <t>Referral</t>
        </is>
      </c>
      <c r="D4636" t="inlineStr">
        <is>
          <t>Language Learning</t>
        </is>
      </c>
      <c r="E4636" t="inlineStr">
        <is>
          <t>South Region</t>
        </is>
      </c>
      <c r="F4636" t="inlineStr">
        <is>
          <t>Rep_02</t>
        </is>
      </c>
      <c r="G4636" t="n">
        <v>9.550000000000001</v>
      </c>
      <c r="H4636" t="inlineStr">
        <is>
          <t>Closed</t>
        </is>
      </c>
      <c r="I4636" t="inlineStr">
        <is>
          <t>Won</t>
        </is>
      </c>
      <c r="K4636" t="n">
        <v>338.69</v>
      </c>
      <c r="L4636" t="inlineStr">
        <is>
          <t>2025-03-30 02:15:33.350232</t>
        </is>
      </c>
      <c r="M4636">
        <f>VLOOKUP(H4636,'Stage Order'!$A$2:$B$8,2,FALSE)</f>
        <v/>
      </c>
      <c r="N4636">
        <f>IF(G4636&lt;=1,"1. Under 1 hour",IF(G4636&lt;=24,"2. 1-24 hours",IF(G4636&lt;=72,"3. 1-3 days","4. Over 3 days")))</f>
        <v/>
      </c>
      <c r="O4636">
        <f>TEXT(B4636,"YYYY-MM")</f>
        <v/>
      </c>
    </row>
    <row r="4637">
      <c r="A4637" t="inlineStr">
        <is>
          <t>LD-304635</t>
        </is>
      </c>
      <c r="B4637" t="inlineStr">
        <is>
          <t>2025-04-18 07:37:00</t>
        </is>
      </c>
      <c r="C4637" t="inlineStr">
        <is>
          <t>Referral</t>
        </is>
      </c>
      <c r="D4637" t="inlineStr">
        <is>
          <t>Competitive Exam Prep</t>
        </is>
      </c>
      <c r="E4637" t="inlineStr">
        <is>
          <t>West Region</t>
        </is>
      </c>
      <c r="F4637" t="inlineStr">
        <is>
          <t>Rep_08</t>
        </is>
      </c>
      <c r="G4637" t="n">
        <v>7.04</v>
      </c>
      <c r="H4637" t="inlineStr">
        <is>
          <t>Contacted</t>
        </is>
      </c>
      <c r="I4637" t="inlineStr">
        <is>
          <t>Open</t>
        </is>
      </c>
      <c r="M4637">
        <f>VLOOKUP(H4637,'Stage Order'!$A$2:$B$8,2,FALSE)</f>
        <v/>
      </c>
      <c r="N4637">
        <f>IF(G4637&lt;=1,"1. Under 1 hour",IF(G4637&lt;=24,"2. 1-24 hours",IF(G4637&lt;=72,"3. 1-3 days","4. Over 3 days")))</f>
        <v/>
      </c>
      <c r="O4637">
        <f>TEXT(B4637,"YYYY-MM")</f>
        <v/>
      </c>
    </row>
    <row r="4638">
      <c r="A4638" t="inlineStr">
        <is>
          <t>LD-304636</t>
        </is>
      </c>
      <c r="B4638" t="inlineStr">
        <is>
          <t>2025-12-15 15:51:00</t>
        </is>
      </c>
      <c r="C4638" t="inlineStr">
        <is>
          <t>Cold Outreach</t>
        </is>
      </c>
      <c r="D4638" t="inlineStr">
        <is>
          <t>Coding for Kids</t>
        </is>
      </c>
      <c r="E4638" t="inlineStr">
        <is>
          <t>North Region</t>
        </is>
      </c>
      <c r="F4638" t="inlineStr">
        <is>
          <t>Rep_06</t>
        </is>
      </c>
      <c r="G4638" t="n">
        <v>2.81</v>
      </c>
      <c r="H4638" t="inlineStr">
        <is>
          <t>Lead</t>
        </is>
      </c>
      <c r="I4638" t="inlineStr">
        <is>
          <t>Open</t>
        </is>
      </c>
      <c r="M4638">
        <f>VLOOKUP(H4638,'Stage Order'!$A$2:$B$8,2,FALSE)</f>
        <v/>
      </c>
      <c r="N4638">
        <f>IF(G4638&lt;=1,"1. Under 1 hour",IF(G4638&lt;=24,"2. 1-24 hours",IF(G4638&lt;=72,"3. 1-3 days","4. Over 3 days")))</f>
        <v/>
      </c>
      <c r="O4638">
        <f>TEXT(B4638,"YYYY-MM")</f>
        <v/>
      </c>
    </row>
    <row r="4639">
      <c r="A4639" t="inlineStr">
        <is>
          <t>LD-304637</t>
        </is>
      </c>
      <c r="B4639" t="inlineStr">
        <is>
          <t>2025-07-04 12:31:00</t>
        </is>
      </c>
      <c r="C4639" t="inlineStr">
        <is>
          <t>Webinar</t>
        </is>
      </c>
      <c r="D4639" t="inlineStr">
        <is>
          <t>Language Learning</t>
        </is>
      </c>
      <c r="E4639" t="inlineStr">
        <is>
          <t>South Region</t>
        </is>
      </c>
      <c r="F4639" t="inlineStr">
        <is>
          <t>Rep_02</t>
        </is>
      </c>
      <c r="G4639" t="n">
        <v>13.92</v>
      </c>
      <c r="H4639" t="inlineStr">
        <is>
          <t>Contacted</t>
        </is>
      </c>
      <c r="I4639" t="inlineStr">
        <is>
          <t>Open</t>
        </is>
      </c>
      <c r="M4639">
        <f>VLOOKUP(H4639,'Stage Order'!$A$2:$B$8,2,FALSE)</f>
        <v/>
      </c>
      <c r="N4639">
        <f>IF(G4639&lt;=1,"1. Under 1 hour",IF(G4639&lt;=24,"2. 1-24 hours",IF(G4639&lt;=72,"3. 1-3 days","4. Over 3 days")))</f>
        <v/>
      </c>
      <c r="O4639">
        <f>TEXT(B4639,"YYYY-MM")</f>
        <v/>
      </c>
    </row>
    <row r="4640">
      <c r="A4640" t="inlineStr">
        <is>
          <t>LD-304638</t>
        </is>
      </c>
      <c r="B4640" t="inlineStr">
        <is>
          <t>2026-01-09 18:27:00</t>
        </is>
      </c>
      <c r="C4640" t="inlineStr">
        <is>
          <t>Organic Search</t>
        </is>
      </c>
      <c r="D4640" t="inlineStr">
        <is>
          <t>Language Learning</t>
        </is>
      </c>
      <c r="E4640" t="inlineStr">
        <is>
          <t>East Region</t>
        </is>
      </c>
      <c r="F4640" t="inlineStr">
        <is>
          <t>Rep_14</t>
        </is>
      </c>
      <c r="G4640" t="n">
        <v>0.58</v>
      </c>
      <c r="H4640" t="inlineStr">
        <is>
          <t>Contacted</t>
        </is>
      </c>
      <c r="I4640" t="inlineStr">
        <is>
          <t>Open</t>
        </is>
      </c>
      <c r="M4640">
        <f>VLOOKUP(H4640,'Stage Order'!$A$2:$B$8,2,FALSE)</f>
        <v/>
      </c>
      <c r="N4640">
        <f>IF(G4640&lt;=1,"1. Under 1 hour",IF(G4640&lt;=24,"2. 1-24 hours",IF(G4640&lt;=72,"3. 1-3 days","4. Over 3 days")))</f>
        <v/>
      </c>
      <c r="O4640">
        <f>TEXT(B4640,"YYYY-MM")</f>
        <v/>
      </c>
    </row>
    <row r="4641">
      <c r="A4641" t="inlineStr">
        <is>
          <t>LD-304639</t>
        </is>
      </c>
      <c r="B4641" t="inlineStr">
        <is>
          <t>2025-06-16 13:43:00</t>
        </is>
      </c>
      <c r="C4641" t="inlineStr">
        <is>
          <t>Social Media</t>
        </is>
      </c>
      <c r="D4641" t="inlineStr">
        <is>
          <t>Language Learning</t>
        </is>
      </c>
      <c r="E4641" t="inlineStr">
        <is>
          <t>West Region</t>
        </is>
      </c>
      <c r="F4641" t="inlineStr">
        <is>
          <t>Rep_13</t>
        </is>
      </c>
      <c r="G4641" t="n">
        <v>0.67</v>
      </c>
      <c r="H4641" t="inlineStr">
        <is>
          <t>Negotiation</t>
        </is>
      </c>
      <c r="I4641" t="inlineStr">
        <is>
          <t>Lost</t>
        </is>
      </c>
      <c r="J4641" t="inlineStr">
        <is>
          <t>Budget Not Approved</t>
        </is>
      </c>
      <c r="K4641" t="n">
        <v>353.26</v>
      </c>
      <c r="L4641" t="inlineStr">
        <is>
          <t>2025-07-16 02:41:38.793702</t>
        </is>
      </c>
      <c r="M4641">
        <f>VLOOKUP(H4641,'Stage Order'!$A$2:$B$8,2,FALSE)</f>
        <v/>
      </c>
      <c r="N4641">
        <f>IF(G4641&lt;=1,"1. Under 1 hour",IF(G4641&lt;=24,"2. 1-24 hours",IF(G4641&lt;=72,"3. 1-3 days","4. Over 3 days")))</f>
        <v/>
      </c>
      <c r="O4641">
        <f>TEXT(B4641,"YYYY-MM")</f>
        <v/>
      </c>
    </row>
    <row r="4642">
      <c r="A4642" t="inlineStr">
        <is>
          <t>LD-304640</t>
        </is>
      </c>
      <c r="B4642" t="inlineStr">
        <is>
          <t>2025-11-11 08:47:00</t>
        </is>
      </c>
      <c r="C4642" t="inlineStr">
        <is>
          <t>Webinar</t>
        </is>
      </c>
      <c r="D4642" t="inlineStr">
        <is>
          <t>Language Learning</t>
        </is>
      </c>
      <c r="E4642" t="inlineStr">
        <is>
          <t>East Region</t>
        </is>
      </c>
      <c r="F4642" t="inlineStr">
        <is>
          <t>Rep_09</t>
        </is>
      </c>
      <c r="G4642" t="n">
        <v>1.85</v>
      </c>
      <c r="H4642" t="inlineStr">
        <is>
          <t>Closed</t>
        </is>
      </c>
      <c r="I4642" t="inlineStr">
        <is>
          <t>Won</t>
        </is>
      </c>
      <c r="K4642" t="n">
        <v>293.42</v>
      </c>
      <c r="L4642" t="inlineStr">
        <is>
          <t>2025-12-24 15:00:28.277430</t>
        </is>
      </c>
      <c r="M4642">
        <f>VLOOKUP(H4642,'Stage Order'!$A$2:$B$8,2,FALSE)</f>
        <v/>
      </c>
      <c r="N4642">
        <f>IF(G4642&lt;=1,"1. Under 1 hour",IF(G4642&lt;=24,"2. 1-24 hours",IF(G4642&lt;=72,"3. 1-3 days","4. Over 3 days")))</f>
        <v/>
      </c>
      <c r="O4642">
        <f>TEXT(B4642,"YYYY-MM")</f>
        <v/>
      </c>
    </row>
    <row r="4643">
      <c r="A4643" t="inlineStr">
        <is>
          <t>LD-304641</t>
        </is>
      </c>
      <c r="B4643" t="inlineStr">
        <is>
          <t>2026-04-01 15:55:00</t>
        </is>
      </c>
      <c r="C4643" t="inlineStr">
        <is>
          <t>Referral</t>
        </is>
      </c>
      <c r="D4643" t="inlineStr">
        <is>
          <t>Competitive Exam Prep</t>
        </is>
      </c>
      <c r="E4643" t="inlineStr">
        <is>
          <t>North Region</t>
        </is>
      </c>
      <c r="F4643" t="inlineStr">
        <is>
          <t>Rep_06</t>
        </is>
      </c>
      <c r="G4643" t="n">
        <v>14.16</v>
      </c>
      <c r="H4643" t="inlineStr">
        <is>
          <t>Contacted</t>
        </is>
      </c>
      <c r="I4643" t="inlineStr">
        <is>
          <t>Open</t>
        </is>
      </c>
      <c r="M4643">
        <f>VLOOKUP(H4643,'Stage Order'!$A$2:$B$8,2,FALSE)</f>
        <v/>
      </c>
      <c r="N4643">
        <f>IF(G4643&lt;=1,"1. Under 1 hour",IF(G4643&lt;=24,"2. 1-24 hours",IF(G4643&lt;=72,"3. 1-3 days","4. Over 3 days")))</f>
        <v/>
      </c>
      <c r="O4643">
        <f>TEXT(B4643,"YYYY-MM")</f>
        <v/>
      </c>
    </row>
    <row r="4644">
      <c r="A4644" t="inlineStr">
        <is>
          <t>LD-304642</t>
        </is>
      </c>
      <c r="B4644" t="inlineStr">
        <is>
          <t>2025-08-30 16:18:00</t>
        </is>
      </c>
      <c r="C4644" t="inlineStr">
        <is>
          <t>Social Media</t>
        </is>
      </c>
      <c r="D4644" t="inlineStr">
        <is>
          <t>K-12 Math</t>
        </is>
      </c>
      <c r="E4644" t="inlineStr">
        <is>
          <t>South Region</t>
        </is>
      </c>
      <c r="F4644" t="inlineStr">
        <is>
          <t>Rep_07</t>
        </is>
      </c>
      <c r="G4644" t="n">
        <v>1.88</v>
      </c>
      <c r="H4644" t="inlineStr">
        <is>
          <t>Lead</t>
        </is>
      </c>
      <c r="I4644" t="inlineStr">
        <is>
          <t>Open</t>
        </is>
      </c>
      <c r="M4644">
        <f>VLOOKUP(H4644,'Stage Order'!$A$2:$B$8,2,FALSE)</f>
        <v/>
      </c>
      <c r="N4644">
        <f>IF(G4644&lt;=1,"1. Under 1 hour",IF(G4644&lt;=24,"2. 1-24 hours",IF(G4644&lt;=72,"3. 1-3 days","4. Over 3 days")))</f>
        <v/>
      </c>
      <c r="O4644">
        <f>TEXT(B4644,"YYYY-MM")</f>
        <v/>
      </c>
    </row>
    <row r="4645">
      <c r="A4645" t="inlineStr">
        <is>
          <t>LD-304643</t>
        </is>
      </c>
      <c r="B4645" t="inlineStr">
        <is>
          <t>2026-06-07 16:08:00</t>
        </is>
      </c>
      <c r="C4645" t="inlineStr">
        <is>
          <t>Cold Outreach</t>
        </is>
      </c>
      <c r="D4645" t="inlineStr">
        <is>
          <t>Coding for Kids</t>
        </is>
      </c>
      <c r="E4645" t="inlineStr">
        <is>
          <t>International</t>
        </is>
      </c>
      <c r="F4645" t="inlineStr">
        <is>
          <t>Rep_15</t>
        </is>
      </c>
      <c r="G4645" t="n">
        <v>5.23</v>
      </c>
      <c r="H4645" t="inlineStr">
        <is>
          <t>Lead</t>
        </is>
      </c>
      <c r="I4645" t="inlineStr">
        <is>
          <t>Open</t>
        </is>
      </c>
      <c r="M4645">
        <f>VLOOKUP(H4645,'Stage Order'!$A$2:$B$8,2,FALSE)</f>
        <v/>
      </c>
      <c r="N4645">
        <f>IF(G4645&lt;=1,"1. Under 1 hour",IF(G4645&lt;=24,"2. 1-24 hours",IF(G4645&lt;=72,"3. 1-3 days","4. Over 3 days")))</f>
        <v/>
      </c>
      <c r="O4645">
        <f>TEXT(B4645,"YYYY-MM")</f>
        <v/>
      </c>
    </row>
    <row r="4646">
      <c r="A4646" t="inlineStr">
        <is>
          <t>LD-304644</t>
        </is>
      </c>
      <c r="B4646" t="inlineStr">
        <is>
          <t>2026-03-27 17:17:00</t>
        </is>
      </c>
      <c r="C4646" t="inlineStr">
        <is>
          <t>Paid Search</t>
        </is>
      </c>
      <c r="D4646" t="inlineStr">
        <is>
          <t>Coding for Kids</t>
        </is>
      </c>
      <c r="E4646" t="inlineStr">
        <is>
          <t>South Region</t>
        </is>
      </c>
      <c r="F4646" t="inlineStr">
        <is>
          <t>Rep_07</t>
        </is>
      </c>
      <c r="G4646" t="n">
        <v>1.77</v>
      </c>
      <c r="H4646" t="inlineStr">
        <is>
          <t>Lead</t>
        </is>
      </c>
      <c r="I4646" t="inlineStr">
        <is>
          <t>Open</t>
        </is>
      </c>
      <c r="M4646">
        <f>VLOOKUP(H4646,'Stage Order'!$A$2:$B$8,2,FALSE)</f>
        <v/>
      </c>
      <c r="N4646">
        <f>IF(G4646&lt;=1,"1. Under 1 hour",IF(G4646&lt;=24,"2. 1-24 hours",IF(G4646&lt;=72,"3. 1-3 days","4. Over 3 days")))</f>
        <v/>
      </c>
      <c r="O4646">
        <f>TEXT(B4646,"YYYY-MM")</f>
        <v/>
      </c>
    </row>
    <row r="4647">
      <c r="A4647" t="inlineStr">
        <is>
          <t>LD-304645</t>
        </is>
      </c>
      <c r="B4647" t="inlineStr">
        <is>
          <t>2025-08-19 19:00:00</t>
        </is>
      </c>
      <c r="C4647" t="inlineStr">
        <is>
          <t>Organic Search</t>
        </is>
      </c>
      <c r="D4647" t="inlineStr">
        <is>
          <t>Language Learning</t>
        </is>
      </c>
      <c r="E4647" t="inlineStr">
        <is>
          <t>South Region</t>
        </is>
      </c>
      <c r="F4647" t="inlineStr">
        <is>
          <t>Rep_02</t>
        </is>
      </c>
      <c r="G4647" t="n">
        <v>5.63</v>
      </c>
      <c r="H4647" t="inlineStr">
        <is>
          <t>Contacted</t>
        </is>
      </c>
      <c r="I4647" t="inlineStr">
        <is>
          <t>Open</t>
        </is>
      </c>
      <c r="M4647">
        <f>VLOOKUP(H4647,'Stage Order'!$A$2:$B$8,2,FALSE)</f>
        <v/>
      </c>
      <c r="N4647">
        <f>IF(G4647&lt;=1,"1. Under 1 hour",IF(G4647&lt;=24,"2. 1-24 hours",IF(G4647&lt;=72,"3. 1-3 days","4. Over 3 days")))</f>
        <v/>
      </c>
      <c r="O4647">
        <f>TEXT(B4647,"YYYY-MM")</f>
        <v/>
      </c>
    </row>
    <row r="4648">
      <c r="A4648" t="inlineStr">
        <is>
          <t>LD-304646</t>
        </is>
      </c>
      <c r="B4648" t="inlineStr">
        <is>
          <t>2025-09-25 10:35:00</t>
        </is>
      </c>
      <c r="C4648" t="inlineStr">
        <is>
          <t>Organic Search</t>
        </is>
      </c>
      <c r="D4648" t="inlineStr">
        <is>
          <t>Coding for Kids</t>
        </is>
      </c>
      <c r="E4648" t="inlineStr">
        <is>
          <t>East Region</t>
        </is>
      </c>
      <c r="F4648" t="inlineStr">
        <is>
          <t>Rep_09</t>
        </is>
      </c>
      <c r="G4648" t="n">
        <v>3.54</v>
      </c>
      <c r="H4648" t="inlineStr">
        <is>
          <t>Lead</t>
        </is>
      </c>
      <c r="I4648" t="inlineStr">
        <is>
          <t>Open</t>
        </is>
      </c>
      <c r="M4648">
        <f>VLOOKUP(H4648,'Stage Order'!$A$2:$B$8,2,FALSE)</f>
        <v/>
      </c>
      <c r="N4648">
        <f>IF(G4648&lt;=1,"1. Under 1 hour",IF(G4648&lt;=24,"2. 1-24 hours",IF(G4648&lt;=72,"3. 1-3 days","4. Over 3 days")))</f>
        <v/>
      </c>
      <c r="O4648">
        <f>TEXT(B4648,"YYYY-MM")</f>
        <v/>
      </c>
    </row>
    <row r="4649">
      <c r="A4649" t="inlineStr">
        <is>
          <t>LD-304647</t>
        </is>
      </c>
      <c r="B4649" t="inlineStr">
        <is>
          <t>2026-01-13 15:20:00</t>
        </is>
      </c>
      <c r="C4649" t="inlineStr">
        <is>
          <t>Partner Channel</t>
        </is>
      </c>
      <c r="D4649" t="inlineStr">
        <is>
          <t>Coding for Kids</t>
        </is>
      </c>
      <c r="E4649" t="inlineStr">
        <is>
          <t>East Region</t>
        </is>
      </c>
      <c r="F4649" t="inlineStr">
        <is>
          <t>Rep_09</t>
        </is>
      </c>
      <c r="G4649" t="n">
        <v>3.44</v>
      </c>
      <c r="H4649" t="inlineStr">
        <is>
          <t>Demo Completed</t>
        </is>
      </c>
      <c r="I4649" t="inlineStr">
        <is>
          <t>Lost</t>
        </is>
      </c>
      <c r="J4649" t="inlineStr">
        <is>
          <t>Bad Timing</t>
        </is>
      </c>
      <c r="K4649" t="n">
        <v>696.36</v>
      </c>
      <c r="L4649" t="inlineStr">
        <is>
          <t>2026-02-20 04:14:00.274337</t>
        </is>
      </c>
      <c r="M4649">
        <f>VLOOKUP(H4649,'Stage Order'!$A$2:$B$8,2,FALSE)</f>
        <v/>
      </c>
      <c r="N4649">
        <f>IF(G4649&lt;=1,"1. Under 1 hour",IF(G4649&lt;=24,"2. 1-24 hours",IF(G4649&lt;=72,"3. 1-3 days","4. Over 3 days")))</f>
        <v/>
      </c>
      <c r="O4649">
        <f>TEXT(B4649,"YYYY-MM")</f>
        <v/>
      </c>
    </row>
    <row r="4650">
      <c r="A4650" t="inlineStr">
        <is>
          <t>LD-304648</t>
        </is>
      </c>
      <c r="B4650" t="inlineStr">
        <is>
          <t>2025-09-08 14:03:00</t>
        </is>
      </c>
      <c r="C4650" t="inlineStr">
        <is>
          <t>Webinar</t>
        </is>
      </c>
      <c r="D4650" t="inlineStr">
        <is>
          <t>Coding for Kids</t>
        </is>
      </c>
      <c r="E4650" t="inlineStr">
        <is>
          <t>North Region</t>
        </is>
      </c>
      <c r="F4650" t="inlineStr">
        <is>
          <t>Rep_11</t>
        </is>
      </c>
      <c r="G4650" t="n">
        <v>3.03</v>
      </c>
      <c r="H4650" t="inlineStr">
        <is>
          <t>Negotiation</t>
        </is>
      </c>
      <c r="I4650" t="inlineStr">
        <is>
          <t>Lost</t>
        </is>
      </c>
      <c r="J4650" t="inlineStr">
        <is>
          <t>Bad Timing</t>
        </is>
      </c>
      <c r="K4650" t="n">
        <v>649.8</v>
      </c>
      <c r="L4650" t="inlineStr">
        <is>
          <t>2025-10-14 00:55:39.067839</t>
        </is>
      </c>
      <c r="M4650">
        <f>VLOOKUP(H4650,'Stage Order'!$A$2:$B$8,2,FALSE)</f>
        <v/>
      </c>
      <c r="N4650">
        <f>IF(G4650&lt;=1,"1. Under 1 hour",IF(G4650&lt;=24,"2. 1-24 hours",IF(G4650&lt;=72,"3. 1-3 days","4. Over 3 days")))</f>
        <v/>
      </c>
      <c r="O4650">
        <f>TEXT(B4650,"YYYY-MM")</f>
        <v/>
      </c>
    </row>
    <row r="4651">
      <c r="A4651" t="inlineStr">
        <is>
          <t>LD-304649</t>
        </is>
      </c>
      <c r="B4651" t="inlineStr">
        <is>
          <t>2026-06-11 16:30:00</t>
        </is>
      </c>
      <c r="C4651" t="inlineStr">
        <is>
          <t>Webinar</t>
        </is>
      </c>
      <c r="D4651" t="inlineStr">
        <is>
          <t>Language Learning</t>
        </is>
      </c>
      <c r="E4651" t="inlineStr">
        <is>
          <t>West Region</t>
        </is>
      </c>
      <c r="F4651" t="inlineStr">
        <is>
          <t>Rep_03</t>
        </is>
      </c>
      <c r="G4651" t="n">
        <v>2.56</v>
      </c>
      <c r="H4651" t="inlineStr">
        <is>
          <t>Closed</t>
        </is>
      </c>
      <c r="I4651" t="inlineStr">
        <is>
          <t>Won</t>
        </is>
      </c>
      <c r="K4651" t="n">
        <v>306.8</v>
      </c>
      <c r="L4651" t="inlineStr">
        <is>
          <t>2026-07-28 08:37:47.051108</t>
        </is>
      </c>
      <c r="M4651">
        <f>VLOOKUP(H4651,'Stage Order'!$A$2:$B$8,2,FALSE)</f>
        <v/>
      </c>
      <c r="N4651">
        <f>IF(G4651&lt;=1,"1. Under 1 hour",IF(G4651&lt;=24,"2. 1-24 hours",IF(G4651&lt;=72,"3. 1-3 days","4. Over 3 days")))</f>
        <v/>
      </c>
      <c r="O4651">
        <f>TEXT(B4651,"YYYY-MM")</f>
        <v/>
      </c>
    </row>
    <row r="4652">
      <c r="A4652" t="inlineStr">
        <is>
          <t>LD-304650</t>
        </is>
      </c>
      <c r="B4652" t="inlineStr">
        <is>
          <t>2025-07-18 14:14:00</t>
        </is>
      </c>
      <c r="C4652" t="inlineStr">
        <is>
          <t>Cold Outreach</t>
        </is>
      </c>
      <c r="D4652" t="inlineStr">
        <is>
          <t>K-12 Math</t>
        </is>
      </c>
      <c r="E4652" t="inlineStr">
        <is>
          <t>West Region</t>
        </is>
      </c>
      <c r="F4652" t="inlineStr">
        <is>
          <t>Rep_03</t>
        </is>
      </c>
      <c r="G4652" t="n">
        <v>3.57</v>
      </c>
      <c r="H4652" t="inlineStr">
        <is>
          <t>Lead</t>
        </is>
      </c>
      <c r="I4652" t="inlineStr">
        <is>
          <t>Open</t>
        </is>
      </c>
      <c r="M4652">
        <f>VLOOKUP(H4652,'Stage Order'!$A$2:$B$8,2,FALSE)</f>
        <v/>
      </c>
      <c r="N4652">
        <f>IF(G4652&lt;=1,"1. Under 1 hour",IF(G4652&lt;=24,"2. 1-24 hours",IF(G4652&lt;=72,"3. 1-3 days","4. Over 3 days")))</f>
        <v/>
      </c>
      <c r="O4652">
        <f>TEXT(B4652,"YYYY-MM")</f>
        <v/>
      </c>
    </row>
    <row r="4653">
      <c r="A4653" t="inlineStr">
        <is>
          <t>LD-304651</t>
        </is>
      </c>
      <c r="B4653" t="inlineStr">
        <is>
          <t>2026-05-07 08:19:00</t>
        </is>
      </c>
      <c r="C4653" t="inlineStr">
        <is>
          <t>Cold Outreach</t>
        </is>
      </c>
      <c r="D4653" t="inlineStr">
        <is>
          <t>Coding for Kids</t>
        </is>
      </c>
      <c r="E4653" t="inlineStr">
        <is>
          <t>South Region</t>
        </is>
      </c>
      <c r="F4653" t="inlineStr">
        <is>
          <t>Rep_07</t>
        </is>
      </c>
      <c r="G4653" t="n">
        <v>9.470000000000001</v>
      </c>
      <c r="H4653" t="inlineStr">
        <is>
          <t>Lead</t>
        </is>
      </c>
      <c r="I4653" t="inlineStr">
        <is>
          <t>Open</t>
        </is>
      </c>
      <c r="M4653">
        <f>VLOOKUP(H4653,'Stage Order'!$A$2:$B$8,2,FALSE)</f>
        <v/>
      </c>
      <c r="N4653">
        <f>IF(G4653&lt;=1,"1. Under 1 hour",IF(G4653&lt;=24,"2. 1-24 hours",IF(G4653&lt;=72,"3. 1-3 days","4. Over 3 days")))</f>
        <v/>
      </c>
      <c r="O4653">
        <f>TEXT(B4653,"YYYY-MM")</f>
        <v/>
      </c>
    </row>
    <row r="4654">
      <c r="A4654" t="inlineStr">
        <is>
          <t>LD-304652</t>
        </is>
      </c>
      <c r="B4654" t="inlineStr">
        <is>
          <t>2025-05-08 14:29:00</t>
        </is>
      </c>
      <c r="C4654" t="inlineStr">
        <is>
          <t>Paid Search</t>
        </is>
      </c>
      <c r="D4654" t="inlineStr">
        <is>
          <t>Competitive Exam Prep</t>
        </is>
      </c>
      <c r="E4654" t="inlineStr">
        <is>
          <t>International</t>
        </is>
      </c>
      <c r="F4654" t="inlineStr">
        <is>
          <t>Rep_15</t>
        </is>
      </c>
      <c r="G4654" t="n">
        <v>1.86</v>
      </c>
      <c r="H4654" t="inlineStr">
        <is>
          <t>Lead</t>
        </is>
      </c>
      <c r="I4654" t="inlineStr">
        <is>
          <t>Open</t>
        </is>
      </c>
      <c r="M4654">
        <f>VLOOKUP(H4654,'Stage Order'!$A$2:$B$8,2,FALSE)</f>
        <v/>
      </c>
      <c r="N4654">
        <f>IF(G4654&lt;=1,"1. Under 1 hour",IF(G4654&lt;=24,"2. 1-24 hours",IF(G4654&lt;=72,"3. 1-3 days","4. Over 3 days")))</f>
        <v/>
      </c>
      <c r="O4654">
        <f>TEXT(B4654,"YYYY-MM")</f>
        <v/>
      </c>
    </row>
    <row r="4655">
      <c r="A4655" t="inlineStr">
        <is>
          <t>LD-304653</t>
        </is>
      </c>
      <c r="B4655" t="inlineStr">
        <is>
          <t>2026-05-07 12:58:00</t>
        </is>
      </c>
      <c r="C4655" t="inlineStr">
        <is>
          <t>Organic Search</t>
        </is>
      </c>
      <c r="D4655" t="inlineStr">
        <is>
          <t>K-12 Math</t>
        </is>
      </c>
      <c r="E4655" t="inlineStr">
        <is>
          <t>West Region</t>
        </is>
      </c>
      <c r="F4655" t="inlineStr">
        <is>
          <t>Rep_13</t>
        </is>
      </c>
      <c r="G4655" t="n">
        <v>5.15</v>
      </c>
      <c r="H4655" t="inlineStr">
        <is>
          <t>Lead</t>
        </is>
      </c>
      <c r="I4655" t="inlineStr">
        <is>
          <t>Open</t>
        </is>
      </c>
      <c r="M4655">
        <f>VLOOKUP(H4655,'Stage Order'!$A$2:$B$8,2,FALSE)</f>
        <v/>
      </c>
      <c r="N4655">
        <f>IF(G4655&lt;=1,"1. Under 1 hour",IF(G4655&lt;=24,"2. 1-24 hours",IF(G4655&lt;=72,"3. 1-3 days","4. Over 3 days")))</f>
        <v/>
      </c>
      <c r="O4655">
        <f>TEXT(B4655,"YYYY-MM")</f>
        <v/>
      </c>
    </row>
    <row r="4656">
      <c r="A4656" t="inlineStr">
        <is>
          <t>LD-304654</t>
        </is>
      </c>
      <c r="B4656" t="inlineStr">
        <is>
          <t>2025-01-10 11:59:00</t>
        </is>
      </c>
      <c r="C4656" t="inlineStr">
        <is>
          <t>Cold Outreach</t>
        </is>
      </c>
      <c r="D4656" t="inlineStr">
        <is>
          <t>K-12 Math</t>
        </is>
      </c>
      <c r="E4656" t="inlineStr">
        <is>
          <t>North Region</t>
        </is>
      </c>
      <c r="F4656" t="inlineStr">
        <is>
          <t>Rep_06</t>
        </is>
      </c>
      <c r="G4656" t="n">
        <v>0.67</v>
      </c>
      <c r="H4656" t="inlineStr">
        <is>
          <t>Lead</t>
        </is>
      </c>
      <c r="I4656" t="inlineStr">
        <is>
          <t>Open</t>
        </is>
      </c>
      <c r="M4656">
        <f>VLOOKUP(H4656,'Stage Order'!$A$2:$B$8,2,FALSE)</f>
        <v/>
      </c>
      <c r="N4656">
        <f>IF(G4656&lt;=1,"1. Under 1 hour",IF(G4656&lt;=24,"2. 1-24 hours",IF(G4656&lt;=72,"3. 1-3 days","4. Over 3 days")))</f>
        <v/>
      </c>
      <c r="O4656">
        <f>TEXT(B4656,"YYYY-MM")</f>
        <v/>
      </c>
    </row>
    <row r="4657">
      <c r="A4657" t="inlineStr">
        <is>
          <t>LD-304655</t>
        </is>
      </c>
      <c r="B4657" t="inlineStr">
        <is>
          <t>2026-03-20 14:52:00</t>
        </is>
      </c>
      <c r="C4657" t="inlineStr">
        <is>
          <t>Organic Search</t>
        </is>
      </c>
      <c r="D4657" t="inlineStr">
        <is>
          <t>K-12 Math</t>
        </is>
      </c>
      <c r="E4657" t="inlineStr">
        <is>
          <t>South Region</t>
        </is>
      </c>
      <c r="F4657" t="inlineStr">
        <is>
          <t>Rep_07</t>
        </is>
      </c>
      <c r="G4657" t="n">
        <v>2.26</v>
      </c>
      <c r="H4657" t="inlineStr">
        <is>
          <t>Demo Completed</t>
        </is>
      </c>
      <c r="I4657" t="inlineStr">
        <is>
          <t>Lost</t>
        </is>
      </c>
      <c r="J4657" t="inlineStr">
        <is>
          <t>Price Objection</t>
        </is>
      </c>
      <c r="K4657" t="n">
        <v>515.79</v>
      </c>
      <c r="L4657" t="inlineStr">
        <is>
          <t>2026-04-19 02:42:08.341050</t>
        </is>
      </c>
      <c r="M4657">
        <f>VLOOKUP(H4657,'Stage Order'!$A$2:$B$8,2,FALSE)</f>
        <v/>
      </c>
      <c r="N4657">
        <f>IF(G4657&lt;=1,"1. Under 1 hour",IF(G4657&lt;=24,"2. 1-24 hours",IF(G4657&lt;=72,"3. 1-3 days","4. Over 3 days")))</f>
        <v/>
      </c>
      <c r="O4657">
        <f>TEXT(B4657,"YYYY-MM")</f>
        <v/>
      </c>
    </row>
    <row r="4658">
      <c r="A4658" t="inlineStr">
        <is>
          <t>LD-304656</t>
        </is>
      </c>
      <c r="B4658" t="inlineStr">
        <is>
          <t>2025-10-12 17:23:00</t>
        </is>
      </c>
      <c r="C4658" t="inlineStr">
        <is>
          <t>Webinar</t>
        </is>
      </c>
      <c r="D4658" t="inlineStr">
        <is>
          <t>K-12 Math</t>
        </is>
      </c>
      <c r="E4658" t="inlineStr">
        <is>
          <t>North Region</t>
        </is>
      </c>
      <c r="F4658" t="inlineStr">
        <is>
          <t>Rep_01</t>
        </is>
      </c>
      <c r="G4658" t="n">
        <v>4.08</v>
      </c>
      <c r="H4658" t="inlineStr">
        <is>
          <t>Contacted</t>
        </is>
      </c>
      <c r="I4658" t="inlineStr">
        <is>
          <t>Open</t>
        </is>
      </c>
      <c r="M4658">
        <f>VLOOKUP(H4658,'Stage Order'!$A$2:$B$8,2,FALSE)</f>
        <v/>
      </c>
      <c r="N4658">
        <f>IF(G4658&lt;=1,"1. Under 1 hour",IF(G4658&lt;=24,"2. 1-24 hours",IF(G4658&lt;=72,"3. 1-3 days","4. Over 3 days")))</f>
        <v/>
      </c>
      <c r="O4658">
        <f>TEXT(B4658,"YYYY-MM")</f>
        <v/>
      </c>
    </row>
    <row r="4659">
      <c r="A4659" t="inlineStr">
        <is>
          <t>LD-304657</t>
        </is>
      </c>
      <c r="B4659" t="inlineStr">
        <is>
          <t>2026-06-02 10:50:00</t>
        </is>
      </c>
      <c r="C4659" t="inlineStr">
        <is>
          <t>Webinar</t>
        </is>
      </c>
      <c r="D4659" t="inlineStr">
        <is>
          <t>Language Learning</t>
        </is>
      </c>
      <c r="E4659" t="inlineStr">
        <is>
          <t>North Region</t>
        </is>
      </c>
      <c r="F4659" t="inlineStr">
        <is>
          <t>Rep_06</t>
        </is>
      </c>
      <c r="G4659" t="n">
        <v>1.8</v>
      </c>
      <c r="H4659" t="inlineStr">
        <is>
          <t>Contacted</t>
        </is>
      </c>
      <c r="I4659" t="inlineStr">
        <is>
          <t>Open</t>
        </is>
      </c>
      <c r="M4659">
        <f>VLOOKUP(H4659,'Stage Order'!$A$2:$B$8,2,FALSE)</f>
        <v/>
      </c>
      <c r="N4659">
        <f>IF(G4659&lt;=1,"1. Under 1 hour",IF(G4659&lt;=24,"2. 1-24 hours",IF(G4659&lt;=72,"3. 1-3 days","4. Over 3 days")))</f>
        <v/>
      </c>
      <c r="O4659">
        <f>TEXT(B4659,"YYYY-MM")</f>
        <v/>
      </c>
    </row>
    <row r="4660">
      <c r="A4660" t="inlineStr">
        <is>
          <t>LD-304658</t>
        </is>
      </c>
      <c r="B4660" t="inlineStr">
        <is>
          <t>2025-12-23 19:31:00</t>
        </is>
      </c>
      <c r="C4660" t="inlineStr">
        <is>
          <t>Social Media</t>
        </is>
      </c>
      <c r="D4660" t="inlineStr">
        <is>
          <t>Competitive Exam Prep</t>
        </is>
      </c>
      <c r="E4660" t="inlineStr">
        <is>
          <t>North Region</t>
        </is>
      </c>
      <c r="F4660" t="inlineStr">
        <is>
          <t>Rep_06</t>
        </is>
      </c>
      <c r="G4660" t="n">
        <v>1.54</v>
      </c>
      <c r="H4660" t="inlineStr">
        <is>
          <t>Contacted</t>
        </is>
      </c>
      <c r="I4660" t="inlineStr">
        <is>
          <t>Open</t>
        </is>
      </c>
      <c r="M4660">
        <f>VLOOKUP(H4660,'Stage Order'!$A$2:$B$8,2,FALSE)</f>
        <v/>
      </c>
      <c r="N4660">
        <f>IF(G4660&lt;=1,"1. Under 1 hour",IF(G4660&lt;=24,"2. 1-24 hours",IF(G4660&lt;=72,"3. 1-3 days","4. Over 3 days")))</f>
        <v/>
      </c>
      <c r="O4660">
        <f>TEXT(B4660,"YYYY-MM")</f>
        <v/>
      </c>
    </row>
    <row r="4661">
      <c r="A4661" t="inlineStr">
        <is>
          <t>LD-304659</t>
        </is>
      </c>
      <c r="B4661" t="inlineStr">
        <is>
          <t>2026-04-01 18:23:00</t>
        </is>
      </c>
      <c r="C4661" t="inlineStr">
        <is>
          <t>Partner Channel</t>
        </is>
      </c>
      <c r="D4661" t="inlineStr">
        <is>
          <t>Coding for Kids</t>
        </is>
      </c>
      <c r="E4661" t="inlineStr">
        <is>
          <t>North Region</t>
        </is>
      </c>
      <c r="F4661" t="inlineStr">
        <is>
          <t>Rep_01</t>
        </is>
      </c>
      <c r="G4661" t="n">
        <v>5.81</v>
      </c>
      <c r="H4661" t="inlineStr">
        <is>
          <t>Closed</t>
        </is>
      </c>
      <c r="I4661" t="inlineStr">
        <is>
          <t>Won</t>
        </is>
      </c>
      <c r="K4661" t="n">
        <v>739.9</v>
      </c>
      <c r="L4661" t="inlineStr">
        <is>
          <t>2026-05-22 13:29:43.605588</t>
        </is>
      </c>
      <c r="M4661">
        <f>VLOOKUP(H4661,'Stage Order'!$A$2:$B$8,2,FALSE)</f>
        <v/>
      </c>
      <c r="N4661">
        <f>IF(G4661&lt;=1,"1. Under 1 hour",IF(G4661&lt;=24,"2. 1-24 hours",IF(G4661&lt;=72,"3. 1-3 days","4. Over 3 days")))</f>
        <v/>
      </c>
      <c r="O4661">
        <f>TEXT(B4661,"YYYY-MM")</f>
        <v/>
      </c>
    </row>
    <row r="4662">
      <c r="A4662" t="inlineStr">
        <is>
          <t>LD-304660</t>
        </is>
      </c>
      <c r="B4662" t="inlineStr">
        <is>
          <t>2025-01-10 18:13:00</t>
        </is>
      </c>
      <c r="C4662" t="inlineStr">
        <is>
          <t>Paid Search</t>
        </is>
      </c>
      <c r="D4662" t="inlineStr">
        <is>
          <t>Study Abroad Prep</t>
        </is>
      </c>
      <c r="E4662" t="inlineStr">
        <is>
          <t>North Region</t>
        </is>
      </c>
      <c r="F4662" t="inlineStr">
        <is>
          <t>Rep_06</t>
        </is>
      </c>
      <c r="G4662" t="n">
        <v>0.5600000000000001</v>
      </c>
      <c r="H4662" t="inlineStr">
        <is>
          <t>Contacted</t>
        </is>
      </c>
      <c r="I4662" t="inlineStr">
        <is>
          <t>Open</t>
        </is>
      </c>
      <c r="M4662">
        <f>VLOOKUP(H4662,'Stage Order'!$A$2:$B$8,2,FALSE)</f>
        <v/>
      </c>
      <c r="N4662">
        <f>IF(G4662&lt;=1,"1. Under 1 hour",IF(G4662&lt;=24,"2. 1-24 hours",IF(G4662&lt;=72,"3. 1-3 days","4. Over 3 days")))</f>
        <v/>
      </c>
      <c r="O4662">
        <f>TEXT(B4662,"YYYY-MM")</f>
        <v/>
      </c>
    </row>
    <row r="4663">
      <c r="A4663" t="inlineStr">
        <is>
          <t>LD-304661</t>
        </is>
      </c>
      <c r="B4663" t="inlineStr">
        <is>
          <t>2025-12-29 11:50:00</t>
        </is>
      </c>
      <c r="C4663" t="inlineStr">
        <is>
          <t>Social Media</t>
        </is>
      </c>
      <c r="D4663" t="inlineStr">
        <is>
          <t>K-12 Math</t>
        </is>
      </c>
      <c r="E4663" t="inlineStr">
        <is>
          <t>South Region</t>
        </is>
      </c>
      <c r="F4663" t="inlineStr">
        <is>
          <t>Rep_07</t>
        </is>
      </c>
      <c r="G4663" t="n">
        <v>1.57</v>
      </c>
      <c r="H4663" t="inlineStr">
        <is>
          <t>Lead</t>
        </is>
      </c>
      <c r="I4663" t="inlineStr">
        <is>
          <t>Open</t>
        </is>
      </c>
      <c r="M4663">
        <f>VLOOKUP(H4663,'Stage Order'!$A$2:$B$8,2,FALSE)</f>
        <v/>
      </c>
      <c r="N4663">
        <f>IF(G4663&lt;=1,"1. Under 1 hour",IF(G4663&lt;=24,"2. 1-24 hours",IF(G4663&lt;=72,"3. 1-3 days","4. Over 3 days")))</f>
        <v/>
      </c>
      <c r="O4663">
        <f>TEXT(B4663,"YYYY-MM")</f>
        <v/>
      </c>
    </row>
    <row r="4664">
      <c r="A4664" t="inlineStr">
        <is>
          <t>LD-304662</t>
        </is>
      </c>
      <c r="B4664" t="inlineStr">
        <is>
          <t>2025-11-11 11:44:00</t>
        </is>
      </c>
      <c r="C4664" t="inlineStr">
        <is>
          <t>Cold Outreach</t>
        </is>
      </c>
      <c r="D4664" t="inlineStr">
        <is>
          <t>Coding for Kids</t>
        </is>
      </c>
      <c r="E4664" t="inlineStr">
        <is>
          <t>South Region</t>
        </is>
      </c>
      <c r="F4664" t="inlineStr">
        <is>
          <t>Rep_12</t>
        </is>
      </c>
      <c r="G4664" t="n">
        <v>10.39</v>
      </c>
      <c r="H4664" t="inlineStr">
        <is>
          <t>Demo Completed</t>
        </is>
      </c>
      <c r="I4664" t="inlineStr">
        <is>
          <t>Lost</t>
        </is>
      </c>
      <c r="J4664" t="inlineStr">
        <is>
          <t>No Response / Ghosted</t>
        </is>
      </c>
      <c r="K4664" t="n">
        <v>669.92</v>
      </c>
      <c r="L4664" t="inlineStr">
        <is>
          <t>2025-12-10 11:49:48.765863</t>
        </is>
      </c>
      <c r="M4664">
        <f>VLOOKUP(H4664,'Stage Order'!$A$2:$B$8,2,FALSE)</f>
        <v/>
      </c>
      <c r="N4664">
        <f>IF(G4664&lt;=1,"1. Under 1 hour",IF(G4664&lt;=24,"2. 1-24 hours",IF(G4664&lt;=72,"3. 1-3 days","4. Over 3 days")))</f>
        <v/>
      </c>
      <c r="O4664">
        <f>TEXT(B4664,"YYYY-MM")</f>
        <v/>
      </c>
    </row>
    <row r="4665">
      <c r="A4665" t="inlineStr">
        <is>
          <t>LD-304663</t>
        </is>
      </c>
      <c r="B4665" t="inlineStr">
        <is>
          <t>2025-09-12 11:41:00</t>
        </is>
      </c>
      <c r="C4665" t="inlineStr">
        <is>
          <t>Organic Search</t>
        </is>
      </c>
      <c r="D4665" t="inlineStr">
        <is>
          <t>K-12 Math</t>
        </is>
      </c>
      <c r="E4665" t="inlineStr">
        <is>
          <t>West Region</t>
        </is>
      </c>
      <c r="F4665" t="inlineStr">
        <is>
          <t>Rep_03</t>
        </is>
      </c>
      <c r="G4665" t="n">
        <v>1.28</v>
      </c>
      <c r="H4665" t="inlineStr">
        <is>
          <t>Closed</t>
        </is>
      </c>
      <c r="I4665" t="inlineStr">
        <is>
          <t>Won</t>
        </is>
      </c>
      <c r="K4665" t="n">
        <v>519.73</v>
      </c>
      <c r="L4665" t="inlineStr">
        <is>
          <t>2025-10-22 17:59:58.866920</t>
        </is>
      </c>
      <c r="M4665">
        <f>VLOOKUP(H4665,'Stage Order'!$A$2:$B$8,2,FALSE)</f>
        <v/>
      </c>
      <c r="N4665">
        <f>IF(G4665&lt;=1,"1. Under 1 hour",IF(G4665&lt;=24,"2. 1-24 hours",IF(G4665&lt;=72,"3. 1-3 days","4. Over 3 days")))</f>
        <v/>
      </c>
      <c r="O4665">
        <f>TEXT(B4665,"YYYY-MM")</f>
        <v/>
      </c>
    </row>
    <row r="4666">
      <c r="A4666" t="inlineStr">
        <is>
          <t>LD-304664</t>
        </is>
      </c>
      <c r="B4666" t="inlineStr">
        <is>
          <t>2026-05-15 14:04:00</t>
        </is>
      </c>
      <c r="C4666" t="inlineStr">
        <is>
          <t>Referral</t>
        </is>
      </c>
      <c r="D4666" t="inlineStr">
        <is>
          <t>Coding for Kids</t>
        </is>
      </c>
      <c r="E4666" t="inlineStr">
        <is>
          <t>West Region</t>
        </is>
      </c>
      <c r="F4666" t="inlineStr">
        <is>
          <t>Rep_03</t>
        </is>
      </c>
      <c r="G4666" t="n">
        <v>2.18</v>
      </c>
      <c r="H4666" t="inlineStr">
        <is>
          <t>Demo Completed</t>
        </is>
      </c>
      <c r="I4666" t="inlineStr">
        <is>
          <t>Lost</t>
        </is>
      </c>
      <c r="J4666" t="inlineStr">
        <is>
          <t>Went With Competitor</t>
        </is>
      </c>
      <c r="K4666" t="n">
        <v>737.13</v>
      </c>
      <c r="L4666" t="inlineStr">
        <is>
          <t>2026-06-15 19:47:43.418974</t>
        </is>
      </c>
      <c r="M4666">
        <f>VLOOKUP(H4666,'Stage Order'!$A$2:$B$8,2,FALSE)</f>
        <v/>
      </c>
      <c r="N4666">
        <f>IF(G4666&lt;=1,"1. Under 1 hour",IF(G4666&lt;=24,"2. 1-24 hours",IF(G4666&lt;=72,"3. 1-3 days","4. Over 3 days")))</f>
        <v/>
      </c>
      <c r="O4666">
        <f>TEXT(B4666,"YYYY-MM")</f>
        <v/>
      </c>
    </row>
    <row r="4667">
      <c r="A4667" t="inlineStr">
        <is>
          <t>LD-304665</t>
        </is>
      </c>
      <c r="B4667" t="inlineStr">
        <is>
          <t>2025-09-29 10:53:00</t>
        </is>
      </c>
      <c r="C4667" t="inlineStr">
        <is>
          <t>Cold Outreach</t>
        </is>
      </c>
      <c r="D4667" t="inlineStr">
        <is>
          <t>Language Learning</t>
        </is>
      </c>
      <c r="E4667" t="inlineStr">
        <is>
          <t>South Region</t>
        </is>
      </c>
      <c r="F4667" t="inlineStr">
        <is>
          <t>Rep_02</t>
        </is>
      </c>
      <c r="G4667" t="n">
        <v>1.08</v>
      </c>
      <c r="H4667" t="inlineStr">
        <is>
          <t>Lead</t>
        </is>
      </c>
      <c r="I4667" t="inlineStr">
        <is>
          <t>Open</t>
        </is>
      </c>
      <c r="M4667">
        <f>VLOOKUP(H4667,'Stage Order'!$A$2:$B$8,2,FALSE)</f>
        <v/>
      </c>
      <c r="N4667">
        <f>IF(G4667&lt;=1,"1. Under 1 hour",IF(G4667&lt;=24,"2. 1-24 hours",IF(G4667&lt;=72,"3. 1-3 days","4. Over 3 days")))</f>
        <v/>
      </c>
      <c r="O4667">
        <f>TEXT(B4667,"YYYY-MM")</f>
        <v/>
      </c>
    </row>
    <row r="4668">
      <c r="A4668" t="inlineStr">
        <is>
          <t>LD-304666</t>
        </is>
      </c>
      <c r="B4668" t="inlineStr">
        <is>
          <t>2026-03-20 14:51:00</t>
        </is>
      </c>
      <c r="C4668" t="inlineStr">
        <is>
          <t>Organic Search</t>
        </is>
      </c>
      <c r="D4668" t="inlineStr">
        <is>
          <t>K-12 Math</t>
        </is>
      </c>
      <c r="E4668" t="inlineStr">
        <is>
          <t>North Region</t>
        </is>
      </c>
      <c r="F4668" t="inlineStr">
        <is>
          <t>Rep_01</t>
        </is>
      </c>
      <c r="G4668" t="n">
        <v>0.43</v>
      </c>
      <c r="H4668" t="inlineStr">
        <is>
          <t>Contacted</t>
        </is>
      </c>
      <c r="I4668" t="inlineStr">
        <is>
          <t>Open</t>
        </is>
      </c>
      <c r="M4668">
        <f>VLOOKUP(H4668,'Stage Order'!$A$2:$B$8,2,FALSE)</f>
        <v/>
      </c>
      <c r="N4668">
        <f>IF(G4668&lt;=1,"1. Under 1 hour",IF(G4668&lt;=24,"2. 1-24 hours",IF(G4668&lt;=72,"3. 1-3 days","4. Over 3 days")))</f>
        <v/>
      </c>
      <c r="O4668">
        <f>TEXT(B4668,"YYYY-MM")</f>
        <v/>
      </c>
    </row>
    <row r="4669">
      <c r="A4669" t="inlineStr">
        <is>
          <t>LD-304667</t>
        </is>
      </c>
      <c r="B4669" t="inlineStr">
        <is>
          <t>2025-07-18 20:26:00</t>
        </is>
      </c>
      <c r="C4669" t="inlineStr">
        <is>
          <t>Paid Search</t>
        </is>
      </c>
      <c r="D4669" t="inlineStr">
        <is>
          <t>K-12 Math</t>
        </is>
      </c>
      <c r="E4669" t="inlineStr">
        <is>
          <t>International</t>
        </is>
      </c>
      <c r="F4669" t="inlineStr">
        <is>
          <t>Rep_10</t>
        </is>
      </c>
      <c r="G4669" t="n">
        <v>1</v>
      </c>
      <c r="H4669" t="inlineStr">
        <is>
          <t>Contacted</t>
        </is>
      </c>
      <c r="I4669" t="inlineStr">
        <is>
          <t>Open</t>
        </is>
      </c>
      <c r="M4669">
        <f>VLOOKUP(H4669,'Stage Order'!$A$2:$B$8,2,FALSE)</f>
        <v/>
      </c>
      <c r="N4669">
        <f>IF(G4669&lt;=1,"1. Under 1 hour",IF(G4669&lt;=24,"2. 1-24 hours",IF(G4669&lt;=72,"3. 1-3 days","4. Over 3 days")))</f>
        <v/>
      </c>
      <c r="O4669">
        <f>TEXT(B4669,"YYYY-MM")</f>
        <v/>
      </c>
    </row>
    <row r="4670">
      <c r="A4670" t="inlineStr">
        <is>
          <t>LD-304668</t>
        </is>
      </c>
      <c r="B4670" t="inlineStr">
        <is>
          <t>2026-05-07 11:01:00</t>
        </is>
      </c>
      <c r="C4670" t="inlineStr">
        <is>
          <t>Social Media</t>
        </is>
      </c>
      <c r="D4670" t="inlineStr">
        <is>
          <t>K-12 Math</t>
        </is>
      </c>
      <c r="E4670" t="inlineStr">
        <is>
          <t>West Region</t>
        </is>
      </c>
      <c r="F4670" t="inlineStr">
        <is>
          <t>Rep_03</t>
        </is>
      </c>
      <c r="G4670" t="n">
        <v>1.54</v>
      </c>
      <c r="H4670" t="inlineStr">
        <is>
          <t>Lead</t>
        </is>
      </c>
      <c r="I4670" t="inlineStr">
        <is>
          <t>Open</t>
        </is>
      </c>
      <c r="M4670">
        <f>VLOOKUP(H4670,'Stage Order'!$A$2:$B$8,2,FALSE)</f>
        <v/>
      </c>
      <c r="N4670">
        <f>IF(G4670&lt;=1,"1. Under 1 hour",IF(G4670&lt;=24,"2. 1-24 hours",IF(G4670&lt;=72,"3. 1-3 days","4. Over 3 days")))</f>
        <v/>
      </c>
      <c r="O4670">
        <f>TEXT(B4670,"YYYY-MM")</f>
        <v/>
      </c>
    </row>
    <row r="4671">
      <c r="A4671" t="inlineStr">
        <is>
          <t>LD-304669</t>
        </is>
      </c>
      <c r="B4671" t="inlineStr">
        <is>
          <t>2025-01-03 15:36:00</t>
        </is>
      </c>
      <c r="C4671" t="inlineStr">
        <is>
          <t>Organic Search</t>
        </is>
      </c>
      <c r="D4671" t="inlineStr">
        <is>
          <t>Competitive Exam Prep</t>
        </is>
      </c>
      <c r="E4671" t="inlineStr">
        <is>
          <t>East Region</t>
        </is>
      </c>
      <c r="F4671" t="inlineStr">
        <is>
          <t>Rep_14</t>
        </is>
      </c>
      <c r="G4671" t="n">
        <v>5.21</v>
      </c>
      <c r="H4671" t="inlineStr">
        <is>
          <t>Demo Completed</t>
        </is>
      </c>
      <c r="I4671" t="inlineStr">
        <is>
          <t>Lost</t>
        </is>
      </c>
      <c r="J4671" t="inlineStr">
        <is>
          <t>Went With Competitor</t>
        </is>
      </c>
      <c r="K4671" t="n">
        <v>1038.02</v>
      </c>
      <c r="L4671" t="inlineStr">
        <is>
          <t>2025-02-07 03:07:52.094842</t>
        </is>
      </c>
      <c r="M4671">
        <f>VLOOKUP(H4671,'Stage Order'!$A$2:$B$8,2,FALSE)</f>
        <v/>
      </c>
      <c r="N4671">
        <f>IF(G4671&lt;=1,"1. Under 1 hour",IF(G4671&lt;=24,"2. 1-24 hours",IF(G4671&lt;=72,"3. 1-3 days","4. Over 3 days")))</f>
        <v/>
      </c>
      <c r="O4671">
        <f>TEXT(B4671,"YYYY-MM")</f>
        <v/>
      </c>
    </row>
    <row r="4672">
      <c r="A4672" t="inlineStr">
        <is>
          <t>LD-304670</t>
        </is>
      </c>
      <c r="B4672" t="inlineStr">
        <is>
          <t>2025-09-22 14:35:00</t>
        </is>
      </c>
      <c r="C4672" t="inlineStr">
        <is>
          <t>Referral</t>
        </is>
      </c>
      <c r="D4672" t="inlineStr">
        <is>
          <t>Study Abroad Prep</t>
        </is>
      </c>
      <c r="E4672" t="inlineStr">
        <is>
          <t>West Region</t>
        </is>
      </c>
      <c r="F4672" t="inlineStr">
        <is>
          <t>Rep_03</t>
        </is>
      </c>
      <c r="G4672" t="n">
        <v>0.57</v>
      </c>
      <c r="H4672" t="inlineStr">
        <is>
          <t>Closed</t>
        </is>
      </c>
      <c r="I4672" t="inlineStr">
        <is>
          <t>Won</t>
        </is>
      </c>
      <c r="K4672" t="n">
        <v>1396.65</v>
      </c>
      <c r="L4672" t="inlineStr">
        <is>
          <t>2025-11-02 22:11:31.833039</t>
        </is>
      </c>
      <c r="M4672">
        <f>VLOOKUP(H4672,'Stage Order'!$A$2:$B$8,2,FALSE)</f>
        <v/>
      </c>
      <c r="N4672">
        <f>IF(G4672&lt;=1,"1. Under 1 hour",IF(G4672&lt;=24,"2. 1-24 hours",IF(G4672&lt;=72,"3. 1-3 days","4. Over 3 days")))</f>
        <v/>
      </c>
      <c r="O4672">
        <f>TEXT(B4672,"YYYY-MM")</f>
        <v/>
      </c>
    </row>
    <row r="4673">
      <c r="A4673" t="inlineStr">
        <is>
          <t>LD-304671</t>
        </is>
      </c>
      <c r="B4673" t="inlineStr">
        <is>
          <t>2025-11-28 17:31:00</t>
        </is>
      </c>
      <c r="C4673" t="inlineStr">
        <is>
          <t>Paid Search</t>
        </is>
      </c>
      <c r="D4673" t="inlineStr">
        <is>
          <t>Coding for Kids</t>
        </is>
      </c>
      <c r="E4673" t="inlineStr">
        <is>
          <t>East Region</t>
        </is>
      </c>
      <c r="F4673" t="inlineStr">
        <is>
          <t>Rep_14</t>
        </is>
      </c>
      <c r="G4673" t="n">
        <v>1.19</v>
      </c>
      <c r="H4673" t="inlineStr">
        <is>
          <t>Lead</t>
        </is>
      </c>
      <c r="I4673" t="inlineStr">
        <is>
          <t>Open</t>
        </is>
      </c>
      <c r="M4673">
        <f>VLOOKUP(H4673,'Stage Order'!$A$2:$B$8,2,FALSE)</f>
        <v/>
      </c>
      <c r="N4673">
        <f>IF(G4673&lt;=1,"1. Under 1 hour",IF(G4673&lt;=24,"2. 1-24 hours",IF(G4673&lt;=72,"3. 1-3 days","4. Over 3 days")))</f>
        <v/>
      </c>
      <c r="O4673">
        <f>TEXT(B4673,"YYYY-MM")</f>
        <v/>
      </c>
    </row>
    <row r="4674">
      <c r="A4674" t="inlineStr">
        <is>
          <t>LD-304672</t>
        </is>
      </c>
      <c r="B4674" t="inlineStr">
        <is>
          <t>2026-03-24 09:30:00</t>
        </is>
      </c>
      <c r="C4674" t="inlineStr">
        <is>
          <t>Organic Search</t>
        </is>
      </c>
      <c r="D4674" t="inlineStr">
        <is>
          <t>K-12 Math</t>
        </is>
      </c>
      <c r="E4674" t="inlineStr">
        <is>
          <t>West Region</t>
        </is>
      </c>
      <c r="F4674" t="inlineStr">
        <is>
          <t>Rep_13</t>
        </is>
      </c>
      <c r="G4674" t="n">
        <v>1.97</v>
      </c>
      <c r="H4674" t="inlineStr">
        <is>
          <t>Demo Completed</t>
        </is>
      </c>
      <c r="I4674" t="inlineStr">
        <is>
          <t>Lost</t>
        </is>
      </c>
      <c r="J4674" t="inlineStr">
        <is>
          <t>Went With Competitor</t>
        </is>
      </c>
      <c r="K4674" t="n">
        <v>540.2</v>
      </c>
      <c r="L4674" t="inlineStr">
        <is>
          <t>2026-04-25 12:10:16.697614</t>
        </is>
      </c>
      <c r="M4674">
        <f>VLOOKUP(H4674,'Stage Order'!$A$2:$B$8,2,FALSE)</f>
        <v/>
      </c>
      <c r="N4674">
        <f>IF(G4674&lt;=1,"1. Under 1 hour",IF(G4674&lt;=24,"2. 1-24 hours",IF(G4674&lt;=72,"3. 1-3 days","4. Over 3 days")))</f>
        <v/>
      </c>
      <c r="O4674">
        <f>TEXT(B4674,"YYYY-MM")</f>
        <v/>
      </c>
    </row>
    <row r="4675">
      <c r="A4675" t="inlineStr">
        <is>
          <t>LD-304673</t>
        </is>
      </c>
      <c r="B4675" t="inlineStr">
        <is>
          <t>2025-07-04 14:50:00</t>
        </is>
      </c>
      <c r="C4675" t="inlineStr">
        <is>
          <t>Organic Search</t>
        </is>
      </c>
      <c r="D4675" t="inlineStr">
        <is>
          <t>Coding for Kids</t>
        </is>
      </c>
      <c r="E4675" t="inlineStr">
        <is>
          <t>North Region</t>
        </is>
      </c>
      <c r="F4675" t="inlineStr">
        <is>
          <t>Rep_01</t>
        </is>
      </c>
      <c r="G4675" t="n">
        <v>18.02</v>
      </c>
      <c r="H4675" t="inlineStr">
        <is>
          <t>Demo Completed</t>
        </is>
      </c>
      <c r="I4675" t="inlineStr">
        <is>
          <t>Lost</t>
        </is>
      </c>
      <c r="J4675" t="inlineStr">
        <is>
          <t>Went With Competitor</t>
        </is>
      </c>
      <c r="K4675" t="n">
        <v>643.79</v>
      </c>
      <c r="L4675" t="inlineStr">
        <is>
          <t>2025-07-29 10:35:34.888932</t>
        </is>
      </c>
      <c r="M4675">
        <f>VLOOKUP(H4675,'Stage Order'!$A$2:$B$8,2,FALSE)</f>
        <v/>
      </c>
      <c r="N4675">
        <f>IF(G4675&lt;=1,"1. Under 1 hour",IF(G4675&lt;=24,"2. 1-24 hours",IF(G4675&lt;=72,"3. 1-3 days","4. Over 3 days")))</f>
        <v/>
      </c>
      <c r="O4675">
        <f>TEXT(B4675,"YYYY-MM")</f>
        <v/>
      </c>
    </row>
    <row r="4676">
      <c r="A4676" t="inlineStr">
        <is>
          <t>LD-304674</t>
        </is>
      </c>
      <c r="B4676" t="inlineStr">
        <is>
          <t>2026-01-02 07:29:00</t>
        </is>
      </c>
      <c r="C4676" t="inlineStr">
        <is>
          <t>Social Media</t>
        </is>
      </c>
      <c r="D4676" t="inlineStr">
        <is>
          <t>Language Learning</t>
        </is>
      </c>
      <c r="E4676" t="inlineStr">
        <is>
          <t>International</t>
        </is>
      </c>
      <c r="F4676" t="inlineStr">
        <is>
          <t>Rep_05</t>
        </is>
      </c>
      <c r="G4676" t="n">
        <v>0.82</v>
      </c>
      <c r="H4676" t="inlineStr">
        <is>
          <t>Contacted</t>
        </is>
      </c>
      <c r="I4676" t="inlineStr">
        <is>
          <t>Open</t>
        </is>
      </c>
      <c r="M4676">
        <f>VLOOKUP(H4676,'Stage Order'!$A$2:$B$8,2,FALSE)</f>
        <v/>
      </c>
      <c r="N4676">
        <f>IF(G4676&lt;=1,"1. Under 1 hour",IF(G4676&lt;=24,"2. 1-24 hours",IF(G4676&lt;=72,"3. 1-3 days","4. Over 3 days")))</f>
        <v/>
      </c>
      <c r="O4676">
        <f>TEXT(B4676,"YYYY-MM")</f>
        <v/>
      </c>
    </row>
    <row r="4677">
      <c r="A4677" t="inlineStr">
        <is>
          <t>LD-304675</t>
        </is>
      </c>
      <c r="B4677" t="inlineStr">
        <is>
          <t>2025-10-12 08:53:00</t>
        </is>
      </c>
      <c r="C4677" t="inlineStr">
        <is>
          <t>Organic Search</t>
        </is>
      </c>
      <c r="D4677" t="inlineStr">
        <is>
          <t>Study Abroad Prep</t>
        </is>
      </c>
      <c r="E4677" t="inlineStr">
        <is>
          <t>South Region</t>
        </is>
      </c>
      <c r="F4677" t="inlineStr">
        <is>
          <t>Rep_02</t>
        </is>
      </c>
      <c r="G4677" t="n">
        <v>8.42</v>
      </c>
      <c r="H4677" t="inlineStr">
        <is>
          <t>Proposal Sent</t>
        </is>
      </c>
      <c r="I4677" t="inlineStr">
        <is>
          <t>Lost</t>
        </is>
      </c>
      <c r="J4677" t="inlineStr">
        <is>
          <t>Price Objection</t>
        </is>
      </c>
      <c r="K4677" t="n">
        <v>1731.86</v>
      </c>
      <c r="L4677" t="inlineStr">
        <is>
          <t>2025-11-16 18:33:17.488905</t>
        </is>
      </c>
      <c r="M4677">
        <f>VLOOKUP(H4677,'Stage Order'!$A$2:$B$8,2,FALSE)</f>
        <v/>
      </c>
      <c r="N4677">
        <f>IF(G4677&lt;=1,"1. Under 1 hour",IF(G4677&lt;=24,"2. 1-24 hours",IF(G4677&lt;=72,"3. 1-3 days","4. Over 3 days")))</f>
        <v/>
      </c>
      <c r="O4677">
        <f>TEXT(B4677,"YYYY-MM")</f>
        <v/>
      </c>
    </row>
    <row r="4678">
      <c r="A4678" t="inlineStr">
        <is>
          <t>LD-304676</t>
        </is>
      </c>
      <c r="B4678" t="inlineStr">
        <is>
          <t>2026-05-01 11:54:00</t>
        </is>
      </c>
      <c r="C4678" t="inlineStr">
        <is>
          <t>Paid Search</t>
        </is>
      </c>
      <c r="D4678" t="inlineStr">
        <is>
          <t>K-12 Math</t>
        </is>
      </c>
      <c r="E4678" t="inlineStr">
        <is>
          <t>East Region</t>
        </is>
      </c>
      <c r="F4678" t="inlineStr">
        <is>
          <t>Rep_09</t>
        </is>
      </c>
      <c r="G4678" t="n">
        <v>0.39</v>
      </c>
      <c r="H4678" t="inlineStr">
        <is>
          <t>Contacted</t>
        </is>
      </c>
      <c r="I4678" t="inlineStr">
        <is>
          <t>Open</t>
        </is>
      </c>
      <c r="M4678">
        <f>VLOOKUP(H4678,'Stage Order'!$A$2:$B$8,2,FALSE)</f>
        <v/>
      </c>
      <c r="N4678">
        <f>IF(G4678&lt;=1,"1. Under 1 hour",IF(G4678&lt;=24,"2. 1-24 hours",IF(G4678&lt;=72,"3. 1-3 days","4. Over 3 days")))</f>
        <v/>
      </c>
      <c r="O4678">
        <f>TEXT(B4678,"YYYY-MM")</f>
        <v/>
      </c>
    </row>
    <row r="4679">
      <c r="A4679" t="inlineStr">
        <is>
          <t>LD-304677</t>
        </is>
      </c>
      <c r="B4679" t="inlineStr">
        <is>
          <t>2026-04-07 12:49:00</t>
        </is>
      </c>
      <c r="C4679" t="inlineStr">
        <is>
          <t>Webinar</t>
        </is>
      </c>
      <c r="D4679" t="inlineStr">
        <is>
          <t>Competitive Exam Prep</t>
        </is>
      </c>
      <c r="E4679" t="inlineStr">
        <is>
          <t>East Region</t>
        </is>
      </c>
      <c r="F4679" t="inlineStr">
        <is>
          <t>Rep_04</t>
        </is>
      </c>
      <c r="G4679" t="n">
        <v>3.15</v>
      </c>
      <c r="H4679" t="inlineStr">
        <is>
          <t>Contacted</t>
        </is>
      </c>
      <c r="I4679" t="inlineStr">
        <is>
          <t>Open</t>
        </is>
      </c>
      <c r="M4679">
        <f>VLOOKUP(H4679,'Stage Order'!$A$2:$B$8,2,FALSE)</f>
        <v/>
      </c>
      <c r="N4679">
        <f>IF(G4679&lt;=1,"1. Under 1 hour",IF(G4679&lt;=24,"2. 1-24 hours",IF(G4679&lt;=72,"3. 1-3 days","4. Over 3 days")))</f>
        <v/>
      </c>
      <c r="O4679">
        <f>TEXT(B4679,"YYYY-MM")</f>
        <v/>
      </c>
    </row>
    <row r="4680">
      <c r="A4680" t="inlineStr">
        <is>
          <t>LD-304678</t>
        </is>
      </c>
      <c r="B4680" t="inlineStr">
        <is>
          <t>2025-07-20 10:11:00</t>
        </is>
      </c>
      <c r="C4680" t="inlineStr">
        <is>
          <t>Social Media</t>
        </is>
      </c>
      <c r="D4680" t="inlineStr">
        <is>
          <t>Language Learning</t>
        </is>
      </c>
      <c r="E4680" t="inlineStr">
        <is>
          <t>South Region</t>
        </is>
      </c>
      <c r="F4680" t="inlineStr">
        <is>
          <t>Rep_07</t>
        </is>
      </c>
      <c r="G4680" t="n">
        <v>3.73</v>
      </c>
      <c r="H4680" t="inlineStr">
        <is>
          <t>Proposal Sent</t>
        </is>
      </c>
      <c r="I4680" t="inlineStr">
        <is>
          <t>Lost</t>
        </is>
      </c>
      <c r="J4680" t="inlineStr">
        <is>
          <t>Budget Not Approved</t>
        </is>
      </c>
      <c r="K4680" t="n">
        <v>348.84</v>
      </c>
      <c r="L4680" t="inlineStr">
        <is>
          <t>2025-08-25 18:47:00.318934</t>
        </is>
      </c>
      <c r="M4680">
        <f>VLOOKUP(H4680,'Stage Order'!$A$2:$B$8,2,FALSE)</f>
        <v/>
      </c>
      <c r="N4680">
        <f>IF(G4680&lt;=1,"1. Under 1 hour",IF(G4680&lt;=24,"2. 1-24 hours",IF(G4680&lt;=72,"3. 1-3 days","4. Over 3 days")))</f>
        <v/>
      </c>
      <c r="O4680">
        <f>TEXT(B4680,"YYYY-MM")</f>
        <v/>
      </c>
    </row>
    <row r="4681">
      <c r="A4681" t="inlineStr">
        <is>
          <t>LD-304679</t>
        </is>
      </c>
      <c r="B4681" t="inlineStr">
        <is>
          <t>2025-09-10 16:27:00</t>
        </is>
      </c>
      <c r="C4681" t="inlineStr">
        <is>
          <t>Paid Search</t>
        </is>
      </c>
      <c r="D4681" t="inlineStr">
        <is>
          <t>Language Learning</t>
        </is>
      </c>
      <c r="E4681" t="inlineStr">
        <is>
          <t>East Region</t>
        </is>
      </c>
      <c r="F4681" t="inlineStr">
        <is>
          <t>Rep_14</t>
        </is>
      </c>
      <c r="G4681" t="n">
        <v>1.7</v>
      </c>
      <c r="H4681" t="inlineStr">
        <is>
          <t>Contacted</t>
        </is>
      </c>
      <c r="I4681" t="inlineStr">
        <is>
          <t>Open</t>
        </is>
      </c>
      <c r="M4681">
        <f>VLOOKUP(H4681,'Stage Order'!$A$2:$B$8,2,FALSE)</f>
        <v/>
      </c>
      <c r="N4681">
        <f>IF(G4681&lt;=1,"1. Under 1 hour",IF(G4681&lt;=24,"2. 1-24 hours",IF(G4681&lt;=72,"3. 1-3 days","4. Over 3 days")))</f>
        <v/>
      </c>
      <c r="O4681">
        <f>TEXT(B4681,"YYYY-MM")</f>
        <v/>
      </c>
    </row>
    <row r="4682">
      <c r="A4682" t="inlineStr">
        <is>
          <t>LD-304680</t>
        </is>
      </c>
      <c r="B4682" t="inlineStr">
        <is>
          <t>2025-06-20 12:26:00</t>
        </is>
      </c>
      <c r="C4682" t="inlineStr">
        <is>
          <t>Social Media</t>
        </is>
      </c>
      <c r="D4682" t="inlineStr">
        <is>
          <t>Competitive Exam Prep</t>
        </is>
      </c>
      <c r="E4682" t="inlineStr">
        <is>
          <t>North Region</t>
        </is>
      </c>
      <c r="F4682" t="inlineStr">
        <is>
          <t>Rep_01</t>
        </is>
      </c>
      <c r="G4682" t="n">
        <v>2.52</v>
      </c>
      <c r="H4682" t="inlineStr">
        <is>
          <t>Contacted</t>
        </is>
      </c>
      <c r="I4682" t="inlineStr">
        <is>
          <t>Open</t>
        </is>
      </c>
      <c r="M4682">
        <f>VLOOKUP(H4682,'Stage Order'!$A$2:$B$8,2,FALSE)</f>
        <v/>
      </c>
      <c r="N4682">
        <f>IF(G4682&lt;=1,"1. Under 1 hour",IF(G4682&lt;=24,"2. 1-24 hours",IF(G4682&lt;=72,"3. 1-3 days","4. Over 3 days")))</f>
        <v/>
      </c>
      <c r="O4682">
        <f>TEXT(B4682,"YYYY-MM")</f>
        <v/>
      </c>
    </row>
    <row r="4683">
      <c r="A4683" t="inlineStr">
        <is>
          <t>LD-304681</t>
        </is>
      </c>
      <c r="B4683" t="inlineStr">
        <is>
          <t>2025-05-29 20:10:00</t>
        </is>
      </c>
      <c r="C4683" t="inlineStr">
        <is>
          <t>Paid Search</t>
        </is>
      </c>
      <c r="D4683" t="inlineStr">
        <is>
          <t>Coding for Kids</t>
        </is>
      </c>
      <c r="E4683" t="inlineStr">
        <is>
          <t>South Region</t>
        </is>
      </c>
      <c r="F4683" t="inlineStr">
        <is>
          <t>Rep_02</t>
        </is>
      </c>
      <c r="G4683" t="n">
        <v>0.32</v>
      </c>
      <c r="H4683" t="inlineStr">
        <is>
          <t>Contacted</t>
        </is>
      </c>
      <c r="I4683" t="inlineStr">
        <is>
          <t>Open</t>
        </is>
      </c>
      <c r="M4683">
        <f>VLOOKUP(H4683,'Stage Order'!$A$2:$B$8,2,FALSE)</f>
        <v/>
      </c>
      <c r="N4683">
        <f>IF(G4683&lt;=1,"1. Under 1 hour",IF(G4683&lt;=24,"2. 1-24 hours",IF(G4683&lt;=72,"3. 1-3 days","4. Over 3 days")))</f>
        <v/>
      </c>
      <c r="O4683">
        <f>TEXT(B4683,"YYYY-MM")</f>
        <v/>
      </c>
    </row>
    <row r="4684">
      <c r="A4684" t="inlineStr">
        <is>
          <t>LD-304682</t>
        </is>
      </c>
      <c r="B4684" t="inlineStr">
        <is>
          <t>2026-05-24 14:15:00</t>
        </is>
      </c>
      <c r="C4684" t="inlineStr">
        <is>
          <t>Cold Outreach</t>
        </is>
      </c>
      <c r="D4684" t="inlineStr">
        <is>
          <t>Competitive Exam Prep</t>
        </is>
      </c>
      <c r="E4684" t="inlineStr">
        <is>
          <t>South Region</t>
        </is>
      </c>
      <c r="F4684" t="inlineStr">
        <is>
          <t>Rep_12</t>
        </is>
      </c>
      <c r="G4684" t="n">
        <v>17.54</v>
      </c>
      <c r="H4684" t="inlineStr">
        <is>
          <t>Contacted</t>
        </is>
      </c>
      <c r="I4684" t="inlineStr">
        <is>
          <t>Open</t>
        </is>
      </c>
      <c r="M4684">
        <f>VLOOKUP(H4684,'Stage Order'!$A$2:$B$8,2,FALSE)</f>
        <v/>
      </c>
      <c r="N4684">
        <f>IF(G4684&lt;=1,"1. Under 1 hour",IF(G4684&lt;=24,"2. 1-24 hours",IF(G4684&lt;=72,"3. 1-3 days","4. Over 3 days")))</f>
        <v/>
      </c>
      <c r="O4684">
        <f>TEXT(B4684,"YYYY-MM")</f>
        <v/>
      </c>
    </row>
    <row r="4685">
      <c r="A4685" t="inlineStr">
        <is>
          <t>LD-304683</t>
        </is>
      </c>
      <c r="B4685" t="inlineStr">
        <is>
          <t>2026-06-15 20:32:00</t>
        </is>
      </c>
      <c r="C4685" t="inlineStr">
        <is>
          <t>Partner Channel</t>
        </is>
      </c>
      <c r="D4685" t="inlineStr">
        <is>
          <t>Coding for Kids</t>
        </is>
      </c>
      <c r="E4685" t="inlineStr">
        <is>
          <t>South Region</t>
        </is>
      </c>
      <c r="F4685" t="inlineStr">
        <is>
          <t>Rep_02</t>
        </is>
      </c>
      <c r="G4685" t="n">
        <v>1.05</v>
      </c>
      <c r="H4685" t="inlineStr">
        <is>
          <t>Closed</t>
        </is>
      </c>
      <c r="I4685" t="inlineStr">
        <is>
          <t>Won</t>
        </is>
      </c>
      <c r="K4685" t="n">
        <v>599.3200000000001</v>
      </c>
      <c r="L4685" t="inlineStr">
        <is>
          <t>2026-07-21 15:10:07.682105</t>
        </is>
      </c>
      <c r="M4685">
        <f>VLOOKUP(H4685,'Stage Order'!$A$2:$B$8,2,FALSE)</f>
        <v/>
      </c>
      <c r="N4685">
        <f>IF(G4685&lt;=1,"1. Under 1 hour",IF(G4685&lt;=24,"2. 1-24 hours",IF(G4685&lt;=72,"3. 1-3 days","4. Over 3 days")))</f>
        <v/>
      </c>
      <c r="O4685">
        <f>TEXT(B4685,"YYYY-MM")</f>
        <v/>
      </c>
    </row>
    <row r="4686">
      <c r="A4686" t="inlineStr">
        <is>
          <t>LD-304684</t>
        </is>
      </c>
      <c r="B4686" t="inlineStr">
        <is>
          <t>2025-08-20 14:28:00</t>
        </is>
      </c>
      <c r="C4686" t="inlineStr">
        <is>
          <t>Referral</t>
        </is>
      </c>
      <c r="D4686" t="inlineStr">
        <is>
          <t>K-12 Math</t>
        </is>
      </c>
      <c r="E4686" t="inlineStr">
        <is>
          <t>North Region</t>
        </is>
      </c>
      <c r="F4686" t="inlineStr">
        <is>
          <t>Rep_06</t>
        </is>
      </c>
      <c r="G4686" t="n">
        <v>4.94</v>
      </c>
      <c r="H4686" t="inlineStr">
        <is>
          <t>Negotiation</t>
        </is>
      </c>
      <c r="I4686" t="inlineStr">
        <is>
          <t>Lost</t>
        </is>
      </c>
      <c r="J4686" t="inlineStr">
        <is>
          <t>Price Objection</t>
        </is>
      </c>
      <c r="K4686" t="n">
        <v>533.71</v>
      </c>
      <c r="L4686" t="inlineStr">
        <is>
          <t>2025-10-09 05:01:25.975051</t>
        </is>
      </c>
      <c r="M4686">
        <f>VLOOKUP(H4686,'Stage Order'!$A$2:$B$8,2,FALSE)</f>
        <v/>
      </c>
      <c r="N4686">
        <f>IF(G4686&lt;=1,"1. Under 1 hour",IF(G4686&lt;=24,"2. 1-24 hours",IF(G4686&lt;=72,"3. 1-3 days","4. Over 3 days")))</f>
        <v/>
      </c>
      <c r="O4686">
        <f>TEXT(B4686,"YYYY-MM")</f>
        <v/>
      </c>
    </row>
    <row r="4687">
      <c r="A4687" t="inlineStr">
        <is>
          <t>LD-304685</t>
        </is>
      </c>
      <c r="B4687" t="inlineStr">
        <is>
          <t>2025-01-22 11:43:00</t>
        </is>
      </c>
      <c r="C4687" t="inlineStr">
        <is>
          <t>Webinar</t>
        </is>
      </c>
      <c r="D4687" t="inlineStr">
        <is>
          <t>Study Abroad Prep</t>
        </is>
      </c>
      <c r="E4687" t="inlineStr">
        <is>
          <t>North Region</t>
        </is>
      </c>
      <c r="F4687" t="inlineStr">
        <is>
          <t>Rep_06</t>
        </is>
      </c>
      <c r="G4687" t="n">
        <v>4.26</v>
      </c>
      <c r="H4687" t="inlineStr">
        <is>
          <t>Contacted</t>
        </is>
      </c>
      <c r="I4687" t="inlineStr">
        <is>
          <t>Open</t>
        </is>
      </c>
      <c r="M4687">
        <f>VLOOKUP(H4687,'Stage Order'!$A$2:$B$8,2,FALSE)</f>
        <v/>
      </c>
      <c r="N4687">
        <f>IF(G4687&lt;=1,"1. Under 1 hour",IF(G4687&lt;=24,"2. 1-24 hours",IF(G4687&lt;=72,"3. 1-3 days","4. Over 3 days")))</f>
        <v/>
      </c>
      <c r="O4687">
        <f>TEXT(B4687,"YYYY-MM")</f>
        <v/>
      </c>
    </row>
    <row r="4688">
      <c r="A4688" t="inlineStr">
        <is>
          <t>LD-304686</t>
        </is>
      </c>
      <c r="B4688" t="inlineStr">
        <is>
          <t>2026-06-15 08:07:00</t>
        </is>
      </c>
      <c r="C4688" t="inlineStr">
        <is>
          <t>Cold Outreach</t>
        </is>
      </c>
      <c r="D4688" t="inlineStr">
        <is>
          <t>Language Learning</t>
        </is>
      </c>
      <c r="E4688" t="inlineStr">
        <is>
          <t>East Region</t>
        </is>
      </c>
      <c r="F4688" t="inlineStr">
        <is>
          <t>Rep_04</t>
        </is>
      </c>
      <c r="G4688" t="n">
        <v>12.15</v>
      </c>
      <c r="H4688" t="inlineStr">
        <is>
          <t>Lead</t>
        </is>
      </c>
      <c r="I4688" t="inlineStr">
        <is>
          <t>Open</t>
        </is>
      </c>
      <c r="M4688">
        <f>VLOOKUP(H4688,'Stage Order'!$A$2:$B$8,2,FALSE)</f>
        <v/>
      </c>
      <c r="N4688">
        <f>IF(G4688&lt;=1,"1. Under 1 hour",IF(G4688&lt;=24,"2. 1-24 hours",IF(G4688&lt;=72,"3. 1-3 days","4. Over 3 days")))</f>
        <v/>
      </c>
      <c r="O4688">
        <f>TEXT(B4688,"YYYY-MM")</f>
        <v/>
      </c>
    </row>
    <row r="4689">
      <c r="A4689" t="inlineStr">
        <is>
          <t>LD-304687</t>
        </is>
      </c>
      <c r="B4689" t="inlineStr">
        <is>
          <t>2025-07-25 10:02:00</t>
        </is>
      </c>
      <c r="C4689" t="inlineStr">
        <is>
          <t>Organic Search</t>
        </is>
      </c>
      <c r="D4689" t="inlineStr">
        <is>
          <t>Coding for Kids</t>
        </is>
      </c>
      <c r="E4689" t="inlineStr">
        <is>
          <t>West Region</t>
        </is>
      </c>
      <c r="F4689" t="inlineStr">
        <is>
          <t>Rep_03</t>
        </is>
      </c>
      <c r="G4689" t="n">
        <v>4.17</v>
      </c>
      <c r="H4689" t="inlineStr">
        <is>
          <t>Contacted</t>
        </is>
      </c>
      <c r="I4689" t="inlineStr">
        <is>
          <t>Open</t>
        </is>
      </c>
      <c r="M4689">
        <f>VLOOKUP(H4689,'Stage Order'!$A$2:$B$8,2,FALSE)</f>
        <v/>
      </c>
      <c r="N4689">
        <f>IF(G4689&lt;=1,"1. Under 1 hour",IF(G4689&lt;=24,"2. 1-24 hours",IF(G4689&lt;=72,"3. 1-3 days","4. Over 3 days")))</f>
        <v/>
      </c>
      <c r="O4689">
        <f>TEXT(B4689,"YYYY-MM")</f>
        <v/>
      </c>
    </row>
    <row r="4690">
      <c r="A4690" t="inlineStr">
        <is>
          <t>LD-304688</t>
        </is>
      </c>
      <c r="B4690" t="inlineStr">
        <is>
          <t>2026-06-17 12:42:00</t>
        </is>
      </c>
      <c r="C4690" t="inlineStr">
        <is>
          <t>Organic Search</t>
        </is>
      </c>
      <c r="D4690" t="inlineStr">
        <is>
          <t>Competitive Exam Prep</t>
        </is>
      </c>
      <c r="E4690" t="inlineStr">
        <is>
          <t>East Region</t>
        </is>
      </c>
      <c r="F4690" t="inlineStr">
        <is>
          <t>Rep_09</t>
        </is>
      </c>
      <c r="G4690" t="n">
        <v>0.95</v>
      </c>
      <c r="H4690" t="inlineStr">
        <is>
          <t>Contacted</t>
        </is>
      </c>
      <c r="I4690" t="inlineStr">
        <is>
          <t>Open</t>
        </is>
      </c>
      <c r="M4690">
        <f>VLOOKUP(H4690,'Stage Order'!$A$2:$B$8,2,FALSE)</f>
        <v/>
      </c>
      <c r="N4690">
        <f>IF(G4690&lt;=1,"1. Under 1 hour",IF(G4690&lt;=24,"2. 1-24 hours",IF(G4690&lt;=72,"3. 1-3 days","4. Over 3 days")))</f>
        <v/>
      </c>
      <c r="O4690">
        <f>TEXT(B4690,"YYYY-MM")</f>
        <v/>
      </c>
    </row>
    <row r="4691">
      <c r="A4691" t="inlineStr">
        <is>
          <t>LD-304689</t>
        </is>
      </c>
      <c r="B4691" t="inlineStr">
        <is>
          <t>2025-06-20 14:30:00</t>
        </is>
      </c>
      <c r="C4691" t="inlineStr">
        <is>
          <t>Organic Search</t>
        </is>
      </c>
      <c r="D4691" t="inlineStr">
        <is>
          <t>Coding for Kids</t>
        </is>
      </c>
      <c r="E4691" t="inlineStr">
        <is>
          <t>East Region</t>
        </is>
      </c>
      <c r="F4691" t="inlineStr">
        <is>
          <t>Rep_09</t>
        </is>
      </c>
      <c r="G4691" t="n">
        <v>5.7</v>
      </c>
      <c r="H4691" t="inlineStr">
        <is>
          <t>Contacted</t>
        </is>
      </c>
      <c r="I4691" t="inlineStr">
        <is>
          <t>Open</t>
        </is>
      </c>
      <c r="M4691">
        <f>VLOOKUP(H4691,'Stage Order'!$A$2:$B$8,2,FALSE)</f>
        <v/>
      </c>
      <c r="N4691">
        <f>IF(G4691&lt;=1,"1. Under 1 hour",IF(G4691&lt;=24,"2. 1-24 hours",IF(G4691&lt;=72,"3. 1-3 days","4. Over 3 days")))</f>
        <v/>
      </c>
      <c r="O4691">
        <f>TEXT(B4691,"YYYY-MM")</f>
        <v/>
      </c>
    </row>
    <row r="4692">
      <c r="A4692" t="inlineStr">
        <is>
          <t>LD-304690</t>
        </is>
      </c>
      <c r="B4692" t="inlineStr">
        <is>
          <t>2025-11-09 10:51:00</t>
        </is>
      </c>
      <c r="C4692" t="inlineStr">
        <is>
          <t>Organic Search</t>
        </is>
      </c>
      <c r="D4692" t="inlineStr">
        <is>
          <t>Study Abroad Prep</t>
        </is>
      </c>
      <c r="E4692" t="inlineStr">
        <is>
          <t>International</t>
        </is>
      </c>
      <c r="F4692" t="inlineStr">
        <is>
          <t>Rep_05</t>
        </is>
      </c>
      <c r="G4692" t="n">
        <v>0.29</v>
      </c>
      <c r="H4692" t="inlineStr">
        <is>
          <t>Demo Completed</t>
        </is>
      </c>
      <c r="I4692" t="inlineStr">
        <is>
          <t>Lost</t>
        </is>
      </c>
      <c r="J4692" t="inlineStr">
        <is>
          <t>No Response / Ghosted</t>
        </is>
      </c>
      <c r="K4692" t="n">
        <v>1306.91</v>
      </c>
      <c r="L4692" t="inlineStr">
        <is>
          <t>2025-12-17 10:51:20.292598</t>
        </is>
      </c>
      <c r="M4692">
        <f>VLOOKUP(H4692,'Stage Order'!$A$2:$B$8,2,FALSE)</f>
        <v/>
      </c>
      <c r="N4692">
        <f>IF(G4692&lt;=1,"1. Under 1 hour",IF(G4692&lt;=24,"2. 1-24 hours",IF(G4692&lt;=72,"3. 1-3 days","4. Over 3 days")))</f>
        <v/>
      </c>
      <c r="O4692">
        <f>TEXT(B4692,"YYYY-MM")</f>
        <v/>
      </c>
    </row>
    <row r="4693">
      <c r="A4693" t="inlineStr">
        <is>
          <t>LD-304691</t>
        </is>
      </c>
      <c r="B4693" t="inlineStr">
        <is>
          <t>2025-01-31 10:15:00</t>
        </is>
      </c>
      <c r="C4693" t="inlineStr">
        <is>
          <t>Partner Channel</t>
        </is>
      </c>
      <c r="D4693" t="inlineStr">
        <is>
          <t>Competitive Exam Prep</t>
        </is>
      </c>
      <c r="E4693" t="inlineStr">
        <is>
          <t>West Region</t>
        </is>
      </c>
      <c r="F4693" t="inlineStr">
        <is>
          <t>Rep_03</t>
        </is>
      </c>
      <c r="G4693" t="n">
        <v>3.11</v>
      </c>
      <c r="H4693" t="inlineStr">
        <is>
          <t>Contacted</t>
        </is>
      </c>
      <c r="I4693" t="inlineStr">
        <is>
          <t>Open</t>
        </is>
      </c>
      <c r="M4693">
        <f>VLOOKUP(H4693,'Stage Order'!$A$2:$B$8,2,FALSE)</f>
        <v/>
      </c>
      <c r="N4693">
        <f>IF(G4693&lt;=1,"1. Under 1 hour",IF(G4693&lt;=24,"2. 1-24 hours",IF(G4693&lt;=72,"3. 1-3 days","4. Over 3 days")))</f>
        <v/>
      </c>
      <c r="O4693">
        <f>TEXT(B4693,"YYYY-MM")</f>
        <v/>
      </c>
    </row>
    <row r="4694">
      <c r="A4694" t="inlineStr">
        <is>
          <t>LD-304692</t>
        </is>
      </c>
      <c r="B4694" t="inlineStr">
        <is>
          <t>2025-08-05 09:31:00</t>
        </is>
      </c>
      <c r="C4694" t="inlineStr">
        <is>
          <t>Social Media</t>
        </is>
      </c>
      <c r="D4694" t="inlineStr">
        <is>
          <t>Language Learning</t>
        </is>
      </c>
      <c r="E4694" t="inlineStr">
        <is>
          <t>North Region</t>
        </is>
      </c>
      <c r="F4694" t="inlineStr">
        <is>
          <t>Rep_11</t>
        </is>
      </c>
      <c r="G4694" t="n">
        <v>9.99</v>
      </c>
      <c r="H4694" t="inlineStr">
        <is>
          <t>Contacted</t>
        </is>
      </c>
      <c r="I4694" t="inlineStr">
        <is>
          <t>Open</t>
        </is>
      </c>
      <c r="M4694">
        <f>VLOOKUP(H4694,'Stage Order'!$A$2:$B$8,2,FALSE)</f>
        <v/>
      </c>
      <c r="N4694">
        <f>IF(G4694&lt;=1,"1. Under 1 hour",IF(G4694&lt;=24,"2. 1-24 hours",IF(G4694&lt;=72,"3. 1-3 days","4. Over 3 days")))</f>
        <v/>
      </c>
      <c r="O4694">
        <f>TEXT(B4694,"YYYY-MM")</f>
        <v/>
      </c>
    </row>
    <row r="4695">
      <c r="A4695" t="inlineStr">
        <is>
          <t>LD-304693</t>
        </is>
      </c>
      <c r="B4695" t="inlineStr">
        <is>
          <t>2025-12-12 19:25:00</t>
        </is>
      </c>
      <c r="C4695" t="inlineStr">
        <is>
          <t>Paid Search</t>
        </is>
      </c>
      <c r="D4695" t="inlineStr">
        <is>
          <t>Coding for Kids</t>
        </is>
      </c>
      <c r="E4695" t="inlineStr">
        <is>
          <t>East Region</t>
        </is>
      </c>
      <c r="F4695" t="inlineStr">
        <is>
          <t>Rep_04</t>
        </is>
      </c>
      <c r="G4695" t="n">
        <v>3.11</v>
      </c>
      <c r="H4695" t="inlineStr">
        <is>
          <t>Demo Completed</t>
        </is>
      </c>
      <c r="I4695" t="inlineStr">
        <is>
          <t>Lost</t>
        </is>
      </c>
      <c r="J4695" t="inlineStr">
        <is>
          <t>Budget Not Approved</t>
        </is>
      </c>
      <c r="K4695" t="n">
        <v>692.98</v>
      </c>
      <c r="L4695" t="inlineStr">
        <is>
          <t>2026-01-16 00:27:04.018422</t>
        </is>
      </c>
      <c r="M4695">
        <f>VLOOKUP(H4695,'Stage Order'!$A$2:$B$8,2,FALSE)</f>
        <v/>
      </c>
      <c r="N4695">
        <f>IF(G4695&lt;=1,"1. Under 1 hour",IF(G4695&lt;=24,"2. 1-24 hours",IF(G4695&lt;=72,"3. 1-3 days","4. Over 3 days")))</f>
        <v/>
      </c>
      <c r="O4695">
        <f>TEXT(B4695,"YYYY-MM")</f>
        <v/>
      </c>
    </row>
    <row r="4696">
      <c r="A4696" t="inlineStr">
        <is>
          <t>LD-304694</t>
        </is>
      </c>
      <c r="B4696" t="inlineStr">
        <is>
          <t>2025-11-22 19:56:00</t>
        </is>
      </c>
      <c r="C4696" t="inlineStr">
        <is>
          <t>Social Media</t>
        </is>
      </c>
      <c r="D4696" t="inlineStr">
        <is>
          <t>Competitive Exam Prep</t>
        </is>
      </c>
      <c r="E4696" t="inlineStr">
        <is>
          <t>North Region</t>
        </is>
      </c>
      <c r="F4696" t="inlineStr">
        <is>
          <t>Rep_01</t>
        </is>
      </c>
      <c r="G4696" t="n">
        <v>3.63</v>
      </c>
      <c r="H4696" t="inlineStr">
        <is>
          <t>Lead</t>
        </is>
      </c>
      <c r="I4696" t="inlineStr">
        <is>
          <t>Open</t>
        </is>
      </c>
      <c r="M4696">
        <f>VLOOKUP(H4696,'Stage Order'!$A$2:$B$8,2,FALSE)</f>
        <v/>
      </c>
      <c r="N4696">
        <f>IF(G4696&lt;=1,"1. Under 1 hour",IF(G4696&lt;=24,"2. 1-24 hours",IF(G4696&lt;=72,"3. 1-3 days","4. Over 3 days")))</f>
        <v/>
      </c>
      <c r="O4696">
        <f>TEXT(B4696,"YYYY-MM")</f>
        <v/>
      </c>
    </row>
    <row r="4697">
      <c r="A4697" t="inlineStr">
        <is>
          <t>LD-304695</t>
        </is>
      </c>
      <c r="B4697" t="inlineStr">
        <is>
          <t>2025-12-20 11:47:00</t>
        </is>
      </c>
      <c r="C4697" t="inlineStr">
        <is>
          <t>Webinar</t>
        </is>
      </c>
      <c r="D4697" t="inlineStr">
        <is>
          <t>Coding for Kids</t>
        </is>
      </c>
      <c r="E4697" t="inlineStr">
        <is>
          <t>South Region</t>
        </is>
      </c>
      <c r="F4697" t="inlineStr">
        <is>
          <t>Rep_07</t>
        </is>
      </c>
      <c r="G4697" t="n">
        <v>2.89</v>
      </c>
      <c r="H4697" t="inlineStr">
        <is>
          <t>Contacted</t>
        </is>
      </c>
      <c r="I4697" t="inlineStr">
        <is>
          <t>Open</t>
        </is>
      </c>
      <c r="M4697">
        <f>VLOOKUP(H4697,'Stage Order'!$A$2:$B$8,2,FALSE)</f>
        <v/>
      </c>
      <c r="N4697">
        <f>IF(G4697&lt;=1,"1. Under 1 hour",IF(G4697&lt;=24,"2. 1-24 hours",IF(G4697&lt;=72,"3. 1-3 days","4. Over 3 days")))</f>
        <v/>
      </c>
      <c r="O4697">
        <f>TEXT(B4697,"YYYY-MM")</f>
        <v/>
      </c>
    </row>
    <row r="4698">
      <c r="A4698" t="inlineStr">
        <is>
          <t>LD-304696</t>
        </is>
      </c>
      <c r="B4698" t="inlineStr">
        <is>
          <t>2025-04-10 10:25:00</t>
        </is>
      </c>
      <c r="C4698" t="inlineStr">
        <is>
          <t>Paid Search</t>
        </is>
      </c>
      <c r="D4698" t="inlineStr">
        <is>
          <t>Language Learning</t>
        </is>
      </c>
      <c r="E4698" t="inlineStr">
        <is>
          <t>International</t>
        </is>
      </c>
      <c r="F4698" t="inlineStr">
        <is>
          <t>Rep_15</t>
        </is>
      </c>
      <c r="G4698" t="n">
        <v>2.34</v>
      </c>
      <c r="H4698" t="inlineStr">
        <is>
          <t>Negotiation</t>
        </is>
      </c>
      <c r="I4698" t="inlineStr">
        <is>
          <t>Lost</t>
        </is>
      </c>
      <c r="J4698" t="inlineStr">
        <is>
          <t>Went With Competitor</t>
        </is>
      </c>
      <c r="K4698" t="n">
        <v>309.13</v>
      </c>
      <c r="L4698" t="inlineStr">
        <is>
          <t>2025-05-13 05:23:51.541758</t>
        </is>
      </c>
      <c r="M4698">
        <f>VLOOKUP(H4698,'Stage Order'!$A$2:$B$8,2,FALSE)</f>
        <v/>
      </c>
      <c r="N4698">
        <f>IF(G4698&lt;=1,"1. Under 1 hour",IF(G4698&lt;=24,"2. 1-24 hours",IF(G4698&lt;=72,"3. 1-3 days","4. Over 3 days")))</f>
        <v/>
      </c>
      <c r="O4698">
        <f>TEXT(B4698,"YYYY-MM")</f>
        <v/>
      </c>
    </row>
    <row r="4699">
      <c r="A4699" t="inlineStr">
        <is>
          <t>LD-304697</t>
        </is>
      </c>
      <c r="B4699" t="inlineStr">
        <is>
          <t>2025-09-05 09:23:00</t>
        </is>
      </c>
      <c r="C4699" t="inlineStr">
        <is>
          <t>Webinar</t>
        </is>
      </c>
      <c r="D4699" t="inlineStr">
        <is>
          <t>K-12 Math</t>
        </is>
      </c>
      <c r="E4699" t="inlineStr">
        <is>
          <t>South Region</t>
        </is>
      </c>
      <c r="F4699" t="inlineStr">
        <is>
          <t>Rep_02</t>
        </is>
      </c>
      <c r="G4699" t="n">
        <v>9.380000000000001</v>
      </c>
      <c r="H4699" t="inlineStr">
        <is>
          <t>Closed</t>
        </is>
      </c>
      <c r="I4699" t="inlineStr">
        <is>
          <t>Won</t>
        </is>
      </c>
      <c r="K4699" t="n">
        <v>514.5599999999999</v>
      </c>
      <c r="L4699" t="inlineStr">
        <is>
          <t>2025-10-09 12:38:27.119094</t>
        </is>
      </c>
      <c r="M4699">
        <f>VLOOKUP(H4699,'Stage Order'!$A$2:$B$8,2,FALSE)</f>
        <v/>
      </c>
      <c r="N4699">
        <f>IF(G4699&lt;=1,"1. Under 1 hour",IF(G4699&lt;=24,"2. 1-24 hours",IF(G4699&lt;=72,"3. 1-3 days","4. Over 3 days")))</f>
        <v/>
      </c>
      <c r="O4699">
        <f>TEXT(B4699,"YYYY-MM")</f>
        <v/>
      </c>
    </row>
    <row r="4700">
      <c r="A4700" t="inlineStr">
        <is>
          <t>LD-304698</t>
        </is>
      </c>
      <c r="B4700" t="inlineStr">
        <is>
          <t>2026-05-30 16:00:00</t>
        </is>
      </c>
      <c r="C4700" t="inlineStr">
        <is>
          <t>Paid Search</t>
        </is>
      </c>
      <c r="D4700" t="inlineStr">
        <is>
          <t>K-12 Math</t>
        </is>
      </c>
      <c r="E4700" t="inlineStr">
        <is>
          <t>North Region</t>
        </is>
      </c>
      <c r="F4700" t="inlineStr">
        <is>
          <t>Rep_01</t>
        </is>
      </c>
      <c r="G4700" t="n">
        <v>2.17</v>
      </c>
      <c r="H4700" t="inlineStr">
        <is>
          <t>Demo Completed</t>
        </is>
      </c>
      <c r="I4700" t="inlineStr">
        <is>
          <t>Lost</t>
        </is>
      </c>
      <c r="J4700" t="inlineStr">
        <is>
          <t>Price Objection</t>
        </is>
      </c>
      <c r="K4700" t="n">
        <v>455.12</v>
      </c>
      <c r="L4700" t="inlineStr">
        <is>
          <t>2026-06-21 12:54:25.266129</t>
        </is>
      </c>
      <c r="M4700">
        <f>VLOOKUP(H4700,'Stage Order'!$A$2:$B$8,2,FALSE)</f>
        <v/>
      </c>
      <c r="N4700">
        <f>IF(G4700&lt;=1,"1. Under 1 hour",IF(G4700&lt;=24,"2. 1-24 hours",IF(G4700&lt;=72,"3. 1-3 days","4. Over 3 days")))</f>
        <v/>
      </c>
      <c r="O4700">
        <f>TEXT(B4700,"YYYY-MM")</f>
        <v/>
      </c>
    </row>
    <row r="4701">
      <c r="A4701" t="inlineStr">
        <is>
          <t>LD-304699</t>
        </is>
      </c>
      <c r="B4701" t="inlineStr">
        <is>
          <t>2025-07-26 09:19:00</t>
        </is>
      </c>
      <c r="C4701" t="inlineStr">
        <is>
          <t>Partner Channel</t>
        </is>
      </c>
      <c r="D4701" t="inlineStr">
        <is>
          <t>Language Learning</t>
        </is>
      </c>
      <c r="E4701" t="inlineStr">
        <is>
          <t>West Region</t>
        </is>
      </c>
      <c r="F4701" t="inlineStr">
        <is>
          <t>Rep_03</t>
        </is>
      </c>
      <c r="G4701" t="n">
        <v>1.89</v>
      </c>
      <c r="H4701" t="inlineStr">
        <is>
          <t>Contacted</t>
        </is>
      </c>
      <c r="I4701" t="inlineStr">
        <is>
          <t>Open</t>
        </is>
      </c>
      <c r="M4701">
        <f>VLOOKUP(H4701,'Stage Order'!$A$2:$B$8,2,FALSE)</f>
        <v/>
      </c>
      <c r="N4701">
        <f>IF(G4701&lt;=1,"1. Under 1 hour",IF(G4701&lt;=24,"2. 1-24 hours",IF(G4701&lt;=72,"3. 1-3 days","4. Over 3 days")))</f>
        <v/>
      </c>
      <c r="O4701">
        <f>TEXT(B4701,"YYYY-MM")</f>
        <v/>
      </c>
    </row>
    <row r="4702">
      <c r="A4702" t="inlineStr">
        <is>
          <t>LD-304700</t>
        </is>
      </c>
      <c r="B4702" t="inlineStr">
        <is>
          <t>2026-04-23 19:09:00</t>
        </is>
      </c>
      <c r="C4702" t="inlineStr">
        <is>
          <t>Paid Search</t>
        </is>
      </c>
      <c r="D4702" t="inlineStr">
        <is>
          <t>Language Learning</t>
        </is>
      </c>
      <c r="E4702" t="inlineStr">
        <is>
          <t>South Region</t>
        </is>
      </c>
      <c r="F4702" t="inlineStr">
        <is>
          <t>Rep_12</t>
        </is>
      </c>
      <c r="G4702" t="n">
        <v>2.82</v>
      </c>
      <c r="H4702" t="inlineStr">
        <is>
          <t>Negotiation</t>
        </is>
      </c>
      <c r="I4702" t="inlineStr">
        <is>
          <t>Lost</t>
        </is>
      </c>
      <c r="J4702" t="inlineStr">
        <is>
          <t>No Response / Ghosted</t>
        </is>
      </c>
      <c r="K4702" t="n">
        <v>420.55</v>
      </c>
      <c r="L4702" t="inlineStr">
        <is>
          <t>2026-06-12 14:20:10.929065</t>
        </is>
      </c>
      <c r="M4702">
        <f>VLOOKUP(H4702,'Stage Order'!$A$2:$B$8,2,FALSE)</f>
        <v/>
      </c>
      <c r="N4702">
        <f>IF(G4702&lt;=1,"1. Under 1 hour",IF(G4702&lt;=24,"2. 1-24 hours",IF(G4702&lt;=72,"3. 1-3 days","4. Over 3 days")))</f>
        <v/>
      </c>
      <c r="O4702">
        <f>TEXT(B4702,"YYYY-MM")</f>
        <v/>
      </c>
    </row>
    <row r="4703">
      <c r="A4703" t="inlineStr">
        <is>
          <t>LD-304701</t>
        </is>
      </c>
      <c r="B4703" t="inlineStr">
        <is>
          <t>2026-03-11 07:23:00</t>
        </is>
      </c>
      <c r="C4703" t="inlineStr">
        <is>
          <t>Referral</t>
        </is>
      </c>
      <c r="D4703" t="inlineStr">
        <is>
          <t>Coding for Kids</t>
        </is>
      </c>
      <c r="E4703" t="inlineStr">
        <is>
          <t>South Region</t>
        </is>
      </c>
      <c r="F4703" t="inlineStr">
        <is>
          <t>Rep_07</t>
        </is>
      </c>
      <c r="G4703" t="n">
        <v>1.05</v>
      </c>
      <c r="H4703" t="inlineStr">
        <is>
          <t>Closed</t>
        </is>
      </c>
      <c r="I4703" t="inlineStr">
        <is>
          <t>Won</t>
        </is>
      </c>
      <c r="K4703" t="n">
        <v>613.4400000000001</v>
      </c>
      <c r="L4703" t="inlineStr">
        <is>
          <t>2026-04-20 07:37:40.219396</t>
        </is>
      </c>
      <c r="M4703">
        <f>VLOOKUP(H4703,'Stage Order'!$A$2:$B$8,2,FALSE)</f>
        <v/>
      </c>
      <c r="N4703">
        <f>IF(G4703&lt;=1,"1. Under 1 hour",IF(G4703&lt;=24,"2. 1-24 hours",IF(G4703&lt;=72,"3. 1-3 days","4. Over 3 days")))</f>
        <v/>
      </c>
      <c r="O4703">
        <f>TEXT(B4703,"YYYY-MM")</f>
        <v/>
      </c>
    </row>
    <row r="4704">
      <c r="A4704" t="inlineStr">
        <is>
          <t>LD-304702</t>
        </is>
      </c>
      <c r="B4704" t="inlineStr">
        <is>
          <t>2026-06-05 13:44:00</t>
        </is>
      </c>
      <c r="C4704" t="inlineStr">
        <is>
          <t>Paid Search</t>
        </is>
      </c>
      <c r="D4704" t="inlineStr">
        <is>
          <t>K-12 Math</t>
        </is>
      </c>
      <c r="E4704" t="inlineStr">
        <is>
          <t>South Region</t>
        </is>
      </c>
      <c r="F4704" t="inlineStr">
        <is>
          <t>Rep_02</t>
        </is>
      </c>
      <c r="G4704" t="n">
        <v>3.53</v>
      </c>
      <c r="H4704" t="inlineStr">
        <is>
          <t>Demo Completed</t>
        </is>
      </c>
      <c r="I4704" t="inlineStr">
        <is>
          <t>Lost</t>
        </is>
      </c>
      <c r="J4704" t="inlineStr">
        <is>
          <t>Bad Timing</t>
        </is>
      </c>
      <c r="K4704" t="n">
        <v>469.86</v>
      </c>
      <c r="L4704" t="inlineStr">
        <is>
          <t>2026-06-30 17:07:05.737575</t>
        </is>
      </c>
      <c r="M4704">
        <f>VLOOKUP(H4704,'Stage Order'!$A$2:$B$8,2,FALSE)</f>
        <v/>
      </c>
      <c r="N4704">
        <f>IF(G4704&lt;=1,"1. Under 1 hour",IF(G4704&lt;=24,"2. 1-24 hours",IF(G4704&lt;=72,"3. 1-3 days","4. Over 3 days")))</f>
        <v/>
      </c>
      <c r="O4704">
        <f>TEXT(B4704,"YYYY-MM")</f>
        <v/>
      </c>
    </row>
    <row r="4705">
      <c r="A4705" t="inlineStr">
        <is>
          <t>LD-304703</t>
        </is>
      </c>
      <c r="B4705" t="inlineStr">
        <is>
          <t>2026-05-29 16:28:00</t>
        </is>
      </c>
      <c r="C4705" t="inlineStr">
        <is>
          <t>Social Media</t>
        </is>
      </c>
      <c r="D4705" t="inlineStr">
        <is>
          <t>Coding for Kids</t>
        </is>
      </c>
      <c r="E4705" t="inlineStr">
        <is>
          <t>North Region</t>
        </is>
      </c>
      <c r="F4705" t="inlineStr">
        <is>
          <t>Rep_06</t>
        </is>
      </c>
      <c r="G4705" t="n">
        <v>2.3</v>
      </c>
      <c r="H4705" t="inlineStr">
        <is>
          <t>Lead</t>
        </is>
      </c>
      <c r="I4705" t="inlineStr">
        <is>
          <t>Open</t>
        </is>
      </c>
      <c r="M4705">
        <f>VLOOKUP(H4705,'Stage Order'!$A$2:$B$8,2,FALSE)</f>
        <v/>
      </c>
      <c r="N4705">
        <f>IF(G4705&lt;=1,"1. Under 1 hour",IF(G4705&lt;=24,"2. 1-24 hours",IF(G4705&lt;=72,"3. 1-3 days","4. Over 3 days")))</f>
        <v/>
      </c>
      <c r="O4705">
        <f>TEXT(B4705,"YYYY-MM")</f>
        <v/>
      </c>
    </row>
    <row r="4706">
      <c r="A4706" t="inlineStr">
        <is>
          <t>LD-304704</t>
        </is>
      </c>
      <c r="B4706" t="inlineStr">
        <is>
          <t>2025-12-26 09:16:00</t>
        </is>
      </c>
      <c r="C4706" t="inlineStr">
        <is>
          <t>Organic Search</t>
        </is>
      </c>
      <c r="D4706" t="inlineStr">
        <is>
          <t>K-12 Math</t>
        </is>
      </c>
      <c r="E4706" t="inlineStr">
        <is>
          <t>East Region</t>
        </is>
      </c>
      <c r="F4706" t="inlineStr">
        <is>
          <t>Rep_04</t>
        </is>
      </c>
      <c r="G4706" t="n">
        <v>2.37</v>
      </c>
      <c r="H4706" t="inlineStr">
        <is>
          <t>Contacted</t>
        </is>
      </c>
      <c r="I4706" t="inlineStr">
        <is>
          <t>Open</t>
        </is>
      </c>
      <c r="M4706">
        <f>VLOOKUP(H4706,'Stage Order'!$A$2:$B$8,2,FALSE)</f>
        <v/>
      </c>
      <c r="N4706">
        <f>IF(G4706&lt;=1,"1. Under 1 hour",IF(G4706&lt;=24,"2. 1-24 hours",IF(G4706&lt;=72,"3. 1-3 days","4. Over 3 days")))</f>
        <v/>
      </c>
      <c r="O4706">
        <f>TEXT(B4706,"YYYY-MM")</f>
        <v/>
      </c>
    </row>
    <row r="4707">
      <c r="A4707" t="inlineStr">
        <is>
          <t>LD-304705</t>
        </is>
      </c>
      <c r="B4707" t="inlineStr">
        <is>
          <t>2025-08-15 15:51:00</t>
        </is>
      </c>
      <c r="C4707" t="inlineStr">
        <is>
          <t>Organic Search</t>
        </is>
      </c>
      <c r="D4707" t="inlineStr">
        <is>
          <t>Study Abroad Prep</t>
        </is>
      </c>
      <c r="E4707" t="inlineStr">
        <is>
          <t>East Region</t>
        </is>
      </c>
      <c r="F4707" t="inlineStr">
        <is>
          <t>Rep_14</t>
        </is>
      </c>
      <c r="G4707" t="n">
        <v>3.84</v>
      </c>
      <c r="H4707" t="inlineStr">
        <is>
          <t>Demo Scheduled</t>
        </is>
      </c>
      <c r="I4707" t="inlineStr">
        <is>
          <t>Open</t>
        </is>
      </c>
      <c r="M4707">
        <f>VLOOKUP(H4707,'Stage Order'!$A$2:$B$8,2,FALSE)</f>
        <v/>
      </c>
      <c r="N4707">
        <f>IF(G4707&lt;=1,"1. Under 1 hour",IF(G4707&lt;=24,"2. 1-24 hours",IF(G4707&lt;=72,"3. 1-3 days","4. Over 3 days")))</f>
        <v/>
      </c>
      <c r="O4707">
        <f>TEXT(B4707,"YYYY-MM")</f>
        <v/>
      </c>
    </row>
    <row r="4708">
      <c r="A4708" t="inlineStr">
        <is>
          <t>LD-304706</t>
        </is>
      </c>
      <c r="B4708" t="inlineStr">
        <is>
          <t>2025-03-12 14:37:00</t>
        </is>
      </c>
      <c r="C4708" t="inlineStr">
        <is>
          <t>Organic Search</t>
        </is>
      </c>
      <c r="D4708" t="inlineStr">
        <is>
          <t>Language Learning</t>
        </is>
      </c>
      <c r="E4708" t="inlineStr">
        <is>
          <t>North Region</t>
        </is>
      </c>
      <c r="F4708" t="inlineStr">
        <is>
          <t>Rep_01</t>
        </is>
      </c>
      <c r="G4708" t="n">
        <v>2.65</v>
      </c>
      <c r="H4708" t="inlineStr">
        <is>
          <t>Lead</t>
        </is>
      </c>
      <c r="I4708" t="inlineStr">
        <is>
          <t>Open</t>
        </is>
      </c>
      <c r="M4708">
        <f>VLOOKUP(H4708,'Stage Order'!$A$2:$B$8,2,FALSE)</f>
        <v/>
      </c>
      <c r="N4708">
        <f>IF(G4708&lt;=1,"1. Under 1 hour",IF(G4708&lt;=24,"2. 1-24 hours",IF(G4708&lt;=72,"3. 1-3 days","4. Over 3 days")))</f>
        <v/>
      </c>
      <c r="O4708">
        <f>TEXT(B4708,"YYYY-MM")</f>
        <v/>
      </c>
    </row>
    <row r="4709">
      <c r="A4709" t="inlineStr">
        <is>
          <t>LD-304707</t>
        </is>
      </c>
      <c r="B4709" t="inlineStr">
        <is>
          <t>2025-01-21 11:42:00</t>
        </is>
      </c>
      <c r="C4709" t="inlineStr">
        <is>
          <t>Referral</t>
        </is>
      </c>
      <c r="D4709" t="inlineStr">
        <is>
          <t>Language Learning</t>
        </is>
      </c>
      <c r="E4709" t="inlineStr">
        <is>
          <t>West Region</t>
        </is>
      </c>
      <c r="F4709" t="inlineStr">
        <is>
          <t>Rep_13</t>
        </is>
      </c>
      <c r="G4709" t="n">
        <v>3.6</v>
      </c>
      <c r="H4709" t="inlineStr">
        <is>
          <t>Closed</t>
        </is>
      </c>
      <c r="I4709" t="inlineStr">
        <is>
          <t>Won</t>
        </is>
      </c>
      <c r="K4709" t="n">
        <v>313.11</v>
      </c>
      <c r="L4709" t="inlineStr">
        <is>
          <t>2025-02-20 11:47:16.335372</t>
        </is>
      </c>
      <c r="M4709">
        <f>VLOOKUP(H4709,'Stage Order'!$A$2:$B$8,2,FALSE)</f>
        <v/>
      </c>
      <c r="N4709">
        <f>IF(G4709&lt;=1,"1. Under 1 hour",IF(G4709&lt;=24,"2. 1-24 hours",IF(G4709&lt;=72,"3. 1-3 days","4. Over 3 days")))</f>
        <v/>
      </c>
      <c r="O4709">
        <f>TEXT(B4709,"YYYY-MM")</f>
        <v/>
      </c>
    </row>
    <row r="4710">
      <c r="A4710" t="inlineStr">
        <is>
          <t>LD-304708</t>
        </is>
      </c>
      <c r="B4710" t="inlineStr">
        <is>
          <t>2025-08-26 15:38:00</t>
        </is>
      </c>
      <c r="C4710" t="inlineStr">
        <is>
          <t>Paid Search</t>
        </is>
      </c>
      <c r="D4710" t="inlineStr">
        <is>
          <t>K-12 Math</t>
        </is>
      </c>
      <c r="E4710" t="inlineStr">
        <is>
          <t>East Region</t>
        </is>
      </c>
      <c r="F4710" t="inlineStr">
        <is>
          <t>Rep_04</t>
        </is>
      </c>
      <c r="G4710" t="n">
        <v>5.33</v>
      </c>
      <c r="H4710" t="inlineStr">
        <is>
          <t>Contacted</t>
        </is>
      </c>
      <c r="I4710" t="inlineStr">
        <is>
          <t>Open</t>
        </is>
      </c>
      <c r="M4710">
        <f>VLOOKUP(H4710,'Stage Order'!$A$2:$B$8,2,FALSE)</f>
        <v/>
      </c>
      <c r="N4710">
        <f>IF(G4710&lt;=1,"1. Under 1 hour",IF(G4710&lt;=24,"2. 1-24 hours",IF(G4710&lt;=72,"3. 1-3 days","4. Over 3 days")))</f>
        <v/>
      </c>
      <c r="O4710">
        <f>TEXT(B4710,"YYYY-MM")</f>
        <v/>
      </c>
    </row>
    <row r="4711">
      <c r="A4711" t="inlineStr">
        <is>
          <t>LD-304709</t>
        </is>
      </c>
      <c r="B4711" t="inlineStr">
        <is>
          <t>2025-07-31 08:47:00</t>
        </is>
      </c>
      <c r="C4711" t="inlineStr">
        <is>
          <t>Paid Search</t>
        </is>
      </c>
      <c r="D4711" t="inlineStr">
        <is>
          <t>Competitive Exam Prep</t>
        </is>
      </c>
      <c r="E4711" t="inlineStr">
        <is>
          <t>North Region</t>
        </is>
      </c>
      <c r="F4711" t="inlineStr">
        <is>
          <t>Rep_01</t>
        </is>
      </c>
      <c r="G4711" t="n">
        <v>0.34</v>
      </c>
      <c r="H4711" t="inlineStr">
        <is>
          <t>Contacted</t>
        </is>
      </c>
      <c r="I4711" t="inlineStr">
        <is>
          <t>Open</t>
        </is>
      </c>
      <c r="M4711">
        <f>VLOOKUP(H4711,'Stage Order'!$A$2:$B$8,2,FALSE)</f>
        <v/>
      </c>
      <c r="N4711">
        <f>IF(G4711&lt;=1,"1. Under 1 hour",IF(G4711&lt;=24,"2. 1-24 hours",IF(G4711&lt;=72,"3. 1-3 days","4. Over 3 days")))</f>
        <v/>
      </c>
      <c r="O4711">
        <f>TEXT(B4711,"YYYY-MM")</f>
        <v/>
      </c>
    </row>
    <row r="4712">
      <c r="A4712" t="inlineStr">
        <is>
          <t>LD-304710</t>
        </is>
      </c>
      <c r="B4712" t="inlineStr">
        <is>
          <t>2026-04-03 17:43:00</t>
        </is>
      </c>
      <c r="C4712" t="inlineStr">
        <is>
          <t>Organic Search</t>
        </is>
      </c>
      <c r="D4712" t="inlineStr">
        <is>
          <t>K-12 Math</t>
        </is>
      </c>
      <c r="E4712" t="inlineStr">
        <is>
          <t>East Region</t>
        </is>
      </c>
      <c r="F4712" t="inlineStr">
        <is>
          <t>Rep_09</t>
        </is>
      </c>
      <c r="G4712" t="n">
        <v>1.76</v>
      </c>
      <c r="H4712" t="inlineStr">
        <is>
          <t>Demo Completed</t>
        </is>
      </c>
      <c r="I4712" t="inlineStr">
        <is>
          <t>Lost</t>
        </is>
      </c>
      <c r="J4712" t="inlineStr">
        <is>
          <t>Bad Timing</t>
        </is>
      </c>
      <c r="K4712" t="n">
        <v>444.75</v>
      </c>
      <c r="L4712" t="inlineStr">
        <is>
          <t>2026-04-29 20:18:27.931800</t>
        </is>
      </c>
      <c r="M4712">
        <f>VLOOKUP(H4712,'Stage Order'!$A$2:$B$8,2,FALSE)</f>
        <v/>
      </c>
      <c r="N4712">
        <f>IF(G4712&lt;=1,"1. Under 1 hour",IF(G4712&lt;=24,"2. 1-24 hours",IF(G4712&lt;=72,"3. 1-3 days","4. Over 3 days")))</f>
        <v/>
      </c>
      <c r="O4712">
        <f>TEXT(B4712,"YYYY-MM")</f>
        <v/>
      </c>
    </row>
    <row r="4713">
      <c r="A4713" t="inlineStr">
        <is>
          <t>LD-304711</t>
        </is>
      </c>
      <c r="B4713" t="inlineStr">
        <is>
          <t>2026-02-13 11:24:00</t>
        </is>
      </c>
      <c r="C4713" t="inlineStr">
        <is>
          <t>Paid Search</t>
        </is>
      </c>
      <c r="D4713" t="inlineStr">
        <is>
          <t>Study Abroad Prep</t>
        </is>
      </c>
      <c r="E4713" t="inlineStr">
        <is>
          <t>North Region</t>
        </is>
      </c>
      <c r="F4713" t="inlineStr">
        <is>
          <t>Rep_06</t>
        </is>
      </c>
      <c r="G4713" t="n">
        <v>7.45</v>
      </c>
      <c r="H4713" t="inlineStr">
        <is>
          <t>Lead</t>
        </is>
      </c>
      <c r="I4713" t="inlineStr">
        <is>
          <t>Open</t>
        </is>
      </c>
      <c r="M4713">
        <f>VLOOKUP(H4713,'Stage Order'!$A$2:$B$8,2,FALSE)</f>
        <v/>
      </c>
      <c r="N4713">
        <f>IF(G4713&lt;=1,"1. Under 1 hour",IF(G4713&lt;=24,"2. 1-24 hours",IF(G4713&lt;=72,"3. 1-3 days","4. Over 3 days")))</f>
        <v/>
      </c>
      <c r="O4713">
        <f>TEXT(B4713,"YYYY-MM")</f>
        <v/>
      </c>
    </row>
    <row r="4714">
      <c r="A4714" t="inlineStr">
        <is>
          <t>LD-304712</t>
        </is>
      </c>
      <c r="B4714" t="inlineStr">
        <is>
          <t>2025-05-20 19:11:00</t>
        </is>
      </c>
      <c r="C4714" t="inlineStr">
        <is>
          <t>Paid Search</t>
        </is>
      </c>
      <c r="D4714" t="inlineStr">
        <is>
          <t>K-12 Math</t>
        </is>
      </c>
      <c r="E4714" t="inlineStr">
        <is>
          <t>North Region</t>
        </is>
      </c>
      <c r="F4714" t="inlineStr">
        <is>
          <t>Rep_01</t>
        </is>
      </c>
      <c r="G4714" t="n">
        <v>4.99</v>
      </c>
      <c r="H4714" t="inlineStr">
        <is>
          <t>Contacted</t>
        </is>
      </c>
      <c r="I4714" t="inlineStr">
        <is>
          <t>Open</t>
        </is>
      </c>
      <c r="M4714">
        <f>VLOOKUP(H4714,'Stage Order'!$A$2:$B$8,2,FALSE)</f>
        <v/>
      </c>
      <c r="N4714">
        <f>IF(G4714&lt;=1,"1. Under 1 hour",IF(G4714&lt;=24,"2. 1-24 hours",IF(G4714&lt;=72,"3. 1-3 days","4. Over 3 days")))</f>
        <v/>
      </c>
      <c r="O4714">
        <f>TEXT(B4714,"YYYY-MM")</f>
        <v/>
      </c>
    </row>
    <row r="4715">
      <c r="A4715" t="inlineStr">
        <is>
          <t>LD-304713</t>
        </is>
      </c>
      <c r="B4715" t="inlineStr">
        <is>
          <t>2025-04-09 10:48:00</t>
        </is>
      </c>
      <c r="C4715" t="inlineStr">
        <is>
          <t>Organic Search</t>
        </is>
      </c>
      <c r="D4715" t="inlineStr">
        <is>
          <t>K-12 Math</t>
        </is>
      </c>
      <c r="E4715" t="inlineStr">
        <is>
          <t>International</t>
        </is>
      </c>
      <c r="F4715" t="inlineStr">
        <is>
          <t>Rep_05</t>
        </is>
      </c>
      <c r="G4715" t="n">
        <v>0.65</v>
      </c>
      <c r="H4715" t="inlineStr">
        <is>
          <t>Negotiation</t>
        </is>
      </c>
      <c r="I4715" t="inlineStr">
        <is>
          <t>Lost</t>
        </is>
      </c>
      <c r="J4715" t="inlineStr">
        <is>
          <t>Went With Competitor</t>
        </is>
      </c>
      <c r="K4715" t="n">
        <v>482.15</v>
      </c>
      <c r="L4715" t="inlineStr">
        <is>
          <t>2025-05-06 10:06:20.925403</t>
        </is>
      </c>
      <c r="M4715">
        <f>VLOOKUP(H4715,'Stage Order'!$A$2:$B$8,2,FALSE)</f>
        <v/>
      </c>
      <c r="N4715">
        <f>IF(G4715&lt;=1,"1. Under 1 hour",IF(G4715&lt;=24,"2. 1-24 hours",IF(G4715&lt;=72,"3. 1-3 days","4. Over 3 days")))</f>
        <v/>
      </c>
      <c r="O4715">
        <f>TEXT(B4715,"YYYY-MM")</f>
        <v/>
      </c>
    </row>
    <row r="4716">
      <c r="A4716" t="inlineStr">
        <is>
          <t>LD-304714</t>
        </is>
      </c>
      <c r="B4716" t="inlineStr">
        <is>
          <t>2025-01-06 11:20:00</t>
        </is>
      </c>
      <c r="C4716" t="inlineStr">
        <is>
          <t>Paid Search</t>
        </is>
      </c>
      <c r="D4716" t="inlineStr">
        <is>
          <t>Competitive Exam Prep</t>
        </is>
      </c>
      <c r="E4716" t="inlineStr">
        <is>
          <t>South Region</t>
        </is>
      </c>
      <c r="F4716" t="inlineStr">
        <is>
          <t>Rep_12</t>
        </is>
      </c>
      <c r="G4716" t="n">
        <v>2.37</v>
      </c>
      <c r="H4716" t="inlineStr">
        <is>
          <t>Proposal Sent</t>
        </is>
      </c>
      <c r="I4716" t="inlineStr">
        <is>
          <t>Lost</t>
        </is>
      </c>
      <c r="J4716" t="inlineStr">
        <is>
          <t>Price Objection</t>
        </is>
      </c>
      <c r="K4716" t="n">
        <v>1064.12</v>
      </c>
      <c r="L4716" t="inlineStr">
        <is>
          <t>2025-02-05 21:54:57.060844</t>
        </is>
      </c>
      <c r="M4716">
        <f>VLOOKUP(H4716,'Stage Order'!$A$2:$B$8,2,FALSE)</f>
        <v/>
      </c>
      <c r="N4716">
        <f>IF(G4716&lt;=1,"1. Under 1 hour",IF(G4716&lt;=24,"2. 1-24 hours",IF(G4716&lt;=72,"3. 1-3 days","4. Over 3 days")))</f>
        <v/>
      </c>
      <c r="O4716">
        <f>TEXT(B4716,"YYYY-MM")</f>
        <v/>
      </c>
    </row>
    <row r="4717">
      <c r="A4717" t="inlineStr">
        <is>
          <t>LD-304715</t>
        </is>
      </c>
      <c r="B4717" t="inlineStr">
        <is>
          <t>2025-10-24 14:28:00</t>
        </is>
      </c>
      <c r="C4717" t="inlineStr">
        <is>
          <t>Webinar</t>
        </is>
      </c>
      <c r="D4717" t="inlineStr">
        <is>
          <t>Study Abroad Prep</t>
        </is>
      </c>
      <c r="E4717" t="inlineStr">
        <is>
          <t>North Region</t>
        </is>
      </c>
      <c r="F4717" t="inlineStr">
        <is>
          <t>Rep_11</t>
        </is>
      </c>
      <c r="G4717" t="n">
        <v>5.18</v>
      </c>
      <c r="H4717" t="inlineStr">
        <is>
          <t>Contacted</t>
        </is>
      </c>
      <c r="I4717" t="inlineStr">
        <is>
          <t>Open</t>
        </is>
      </c>
      <c r="M4717">
        <f>VLOOKUP(H4717,'Stage Order'!$A$2:$B$8,2,FALSE)</f>
        <v/>
      </c>
      <c r="N4717">
        <f>IF(G4717&lt;=1,"1. Under 1 hour",IF(G4717&lt;=24,"2. 1-24 hours",IF(G4717&lt;=72,"3. 1-3 days","4. Over 3 days")))</f>
        <v/>
      </c>
      <c r="O4717">
        <f>TEXT(B4717,"YYYY-MM")</f>
        <v/>
      </c>
    </row>
    <row r="4718">
      <c r="A4718" t="inlineStr">
        <is>
          <t>LD-304716</t>
        </is>
      </c>
      <c r="B4718" t="inlineStr">
        <is>
          <t>2025-07-20 15:16:00</t>
        </is>
      </c>
      <c r="C4718" t="inlineStr">
        <is>
          <t>Cold Outreach</t>
        </is>
      </c>
      <c r="D4718" t="inlineStr">
        <is>
          <t>Competitive Exam Prep</t>
        </is>
      </c>
      <c r="E4718" t="inlineStr">
        <is>
          <t>South Region</t>
        </is>
      </c>
      <c r="F4718" t="inlineStr">
        <is>
          <t>Rep_02</t>
        </is>
      </c>
      <c r="G4718" t="n">
        <v>5.78</v>
      </c>
      <c r="H4718" t="inlineStr">
        <is>
          <t>Contacted</t>
        </is>
      </c>
      <c r="I4718" t="inlineStr">
        <is>
          <t>Open</t>
        </is>
      </c>
      <c r="M4718">
        <f>VLOOKUP(H4718,'Stage Order'!$A$2:$B$8,2,FALSE)</f>
        <v/>
      </c>
      <c r="N4718">
        <f>IF(G4718&lt;=1,"1. Under 1 hour",IF(G4718&lt;=24,"2. 1-24 hours",IF(G4718&lt;=72,"3. 1-3 days","4. Over 3 days")))</f>
        <v/>
      </c>
      <c r="O4718">
        <f>TEXT(B4718,"YYYY-MM")</f>
        <v/>
      </c>
    </row>
    <row r="4719">
      <c r="A4719" t="inlineStr">
        <is>
          <t>LD-304717</t>
        </is>
      </c>
      <c r="B4719" t="inlineStr">
        <is>
          <t>2025-12-11 07:29:00</t>
        </is>
      </c>
      <c r="C4719" t="inlineStr">
        <is>
          <t>Social Media</t>
        </is>
      </c>
      <c r="D4719" t="inlineStr">
        <is>
          <t>Competitive Exam Prep</t>
        </is>
      </c>
      <c r="E4719" t="inlineStr">
        <is>
          <t>South Region</t>
        </is>
      </c>
      <c r="F4719" t="inlineStr">
        <is>
          <t>Rep_02</t>
        </is>
      </c>
      <c r="G4719" t="n">
        <v>2.37</v>
      </c>
      <c r="H4719" t="inlineStr">
        <is>
          <t>Contacted</t>
        </is>
      </c>
      <c r="I4719" t="inlineStr">
        <is>
          <t>Open</t>
        </is>
      </c>
      <c r="M4719">
        <f>VLOOKUP(H4719,'Stage Order'!$A$2:$B$8,2,FALSE)</f>
        <v/>
      </c>
      <c r="N4719">
        <f>IF(G4719&lt;=1,"1. Under 1 hour",IF(G4719&lt;=24,"2. 1-24 hours",IF(G4719&lt;=72,"3. 1-3 days","4. Over 3 days")))</f>
        <v/>
      </c>
      <c r="O4719">
        <f>TEXT(B4719,"YYYY-MM")</f>
        <v/>
      </c>
    </row>
    <row r="4720">
      <c r="A4720" t="inlineStr">
        <is>
          <t>LD-304718</t>
        </is>
      </c>
      <c r="B4720" t="inlineStr">
        <is>
          <t>2025-08-26 09:16:00</t>
        </is>
      </c>
      <c r="C4720" t="inlineStr">
        <is>
          <t>Organic Search</t>
        </is>
      </c>
      <c r="D4720" t="inlineStr">
        <is>
          <t>K-12 Math</t>
        </is>
      </c>
      <c r="E4720" t="inlineStr">
        <is>
          <t>South Region</t>
        </is>
      </c>
      <c r="F4720" t="inlineStr">
        <is>
          <t>Rep_12</t>
        </is>
      </c>
      <c r="G4720" t="n">
        <v>6.96</v>
      </c>
      <c r="H4720" t="inlineStr">
        <is>
          <t>Lead</t>
        </is>
      </c>
      <c r="I4720" t="inlineStr">
        <is>
          <t>Open</t>
        </is>
      </c>
      <c r="M4720">
        <f>VLOOKUP(H4720,'Stage Order'!$A$2:$B$8,2,FALSE)</f>
        <v/>
      </c>
      <c r="N4720">
        <f>IF(G4720&lt;=1,"1. Under 1 hour",IF(G4720&lt;=24,"2. 1-24 hours",IF(G4720&lt;=72,"3. 1-3 days","4. Over 3 days")))</f>
        <v/>
      </c>
      <c r="O4720">
        <f>TEXT(B4720,"YYYY-MM")</f>
        <v/>
      </c>
    </row>
    <row r="4721">
      <c r="A4721" t="inlineStr">
        <is>
          <t>LD-304719</t>
        </is>
      </c>
      <c r="B4721" t="inlineStr">
        <is>
          <t>2025-07-19 20:37:00</t>
        </is>
      </c>
      <c r="C4721" t="inlineStr">
        <is>
          <t>Organic Search</t>
        </is>
      </c>
      <c r="D4721" t="inlineStr">
        <is>
          <t>K-12 Math</t>
        </is>
      </c>
      <c r="E4721" t="inlineStr">
        <is>
          <t>South Region</t>
        </is>
      </c>
      <c r="F4721" t="inlineStr">
        <is>
          <t>Rep_02</t>
        </is>
      </c>
      <c r="G4721" t="n">
        <v>5.53</v>
      </c>
      <c r="H4721" t="inlineStr">
        <is>
          <t>Proposal Sent</t>
        </is>
      </c>
      <c r="I4721" t="inlineStr">
        <is>
          <t>Lost</t>
        </is>
      </c>
      <c r="J4721" t="inlineStr">
        <is>
          <t>Price Objection</t>
        </is>
      </c>
      <c r="K4721" t="n">
        <v>490.49</v>
      </c>
      <c r="L4721" t="inlineStr">
        <is>
          <t>2025-08-26 10:01:36.637938</t>
        </is>
      </c>
      <c r="M4721">
        <f>VLOOKUP(H4721,'Stage Order'!$A$2:$B$8,2,FALSE)</f>
        <v/>
      </c>
      <c r="N4721">
        <f>IF(G4721&lt;=1,"1. Under 1 hour",IF(G4721&lt;=24,"2. 1-24 hours",IF(G4721&lt;=72,"3. 1-3 days","4. Over 3 days")))</f>
        <v/>
      </c>
      <c r="O4721">
        <f>TEXT(B4721,"YYYY-MM")</f>
        <v/>
      </c>
    </row>
    <row r="4722">
      <c r="A4722" t="inlineStr">
        <is>
          <t>LD-304720</t>
        </is>
      </c>
      <c r="B4722" t="inlineStr">
        <is>
          <t>2025-07-09 14:44:00</t>
        </is>
      </c>
      <c r="C4722" t="inlineStr">
        <is>
          <t>Cold Outreach</t>
        </is>
      </c>
      <c r="D4722" t="inlineStr">
        <is>
          <t>K-12 Math</t>
        </is>
      </c>
      <c r="E4722" t="inlineStr">
        <is>
          <t>South Region</t>
        </is>
      </c>
      <c r="F4722" t="inlineStr">
        <is>
          <t>Rep_07</t>
        </is>
      </c>
      <c r="G4722" t="n">
        <v>4.5</v>
      </c>
      <c r="H4722" t="inlineStr">
        <is>
          <t>Lead</t>
        </is>
      </c>
      <c r="I4722" t="inlineStr">
        <is>
          <t>Open</t>
        </is>
      </c>
      <c r="M4722">
        <f>VLOOKUP(H4722,'Stage Order'!$A$2:$B$8,2,FALSE)</f>
        <v/>
      </c>
      <c r="N4722">
        <f>IF(G4722&lt;=1,"1. Under 1 hour",IF(G4722&lt;=24,"2. 1-24 hours",IF(G4722&lt;=72,"3. 1-3 days","4. Over 3 days")))</f>
        <v/>
      </c>
      <c r="O4722">
        <f>TEXT(B4722,"YYYY-MM")</f>
        <v/>
      </c>
    </row>
    <row r="4723">
      <c r="A4723" t="inlineStr">
        <is>
          <t>LD-304721</t>
        </is>
      </c>
      <c r="B4723" t="inlineStr">
        <is>
          <t>2025-08-20 16:01:00</t>
        </is>
      </c>
      <c r="C4723" t="inlineStr">
        <is>
          <t>Paid Search</t>
        </is>
      </c>
      <c r="D4723" t="inlineStr">
        <is>
          <t>Competitive Exam Prep</t>
        </is>
      </c>
      <c r="E4723" t="inlineStr">
        <is>
          <t>East Region</t>
        </is>
      </c>
      <c r="F4723" t="inlineStr">
        <is>
          <t>Rep_04</t>
        </is>
      </c>
      <c r="G4723" t="n">
        <v>5.91</v>
      </c>
      <c r="H4723" t="inlineStr">
        <is>
          <t>Lead</t>
        </is>
      </c>
      <c r="I4723" t="inlineStr">
        <is>
          <t>Open</t>
        </is>
      </c>
      <c r="M4723">
        <f>VLOOKUP(H4723,'Stage Order'!$A$2:$B$8,2,FALSE)</f>
        <v/>
      </c>
      <c r="N4723">
        <f>IF(G4723&lt;=1,"1. Under 1 hour",IF(G4723&lt;=24,"2. 1-24 hours",IF(G4723&lt;=72,"3. 1-3 days","4. Over 3 days")))</f>
        <v/>
      </c>
      <c r="O4723">
        <f>TEXT(B4723,"YYYY-MM")</f>
        <v/>
      </c>
    </row>
    <row r="4724">
      <c r="A4724" t="inlineStr">
        <is>
          <t>LD-304722</t>
        </is>
      </c>
      <c r="B4724" t="inlineStr">
        <is>
          <t>2025-02-21 08:58:00</t>
        </is>
      </c>
      <c r="C4724" t="inlineStr">
        <is>
          <t>Referral</t>
        </is>
      </c>
      <c r="D4724" t="inlineStr">
        <is>
          <t>Coding for Kids</t>
        </is>
      </c>
      <c r="E4724" t="inlineStr">
        <is>
          <t>South Region</t>
        </is>
      </c>
      <c r="F4724" t="inlineStr">
        <is>
          <t>Rep_02</t>
        </is>
      </c>
      <c r="G4724" t="n">
        <v>0.84</v>
      </c>
      <c r="H4724" t="inlineStr">
        <is>
          <t>Contacted</t>
        </is>
      </c>
      <c r="I4724" t="inlineStr">
        <is>
          <t>Open</t>
        </is>
      </c>
      <c r="M4724">
        <f>VLOOKUP(H4724,'Stage Order'!$A$2:$B$8,2,FALSE)</f>
        <v/>
      </c>
      <c r="N4724">
        <f>IF(G4724&lt;=1,"1. Under 1 hour",IF(G4724&lt;=24,"2. 1-24 hours",IF(G4724&lt;=72,"3. 1-3 days","4. Over 3 days")))</f>
        <v/>
      </c>
      <c r="O4724">
        <f>TEXT(B4724,"YYYY-MM")</f>
        <v/>
      </c>
    </row>
    <row r="4725">
      <c r="A4725" t="inlineStr">
        <is>
          <t>LD-304723</t>
        </is>
      </c>
      <c r="B4725" t="inlineStr">
        <is>
          <t>2025-04-11 09:24:00</t>
        </is>
      </c>
      <c r="C4725" t="inlineStr">
        <is>
          <t>Paid Search</t>
        </is>
      </c>
      <c r="D4725" t="inlineStr">
        <is>
          <t>Study Abroad Prep</t>
        </is>
      </c>
      <c r="E4725" t="inlineStr">
        <is>
          <t>North Region</t>
        </is>
      </c>
      <c r="F4725" t="inlineStr">
        <is>
          <t>Rep_01</t>
        </is>
      </c>
      <c r="G4725" t="n">
        <v>6.99</v>
      </c>
      <c r="H4725" t="inlineStr">
        <is>
          <t>Contacted</t>
        </is>
      </c>
      <c r="I4725" t="inlineStr">
        <is>
          <t>Open</t>
        </is>
      </c>
      <c r="M4725">
        <f>VLOOKUP(H4725,'Stage Order'!$A$2:$B$8,2,FALSE)</f>
        <v/>
      </c>
      <c r="N4725">
        <f>IF(G4725&lt;=1,"1. Under 1 hour",IF(G4725&lt;=24,"2. 1-24 hours",IF(G4725&lt;=72,"3. 1-3 days","4. Over 3 days")))</f>
        <v/>
      </c>
      <c r="O4725">
        <f>TEXT(B4725,"YYYY-MM")</f>
        <v/>
      </c>
    </row>
    <row r="4726">
      <c r="A4726" t="inlineStr">
        <is>
          <t>LD-304724</t>
        </is>
      </c>
      <c r="B4726" t="inlineStr">
        <is>
          <t>2026-05-01 20:05:00</t>
        </is>
      </c>
      <c r="C4726" t="inlineStr">
        <is>
          <t>Webinar</t>
        </is>
      </c>
      <c r="D4726" t="inlineStr">
        <is>
          <t>K-12 Math</t>
        </is>
      </c>
      <c r="E4726" t="inlineStr">
        <is>
          <t>South Region</t>
        </is>
      </c>
      <c r="F4726" t="inlineStr">
        <is>
          <t>Rep_07</t>
        </is>
      </c>
      <c r="G4726" t="n">
        <v>38.09</v>
      </c>
      <c r="H4726" t="inlineStr">
        <is>
          <t>Contacted</t>
        </is>
      </c>
      <c r="I4726" t="inlineStr">
        <is>
          <t>Open</t>
        </is>
      </c>
      <c r="M4726">
        <f>VLOOKUP(H4726,'Stage Order'!$A$2:$B$8,2,FALSE)</f>
        <v/>
      </c>
      <c r="N4726">
        <f>IF(G4726&lt;=1,"1. Under 1 hour",IF(G4726&lt;=24,"2. 1-24 hours",IF(G4726&lt;=72,"3. 1-3 days","4. Over 3 days")))</f>
        <v/>
      </c>
      <c r="O4726">
        <f>TEXT(B4726,"YYYY-MM")</f>
        <v/>
      </c>
    </row>
    <row r="4727">
      <c r="A4727" t="inlineStr">
        <is>
          <t>LD-304725</t>
        </is>
      </c>
      <c r="B4727" t="inlineStr">
        <is>
          <t>2025-07-07 20:38:00</t>
        </is>
      </c>
      <c r="C4727" t="inlineStr">
        <is>
          <t>Organic Search</t>
        </is>
      </c>
      <c r="D4727" t="inlineStr">
        <is>
          <t>Coding for Kids</t>
        </is>
      </c>
      <c r="E4727" t="inlineStr">
        <is>
          <t>South Region</t>
        </is>
      </c>
      <c r="F4727" t="inlineStr">
        <is>
          <t>Rep_07</t>
        </is>
      </c>
      <c r="G4727" t="n">
        <v>1.94</v>
      </c>
      <c r="H4727" t="inlineStr">
        <is>
          <t>Contacted</t>
        </is>
      </c>
      <c r="I4727" t="inlineStr">
        <is>
          <t>Open</t>
        </is>
      </c>
      <c r="M4727">
        <f>VLOOKUP(H4727,'Stage Order'!$A$2:$B$8,2,FALSE)</f>
        <v/>
      </c>
      <c r="N4727">
        <f>IF(G4727&lt;=1,"1. Under 1 hour",IF(G4727&lt;=24,"2. 1-24 hours",IF(G4727&lt;=72,"3. 1-3 days","4. Over 3 days")))</f>
        <v/>
      </c>
      <c r="O4727">
        <f>TEXT(B4727,"YYYY-MM")</f>
        <v/>
      </c>
    </row>
    <row r="4728">
      <c r="A4728" t="inlineStr">
        <is>
          <t>LD-304726</t>
        </is>
      </c>
      <c r="B4728" t="inlineStr">
        <is>
          <t>2025-04-21 19:51:00</t>
        </is>
      </c>
      <c r="C4728" t="inlineStr">
        <is>
          <t>Referral</t>
        </is>
      </c>
      <c r="D4728" t="inlineStr">
        <is>
          <t>Competitive Exam Prep</t>
        </is>
      </c>
      <c r="E4728" t="inlineStr">
        <is>
          <t>International</t>
        </is>
      </c>
      <c r="F4728" t="inlineStr">
        <is>
          <t>Rep_05</t>
        </is>
      </c>
      <c r="G4728" t="n">
        <v>10.55</v>
      </c>
      <c r="H4728" t="inlineStr">
        <is>
          <t>Closed</t>
        </is>
      </c>
      <c r="I4728" t="inlineStr">
        <is>
          <t>Won</t>
        </is>
      </c>
      <c r="K4728" t="n">
        <v>993.8099999999999</v>
      </c>
      <c r="L4728" t="inlineStr">
        <is>
          <t>2025-05-24 09:46:35.584536</t>
        </is>
      </c>
      <c r="M4728">
        <f>VLOOKUP(H4728,'Stage Order'!$A$2:$B$8,2,FALSE)</f>
        <v/>
      </c>
      <c r="N4728">
        <f>IF(G4728&lt;=1,"1. Under 1 hour",IF(G4728&lt;=24,"2. 1-24 hours",IF(G4728&lt;=72,"3. 1-3 days","4. Over 3 days")))</f>
        <v/>
      </c>
      <c r="O4728">
        <f>TEXT(B4728,"YYYY-MM")</f>
        <v/>
      </c>
    </row>
    <row r="4729">
      <c r="A4729" t="inlineStr">
        <is>
          <t>LD-304727</t>
        </is>
      </c>
      <c r="B4729" t="inlineStr">
        <is>
          <t>2026-03-02 17:31:00</t>
        </is>
      </c>
      <c r="C4729" t="inlineStr">
        <is>
          <t>Partner Channel</t>
        </is>
      </c>
      <c r="D4729" t="inlineStr">
        <is>
          <t>Competitive Exam Prep</t>
        </is>
      </c>
      <c r="E4729" t="inlineStr">
        <is>
          <t>North Region</t>
        </is>
      </c>
      <c r="F4729" t="inlineStr">
        <is>
          <t>Rep_11</t>
        </is>
      </c>
      <c r="G4729" t="n">
        <v>3.46</v>
      </c>
      <c r="H4729" t="inlineStr">
        <is>
          <t>Lead</t>
        </is>
      </c>
      <c r="I4729" t="inlineStr">
        <is>
          <t>Open</t>
        </is>
      </c>
      <c r="M4729">
        <f>VLOOKUP(H4729,'Stage Order'!$A$2:$B$8,2,FALSE)</f>
        <v/>
      </c>
      <c r="N4729">
        <f>IF(G4729&lt;=1,"1. Under 1 hour",IF(G4729&lt;=24,"2. 1-24 hours",IF(G4729&lt;=72,"3. 1-3 days","4. Over 3 days")))</f>
        <v/>
      </c>
      <c r="O4729">
        <f>TEXT(B4729,"YYYY-MM")</f>
        <v/>
      </c>
    </row>
    <row r="4730">
      <c r="A4730" t="inlineStr">
        <is>
          <t>LD-304728</t>
        </is>
      </c>
      <c r="B4730" t="inlineStr">
        <is>
          <t>2026-01-19 09:57:00</t>
        </is>
      </c>
      <c r="C4730" t="inlineStr">
        <is>
          <t>Paid Search</t>
        </is>
      </c>
      <c r="D4730" t="inlineStr">
        <is>
          <t>Language Learning</t>
        </is>
      </c>
      <c r="E4730" t="inlineStr">
        <is>
          <t>North Region</t>
        </is>
      </c>
      <c r="F4730" t="inlineStr">
        <is>
          <t>Rep_01</t>
        </is>
      </c>
      <c r="G4730" t="n">
        <v>0.42</v>
      </c>
      <c r="H4730" t="inlineStr">
        <is>
          <t>Contacted</t>
        </is>
      </c>
      <c r="I4730" t="inlineStr">
        <is>
          <t>Open</t>
        </is>
      </c>
      <c r="M4730">
        <f>VLOOKUP(H4730,'Stage Order'!$A$2:$B$8,2,FALSE)</f>
        <v/>
      </c>
      <c r="N4730">
        <f>IF(G4730&lt;=1,"1. Under 1 hour",IF(G4730&lt;=24,"2. 1-24 hours",IF(G4730&lt;=72,"3. 1-3 days","4. Over 3 days")))</f>
        <v/>
      </c>
      <c r="O4730">
        <f>TEXT(B4730,"YYYY-MM")</f>
        <v/>
      </c>
    </row>
    <row r="4731">
      <c r="A4731" t="inlineStr">
        <is>
          <t>LD-304729</t>
        </is>
      </c>
      <c r="B4731" t="inlineStr">
        <is>
          <t>2025-02-13 18:08:00</t>
        </is>
      </c>
      <c r="C4731" t="inlineStr">
        <is>
          <t>Referral</t>
        </is>
      </c>
      <c r="D4731" t="inlineStr">
        <is>
          <t>Competitive Exam Prep</t>
        </is>
      </c>
      <c r="E4731" t="inlineStr">
        <is>
          <t>West Region</t>
        </is>
      </c>
      <c r="F4731" t="inlineStr">
        <is>
          <t>Rep_13</t>
        </is>
      </c>
      <c r="G4731" t="n">
        <v>0.89</v>
      </c>
      <c r="H4731" t="inlineStr">
        <is>
          <t>Closed</t>
        </is>
      </c>
      <c r="I4731" t="inlineStr">
        <is>
          <t>Won</t>
        </is>
      </c>
      <c r="K4731" t="n">
        <v>1043.44</v>
      </c>
      <c r="L4731" t="inlineStr">
        <is>
          <t>2025-03-21 20:31:08.198794</t>
        </is>
      </c>
      <c r="M4731">
        <f>VLOOKUP(H4731,'Stage Order'!$A$2:$B$8,2,FALSE)</f>
        <v/>
      </c>
      <c r="N4731">
        <f>IF(G4731&lt;=1,"1. Under 1 hour",IF(G4731&lt;=24,"2. 1-24 hours",IF(G4731&lt;=72,"3. 1-3 days","4. Over 3 days")))</f>
        <v/>
      </c>
      <c r="O4731">
        <f>TEXT(B4731,"YYYY-MM")</f>
        <v/>
      </c>
    </row>
    <row r="4732">
      <c r="A4732" t="inlineStr">
        <is>
          <t>LD-304730</t>
        </is>
      </c>
      <c r="B4732" t="inlineStr">
        <is>
          <t>2025-10-10 13:24:00</t>
        </is>
      </c>
      <c r="C4732" t="inlineStr">
        <is>
          <t>Organic Search</t>
        </is>
      </c>
      <c r="D4732" t="inlineStr">
        <is>
          <t>Language Learning</t>
        </is>
      </c>
      <c r="E4732" t="inlineStr">
        <is>
          <t>North Region</t>
        </is>
      </c>
      <c r="F4732" t="inlineStr">
        <is>
          <t>Rep_06</t>
        </is>
      </c>
      <c r="G4732" t="n">
        <v>1.29</v>
      </c>
      <c r="H4732" t="inlineStr">
        <is>
          <t>Closed</t>
        </is>
      </c>
      <c r="I4732" t="inlineStr">
        <is>
          <t>Won</t>
        </is>
      </c>
      <c r="K4732" t="n">
        <v>345.73</v>
      </c>
      <c r="L4732" t="inlineStr">
        <is>
          <t>2025-11-20 08:28:12.052812</t>
        </is>
      </c>
      <c r="M4732">
        <f>VLOOKUP(H4732,'Stage Order'!$A$2:$B$8,2,FALSE)</f>
        <v/>
      </c>
      <c r="N4732">
        <f>IF(G4732&lt;=1,"1. Under 1 hour",IF(G4732&lt;=24,"2. 1-24 hours",IF(G4732&lt;=72,"3. 1-3 days","4. Over 3 days")))</f>
        <v/>
      </c>
      <c r="O4732">
        <f>TEXT(B4732,"YYYY-MM")</f>
        <v/>
      </c>
    </row>
    <row r="4733">
      <c r="A4733" t="inlineStr">
        <is>
          <t>LD-304731</t>
        </is>
      </c>
      <c r="B4733" t="inlineStr">
        <is>
          <t>2025-10-28 09:16:00</t>
        </is>
      </c>
      <c r="C4733" t="inlineStr">
        <is>
          <t>Paid Search</t>
        </is>
      </c>
      <c r="D4733" t="inlineStr">
        <is>
          <t>Study Abroad Prep</t>
        </is>
      </c>
      <c r="E4733" t="inlineStr">
        <is>
          <t>West Region</t>
        </is>
      </c>
      <c r="F4733" t="inlineStr">
        <is>
          <t>Rep_03</t>
        </is>
      </c>
      <c r="G4733" t="n">
        <v>4.52</v>
      </c>
      <c r="H4733" t="inlineStr">
        <is>
          <t>Demo Completed</t>
        </is>
      </c>
      <c r="I4733" t="inlineStr">
        <is>
          <t>Lost</t>
        </is>
      </c>
      <c r="J4733" t="inlineStr">
        <is>
          <t>Price Objection</t>
        </is>
      </c>
      <c r="K4733" t="n">
        <v>1200.5</v>
      </c>
      <c r="L4733" t="inlineStr">
        <is>
          <t>2025-11-25 15:47:45.864264</t>
        </is>
      </c>
      <c r="M4733">
        <f>VLOOKUP(H4733,'Stage Order'!$A$2:$B$8,2,FALSE)</f>
        <v/>
      </c>
      <c r="N4733">
        <f>IF(G4733&lt;=1,"1. Under 1 hour",IF(G4733&lt;=24,"2. 1-24 hours",IF(G4733&lt;=72,"3. 1-3 days","4. Over 3 days")))</f>
        <v/>
      </c>
      <c r="O4733">
        <f>TEXT(B4733,"YYYY-MM")</f>
        <v/>
      </c>
    </row>
    <row r="4734">
      <c r="A4734" t="inlineStr">
        <is>
          <t>LD-304732</t>
        </is>
      </c>
      <c r="B4734" t="inlineStr">
        <is>
          <t>2026-02-21 16:51:00</t>
        </is>
      </c>
      <c r="C4734" t="inlineStr">
        <is>
          <t>Social Media</t>
        </is>
      </c>
      <c r="D4734" t="inlineStr">
        <is>
          <t>Competitive Exam Prep</t>
        </is>
      </c>
      <c r="E4734" t="inlineStr">
        <is>
          <t>West Region</t>
        </is>
      </c>
      <c r="F4734" t="inlineStr">
        <is>
          <t>Rep_08</t>
        </is>
      </c>
      <c r="G4734" t="n">
        <v>5.42</v>
      </c>
      <c r="H4734" t="inlineStr">
        <is>
          <t>Negotiation</t>
        </is>
      </c>
      <c r="I4734" t="inlineStr">
        <is>
          <t>Lost</t>
        </is>
      </c>
      <c r="J4734" t="inlineStr">
        <is>
          <t>No Response / Ghosted</t>
        </is>
      </c>
      <c r="K4734" t="n">
        <v>1126.27</v>
      </c>
      <c r="L4734" t="inlineStr">
        <is>
          <t>2026-04-04 12:46:19.320700</t>
        </is>
      </c>
      <c r="M4734">
        <f>VLOOKUP(H4734,'Stage Order'!$A$2:$B$8,2,FALSE)</f>
        <v/>
      </c>
      <c r="N4734">
        <f>IF(G4734&lt;=1,"1. Under 1 hour",IF(G4734&lt;=24,"2. 1-24 hours",IF(G4734&lt;=72,"3. 1-3 days","4. Over 3 days")))</f>
        <v/>
      </c>
      <c r="O4734">
        <f>TEXT(B4734,"YYYY-MM")</f>
        <v/>
      </c>
    </row>
    <row r="4735">
      <c r="A4735" t="inlineStr">
        <is>
          <t>LD-304733</t>
        </is>
      </c>
      <c r="B4735" t="inlineStr">
        <is>
          <t>2025-04-25 17:45:00</t>
        </is>
      </c>
      <c r="C4735" t="inlineStr">
        <is>
          <t>Social Media</t>
        </is>
      </c>
      <c r="D4735" t="inlineStr">
        <is>
          <t>Study Abroad Prep</t>
        </is>
      </c>
      <c r="E4735" t="inlineStr">
        <is>
          <t>South Region</t>
        </is>
      </c>
      <c r="F4735" t="inlineStr">
        <is>
          <t>Rep_02</t>
        </is>
      </c>
      <c r="G4735" t="n">
        <v>3.24</v>
      </c>
      <c r="H4735" t="inlineStr">
        <is>
          <t>Lead</t>
        </is>
      </c>
      <c r="I4735" t="inlineStr">
        <is>
          <t>Open</t>
        </is>
      </c>
      <c r="M4735">
        <f>VLOOKUP(H4735,'Stage Order'!$A$2:$B$8,2,FALSE)</f>
        <v/>
      </c>
      <c r="N4735">
        <f>IF(G4735&lt;=1,"1. Under 1 hour",IF(G4735&lt;=24,"2. 1-24 hours",IF(G4735&lt;=72,"3. 1-3 days","4. Over 3 days")))</f>
        <v/>
      </c>
      <c r="O4735">
        <f>TEXT(B4735,"YYYY-MM")</f>
        <v/>
      </c>
    </row>
    <row r="4736">
      <c r="A4736" t="inlineStr">
        <is>
          <t>LD-304734</t>
        </is>
      </c>
      <c r="B4736" t="inlineStr">
        <is>
          <t>2026-03-30 15:51:00</t>
        </is>
      </c>
      <c r="C4736" t="inlineStr">
        <is>
          <t>Organic Search</t>
        </is>
      </c>
      <c r="D4736" t="inlineStr">
        <is>
          <t>Study Abroad Prep</t>
        </is>
      </c>
      <c r="E4736" t="inlineStr">
        <is>
          <t>South Region</t>
        </is>
      </c>
      <c r="F4736" t="inlineStr">
        <is>
          <t>Rep_02</t>
        </is>
      </c>
      <c r="G4736" t="n">
        <v>0.8100000000000001</v>
      </c>
      <c r="H4736" t="inlineStr">
        <is>
          <t>Contacted</t>
        </is>
      </c>
      <c r="I4736" t="inlineStr">
        <is>
          <t>Open</t>
        </is>
      </c>
      <c r="M4736">
        <f>VLOOKUP(H4736,'Stage Order'!$A$2:$B$8,2,FALSE)</f>
        <v/>
      </c>
      <c r="N4736">
        <f>IF(G4736&lt;=1,"1. Under 1 hour",IF(G4736&lt;=24,"2. 1-24 hours",IF(G4736&lt;=72,"3. 1-3 days","4. Over 3 days")))</f>
        <v/>
      </c>
      <c r="O4736">
        <f>TEXT(B4736,"YYYY-MM")</f>
        <v/>
      </c>
    </row>
    <row r="4737">
      <c r="A4737" t="inlineStr">
        <is>
          <t>LD-304735</t>
        </is>
      </c>
      <c r="B4737" t="inlineStr">
        <is>
          <t>2025-08-31 15:01:00</t>
        </is>
      </c>
      <c r="C4737" t="inlineStr">
        <is>
          <t>Organic Search</t>
        </is>
      </c>
      <c r="D4737" t="inlineStr">
        <is>
          <t>K-12 Math</t>
        </is>
      </c>
      <c r="E4737" t="inlineStr">
        <is>
          <t>North Region</t>
        </is>
      </c>
      <c r="F4737" t="inlineStr">
        <is>
          <t>Rep_01</t>
        </is>
      </c>
      <c r="G4737" t="n">
        <v>3.39</v>
      </c>
      <c r="H4737" t="inlineStr">
        <is>
          <t>Proposal Sent</t>
        </is>
      </c>
      <c r="I4737" t="inlineStr">
        <is>
          <t>Lost</t>
        </is>
      </c>
      <c r="J4737" t="inlineStr">
        <is>
          <t>Price Objection</t>
        </is>
      </c>
      <c r="K4737" t="n">
        <v>511.13</v>
      </c>
      <c r="L4737" t="inlineStr">
        <is>
          <t>2025-09-26 07:42:50.838615</t>
        </is>
      </c>
      <c r="M4737">
        <f>VLOOKUP(H4737,'Stage Order'!$A$2:$B$8,2,FALSE)</f>
        <v/>
      </c>
      <c r="N4737">
        <f>IF(G4737&lt;=1,"1. Under 1 hour",IF(G4737&lt;=24,"2. 1-24 hours",IF(G4737&lt;=72,"3. 1-3 days","4. Over 3 days")))</f>
        <v/>
      </c>
      <c r="O4737">
        <f>TEXT(B4737,"YYYY-MM")</f>
        <v/>
      </c>
    </row>
    <row r="4738">
      <c r="A4738" t="inlineStr">
        <is>
          <t>LD-304736</t>
        </is>
      </c>
      <c r="B4738" t="inlineStr">
        <is>
          <t>2025-08-26 17:57:00</t>
        </is>
      </c>
      <c r="C4738" t="inlineStr">
        <is>
          <t>Referral</t>
        </is>
      </c>
      <c r="D4738" t="inlineStr">
        <is>
          <t>K-12 Math</t>
        </is>
      </c>
      <c r="E4738" t="inlineStr">
        <is>
          <t>West Region</t>
        </is>
      </c>
      <c r="F4738" t="inlineStr">
        <is>
          <t>Rep_08</t>
        </is>
      </c>
      <c r="G4738" t="n">
        <v>3.36</v>
      </c>
      <c r="H4738" t="inlineStr">
        <is>
          <t>Closed</t>
        </is>
      </c>
      <c r="I4738" t="inlineStr">
        <is>
          <t>Won</t>
        </is>
      </c>
      <c r="K4738" t="n">
        <v>587.27</v>
      </c>
      <c r="L4738" t="inlineStr">
        <is>
          <t>2025-09-23 07:11:23.555138</t>
        </is>
      </c>
      <c r="M4738">
        <f>VLOOKUP(H4738,'Stage Order'!$A$2:$B$8,2,FALSE)</f>
        <v/>
      </c>
      <c r="N4738">
        <f>IF(G4738&lt;=1,"1. Under 1 hour",IF(G4738&lt;=24,"2. 1-24 hours",IF(G4738&lt;=72,"3. 1-3 days","4. Over 3 days")))</f>
        <v/>
      </c>
      <c r="O4738">
        <f>TEXT(B4738,"YYYY-MM")</f>
        <v/>
      </c>
    </row>
    <row r="4739">
      <c r="A4739" t="inlineStr">
        <is>
          <t>LD-304737</t>
        </is>
      </c>
      <c r="B4739" t="inlineStr">
        <is>
          <t>2025-08-11 12:03:00</t>
        </is>
      </c>
      <c r="C4739" t="inlineStr">
        <is>
          <t>Paid Search</t>
        </is>
      </c>
      <c r="D4739" t="inlineStr">
        <is>
          <t>Language Learning</t>
        </is>
      </c>
      <c r="E4739" t="inlineStr">
        <is>
          <t>South Region</t>
        </is>
      </c>
      <c r="F4739" t="inlineStr">
        <is>
          <t>Rep_07</t>
        </is>
      </c>
      <c r="G4739" t="n">
        <v>0.41</v>
      </c>
      <c r="H4739" t="inlineStr">
        <is>
          <t>Lead</t>
        </is>
      </c>
      <c r="I4739" t="inlineStr">
        <is>
          <t>Open</t>
        </is>
      </c>
      <c r="M4739">
        <f>VLOOKUP(H4739,'Stage Order'!$A$2:$B$8,2,FALSE)</f>
        <v/>
      </c>
      <c r="N4739">
        <f>IF(G4739&lt;=1,"1. Under 1 hour",IF(G4739&lt;=24,"2. 1-24 hours",IF(G4739&lt;=72,"3. 1-3 days","4. Over 3 days")))</f>
        <v/>
      </c>
      <c r="O4739">
        <f>TEXT(B4739,"YYYY-MM")</f>
        <v/>
      </c>
    </row>
    <row r="4740">
      <c r="A4740" t="inlineStr">
        <is>
          <t>LD-304738</t>
        </is>
      </c>
      <c r="B4740" t="inlineStr">
        <is>
          <t>2026-01-02 14:52:00</t>
        </is>
      </c>
      <c r="C4740" t="inlineStr">
        <is>
          <t>Paid Search</t>
        </is>
      </c>
      <c r="D4740" t="inlineStr">
        <is>
          <t>K-12 Math</t>
        </is>
      </c>
      <c r="E4740" t="inlineStr">
        <is>
          <t>North Region</t>
        </is>
      </c>
      <c r="F4740" t="inlineStr">
        <is>
          <t>Rep_06</t>
        </is>
      </c>
      <c r="G4740" t="n">
        <v>20.7</v>
      </c>
      <c r="H4740" t="inlineStr">
        <is>
          <t>Lead</t>
        </is>
      </c>
      <c r="I4740" t="inlineStr">
        <is>
          <t>Open</t>
        </is>
      </c>
      <c r="M4740">
        <f>VLOOKUP(H4740,'Stage Order'!$A$2:$B$8,2,FALSE)</f>
        <v/>
      </c>
      <c r="N4740">
        <f>IF(G4740&lt;=1,"1. Under 1 hour",IF(G4740&lt;=24,"2. 1-24 hours",IF(G4740&lt;=72,"3. 1-3 days","4. Over 3 days")))</f>
        <v/>
      </c>
      <c r="O4740">
        <f>TEXT(B4740,"YYYY-MM")</f>
        <v/>
      </c>
    </row>
    <row r="4741">
      <c r="A4741" t="inlineStr">
        <is>
          <t>LD-304739</t>
        </is>
      </c>
      <c r="B4741" t="inlineStr">
        <is>
          <t>2025-10-13 12:35:00</t>
        </is>
      </c>
      <c r="C4741" t="inlineStr">
        <is>
          <t>Paid Search</t>
        </is>
      </c>
      <c r="D4741" t="inlineStr">
        <is>
          <t>Study Abroad Prep</t>
        </is>
      </c>
      <c r="E4741" t="inlineStr">
        <is>
          <t>South Region</t>
        </is>
      </c>
      <c r="F4741" t="inlineStr">
        <is>
          <t>Rep_02</t>
        </is>
      </c>
      <c r="G4741" t="n">
        <v>5.56</v>
      </c>
      <c r="H4741" t="inlineStr">
        <is>
          <t>Closed</t>
        </is>
      </c>
      <c r="I4741" t="inlineStr">
        <is>
          <t>Won</t>
        </is>
      </c>
      <c r="K4741" t="n">
        <v>1738.08</v>
      </c>
      <c r="L4741" t="inlineStr">
        <is>
          <t>2025-12-07 04:07:51.669388</t>
        </is>
      </c>
      <c r="M4741">
        <f>VLOOKUP(H4741,'Stage Order'!$A$2:$B$8,2,FALSE)</f>
        <v/>
      </c>
      <c r="N4741">
        <f>IF(G4741&lt;=1,"1. Under 1 hour",IF(G4741&lt;=24,"2. 1-24 hours",IF(G4741&lt;=72,"3. 1-3 days","4. Over 3 days")))</f>
        <v/>
      </c>
      <c r="O4741">
        <f>TEXT(B4741,"YYYY-MM")</f>
        <v/>
      </c>
    </row>
    <row r="4742">
      <c r="A4742" t="inlineStr">
        <is>
          <t>LD-304740</t>
        </is>
      </c>
      <c r="B4742" t="inlineStr">
        <is>
          <t>2025-05-26 08:17:00</t>
        </is>
      </c>
      <c r="C4742" t="inlineStr">
        <is>
          <t>Webinar</t>
        </is>
      </c>
      <c r="D4742" t="inlineStr">
        <is>
          <t>Competitive Exam Prep</t>
        </is>
      </c>
      <c r="E4742" t="inlineStr">
        <is>
          <t>West Region</t>
        </is>
      </c>
      <c r="F4742" t="inlineStr">
        <is>
          <t>Rep_13</t>
        </is>
      </c>
      <c r="G4742" t="n">
        <v>11.89</v>
      </c>
      <c r="H4742" t="inlineStr">
        <is>
          <t>Demo Completed</t>
        </is>
      </c>
      <c r="I4742" t="inlineStr">
        <is>
          <t>Lost</t>
        </is>
      </c>
      <c r="J4742" t="inlineStr">
        <is>
          <t>No Response / Ghosted</t>
        </is>
      </c>
      <c r="K4742" t="n">
        <v>868</v>
      </c>
      <c r="L4742" t="inlineStr">
        <is>
          <t>2025-06-20 06:54:26.432905</t>
        </is>
      </c>
      <c r="M4742">
        <f>VLOOKUP(H4742,'Stage Order'!$A$2:$B$8,2,FALSE)</f>
        <v/>
      </c>
      <c r="N4742">
        <f>IF(G4742&lt;=1,"1. Under 1 hour",IF(G4742&lt;=24,"2. 1-24 hours",IF(G4742&lt;=72,"3. 1-3 days","4. Over 3 days")))</f>
        <v/>
      </c>
      <c r="O4742">
        <f>TEXT(B4742,"YYYY-MM")</f>
        <v/>
      </c>
    </row>
    <row r="4743">
      <c r="A4743" t="inlineStr">
        <is>
          <t>LD-304741</t>
        </is>
      </c>
      <c r="B4743" t="inlineStr">
        <is>
          <t>2025-08-06 18:12:00</t>
        </is>
      </c>
      <c r="C4743" t="inlineStr">
        <is>
          <t>Social Media</t>
        </is>
      </c>
      <c r="D4743" t="inlineStr">
        <is>
          <t>K-12 Math</t>
        </is>
      </c>
      <c r="E4743" t="inlineStr">
        <is>
          <t>South Region</t>
        </is>
      </c>
      <c r="F4743" t="inlineStr">
        <is>
          <t>Rep_12</t>
        </is>
      </c>
      <c r="G4743" t="n">
        <v>2.07</v>
      </c>
      <c r="H4743" t="inlineStr">
        <is>
          <t>Lead</t>
        </is>
      </c>
      <c r="I4743" t="inlineStr">
        <is>
          <t>Open</t>
        </is>
      </c>
      <c r="M4743">
        <f>VLOOKUP(H4743,'Stage Order'!$A$2:$B$8,2,FALSE)</f>
        <v/>
      </c>
      <c r="N4743">
        <f>IF(G4743&lt;=1,"1. Under 1 hour",IF(G4743&lt;=24,"2. 1-24 hours",IF(G4743&lt;=72,"3. 1-3 days","4. Over 3 days")))</f>
        <v/>
      </c>
      <c r="O4743">
        <f>TEXT(B4743,"YYYY-MM")</f>
        <v/>
      </c>
    </row>
    <row r="4744">
      <c r="A4744" t="inlineStr">
        <is>
          <t>LD-304742</t>
        </is>
      </c>
      <c r="B4744" t="inlineStr">
        <is>
          <t>2025-02-11 19:06:00</t>
        </is>
      </c>
      <c r="C4744" t="inlineStr">
        <is>
          <t>Organic Search</t>
        </is>
      </c>
      <c r="D4744" t="inlineStr">
        <is>
          <t>K-12 Math</t>
        </is>
      </c>
      <c r="E4744" t="inlineStr">
        <is>
          <t>North Region</t>
        </is>
      </c>
      <c r="F4744" t="inlineStr">
        <is>
          <t>Rep_01</t>
        </is>
      </c>
      <c r="G4744" t="n">
        <v>13.58</v>
      </c>
      <c r="H4744" t="inlineStr">
        <is>
          <t>Contacted</t>
        </is>
      </c>
      <c r="I4744" t="inlineStr">
        <is>
          <t>Open</t>
        </is>
      </c>
      <c r="M4744">
        <f>VLOOKUP(H4744,'Stage Order'!$A$2:$B$8,2,FALSE)</f>
        <v/>
      </c>
      <c r="N4744">
        <f>IF(G4744&lt;=1,"1. Under 1 hour",IF(G4744&lt;=24,"2. 1-24 hours",IF(G4744&lt;=72,"3. 1-3 days","4. Over 3 days")))</f>
        <v/>
      </c>
      <c r="O4744">
        <f>TEXT(B4744,"YYYY-MM")</f>
        <v/>
      </c>
    </row>
    <row r="4745">
      <c r="A4745" t="inlineStr">
        <is>
          <t>LD-304743</t>
        </is>
      </c>
      <c r="B4745" t="inlineStr">
        <is>
          <t>2026-01-16 12:48:00</t>
        </is>
      </c>
      <c r="C4745" t="inlineStr">
        <is>
          <t>Organic Search</t>
        </is>
      </c>
      <c r="D4745" t="inlineStr">
        <is>
          <t>Competitive Exam Prep</t>
        </is>
      </c>
      <c r="E4745" t="inlineStr">
        <is>
          <t>North Region</t>
        </is>
      </c>
      <c r="F4745" t="inlineStr">
        <is>
          <t>Rep_11</t>
        </is>
      </c>
      <c r="G4745" t="n">
        <v>1.53</v>
      </c>
      <c r="H4745" t="inlineStr">
        <is>
          <t>Closed</t>
        </is>
      </c>
      <c r="I4745" t="inlineStr">
        <is>
          <t>Won</t>
        </is>
      </c>
      <c r="K4745" t="n">
        <v>1062.59</v>
      </c>
      <c r="L4745" t="inlineStr">
        <is>
          <t>2026-03-02 10:34:14.946436</t>
        </is>
      </c>
      <c r="M4745">
        <f>VLOOKUP(H4745,'Stage Order'!$A$2:$B$8,2,FALSE)</f>
        <v/>
      </c>
      <c r="N4745">
        <f>IF(G4745&lt;=1,"1. Under 1 hour",IF(G4745&lt;=24,"2. 1-24 hours",IF(G4745&lt;=72,"3. 1-3 days","4. Over 3 days")))</f>
        <v/>
      </c>
      <c r="O4745">
        <f>TEXT(B4745,"YYYY-MM")</f>
        <v/>
      </c>
    </row>
    <row r="4746">
      <c r="A4746" t="inlineStr">
        <is>
          <t>LD-304744</t>
        </is>
      </c>
      <c r="B4746" t="inlineStr">
        <is>
          <t>2025-07-18 18:20:00</t>
        </is>
      </c>
      <c r="C4746" t="inlineStr">
        <is>
          <t>Referral</t>
        </is>
      </c>
      <c r="D4746" t="inlineStr">
        <is>
          <t>Study Abroad Prep</t>
        </is>
      </c>
      <c r="E4746" t="inlineStr">
        <is>
          <t>North Region</t>
        </is>
      </c>
      <c r="F4746" t="inlineStr">
        <is>
          <t>Rep_11</t>
        </is>
      </c>
      <c r="G4746" t="n">
        <v>2.11</v>
      </c>
      <c r="H4746" t="inlineStr">
        <is>
          <t>Contacted</t>
        </is>
      </c>
      <c r="I4746" t="inlineStr">
        <is>
          <t>Open</t>
        </is>
      </c>
      <c r="M4746">
        <f>VLOOKUP(H4746,'Stage Order'!$A$2:$B$8,2,FALSE)</f>
        <v/>
      </c>
      <c r="N4746">
        <f>IF(G4746&lt;=1,"1. Under 1 hour",IF(G4746&lt;=24,"2. 1-24 hours",IF(G4746&lt;=72,"3. 1-3 days","4. Over 3 days")))</f>
        <v/>
      </c>
      <c r="O4746">
        <f>TEXT(B4746,"YYYY-MM")</f>
        <v/>
      </c>
    </row>
    <row r="4747">
      <c r="A4747" t="inlineStr">
        <is>
          <t>LD-304745</t>
        </is>
      </c>
      <c r="B4747" t="inlineStr">
        <is>
          <t>2026-05-24 14:20:00</t>
        </is>
      </c>
      <c r="C4747" t="inlineStr">
        <is>
          <t>Organic Search</t>
        </is>
      </c>
      <c r="D4747" t="inlineStr">
        <is>
          <t>Competitive Exam Prep</t>
        </is>
      </c>
      <c r="E4747" t="inlineStr">
        <is>
          <t>West Region</t>
        </is>
      </c>
      <c r="F4747" t="inlineStr">
        <is>
          <t>Rep_13</t>
        </is>
      </c>
      <c r="G4747" t="n">
        <v>1.43</v>
      </c>
      <c r="H4747" t="inlineStr">
        <is>
          <t>Proposal Sent</t>
        </is>
      </c>
      <c r="I4747" t="inlineStr">
        <is>
          <t>Lost</t>
        </is>
      </c>
      <c r="J4747" t="inlineStr">
        <is>
          <t>Budget Not Approved</t>
        </is>
      </c>
      <c r="K4747" t="n">
        <v>886.26</v>
      </c>
      <c r="L4747" t="inlineStr">
        <is>
          <t>2026-06-19 22:52:44.634866</t>
        </is>
      </c>
      <c r="M4747">
        <f>VLOOKUP(H4747,'Stage Order'!$A$2:$B$8,2,FALSE)</f>
        <v/>
      </c>
      <c r="N4747">
        <f>IF(G4747&lt;=1,"1. Under 1 hour",IF(G4747&lt;=24,"2. 1-24 hours",IF(G4747&lt;=72,"3. 1-3 days","4. Over 3 days")))</f>
        <v/>
      </c>
      <c r="O4747">
        <f>TEXT(B4747,"YYYY-MM")</f>
        <v/>
      </c>
    </row>
    <row r="4748">
      <c r="A4748" t="inlineStr">
        <is>
          <t>LD-304746</t>
        </is>
      </c>
      <c r="B4748" t="inlineStr">
        <is>
          <t>2025-08-18 19:46:00</t>
        </is>
      </c>
      <c r="C4748" t="inlineStr">
        <is>
          <t>Cold Outreach</t>
        </is>
      </c>
      <c r="D4748" t="inlineStr">
        <is>
          <t>Competitive Exam Prep</t>
        </is>
      </c>
      <c r="E4748" t="inlineStr">
        <is>
          <t>North Region</t>
        </is>
      </c>
      <c r="F4748" t="inlineStr">
        <is>
          <t>Rep_01</t>
        </is>
      </c>
      <c r="G4748" t="n">
        <v>2.92</v>
      </c>
      <c r="H4748" t="inlineStr">
        <is>
          <t>Demo Completed</t>
        </is>
      </c>
      <c r="I4748" t="inlineStr">
        <is>
          <t>Lost</t>
        </is>
      </c>
      <c r="J4748" t="inlineStr">
        <is>
          <t>Price Objection</t>
        </is>
      </c>
      <c r="K4748" t="n">
        <v>1075.57</v>
      </c>
      <c r="L4748" t="inlineStr">
        <is>
          <t>2025-09-10 12:12:52.285185</t>
        </is>
      </c>
      <c r="M4748">
        <f>VLOOKUP(H4748,'Stage Order'!$A$2:$B$8,2,FALSE)</f>
        <v/>
      </c>
      <c r="N4748">
        <f>IF(G4748&lt;=1,"1. Under 1 hour",IF(G4748&lt;=24,"2. 1-24 hours",IF(G4748&lt;=72,"3. 1-3 days","4. Over 3 days")))</f>
        <v/>
      </c>
      <c r="O4748">
        <f>TEXT(B4748,"YYYY-MM")</f>
        <v/>
      </c>
    </row>
    <row r="4749">
      <c r="A4749" t="inlineStr">
        <is>
          <t>LD-304747</t>
        </is>
      </c>
      <c r="B4749" t="inlineStr">
        <is>
          <t>2026-04-10 19:36:00</t>
        </is>
      </c>
      <c r="C4749" t="inlineStr">
        <is>
          <t>Referral</t>
        </is>
      </c>
      <c r="D4749" t="inlineStr">
        <is>
          <t>Language Learning</t>
        </is>
      </c>
      <c r="E4749" t="inlineStr">
        <is>
          <t>West Region</t>
        </is>
      </c>
      <c r="F4749" t="inlineStr">
        <is>
          <t>Rep_03</t>
        </is>
      </c>
      <c r="G4749" t="n">
        <v>0.9</v>
      </c>
      <c r="H4749" t="inlineStr">
        <is>
          <t>Negotiation</t>
        </is>
      </c>
      <c r="I4749" t="inlineStr">
        <is>
          <t>Lost</t>
        </is>
      </c>
      <c r="J4749" t="inlineStr">
        <is>
          <t>Price Objection</t>
        </is>
      </c>
      <c r="K4749" t="n">
        <v>375.04</v>
      </c>
      <c r="L4749" t="inlineStr">
        <is>
          <t>2026-05-22 16:55:37.853745</t>
        </is>
      </c>
      <c r="M4749">
        <f>VLOOKUP(H4749,'Stage Order'!$A$2:$B$8,2,FALSE)</f>
        <v/>
      </c>
      <c r="N4749">
        <f>IF(G4749&lt;=1,"1. Under 1 hour",IF(G4749&lt;=24,"2. 1-24 hours",IF(G4749&lt;=72,"3. 1-3 days","4. Over 3 days")))</f>
        <v/>
      </c>
      <c r="O4749">
        <f>TEXT(B4749,"YYYY-MM")</f>
        <v/>
      </c>
    </row>
    <row r="4750">
      <c r="A4750" t="inlineStr">
        <is>
          <t>LD-304748</t>
        </is>
      </c>
      <c r="B4750" t="inlineStr">
        <is>
          <t>2026-03-04 13:46:00</t>
        </is>
      </c>
      <c r="C4750" t="inlineStr">
        <is>
          <t>Referral</t>
        </is>
      </c>
      <c r="D4750" t="inlineStr">
        <is>
          <t>Competitive Exam Prep</t>
        </is>
      </c>
      <c r="E4750" t="inlineStr">
        <is>
          <t>International</t>
        </is>
      </c>
      <c r="F4750" t="inlineStr">
        <is>
          <t>Rep_10</t>
        </is>
      </c>
      <c r="G4750" t="n">
        <v>6.58</v>
      </c>
      <c r="H4750" t="inlineStr">
        <is>
          <t>Closed</t>
        </is>
      </c>
      <c r="I4750" t="inlineStr">
        <is>
          <t>Won</t>
        </is>
      </c>
      <c r="K4750" t="n">
        <v>1057.65</v>
      </c>
      <c r="L4750" t="inlineStr">
        <is>
          <t>2026-03-30 06:46:57.261211</t>
        </is>
      </c>
      <c r="M4750">
        <f>VLOOKUP(H4750,'Stage Order'!$A$2:$B$8,2,FALSE)</f>
        <v/>
      </c>
      <c r="N4750">
        <f>IF(G4750&lt;=1,"1. Under 1 hour",IF(G4750&lt;=24,"2. 1-24 hours",IF(G4750&lt;=72,"3. 1-3 days","4. Over 3 days")))</f>
        <v/>
      </c>
      <c r="O4750">
        <f>TEXT(B4750,"YYYY-MM")</f>
        <v/>
      </c>
    </row>
    <row r="4751">
      <c r="A4751" t="inlineStr">
        <is>
          <t>LD-304749</t>
        </is>
      </c>
      <c r="B4751" t="inlineStr">
        <is>
          <t>2025-05-18 07:14:00</t>
        </is>
      </c>
      <c r="C4751" t="inlineStr">
        <is>
          <t>Organic Search</t>
        </is>
      </c>
      <c r="D4751" t="inlineStr">
        <is>
          <t>K-12 Math</t>
        </is>
      </c>
      <c r="E4751" t="inlineStr">
        <is>
          <t>East Region</t>
        </is>
      </c>
      <c r="F4751" t="inlineStr">
        <is>
          <t>Rep_04</t>
        </is>
      </c>
      <c r="G4751" t="n">
        <v>2.89</v>
      </c>
      <c r="H4751" t="inlineStr">
        <is>
          <t>Contacted</t>
        </is>
      </c>
      <c r="I4751" t="inlineStr">
        <is>
          <t>Open</t>
        </is>
      </c>
      <c r="M4751">
        <f>VLOOKUP(H4751,'Stage Order'!$A$2:$B$8,2,FALSE)</f>
        <v/>
      </c>
      <c r="N4751">
        <f>IF(G4751&lt;=1,"1. Under 1 hour",IF(G4751&lt;=24,"2. 1-24 hours",IF(G4751&lt;=72,"3. 1-3 days","4. Over 3 days")))</f>
        <v/>
      </c>
      <c r="O4751">
        <f>TEXT(B4751,"YYYY-MM")</f>
        <v/>
      </c>
    </row>
    <row r="4752">
      <c r="A4752" t="inlineStr">
        <is>
          <t>LD-304750</t>
        </is>
      </c>
      <c r="B4752" t="inlineStr">
        <is>
          <t>2026-04-03 10:34:00</t>
        </is>
      </c>
      <c r="C4752" t="inlineStr">
        <is>
          <t>Referral</t>
        </is>
      </c>
      <c r="D4752" t="inlineStr">
        <is>
          <t>Coding for Kids</t>
        </is>
      </c>
      <c r="E4752" t="inlineStr">
        <is>
          <t>South Region</t>
        </is>
      </c>
      <c r="F4752" t="inlineStr">
        <is>
          <t>Rep_02</t>
        </is>
      </c>
      <c r="G4752" t="n">
        <v>7.97</v>
      </c>
      <c r="H4752" t="inlineStr">
        <is>
          <t>Contacted</t>
        </is>
      </c>
      <c r="I4752" t="inlineStr">
        <is>
          <t>Open</t>
        </is>
      </c>
      <c r="M4752">
        <f>VLOOKUP(H4752,'Stage Order'!$A$2:$B$8,2,FALSE)</f>
        <v/>
      </c>
      <c r="N4752">
        <f>IF(G4752&lt;=1,"1. Under 1 hour",IF(G4752&lt;=24,"2. 1-24 hours",IF(G4752&lt;=72,"3. 1-3 days","4. Over 3 days")))</f>
        <v/>
      </c>
      <c r="O4752">
        <f>TEXT(B4752,"YYYY-MM")</f>
        <v/>
      </c>
    </row>
    <row r="4753">
      <c r="A4753" t="inlineStr">
        <is>
          <t>LD-304751</t>
        </is>
      </c>
      <c r="B4753" t="inlineStr">
        <is>
          <t>2026-02-27 16:00:00</t>
        </is>
      </c>
      <c r="C4753" t="inlineStr">
        <is>
          <t>Social Media</t>
        </is>
      </c>
      <c r="D4753" t="inlineStr">
        <is>
          <t>K-12 Math</t>
        </is>
      </c>
      <c r="E4753" t="inlineStr">
        <is>
          <t>West Region</t>
        </is>
      </c>
      <c r="F4753" t="inlineStr">
        <is>
          <t>Rep_08</t>
        </is>
      </c>
      <c r="G4753" t="n">
        <v>0.78</v>
      </c>
      <c r="H4753" t="inlineStr">
        <is>
          <t>Contacted</t>
        </is>
      </c>
      <c r="I4753" t="inlineStr">
        <is>
          <t>Open</t>
        </is>
      </c>
      <c r="M4753">
        <f>VLOOKUP(H4753,'Stage Order'!$A$2:$B$8,2,FALSE)</f>
        <v/>
      </c>
      <c r="N4753">
        <f>IF(G4753&lt;=1,"1. Under 1 hour",IF(G4753&lt;=24,"2. 1-24 hours",IF(G4753&lt;=72,"3. 1-3 days","4. Over 3 days")))</f>
        <v/>
      </c>
      <c r="O4753">
        <f>TEXT(B4753,"YYYY-MM")</f>
        <v/>
      </c>
    </row>
    <row r="4754">
      <c r="A4754" t="inlineStr">
        <is>
          <t>LD-304752</t>
        </is>
      </c>
      <c r="B4754" t="inlineStr">
        <is>
          <t>2025-01-10 19:45:00</t>
        </is>
      </c>
      <c r="C4754" t="inlineStr">
        <is>
          <t>Webinar</t>
        </is>
      </c>
      <c r="D4754" t="inlineStr">
        <is>
          <t>Competitive Exam Prep</t>
        </is>
      </c>
      <c r="E4754" t="inlineStr">
        <is>
          <t>East Region</t>
        </is>
      </c>
      <c r="F4754" t="inlineStr">
        <is>
          <t>Rep_04</t>
        </is>
      </c>
      <c r="G4754" t="n">
        <v>0.87</v>
      </c>
      <c r="H4754" t="inlineStr">
        <is>
          <t>Lead</t>
        </is>
      </c>
      <c r="I4754" t="inlineStr">
        <is>
          <t>Open</t>
        </is>
      </c>
      <c r="M4754">
        <f>VLOOKUP(H4754,'Stage Order'!$A$2:$B$8,2,FALSE)</f>
        <v/>
      </c>
      <c r="N4754">
        <f>IF(G4754&lt;=1,"1. Under 1 hour",IF(G4754&lt;=24,"2. 1-24 hours",IF(G4754&lt;=72,"3. 1-3 days","4. Over 3 days")))</f>
        <v/>
      </c>
      <c r="O4754">
        <f>TEXT(B4754,"YYYY-MM")</f>
        <v/>
      </c>
    </row>
    <row r="4755">
      <c r="A4755" t="inlineStr">
        <is>
          <t>LD-304753</t>
        </is>
      </c>
      <c r="B4755" t="inlineStr">
        <is>
          <t>2026-06-23 14:20:00</t>
        </is>
      </c>
      <c r="C4755" t="inlineStr">
        <is>
          <t>Paid Search</t>
        </is>
      </c>
      <c r="D4755" t="inlineStr">
        <is>
          <t>K-12 Math</t>
        </is>
      </c>
      <c r="E4755" t="inlineStr">
        <is>
          <t>South Region</t>
        </is>
      </c>
      <c r="F4755" t="inlineStr">
        <is>
          <t>Rep_07</t>
        </is>
      </c>
      <c r="G4755" t="n">
        <v>2.28</v>
      </c>
      <c r="H4755" t="inlineStr">
        <is>
          <t>Demo Completed</t>
        </is>
      </c>
      <c r="I4755" t="inlineStr">
        <is>
          <t>Lost</t>
        </is>
      </c>
      <c r="J4755" t="inlineStr">
        <is>
          <t>Went With Competitor</t>
        </is>
      </c>
      <c r="K4755" t="n">
        <v>488.07</v>
      </c>
      <c r="L4755" t="inlineStr">
        <is>
          <t>2026-08-07 04:57:43.706511</t>
        </is>
      </c>
      <c r="M4755">
        <f>VLOOKUP(H4755,'Stage Order'!$A$2:$B$8,2,FALSE)</f>
        <v/>
      </c>
      <c r="N4755">
        <f>IF(G4755&lt;=1,"1. Under 1 hour",IF(G4755&lt;=24,"2. 1-24 hours",IF(G4755&lt;=72,"3. 1-3 days","4. Over 3 days")))</f>
        <v/>
      </c>
      <c r="O4755">
        <f>TEXT(B4755,"YYYY-MM")</f>
        <v/>
      </c>
    </row>
    <row r="4756">
      <c r="A4756" t="inlineStr">
        <is>
          <t>LD-304754</t>
        </is>
      </c>
      <c r="B4756" t="inlineStr">
        <is>
          <t>2026-05-15 19:40:00</t>
        </is>
      </c>
      <c r="C4756" t="inlineStr">
        <is>
          <t>Paid Search</t>
        </is>
      </c>
      <c r="D4756" t="inlineStr">
        <is>
          <t>K-12 Math</t>
        </is>
      </c>
      <c r="E4756" t="inlineStr">
        <is>
          <t>North Region</t>
        </is>
      </c>
      <c r="F4756" t="inlineStr">
        <is>
          <t>Rep_06</t>
        </is>
      </c>
      <c r="G4756" t="n">
        <v>4.75</v>
      </c>
      <c r="H4756" t="inlineStr">
        <is>
          <t>Lead</t>
        </is>
      </c>
      <c r="I4756" t="inlineStr">
        <is>
          <t>Open</t>
        </is>
      </c>
      <c r="M4756">
        <f>VLOOKUP(H4756,'Stage Order'!$A$2:$B$8,2,FALSE)</f>
        <v/>
      </c>
      <c r="N4756">
        <f>IF(G4756&lt;=1,"1. Under 1 hour",IF(G4756&lt;=24,"2. 1-24 hours",IF(G4756&lt;=72,"3. 1-3 days","4. Over 3 days")))</f>
        <v/>
      </c>
      <c r="O4756">
        <f>TEXT(B4756,"YYYY-MM")</f>
        <v/>
      </c>
    </row>
    <row r="4757">
      <c r="A4757" t="inlineStr">
        <is>
          <t>LD-304755</t>
        </is>
      </c>
      <c r="B4757" t="inlineStr">
        <is>
          <t>2025-05-27 16:02:00</t>
        </is>
      </c>
      <c r="C4757" t="inlineStr">
        <is>
          <t>Paid Search</t>
        </is>
      </c>
      <c r="D4757" t="inlineStr">
        <is>
          <t>Coding for Kids</t>
        </is>
      </c>
      <c r="E4757" t="inlineStr">
        <is>
          <t>International</t>
        </is>
      </c>
      <c r="F4757" t="inlineStr">
        <is>
          <t>Rep_05</t>
        </is>
      </c>
      <c r="G4757" t="n">
        <v>10.12</v>
      </c>
      <c r="H4757" t="inlineStr">
        <is>
          <t>Contacted</t>
        </is>
      </c>
      <c r="I4757" t="inlineStr">
        <is>
          <t>Open</t>
        </is>
      </c>
      <c r="M4757">
        <f>VLOOKUP(H4757,'Stage Order'!$A$2:$B$8,2,FALSE)</f>
        <v/>
      </c>
      <c r="N4757">
        <f>IF(G4757&lt;=1,"1. Under 1 hour",IF(G4757&lt;=24,"2. 1-24 hours",IF(G4757&lt;=72,"3. 1-3 days","4. Over 3 days")))</f>
        <v/>
      </c>
      <c r="O4757">
        <f>TEXT(B4757,"YYYY-MM")</f>
        <v/>
      </c>
    </row>
    <row r="4758">
      <c r="A4758" t="inlineStr">
        <is>
          <t>LD-304756</t>
        </is>
      </c>
      <c r="B4758" t="inlineStr">
        <is>
          <t>2026-06-11 12:50:00</t>
        </is>
      </c>
      <c r="C4758" t="inlineStr">
        <is>
          <t>Organic Search</t>
        </is>
      </c>
      <c r="D4758" t="inlineStr">
        <is>
          <t>K-12 Math</t>
        </is>
      </c>
      <c r="E4758" t="inlineStr">
        <is>
          <t>South Region</t>
        </is>
      </c>
      <c r="F4758" t="inlineStr">
        <is>
          <t>Rep_07</t>
        </is>
      </c>
      <c r="G4758" t="n">
        <v>7.04</v>
      </c>
      <c r="H4758" t="inlineStr">
        <is>
          <t>Contacted</t>
        </is>
      </c>
      <c r="I4758" t="inlineStr">
        <is>
          <t>Open</t>
        </is>
      </c>
      <c r="M4758">
        <f>VLOOKUP(H4758,'Stage Order'!$A$2:$B$8,2,FALSE)</f>
        <v/>
      </c>
      <c r="N4758">
        <f>IF(G4758&lt;=1,"1. Under 1 hour",IF(G4758&lt;=24,"2. 1-24 hours",IF(G4758&lt;=72,"3. 1-3 days","4. Over 3 days")))</f>
        <v/>
      </c>
      <c r="O4758">
        <f>TEXT(B4758,"YYYY-MM")</f>
        <v/>
      </c>
    </row>
    <row r="4759">
      <c r="A4759" t="inlineStr">
        <is>
          <t>LD-304757</t>
        </is>
      </c>
      <c r="B4759" t="inlineStr">
        <is>
          <t>2025-07-13 17:17:00</t>
        </is>
      </c>
      <c r="C4759" t="inlineStr">
        <is>
          <t>Webinar</t>
        </is>
      </c>
      <c r="D4759" t="inlineStr">
        <is>
          <t>Competitive Exam Prep</t>
        </is>
      </c>
      <c r="E4759" t="inlineStr">
        <is>
          <t>South Region</t>
        </is>
      </c>
      <c r="F4759" t="inlineStr">
        <is>
          <t>Rep_02</t>
        </is>
      </c>
      <c r="G4759" t="n">
        <v>0.87</v>
      </c>
      <c r="H4759" t="inlineStr">
        <is>
          <t>Closed</t>
        </is>
      </c>
      <c r="I4759" t="inlineStr">
        <is>
          <t>Won</t>
        </is>
      </c>
      <c r="K4759" t="n">
        <v>1116.19</v>
      </c>
      <c r="L4759" t="inlineStr">
        <is>
          <t>2025-08-19 05:48:09.924625</t>
        </is>
      </c>
      <c r="M4759">
        <f>VLOOKUP(H4759,'Stage Order'!$A$2:$B$8,2,FALSE)</f>
        <v/>
      </c>
      <c r="N4759">
        <f>IF(G4759&lt;=1,"1. Under 1 hour",IF(G4759&lt;=24,"2. 1-24 hours",IF(G4759&lt;=72,"3. 1-3 days","4. Over 3 days")))</f>
        <v/>
      </c>
      <c r="O4759">
        <f>TEXT(B4759,"YYYY-MM")</f>
        <v/>
      </c>
    </row>
    <row r="4760">
      <c r="A4760" t="inlineStr">
        <is>
          <t>LD-304758</t>
        </is>
      </c>
      <c r="B4760" t="inlineStr">
        <is>
          <t>2026-01-01 14:30:00</t>
        </is>
      </c>
      <c r="C4760" t="inlineStr">
        <is>
          <t>Partner Channel</t>
        </is>
      </c>
      <c r="D4760" t="inlineStr">
        <is>
          <t>K-12 Math</t>
        </is>
      </c>
      <c r="E4760" t="inlineStr">
        <is>
          <t>International</t>
        </is>
      </c>
      <c r="F4760" t="inlineStr">
        <is>
          <t>Rep_05</t>
        </is>
      </c>
      <c r="G4760" t="n">
        <v>2.17</v>
      </c>
      <c r="H4760" t="inlineStr">
        <is>
          <t>Closed</t>
        </is>
      </c>
      <c r="I4760" t="inlineStr">
        <is>
          <t>Won</t>
        </is>
      </c>
      <c r="K4760" t="n">
        <v>482.26</v>
      </c>
      <c r="L4760" t="inlineStr">
        <is>
          <t>2026-02-04 06:57:44.918326</t>
        </is>
      </c>
      <c r="M4760">
        <f>VLOOKUP(H4760,'Stage Order'!$A$2:$B$8,2,FALSE)</f>
        <v/>
      </c>
      <c r="N4760">
        <f>IF(G4760&lt;=1,"1. Under 1 hour",IF(G4760&lt;=24,"2. 1-24 hours",IF(G4760&lt;=72,"3. 1-3 days","4. Over 3 days")))</f>
        <v/>
      </c>
      <c r="O4760">
        <f>TEXT(B4760,"YYYY-MM")</f>
        <v/>
      </c>
    </row>
    <row r="4761">
      <c r="A4761" t="inlineStr">
        <is>
          <t>LD-304759</t>
        </is>
      </c>
      <c r="B4761" t="inlineStr">
        <is>
          <t>2025-08-08 15:19:00</t>
        </is>
      </c>
      <c r="C4761" t="inlineStr">
        <is>
          <t>Partner Channel</t>
        </is>
      </c>
      <c r="D4761" t="inlineStr">
        <is>
          <t>Competitive Exam Prep</t>
        </is>
      </c>
      <c r="E4761" t="inlineStr">
        <is>
          <t>East Region</t>
        </is>
      </c>
      <c r="F4761" t="inlineStr">
        <is>
          <t>Rep_04</t>
        </is>
      </c>
      <c r="G4761" t="n">
        <v>3.88</v>
      </c>
      <c r="H4761" t="inlineStr">
        <is>
          <t>Proposal Sent</t>
        </is>
      </c>
      <c r="I4761" t="inlineStr">
        <is>
          <t>Lost</t>
        </is>
      </c>
      <c r="J4761" t="inlineStr">
        <is>
          <t>No Response / Ghosted</t>
        </is>
      </c>
      <c r="K4761" t="n">
        <v>889.29</v>
      </c>
      <c r="L4761" t="inlineStr">
        <is>
          <t>2025-09-04 09:33:12.398368</t>
        </is>
      </c>
      <c r="M4761">
        <f>VLOOKUP(H4761,'Stage Order'!$A$2:$B$8,2,FALSE)</f>
        <v/>
      </c>
      <c r="N4761">
        <f>IF(G4761&lt;=1,"1. Under 1 hour",IF(G4761&lt;=24,"2. 1-24 hours",IF(G4761&lt;=72,"3. 1-3 days","4. Over 3 days")))</f>
        <v/>
      </c>
      <c r="O4761">
        <f>TEXT(B4761,"YYYY-MM")</f>
        <v/>
      </c>
    </row>
    <row r="4762">
      <c r="A4762" t="inlineStr">
        <is>
          <t>LD-304760</t>
        </is>
      </c>
      <c r="B4762" t="inlineStr">
        <is>
          <t>2025-05-08 14:49:00</t>
        </is>
      </c>
      <c r="C4762" t="inlineStr">
        <is>
          <t>Paid Search</t>
        </is>
      </c>
      <c r="D4762" t="inlineStr">
        <is>
          <t>K-12 Math</t>
        </is>
      </c>
      <c r="E4762" t="inlineStr">
        <is>
          <t>North Region</t>
        </is>
      </c>
      <c r="F4762" t="inlineStr">
        <is>
          <t>Rep_06</t>
        </is>
      </c>
      <c r="G4762" t="n">
        <v>4.02</v>
      </c>
      <c r="H4762" t="inlineStr">
        <is>
          <t>Lead</t>
        </is>
      </c>
      <c r="I4762" t="inlineStr">
        <is>
          <t>Open</t>
        </is>
      </c>
      <c r="M4762">
        <f>VLOOKUP(H4762,'Stage Order'!$A$2:$B$8,2,FALSE)</f>
        <v/>
      </c>
      <c r="N4762">
        <f>IF(G4762&lt;=1,"1. Under 1 hour",IF(G4762&lt;=24,"2. 1-24 hours",IF(G4762&lt;=72,"3. 1-3 days","4. Over 3 days")))</f>
        <v/>
      </c>
      <c r="O4762">
        <f>TEXT(B4762,"YYYY-MM")</f>
        <v/>
      </c>
    </row>
    <row r="4763">
      <c r="A4763" t="inlineStr">
        <is>
          <t>LD-304761</t>
        </is>
      </c>
      <c r="B4763" t="inlineStr">
        <is>
          <t>2025-05-16 08:17:00</t>
        </is>
      </c>
      <c r="C4763" t="inlineStr">
        <is>
          <t>Organic Search</t>
        </is>
      </c>
      <c r="D4763" t="inlineStr">
        <is>
          <t>Competitive Exam Prep</t>
        </is>
      </c>
      <c r="E4763" t="inlineStr">
        <is>
          <t>South Region</t>
        </is>
      </c>
      <c r="F4763" t="inlineStr">
        <is>
          <t>Rep_02</t>
        </is>
      </c>
      <c r="G4763" t="n">
        <v>4.17</v>
      </c>
      <c r="H4763" t="inlineStr">
        <is>
          <t>Contacted</t>
        </is>
      </c>
      <c r="I4763" t="inlineStr">
        <is>
          <t>Open</t>
        </is>
      </c>
      <c r="M4763">
        <f>VLOOKUP(H4763,'Stage Order'!$A$2:$B$8,2,FALSE)</f>
        <v/>
      </c>
      <c r="N4763">
        <f>IF(G4763&lt;=1,"1. Under 1 hour",IF(G4763&lt;=24,"2. 1-24 hours",IF(G4763&lt;=72,"3. 1-3 days","4. Over 3 days")))</f>
        <v/>
      </c>
      <c r="O4763">
        <f>TEXT(B4763,"YYYY-MM")</f>
        <v/>
      </c>
    </row>
    <row r="4764">
      <c r="A4764" t="inlineStr">
        <is>
          <t>LD-304762</t>
        </is>
      </c>
      <c r="B4764" t="inlineStr">
        <is>
          <t>2025-10-29 19:28:00</t>
        </is>
      </c>
      <c r="C4764" t="inlineStr">
        <is>
          <t>Social Media</t>
        </is>
      </c>
      <c r="D4764" t="inlineStr">
        <is>
          <t>K-12 Math</t>
        </is>
      </c>
      <c r="E4764" t="inlineStr">
        <is>
          <t>North Region</t>
        </is>
      </c>
      <c r="F4764" t="inlineStr">
        <is>
          <t>Rep_06</t>
        </is>
      </c>
      <c r="G4764" t="n">
        <v>2.71</v>
      </c>
      <c r="H4764" t="inlineStr">
        <is>
          <t>Lead</t>
        </is>
      </c>
      <c r="I4764" t="inlineStr">
        <is>
          <t>Open</t>
        </is>
      </c>
      <c r="M4764">
        <f>VLOOKUP(H4764,'Stage Order'!$A$2:$B$8,2,FALSE)</f>
        <v/>
      </c>
      <c r="N4764">
        <f>IF(G4764&lt;=1,"1. Under 1 hour",IF(G4764&lt;=24,"2. 1-24 hours",IF(G4764&lt;=72,"3. 1-3 days","4. Over 3 days")))</f>
        <v/>
      </c>
      <c r="O4764">
        <f>TEXT(B4764,"YYYY-MM")</f>
        <v/>
      </c>
    </row>
    <row r="4765">
      <c r="A4765" t="inlineStr">
        <is>
          <t>LD-304763</t>
        </is>
      </c>
      <c r="B4765" t="inlineStr">
        <is>
          <t>2026-03-24 15:16:00</t>
        </is>
      </c>
      <c r="C4765" t="inlineStr">
        <is>
          <t>Referral</t>
        </is>
      </c>
      <c r="D4765" t="inlineStr">
        <is>
          <t>Competitive Exam Prep</t>
        </is>
      </c>
      <c r="E4765" t="inlineStr">
        <is>
          <t>South Region</t>
        </is>
      </c>
      <c r="F4765" t="inlineStr">
        <is>
          <t>Rep_12</t>
        </is>
      </c>
      <c r="G4765" t="n">
        <v>2.16</v>
      </c>
      <c r="H4765" t="inlineStr">
        <is>
          <t>Closed</t>
        </is>
      </c>
      <c r="I4765" t="inlineStr">
        <is>
          <t>Won</t>
        </is>
      </c>
      <c r="K4765" t="n">
        <v>1059.78</v>
      </c>
      <c r="L4765" t="inlineStr">
        <is>
          <t>2026-05-08 11:57:19.887912</t>
        </is>
      </c>
      <c r="M4765">
        <f>VLOOKUP(H4765,'Stage Order'!$A$2:$B$8,2,FALSE)</f>
        <v/>
      </c>
      <c r="N4765">
        <f>IF(G4765&lt;=1,"1. Under 1 hour",IF(G4765&lt;=24,"2. 1-24 hours",IF(G4765&lt;=72,"3. 1-3 days","4. Over 3 days")))</f>
        <v/>
      </c>
      <c r="O4765">
        <f>TEXT(B4765,"YYYY-MM")</f>
        <v/>
      </c>
    </row>
    <row r="4766">
      <c r="A4766" t="inlineStr">
        <is>
          <t>LD-304764</t>
        </is>
      </c>
      <c r="B4766" t="inlineStr">
        <is>
          <t>2025-12-22 19:04:00</t>
        </is>
      </c>
      <c r="C4766" t="inlineStr">
        <is>
          <t>Social Media</t>
        </is>
      </c>
      <c r="D4766" t="inlineStr">
        <is>
          <t>K-12 Math</t>
        </is>
      </c>
      <c r="E4766" t="inlineStr">
        <is>
          <t>West Region</t>
        </is>
      </c>
      <c r="F4766" t="inlineStr">
        <is>
          <t>Rep_08</t>
        </is>
      </c>
      <c r="G4766" t="n">
        <v>4.29</v>
      </c>
      <c r="H4766" t="inlineStr">
        <is>
          <t>Closed</t>
        </is>
      </c>
      <c r="I4766" t="inlineStr">
        <is>
          <t>Won</t>
        </is>
      </c>
      <c r="K4766" t="n">
        <v>532.3200000000001</v>
      </c>
      <c r="L4766" t="inlineStr">
        <is>
          <t>2026-01-31 11:57:49.582154</t>
        </is>
      </c>
      <c r="M4766">
        <f>VLOOKUP(H4766,'Stage Order'!$A$2:$B$8,2,FALSE)</f>
        <v/>
      </c>
      <c r="N4766">
        <f>IF(G4766&lt;=1,"1. Under 1 hour",IF(G4766&lt;=24,"2. 1-24 hours",IF(G4766&lt;=72,"3. 1-3 days","4. Over 3 days")))</f>
        <v/>
      </c>
      <c r="O4766">
        <f>TEXT(B4766,"YYYY-MM")</f>
        <v/>
      </c>
    </row>
    <row r="4767">
      <c r="A4767" t="inlineStr">
        <is>
          <t>LD-304765</t>
        </is>
      </c>
      <c r="B4767" t="inlineStr">
        <is>
          <t>2025-09-12 09:34:00</t>
        </is>
      </c>
      <c r="C4767" t="inlineStr">
        <is>
          <t>Social Media</t>
        </is>
      </c>
      <c r="D4767" t="inlineStr">
        <is>
          <t>Coding for Kids</t>
        </is>
      </c>
      <c r="E4767" t="inlineStr">
        <is>
          <t>International</t>
        </is>
      </c>
      <c r="F4767" t="inlineStr">
        <is>
          <t>Rep_10</t>
        </is>
      </c>
      <c r="G4767" t="n">
        <v>1.32</v>
      </c>
      <c r="H4767" t="inlineStr">
        <is>
          <t>Lead</t>
        </is>
      </c>
      <c r="I4767" t="inlineStr">
        <is>
          <t>Open</t>
        </is>
      </c>
      <c r="M4767">
        <f>VLOOKUP(H4767,'Stage Order'!$A$2:$B$8,2,FALSE)</f>
        <v/>
      </c>
      <c r="N4767">
        <f>IF(G4767&lt;=1,"1. Under 1 hour",IF(G4767&lt;=24,"2. 1-24 hours",IF(G4767&lt;=72,"3. 1-3 days","4. Over 3 days")))</f>
        <v/>
      </c>
      <c r="O4767">
        <f>TEXT(B4767,"YYYY-MM")</f>
        <v/>
      </c>
    </row>
    <row r="4768">
      <c r="A4768" t="inlineStr">
        <is>
          <t>LD-304766</t>
        </is>
      </c>
      <c r="B4768" t="inlineStr">
        <is>
          <t>2025-07-14 09:39:00</t>
        </is>
      </c>
      <c r="C4768" t="inlineStr">
        <is>
          <t>Paid Search</t>
        </is>
      </c>
      <c r="D4768" t="inlineStr">
        <is>
          <t>Coding for Kids</t>
        </is>
      </c>
      <c r="E4768" t="inlineStr">
        <is>
          <t>International</t>
        </is>
      </c>
      <c r="F4768" t="inlineStr">
        <is>
          <t>Rep_15</t>
        </is>
      </c>
      <c r="G4768" t="n">
        <v>2.33</v>
      </c>
      <c r="H4768" t="inlineStr">
        <is>
          <t>Negotiation</t>
        </is>
      </c>
      <c r="I4768" t="inlineStr">
        <is>
          <t>Lost</t>
        </is>
      </c>
      <c r="J4768" t="inlineStr">
        <is>
          <t>Price Objection</t>
        </is>
      </c>
      <c r="K4768" t="n">
        <v>747.71</v>
      </c>
      <c r="L4768" t="inlineStr">
        <is>
          <t>2025-08-25 09:12:46.757303</t>
        </is>
      </c>
      <c r="M4768">
        <f>VLOOKUP(H4768,'Stage Order'!$A$2:$B$8,2,FALSE)</f>
        <v/>
      </c>
      <c r="N4768">
        <f>IF(G4768&lt;=1,"1. Under 1 hour",IF(G4768&lt;=24,"2. 1-24 hours",IF(G4768&lt;=72,"3. 1-3 days","4. Over 3 days")))</f>
        <v/>
      </c>
      <c r="O4768">
        <f>TEXT(B4768,"YYYY-MM")</f>
        <v/>
      </c>
    </row>
    <row r="4769">
      <c r="A4769" t="inlineStr">
        <is>
          <t>LD-304767</t>
        </is>
      </c>
      <c r="B4769" t="inlineStr">
        <is>
          <t>2025-09-07 17:07:00</t>
        </is>
      </c>
      <c r="C4769" t="inlineStr">
        <is>
          <t>Webinar</t>
        </is>
      </c>
      <c r="D4769" t="inlineStr">
        <is>
          <t>K-12 Math</t>
        </is>
      </c>
      <c r="E4769" t="inlineStr">
        <is>
          <t>West Region</t>
        </is>
      </c>
      <c r="F4769" t="inlineStr">
        <is>
          <t>Rep_03</t>
        </is>
      </c>
      <c r="G4769" t="n">
        <v>2.43</v>
      </c>
      <c r="H4769" t="inlineStr">
        <is>
          <t>Contacted</t>
        </is>
      </c>
      <c r="I4769" t="inlineStr">
        <is>
          <t>Open</t>
        </is>
      </c>
      <c r="M4769">
        <f>VLOOKUP(H4769,'Stage Order'!$A$2:$B$8,2,FALSE)</f>
        <v/>
      </c>
      <c r="N4769">
        <f>IF(G4769&lt;=1,"1. Under 1 hour",IF(G4769&lt;=24,"2. 1-24 hours",IF(G4769&lt;=72,"3. 1-3 days","4. Over 3 days")))</f>
        <v/>
      </c>
      <c r="O4769">
        <f>TEXT(B4769,"YYYY-MM")</f>
        <v/>
      </c>
    </row>
    <row r="4770">
      <c r="A4770" t="inlineStr">
        <is>
          <t>LD-304768</t>
        </is>
      </c>
      <c r="B4770" t="inlineStr">
        <is>
          <t>2025-08-24 17:04:00</t>
        </is>
      </c>
      <c r="C4770" t="inlineStr">
        <is>
          <t>Referral</t>
        </is>
      </c>
      <c r="D4770" t="inlineStr">
        <is>
          <t>Coding for Kids</t>
        </is>
      </c>
      <c r="E4770" t="inlineStr">
        <is>
          <t>West Region</t>
        </is>
      </c>
      <c r="F4770" t="inlineStr">
        <is>
          <t>Rep_08</t>
        </is>
      </c>
      <c r="G4770" t="n">
        <v>5.65</v>
      </c>
      <c r="H4770" t="inlineStr">
        <is>
          <t>Demo Completed</t>
        </is>
      </c>
      <c r="I4770" t="inlineStr">
        <is>
          <t>Lost</t>
        </is>
      </c>
      <c r="J4770" t="inlineStr">
        <is>
          <t>No Response / Ghosted</t>
        </is>
      </c>
      <c r="K4770" t="n">
        <v>579.9299999999999</v>
      </c>
      <c r="L4770" t="inlineStr">
        <is>
          <t>2025-09-27 23:18:57.302413</t>
        </is>
      </c>
      <c r="M4770">
        <f>VLOOKUP(H4770,'Stage Order'!$A$2:$B$8,2,FALSE)</f>
        <v/>
      </c>
      <c r="N4770">
        <f>IF(G4770&lt;=1,"1. Under 1 hour",IF(G4770&lt;=24,"2. 1-24 hours",IF(G4770&lt;=72,"3. 1-3 days","4. Over 3 days")))</f>
        <v/>
      </c>
      <c r="O4770">
        <f>TEXT(B4770,"YYYY-MM")</f>
        <v/>
      </c>
    </row>
    <row r="4771">
      <c r="A4771" t="inlineStr">
        <is>
          <t>LD-304769</t>
        </is>
      </c>
      <c r="B4771" t="inlineStr">
        <is>
          <t>2025-02-03 19:59:00</t>
        </is>
      </c>
      <c r="C4771" t="inlineStr">
        <is>
          <t>Partner Channel</t>
        </is>
      </c>
      <c r="D4771" t="inlineStr">
        <is>
          <t>Study Abroad Prep</t>
        </is>
      </c>
      <c r="E4771" t="inlineStr">
        <is>
          <t>West Region</t>
        </is>
      </c>
      <c r="F4771" t="inlineStr">
        <is>
          <t>Rep_03</t>
        </is>
      </c>
      <c r="G4771" t="n">
        <v>3.18</v>
      </c>
      <c r="H4771" t="inlineStr">
        <is>
          <t>Proposal Sent</t>
        </is>
      </c>
      <c r="I4771" t="inlineStr">
        <is>
          <t>Lost</t>
        </is>
      </c>
      <c r="J4771" t="inlineStr">
        <is>
          <t>Price Objection</t>
        </is>
      </c>
      <c r="K4771" t="n">
        <v>1501.29</v>
      </c>
      <c r="L4771" t="inlineStr">
        <is>
          <t>2025-03-27 11:23:50.814630</t>
        </is>
      </c>
      <c r="M4771">
        <f>VLOOKUP(H4771,'Stage Order'!$A$2:$B$8,2,FALSE)</f>
        <v/>
      </c>
      <c r="N4771">
        <f>IF(G4771&lt;=1,"1. Under 1 hour",IF(G4771&lt;=24,"2. 1-24 hours",IF(G4771&lt;=72,"3. 1-3 days","4. Over 3 days")))</f>
        <v/>
      </c>
      <c r="O4771">
        <f>TEXT(B4771,"YYYY-MM")</f>
        <v/>
      </c>
    </row>
    <row r="4772">
      <c r="A4772" t="inlineStr">
        <is>
          <t>LD-304770</t>
        </is>
      </c>
      <c r="B4772" t="inlineStr">
        <is>
          <t>2025-01-17 20:24:00</t>
        </is>
      </c>
      <c r="C4772" t="inlineStr">
        <is>
          <t>Paid Search</t>
        </is>
      </c>
      <c r="D4772" t="inlineStr">
        <is>
          <t>Competitive Exam Prep</t>
        </is>
      </c>
      <c r="E4772" t="inlineStr">
        <is>
          <t>West Region</t>
        </is>
      </c>
      <c r="F4772" t="inlineStr">
        <is>
          <t>Rep_13</t>
        </is>
      </c>
      <c r="G4772" t="n">
        <v>5.98</v>
      </c>
      <c r="H4772" t="inlineStr">
        <is>
          <t>Lead</t>
        </is>
      </c>
      <c r="I4772" t="inlineStr">
        <is>
          <t>Open</t>
        </is>
      </c>
      <c r="M4772">
        <f>VLOOKUP(H4772,'Stage Order'!$A$2:$B$8,2,FALSE)</f>
        <v/>
      </c>
      <c r="N4772">
        <f>IF(G4772&lt;=1,"1. Under 1 hour",IF(G4772&lt;=24,"2. 1-24 hours",IF(G4772&lt;=72,"3. 1-3 days","4. Over 3 days")))</f>
        <v/>
      </c>
      <c r="O4772">
        <f>TEXT(B4772,"YYYY-MM")</f>
        <v/>
      </c>
    </row>
    <row r="4773">
      <c r="A4773" t="inlineStr">
        <is>
          <t>LD-304771</t>
        </is>
      </c>
      <c r="B4773" t="inlineStr">
        <is>
          <t>2025-06-20 11:49:00</t>
        </is>
      </c>
      <c r="C4773" t="inlineStr">
        <is>
          <t>Social Media</t>
        </is>
      </c>
      <c r="D4773" t="inlineStr">
        <is>
          <t>K-12 Math</t>
        </is>
      </c>
      <c r="E4773" t="inlineStr">
        <is>
          <t>North Region</t>
        </is>
      </c>
      <c r="F4773" t="inlineStr">
        <is>
          <t>Rep_06</t>
        </is>
      </c>
      <c r="G4773" t="n">
        <v>4.62</v>
      </c>
      <c r="H4773" t="inlineStr">
        <is>
          <t>Lead</t>
        </is>
      </c>
      <c r="I4773" t="inlineStr">
        <is>
          <t>Open</t>
        </is>
      </c>
      <c r="M4773">
        <f>VLOOKUP(H4773,'Stage Order'!$A$2:$B$8,2,FALSE)</f>
        <v/>
      </c>
      <c r="N4773">
        <f>IF(G4773&lt;=1,"1. Under 1 hour",IF(G4773&lt;=24,"2. 1-24 hours",IF(G4773&lt;=72,"3. 1-3 days","4. Over 3 days")))</f>
        <v/>
      </c>
      <c r="O4773">
        <f>TEXT(B4773,"YYYY-MM")</f>
        <v/>
      </c>
    </row>
    <row r="4774">
      <c r="A4774" t="inlineStr">
        <is>
          <t>LD-304772</t>
        </is>
      </c>
      <c r="B4774" t="inlineStr">
        <is>
          <t>2025-07-01 12:09:00</t>
        </is>
      </c>
      <c r="C4774" t="inlineStr">
        <is>
          <t>Organic Search</t>
        </is>
      </c>
      <c r="D4774" t="inlineStr">
        <is>
          <t>Study Abroad Prep</t>
        </is>
      </c>
      <c r="E4774" t="inlineStr">
        <is>
          <t>East Region</t>
        </is>
      </c>
      <c r="F4774" t="inlineStr">
        <is>
          <t>Rep_04</t>
        </is>
      </c>
      <c r="G4774" t="n">
        <v>0.9</v>
      </c>
      <c r="H4774" t="inlineStr">
        <is>
          <t>Lead</t>
        </is>
      </c>
      <c r="I4774" t="inlineStr">
        <is>
          <t>Open</t>
        </is>
      </c>
      <c r="M4774">
        <f>VLOOKUP(H4774,'Stage Order'!$A$2:$B$8,2,FALSE)</f>
        <v/>
      </c>
      <c r="N4774">
        <f>IF(G4774&lt;=1,"1. Under 1 hour",IF(G4774&lt;=24,"2. 1-24 hours",IF(G4774&lt;=72,"3. 1-3 days","4. Over 3 days")))</f>
        <v/>
      </c>
      <c r="O4774">
        <f>TEXT(B4774,"YYYY-MM")</f>
        <v/>
      </c>
    </row>
    <row r="4775">
      <c r="A4775" t="inlineStr">
        <is>
          <t>LD-304773</t>
        </is>
      </c>
      <c r="B4775" t="inlineStr">
        <is>
          <t>2026-01-03 14:24:00</t>
        </is>
      </c>
      <c r="C4775" t="inlineStr">
        <is>
          <t>Cold Outreach</t>
        </is>
      </c>
      <c r="D4775" t="inlineStr">
        <is>
          <t>Coding for Kids</t>
        </is>
      </c>
      <c r="E4775" t="inlineStr">
        <is>
          <t>West Region</t>
        </is>
      </c>
      <c r="F4775" t="inlineStr">
        <is>
          <t>Rep_08</t>
        </is>
      </c>
      <c r="G4775" t="n">
        <v>0.88</v>
      </c>
      <c r="H4775" t="inlineStr">
        <is>
          <t>Contacted</t>
        </is>
      </c>
      <c r="I4775" t="inlineStr">
        <is>
          <t>Open</t>
        </is>
      </c>
      <c r="M4775">
        <f>VLOOKUP(H4775,'Stage Order'!$A$2:$B$8,2,FALSE)</f>
        <v/>
      </c>
      <c r="N4775">
        <f>IF(G4775&lt;=1,"1. Under 1 hour",IF(G4775&lt;=24,"2. 1-24 hours",IF(G4775&lt;=72,"3. 1-3 days","4. Over 3 days")))</f>
        <v/>
      </c>
      <c r="O4775">
        <f>TEXT(B4775,"YYYY-MM")</f>
        <v/>
      </c>
    </row>
    <row r="4776">
      <c r="A4776" t="inlineStr">
        <is>
          <t>LD-304774</t>
        </is>
      </c>
      <c r="B4776" t="inlineStr">
        <is>
          <t>2025-08-22 17:35:00</t>
        </is>
      </c>
      <c r="C4776" t="inlineStr">
        <is>
          <t>Partner Channel</t>
        </is>
      </c>
      <c r="D4776" t="inlineStr">
        <is>
          <t>Coding for Kids</t>
        </is>
      </c>
      <c r="E4776" t="inlineStr">
        <is>
          <t>South Region</t>
        </is>
      </c>
      <c r="F4776" t="inlineStr">
        <is>
          <t>Rep_02</t>
        </is>
      </c>
      <c r="G4776" t="n">
        <v>5.19</v>
      </c>
      <c r="H4776" t="inlineStr">
        <is>
          <t>Contacted</t>
        </is>
      </c>
      <c r="I4776" t="inlineStr">
        <is>
          <t>Open</t>
        </is>
      </c>
      <c r="M4776">
        <f>VLOOKUP(H4776,'Stage Order'!$A$2:$B$8,2,FALSE)</f>
        <v/>
      </c>
      <c r="N4776">
        <f>IF(G4776&lt;=1,"1. Under 1 hour",IF(G4776&lt;=24,"2. 1-24 hours",IF(G4776&lt;=72,"3. 1-3 days","4. Over 3 days")))</f>
        <v/>
      </c>
      <c r="O4776">
        <f>TEXT(B4776,"YYYY-MM")</f>
        <v/>
      </c>
    </row>
    <row r="4777">
      <c r="A4777" t="inlineStr">
        <is>
          <t>LD-304775</t>
        </is>
      </c>
      <c r="B4777" t="inlineStr">
        <is>
          <t>2025-01-06 15:53:00</t>
        </is>
      </c>
      <c r="C4777" t="inlineStr">
        <is>
          <t>Organic Search</t>
        </is>
      </c>
      <c r="D4777" t="inlineStr">
        <is>
          <t>Competitive Exam Prep</t>
        </is>
      </c>
      <c r="E4777" t="inlineStr">
        <is>
          <t>West Region</t>
        </is>
      </c>
      <c r="F4777" t="inlineStr">
        <is>
          <t>Rep_08</t>
        </is>
      </c>
      <c r="G4777" t="n">
        <v>28.64</v>
      </c>
      <c r="H4777" t="inlineStr">
        <is>
          <t>Contacted</t>
        </is>
      </c>
      <c r="I4777" t="inlineStr">
        <is>
          <t>Open</t>
        </is>
      </c>
      <c r="M4777">
        <f>VLOOKUP(H4777,'Stage Order'!$A$2:$B$8,2,FALSE)</f>
        <v/>
      </c>
      <c r="N4777">
        <f>IF(G4777&lt;=1,"1. Under 1 hour",IF(G4777&lt;=24,"2. 1-24 hours",IF(G4777&lt;=72,"3. 1-3 days","4. Over 3 days")))</f>
        <v/>
      </c>
      <c r="O4777">
        <f>TEXT(B4777,"YYYY-MM")</f>
        <v/>
      </c>
    </row>
    <row r="4778">
      <c r="A4778" t="inlineStr">
        <is>
          <t>LD-304776</t>
        </is>
      </c>
      <c r="B4778" t="inlineStr">
        <is>
          <t>2026-05-22 12:49:00</t>
        </is>
      </c>
      <c r="C4778" t="inlineStr">
        <is>
          <t>Organic Search</t>
        </is>
      </c>
      <c r="D4778" t="inlineStr">
        <is>
          <t>Language Learning</t>
        </is>
      </c>
      <c r="E4778" t="inlineStr">
        <is>
          <t>West Region</t>
        </is>
      </c>
      <c r="F4778" t="inlineStr">
        <is>
          <t>Rep_13</t>
        </is>
      </c>
      <c r="G4778" t="n">
        <v>2.05</v>
      </c>
      <c r="H4778" t="inlineStr">
        <is>
          <t>Proposal Sent</t>
        </is>
      </c>
      <c r="I4778" t="inlineStr">
        <is>
          <t>Lost</t>
        </is>
      </c>
      <c r="J4778" t="inlineStr">
        <is>
          <t>Bad Timing</t>
        </is>
      </c>
      <c r="K4778" t="n">
        <v>354.89</v>
      </c>
      <c r="L4778" t="inlineStr">
        <is>
          <t>2026-07-05 21:04:50.130518</t>
        </is>
      </c>
      <c r="M4778">
        <f>VLOOKUP(H4778,'Stage Order'!$A$2:$B$8,2,FALSE)</f>
        <v/>
      </c>
      <c r="N4778">
        <f>IF(G4778&lt;=1,"1. Under 1 hour",IF(G4778&lt;=24,"2. 1-24 hours",IF(G4778&lt;=72,"3. 1-3 days","4. Over 3 days")))</f>
        <v/>
      </c>
      <c r="O4778">
        <f>TEXT(B4778,"YYYY-MM")</f>
        <v/>
      </c>
    </row>
    <row r="4779">
      <c r="A4779" t="inlineStr">
        <is>
          <t>LD-304777</t>
        </is>
      </c>
      <c r="B4779" t="inlineStr">
        <is>
          <t>2026-04-29 20:00:00</t>
        </is>
      </c>
      <c r="C4779" t="inlineStr">
        <is>
          <t>Referral</t>
        </is>
      </c>
      <c r="D4779" t="inlineStr">
        <is>
          <t>Language Learning</t>
        </is>
      </c>
      <c r="E4779" t="inlineStr">
        <is>
          <t>North Region</t>
        </is>
      </c>
      <c r="F4779" t="inlineStr">
        <is>
          <t>Rep_06</t>
        </is>
      </c>
      <c r="G4779" t="n">
        <v>3.16</v>
      </c>
      <c r="H4779" t="inlineStr">
        <is>
          <t>Contacted</t>
        </is>
      </c>
      <c r="I4779" t="inlineStr">
        <is>
          <t>Open</t>
        </is>
      </c>
      <c r="M4779">
        <f>VLOOKUP(H4779,'Stage Order'!$A$2:$B$8,2,FALSE)</f>
        <v/>
      </c>
      <c r="N4779">
        <f>IF(G4779&lt;=1,"1. Under 1 hour",IF(G4779&lt;=24,"2. 1-24 hours",IF(G4779&lt;=72,"3. 1-3 days","4. Over 3 days")))</f>
        <v/>
      </c>
      <c r="O4779">
        <f>TEXT(B4779,"YYYY-MM")</f>
        <v/>
      </c>
    </row>
    <row r="4780">
      <c r="A4780" t="inlineStr">
        <is>
          <t>LD-304778</t>
        </is>
      </c>
      <c r="B4780" t="inlineStr">
        <is>
          <t>2025-12-30 12:43:00</t>
        </is>
      </c>
      <c r="C4780" t="inlineStr">
        <is>
          <t>Social Media</t>
        </is>
      </c>
      <c r="D4780" t="inlineStr">
        <is>
          <t>K-12 Math</t>
        </is>
      </c>
      <c r="E4780" t="inlineStr">
        <is>
          <t>East Region</t>
        </is>
      </c>
      <c r="F4780" t="inlineStr">
        <is>
          <t>Rep_14</t>
        </is>
      </c>
      <c r="G4780" t="n">
        <v>8.58</v>
      </c>
      <c r="H4780" t="inlineStr">
        <is>
          <t>Contacted</t>
        </is>
      </c>
      <c r="I4780" t="inlineStr">
        <is>
          <t>Open</t>
        </is>
      </c>
      <c r="M4780">
        <f>VLOOKUP(H4780,'Stage Order'!$A$2:$B$8,2,FALSE)</f>
        <v/>
      </c>
      <c r="N4780">
        <f>IF(G4780&lt;=1,"1. Under 1 hour",IF(G4780&lt;=24,"2. 1-24 hours",IF(G4780&lt;=72,"3. 1-3 days","4. Over 3 days")))</f>
        <v/>
      </c>
      <c r="O4780">
        <f>TEXT(B4780,"YYYY-MM")</f>
        <v/>
      </c>
    </row>
    <row r="4781">
      <c r="A4781" t="inlineStr">
        <is>
          <t>LD-304779</t>
        </is>
      </c>
      <c r="B4781" t="inlineStr">
        <is>
          <t>2025-12-02 09:18:00</t>
        </is>
      </c>
      <c r="C4781" t="inlineStr">
        <is>
          <t>Organic Search</t>
        </is>
      </c>
      <c r="D4781" t="inlineStr">
        <is>
          <t>Competitive Exam Prep</t>
        </is>
      </c>
      <c r="E4781" t="inlineStr">
        <is>
          <t>South Region</t>
        </is>
      </c>
      <c r="F4781" t="inlineStr">
        <is>
          <t>Rep_07</t>
        </is>
      </c>
      <c r="G4781" t="n">
        <v>6.29</v>
      </c>
      <c r="H4781" t="inlineStr">
        <is>
          <t>Lead</t>
        </is>
      </c>
      <c r="I4781" t="inlineStr">
        <is>
          <t>Open</t>
        </is>
      </c>
      <c r="M4781">
        <f>VLOOKUP(H4781,'Stage Order'!$A$2:$B$8,2,FALSE)</f>
        <v/>
      </c>
      <c r="N4781">
        <f>IF(G4781&lt;=1,"1. Under 1 hour",IF(G4781&lt;=24,"2. 1-24 hours",IF(G4781&lt;=72,"3. 1-3 days","4. Over 3 days")))</f>
        <v/>
      </c>
      <c r="O4781">
        <f>TEXT(B4781,"YYYY-MM")</f>
        <v/>
      </c>
    </row>
    <row r="4782">
      <c r="A4782" t="inlineStr">
        <is>
          <t>LD-304780</t>
        </is>
      </c>
      <c r="B4782" t="inlineStr">
        <is>
          <t>2025-10-10 16:45:00</t>
        </is>
      </c>
      <c r="C4782" t="inlineStr">
        <is>
          <t>Paid Search</t>
        </is>
      </c>
      <c r="D4782" t="inlineStr">
        <is>
          <t>K-12 Math</t>
        </is>
      </c>
      <c r="E4782" t="inlineStr">
        <is>
          <t>South Region</t>
        </is>
      </c>
      <c r="F4782" t="inlineStr">
        <is>
          <t>Rep_02</t>
        </is>
      </c>
      <c r="G4782" t="n">
        <v>0.61</v>
      </c>
      <c r="H4782" t="inlineStr">
        <is>
          <t>Proposal Sent</t>
        </is>
      </c>
      <c r="I4782" t="inlineStr">
        <is>
          <t>Lost</t>
        </is>
      </c>
      <c r="J4782" t="inlineStr">
        <is>
          <t>No Response / Ghosted</t>
        </is>
      </c>
      <c r="K4782" t="n">
        <v>582.41</v>
      </c>
      <c r="L4782" t="inlineStr">
        <is>
          <t>2025-11-26 15:40:02.110951</t>
        </is>
      </c>
      <c r="M4782">
        <f>VLOOKUP(H4782,'Stage Order'!$A$2:$B$8,2,FALSE)</f>
        <v/>
      </c>
      <c r="N4782">
        <f>IF(G4782&lt;=1,"1. Under 1 hour",IF(G4782&lt;=24,"2. 1-24 hours",IF(G4782&lt;=72,"3. 1-3 days","4. Over 3 days")))</f>
        <v/>
      </c>
      <c r="O4782">
        <f>TEXT(B4782,"YYYY-MM")</f>
        <v/>
      </c>
    </row>
    <row r="4783">
      <c r="A4783" t="inlineStr">
        <is>
          <t>LD-304781</t>
        </is>
      </c>
      <c r="B4783" t="inlineStr">
        <is>
          <t>2025-10-17 20:06:00</t>
        </is>
      </c>
      <c r="C4783" t="inlineStr">
        <is>
          <t>Paid Search</t>
        </is>
      </c>
      <c r="D4783" t="inlineStr">
        <is>
          <t>K-12 Math</t>
        </is>
      </c>
      <c r="E4783" t="inlineStr">
        <is>
          <t>East Region</t>
        </is>
      </c>
      <c r="F4783" t="inlineStr">
        <is>
          <t>Rep_14</t>
        </is>
      </c>
      <c r="G4783" t="n">
        <v>2.6</v>
      </c>
      <c r="H4783" t="inlineStr">
        <is>
          <t>Contacted</t>
        </is>
      </c>
      <c r="I4783" t="inlineStr">
        <is>
          <t>Open</t>
        </is>
      </c>
      <c r="M4783">
        <f>VLOOKUP(H4783,'Stage Order'!$A$2:$B$8,2,FALSE)</f>
        <v/>
      </c>
      <c r="N4783">
        <f>IF(G4783&lt;=1,"1. Under 1 hour",IF(G4783&lt;=24,"2. 1-24 hours",IF(G4783&lt;=72,"3. 1-3 days","4. Over 3 days")))</f>
        <v/>
      </c>
      <c r="O4783">
        <f>TEXT(B4783,"YYYY-MM")</f>
        <v/>
      </c>
    </row>
    <row r="4784">
      <c r="A4784" t="inlineStr">
        <is>
          <t>LD-304782</t>
        </is>
      </c>
      <c r="B4784" t="inlineStr">
        <is>
          <t>2025-05-14 14:48:00</t>
        </is>
      </c>
      <c r="C4784" t="inlineStr">
        <is>
          <t>Organic Search</t>
        </is>
      </c>
      <c r="D4784" t="inlineStr">
        <is>
          <t>Competitive Exam Prep</t>
        </is>
      </c>
      <c r="E4784" t="inlineStr">
        <is>
          <t>South Region</t>
        </is>
      </c>
      <c r="F4784" t="inlineStr">
        <is>
          <t>Rep_12</t>
        </is>
      </c>
      <c r="G4784" t="n">
        <v>3.29</v>
      </c>
      <c r="H4784" t="inlineStr">
        <is>
          <t>Negotiation</t>
        </is>
      </c>
      <c r="I4784" t="inlineStr">
        <is>
          <t>Lost</t>
        </is>
      </c>
      <c r="J4784" t="inlineStr">
        <is>
          <t>Price Objection</t>
        </is>
      </c>
      <c r="K4784" t="n">
        <v>822.5599999999999</v>
      </c>
      <c r="L4784" t="inlineStr">
        <is>
          <t>2025-06-26 06:57:17.512775</t>
        </is>
      </c>
      <c r="M4784">
        <f>VLOOKUP(H4784,'Stage Order'!$A$2:$B$8,2,FALSE)</f>
        <v/>
      </c>
      <c r="N4784">
        <f>IF(G4784&lt;=1,"1. Under 1 hour",IF(G4784&lt;=24,"2. 1-24 hours",IF(G4784&lt;=72,"3. 1-3 days","4. Over 3 days")))</f>
        <v/>
      </c>
      <c r="O4784">
        <f>TEXT(B4784,"YYYY-MM")</f>
        <v/>
      </c>
    </row>
    <row r="4785">
      <c r="A4785" t="inlineStr">
        <is>
          <t>LD-304783</t>
        </is>
      </c>
      <c r="B4785" t="inlineStr">
        <is>
          <t>2025-12-04 14:34:00</t>
        </is>
      </c>
      <c r="C4785" t="inlineStr">
        <is>
          <t>Organic Search</t>
        </is>
      </c>
      <c r="D4785" t="inlineStr">
        <is>
          <t>K-12 Math</t>
        </is>
      </c>
      <c r="E4785" t="inlineStr">
        <is>
          <t>South Region</t>
        </is>
      </c>
      <c r="F4785" t="inlineStr">
        <is>
          <t>Rep_07</t>
        </is>
      </c>
      <c r="G4785" t="n">
        <v>9.75</v>
      </c>
      <c r="H4785" t="inlineStr">
        <is>
          <t>Proposal Sent</t>
        </is>
      </c>
      <c r="I4785" t="inlineStr">
        <is>
          <t>Lost</t>
        </is>
      </c>
      <c r="J4785" t="inlineStr">
        <is>
          <t>Bad Timing</t>
        </is>
      </c>
      <c r="K4785" t="n">
        <v>457.32</v>
      </c>
      <c r="L4785" t="inlineStr">
        <is>
          <t>2026-01-14 16:05:58.634447</t>
        </is>
      </c>
      <c r="M4785">
        <f>VLOOKUP(H4785,'Stage Order'!$A$2:$B$8,2,FALSE)</f>
        <v/>
      </c>
      <c r="N4785">
        <f>IF(G4785&lt;=1,"1. Under 1 hour",IF(G4785&lt;=24,"2. 1-24 hours",IF(G4785&lt;=72,"3. 1-3 days","4. Over 3 days")))</f>
        <v/>
      </c>
      <c r="O4785">
        <f>TEXT(B4785,"YYYY-MM")</f>
        <v/>
      </c>
    </row>
    <row r="4786">
      <c r="A4786" t="inlineStr">
        <is>
          <t>LD-304784</t>
        </is>
      </c>
      <c r="B4786" t="inlineStr">
        <is>
          <t>2025-06-17 09:44:00</t>
        </is>
      </c>
      <c r="C4786" t="inlineStr">
        <is>
          <t>Social Media</t>
        </is>
      </c>
      <c r="D4786" t="inlineStr">
        <is>
          <t>Coding for Kids</t>
        </is>
      </c>
      <c r="E4786" t="inlineStr">
        <is>
          <t>North Region</t>
        </is>
      </c>
      <c r="F4786" t="inlineStr">
        <is>
          <t>Rep_11</t>
        </is>
      </c>
      <c r="G4786" t="n">
        <v>3.02</v>
      </c>
      <c r="H4786" t="inlineStr">
        <is>
          <t>Contacted</t>
        </is>
      </c>
      <c r="I4786" t="inlineStr">
        <is>
          <t>Open</t>
        </is>
      </c>
      <c r="M4786">
        <f>VLOOKUP(H4786,'Stage Order'!$A$2:$B$8,2,FALSE)</f>
        <v/>
      </c>
      <c r="N4786">
        <f>IF(G4786&lt;=1,"1. Under 1 hour",IF(G4786&lt;=24,"2. 1-24 hours",IF(G4786&lt;=72,"3. 1-3 days","4. Over 3 days")))</f>
        <v/>
      </c>
      <c r="O4786">
        <f>TEXT(B4786,"YYYY-MM")</f>
        <v/>
      </c>
    </row>
    <row r="4787">
      <c r="A4787" t="inlineStr">
        <is>
          <t>LD-304785</t>
        </is>
      </c>
      <c r="B4787" t="inlineStr">
        <is>
          <t>2025-04-30 13:30:00</t>
        </is>
      </c>
      <c r="C4787" t="inlineStr">
        <is>
          <t>Organic Search</t>
        </is>
      </c>
      <c r="D4787" t="inlineStr">
        <is>
          <t>Coding for Kids</t>
        </is>
      </c>
      <c r="E4787" t="inlineStr">
        <is>
          <t>North Region</t>
        </is>
      </c>
      <c r="F4787" t="inlineStr">
        <is>
          <t>Rep_11</t>
        </is>
      </c>
      <c r="G4787" t="n">
        <v>0.27</v>
      </c>
      <c r="H4787" t="inlineStr">
        <is>
          <t>Closed</t>
        </is>
      </c>
      <c r="I4787" t="inlineStr">
        <is>
          <t>Won</t>
        </is>
      </c>
      <c r="K4787" t="n">
        <v>680.01</v>
      </c>
      <c r="L4787" t="inlineStr">
        <is>
          <t>2025-06-02 17:23:34.367663</t>
        </is>
      </c>
      <c r="M4787">
        <f>VLOOKUP(H4787,'Stage Order'!$A$2:$B$8,2,FALSE)</f>
        <v/>
      </c>
      <c r="N4787">
        <f>IF(G4787&lt;=1,"1. Under 1 hour",IF(G4787&lt;=24,"2. 1-24 hours",IF(G4787&lt;=72,"3. 1-3 days","4. Over 3 days")))</f>
        <v/>
      </c>
      <c r="O4787">
        <f>TEXT(B4787,"YYYY-MM")</f>
        <v/>
      </c>
    </row>
    <row r="4788">
      <c r="A4788" t="inlineStr">
        <is>
          <t>LD-304786</t>
        </is>
      </c>
      <c r="B4788" t="inlineStr">
        <is>
          <t>2025-11-07 07:24:00</t>
        </is>
      </c>
      <c r="C4788" t="inlineStr">
        <is>
          <t>Social Media</t>
        </is>
      </c>
      <c r="D4788" t="inlineStr">
        <is>
          <t>Study Abroad Prep</t>
        </is>
      </c>
      <c r="E4788" t="inlineStr">
        <is>
          <t>International</t>
        </is>
      </c>
      <c r="F4788" t="inlineStr">
        <is>
          <t>Rep_15</t>
        </is>
      </c>
      <c r="G4788" t="n">
        <v>3.44</v>
      </c>
      <c r="H4788" t="inlineStr">
        <is>
          <t>Demo Completed</t>
        </is>
      </c>
      <c r="I4788" t="inlineStr">
        <is>
          <t>Lost</t>
        </is>
      </c>
      <c r="J4788" t="inlineStr">
        <is>
          <t>Bad Timing</t>
        </is>
      </c>
      <c r="K4788" t="n">
        <v>1283.31</v>
      </c>
      <c r="L4788" t="inlineStr">
        <is>
          <t>2025-11-27 16:06:46.383370</t>
        </is>
      </c>
      <c r="M4788">
        <f>VLOOKUP(H4788,'Stage Order'!$A$2:$B$8,2,FALSE)</f>
        <v/>
      </c>
      <c r="N4788">
        <f>IF(G4788&lt;=1,"1. Under 1 hour",IF(G4788&lt;=24,"2. 1-24 hours",IF(G4788&lt;=72,"3. 1-3 days","4. Over 3 days")))</f>
        <v/>
      </c>
      <c r="O4788">
        <f>TEXT(B4788,"YYYY-MM")</f>
        <v/>
      </c>
    </row>
    <row r="4789">
      <c r="A4789" t="inlineStr">
        <is>
          <t>LD-304787</t>
        </is>
      </c>
      <c r="B4789" t="inlineStr">
        <is>
          <t>2026-05-22 15:27:00</t>
        </is>
      </c>
      <c r="C4789" t="inlineStr">
        <is>
          <t>Social Media</t>
        </is>
      </c>
      <c r="D4789" t="inlineStr">
        <is>
          <t>Study Abroad Prep</t>
        </is>
      </c>
      <c r="E4789" t="inlineStr">
        <is>
          <t>South Region</t>
        </is>
      </c>
      <c r="F4789" t="inlineStr">
        <is>
          <t>Rep_02</t>
        </is>
      </c>
      <c r="G4789" t="n">
        <v>4.33</v>
      </c>
      <c r="H4789" t="inlineStr">
        <is>
          <t>Contacted</t>
        </is>
      </c>
      <c r="I4789" t="inlineStr">
        <is>
          <t>Open</t>
        </is>
      </c>
      <c r="M4789">
        <f>VLOOKUP(H4789,'Stage Order'!$A$2:$B$8,2,FALSE)</f>
        <v/>
      </c>
      <c r="N4789">
        <f>IF(G4789&lt;=1,"1. Under 1 hour",IF(G4789&lt;=24,"2. 1-24 hours",IF(G4789&lt;=72,"3. 1-3 days","4. Over 3 days")))</f>
        <v/>
      </c>
      <c r="O4789">
        <f>TEXT(B4789,"YYYY-MM")</f>
        <v/>
      </c>
    </row>
    <row r="4790">
      <c r="A4790" t="inlineStr">
        <is>
          <t>LD-304788</t>
        </is>
      </c>
      <c r="B4790" t="inlineStr">
        <is>
          <t>2025-07-31 15:02:00</t>
        </is>
      </c>
      <c r="C4790" t="inlineStr">
        <is>
          <t>Social Media</t>
        </is>
      </c>
      <c r="D4790" t="inlineStr">
        <is>
          <t>K-12 Math</t>
        </is>
      </c>
      <c r="E4790" t="inlineStr">
        <is>
          <t>North Region</t>
        </is>
      </c>
      <c r="F4790" t="inlineStr">
        <is>
          <t>Rep_01</t>
        </is>
      </c>
      <c r="G4790" t="n">
        <v>13.85</v>
      </c>
      <c r="H4790" t="inlineStr">
        <is>
          <t>Demo Completed</t>
        </is>
      </c>
      <c r="I4790" t="inlineStr">
        <is>
          <t>Lost</t>
        </is>
      </c>
      <c r="J4790" t="inlineStr">
        <is>
          <t>Price Objection</t>
        </is>
      </c>
      <c r="K4790" t="n">
        <v>529.6799999999999</v>
      </c>
      <c r="L4790" t="inlineStr">
        <is>
          <t>2025-08-28 00:10:42.064216</t>
        </is>
      </c>
      <c r="M4790">
        <f>VLOOKUP(H4790,'Stage Order'!$A$2:$B$8,2,FALSE)</f>
        <v/>
      </c>
      <c r="N4790">
        <f>IF(G4790&lt;=1,"1. Under 1 hour",IF(G4790&lt;=24,"2. 1-24 hours",IF(G4790&lt;=72,"3. 1-3 days","4. Over 3 days")))</f>
        <v/>
      </c>
      <c r="O4790">
        <f>TEXT(B4790,"YYYY-MM")</f>
        <v/>
      </c>
    </row>
    <row r="4791">
      <c r="A4791" t="inlineStr">
        <is>
          <t>LD-304789</t>
        </is>
      </c>
      <c r="B4791" t="inlineStr">
        <is>
          <t>2025-10-31 10:44:00</t>
        </is>
      </c>
      <c r="C4791" t="inlineStr">
        <is>
          <t>Paid Search</t>
        </is>
      </c>
      <c r="D4791" t="inlineStr">
        <is>
          <t>Language Learning</t>
        </is>
      </c>
      <c r="E4791" t="inlineStr">
        <is>
          <t>South Region</t>
        </is>
      </c>
      <c r="F4791" t="inlineStr">
        <is>
          <t>Rep_12</t>
        </is>
      </c>
      <c r="G4791" t="n">
        <v>5.12</v>
      </c>
      <c r="H4791" t="inlineStr">
        <is>
          <t>Closed</t>
        </is>
      </c>
      <c r="I4791" t="inlineStr">
        <is>
          <t>Won</t>
        </is>
      </c>
      <c r="K4791" t="n">
        <v>375.18</v>
      </c>
      <c r="L4791" t="inlineStr">
        <is>
          <t>2025-12-03 12:34:59.612245</t>
        </is>
      </c>
      <c r="M4791">
        <f>VLOOKUP(H4791,'Stage Order'!$A$2:$B$8,2,FALSE)</f>
        <v/>
      </c>
      <c r="N4791">
        <f>IF(G4791&lt;=1,"1. Under 1 hour",IF(G4791&lt;=24,"2. 1-24 hours",IF(G4791&lt;=72,"3. 1-3 days","4. Over 3 days")))</f>
        <v/>
      </c>
      <c r="O4791">
        <f>TEXT(B4791,"YYYY-MM")</f>
        <v/>
      </c>
    </row>
    <row r="4792">
      <c r="A4792" t="inlineStr">
        <is>
          <t>LD-304790</t>
        </is>
      </c>
      <c r="B4792" t="inlineStr">
        <is>
          <t>2026-03-31 14:55:00</t>
        </is>
      </c>
      <c r="C4792" t="inlineStr">
        <is>
          <t>Paid Search</t>
        </is>
      </c>
      <c r="D4792" t="inlineStr">
        <is>
          <t>Language Learning</t>
        </is>
      </c>
      <c r="E4792" t="inlineStr">
        <is>
          <t>South Region</t>
        </is>
      </c>
      <c r="F4792" t="inlineStr">
        <is>
          <t>Rep_02</t>
        </is>
      </c>
      <c r="G4792" t="n">
        <v>4.44</v>
      </c>
      <c r="H4792" t="inlineStr">
        <is>
          <t>Contacted</t>
        </is>
      </c>
      <c r="I4792" t="inlineStr">
        <is>
          <t>Open</t>
        </is>
      </c>
      <c r="M4792">
        <f>VLOOKUP(H4792,'Stage Order'!$A$2:$B$8,2,FALSE)</f>
        <v/>
      </c>
      <c r="N4792">
        <f>IF(G4792&lt;=1,"1. Under 1 hour",IF(G4792&lt;=24,"2. 1-24 hours",IF(G4792&lt;=72,"3. 1-3 days","4. Over 3 days")))</f>
        <v/>
      </c>
      <c r="O4792">
        <f>TEXT(B4792,"YYYY-MM")</f>
        <v/>
      </c>
    </row>
    <row r="4793">
      <c r="A4793" t="inlineStr">
        <is>
          <t>LD-304791</t>
        </is>
      </c>
      <c r="B4793" t="inlineStr">
        <is>
          <t>2026-04-30 09:37:00</t>
        </is>
      </c>
      <c r="C4793" t="inlineStr">
        <is>
          <t>Paid Search</t>
        </is>
      </c>
      <c r="D4793" t="inlineStr">
        <is>
          <t>Study Abroad Prep</t>
        </is>
      </c>
      <c r="E4793" t="inlineStr">
        <is>
          <t>International</t>
        </is>
      </c>
      <c r="F4793" t="inlineStr">
        <is>
          <t>Rep_10</t>
        </is>
      </c>
      <c r="G4793" t="n">
        <v>3.98</v>
      </c>
      <c r="H4793" t="inlineStr">
        <is>
          <t>Proposal Sent</t>
        </is>
      </c>
      <c r="I4793" t="inlineStr">
        <is>
          <t>Lost</t>
        </is>
      </c>
      <c r="J4793" t="inlineStr">
        <is>
          <t>Went With Competitor</t>
        </is>
      </c>
      <c r="K4793" t="n">
        <v>1264.7</v>
      </c>
      <c r="L4793" t="inlineStr">
        <is>
          <t>2026-06-13 19:03:34.146614</t>
        </is>
      </c>
      <c r="M4793">
        <f>VLOOKUP(H4793,'Stage Order'!$A$2:$B$8,2,FALSE)</f>
        <v/>
      </c>
      <c r="N4793">
        <f>IF(G4793&lt;=1,"1. Under 1 hour",IF(G4793&lt;=24,"2. 1-24 hours",IF(G4793&lt;=72,"3. 1-3 days","4. Over 3 days")))</f>
        <v/>
      </c>
      <c r="O4793">
        <f>TEXT(B4793,"YYYY-MM")</f>
        <v/>
      </c>
    </row>
    <row r="4794">
      <c r="A4794" t="inlineStr">
        <is>
          <t>LD-304792</t>
        </is>
      </c>
      <c r="B4794" t="inlineStr">
        <is>
          <t>2025-07-23 17:14:00</t>
        </is>
      </c>
      <c r="C4794" t="inlineStr">
        <is>
          <t>Partner Channel</t>
        </is>
      </c>
      <c r="D4794" t="inlineStr">
        <is>
          <t>Coding for Kids</t>
        </is>
      </c>
      <c r="E4794" t="inlineStr">
        <is>
          <t>West Region</t>
        </is>
      </c>
      <c r="F4794" t="inlineStr">
        <is>
          <t>Rep_08</t>
        </is>
      </c>
      <c r="G4794" t="n">
        <v>0.58</v>
      </c>
      <c r="H4794" t="inlineStr">
        <is>
          <t>Closed</t>
        </is>
      </c>
      <c r="I4794" t="inlineStr">
        <is>
          <t>Won</t>
        </is>
      </c>
      <c r="K4794" t="n">
        <v>717.39</v>
      </c>
      <c r="L4794" t="inlineStr">
        <is>
          <t>2025-09-03 22:28:50.264764</t>
        </is>
      </c>
      <c r="M4794">
        <f>VLOOKUP(H4794,'Stage Order'!$A$2:$B$8,2,FALSE)</f>
        <v/>
      </c>
      <c r="N4794">
        <f>IF(G4794&lt;=1,"1. Under 1 hour",IF(G4794&lt;=24,"2. 1-24 hours",IF(G4794&lt;=72,"3. 1-3 days","4. Over 3 days")))</f>
        <v/>
      </c>
      <c r="O4794">
        <f>TEXT(B4794,"YYYY-MM")</f>
        <v/>
      </c>
    </row>
    <row r="4795">
      <c r="A4795" t="inlineStr">
        <is>
          <t>LD-304793</t>
        </is>
      </c>
      <c r="B4795" t="inlineStr">
        <is>
          <t>2025-04-02 09:47:00</t>
        </is>
      </c>
      <c r="C4795" t="inlineStr">
        <is>
          <t>Organic Search</t>
        </is>
      </c>
      <c r="D4795" t="inlineStr">
        <is>
          <t>Language Learning</t>
        </is>
      </c>
      <c r="E4795" t="inlineStr">
        <is>
          <t>North Region</t>
        </is>
      </c>
      <c r="F4795" t="inlineStr">
        <is>
          <t>Rep_11</t>
        </is>
      </c>
      <c r="G4795" t="n">
        <v>19.36</v>
      </c>
      <c r="H4795" t="inlineStr">
        <is>
          <t>Contacted</t>
        </is>
      </c>
      <c r="I4795" t="inlineStr">
        <is>
          <t>Open</t>
        </is>
      </c>
      <c r="M4795">
        <f>VLOOKUP(H4795,'Stage Order'!$A$2:$B$8,2,FALSE)</f>
        <v/>
      </c>
      <c r="N4795">
        <f>IF(G4795&lt;=1,"1. Under 1 hour",IF(G4795&lt;=24,"2. 1-24 hours",IF(G4795&lt;=72,"3. 1-3 days","4. Over 3 days")))</f>
        <v/>
      </c>
      <c r="O4795">
        <f>TEXT(B4795,"YYYY-MM")</f>
        <v/>
      </c>
    </row>
    <row r="4796">
      <c r="A4796" t="inlineStr">
        <is>
          <t>LD-304794</t>
        </is>
      </c>
      <c r="B4796" t="inlineStr">
        <is>
          <t>2025-12-10 12:22:00</t>
        </is>
      </c>
      <c r="C4796" t="inlineStr">
        <is>
          <t>Partner Channel</t>
        </is>
      </c>
      <c r="D4796" t="inlineStr">
        <is>
          <t>Coding for Kids</t>
        </is>
      </c>
      <c r="E4796" t="inlineStr">
        <is>
          <t>North Region</t>
        </is>
      </c>
      <c r="F4796" t="inlineStr">
        <is>
          <t>Rep_01</t>
        </is>
      </c>
      <c r="G4796" t="n">
        <v>2.28</v>
      </c>
      <c r="H4796" t="inlineStr">
        <is>
          <t>Lead</t>
        </is>
      </c>
      <c r="I4796" t="inlineStr">
        <is>
          <t>Open</t>
        </is>
      </c>
      <c r="M4796">
        <f>VLOOKUP(H4796,'Stage Order'!$A$2:$B$8,2,FALSE)</f>
        <v/>
      </c>
      <c r="N4796">
        <f>IF(G4796&lt;=1,"1. Under 1 hour",IF(G4796&lt;=24,"2. 1-24 hours",IF(G4796&lt;=72,"3. 1-3 days","4. Over 3 days")))</f>
        <v/>
      </c>
      <c r="O4796">
        <f>TEXT(B4796,"YYYY-MM")</f>
        <v/>
      </c>
    </row>
    <row r="4797">
      <c r="A4797" t="inlineStr">
        <is>
          <t>LD-304795</t>
        </is>
      </c>
      <c r="B4797" t="inlineStr">
        <is>
          <t>2025-02-04 12:35:00</t>
        </is>
      </c>
      <c r="C4797" t="inlineStr">
        <is>
          <t>Paid Search</t>
        </is>
      </c>
      <c r="D4797" t="inlineStr">
        <is>
          <t>Language Learning</t>
        </is>
      </c>
      <c r="E4797" t="inlineStr">
        <is>
          <t>South Region</t>
        </is>
      </c>
      <c r="F4797" t="inlineStr">
        <is>
          <t>Rep_07</t>
        </is>
      </c>
      <c r="G4797" t="n">
        <v>10.45</v>
      </c>
      <c r="H4797" t="inlineStr">
        <is>
          <t>Demo Scheduled</t>
        </is>
      </c>
      <c r="I4797" t="inlineStr">
        <is>
          <t>Open</t>
        </is>
      </c>
      <c r="M4797">
        <f>VLOOKUP(H4797,'Stage Order'!$A$2:$B$8,2,FALSE)</f>
        <v/>
      </c>
      <c r="N4797">
        <f>IF(G4797&lt;=1,"1. Under 1 hour",IF(G4797&lt;=24,"2. 1-24 hours",IF(G4797&lt;=72,"3. 1-3 days","4. Over 3 days")))</f>
        <v/>
      </c>
      <c r="O4797">
        <f>TEXT(B4797,"YYYY-MM")</f>
        <v/>
      </c>
    </row>
    <row r="4798">
      <c r="A4798" t="inlineStr">
        <is>
          <t>LD-304796</t>
        </is>
      </c>
      <c r="B4798" t="inlineStr">
        <is>
          <t>2026-01-18 15:10:00</t>
        </is>
      </c>
      <c r="C4798" t="inlineStr">
        <is>
          <t>Cold Outreach</t>
        </is>
      </c>
      <c r="D4798" t="inlineStr">
        <is>
          <t>Coding for Kids</t>
        </is>
      </c>
      <c r="E4798" t="inlineStr">
        <is>
          <t>North Region</t>
        </is>
      </c>
      <c r="F4798" t="inlineStr">
        <is>
          <t>Rep_01</t>
        </is>
      </c>
      <c r="G4798" t="n">
        <v>9.52</v>
      </c>
      <c r="H4798" t="inlineStr">
        <is>
          <t>Lead</t>
        </is>
      </c>
      <c r="I4798" t="inlineStr">
        <is>
          <t>Open</t>
        </is>
      </c>
      <c r="M4798">
        <f>VLOOKUP(H4798,'Stage Order'!$A$2:$B$8,2,FALSE)</f>
        <v/>
      </c>
      <c r="N4798">
        <f>IF(G4798&lt;=1,"1. Under 1 hour",IF(G4798&lt;=24,"2. 1-24 hours",IF(G4798&lt;=72,"3. 1-3 days","4. Over 3 days")))</f>
        <v/>
      </c>
      <c r="O4798">
        <f>TEXT(B4798,"YYYY-MM")</f>
        <v/>
      </c>
    </row>
    <row r="4799">
      <c r="A4799" t="inlineStr">
        <is>
          <t>LD-304797</t>
        </is>
      </c>
      <c r="B4799" t="inlineStr">
        <is>
          <t>2025-10-29 17:58:00</t>
        </is>
      </c>
      <c r="C4799" t="inlineStr">
        <is>
          <t>Paid Search</t>
        </is>
      </c>
      <c r="D4799" t="inlineStr">
        <is>
          <t>Competitive Exam Prep</t>
        </is>
      </c>
      <c r="E4799" t="inlineStr">
        <is>
          <t>East Region</t>
        </is>
      </c>
      <c r="F4799" t="inlineStr">
        <is>
          <t>Rep_14</t>
        </is>
      </c>
      <c r="G4799" t="n">
        <v>5.02</v>
      </c>
      <c r="H4799" t="inlineStr">
        <is>
          <t>Contacted</t>
        </is>
      </c>
      <c r="I4799" t="inlineStr">
        <is>
          <t>Open</t>
        </is>
      </c>
      <c r="M4799">
        <f>VLOOKUP(H4799,'Stage Order'!$A$2:$B$8,2,FALSE)</f>
        <v/>
      </c>
      <c r="N4799">
        <f>IF(G4799&lt;=1,"1. Under 1 hour",IF(G4799&lt;=24,"2. 1-24 hours",IF(G4799&lt;=72,"3. 1-3 days","4. Over 3 days")))</f>
        <v/>
      </c>
      <c r="O4799">
        <f>TEXT(B4799,"YYYY-MM")</f>
        <v/>
      </c>
    </row>
    <row r="4800">
      <c r="A4800" t="inlineStr">
        <is>
          <t>LD-304798</t>
        </is>
      </c>
      <c r="B4800" t="inlineStr">
        <is>
          <t>2026-01-05 14:08:00</t>
        </is>
      </c>
      <c r="C4800" t="inlineStr">
        <is>
          <t>Organic Search</t>
        </is>
      </c>
      <c r="D4800" t="inlineStr">
        <is>
          <t>Language Learning</t>
        </is>
      </c>
      <c r="E4800" t="inlineStr">
        <is>
          <t>West Region</t>
        </is>
      </c>
      <c r="F4800" t="inlineStr">
        <is>
          <t>Rep_13</t>
        </is>
      </c>
      <c r="G4800" t="n">
        <v>2.4</v>
      </c>
      <c r="H4800" t="inlineStr">
        <is>
          <t>Contacted</t>
        </is>
      </c>
      <c r="I4800" t="inlineStr">
        <is>
          <t>Open</t>
        </is>
      </c>
      <c r="M4800">
        <f>VLOOKUP(H4800,'Stage Order'!$A$2:$B$8,2,FALSE)</f>
        <v/>
      </c>
      <c r="N4800">
        <f>IF(G4800&lt;=1,"1. Under 1 hour",IF(G4800&lt;=24,"2. 1-24 hours",IF(G4800&lt;=72,"3. 1-3 days","4. Over 3 days")))</f>
        <v/>
      </c>
      <c r="O4800">
        <f>TEXT(B4800,"YYYY-MM")</f>
        <v/>
      </c>
    </row>
    <row r="4801">
      <c r="A4801" t="inlineStr">
        <is>
          <t>LD-304799</t>
        </is>
      </c>
      <c r="B4801" t="inlineStr">
        <is>
          <t>2026-05-13 20:38:00</t>
        </is>
      </c>
      <c r="C4801" t="inlineStr">
        <is>
          <t>Partner Channel</t>
        </is>
      </c>
      <c r="D4801" t="inlineStr">
        <is>
          <t>Language Learning</t>
        </is>
      </c>
      <c r="E4801" t="inlineStr">
        <is>
          <t>East Region</t>
        </is>
      </c>
      <c r="F4801" t="inlineStr">
        <is>
          <t>Rep_09</t>
        </is>
      </c>
      <c r="G4801" t="n">
        <v>0.77</v>
      </c>
      <c r="H4801" t="inlineStr">
        <is>
          <t>Closed</t>
        </is>
      </c>
      <c r="I4801" t="inlineStr">
        <is>
          <t>Won</t>
        </is>
      </c>
      <c r="K4801" t="n">
        <v>364.67</v>
      </c>
      <c r="L4801" t="inlineStr">
        <is>
          <t>2026-06-19 20:13:04.785032</t>
        </is>
      </c>
      <c r="M4801">
        <f>VLOOKUP(H4801,'Stage Order'!$A$2:$B$8,2,FALSE)</f>
        <v/>
      </c>
      <c r="N4801">
        <f>IF(G4801&lt;=1,"1. Under 1 hour",IF(G4801&lt;=24,"2. 1-24 hours",IF(G4801&lt;=72,"3. 1-3 days","4. Over 3 days")))</f>
        <v/>
      </c>
      <c r="O4801">
        <f>TEXT(B4801,"YYYY-MM")</f>
        <v/>
      </c>
    </row>
    <row r="4802">
      <c r="A4802" t="inlineStr">
        <is>
          <t>LD-304800</t>
        </is>
      </c>
      <c r="B4802" t="inlineStr">
        <is>
          <t>2025-06-08 11:05:00</t>
        </is>
      </c>
      <c r="C4802" t="inlineStr">
        <is>
          <t>Referral</t>
        </is>
      </c>
      <c r="D4802" t="inlineStr">
        <is>
          <t>K-12 Math</t>
        </is>
      </c>
      <c r="E4802" t="inlineStr">
        <is>
          <t>International</t>
        </is>
      </c>
      <c r="F4802" t="inlineStr">
        <is>
          <t>Rep_10</t>
        </is>
      </c>
      <c r="G4802" t="n">
        <v>5.51</v>
      </c>
      <c r="H4802" t="inlineStr">
        <is>
          <t>Contacted</t>
        </is>
      </c>
      <c r="I4802" t="inlineStr">
        <is>
          <t>Open</t>
        </is>
      </c>
      <c r="M4802">
        <f>VLOOKUP(H4802,'Stage Order'!$A$2:$B$8,2,FALSE)</f>
        <v/>
      </c>
      <c r="N4802">
        <f>IF(G4802&lt;=1,"1. Under 1 hour",IF(G4802&lt;=24,"2. 1-24 hours",IF(G4802&lt;=72,"3. 1-3 days","4. Over 3 days")))</f>
        <v/>
      </c>
      <c r="O4802">
        <f>TEXT(B4802,"YYYY-MM")</f>
        <v/>
      </c>
    </row>
    <row r="4803">
      <c r="A4803" t="inlineStr">
        <is>
          <t>LD-304801</t>
        </is>
      </c>
      <c r="B4803" t="inlineStr">
        <is>
          <t>2025-09-21 08:28:00</t>
        </is>
      </c>
      <c r="C4803" t="inlineStr">
        <is>
          <t>Social Media</t>
        </is>
      </c>
      <c r="D4803" t="inlineStr">
        <is>
          <t>Coding for Kids</t>
        </is>
      </c>
      <c r="E4803" t="inlineStr">
        <is>
          <t>South Region</t>
        </is>
      </c>
      <c r="F4803" t="inlineStr">
        <is>
          <t>Rep_02</t>
        </is>
      </c>
      <c r="G4803" t="n">
        <v>7.15</v>
      </c>
      <c r="H4803" t="inlineStr">
        <is>
          <t>Contacted</t>
        </is>
      </c>
      <c r="I4803" t="inlineStr">
        <is>
          <t>Open</t>
        </is>
      </c>
      <c r="M4803">
        <f>VLOOKUP(H4803,'Stage Order'!$A$2:$B$8,2,FALSE)</f>
        <v/>
      </c>
      <c r="N4803">
        <f>IF(G4803&lt;=1,"1. Under 1 hour",IF(G4803&lt;=24,"2. 1-24 hours",IF(G4803&lt;=72,"3. 1-3 days","4. Over 3 days")))</f>
        <v/>
      </c>
      <c r="O4803">
        <f>TEXT(B4803,"YYYY-MM")</f>
        <v/>
      </c>
    </row>
    <row r="4804">
      <c r="A4804" t="inlineStr">
        <is>
          <t>LD-304802</t>
        </is>
      </c>
      <c r="B4804" t="inlineStr">
        <is>
          <t>2026-02-12 15:17:00</t>
        </is>
      </c>
      <c r="C4804" t="inlineStr">
        <is>
          <t>Organic Search</t>
        </is>
      </c>
      <c r="D4804" t="inlineStr">
        <is>
          <t>Language Learning</t>
        </is>
      </c>
      <c r="E4804" t="inlineStr">
        <is>
          <t>International</t>
        </is>
      </c>
      <c r="F4804" t="inlineStr">
        <is>
          <t>Rep_05</t>
        </is>
      </c>
      <c r="G4804" t="n">
        <v>2.18</v>
      </c>
      <c r="H4804" t="inlineStr">
        <is>
          <t>Demo Scheduled</t>
        </is>
      </c>
      <c r="I4804" t="inlineStr">
        <is>
          <t>Open</t>
        </is>
      </c>
      <c r="M4804">
        <f>VLOOKUP(H4804,'Stage Order'!$A$2:$B$8,2,FALSE)</f>
        <v/>
      </c>
      <c r="N4804">
        <f>IF(G4804&lt;=1,"1. Under 1 hour",IF(G4804&lt;=24,"2. 1-24 hours",IF(G4804&lt;=72,"3. 1-3 days","4. Over 3 days")))</f>
        <v/>
      </c>
      <c r="O4804">
        <f>TEXT(B4804,"YYYY-MM")</f>
        <v/>
      </c>
    </row>
    <row r="4805">
      <c r="A4805" t="inlineStr">
        <is>
          <t>LD-304803</t>
        </is>
      </c>
      <c r="B4805" t="inlineStr">
        <is>
          <t>2026-01-29 13:06:00</t>
        </is>
      </c>
      <c r="C4805" t="inlineStr">
        <is>
          <t>Social Media</t>
        </is>
      </c>
      <c r="D4805" t="inlineStr">
        <is>
          <t>K-12 Math</t>
        </is>
      </c>
      <c r="E4805" t="inlineStr">
        <is>
          <t>South Region</t>
        </is>
      </c>
      <c r="F4805" t="inlineStr">
        <is>
          <t>Rep_07</t>
        </is>
      </c>
      <c r="G4805" t="n">
        <v>2.81</v>
      </c>
      <c r="H4805" t="inlineStr">
        <is>
          <t>Contacted</t>
        </is>
      </c>
      <c r="I4805" t="inlineStr">
        <is>
          <t>Open</t>
        </is>
      </c>
      <c r="M4805">
        <f>VLOOKUP(H4805,'Stage Order'!$A$2:$B$8,2,FALSE)</f>
        <v/>
      </c>
      <c r="N4805">
        <f>IF(G4805&lt;=1,"1. Under 1 hour",IF(G4805&lt;=24,"2. 1-24 hours",IF(G4805&lt;=72,"3. 1-3 days","4. Over 3 days")))</f>
        <v/>
      </c>
      <c r="O4805">
        <f>TEXT(B4805,"YYYY-MM")</f>
        <v/>
      </c>
    </row>
    <row r="4806">
      <c r="A4806" t="inlineStr">
        <is>
          <t>LD-304804</t>
        </is>
      </c>
      <c r="B4806" t="inlineStr">
        <is>
          <t>2025-10-24 18:49:00</t>
        </is>
      </c>
      <c r="C4806" t="inlineStr">
        <is>
          <t>Webinar</t>
        </is>
      </c>
      <c r="D4806" t="inlineStr">
        <is>
          <t>Language Learning</t>
        </is>
      </c>
      <c r="E4806" t="inlineStr">
        <is>
          <t>North Region</t>
        </is>
      </c>
      <c r="F4806" t="inlineStr">
        <is>
          <t>Rep_01</t>
        </is>
      </c>
      <c r="G4806" t="n">
        <v>3.81</v>
      </c>
      <c r="H4806" t="inlineStr">
        <is>
          <t>Negotiation</t>
        </is>
      </c>
      <c r="I4806" t="inlineStr">
        <is>
          <t>Lost</t>
        </is>
      </c>
      <c r="J4806" t="inlineStr">
        <is>
          <t>Price Objection</t>
        </is>
      </c>
      <c r="K4806" t="n">
        <v>328.45</v>
      </c>
      <c r="L4806" t="inlineStr">
        <is>
          <t>2025-11-20 22:24:29.710776</t>
        </is>
      </c>
      <c r="M4806">
        <f>VLOOKUP(H4806,'Stage Order'!$A$2:$B$8,2,FALSE)</f>
        <v/>
      </c>
      <c r="N4806">
        <f>IF(G4806&lt;=1,"1. Under 1 hour",IF(G4806&lt;=24,"2. 1-24 hours",IF(G4806&lt;=72,"3. 1-3 days","4. Over 3 days")))</f>
        <v/>
      </c>
      <c r="O4806">
        <f>TEXT(B4806,"YYYY-MM")</f>
        <v/>
      </c>
    </row>
    <row r="4807">
      <c r="A4807" t="inlineStr">
        <is>
          <t>LD-304805</t>
        </is>
      </c>
      <c r="B4807" t="inlineStr">
        <is>
          <t>2026-04-15 13:31:00</t>
        </is>
      </c>
      <c r="C4807" t="inlineStr">
        <is>
          <t>Cold Outreach</t>
        </is>
      </c>
      <c r="D4807" t="inlineStr">
        <is>
          <t>K-12 Math</t>
        </is>
      </c>
      <c r="E4807" t="inlineStr">
        <is>
          <t>North Region</t>
        </is>
      </c>
      <c r="F4807" t="inlineStr">
        <is>
          <t>Rep_01</t>
        </is>
      </c>
      <c r="G4807" t="n">
        <v>8.300000000000001</v>
      </c>
      <c r="H4807" t="inlineStr">
        <is>
          <t>Contacted</t>
        </is>
      </c>
      <c r="I4807" t="inlineStr">
        <is>
          <t>Open</t>
        </is>
      </c>
      <c r="M4807">
        <f>VLOOKUP(H4807,'Stage Order'!$A$2:$B$8,2,FALSE)</f>
        <v/>
      </c>
      <c r="N4807">
        <f>IF(G4807&lt;=1,"1. Under 1 hour",IF(G4807&lt;=24,"2. 1-24 hours",IF(G4807&lt;=72,"3. 1-3 days","4. Over 3 days")))</f>
        <v/>
      </c>
      <c r="O4807">
        <f>TEXT(B4807,"YYYY-MM")</f>
        <v/>
      </c>
    </row>
    <row r="4808">
      <c r="A4808" t="inlineStr">
        <is>
          <t>LD-304806</t>
        </is>
      </c>
      <c r="B4808" t="inlineStr">
        <is>
          <t>2025-09-11 13:28:00</t>
        </is>
      </c>
      <c r="C4808" t="inlineStr">
        <is>
          <t>Organic Search</t>
        </is>
      </c>
      <c r="D4808" t="inlineStr">
        <is>
          <t>K-12 Math</t>
        </is>
      </c>
      <c r="E4808" t="inlineStr">
        <is>
          <t>West Region</t>
        </is>
      </c>
      <c r="F4808" t="inlineStr">
        <is>
          <t>Rep_03</t>
        </is>
      </c>
      <c r="G4808" t="n">
        <v>1.24</v>
      </c>
      <c r="H4808" t="inlineStr">
        <is>
          <t>Contacted</t>
        </is>
      </c>
      <c r="I4808" t="inlineStr">
        <is>
          <t>Open</t>
        </is>
      </c>
      <c r="M4808">
        <f>VLOOKUP(H4808,'Stage Order'!$A$2:$B$8,2,FALSE)</f>
        <v/>
      </c>
      <c r="N4808">
        <f>IF(G4808&lt;=1,"1. Under 1 hour",IF(G4808&lt;=24,"2. 1-24 hours",IF(G4808&lt;=72,"3. 1-3 days","4. Over 3 days")))</f>
        <v/>
      </c>
      <c r="O4808">
        <f>TEXT(B4808,"YYYY-MM")</f>
        <v/>
      </c>
    </row>
    <row r="4809">
      <c r="A4809" t="inlineStr">
        <is>
          <t>LD-304807</t>
        </is>
      </c>
      <c r="B4809" t="inlineStr">
        <is>
          <t>2026-04-22 09:35:00</t>
        </is>
      </c>
      <c r="C4809" t="inlineStr">
        <is>
          <t>Paid Search</t>
        </is>
      </c>
      <c r="D4809" t="inlineStr">
        <is>
          <t>Language Learning</t>
        </is>
      </c>
      <c r="E4809" t="inlineStr">
        <is>
          <t>West Region</t>
        </is>
      </c>
      <c r="F4809" t="inlineStr">
        <is>
          <t>Rep_08</t>
        </is>
      </c>
      <c r="G4809" t="n">
        <v>4.39</v>
      </c>
      <c r="H4809" t="inlineStr">
        <is>
          <t>Closed</t>
        </is>
      </c>
      <c r="I4809" t="inlineStr">
        <is>
          <t>Won</t>
        </is>
      </c>
      <c r="K4809" t="n">
        <v>371.82</v>
      </c>
      <c r="L4809" t="inlineStr">
        <is>
          <t>2026-06-15 06:43:12.374527</t>
        </is>
      </c>
      <c r="M4809">
        <f>VLOOKUP(H4809,'Stage Order'!$A$2:$B$8,2,FALSE)</f>
        <v/>
      </c>
      <c r="N4809">
        <f>IF(G4809&lt;=1,"1. Under 1 hour",IF(G4809&lt;=24,"2. 1-24 hours",IF(G4809&lt;=72,"3. 1-3 days","4. Over 3 days")))</f>
        <v/>
      </c>
      <c r="O4809">
        <f>TEXT(B4809,"YYYY-MM")</f>
        <v/>
      </c>
    </row>
    <row r="4810">
      <c r="A4810" t="inlineStr">
        <is>
          <t>LD-304808</t>
        </is>
      </c>
      <c r="B4810" t="inlineStr">
        <is>
          <t>2025-05-18 09:57:00</t>
        </is>
      </c>
      <c r="C4810" t="inlineStr">
        <is>
          <t>Webinar</t>
        </is>
      </c>
      <c r="D4810" t="inlineStr">
        <is>
          <t>Language Learning</t>
        </is>
      </c>
      <c r="E4810" t="inlineStr">
        <is>
          <t>South Region</t>
        </is>
      </c>
      <c r="F4810" t="inlineStr">
        <is>
          <t>Rep_07</t>
        </is>
      </c>
      <c r="G4810" t="n">
        <v>0.99</v>
      </c>
      <c r="H4810" t="inlineStr">
        <is>
          <t>Closed</t>
        </is>
      </c>
      <c r="I4810" t="inlineStr">
        <is>
          <t>Won</t>
        </is>
      </c>
      <c r="K4810" t="n">
        <v>291.79</v>
      </c>
      <c r="L4810" t="inlineStr">
        <is>
          <t>2025-06-27 13:16:16.025435</t>
        </is>
      </c>
      <c r="M4810">
        <f>VLOOKUP(H4810,'Stage Order'!$A$2:$B$8,2,FALSE)</f>
        <v/>
      </c>
      <c r="N4810">
        <f>IF(G4810&lt;=1,"1. Under 1 hour",IF(G4810&lt;=24,"2. 1-24 hours",IF(G4810&lt;=72,"3. 1-3 days","4. Over 3 days")))</f>
        <v/>
      </c>
      <c r="O4810">
        <f>TEXT(B4810,"YYYY-MM")</f>
        <v/>
      </c>
    </row>
    <row r="4811">
      <c r="A4811" t="inlineStr">
        <is>
          <t>LD-304809</t>
        </is>
      </c>
      <c r="B4811" t="inlineStr">
        <is>
          <t>2025-02-26 13:29:00</t>
        </is>
      </c>
      <c r="C4811" t="inlineStr">
        <is>
          <t>Referral</t>
        </is>
      </c>
      <c r="D4811" t="inlineStr">
        <is>
          <t>Competitive Exam Prep</t>
        </is>
      </c>
      <c r="E4811" t="inlineStr">
        <is>
          <t>West Region</t>
        </is>
      </c>
      <c r="F4811" t="inlineStr">
        <is>
          <t>Rep_08</t>
        </is>
      </c>
      <c r="G4811" t="n">
        <v>11.33</v>
      </c>
      <c r="H4811" t="inlineStr">
        <is>
          <t>Demo Scheduled</t>
        </is>
      </c>
      <c r="I4811" t="inlineStr">
        <is>
          <t>Open</t>
        </is>
      </c>
      <c r="M4811">
        <f>VLOOKUP(H4811,'Stage Order'!$A$2:$B$8,2,FALSE)</f>
        <v/>
      </c>
      <c r="N4811">
        <f>IF(G4811&lt;=1,"1. Under 1 hour",IF(G4811&lt;=24,"2. 1-24 hours",IF(G4811&lt;=72,"3. 1-3 days","4. Over 3 days")))</f>
        <v/>
      </c>
      <c r="O4811">
        <f>TEXT(B4811,"YYYY-MM")</f>
        <v/>
      </c>
    </row>
    <row r="4812">
      <c r="A4812" t="inlineStr">
        <is>
          <t>LD-304810</t>
        </is>
      </c>
      <c r="B4812" t="inlineStr">
        <is>
          <t>2026-04-17 08:27:00</t>
        </is>
      </c>
      <c r="C4812" t="inlineStr">
        <is>
          <t>Social Media</t>
        </is>
      </c>
      <c r="D4812" t="inlineStr">
        <is>
          <t>Competitive Exam Prep</t>
        </is>
      </c>
      <c r="E4812" t="inlineStr">
        <is>
          <t>North Region</t>
        </is>
      </c>
      <c r="F4812" t="inlineStr">
        <is>
          <t>Rep_01</t>
        </is>
      </c>
      <c r="G4812" t="n">
        <v>2.44</v>
      </c>
      <c r="H4812" t="inlineStr">
        <is>
          <t>Lead</t>
        </is>
      </c>
      <c r="I4812" t="inlineStr">
        <is>
          <t>Open</t>
        </is>
      </c>
      <c r="M4812">
        <f>VLOOKUP(H4812,'Stage Order'!$A$2:$B$8,2,FALSE)</f>
        <v/>
      </c>
      <c r="N4812">
        <f>IF(G4812&lt;=1,"1. Under 1 hour",IF(G4812&lt;=24,"2. 1-24 hours",IF(G4812&lt;=72,"3. 1-3 days","4. Over 3 days")))</f>
        <v/>
      </c>
      <c r="O4812">
        <f>TEXT(B4812,"YYYY-MM")</f>
        <v/>
      </c>
    </row>
    <row r="4813">
      <c r="A4813" t="inlineStr">
        <is>
          <t>LD-304811</t>
        </is>
      </c>
      <c r="B4813" t="inlineStr">
        <is>
          <t>2026-06-12 08:19:00</t>
        </is>
      </c>
      <c r="C4813" t="inlineStr">
        <is>
          <t>Social Media</t>
        </is>
      </c>
      <c r="D4813" t="inlineStr">
        <is>
          <t>Coding for Kids</t>
        </is>
      </c>
      <c r="E4813" t="inlineStr">
        <is>
          <t>East Region</t>
        </is>
      </c>
      <c r="F4813" t="inlineStr">
        <is>
          <t>Rep_09</t>
        </is>
      </c>
      <c r="G4813" t="n">
        <v>6.88</v>
      </c>
      <c r="H4813" t="inlineStr">
        <is>
          <t>Demo Scheduled</t>
        </is>
      </c>
      <c r="I4813" t="inlineStr">
        <is>
          <t>Open</t>
        </is>
      </c>
      <c r="M4813">
        <f>VLOOKUP(H4813,'Stage Order'!$A$2:$B$8,2,FALSE)</f>
        <v/>
      </c>
      <c r="N4813">
        <f>IF(G4813&lt;=1,"1. Under 1 hour",IF(G4813&lt;=24,"2. 1-24 hours",IF(G4813&lt;=72,"3. 1-3 days","4. Over 3 days")))</f>
        <v/>
      </c>
      <c r="O4813">
        <f>TEXT(B4813,"YYYY-MM")</f>
        <v/>
      </c>
    </row>
    <row r="4814">
      <c r="A4814" t="inlineStr">
        <is>
          <t>LD-304812</t>
        </is>
      </c>
      <c r="B4814" t="inlineStr">
        <is>
          <t>2025-05-30 09:29:00</t>
        </is>
      </c>
      <c r="C4814" t="inlineStr">
        <is>
          <t>Paid Search</t>
        </is>
      </c>
      <c r="D4814" t="inlineStr">
        <is>
          <t>Coding for Kids</t>
        </is>
      </c>
      <c r="E4814" t="inlineStr">
        <is>
          <t>South Region</t>
        </is>
      </c>
      <c r="F4814" t="inlineStr">
        <is>
          <t>Rep_12</t>
        </is>
      </c>
      <c r="G4814" t="n">
        <v>3.42</v>
      </c>
      <c r="H4814" t="inlineStr">
        <is>
          <t>Contacted</t>
        </is>
      </c>
      <c r="I4814" t="inlineStr">
        <is>
          <t>Open</t>
        </is>
      </c>
      <c r="M4814">
        <f>VLOOKUP(H4814,'Stage Order'!$A$2:$B$8,2,FALSE)</f>
        <v/>
      </c>
      <c r="N4814">
        <f>IF(G4814&lt;=1,"1. Under 1 hour",IF(G4814&lt;=24,"2. 1-24 hours",IF(G4814&lt;=72,"3. 1-3 days","4. Over 3 days")))</f>
        <v/>
      </c>
      <c r="O4814">
        <f>TEXT(B4814,"YYYY-MM")</f>
        <v/>
      </c>
    </row>
    <row r="4815">
      <c r="A4815" t="inlineStr">
        <is>
          <t>LD-304813</t>
        </is>
      </c>
      <c r="B4815" t="inlineStr">
        <is>
          <t>2025-02-11 16:52:00</t>
        </is>
      </c>
      <c r="C4815" t="inlineStr">
        <is>
          <t>Referral</t>
        </is>
      </c>
      <c r="D4815" t="inlineStr">
        <is>
          <t>K-12 Math</t>
        </is>
      </c>
      <c r="E4815" t="inlineStr">
        <is>
          <t>South Region</t>
        </is>
      </c>
      <c r="F4815" t="inlineStr">
        <is>
          <t>Rep_07</t>
        </is>
      </c>
      <c r="G4815" t="n">
        <v>12</v>
      </c>
      <c r="H4815" t="inlineStr">
        <is>
          <t>Negotiation</t>
        </is>
      </c>
      <c r="I4815" t="inlineStr">
        <is>
          <t>Lost</t>
        </is>
      </c>
      <c r="J4815" t="inlineStr">
        <is>
          <t>Went With Competitor</t>
        </is>
      </c>
      <c r="K4815" t="n">
        <v>489.04</v>
      </c>
      <c r="L4815" t="inlineStr">
        <is>
          <t>2025-04-05 21:00:34.356012</t>
        </is>
      </c>
      <c r="M4815">
        <f>VLOOKUP(H4815,'Stage Order'!$A$2:$B$8,2,FALSE)</f>
        <v/>
      </c>
      <c r="N4815">
        <f>IF(G4815&lt;=1,"1. Under 1 hour",IF(G4815&lt;=24,"2. 1-24 hours",IF(G4815&lt;=72,"3. 1-3 days","4. Over 3 days")))</f>
        <v/>
      </c>
      <c r="O4815">
        <f>TEXT(B4815,"YYYY-MM")</f>
        <v/>
      </c>
    </row>
    <row r="4816">
      <c r="A4816" t="inlineStr">
        <is>
          <t>LD-304814</t>
        </is>
      </c>
      <c r="B4816" t="inlineStr">
        <is>
          <t>2025-01-31 17:12:00</t>
        </is>
      </c>
      <c r="C4816" t="inlineStr">
        <is>
          <t>Paid Search</t>
        </is>
      </c>
      <c r="D4816" t="inlineStr">
        <is>
          <t>Coding for Kids</t>
        </is>
      </c>
      <c r="E4816" t="inlineStr">
        <is>
          <t>International</t>
        </is>
      </c>
      <c r="F4816" t="inlineStr">
        <is>
          <t>Rep_15</t>
        </is>
      </c>
      <c r="G4816" t="n">
        <v>10.5</v>
      </c>
      <c r="H4816" t="inlineStr">
        <is>
          <t>Lead</t>
        </is>
      </c>
      <c r="I4816" t="inlineStr">
        <is>
          <t>Open</t>
        </is>
      </c>
      <c r="M4816">
        <f>VLOOKUP(H4816,'Stage Order'!$A$2:$B$8,2,FALSE)</f>
        <v/>
      </c>
      <c r="N4816">
        <f>IF(G4816&lt;=1,"1. Under 1 hour",IF(G4816&lt;=24,"2. 1-24 hours",IF(G4816&lt;=72,"3. 1-3 days","4. Over 3 days")))</f>
        <v/>
      </c>
      <c r="O4816">
        <f>TEXT(B4816,"YYYY-MM")</f>
        <v/>
      </c>
    </row>
    <row r="4817">
      <c r="A4817" t="inlineStr">
        <is>
          <t>LD-304815</t>
        </is>
      </c>
      <c r="B4817" t="inlineStr">
        <is>
          <t>2026-04-15 09:14:00</t>
        </is>
      </c>
      <c r="C4817" t="inlineStr">
        <is>
          <t>Referral</t>
        </is>
      </c>
      <c r="D4817" t="inlineStr">
        <is>
          <t>Coding for Kids</t>
        </is>
      </c>
      <c r="E4817" t="inlineStr">
        <is>
          <t>South Region</t>
        </is>
      </c>
      <c r="F4817" t="inlineStr">
        <is>
          <t>Rep_12</t>
        </is>
      </c>
      <c r="G4817" t="n">
        <v>2.65</v>
      </c>
      <c r="H4817" t="inlineStr">
        <is>
          <t>Contacted</t>
        </is>
      </c>
      <c r="I4817" t="inlineStr">
        <is>
          <t>Open</t>
        </is>
      </c>
      <c r="M4817">
        <f>VLOOKUP(H4817,'Stage Order'!$A$2:$B$8,2,FALSE)</f>
        <v/>
      </c>
      <c r="N4817">
        <f>IF(G4817&lt;=1,"1. Under 1 hour",IF(G4817&lt;=24,"2. 1-24 hours",IF(G4817&lt;=72,"3. 1-3 days","4. Over 3 days")))</f>
        <v/>
      </c>
      <c r="O4817">
        <f>TEXT(B4817,"YYYY-MM")</f>
        <v/>
      </c>
    </row>
    <row r="4818">
      <c r="A4818" t="inlineStr">
        <is>
          <t>LD-304816</t>
        </is>
      </c>
      <c r="B4818" t="inlineStr">
        <is>
          <t>2026-01-19 08:02:00</t>
        </is>
      </c>
      <c r="C4818" t="inlineStr">
        <is>
          <t>Cold Outreach</t>
        </is>
      </c>
      <c r="D4818" t="inlineStr">
        <is>
          <t>Coding for Kids</t>
        </is>
      </c>
      <c r="E4818" t="inlineStr">
        <is>
          <t>East Region</t>
        </is>
      </c>
      <c r="F4818" t="inlineStr">
        <is>
          <t>Rep_14</t>
        </is>
      </c>
      <c r="G4818" t="n">
        <v>8.050000000000001</v>
      </c>
      <c r="H4818" t="inlineStr">
        <is>
          <t>Contacted</t>
        </is>
      </c>
      <c r="I4818" t="inlineStr">
        <is>
          <t>Open</t>
        </is>
      </c>
      <c r="M4818">
        <f>VLOOKUP(H4818,'Stage Order'!$A$2:$B$8,2,FALSE)</f>
        <v/>
      </c>
      <c r="N4818">
        <f>IF(G4818&lt;=1,"1. Under 1 hour",IF(G4818&lt;=24,"2. 1-24 hours",IF(G4818&lt;=72,"3. 1-3 days","4. Over 3 days")))</f>
        <v/>
      </c>
      <c r="O4818">
        <f>TEXT(B4818,"YYYY-MM")</f>
        <v/>
      </c>
    </row>
    <row r="4819">
      <c r="A4819" t="inlineStr">
        <is>
          <t>LD-304817</t>
        </is>
      </c>
      <c r="B4819" t="inlineStr">
        <is>
          <t>2025-11-14 10:18:00</t>
        </is>
      </c>
      <c r="C4819" t="inlineStr">
        <is>
          <t>Partner Channel</t>
        </is>
      </c>
      <c r="D4819" t="inlineStr">
        <is>
          <t>Competitive Exam Prep</t>
        </is>
      </c>
      <c r="E4819" t="inlineStr">
        <is>
          <t>North Region</t>
        </is>
      </c>
      <c r="F4819" t="inlineStr">
        <is>
          <t>Rep_01</t>
        </is>
      </c>
      <c r="G4819" t="n">
        <v>2.86</v>
      </c>
      <c r="H4819" t="inlineStr">
        <is>
          <t>Contacted</t>
        </is>
      </c>
      <c r="I4819" t="inlineStr">
        <is>
          <t>Open</t>
        </is>
      </c>
      <c r="M4819">
        <f>VLOOKUP(H4819,'Stage Order'!$A$2:$B$8,2,FALSE)</f>
        <v/>
      </c>
      <c r="N4819">
        <f>IF(G4819&lt;=1,"1. Under 1 hour",IF(G4819&lt;=24,"2. 1-24 hours",IF(G4819&lt;=72,"3. 1-3 days","4. Over 3 days")))</f>
        <v/>
      </c>
      <c r="O4819">
        <f>TEXT(B4819,"YYYY-MM")</f>
        <v/>
      </c>
    </row>
    <row r="4820">
      <c r="A4820" t="inlineStr">
        <is>
          <t>LD-304818</t>
        </is>
      </c>
      <c r="B4820" t="inlineStr">
        <is>
          <t>2026-02-10 13:05:00</t>
        </is>
      </c>
      <c r="C4820" t="inlineStr">
        <is>
          <t>Organic Search</t>
        </is>
      </c>
      <c r="D4820" t="inlineStr">
        <is>
          <t>Coding for Kids</t>
        </is>
      </c>
      <c r="E4820" t="inlineStr">
        <is>
          <t>East Region</t>
        </is>
      </c>
      <c r="F4820" t="inlineStr">
        <is>
          <t>Rep_09</t>
        </is>
      </c>
      <c r="G4820" t="n">
        <v>3.05</v>
      </c>
      <c r="H4820" t="inlineStr">
        <is>
          <t>Demo Scheduled</t>
        </is>
      </c>
      <c r="I4820" t="inlineStr">
        <is>
          <t>Open</t>
        </is>
      </c>
      <c r="M4820">
        <f>VLOOKUP(H4820,'Stage Order'!$A$2:$B$8,2,FALSE)</f>
        <v/>
      </c>
      <c r="N4820">
        <f>IF(G4820&lt;=1,"1. Under 1 hour",IF(G4820&lt;=24,"2. 1-24 hours",IF(G4820&lt;=72,"3. 1-3 days","4. Over 3 days")))</f>
        <v/>
      </c>
      <c r="O4820">
        <f>TEXT(B4820,"YYYY-MM")</f>
        <v/>
      </c>
    </row>
    <row r="4821">
      <c r="A4821" t="inlineStr">
        <is>
          <t>LD-304819</t>
        </is>
      </c>
      <c r="B4821" t="inlineStr">
        <is>
          <t>2025-09-05 07:24:00</t>
        </is>
      </c>
      <c r="C4821" t="inlineStr">
        <is>
          <t>Paid Search</t>
        </is>
      </c>
      <c r="D4821" t="inlineStr">
        <is>
          <t>Study Abroad Prep</t>
        </is>
      </c>
      <c r="E4821" t="inlineStr">
        <is>
          <t>South Region</t>
        </is>
      </c>
      <c r="F4821" t="inlineStr">
        <is>
          <t>Rep_02</t>
        </is>
      </c>
      <c r="G4821" t="n">
        <v>2.74</v>
      </c>
      <c r="H4821" t="inlineStr">
        <is>
          <t>Demo Completed</t>
        </is>
      </c>
      <c r="I4821" t="inlineStr">
        <is>
          <t>Lost</t>
        </is>
      </c>
      <c r="J4821" t="inlineStr">
        <is>
          <t>No Response / Ghosted</t>
        </is>
      </c>
      <c r="K4821" t="n">
        <v>1549.85</v>
      </c>
      <c r="L4821" t="inlineStr">
        <is>
          <t>2025-10-08 15:48:44.641768</t>
        </is>
      </c>
      <c r="M4821">
        <f>VLOOKUP(H4821,'Stage Order'!$A$2:$B$8,2,FALSE)</f>
        <v/>
      </c>
      <c r="N4821">
        <f>IF(G4821&lt;=1,"1. Under 1 hour",IF(G4821&lt;=24,"2. 1-24 hours",IF(G4821&lt;=72,"3. 1-3 days","4. Over 3 days")))</f>
        <v/>
      </c>
      <c r="O4821">
        <f>TEXT(B4821,"YYYY-MM")</f>
        <v/>
      </c>
    </row>
    <row r="4822">
      <c r="A4822" t="inlineStr">
        <is>
          <t>LD-304820</t>
        </is>
      </c>
      <c r="B4822" t="inlineStr">
        <is>
          <t>2025-06-13 08:06:00</t>
        </is>
      </c>
      <c r="C4822" t="inlineStr">
        <is>
          <t>Social Media</t>
        </is>
      </c>
      <c r="D4822" t="inlineStr">
        <is>
          <t>Language Learning</t>
        </is>
      </c>
      <c r="E4822" t="inlineStr">
        <is>
          <t>North Region</t>
        </is>
      </c>
      <c r="F4822" t="inlineStr">
        <is>
          <t>Rep_01</t>
        </is>
      </c>
      <c r="G4822" t="n">
        <v>13.5</v>
      </c>
      <c r="H4822" t="inlineStr">
        <is>
          <t>Contacted</t>
        </is>
      </c>
      <c r="I4822" t="inlineStr">
        <is>
          <t>Open</t>
        </is>
      </c>
      <c r="M4822">
        <f>VLOOKUP(H4822,'Stage Order'!$A$2:$B$8,2,FALSE)</f>
        <v/>
      </c>
      <c r="N4822">
        <f>IF(G4822&lt;=1,"1. Under 1 hour",IF(G4822&lt;=24,"2. 1-24 hours",IF(G4822&lt;=72,"3. 1-3 days","4. Over 3 days")))</f>
        <v/>
      </c>
      <c r="O4822">
        <f>TEXT(B4822,"YYYY-MM")</f>
        <v/>
      </c>
    </row>
    <row r="4823">
      <c r="A4823" t="inlineStr">
        <is>
          <t>LD-304821</t>
        </is>
      </c>
      <c r="B4823" t="inlineStr">
        <is>
          <t>2026-03-27 10:05:00</t>
        </is>
      </c>
      <c r="C4823" t="inlineStr">
        <is>
          <t>Social Media</t>
        </is>
      </c>
      <c r="D4823" t="inlineStr">
        <is>
          <t>Coding for Kids</t>
        </is>
      </c>
      <c r="E4823" t="inlineStr">
        <is>
          <t>North Region</t>
        </is>
      </c>
      <c r="F4823" t="inlineStr">
        <is>
          <t>Rep_06</t>
        </is>
      </c>
      <c r="G4823" t="n">
        <v>3.61</v>
      </c>
      <c r="H4823" t="inlineStr">
        <is>
          <t>Contacted</t>
        </is>
      </c>
      <c r="I4823" t="inlineStr">
        <is>
          <t>Open</t>
        </is>
      </c>
      <c r="M4823">
        <f>VLOOKUP(H4823,'Stage Order'!$A$2:$B$8,2,FALSE)</f>
        <v/>
      </c>
      <c r="N4823">
        <f>IF(G4823&lt;=1,"1. Under 1 hour",IF(G4823&lt;=24,"2. 1-24 hours",IF(G4823&lt;=72,"3. 1-3 days","4. Over 3 days")))</f>
        <v/>
      </c>
      <c r="O4823">
        <f>TEXT(B4823,"YYYY-MM")</f>
        <v/>
      </c>
    </row>
    <row r="4824">
      <c r="A4824" t="inlineStr">
        <is>
          <t>LD-304822</t>
        </is>
      </c>
      <c r="B4824" t="inlineStr">
        <is>
          <t>2025-06-03 20:24:00</t>
        </is>
      </c>
      <c r="C4824" t="inlineStr">
        <is>
          <t>Organic Search</t>
        </is>
      </c>
      <c r="D4824" t="inlineStr">
        <is>
          <t>Study Abroad Prep</t>
        </is>
      </c>
      <c r="E4824" t="inlineStr">
        <is>
          <t>South Region</t>
        </is>
      </c>
      <c r="F4824" t="inlineStr">
        <is>
          <t>Rep_02</t>
        </is>
      </c>
      <c r="G4824" t="n">
        <v>1.89</v>
      </c>
      <c r="H4824" t="inlineStr">
        <is>
          <t>Proposal Sent</t>
        </is>
      </c>
      <c r="I4824" t="inlineStr">
        <is>
          <t>Lost</t>
        </is>
      </c>
      <c r="J4824" t="inlineStr">
        <is>
          <t>Went With Competitor</t>
        </is>
      </c>
      <c r="K4824" t="n">
        <v>1642.22</v>
      </c>
      <c r="L4824" t="inlineStr">
        <is>
          <t>2025-07-19 18:41:28.119275</t>
        </is>
      </c>
      <c r="M4824">
        <f>VLOOKUP(H4824,'Stage Order'!$A$2:$B$8,2,FALSE)</f>
        <v/>
      </c>
      <c r="N4824">
        <f>IF(G4824&lt;=1,"1. Under 1 hour",IF(G4824&lt;=24,"2. 1-24 hours",IF(G4824&lt;=72,"3. 1-3 days","4. Over 3 days")))</f>
        <v/>
      </c>
      <c r="O4824">
        <f>TEXT(B4824,"YYYY-MM")</f>
        <v/>
      </c>
    </row>
    <row r="4825">
      <c r="A4825" t="inlineStr">
        <is>
          <t>LD-304823</t>
        </is>
      </c>
      <c r="B4825" t="inlineStr">
        <is>
          <t>2025-08-20 15:01:00</t>
        </is>
      </c>
      <c r="C4825" t="inlineStr">
        <is>
          <t>Social Media</t>
        </is>
      </c>
      <c r="D4825" t="inlineStr">
        <is>
          <t>Coding for Kids</t>
        </is>
      </c>
      <c r="E4825" t="inlineStr">
        <is>
          <t>North Region</t>
        </is>
      </c>
      <c r="F4825" t="inlineStr">
        <is>
          <t>Rep_11</t>
        </is>
      </c>
      <c r="G4825" t="n">
        <v>5.14</v>
      </c>
      <c r="H4825" t="inlineStr">
        <is>
          <t>Lead</t>
        </is>
      </c>
      <c r="I4825" t="inlineStr">
        <is>
          <t>Open</t>
        </is>
      </c>
      <c r="M4825">
        <f>VLOOKUP(H4825,'Stage Order'!$A$2:$B$8,2,FALSE)</f>
        <v/>
      </c>
      <c r="N4825">
        <f>IF(G4825&lt;=1,"1. Under 1 hour",IF(G4825&lt;=24,"2. 1-24 hours",IF(G4825&lt;=72,"3. 1-3 days","4. Over 3 days")))</f>
        <v/>
      </c>
      <c r="O4825">
        <f>TEXT(B4825,"YYYY-MM")</f>
        <v/>
      </c>
    </row>
    <row r="4826">
      <c r="A4826" t="inlineStr">
        <is>
          <t>LD-304824</t>
        </is>
      </c>
      <c r="B4826" t="inlineStr">
        <is>
          <t>2025-01-08 20:08:00</t>
        </is>
      </c>
      <c r="C4826" t="inlineStr">
        <is>
          <t>Webinar</t>
        </is>
      </c>
      <c r="D4826" t="inlineStr">
        <is>
          <t>Competitive Exam Prep</t>
        </is>
      </c>
      <c r="E4826" t="inlineStr">
        <is>
          <t>International</t>
        </is>
      </c>
      <c r="F4826" t="inlineStr">
        <is>
          <t>Rep_15</t>
        </is>
      </c>
      <c r="G4826" t="n">
        <v>4.31</v>
      </c>
      <c r="H4826" t="inlineStr">
        <is>
          <t>Contacted</t>
        </is>
      </c>
      <c r="I4826" t="inlineStr">
        <is>
          <t>Open</t>
        </is>
      </c>
      <c r="M4826">
        <f>VLOOKUP(H4826,'Stage Order'!$A$2:$B$8,2,FALSE)</f>
        <v/>
      </c>
      <c r="N4826">
        <f>IF(G4826&lt;=1,"1. Under 1 hour",IF(G4826&lt;=24,"2. 1-24 hours",IF(G4826&lt;=72,"3. 1-3 days","4. Over 3 days")))</f>
        <v/>
      </c>
      <c r="O4826">
        <f>TEXT(B4826,"YYYY-MM")</f>
        <v/>
      </c>
    </row>
    <row r="4827">
      <c r="A4827" t="inlineStr">
        <is>
          <t>LD-304825</t>
        </is>
      </c>
      <c r="B4827" t="inlineStr">
        <is>
          <t>2025-07-03 10:01:00</t>
        </is>
      </c>
      <c r="C4827" t="inlineStr">
        <is>
          <t>Referral</t>
        </is>
      </c>
      <c r="D4827" t="inlineStr">
        <is>
          <t>Coding for Kids</t>
        </is>
      </c>
      <c r="E4827" t="inlineStr">
        <is>
          <t>South Region</t>
        </is>
      </c>
      <c r="F4827" t="inlineStr">
        <is>
          <t>Rep_12</t>
        </is>
      </c>
      <c r="G4827" t="n">
        <v>4.28</v>
      </c>
      <c r="H4827" t="inlineStr">
        <is>
          <t>Contacted</t>
        </is>
      </c>
      <c r="I4827" t="inlineStr">
        <is>
          <t>Open</t>
        </is>
      </c>
      <c r="M4827">
        <f>VLOOKUP(H4827,'Stage Order'!$A$2:$B$8,2,FALSE)</f>
        <v/>
      </c>
      <c r="N4827">
        <f>IF(G4827&lt;=1,"1. Under 1 hour",IF(G4827&lt;=24,"2. 1-24 hours",IF(G4827&lt;=72,"3. 1-3 days","4. Over 3 days")))</f>
        <v/>
      </c>
      <c r="O4827">
        <f>TEXT(B4827,"YYYY-MM")</f>
        <v/>
      </c>
    </row>
    <row r="4828">
      <c r="A4828" t="inlineStr">
        <is>
          <t>LD-304826</t>
        </is>
      </c>
      <c r="B4828" t="inlineStr">
        <is>
          <t>2026-06-15 12:53:00</t>
        </is>
      </c>
      <c r="C4828" t="inlineStr">
        <is>
          <t>Cold Outreach</t>
        </is>
      </c>
      <c r="D4828" t="inlineStr">
        <is>
          <t>Language Learning</t>
        </is>
      </c>
      <c r="E4828" t="inlineStr">
        <is>
          <t>North Region</t>
        </is>
      </c>
      <c r="F4828" t="inlineStr">
        <is>
          <t>Rep_06</t>
        </is>
      </c>
      <c r="G4828" t="n">
        <v>3.3</v>
      </c>
      <c r="H4828" t="inlineStr">
        <is>
          <t>Lead</t>
        </is>
      </c>
      <c r="I4828" t="inlineStr">
        <is>
          <t>Open</t>
        </is>
      </c>
      <c r="M4828">
        <f>VLOOKUP(H4828,'Stage Order'!$A$2:$B$8,2,FALSE)</f>
        <v/>
      </c>
      <c r="N4828">
        <f>IF(G4828&lt;=1,"1. Under 1 hour",IF(G4828&lt;=24,"2. 1-24 hours",IF(G4828&lt;=72,"3. 1-3 days","4. Over 3 days")))</f>
        <v/>
      </c>
      <c r="O4828">
        <f>TEXT(B4828,"YYYY-MM")</f>
        <v/>
      </c>
    </row>
    <row r="4829">
      <c r="A4829" t="inlineStr">
        <is>
          <t>LD-304827</t>
        </is>
      </c>
      <c r="B4829" t="inlineStr">
        <is>
          <t>2025-12-02 18:56:00</t>
        </is>
      </c>
      <c r="C4829" t="inlineStr">
        <is>
          <t>Webinar</t>
        </is>
      </c>
      <c r="D4829" t="inlineStr">
        <is>
          <t>Coding for Kids</t>
        </is>
      </c>
      <c r="E4829" t="inlineStr">
        <is>
          <t>East Region</t>
        </is>
      </c>
      <c r="F4829" t="inlineStr">
        <is>
          <t>Rep_04</t>
        </is>
      </c>
      <c r="G4829" t="n">
        <v>7.6</v>
      </c>
      <c r="H4829" t="inlineStr">
        <is>
          <t>Lead</t>
        </is>
      </c>
      <c r="I4829" t="inlineStr">
        <is>
          <t>Open</t>
        </is>
      </c>
      <c r="M4829">
        <f>VLOOKUP(H4829,'Stage Order'!$A$2:$B$8,2,FALSE)</f>
        <v/>
      </c>
      <c r="N4829">
        <f>IF(G4829&lt;=1,"1. Under 1 hour",IF(G4829&lt;=24,"2. 1-24 hours",IF(G4829&lt;=72,"3. 1-3 days","4. Over 3 days")))</f>
        <v/>
      </c>
      <c r="O4829">
        <f>TEXT(B4829,"YYYY-MM")</f>
        <v/>
      </c>
    </row>
    <row r="4830">
      <c r="A4830" t="inlineStr">
        <is>
          <t>LD-304828</t>
        </is>
      </c>
      <c r="B4830" t="inlineStr">
        <is>
          <t>2026-01-09 20:39:00</t>
        </is>
      </c>
      <c r="C4830" t="inlineStr">
        <is>
          <t>Paid Search</t>
        </is>
      </c>
      <c r="D4830" t="inlineStr">
        <is>
          <t>K-12 Math</t>
        </is>
      </c>
      <c r="E4830" t="inlineStr">
        <is>
          <t>East Region</t>
        </is>
      </c>
      <c r="F4830" t="inlineStr">
        <is>
          <t>Rep_09</t>
        </is>
      </c>
      <c r="G4830" t="n">
        <v>2.58</v>
      </c>
      <c r="H4830" t="inlineStr">
        <is>
          <t>Demo Completed</t>
        </is>
      </c>
      <c r="I4830" t="inlineStr">
        <is>
          <t>Lost</t>
        </is>
      </c>
      <c r="J4830" t="inlineStr">
        <is>
          <t>No Response / Ghosted</t>
        </is>
      </c>
      <c r="K4830" t="n">
        <v>528.62</v>
      </c>
      <c r="L4830" t="inlineStr">
        <is>
          <t>2026-02-11 18:22:04.226965</t>
        </is>
      </c>
      <c r="M4830">
        <f>VLOOKUP(H4830,'Stage Order'!$A$2:$B$8,2,FALSE)</f>
        <v/>
      </c>
      <c r="N4830">
        <f>IF(G4830&lt;=1,"1. Under 1 hour",IF(G4830&lt;=24,"2. 1-24 hours",IF(G4830&lt;=72,"3. 1-3 days","4. Over 3 days")))</f>
        <v/>
      </c>
      <c r="O4830">
        <f>TEXT(B4830,"YYYY-MM")</f>
        <v/>
      </c>
    </row>
    <row r="4831">
      <c r="A4831" t="inlineStr">
        <is>
          <t>LD-304829</t>
        </is>
      </c>
      <c r="B4831" t="inlineStr">
        <is>
          <t>2025-04-23 12:29:00</t>
        </is>
      </c>
      <c r="C4831" t="inlineStr">
        <is>
          <t>Social Media</t>
        </is>
      </c>
      <c r="D4831" t="inlineStr">
        <is>
          <t>Language Learning</t>
        </is>
      </c>
      <c r="E4831" t="inlineStr">
        <is>
          <t>North Region</t>
        </is>
      </c>
      <c r="F4831" t="inlineStr">
        <is>
          <t>Rep_06</t>
        </is>
      </c>
      <c r="G4831" t="n">
        <v>4.98</v>
      </c>
      <c r="H4831" t="inlineStr">
        <is>
          <t>Contacted</t>
        </is>
      </c>
      <c r="I4831" t="inlineStr">
        <is>
          <t>Open</t>
        </is>
      </c>
      <c r="M4831">
        <f>VLOOKUP(H4831,'Stage Order'!$A$2:$B$8,2,FALSE)</f>
        <v/>
      </c>
      <c r="N4831">
        <f>IF(G4831&lt;=1,"1. Under 1 hour",IF(G4831&lt;=24,"2. 1-24 hours",IF(G4831&lt;=72,"3. 1-3 days","4. Over 3 days")))</f>
        <v/>
      </c>
      <c r="O4831">
        <f>TEXT(B4831,"YYYY-MM")</f>
        <v/>
      </c>
    </row>
    <row r="4832">
      <c r="A4832" t="inlineStr">
        <is>
          <t>LD-304830</t>
        </is>
      </c>
      <c r="B4832" t="inlineStr">
        <is>
          <t>2025-08-03 09:51:00</t>
        </is>
      </c>
      <c r="C4832" t="inlineStr">
        <is>
          <t>Partner Channel</t>
        </is>
      </c>
      <c r="D4832" t="inlineStr">
        <is>
          <t>Coding for Kids</t>
        </is>
      </c>
      <c r="E4832" t="inlineStr">
        <is>
          <t>West Region</t>
        </is>
      </c>
      <c r="F4832" t="inlineStr">
        <is>
          <t>Rep_08</t>
        </is>
      </c>
      <c r="G4832" t="n">
        <v>0.72</v>
      </c>
      <c r="H4832" t="inlineStr">
        <is>
          <t>Negotiation</t>
        </is>
      </c>
      <c r="I4832" t="inlineStr">
        <is>
          <t>Lost</t>
        </is>
      </c>
      <c r="J4832" t="inlineStr">
        <is>
          <t>No Response / Ghosted</t>
        </is>
      </c>
      <c r="K4832" t="n">
        <v>665.38</v>
      </c>
      <c r="L4832" t="inlineStr">
        <is>
          <t>2025-09-13 23:16:02.998336</t>
        </is>
      </c>
      <c r="M4832">
        <f>VLOOKUP(H4832,'Stage Order'!$A$2:$B$8,2,FALSE)</f>
        <v/>
      </c>
      <c r="N4832">
        <f>IF(G4832&lt;=1,"1. Under 1 hour",IF(G4832&lt;=24,"2. 1-24 hours",IF(G4832&lt;=72,"3. 1-3 days","4. Over 3 days")))</f>
        <v/>
      </c>
      <c r="O4832">
        <f>TEXT(B4832,"YYYY-MM")</f>
        <v/>
      </c>
    </row>
    <row r="4833">
      <c r="A4833" t="inlineStr">
        <is>
          <t>LD-304831</t>
        </is>
      </c>
      <c r="B4833" t="inlineStr">
        <is>
          <t>2026-06-17 11:52:00</t>
        </is>
      </c>
      <c r="C4833" t="inlineStr">
        <is>
          <t>Social Media</t>
        </is>
      </c>
      <c r="D4833" t="inlineStr">
        <is>
          <t>Language Learning</t>
        </is>
      </c>
      <c r="E4833" t="inlineStr">
        <is>
          <t>South Region</t>
        </is>
      </c>
      <c r="F4833" t="inlineStr">
        <is>
          <t>Rep_12</t>
        </is>
      </c>
      <c r="G4833" t="n">
        <v>5.54</v>
      </c>
      <c r="H4833" t="inlineStr">
        <is>
          <t>Closed</t>
        </is>
      </c>
      <c r="I4833" t="inlineStr">
        <is>
          <t>Won</t>
        </is>
      </c>
      <c r="K4833" t="n">
        <v>337.11</v>
      </c>
      <c r="L4833" t="inlineStr">
        <is>
          <t>2026-08-14 01:52:54.642199</t>
        </is>
      </c>
      <c r="M4833">
        <f>VLOOKUP(H4833,'Stage Order'!$A$2:$B$8,2,FALSE)</f>
        <v/>
      </c>
      <c r="N4833">
        <f>IF(G4833&lt;=1,"1. Under 1 hour",IF(G4833&lt;=24,"2. 1-24 hours",IF(G4833&lt;=72,"3. 1-3 days","4. Over 3 days")))</f>
        <v/>
      </c>
      <c r="O4833">
        <f>TEXT(B4833,"YYYY-MM")</f>
        <v/>
      </c>
    </row>
    <row r="4834">
      <c r="A4834" t="inlineStr">
        <is>
          <t>LD-304832</t>
        </is>
      </c>
      <c r="B4834" t="inlineStr">
        <is>
          <t>2026-06-05 07:52:00</t>
        </is>
      </c>
      <c r="C4834" t="inlineStr">
        <is>
          <t>Webinar</t>
        </is>
      </c>
      <c r="D4834" t="inlineStr">
        <is>
          <t>Language Learning</t>
        </is>
      </c>
      <c r="E4834" t="inlineStr">
        <is>
          <t>East Region</t>
        </is>
      </c>
      <c r="F4834" t="inlineStr">
        <is>
          <t>Rep_04</t>
        </is>
      </c>
      <c r="G4834" t="n">
        <v>6.64</v>
      </c>
      <c r="H4834" t="inlineStr">
        <is>
          <t>Proposal Sent</t>
        </is>
      </c>
      <c r="I4834" t="inlineStr">
        <is>
          <t>Lost</t>
        </is>
      </c>
      <c r="J4834" t="inlineStr">
        <is>
          <t>Price Objection</t>
        </is>
      </c>
      <c r="K4834" t="n">
        <v>324.5</v>
      </c>
      <c r="L4834" t="inlineStr">
        <is>
          <t>2026-07-02 03:47:15.417295</t>
        </is>
      </c>
      <c r="M4834">
        <f>VLOOKUP(H4834,'Stage Order'!$A$2:$B$8,2,FALSE)</f>
        <v/>
      </c>
      <c r="N4834">
        <f>IF(G4834&lt;=1,"1. Under 1 hour",IF(G4834&lt;=24,"2. 1-24 hours",IF(G4834&lt;=72,"3. 1-3 days","4. Over 3 days")))</f>
        <v/>
      </c>
      <c r="O4834">
        <f>TEXT(B4834,"YYYY-MM")</f>
        <v/>
      </c>
    </row>
    <row r="4835">
      <c r="A4835" t="inlineStr">
        <is>
          <t>LD-304833</t>
        </is>
      </c>
      <c r="B4835" t="inlineStr">
        <is>
          <t>2025-09-15 11:26:00</t>
        </is>
      </c>
      <c r="C4835" t="inlineStr">
        <is>
          <t>Organic Search</t>
        </is>
      </c>
      <c r="D4835" t="inlineStr">
        <is>
          <t>Coding for Kids</t>
        </is>
      </c>
      <c r="E4835" t="inlineStr">
        <is>
          <t>West Region</t>
        </is>
      </c>
      <c r="F4835" t="inlineStr">
        <is>
          <t>Rep_03</t>
        </is>
      </c>
      <c r="G4835" t="n">
        <v>1.99</v>
      </c>
      <c r="H4835" t="inlineStr">
        <is>
          <t>Closed</t>
        </is>
      </c>
      <c r="I4835" t="inlineStr">
        <is>
          <t>Won</t>
        </is>
      </c>
      <c r="K4835" t="n">
        <v>631.4</v>
      </c>
      <c r="L4835" t="inlineStr">
        <is>
          <t>2025-10-25 12:07:38.352045</t>
        </is>
      </c>
      <c r="M4835">
        <f>VLOOKUP(H4835,'Stage Order'!$A$2:$B$8,2,FALSE)</f>
        <v/>
      </c>
      <c r="N4835">
        <f>IF(G4835&lt;=1,"1. Under 1 hour",IF(G4835&lt;=24,"2. 1-24 hours",IF(G4835&lt;=72,"3. 1-3 days","4. Over 3 days")))</f>
        <v/>
      </c>
      <c r="O4835">
        <f>TEXT(B4835,"YYYY-MM")</f>
        <v/>
      </c>
    </row>
    <row r="4836">
      <c r="A4836" t="inlineStr">
        <is>
          <t>LD-304834</t>
        </is>
      </c>
      <c r="B4836" t="inlineStr">
        <is>
          <t>2025-05-23 16:06:00</t>
        </is>
      </c>
      <c r="C4836" t="inlineStr">
        <is>
          <t>Paid Search</t>
        </is>
      </c>
      <c r="D4836" t="inlineStr">
        <is>
          <t>Language Learning</t>
        </is>
      </c>
      <c r="E4836" t="inlineStr">
        <is>
          <t>South Region</t>
        </is>
      </c>
      <c r="F4836" t="inlineStr">
        <is>
          <t>Rep_07</t>
        </is>
      </c>
      <c r="G4836" t="n">
        <v>1.51</v>
      </c>
      <c r="H4836" t="inlineStr">
        <is>
          <t>Contacted</t>
        </is>
      </c>
      <c r="I4836" t="inlineStr">
        <is>
          <t>Open</t>
        </is>
      </c>
      <c r="M4836">
        <f>VLOOKUP(H4836,'Stage Order'!$A$2:$B$8,2,FALSE)</f>
        <v/>
      </c>
      <c r="N4836">
        <f>IF(G4836&lt;=1,"1. Under 1 hour",IF(G4836&lt;=24,"2. 1-24 hours",IF(G4836&lt;=72,"3. 1-3 days","4. Over 3 days")))</f>
        <v/>
      </c>
      <c r="O4836">
        <f>TEXT(B4836,"YYYY-MM")</f>
        <v/>
      </c>
    </row>
    <row r="4837">
      <c r="A4837" t="inlineStr">
        <is>
          <t>LD-304835</t>
        </is>
      </c>
      <c r="B4837" t="inlineStr">
        <is>
          <t>2025-05-02 10:11:00</t>
        </is>
      </c>
      <c r="C4837" t="inlineStr">
        <is>
          <t>Referral</t>
        </is>
      </c>
      <c r="D4837" t="inlineStr">
        <is>
          <t>K-12 Math</t>
        </is>
      </c>
      <c r="E4837" t="inlineStr">
        <is>
          <t>East Region</t>
        </is>
      </c>
      <c r="F4837" t="inlineStr">
        <is>
          <t>Rep_04</t>
        </is>
      </c>
      <c r="G4837" t="n">
        <v>4.45</v>
      </c>
      <c r="H4837" t="inlineStr">
        <is>
          <t>Proposal Sent</t>
        </is>
      </c>
      <c r="I4837" t="inlineStr">
        <is>
          <t>Lost</t>
        </is>
      </c>
      <c r="J4837" t="inlineStr">
        <is>
          <t>Price Objection</t>
        </is>
      </c>
      <c r="K4837" t="n">
        <v>422.38</v>
      </c>
      <c r="L4837" t="inlineStr">
        <is>
          <t>2025-05-23 15:52:15.345744</t>
        </is>
      </c>
      <c r="M4837">
        <f>VLOOKUP(H4837,'Stage Order'!$A$2:$B$8,2,FALSE)</f>
        <v/>
      </c>
      <c r="N4837">
        <f>IF(G4837&lt;=1,"1. Under 1 hour",IF(G4837&lt;=24,"2. 1-24 hours",IF(G4837&lt;=72,"3. 1-3 days","4. Over 3 days")))</f>
        <v/>
      </c>
      <c r="O4837">
        <f>TEXT(B4837,"YYYY-MM")</f>
        <v/>
      </c>
    </row>
    <row r="4838">
      <c r="A4838" t="inlineStr">
        <is>
          <t>LD-304836</t>
        </is>
      </c>
      <c r="B4838" t="inlineStr">
        <is>
          <t>2025-10-20 07:05:00</t>
        </is>
      </c>
      <c r="C4838" t="inlineStr">
        <is>
          <t>Partner Channel</t>
        </is>
      </c>
      <c r="D4838" t="inlineStr">
        <is>
          <t>Study Abroad Prep</t>
        </is>
      </c>
      <c r="E4838" t="inlineStr">
        <is>
          <t>North Region</t>
        </is>
      </c>
      <c r="F4838" t="inlineStr">
        <is>
          <t>Rep_01</t>
        </is>
      </c>
      <c r="G4838" t="n">
        <v>6.52</v>
      </c>
      <c r="H4838" t="inlineStr">
        <is>
          <t>Proposal Sent</t>
        </is>
      </c>
      <c r="I4838" t="inlineStr">
        <is>
          <t>Lost</t>
        </is>
      </c>
      <c r="J4838" t="inlineStr">
        <is>
          <t>Price Objection</t>
        </is>
      </c>
      <c r="K4838" t="n">
        <v>1197.89</v>
      </c>
      <c r="L4838" t="inlineStr">
        <is>
          <t>2025-11-23 09:02:31.714723</t>
        </is>
      </c>
      <c r="M4838">
        <f>VLOOKUP(H4838,'Stage Order'!$A$2:$B$8,2,FALSE)</f>
        <v/>
      </c>
      <c r="N4838">
        <f>IF(G4838&lt;=1,"1. Under 1 hour",IF(G4838&lt;=24,"2. 1-24 hours",IF(G4838&lt;=72,"3. 1-3 days","4. Over 3 days")))</f>
        <v/>
      </c>
      <c r="O4838">
        <f>TEXT(B4838,"YYYY-MM")</f>
        <v/>
      </c>
    </row>
    <row r="4839">
      <c r="A4839" t="inlineStr">
        <is>
          <t>LD-304837</t>
        </is>
      </c>
      <c r="B4839" t="inlineStr">
        <is>
          <t>2025-06-08 10:32:00</t>
        </is>
      </c>
      <c r="C4839" t="inlineStr">
        <is>
          <t>Referral</t>
        </is>
      </c>
      <c r="D4839" t="inlineStr">
        <is>
          <t>Competitive Exam Prep</t>
        </is>
      </c>
      <c r="E4839" t="inlineStr">
        <is>
          <t>International</t>
        </is>
      </c>
      <c r="F4839" t="inlineStr">
        <is>
          <t>Rep_15</t>
        </is>
      </c>
      <c r="G4839" t="n">
        <v>0.57</v>
      </c>
      <c r="H4839" t="inlineStr">
        <is>
          <t>Closed</t>
        </is>
      </c>
      <c r="I4839" t="inlineStr">
        <is>
          <t>Won</t>
        </is>
      </c>
      <c r="K4839" t="n">
        <v>1164.79</v>
      </c>
      <c r="L4839" t="inlineStr">
        <is>
          <t>2025-07-19 16:52:35.849243</t>
        </is>
      </c>
      <c r="M4839">
        <f>VLOOKUP(H4839,'Stage Order'!$A$2:$B$8,2,FALSE)</f>
        <v/>
      </c>
      <c r="N4839">
        <f>IF(G4839&lt;=1,"1. Under 1 hour",IF(G4839&lt;=24,"2. 1-24 hours",IF(G4839&lt;=72,"3. 1-3 days","4. Over 3 days")))</f>
        <v/>
      </c>
      <c r="O4839">
        <f>TEXT(B4839,"YYYY-MM")</f>
        <v/>
      </c>
    </row>
    <row r="4840">
      <c r="A4840" t="inlineStr">
        <is>
          <t>LD-304838</t>
        </is>
      </c>
      <c r="B4840" t="inlineStr">
        <is>
          <t>2025-08-24 15:12:00</t>
        </is>
      </c>
      <c r="C4840" t="inlineStr">
        <is>
          <t>Social Media</t>
        </is>
      </c>
      <c r="D4840" t="inlineStr">
        <is>
          <t>Language Learning</t>
        </is>
      </c>
      <c r="E4840" t="inlineStr">
        <is>
          <t>East Region</t>
        </is>
      </c>
      <c r="F4840" t="inlineStr">
        <is>
          <t>Rep_04</t>
        </is>
      </c>
      <c r="G4840" t="n">
        <v>26.81</v>
      </c>
      <c r="H4840" t="inlineStr">
        <is>
          <t>Lead</t>
        </is>
      </c>
      <c r="I4840" t="inlineStr">
        <is>
          <t>Open</t>
        </is>
      </c>
      <c r="M4840">
        <f>VLOOKUP(H4840,'Stage Order'!$A$2:$B$8,2,FALSE)</f>
        <v/>
      </c>
      <c r="N4840">
        <f>IF(G4840&lt;=1,"1. Under 1 hour",IF(G4840&lt;=24,"2. 1-24 hours",IF(G4840&lt;=72,"3. 1-3 days","4. Over 3 days")))</f>
        <v/>
      </c>
      <c r="O4840">
        <f>TEXT(B4840,"YYYY-MM")</f>
        <v/>
      </c>
    </row>
    <row r="4841">
      <c r="A4841" t="inlineStr">
        <is>
          <t>LD-304839</t>
        </is>
      </c>
      <c r="B4841" t="inlineStr">
        <is>
          <t>2025-06-26 17:39:00</t>
        </is>
      </c>
      <c r="C4841" t="inlineStr">
        <is>
          <t>Cold Outreach</t>
        </is>
      </c>
      <c r="D4841" t="inlineStr">
        <is>
          <t>Competitive Exam Prep</t>
        </is>
      </c>
      <c r="E4841" t="inlineStr">
        <is>
          <t>South Region</t>
        </is>
      </c>
      <c r="F4841" t="inlineStr">
        <is>
          <t>Rep_07</t>
        </is>
      </c>
      <c r="G4841" t="n">
        <v>6.14</v>
      </c>
      <c r="H4841" t="inlineStr">
        <is>
          <t>Contacted</t>
        </is>
      </c>
      <c r="I4841" t="inlineStr">
        <is>
          <t>Open</t>
        </is>
      </c>
      <c r="M4841">
        <f>VLOOKUP(H4841,'Stage Order'!$A$2:$B$8,2,FALSE)</f>
        <v/>
      </c>
      <c r="N4841">
        <f>IF(G4841&lt;=1,"1. Under 1 hour",IF(G4841&lt;=24,"2. 1-24 hours",IF(G4841&lt;=72,"3. 1-3 days","4. Over 3 days")))</f>
        <v/>
      </c>
      <c r="O4841">
        <f>TEXT(B4841,"YYYY-MM")</f>
        <v/>
      </c>
    </row>
    <row r="4842">
      <c r="A4842" t="inlineStr">
        <is>
          <t>LD-304840</t>
        </is>
      </c>
      <c r="B4842" t="inlineStr">
        <is>
          <t>2026-03-19 11:59:00</t>
        </is>
      </c>
      <c r="C4842" t="inlineStr">
        <is>
          <t>Partner Channel</t>
        </is>
      </c>
      <c r="D4842" t="inlineStr">
        <is>
          <t>Language Learning</t>
        </is>
      </c>
      <c r="E4842" t="inlineStr">
        <is>
          <t>South Region</t>
        </is>
      </c>
      <c r="F4842" t="inlineStr">
        <is>
          <t>Rep_07</t>
        </is>
      </c>
      <c r="G4842" t="n">
        <v>3.86</v>
      </c>
      <c r="H4842" t="inlineStr">
        <is>
          <t>Contacted</t>
        </is>
      </c>
      <c r="I4842" t="inlineStr">
        <is>
          <t>Open</t>
        </is>
      </c>
      <c r="M4842">
        <f>VLOOKUP(H4842,'Stage Order'!$A$2:$B$8,2,FALSE)</f>
        <v/>
      </c>
      <c r="N4842">
        <f>IF(G4842&lt;=1,"1. Under 1 hour",IF(G4842&lt;=24,"2. 1-24 hours",IF(G4842&lt;=72,"3. 1-3 days","4. Over 3 days")))</f>
        <v/>
      </c>
      <c r="O4842">
        <f>TEXT(B4842,"YYYY-MM")</f>
        <v/>
      </c>
    </row>
    <row r="4843">
      <c r="A4843" t="inlineStr">
        <is>
          <t>LD-304841</t>
        </is>
      </c>
      <c r="B4843" t="inlineStr">
        <is>
          <t>2025-08-15 08:56:00</t>
        </is>
      </c>
      <c r="C4843" t="inlineStr">
        <is>
          <t>Social Media</t>
        </is>
      </c>
      <c r="D4843" t="inlineStr">
        <is>
          <t>Coding for Kids</t>
        </is>
      </c>
      <c r="E4843" t="inlineStr">
        <is>
          <t>West Region</t>
        </is>
      </c>
      <c r="F4843" t="inlineStr">
        <is>
          <t>Rep_08</t>
        </is>
      </c>
      <c r="G4843" t="n">
        <v>6.72</v>
      </c>
      <c r="H4843" t="inlineStr">
        <is>
          <t>Contacted</t>
        </is>
      </c>
      <c r="I4843" t="inlineStr">
        <is>
          <t>Open</t>
        </is>
      </c>
      <c r="M4843">
        <f>VLOOKUP(H4843,'Stage Order'!$A$2:$B$8,2,FALSE)</f>
        <v/>
      </c>
      <c r="N4843">
        <f>IF(G4843&lt;=1,"1. Under 1 hour",IF(G4843&lt;=24,"2. 1-24 hours",IF(G4843&lt;=72,"3. 1-3 days","4. Over 3 days")))</f>
        <v/>
      </c>
      <c r="O4843">
        <f>TEXT(B4843,"YYYY-MM")</f>
        <v/>
      </c>
    </row>
    <row r="4844">
      <c r="A4844" t="inlineStr">
        <is>
          <t>LD-304842</t>
        </is>
      </c>
      <c r="B4844" t="inlineStr">
        <is>
          <t>2025-03-24 09:11:00</t>
        </is>
      </c>
      <c r="C4844" t="inlineStr">
        <is>
          <t>Social Media</t>
        </is>
      </c>
      <c r="D4844" t="inlineStr">
        <is>
          <t>Study Abroad Prep</t>
        </is>
      </c>
      <c r="E4844" t="inlineStr">
        <is>
          <t>West Region</t>
        </is>
      </c>
      <c r="F4844" t="inlineStr">
        <is>
          <t>Rep_13</t>
        </is>
      </c>
      <c r="G4844" t="n">
        <v>4.8</v>
      </c>
      <c r="H4844" t="inlineStr">
        <is>
          <t>Proposal Sent</t>
        </is>
      </c>
      <c r="I4844" t="inlineStr">
        <is>
          <t>Lost</t>
        </is>
      </c>
      <c r="J4844" t="inlineStr">
        <is>
          <t>Budget Not Approved</t>
        </is>
      </c>
      <c r="K4844" t="n">
        <v>1741.75</v>
      </c>
      <c r="L4844" t="inlineStr">
        <is>
          <t>2025-04-21 23:09:45.598103</t>
        </is>
      </c>
      <c r="M4844">
        <f>VLOOKUP(H4844,'Stage Order'!$A$2:$B$8,2,FALSE)</f>
        <v/>
      </c>
      <c r="N4844">
        <f>IF(G4844&lt;=1,"1. Under 1 hour",IF(G4844&lt;=24,"2. 1-24 hours",IF(G4844&lt;=72,"3. 1-3 days","4. Over 3 days")))</f>
        <v/>
      </c>
      <c r="O4844">
        <f>TEXT(B4844,"YYYY-MM")</f>
        <v/>
      </c>
    </row>
    <row r="4845">
      <c r="A4845" t="inlineStr">
        <is>
          <t>LD-304843</t>
        </is>
      </c>
      <c r="B4845" t="inlineStr">
        <is>
          <t>2026-06-18 13:26:00</t>
        </is>
      </c>
      <c r="C4845" t="inlineStr">
        <is>
          <t>Organic Search</t>
        </is>
      </c>
      <c r="D4845" t="inlineStr">
        <is>
          <t>Coding for Kids</t>
        </is>
      </c>
      <c r="E4845" t="inlineStr">
        <is>
          <t>West Region</t>
        </is>
      </c>
      <c r="F4845" t="inlineStr">
        <is>
          <t>Rep_03</t>
        </is>
      </c>
      <c r="G4845" t="n">
        <v>3.68</v>
      </c>
      <c r="H4845" t="inlineStr">
        <is>
          <t>Contacted</t>
        </is>
      </c>
      <c r="I4845" t="inlineStr">
        <is>
          <t>Open</t>
        </is>
      </c>
      <c r="M4845">
        <f>VLOOKUP(H4845,'Stage Order'!$A$2:$B$8,2,FALSE)</f>
        <v/>
      </c>
      <c r="N4845">
        <f>IF(G4845&lt;=1,"1. Under 1 hour",IF(G4845&lt;=24,"2. 1-24 hours",IF(G4845&lt;=72,"3. 1-3 days","4. Over 3 days")))</f>
        <v/>
      </c>
      <c r="O4845">
        <f>TEXT(B4845,"YYYY-MM")</f>
        <v/>
      </c>
    </row>
    <row r="4846">
      <c r="A4846" t="inlineStr">
        <is>
          <t>LD-304844</t>
        </is>
      </c>
      <c r="B4846" t="inlineStr">
        <is>
          <t>2025-06-03 20:54:00</t>
        </is>
      </c>
      <c r="C4846" t="inlineStr">
        <is>
          <t>Webinar</t>
        </is>
      </c>
      <c r="D4846" t="inlineStr">
        <is>
          <t>Competitive Exam Prep</t>
        </is>
      </c>
      <c r="E4846" t="inlineStr">
        <is>
          <t>North Region</t>
        </is>
      </c>
      <c r="F4846" t="inlineStr">
        <is>
          <t>Rep_11</t>
        </is>
      </c>
      <c r="G4846" t="n">
        <v>2.74</v>
      </c>
      <c r="H4846" t="inlineStr">
        <is>
          <t>Contacted</t>
        </is>
      </c>
      <c r="I4846" t="inlineStr">
        <is>
          <t>Open</t>
        </is>
      </c>
      <c r="M4846">
        <f>VLOOKUP(H4846,'Stage Order'!$A$2:$B$8,2,FALSE)</f>
        <v/>
      </c>
      <c r="N4846">
        <f>IF(G4846&lt;=1,"1. Under 1 hour",IF(G4846&lt;=24,"2. 1-24 hours",IF(G4846&lt;=72,"3. 1-3 days","4. Over 3 days")))</f>
        <v/>
      </c>
      <c r="O4846">
        <f>TEXT(B4846,"YYYY-MM")</f>
        <v/>
      </c>
    </row>
    <row r="4847">
      <c r="A4847" t="inlineStr">
        <is>
          <t>LD-304845</t>
        </is>
      </c>
      <c r="B4847" t="inlineStr">
        <is>
          <t>2026-04-16 16:14:00</t>
        </is>
      </c>
      <c r="C4847" t="inlineStr">
        <is>
          <t>Social Media</t>
        </is>
      </c>
      <c r="D4847" t="inlineStr">
        <is>
          <t>Coding for Kids</t>
        </is>
      </c>
      <c r="E4847" t="inlineStr">
        <is>
          <t>East Region</t>
        </is>
      </c>
      <c r="F4847" t="inlineStr">
        <is>
          <t>Rep_14</t>
        </is>
      </c>
      <c r="G4847" t="n">
        <v>36.67</v>
      </c>
      <c r="H4847" t="inlineStr">
        <is>
          <t>Contacted</t>
        </is>
      </c>
      <c r="I4847" t="inlineStr">
        <is>
          <t>Open</t>
        </is>
      </c>
      <c r="M4847">
        <f>VLOOKUP(H4847,'Stage Order'!$A$2:$B$8,2,FALSE)</f>
        <v/>
      </c>
      <c r="N4847">
        <f>IF(G4847&lt;=1,"1. Under 1 hour",IF(G4847&lt;=24,"2. 1-24 hours",IF(G4847&lt;=72,"3. 1-3 days","4. Over 3 days")))</f>
        <v/>
      </c>
      <c r="O4847">
        <f>TEXT(B4847,"YYYY-MM")</f>
        <v/>
      </c>
    </row>
    <row r="4848">
      <c r="A4848" t="inlineStr">
        <is>
          <t>LD-304846</t>
        </is>
      </c>
      <c r="B4848" t="inlineStr">
        <is>
          <t>2026-02-06 10:50:00</t>
        </is>
      </c>
      <c r="C4848" t="inlineStr">
        <is>
          <t>Referral</t>
        </is>
      </c>
      <c r="D4848" t="inlineStr">
        <is>
          <t>Study Abroad Prep</t>
        </is>
      </c>
      <c r="E4848" t="inlineStr">
        <is>
          <t>South Region</t>
        </is>
      </c>
      <c r="F4848" t="inlineStr">
        <is>
          <t>Rep_12</t>
        </is>
      </c>
      <c r="G4848" t="n">
        <v>4.07</v>
      </c>
      <c r="H4848" t="inlineStr">
        <is>
          <t>Closed</t>
        </is>
      </c>
      <c r="I4848" t="inlineStr">
        <is>
          <t>Won</t>
        </is>
      </c>
      <c r="K4848" t="n">
        <v>1445.45</v>
      </c>
      <c r="L4848" t="inlineStr">
        <is>
          <t>2026-03-24 16:56:56.658908</t>
        </is>
      </c>
      <c r="M4848">
        <f>VLOOKUP(H4848,'Stage Order'!$A$2:$B$8,2,FALSE)</f>
        <v/>
      </c>
      <c r="N4848">
        <f>IF(G4848&lt;=1,"1. Under 1 hour",IF(G4848&lt;=24,"2. 1-24 hours",IF(G4848&lt;=72,"3. 1-3 days","4. Over 3 days")))</f>
        <v/>
      </c>
      <c r="O4848">
        <f>TEXT(B4848,"YYYY-MM")</f>
        <v/>
      </c>
    </row>
    <row r="4849">
      <c r="A4849" t="inlineStr">
        <is>
          <t>LD-304847</t>
        </is>
      </c>
      <c r="B4849" t="inlineStr">
        <is>
          <t>2025-10-09 09:17:00</t>
        </is>
      </c>
      <c r="C4849" t="inlineStr">
        <is>
          <t>Partner Channel</t>
        </is>
      </c>
      <c r="D4849" t="inlineStr">
        <is>
          <t>Study Abroad Prep</t>
        </is>
      </c>
      <c r="E4849" t="inlineStr">
        <is>
          <t>International</t>
        </is>
      </c>
      <c r="F4849" t="inlineStr">
        <is>
          <t>Rep_15</t>
        </is>
      </c>
      <c r="G4849" t="n">
        <v>28.73</v>
      </c>
      <c r="H4849" t="inlineStr">
        <is>
          <t>Lead</t>
        </is>
      </c>
      <c r="I4849" t="inlineStr">
        <is>
          <t>Open</t>
        </is>
      </c>
      <c r="M4849">
        <f>VLOOKUP(H4849,'Stage Order'!$A$2:$B$8,2,FALSE)</f>
        <v/>
      </c>
      <c r="N4849">
        <f>IF(G4849&lt;=1,"1. Under 1 hour",IF(G4849&lt;=24,"2. 1-24 hours",IF(G4849&lt;=72,"3. 1-3 days","4. Over 3 days")))</f>
        <v/>
      </c>
      <c r="O4849">
        <f>TEXT(B4849,"YYYY-MM")</f>
        <v/>
      </c>
    </row>
    <row r="4850">
      <c r="A4850" t="inlineStr">
        <is>
          <t>LD-304848</t>
        </is>
      </c>
      <c r="B4850" t="inlineStr">
        <is>
          <t>2025-10-07 09:51:00</t>
        </is>
      </c>
      <c r="C4850" t="inlineStr">
        <is>
          <t>Webinar</t>
        </is>
      </c>
      <c r="D4850" t="inlineStr">
        <is>
          <t>Competitive Exam Prep</t>
        </is>
      </c>
      <c r="E4850" t="inlineStr">
        <is>
          <t>East Region</t>
        </is>
      </c>
      <c r="F4850" t="inlineStr">
        <is>
          <t>Rep_04</t>
        </is>
      </c>
      <c r="G4850" t="n">
        <v>3.97</v>
      </c>
      <c r="H4850" t="inlineStr">
        <is>
          <t>Lead</t>
        </is>
      </c>
      <c r="I4850" t="inlineStr">
        <is>
          <t>Open</t>
        </is>
      </c>
      <c r="M4850">
        <f>VLOOKUP(H4850,'Stage Order'!$A$2:$B$8,2,FALSE)</f>
        <v/>
      </c>
      <c r="N4850">
        <f>IF(G4850&lt;=1,"1. Under 1 hour",IF(G4850&lt;=24,"2. 1-24 hours",IF(G4850&lt;=72,"3. 1-3 days","4. Over 3 days")))</f>
        <v/>
      </c>
      <c r="O4850">
        <f>TEXT(B4850,"YYYY-MM")</f>
        <v/>
      </c>
    </row>
    <row r="4851">
      <c r="A4851" t="inlineStr">
        <is>
          <t>LD-304849</t>
        </is>
      </c>
      <c r="B4851" t="inlineStr">
        <is>
          <t>2026-04-24 20:41:00</t>
        </is>
      </c>
      <c r="C4851" t="inlineStr">
        <is>
          <t>Organic Search</t>
        </is>
      </c>
      <c r="D4851" t="inlineStr">
        <is>
          <t>K-12 Math</t>
        </is>
      </c>
      <c r="E4851" t="inlineStr">
        <is>
          <t>North Region</t>
        </is>
      </c>
      <c r="F4851" t="inlineStr">
        <is>
          <t>Rep_06</t>
        </is>
      </c>
      <c r="G4851" t="n">
        <v>0.58</v>
      </c>
      <c r="H4851" t="inlineStr">
        <is>
          <t>Contacted</t>
        </is>
      </c>
      <c r="I4851" t="inlineStr">
        <is>
          <t>Open</t>
        </is>
      </c>
      <c r="M4851">
        <f>VLOOKUP(H4851,'Stage Order'!$A$2:$B$8,2,FALSE)</f>
        <v/>
      </c>
      <c r="N4851">
        <f>IF(G4851&lt;=1,"1. Under 1 hour",IF(G4851&lt;=24,"2. 1-24 hours",IF(G4851&lt;=72,"3. 1-3 days","4. Over 3 days")))</f>
        <v/>
      </c>
      <c r="O4851">
        <f>TEXT(B4851,"YYYY-MM")</f>
        <v/>
      </c>
    </row>
    <row r="4852">
      <c r="A4852" t="inlineStr">
        <is>
          <t>LD-304850</t>
        </is>
      </c>
      <c r="B4852" t="inlineStr">
        <is>
          <t>2025-09-08 11:07:00</t>
        </is>
      </c>
      <c r="C4852" t="inlineStr">
        <is>
          <t>Social Media</t>
        </is>
      </c>
      <c r="D4852" t="inlineStr">
        <is>
          <t>K-12 Math</t>
        </is>
      </c>
      <c r="E4852" t="inlineStr">
        <is>
          <t>East Region</t>
        </is>
      </c>
      <c r="F4852" t="inlineStr">
        <is>
          <t>Rep_14</t>
        </is>
      </c>
      <c r="G4852" t="n">
        <v>1.97</v>
      </c>
      <c r="H4852" t="inlineStr">
        <is>
          <t>Contacted</t>
        </is>
      </c>
      <c r="I4852" t="inlineStr">
        <is>
          <t>Open</t>
        </is>
      </c>
      <c r="M4852">
        <f>VLOOKUP(H4852,'Stage Order'!$A$2:$B$8,2,FALSE)</f>
        <v/>
      </c>
      <c r="N4852">
        <f>IF(G4852&lt;=1,"1. Under 1 hour",IF(G4852&lt;=24,"2. 1-24 hours",IF(G4852&lt;=72,"3. 1-3 days","4. Over 3 days")))</f>
        <v/>
      </c>
      <c r="O4852">
        <f>TEXT(B4852,"YYYY-MM")</f>
        <v/>
      </c>
    </row>
    <row r="4853">
      <c r="A4853" t="inlineStr">
        <is>
          <t>LD-304851</t>
        </is>
      </c>
      <c r="B4853" t="inlineStr">
        <is>
          <t>2025-07-08 10:57:00</t>
        </is>
      </c>
      <c r="C4853" t="inlineStr">
        <is>
          <t>Organic Search</t>
        </is>
      </c>
      <c r="D4853" t="inlineStr">
        <is>
          <t>K-12 Math</t>
        </is>
      </c>
      <c r="E4853" t="inlineStr">
        <is>
          <t>East Region</t>
        </is>
      </c>
      <c r="F4853" t="inlineStr">
        <is>
          <t>Rep_04</t>
        </is>
      </c>
      <c r="G4853" t="n">
        <v>2.53</v>
      </c>
      <c r="H4853" t="inlineStr">
        <is>
          <t>Proposal Sent</t>
        </is>
      </c>
      <c r="I4853" t="inlineStr">
        <is>
          <t>Lost</t>
        </is>
      </c>
      <c r="J4853" t="inlineStr">
        <is>
          <t>Bad Timing</t>
        </is>
      </c>
      <c r="K4853" t="n">
        <v>460.42</v>
      </c>
      <c r="L4853" t="inlineStr">
        <is>
          <t>2025-08-24 06:54:34.927425</t>
        </is>
      </c>
      <c r="M4853">
        <f>VLOOKUP(H4853,'Stage Order'!$A$2:$B$8,2,FALSE)</f>
        <v/>
      </c>
      <c r="N4853">
        <f>IF(G4853&lt;=1,"1. Under 1 hour",IF(G4853&lt;=24,"2. 1-24 hours",IF(G4853&lt;=72,"3. 1-3 days","4. Over 3 days")))</f>
        <v/>
      </c>
      <c r="O4853">
        <f>TEXT(B4853,"YYYY-MM")</f>
        <v/>
      </c>
    </row>
    <row r="4854">
      <c r="A4854" t="inlineStr">
        <is>
          <t>LD-304852</t>
        </is>
      </c>
      <c r="B4854" t="inlineStr">
        <is>
          <t>2025-03-31 13:53:00</t>
        </is>
      </c>
      <c r="C4854" t="inlineStr">
        <is>
          <t>Partner Channel</t>
        </is>
      </c>
      <c r="D4854" t="inlineStr">
        <is>
          <t>Language Learning</t>
        </is>
      </c>
      <c r="E4854" t="inlineStr">
        <is>
          <t>South Region</t>
        </is>
      </c>
      <c r="F4854" t="inlineStr">
        <is>
          <t>Rep_07</t>
        </is>
      </c>
      <c r="G4854" t="n">
        <v>3.51</v>
      </c>
      <c r="H4854" t="inlineStr">
        <is>
          <t>Negotiation</t>
        </is>
      </c>
      <c r="I4854" t="inlineStr">
        <is>
          <t>Lost</t>
        </is>
      </c>
      <c r="J4854" t="inlineStr">
        <is>
          <t>Price Objection</t>
        </is>
      </c>
      <c r="K4854" t="n">
        <v>341.54</v>
      </c>
      <c r="L4854" t="inlineStr">
        <is>
          <t>2025-05-12 16:54:24.371278</t>
        </is>
      </c>
      <c r="M4854">
        <f>VLOOKUP(H4854,'Stage Order'!$A$2:$B$8,2,FALSE)</f>
        <v/>
      </c>
      <c r="N4854">
        <f>IF(G4854&lt;=1,"1. Under 1 hour",IF(G4854&lt;=24,"2. 1-24 hours",IF(G4854&lt;=72,"3. 1-3 days","4. Over 3 days")))</f>
        <v/>
      </c>
      <c r="O4854">
        <f>TEXT(B4854,"YYYY-MM")</f>
        <v/>
      </c>
    </row>
    <row r="4855">
      <c r="A4855" t="inlineStr">
        <is>
          <t>LD-304853</t>
        </is>
      </c>
      <c r="B4855" t="inlineStr">
        <is>
          <t>2025-01-09 13:33:00</t>
        </is>
      </c>
      <c r="C4855" t="inlineStr">
        <is>
          <t>Partner Channel</t>
        </is>
      </c>
      <c r="D4855" t="inlineStr">
        <is>
          <t>Coding for Kids</t>
        </is>
      </c>
      <c r="E4855" t="inlineStr">
        <is>
          <t>South Region</t>
        </is>
      </c>
      <c r="F4855" t="inlineStr">
        <is>
          <t>Rep_12</t>
        </is>
      </c>
      <c r="G4855" t="n">
        <v>1.48</v>
      </c>
      <c r="H4855" t="inlineStr">
        <is>
          <t>Contacted</t>
        </is>
      </c>
      <c r="I4855" t="inlineStr">
        <is>
          <t>Open</t>
        </is>
      </c>
      <c r="M4855">
        <f>VLOOKUP(H4855,'Stage Order'!$A$2:$B$8,2,FALSE)</f>
        <v/>
      </c>
      <c r="N4855">
        <f>IF(G4855&lt;=1,"1. Under 1 hour",IF(G4855&lt;=24,"2. 1-24 hours",IF(G4855&lt;=72,"3. 1-3 days","4. Over 3 days")))</f>
        <v/>
      </c>
      <c r="O4855">
        <f>TEXT(B4855,"YYYY-MM")</f>
        <v/>
      </c>
    </row>
    <row r="4856">
      <c r="A4856" t="inlineStr">
        <is>
          <t>LD-304854</t>
        </is>
      </c>
      <c r="B4856" t="inlineStr">
        <is>
          <t>2026-06-19 11:24:00</t>
        </is>
      </c>
      <c r="C4856" t="inlineStr">
        <is>
          <t>Referral</t>
        </is>
      </c>
      <c r="D4856" t="inlineStr">
        <is>
          <t>Study Abroad Prep</t>
        </is>
      </c>
      <c r="E4856" t="inlineStr">
        <is>
          <t>East Region</t>
        </is>
      </c>
      <c r="F4856" t="inlineStr">
        <is>
          <t>Rep_04</t>
        </is>
      </c>
      <c r="G4856" t="n">
        <v>1.31</v>
      </c>
      <c r="H4856" t="inlineStr">
        <is>
          <t>Negotiation</t>
        </is>
      </c>
      <c r="I4856" t="inlineStr">
        <is>
          <t>Lost</t>
        </is>
      </c>
      <c r="J4856" t="inlineStr">
        <is>
          <t>Went With Competitor</t>
        </is>
      </c>
      <c r="K4856" t="n">
        <v>1479.88</v>
      </c>
      <c r="L4856" t="inlineStr">
        <is>
          <t>2026-08-07 19:27:05.162322</t>
        </is>
      </c>
      <c r="M4856">
        <f>VLOOKUP(H4856,'Stage Order'!$A$2:$B$8,2,FALSE)</f>
        <v/>
      </c>
      <c r="N4856">
        <f>IF(G4856&lt;=1,"1. Under 1 hour",IF(G4856&lt;=24,"2. 1-24 hours",IF(G4856&lt;=72,"3. 1-3 days","4. Over 3 days")))</f>
        <v/>
      </c>
      <c r="O4856">
        <f>TEXT(B4856,"YYYY-MM")</f>
        <v/>
      </c>
    </row>
    <row r="4857">
      <c r="A4857" t="inlineStr">
        <is>
          <t>LD-304855</t>
        </is>
      </c>
      <c r="B4857" t="inlineStr">
        <is>
          <t>2025-07-17 10:16:00</t>
        </is>
      </c>
      <c r="C4857" t="inlineStr">
        <is>
          <t>Organic Search</t>
        </is>
      </c>
      <c r="D4857" t="inlineStr">
        <is>
          <t>K-12 Math</t>
        </is>
      </c>
      <c r="E4857" t="inlineStr">
        <is>
          <t>North Region</t>
        </is>
      </c>
      <c r="F4857" t="inlineStr">
        <is>
          <t>Rep_01</t>
        </is>
      </c>
      <c r="G4857" t="n">
        <v>2.64</v>
      </c>
      <c r="H4857" t="inlineStr">
        <is>
          <t>Contacted</t>
        </is>
      </c>
      <c r="I4857" t="inlineStr">
        <is>
          <t>Open</t>
        </is>
      </c>
      <c r="M4857">
        <f>VLOOKUP(H4857,'Stage Order'!$A$2:$B$8,2,FALSE)</f>
        <v/>
      </c>
      <c r="N4857">
        <f>IF(G4857&lt;=1,"1. Under 1 hour",IF(G4857&lt;=24,"2. 1-24 hours",IF(G4857&lt;=72,"3. 1-3 days","4. Over 3 days")))</f>
        <v/>
      </c>
      <c r="O4857">
        <f>TEXT(B4857,"YYYY-MM")</f>
        <v/>
      </c>
    </row>
    <row r="4858">
      <c r="A4858" t="inlineStr">
        <is>
          <t>LD-304856</t>
        </is>
      </c>
      <c r="B4858" t="inlineStr">
        <is>
          <t>2025-12-09 15:57:00</t>
        </is>
      </c>
      <c r="C4858" t="inlineStr">
        <is>
          <t>Cold Outreach</t>
        </is>
      </c>
      <c r="D4858" t="inlineStr">
        <is>
          <t>Language Learning</t>
        </is>
      </c>
      <c r="E4858" t="inlineStr">
        <is>
          <t>South Region</t>
        </is>
      </c>
      <c r="F4858" t="inlineStr">
        <is>
          <t>Rep_02</t>
        </is>
      </c>
      <c r="G4858" t="n">
        <v>2.18</v>
      </c>
      <c r="H4858" t="inlineStr">
        <is>
          <t>Lead</t>
        </is>
      </c>
      <c r="I4858" t="inlineStr">
        <is>
          <t>Open</t>
        </is>
      </c>
      <c r="M4858">
        <f>VLOOKUP(H4858,'Stage Order'!$A$2:$B$8,2,FALSE)</f>
        <v/>
      </c>
      <c r="N4858">
        <f>IF(G4858&lt;=1,"1. Under 1 hour",IF(G4858&lt;=24,"2. 1-24 hours",IF(G4858&lt;=72,"3. 1-3 days","4. Over 3 days")))</f>
        <v/>
      </c>
      <c r="O4858">
        <f>TEXT(B4858,"YYYY-MM")</f>
        <v/>
      </c>
    </row>
    <row r="4859">
      <c r="A4859" t="inlineStr">
        <is>
          <t>LD-304857</t>
        </is>
      </c>
      <c r="B4859" t="inlineStr">
        <is>
          <t>2025-08-08 18:55:00</t>
        </is>
      </c>
      <c r="C4859" t="inlineStr">
        <is>
          <t>Cold Outreach</t>
        </is>
      </c>
      <c r="D4859" t="inlineStr">
        <is>
          <t>Coding for Kids</t>
        </is>
      </c>
      <c r="E4859" t="inlineStr">
        <is>
          <t>West Region</t>
        </is>
      </c>
      <c r="F4859" t="inlineStr">
        <is>
          <t>Rep_13</t>
        </is>
      </c>
      <c r="G4859" t="n">
        <v>1.93</v>
      </c>
      <c r="H4859" t="inlineStr">
        <is>
          <t>Lead</t>
        </is>
      </c>
      <c r="I4859" t="inlineStr">
        <is>
          <t>Open</t>
        </is>
      </c>
      <c r="M4859">
        <f>VLOOKUP(H4859,'Stage Order'!$A$2:$B$8,2,FALSE)</f>
        <v/>
      </c>
      <c r="N4859">
        <f>IF(G4859&lt;=1,"1. Under 1 hour",IF(G4859&lt;=24,"2. 1-24 hours",IF(G4859&lt;=72,"3. 1-3 days","4. Over 3 days")))</f>
        <v/>
      </c>
      <c r="O4859">
        <f>TEXT(B4859,"YYYY-MM")</f>
        <v/>
      </c>
    </row>
    <row r="4860">
      <c r="A4860" t="inlineStr">
        <is>
          <t>LD-304858</t>
        </is>
      </c>
      <c r="B4860" t="inlineStr">
        <is>
          <t>2026-05-28 12:39:00</t>
        </is>
      </c>
      <c r="C4860" t="inlineStr">
        <is>
          <t>Paid Search</t>
        </is>
      </c>
      <c r="D4860" t="inlineStr">
        <is>
          <t>K-12 Math</t>
        </is>
      </c>
      <c r="E4860" t="inlineStr">
        <is>
          <t>West Region</t>
        </is>
      </c>
      <c r="F4860" t="inlineStr">
        <is>
          <t>Rep_03</t>
        </is>
      </c>
      <c r="G4860" t="n">
        <v>1.66</v>
      </c>
      <c r="H4860" t="inlineStr">
        <is>
          <t>Contacted</t>
        </is>
      </c>
      <c r="I4860" t="inlineStr">
        <is>
          <t>Open</t>
        </is>
      </c>
      <c r="M4860">
        <f>VLOOKUP(H4860,'Stage Order'!$A$2:$B$8,2,FALSE)</f>
        <v/>
      </c>
      <c r="N4860">
        <f>IF(G4860&lt;=1,"1. Under 1 hour",IF(G4860&lt;=24,"2. 1-24 hours",IF(G4860&lt;=72,"3. 1-3 days","4. Over 3 days")))</f>
        <v/>
      </c>
      <c r="O4860">
        <f>TEXT(B4860,"YYYY-MM")</f>
        <v/>
      </c>
    </row>
    <row r="4861">
      <c r="A4861" t="inlineStr">
        <is>
          <t>LD-304859</t>
        </is>
      </c>
      <c r="B4861" t="inlineStr">
        <is>
          <t>2025-03-11 13:10:00</t>
        </is>
      </c>
      <c r="C4861" t="inlineStr">
        <is>
          <t>Social Media</t>
        </is>
      </c>
      <c r="D4861" t="inlineStr">
        <is>
          <t>Coding for Kids</t>
        </is>
      </c>
      <c r="E4861" t="inlineStr">
        <is>
          <t>North Region</t>
        </is>
      </c>
      <c r="F4861" t="inlineStr">
        <is>
          <t>Rep_01</t>
        </is>
      </c>
      <c r="G4861" t="n">
        <v>3.91</v>
      </c>
      <c r="H4861" t="inlineStr">
        <is>
          <t>Demo Completed</t>
        </is>
      </c>
      <c r="I4861" t="inlineStr">
        <is>
          <t>Lost</t>
        </is>
      </c>
      <c r="J4861" t="inlineStr">
        <is>
          <t>Bad Timing</t>
        </is>
      </c>
      <c r="K4861" t="n">
        <v>633.99</v>
      </c>
      <c r="L4861" t="inlineStr">
        <is>
          <t>2025-04-20 09:51:28.565252</t>
        </is>
      </c>
      <c r="M4861">
        <f>VLOOKUP(H4861,'Stage Order'!$A$2:$B$8,2,FALSE)</f>
        <v/>
      </c>
      <c r="N4861">
        <f>IF(G4861&lt;=1,"1. Under 1 hour",IF(G4861&lt;=24,"2. 1-24 hours",IF(G4861&lt;=72,"3. 1-3 days","4. Over 3 days")))</f>
        <v/>
      </c>
      <c r="O4861">
        <f>TEXT(B4861,"YYYY-MM")</f>
        <v/>
      </c>
    </row>
    <row r="4862">
      <c r="A4862" t="inlineStr">
        <is>
          <t>LD-304860</t>
        </is>
      </c>
      <c r="B4862" t="inlineStr">
        <is>
          <t>2025-10-20 16:20:00</t>
        </is>
      </c>
      <c r="C4862" t="inlineStr">
        <is>
          <t>Social Media</t>
        </is>
      </c>
      <c r="D4862" t="inlineStr">
        <is>
          <t>Language Learning</t>
        </is>
      </c>
      <c r="E4862" t="inlineStr">
        <is>
          <t>South Region</t>
        </is>
      </c>
      <c r="F4862" t="inlineStr">
        <is>
          <t>Rep_12</t>
        </is>
      </c>
      <c r="G4862" t="n">
        <v>5.74</v>
      </c>
      <c r="H4862" t="inlineStr">
        <is>
          <t>Lead</t>
        </is>
      </c>
      <c r="I4862" t="inlineStr">
        <is>
          <t>Open</t>
        </is>
      </c>
      <c r="M4862">
        <f>VLOOKUP(H4862,'Stage Order'!$A$2:$B$8,2,FALSE)</f>
        <v/>
      </c>
      <c r="N4862">
        <f>IF(G4862&lt;=1,"1. Under 1 hour",IF(G4862&lt;=24,"2. 1-24 hours",IF(G4862&lt;=72,"3. 1-3 days","4. Over 3 days")))</f>
        <v/>
      </c>
      <c r="O4862">
        <f>TEXT(B4862,"YYYY-MM")</f>
        <v/>
      </c>
    </row>
    <row r="4863">
      <c r="A4863" t="inlineStr">
        <is>
          <t>LD-304861</t>
        </is>
      </c>
      <c r="B4863" t="inlineStr">
        <is>
          <t>2025-04-22 15:48:00</t>
        </is>
      </c>
      <c r="C4863" t="inlineStr">
        <is>
          <t>Social Media</t>
        </is>
      </c>
      <c r="D4863" t="inlineStr">
        <is>
          <t>Language Learning</t>
        </is>
      </c>
      <c r="E4863" t="inlineStr">
        <is>
          <t>East Region</t>
        </is>
      </c>
      <c r="F4863" t="inlineStr">
        <is>
          <t>Rep_04</t>
        </is>
      </c>
      <c r="G4863" t="n">
        <v>4</v>
      </c>
      <c r="H4863" t="inlineStr">
        <is>
          <t>Lead</t>
        </is>
      </c>
      <c r="I4863" t="inlineStr">
        <is>
          <t>Open</t>
        </is>
      </c>
      <c r="M4863">
        <f>VLOOKUP(H4863,'Stage Order'!$A$2:$B$8,2,FALSE)</f>
        <v/>
      </c>
      <c r="N4863">
        <f>IF(G4863&lt;=1,"1. Under 1 hour",IF(G4863&lt;=24,"2. 1-24 hours",IF(G4863&lt;=72,"3. 1-3 days","4. Over 3 days")))</f>
        <v/>
      </c>
      <c r="O4863">
        <f>TEXT(B4863,"YYYY-MM")</f>
        <v/>
      </c>
    </row>
    <row r="4864">
      <c r="A4864" t="inlineStr">
        <is>
          <t>LD-304862</t>
        </is>
      </c>
      <c r="B4864" t="inlineStr">
        <is>
          <t>2026-02-06 14:59:00</t>
        </is>
      </c>
      <c r="C4864" t="inlineStr">
        <is>
          <t>Organic Search</t>
        </is>
      </c>
      <c r="D4864" t="inlineStr">
        <is>
          <t>Study Abroad Prep</t>
        </is>
      </c>
      <c r="E4864" t="inlineStr">
        <is>
          <t>East Region</t>
        </is>
      </c>
      <c r="F4864" t="inlineStr">
        <is>
          <t>Rep_14</t>
        </is>
      </c>
      <c r="G4864" t="n">
        <v>10.34</v>
      </c>
      <c r="H4864" t="inlineStr">
        <is>
          <t>Lead</t>
        </is>
      </c>
      <c r="I4864" t="inlineStr">
        <is>
          <t>Open</t>
        </is>
      </c>
      <c r="M4864">
        <f>VLOOKUP(H4864,'Stage Order'!$A$2:$B$8,2,FALSE)</f>
        <v/>
      </c>
      <c r="N4864">
        <f>IF(G4864&lt;=1,"1. Under 1 hour",IF(G4864&lt;=24,"2. 1-24 hours",IF(G4864&lt;=72,"3. 1-3 days","4. Over 3 days")))</f>
        <v/>
      </c>
      <c r="O4864">
        <f>TEXT(B4864,"YYYY-MM")</f>
        <v/>
      </c>
    </row>
    <row r="4865">
      <c r="A4865" t="inlineStr">
        <is>
          <t>LD-304863</t>
        </is>
      </c>
      <c r="B4865" t="inlineStr">
        <is>
          <t>2025-03-12 07:22:00</t>
        </is>
      </c>
      <c r="C4865" t="inlineStr">
        <is>
          <t>Paid Search</t>
        </is>
      </c>
      <c r="D4865" t="inlineStr">
        <is>
          <t>Coding for Kids</t>
        </is>
      </c>
      <c r="E4865" t="inlineStr">
        <is>
          <t>North Region</t>
        </is>
      </c>
      <c r="F4865" t="inlineStr">
        <is>
          <t>Rep_11</t>
        </is>
      </c>
      <c r="G4865" t="n">
        <v>3.03</v>
      </c>
      <c r="H4865" t="inlineStr">
        <is>
          <t>Negotiation</t>
        </is>
      </c>
      <c r="I4865" t="inlineStr">
        <is>
          <t>Lost</t>
        </is>
      </c>
      <c r="J4865" t="inlineStr">
        <is>
          <t>No Response / Ghosted</t>
        </is>
      </c>
      <c r="K4865" t="n">
        <v>705.1900000000001</v>
      </c>
      <c r="L4865" t="inlineStr">
        <is>
          <t>2025-04-24 12:34:39.898128</t>
        </is>
      </c>
      <c r="M4865">
        <f>VLOOKUP(H4865,'Stage Order'!$A$2:$B$8,2,FALSE)</f>
        <v/>
      </c>
      <c r="N4865">
        <f>IF(G4865&lt;=1,"1. Under 1 hour",IF(G4865&lt;=24,"2. 1-24 hours",IF(G4865&lt;=72,"3. 1-3 days","4. Over 3 days")))</f>
        <v/>
      </c>
      <c r="O4865">
        <f>TEXT(B4865,"YYYY-MM")</f>
        <v/>
      </c>
    </row>
    <row r="4866">
      <c r="A4866" t="inlineStr">
        <is>
          <t>LD-304864</t>
        </is>
      </c>
      <c r="B4866" t="inlineStr">
        <is>
          <t>2025-12-13 12:39:00</t>
        </is>
      </c>
      <c r="C4866" t="inlineStr">
        <is>
          <t>Organic Search</t>
        </is>
      </c>
      <c r="D4866" t="inlineStr">
        <is>
          <t>Study Abroad Prep</t>
        </is>
      </c>
      <c r="E4866" t="inlineStr">
        <is>
          <t>South Region</t>
        </is>
      </c>
      <c r="F4866" t="inlineStr">
        <is>
          <t>Rep_07</t>
        </is>
      </c>
      <c r="G4866" t="n">
        <v>0.97</v>
      </c>
      <c r="H4866" t="inlineStr">
        <is>
          <t>Closed</t>
        </is>
      </c>
      <c r="I4866" t="inlineStr">
        <is>
          <t>Won</t>
        </is>
      </c>
      <c r="K4866" t="n">
        <v>1727.66</v>
      </c>
      <c r="L4866" t="inlineStr">
        <is>
          <t>2026-01-21 00:42:28.202641</t>
        </is>
      </c>
      <c r="M4866">
        <f>VLOOKUP(H4866,'Stage Order'!$A$2:$B$8,2,FALSE)</f>
        <v/>
      </c>
      <c r="N4866">
        <f>IF(G4866&lt;=1,"1. Under 1 hour",IF(G4866&lt;=24,"2. 1-24 hours",IF(G4866&lt;=72,"3. 1-3 days","4. Over 3 days")))</f>
        <v/>
      </c>
      <c r="O4866">
        <f>TEXT(B4866,"YYYY-MM")</f>
        <v/>
      </c>
    </row>
    <row r="4867">
      <c r="A4867" t="inlineStr">
        <is>
          <t>LD-304865</t>
        </is>
      </c>
      <c r="B4867" t="inlineStr">
        <is>
          <t>2026-02-01 11:30:00</t>
        </is>
      </c>
      <c r="C4867" t="inlineStr">
        <is>
          <t>Social Media</t>
        </is>
      </c>
      <c r="D4867" t="inlineStr">
        <is>
          <t>Study Abroad Prep</t>
        </is>
      </c>
      <c r="E4867" t="inlineStr">
        <is>
          <t>North Region</t>
        </is>
      </c>
      <c r="F4867" t="inlineStr">
        <is>
          <t>Rep_11</t>
        </is>
      </c>
      <c r="G4867" t="n">
        <v>4.99</v>
      </c>
      <c r="H4867" t="inlineStr">
        <is>
          <t>Closed</t>
        </is>
      </c>
      <c r="I4867" t="inlineStr">
        <is>
          <t>Won</t>
        </is>
      </c>
      <c r="K4867" t="n">
        <v>1345.42</v>
      </c>
      <c r="L4867" t="inlineStr">
        <is>
          <t>2026-03-15 19:18:44.652160</t>
        </is>
      </c>
      <c r="M4867">
        <f>VLOOKUP(H4867,'Stage Order'!$A$2:$B$8,2,FALSE)</f>
        <v/>
      </c>
      <c r="N4867">
        <f>IF(G4867&lt;=1,"1. Under 1 hour",IF(G4867&lt;=24,"2. 1-24 hours",IF(G4867&lt;=72,"3. 1-3 days","4. Over 3 days")))</f>
        <v/>
      </c>
      <c r="O4867">
        <f>TEXT(B4867,"YYYY-MM")</f>
        <v/>
      </c>
    </row>
    <row r="4868">
      <c r="A4868" t="inlineStr">
        <is>
          <t>LD-304866</t>
        </is>
      </c>
      <c r="B4868" t="inlineStr">
        <is>
          <t>2025-09-30 07:13:00</t>
        </is>
      </c>
      <c r="C4868" t="inlineStr">
        <is>
          <t>Paid Search</t>
        </is>
      </c>
      <c r="D4868" t="inlineStr">
        <is>
          <t>Study Abroad Prep</t>
        </is>
      </c>
      <c r="E4868" t="inlineStr">
        <is>
          <t>North Region</t>
        </is>
      </c>
      <c r="F4868" t="inlineStr">
        <is>
          <t>Rep_01</t>
        </is>
      </c>
      <c r="G4868" t="n">
        <v>4.31</v>
      </c>
      <c r="H4868" t="inlineStr">
        <is>
          <t>Contacted</t>
        </is>
      </c>
      <c r="I4868" t="inlineStr">
        <is>
          <t>Open</t>
        </is>
      </c>
      <c r="M4868">
        <f>VLOOKUP(H4868,'Stage Order'!$A$2:$B$8,2,FALSE)</f>
        <v/>
      </c>
      <c r="N4868">
        <f>IF(G4868&lt;=1,"1. Under 1 hour",IF(G4868&lt;=24,"2. 1-24 hours",IF(G4868&lt;=72,"3. 1-3 days","4. Over 3 days")))</f>
        <v/>
      </c>
      <c r="O4868">
        <f>TEXT(B4868,"YYYY-MM")</f>
        <v/>
      </c>
    </row>
    <row r="4869">
      <c r="A4869" t="inlineStr">
        <is>
          <t>LD-304867</t>
        </is>
      </c>
      <c r="B4869" t="inlineStr">
        <is>
          <t>2025-05-08 20:38:00</t>
        </is>
      </c>
      <c r="C4869" t="inlineStr">
        <is>
          <t>Organic Search</t>
        </is>
      </c>
      <c r="D4869" t="inlineStr">
        <is>
          <t>Coding for Kids</t>
        </is>
      </c>
      <c r="E4869" t="inlineStr">
        <is>
          <t>North Region</t>
        </is>
      </c>
      <c r="F4869" t="inlineStr">
        <is>
          <t>Rep_11</t>
        </is>
      </c>
      <c r="G4869" t="n">
        <v>1.76</v>
      </c>
      <c r="H4869" t="inlineStr">
        <is>
          <t>Contacted</t>
        </is>
      </c>
      <c r="I4869" t="inlineStr">
        <is>
          <t>Open</t>
        </is>
      </c>
      <c r="M4869">
        <f>VLOOKUP(H4869,'Stage Order'!$A$2:$B$8,2,FALSE)</f>
        <v/>
      </c>
      <c r="N4869">
        <f>IF(G4869&lt;=1,"1. Under 1 hour",IF(G4869&lt;=24,"2. 1-24 hours",IF(G4869&lt;=72,"3. 1-3 days","4. Over 3 days")))</f>
        <v/>
      </c>
      <c r="O4869">
        <f>TEXT(B4869,"YYYY-MM")</f>
        <v/>
      </c>
    </row>
    <row r="4870">
      <c r="A4870" t="inlineStr">
        <is>
          <t>LD-304868</t>
        </is>
      </c>
      <c r="B4870" t="inlineStr">
        <is>
          <t>2025-08-29 19:42:00</t>
        </is>
      </c>
      <c r="C4870" t="inlineStr">
        <is>
          <t>Cold Outreach</t>
        </is>
      </c>
      <c r="D4870" t="inlineStr">
        <is>
          <t>Coding for Kids</t>
        </is>
      </c>
      <c r="E4870" t="inlineStr">
        <is>
          <t>East Region</t>
        </is>
      </c>
      <c r="F4870" t="inlineStr">
        <is>
          <t>Rep_14</t>
        </is>
      </c>
      <c r="G4870" t="n">
        <v>10.79</v>
      </c>
      <c r="H4870" t="inlineStr">
        <is>
          <t>Lead</t>
        </is>
      </c>
      <c r="I4870" t="inlineStr">
        <is>
          <t>Open</t>
        </is>
      </c>
      <c r="M4870">
        <f>VLOOKUP(H4870,'Stage Order'!$A$2:$B$8,2,FALSE)</f>
        <v/>
      </c>
      <c r="N4870">
        <f>IF(G4870&lt;=1,"1. Under 1 hour",IF(G4870&lt;=24,"2. 1-24 hours",IF(G4870&lt;=72,"3. 1-3 days","4. Over 3 days")))</f>
        <v/>
      </c>
      <c r="O4870">
        <f>TEXT(B4870,"YYYY-MM")</f>
        <v/>
      </c>
    </row>
    <row r="4871">
      <c r="A4871" t="inlineStr">
        <is>
          <t>LD-304869</t>
        </is>
      </c>
      <c r="B4871" t="inlineStr">
        <is>
          <t>2026-02-24 10:54:00</t>
        </is>
      </c>
      <c r="C4871" t="inlineStr">
        <is>
          <t>Referral</t>
        </is>
      </c>
      <c r="D4871" t="inlineStr">
        <is>
          <t>Study Abroad Prep</t>
        </is>
      </c>
      <c r="E4871" t="inlineStr">
        <is>
          <t>East Region</t>
        </is>
      </c>
      <c r="F4871" t="inlineStr">
        <is>
          <t>Rep_04</t>
        </is>
      </c>
      <c r="G4871" t="n">
        <v>3.17</v>
      </c>
      <c r="H4871" t="inlineStr">
        <is>
          <t>Contacted</t>
        </is>
      </c>
      <c r="I4871" t="inlineStr">
        <is>
          <t>Open</t>
        </is>
      </c>
      <c r="M4871">
        <f>VLOOKUP(H4871,'Stage Order'!$A$2:$B$8,2,FALSE)</f>
        <v/>
      </c>
      <c r="N4871">
        <f>IF(G4871&lt;=1,"1. Under 1 hour",IF(G4871&lt;=24,"2. 1-24 hours",IF(G4871&lt;=72,"3. 1-3 days","4. Over 3 days")))</f>
        <v/>
      </c>
      <c r="O4871">
        <f>TEXT(B4871,"YYYY-MM")</f>
        <v/>
      </c>
    </row>
    <row r="4872">
      <c r="A4872" t="inlineStr">
        <is>
          <t>LD-304870</t>
        </is>
      </c>
      <c r="B4872" t="inlineStr">
        <is>
          <t>2025-08-04 13:22:00</t>
        </is>
      </c>
      <c r="C4872" t="inlineStr">
        <is>
          <t>Social Media</t>
        </is>
      </c>
      <c r="D4872" t="inlineStr">
        <is>
          <t>Coding for Kids</t>
        </is>
      </c>
      <c r="E4872" t="inlineStr">
        <is>
          <t>West Region</t>
        </is>
      </c>
      <c r="F4872" t="inlineStr">
        <is>
          <t>Rep_08</t>
        </is>
      </c>
      <c r="G4872" t="n">
        <v>6.03</v>
      </c>
      <c r="H4872" t="inlineStr">
        <is>
          <t>Contacted</t>
        </is>
      </c>
      <c r="I4872" t="inlineStr">
        <is>
          <t>Open</t>
        </is>
      </c>
      <c r="M4872">
        <f>VLOOKUP(H4872,'Stage Order'!$A$2:$B$8,2,FALSE)</f>
        <v/>
      </c>
      <c r="N4872">
        <f>IF(G4872&lt;=1,"1. Under 1 hour",IF(G4872&lt;=24,"2. 1-24 hours",IF(G4872&lt;=72,"3. 1-3 days","4. Over 3 days")))</f>
        <v/>
      </c>
      <c r="O4872">
        <f>TEXT(B4872,"YYYY-MM")</f>
        <v/>
      </c>
    </row>
    <row r="4873">
      <c r="A4873" t="inlineStr">
        <is>
          <t>LD-304871</t>
        </is>
      </c>
      <c r="B4873" t="inlineStr">
        <is>
          <t>2026-03-29 18:00:00</t>
        </is>
      </c>
      <c r="C4873" t="inlineStr">
        <is>
          <t>Organic Search</t>
        </is>
      </c>
      <c r="D4873" t="inlineStr">
        <is>
          <t>K-12 Math</t>
        </is>
      </c>
      <c r="E4873" t="inlineStr">
        <is>
          <t>East Region</t>
        </is>
      </c>
      <c r="F4873" t="inlineStr">
        <is>
          <t>Rep_09</t>
        </is>
      </c>
      <c r="G4873" t="n">
        <v>3.14</v>
      </c>
      <c r="H4873" t="inlineStr">
        <is>
          <t>Closed</t>
        </is>
      </c>
      <c r="I4873" t="inlineStr">
        <is>
          <t>Won</t>
        </is>
      </c>
      <c r="K4873" t="n">
        <v>587.49</v>
      </c>
      <c r="L4873" t="inlineStr">
        <is>
          <t>2026-04-20 17:09:24.399176</t>
        </is>
      </c>
      <c r="M4873">
        <f>VLOOKUP(H4873,'Stage Order'!$A$2:$B$8,2,FALSE)</f>
        <v/>
      </c>
      <c r="N4873">
        <f>IF(G4873&lt;=1,"1. Under 1 hour",IF(G4873&lt;=24,"2. 1-24 hours",IF(G4873&lt;=72,"3. 1-3 days","4. Over 3 days")))</f>
        <v/>
      </c>
      <c r="O4873">
        <f>TEXT(B4873,"YYYY-MM")</f>
        <v/>
      </c>
    </row>
    <row r="4874">
      <c r="A4874" t="inlineStr">
        <is>
          <t>LD-304872</t>
        </is>
      </c>
      <c r="B4874" t="inlineStr">
        <is>
          <t>2025-04-25 15:29:00</t>
        </is>
      </c>
      <c r="C4874" t="inlineStr">
        <is>
          <t>Paid Search</t>
        </is>
      </c>
      <c r="D4874" t="inlineStr">
        <is>
          <t>K-12 Math</t>
        </is>
      </c>
      <c r="E4874" t="inlineStr">
        <is>
          <t>North Region</t>
        </is>
      </c>
      <c r="F4874" t="inlineStr">
        <is>
          <t>Rep_06</t>
        </is>
      </c>
      <c r="G4874" t="n">
        <v>2.64</v>
      </c>
      <c r="H4874" t="inlineStr">
        <is>
          <t>Contacted</t>
        </is>
      </c>
      <c r="I4874" t="inlineStr">
        <is>
          <t>Open</t>
        </is>
      </c>
      <c r="M4874">
        <f>VLOOKUP(H4874,'Stage Order'!$A$2:$B$8,2,FALSE)</f>
        <v/>
      </c>
      <c r="N4874">
        <f>IF(G4874&lt;=1,"1. Under 1 hour",IF(G4874&lt;=24,"2. 1-24 hours",IF(G4874&lt;=72,"3. 1-3 days","4. Over 3 days")))</f>
        <v/>
      </c>
      <c r="O4874">
        <f>TEXT(B4874,"YYYY-MM")</f>
        <v/>
      </c>
    </row>
    <row r="4875">
      <c r="A4875" t="inlineStr">
        <is>
          <t>LD-304873</t>
        </is>
      </c>
      <c r="B4875" t="inlineStr">
        <is>
          <t>2025-02-28 17:56:00</t>
        </is>
      </c>
      <c r="C4875" t="inlineStr">
        <is>
          <t>Partner Channel</t>
        </is>
      </c>
      <c r="D4875" t="inlineStr">
        <is>
          <t>K-12 Math</t>
        </is>
      </c>
      <c r="E4875" t="inlineStr">
        <is>
          <t>West Region</t>
        </is>
      </c>
      <c r="F4875" t="inlineStr">
        <is>
          <t>Rep_08</t>
        </is>
      </c>
      <c r="G4875" t="n">
        <v>1.25</v>
      </c>
      <c r="H4875" t="inlineStr">
        <is>
          <t>Demo Completed</t>
        </is>
      </c>
      <c r="I4875" t="inlineStr">
        <is>
          <t>Lost</t>
        </is>
      </c>
      <c r="J4875" t="inlineStr">
        <is>
          <t>Price Objection</t>
        </is>
      </c>
      <c r="K4875" t="n">
        <v>416.9</v>
      </c>
      <c r="L4875" t="inlineStr">
        <is>
          <t>2025-03-30 00:56:00.712569</t>
        </is>
      </c>
      <c r="M4875">
        <f>VLOOKUP(H4875,'Stage Order'!$A$2:$B$8,2,FALSE)</f>
        <v/>
      </c>
      <c r="N4875">
        <f>IF(G4875&lt;=1,"1. Under 1 hour",IF(G4875&lt;=24,"2. 1-24 hours",IF(G4875&lt;=72,"3. 1-3 days","4. Over 3 days")))</f>
        <v/>
      </c>
      <c r="O4875">
        <f>TEXT(B4875,"YYYY-MM")</f>
        <v/>
      </c>
    </row>
    <row r="4876">
      <c r="A4876" t="inlineStr">
        <is>
          <t>LD-304874</t>
        </is>
      </c>
      <c r="B4876" t="inlineStr">
        <is>
          <t>2025-06-13 07:51:00</t>
        </is>
      </c>
      <c r="C4876" t="inlineStr">
        <is>
          <t>Organic Search</t>
        </is>
      </c>
      <c r="D4876" t="inlineStr">
        <is>
          <t>Coding for Kids</t>
        </is>
      </c>
      <c r="E4876" t="inlineStr">
        <is>
          <t>West Region</t>
        </is>
      </c>
      <c r="F4876" t="inlineStr">
        <is>
          <t>Rep_03</t>
        </is>
      </c>
      <c r="G4876" t="n">
        <v>6.67</v>
      </c>
      <c r="H4876" t="inlineStr">
        <is>
          <t>Lead</t>
        </is>
      </c>
      <c r="I4876" t="inlineStr">
        <is>
          <t>Open</t>
        </is>
      </c>
      <c r="M4876">
        <f>VLOOKUP(H4876,'Stage Order'!$A$2:$B$8,2,FALSE)</f>
        <v/>
      </c>
      <c r="N4876">
        <f>IF(G4876&lt;=1,"1. Under 1 hour",IF(G4876&lt;=24,"2. 1-24 hours",IF(G4876&lt;=72,"3. 1-3 days","4. Over 3 days")))</f>
        <v/>
      </c>
      <c r="O4876">
        <f>TEXT(B4876,"YYYY-MM")</f>
        <v/>
      </c>
    </row>
    <row r="4877">
      <c r="A4877" t="inlineStr">
        <is>
          <t>LD-304875</t>
        </is>
      </c>
      <c r="B4877" t="inlineStr">
        <is>
          <t>2025-05-11 09:34:00</t>
        </is>
      </c>
      <c r="C4877" t="inlineStr">
        <is>
          <t>Referral</t>
        </is>
      </c>
      <c r="D4877" t="inlineStr">
        <is>
          <t>K-12 Math</t>
        </is>
      </c>
      <c r="E4877" t="inlineStr">
        <is>
          <t>West Region</t>
        </is>
      </c>
      <c r="F4877" t="inlineStr">
        <is>
          <t>Rep_03</t>
        </is>
      </c>
      <c r="G4877" t="n">
        <v>9.52</v>
      </c>
      <c r="H4877" t="inlineStr">
        <is>
          <t>Contacted</t>
        </is>
      </c>
      <c r="I4877" t="inlineStr">
        <is>
          <t>Open</t>
        </is>
      </c>
      <c r="M4877">
        <f>VLOOKUP(H4877,'Stage Order'!$A$2:$B$8,2,FALSE)</f>
        <v/>
      </c>
      <c r="N4877">
        <f>IF(G4877&lt;=1,"1. Under 1 hour",IF(G4877&lt;=24,"2. 1-24 hours",IF(G4877&lt;=72,"3. 1-3 days","4. Over 3 days")))</f>
        <v/>
      </c>
      <c r="O4877">
        <f>TEXT(B4877,"YYYY-MM")</f>
        <v/>
      </c>
    </row>
    <row r="4878">
      <c r="A4878" t="inlineStr">
        <is>
          <t>LD-304876</t>
        </is>
      </c>
      <c r="B4878" t="inlineStr">
        <is>
          <t>2025-07-04 19:33:00</t>
        </is>
      </c>
      <c r="C4878" t="inlineStr">
        <is>
          <t>Referral</t>
        </is>
      </c>
      <c r="D4878" t="inlineStr">
        <is>
          <t>Study Abroad Prep</t>
        </is>
      </c>
      <c r="E4878" t="inlineStr">
        <is>
          <t>East Region</t>
        </is>
      </c>
      <c r="F4878" t="inlineStr">
        <is>
          <t>Rep_04</t>
        </is>
      </c>
      <c r="G4878" t="n">
        <v>1.64</v>
      </c>
      <c r="H4878" t="inlineStr">
        <is>
          <t>Contacted</t>
        </is>
      </c>
      <c r="I4878" t="inlineStr">
        <is>
          <t>Open</t>
        </is>
      </c>
      <c r="M4878">
        <f>VLOOKUP(H4878,'Stage Order'!$A$2:$B$8,2,FALSE)</f>
        <v/>
      </c>
      <c r="N4878">
        <f>IF(G4878&lt;=1,"1. Under 1 hour",IF(G4878&lt;=24,"2. 1-24 hours",IF(G4878&lt;=72,"3. 1-3 days","4. Over 3 days")))</f>
        <v/>
      </c>
      <c r="O4878">
        <f>TEXT(B4878,"YYYY-MM")</f>
        <v/>
      </c>
    </row>
    <row r="4879">
      <c r="A4879" t="inlineStr">
        <is>
          <t>LD-304877</t>
        </is>
      </c>
      <c r="B4879" t="inlineStr">
        <is>
          <t>2025-12-03 08:59:00</t>
        </is>
      </c>
      <c r="C4879" t="inlineStr">
        <is>
          <t>Referral</t>
        </is>
      </c>
      <c r="D4879" t="inlineStr">
        <is>
          <t>K-12 Math</t>
        </is>
      </c>
      <c r="E4879" t="inlineStr">
        <is>
          <t>International</t>
        </is>
      </c>
      <c r="F4879" t="inlineStr">
        <is>
          <t>Rep_10</t>
        </is>
      </c>
      <c r="G4879" t="n">
        <v>2.06</v>
      </c>
      <c r="H4879" t="inlineStr">
        <is>
          <t>Demo Scheduled</t>
        </is>
      </c>
      <c r="I4879" t="inlineStr">
        <is>
          <t>Open</t>
        </is>
      </c>
      <c r="M4879">
        <f>VLOOKUP(H4879,'Stage Order'!$A$2:$B$8,2,FALSE)</f>
        <v/>
      </c>
      <c r="N4879">
        <f>IF(G4879&lt;=1,"1. Under 1 hour",IF(G4879&lt;=24,"2. 1-24 hours",IF(G4879&lt;=72,"3. 1-3 days","4. Over 3 days")))</f>
        <v/>
      </c>
      <c r="O4879">
        <f>TEXT(B4879,"YYYY-MM")</f>
        <v/>
      </c>
    </row>
    <row r="4880">
      <c r="A4880" t="inlineStr">
        <is>
          <t>LD-304878</t>
        </is>
      </c>
      <c r="B4880" t="inlineStr">
        <is>
          <t>2025-08-01 18:17:00</t>
        </is>
      </c>
      <c r="C4880" t="inlineStr">
        <is>
          <t>Partner Channel</t>
        </is>
      </c>
      <c r="D4880" t="inlineStr">
        <is>
          <t>Coding for Kids</t>
        </is>
      </c>
      <c r="E4880" t="inlineStr">
        <is>
          <t>North Region</t>
        </is>
      </c>
      <c r="F4880" t="inlineStr">
        <is>
          <t>Rep_01</t>
        </is>
      </c>
      <c r="G4880" t="n">
        <v>0.28</v>
      </c>
      <c r="H4880" t="inlineStr">
        <is>
          <t>Closed</t>
        </is>
      </c>
      <c r="I4880" t="inlineStr">
        <is>
          <t>Won</t>
        </is>
      </c>
      <c r="K4880" t="n">
        <v>667.92</v>
      </c>
      <c r="L4880" t="inlineStr">
        <is>
          <t>2025-09-16 14:49:03.027377</t>
        </is>
      </c>
      <c r="M4880">
        <f>VLOOKUP(H4880,'Stage Order'!$A$2:$B$8,2,FALSE)</f>
        <v/>
      </c>
      <c r="N4880">
        <f>IF(G4880&lt;=1,"1. Under 1 hour",IF(G4880&lt;=24,"2. 1-24 hours",IF(G4880&lt;=72,"3. 1-3 days","4. Over 3 days")))</f>
        <v/>
      </c>
      <c r="O4880">
        <f>TEXT(B4880,"YYYY-MM")</f>
        <v/>
      </c>
    </row>
    <row r="4881">
      <c r="A4881" t="inlineStr">
        <is>
          <t>LD-304879</t>
        </is>
      </c>
      <c r="B4881" t="inlineStr">
        <is>
          <t>2026-04-14 18:02:00</t>
        </is>
      </c>
      <c r="C4881" t="inlineStr">
        <is>
          <t>Referral</t>
        </is>
      </c>
      <c r="D4881" t="inlineStr">
        <is>
          <t>Coding for Kids</t>
        </is>
      </c>
      <c r="E4881" t="inlineStr">
        <is>
          <t>East Region</t>
        </is>
      </c>
      <c r="F4881" t="inlineStr">
        <is>
          <t>Rep_14</t>
        </is>
      </c>
      <c r="G4881" t="n">
        <v>4.82</v>
      </c>
      <c r="H4881" t="inlineStr">
        <is>
          <t>Negotiation</t>
        </is>
      </c>
      <c r="I4881" t="inlineStr">
        <is>
          <t>Lost</t>
        </is>
      </c>
      <c r="J4881" t="inlineStr">
        <is>
          <t>Went With Competitor</t>
        </is>
      </c>
      <c r="K4881" t="n">
        <v>552.91</v>
      </c>
      <c r="L4881" t="inlineStr">
        <is>
          <t>2026-06-02 17:04:47.597727</t>
        </is>
      </c>
      <c r="M4881">
        <f>VLOOKUP(H4881,'Stage Order'!$A$2:$B$8,2,FALSE)</f>
        <v/>
      </c>
      <c r="N4881">
        <f>IF(G4881&lt;=1,"1. Under 1 hour",IF(G4881&lt;=24,"2. 1-24 hours",IF(G4881&lt;=72,"3. 1-3 days","4. Over 3 days")))</f>
        <v/>
      </c>
      <c r="O4881">
        <f>TEXT(B4881,"YYYY-MM")</f>
        <v/>
      </c>
    </row>
    <row r="4882">
      <c r="A4882" t="inlineStr">
        <is>
          <t>LD-304880</t>
        </is>
      </c>
      <c r="B4882" t="inlineStr">
        <is>
          <t>2026-01-23 10:02:00</t>
        </is>
      </c>
      <c r="C4882" t="inlineStr">
        <is>
          <t>Social Media</t>
        </is>
      </c>
      <c r="D4882" t="inlineStr">
        <is>
          <t>Language Learning</t>
        </is>
      </c>
      <c r="E4882" t="inlineStr">
        <is>
          <t>International</t>
        </is>
      </c>
      <c r="F4882" t="inlineStr">
        <is>
          <t>Rep_15</t>
        </is>
      </c>
      <c r="G4882" t="n">
        <v>3.86</v>
      </c>
      <c r="H4882" t="inlineStr">
        <is>
          <t>Contacted</t>
        </is>
      </c>
      <c r="I4882" t="inlineStr">
        <is>
          <t>Open</t>
        </is>
      </c>
      <c r="M4882">
        <f>VLOOKUP(H4882,'Stage Order'!$A$2:$B$8,2,FALSE)</f>
        <v/>
      </c>
      <c r="N4882">
        <f>IF(G4882&lt;=1,"1. Under 1 hour",IF(G4882&lt;=24,"2. 1-24 hours",IF(G4882&lt;=72,"3. 1-3 days","4. Over 3 days")))</f>
        <v/>
      </c>
      <c r="O4882">
        <f>TEXT(B4882,"YYYY-MM")</f>
        <v/>
      </c>
    </row>
    <row r="4883">
      <c r="A4883" t="inlineStr">
        <is>
          <t>LD-304881</t>
        </is>
      </c>
      <c r="B4883" t="inlineStr">
        <is>
          <t>2025-08-21 20:49:00</t>
        </is>
      </c>
      <c r="C4883" t="inlineStr">
        <is>
          <t>Organic Search</t>
        </is>
      </c>
      <c r="D4883" t="inlineStr">
        <is>
          <t>Competitive Exam Prep</t>
        </is>
      </c>
      <c r="E4883" t="inlineStr">
        <is>
          <t>South Region</t>
        </is>
      </c>
      <c r="F4883" t="inlineStr">
        <is>
          <t>Rep_12</t>
        </is>
      </c>
      <c r="G4883" t="n">
        <v>2.09</v>
      </c>
      <c r="H4883" t="inlineStr">
        <is>
          <t>Closed</t>
        </is>
      </c>
      <c r="I4883" t="inlineStr">
        <is>
          <t>Won</t>
        </is>
      </c>
      <c r="K4883" t="n">
        <v>810.1</v>
      </c>
      <c r="L4883" t="inlineStr">
        <is>
          <t>2025-09-24 11:18:36.967823</t>
        </is>
      </c>
      <c r="M4883">
        <f>VLOOKUP(H4883,'Stage Order'!$A$2:$B$8,2,FALSE)</f>
        <v/>
      </c>
      <c r="N4883">
        <f>IF(G4883&lt;=1,"1. Under 1 hour",IF(G4883&lt;=24,"2. 1-24 hours",IF(G4883&lt;=72,"3. 1-3 days","4. Over 3 days")))</f>
        <v/>
      </c>
      <c r="O4883">
        <f>TEXT(B4883,"YYYY-MM")</f>
        <v/>
      </c>
    </row>
    <row r="4884">
      <c r="A4884" t="inlineStr">
        <is>
          <t>LD-304882</t>
        </is>
      </c>
      <c r="B4884" t="inlineStr">
        <is>
          <t>2025-08-12 17:28:00</t>
        </is>
      </c>
      <c r="C4884" t="inlineStr">
        <is>
          <t>Partner Channel</t>
        </is>
      </c>
      <c r="D4884" t="inlineStr">
        <is>
          <t>Language Learning</t>
        </is>
      </c>
      <c r="E4884" t="inlineStr">
        <is>
          <t>North Region</t>
        </is>
      </c>
      <c r="F4884" t="inlineStr">
        <is>
          <t>Rep_01</t>
        </is>
      </c>
      <c r="G4884" t="n">
        <v>10.62</v>
      </c>
      <c r="H4884" t="inlineStr">
        <is>
          <t>Contacted</t>
        </is>
      </c>
      <c r="I4884" t="inlineStr">
        <is>
          <t>Open</t>
        </is>
      </c>
      <c r="M4884">
        <f>VLOOKUP(H4884,'Stage Order'!$A$2:$B$8,2,FALSE)</f>
        <v/>
      </c>
      <c r="N4884">
        <f>IF(G4884&lt;=1,"1. Under 1 hour",IF(G4884&lt;=24,"2. 1-24 hours",IF(G4884&lt;=72,"3. 1-3 days","4. Over 3 days")))</f>
        <v/>
      </c>
      <c r="O4884">
        <f>TEXT(B4884,"YYYY-MM")</f>
        <v/>
      </c>
    </row>
    <row r="4885">
      <c r="A4885" t="inlineStr">
        <is>
          <t>LD-304883</t>
        </is>
      </c>
      <c r="B4885" t="inlineStr">
        <is>
          <t>2025-08-25 07:20:00</t>
        </is>
      </c>
      <c r="C4885" t="inlineStr">
        <is>
          <t>Paid Search</t>
        </is>
      </c>
      <c r="D4885" t="inlineStr">
        <is>
          <t>Language Learning</t>
        </is>
      </c>
      <c r="E4885" t="inlineStr">
        <is>
          <t>South Region</t>
        </is>
      </c>
      <c r="F4885" t="inlineStr">
        <is>
          <t>Rep_07</t>
        </is>
      </c>
      <c r="G4885" t="n">
        <v>2.61</v>
      </c>
      <c r="H4885" t="inlineStr">
        <is>
          <t>Lead</t>
        </is>
      </c>
      <c r="I4885" t="inlineStr">
        <is>
          <t>Open</t>
        </is>
      </c>
      <c r="M4885">
        <f>VLOOKUP(H4885,'Stage Order'!$A$2:$B$8,2,FALSE)</f>
        <v/>
      </c>
      <c r="N4885">
        <f>IF(G4885&lt;=1,"1. Under 1 hour",IF(G4885&lt;=24,"2. 1-24 hours",IF(G4885&lt;=72,"3. 1-3 days","4. Over 3 days")))</f>
        <v/>
      </c>
      <c r="O4885">
        <f>TEXT(B4885,"YYYY-MM")</f>
        <v/>
      </c>
    </row>
    <row r="4886">
      <c r="A4886" t="inlineStr">
        <is>
          <t>LD-304884</t>
        </is>
      </c>
      <c r="B4886" t="inlineStr">
        <is>
          <t>2026-03-12 15:24:00</t>
        </is>
      </c>
      <c r="C4886" t="inlineStr">
        <is>
          <t>Organic Search</t>
        </is>
      </c>
      <c r="D4886" t="inlineStr">
        <is>
          <t>K-12 Math</t>
        </is>
      </c>
      <c r="E4886" t="inlineStr">
        <is>
          <t>International</t>
        </is>
      </c>
      <c r="F4886" t="inlineStr">
        <is>
          <t>Rep_10</t>
        </is>
      </c>
      <c r="G4886" t="n">
        <v>2.95</v>
      </c>
      <c r="H4886" t="inlineStr">
        <is>
          <t>Contacted</t>
        </is>
      </c>
      <c r="I4886" t="inlineStr">
        <is>
          <t>Open</t>
        </is>
      </c>
      <c r="M4886">
        <f>VLOOKUP(H4886,'Stage Order'!$A$2:$B$8,2,FALSE)</f>
        <v/>
      </c>
      <c r="N4886">
        <f>IF(G4886&lt;=1,"1. Under 1 hour",IF(G4886&lt;=24,"2. 1-24 hours",IF(G4886&lt;=72,"3. 1-3 days","4. Over 3 days")))</f>
        <v/>
      </c>
      <c r="O4886">
        <f>TEXT(B4886,"YYYY-MM")</f>
        <v/>
      </c>
    </row>
    <row r="4887">
      <c r="A4887" t="inlineStr">
        <is>
          <t>LD-304885</t>
        </is>
      </c>
      <c r="B4887" t="inlineStr">
        <is>
          <t>2025-07-11 20:00:00</t>
        </is>
      </c>
      <c r="C4887" t="inlineStr">
        <is>
          <t>Paid Search</t>
        </is>
      </c>
      <c r="D4887" t="inlineStr">
        <is>
          <t>Study Abroad Prep</t>
        </is>
      </c>
      <c r="E4887" t="inlineStr">
        <is>
          <t>North Region</t>
        </is>
      </c>
      <c r="F4887" t="inlineStr">
        <is>
          <t>Rep_01</t>
        </is>
      </c>
      <c r="G4887" t="n">
        <v>5.15</v>
      </c>
      <c r="H4887" t="inlineStr">
        <is>
          <t>Contacted</t>
        </is>
      </c>
      <c r="I4887" t="inlineStr">
        <is>
          <t>Open</t>
        </is>
      </c>
      <c r="M4887">
        <f>VLOOKUP(H4887,'Stage Order'!$A$2:$B$8,2,FALSE)</f>
        <v/>
      </c>
      <c r="N4887">
        <f>IF(G4887&lt;=1,"1. Under 1 hour",IF(G4887&lt;=24,"2. 1-24 hours",IF(G4887&lt;=72,"3. 1-3 days","4. Over 3 days")))</f>
        <v/>
      </c>
      <c r="O4887">
        <f>TEXT(B4887,"YYYY-MM")</f>
        <v/>
      </c>
    </row>
    <row r="4888">
      <c r="A4888" t="inlineStr">
        <is>
          <t>LD-304886</t>
        </is>
      </c>
      <c r="B4888" t="inlineStr">
        <is>
          <t>2025-05-19 14:29:00</t>
        </is>
      </c>
      <c r="C4888" t="inlineStr">
        <is>
          <t>Partner Channel</t>
        </is>
      </c>
      <c r="D4888" t="inlineStr">
        <is>
          <t>Coding for Kids</t>
        </is>
      </c>
      <c r="E4888" t="inlineStr">
        <is>
          <t>East Region</t>
        </is>
      </c>
      <c r="F4888" t="inlineStr">
        <is>
          <t>Rep_14</t>
        </is>
      </c>
      <c r="G4888" t="n">
        <v>6.3</v>
      </c>
      <c r="H4888" t="inlineStr">
        <is>
          <t>Closed</t>
        </is>
      </c>
      <c r="I4888" t="inlineStr">
        <is>
          <t>Won</t>
        </is>
      </c>
      <c r="K4888" t="n">
        <v>638.6900000000001</v>
      </c>
      <c r="L4888" t="inlineStr">
        <is>
          <t>2025-07-02 03:20:09.303813</t>
        </is>
      </c>
      <c r="M4888">
        <f>VLOOKUP(H4888,'Stage Order'!$A$2:$B$8,2,FALSE)</f>
        <v/>
      </c>
      <c r="N4888">
        <f>IF(G4888&lt;=1,"1. Under 1 hour",IF(G4888&lt;=24,"2. 1-24 hours",IF(G4888&lt;=72,"3. 1-3 days","4. Over 3 days")))</f>
        <v/>
      </c>
      <c r="O4888">
        <f>TEXT(B4888,"YYYY-MM")</f>
        <v/>
      </c>
    </row>
    <row r="4889">
      <c r="A4889" t="inlineStr">
        <is>
          <t>LD-304887</t>
        </is>
      </c>
      <c r="B4889" t="inlineStr">
        <is>
          <t>2025-07-01 14:27:00</t>
        </is>
      </c>
      <c r="C4889" t="inlineStr">
        <is>
          <t>Organic Search</t>
        </is>
      </c>
      <c r="D4889" t="inlineStr">
        <is>
          <t>K-12 Math</t>
        </is>
      </c>
      <c r="E4889" t="inlineStr">
        <is>
          <t>East Region</t>
        </is>
      </c>
      <c r="F4889" t="inlineStr">
        <is>
          <t>Rep_09</t>
        </is>
      </c>
      <c r="G4889" t="n">
        <v>0.47</v>
      </c>
      <c r="H4889" t="inlineStr">
        <is>
          <t>Closed</t>
        </is>
      </c>
      <c r="I4889" t="inlineStr">
        <is>
          <t>Won</t>
        </is>
      </c>
      <c r="K4889" t="n">
        <v>586.8200000000001</v>
      </c>
      <c r="L4889" t="inlineStr">
        <is>
          <t>2025-08-12 11:07:15.593004</t>
        </is>
      </c>
      <c r="M4889">
        <f>VLOOKUP(H4889,'Stage Order'!$A$2:$B$8,2,FALSE)</f>
        <v/>
      </c>
      <c r="N4889">
        <f>IF(G4889&lt;=1,"1. Under 1 hour",IF(G4889&lt;=24,"2. 1-24 hours",IF(G4889&lt;=72,"3. 1-3 days","4. Over 3 days")))</f>
        <v/>
      </c>
      <c r="O4889">
        <f>TEXT(B4889,"YYYY-MM")</f>
        <v/>
      </c>
    </row>
    <row r="4890">
      <c r="A4890" t="inlineStr">
        <is>
          <t>LD-304888</t>
        </is>
      </c>
      <c r="B4890" t="inlineStr">
        <is>
          <t>2025-05-15 14:25:00</t>
        </is>
      </c>
      <c r="C4890" t="inlineStr">
        <is>
          <t>Referral</t>
        </is>
      </c>
      <c r="D4890" t="inlineStr">
        <is>
          <t>Competitive Exam Prep</t>
        </is>
      </c>
      <c r="E4890" t="inlineStr">
        <is>
          <t>South Region</t>
        </is>
      </c>
      <c r="F4890" t="inlineStr">
        <is>
          <t>Rep_07</t>
        </is>
      </c>
      <c r="G4890" t="n">
        <v>1.9</v>
      </c>
      <c r="H4890" t="inlineStr">
        <is>
          <t>Negotiation</t>
        </is>
      </c>
      <c r="I4890" t="inlineStr">
        <is>
          <t>Lost</t>
        </is>
      </c>
      <c r="J4890" t="inlineStr">
        <is>
          <t>Budget Not Approved</t>
        </is>
      </c>
      <c r="K4890" t="n">
        <v>1130.22</v>
      </c>
      <c r="L4890" t="inlineStr">
        <is>
          <t>2025-06-26 02:12:27.811311</t>
        </is>
      </c>
      <c r="M4890">
        <f>VLOOKUP(H4890,'Stage Order'!$A$2:$B$8,2,FALSE)</f>
        <v/>
      </c>
      <c r="N4890">
        <f>IF(G4890&lt;=1,"1. Under 1 hour",IF(G4890&lt;=24,"2. 1-24 hours",IF(G4890&lt;=72,"3. 1-3 days","4. Over 3 days")))</f>
        <v/>
      </c>
      <c r="O4890">
        <f>TEXT(B4890,"YYYY-MM")</f>
        <v/>
      </c>
    </row>
    <row r="4891">
      <c r="A4891" t="inlineStr">
        <is>
          <t>LD-304889</t>
        </is>
      </c>
      <c r="B4891" t="inlineStr">
        <is>
          <t>2025-07-30 10:57:00</t>
        </is>
      </c>
      <c r="C4891" t="inlineStr">
        <is>
          <t>Cold Outreach</t>
        </is>
      </c>
      <c r="D4891" t="inlineStr">
        <is>
          <t>Language Learning</t>
        </is>
      </c>
      <c r="E4891" t="inlineStr">
        <is>
          <t>North Region</t>
        </is>
      </c>
      <c r="F4891" t="inlineStr">
        <is>
          <t>Rep_01</t>
        </is>
      </c>
      <c r="G4891" t="n">
        <v>1.28</v>
      </c>
      <c r="H4891" t="inlineStr">
        <is>
          <t>Lead</t>
        </is>
      </c>
      <c r="I4891" t="inlineStr">
        <is>
          <t>Open</t>
        </is>
      </c>
      <c r="M4891">
        <f>VLOOKUP(H4891,'Stage Order'!$A$2:$B$8,2,FALSE)</f>
        <v/>
      </c>
      <c r="N4891">
        <f>IF(G4891&lt;=1,"1. Under 1 hour",IF(G4891&lt;=24,"2. 1-24 hours",IF(G4891&lt;=72,"3. 1-3 days","4. Over 3 days")))</f>
        <v/>
      </c>
      <c r="O4891">
        <f>TEXT(B4891,"YYYY-MM")</f>
        <v/>
      </c>
    </row>
    <row r="4892">
      <c r="A4892" t="inlineStr">
        <is>
          <t>LD-304890</t>
        </is>
      </c>
      <c r="B4892" t="inlineStr">
        <is>
          <t>2025-07-10 18:19:00</t>
        </is>
      </c>
      <c r="C4892" t="inlineStr">
        <is>
          <t>Organic Search</t>
        </is>
      </c>
      <c r="D4892" t="inlineStr">
        <is>
          <t>Coding for Kids</t>
        </is>
      </c>
      <c r="E4892" t="inlineStr">
        <is>
          <t>International</t>
        </is>
      </c>
      <c r="F4892" t="inlineStr">
        <is>
          <t>Rep_15</t>
        </is>
      </c>
      <c r="G4892" t="n">
        <v>2.18</v>
      </c>
      <c r="H4892" t="inlineStr">
        <is>
          <t>Closed</t>
        </is>
      </c>
      <c r="I4892" t="inlineStr">
        <is>
          <t>Won</t>
        </is>
      </c>
      <c r="K4892" t="n">
        <v>649.05</v>
      </c>
      <c r="L4892" t="inlineStr">
        <is>
          <t>2025-08-16 20:06:04.343361</t>
        </is>
      </c>
      <c r="M4892">
        <f>VLOOKUP(H4892,'Stage Order'!$A$2:$B$8,2,FALSE)</f>
        <v/>
      </c>
      <c r="N4892">
        <f>IF(G4892&lt;=1,"1. Under 1 hour",IF(G4892&lt;=24,"2. 1-24 hours",IF(G4892&lt;=72,"3. 1-3 days","4. Over 3 days")))</f>
        <v/>
      </c>
      <c r="O4892">
        <f>TEXT(B4892,"YYYY-MM")</f>
        <v/>
      </c>
    </row>
    <row r="4893">
      <c r="A4893" t="inlineStr">
        <is>
          <t>LD-304891</t>
        </is>
      </c>
      <c r="B4893" t="inlineStr">
        <is>
          <t>2026-05-29 18:31:00</t>
        </is>
      </c>
      <c r="C4893" t="inlineStr">
        <is>
          <t>Paid Search</t>
        </is>
      </c>
      <c r="D4893" t="inlineStr">
        <is>
          <t>Study Abroad Prep</t>
        </is>
      </c>
      <c r="E4893" t="inlineStr">
        <is>
          <t>West Region</t>
        </is>
      </c>
      <c r="F4893" t="inlineStr">
        <is>
          <t>Rep_13</t>
        </is>
      </c>
      <c r="G4893" t="n">
        <v>0.57</v>
      </c>
      <c r="H4893" t="inlineStr">
        <is>
          <t>Negotiation</t>
        </is>
      </c>
      <c r="I4893" t="inlineStr">
        <is>
          <t>Lost</t>
        </is>
      </c>
      <c r="J4893" t="inlineStr">
        <is>
          <t>Bad Timing</t>
        </is>
      </c>
      <c r="K4893" t="n">
        <v>1615.53</v>
      </c>
      <c r="L4893" t="inlineStr">
        <is>
          <t>2026-06-28 10:49:30.636834</t>
        </is>
      </c>
      <c r="M4893">
        <f>VLOOKUP(H4893,'Stage Order'!$A$2:$B$8,2,FALSE)</f>
        <v/>
      </c>
      <c r="N4893">
        <f>IF(G4893&lt;=1,"1. Under 1 hour",IF(G4893&lt;=24,"2. 1-24 hours",IF(G4893&lt;=72,"3. 1-3 days","4. Over 3 days")))</f>
        <v/>
      </c>
      <c r="O4893">
        <f>TEXT(B4893,"YYYY-MM")</f>
        <v/>
      </c>
    </row>
    <row r="4894">
      <c r="A4894" t="inlineStr">
        <is>
          <t>LD-304892</t>
        </is>
      </c>
      <c r="B4894" t="inlineStr">
        <is>
          <t>2025-12-18 12:24:00</t>
        </is>
      </c>
      <c r="C4894" t="inlineStr">
        <is>
          <t>Social Media</t>
        </is>
      </c>
      <c r="D4894" t="inlineStr">
        <is>
          <t>Coding for Kids</t>
        </is>
      </c>
      <c r="E4894" t="inlineStr">
        <is>
          <t>South Region</t>
        </is>
      </c>
      <c r="F4894" t="inlineStr">
        <is>
          <t>Rep_07</t>
        </is>
      </c>
      <c r="G4894" t="n">
        <v>0.8100000000000001</v>
      </c>
      <c r="H4894" t="inlineStr">
        <is>
          <t>Contacted</t>
        </is>
      </c>
      <c r="I4894" t="inlineStr">
        <is>
          <t>Open</t>
        </is>
      </c>
      <c r="M4894">
        <f>VLOOKUP(H4894,'Stage Order'!$A$2:$B$8,2,FALSE)</f>
        <v/>
      </c>
      <c r="N4894">
        <f>IF(G4894&lt;=1,"1. Under 1 hour",IF(G4894&lt;=24,"2. 1-24 hours",IF(G4894&lt;=72,"3. 1-3 days","4. Over 3 days")))</f>
        <v/>
      </c>
      <c r="O4894">
        <f>TEXT(B4894,"YYYY-MM")</f>
        <v/>
      </c>
    </row>
    <row r="4895">
      <c r="A4895" t="inlineStr">
        <is>
          <t>LD-304893</t>
        </is>
      </c>
      <c r="B4895" t="inlineStr">
        <is>
          <t>2025-01-12 14:26:00</t>
        </is>
      </c>
      <c r="C4895" t="inlineStr">
        <is>
          <t>Paid Search</t>
        </is>
      </c>
      <c r="D4895" t="inlineStr">
        <is>
          <t>K-12 Math</t>
        </is>
      </c>
      <c r="E4895" t="inlineStr">
        <is>
          <t>East Region</t>
        </is>
      </c>
      <c r="F4895" t="inlineStr">
        <is>
          <t>Rep_09</t>
        </is>
      </c>
      <c r="G4895" t="n">
        <v>0.45</v>
      </c>
      <c r="H4895" t="inlineStr">
        <is>
          <t>Lead</t>
        </is>
      </c>
      <c r="I4895" t="inlineStr">
        <is>
          <t>Open</t>
        </is>
      </c>
      <c r="M4895">
        <f>VLOOKUP(H4895,'Stage Order'!$A$2:$B$8,2,FALSE)</f>
        <v/>
      </c>
      <c r="N4895">
        <f>IF(G4895&lt;=1,"1. Under 1 hour",IF(G4895&lt;=24,"2. 1-24 hours",IF(G4895&lt;=72,"3. 1-3 days","4. Over 3 days")))</f>
        <v/>
      </c>
      <c r="O4895">
        <f>TEXT(B4895,"YYYY-MM")</f>
        <v/>
      </c>
    </row>
    <row r="4896">
      <c r="A4896" t="inlineStr">
        <is>
          <t>LD-304894</t>
        </is>
      </c>
      <c r="B4896" t="inlineStr">
        <is>
          <t>2026-04-01 07:22:00</t>
        </is>
      </c>
      <c r="C4896" t="inlineStr">
        <is>
          <t>Webinar</t>
        </is>
      </c>
      <c r="D4896" t="inlineStr">
        <is>
          <t>Study Abroad Prep</t>
        </is>
      </c>
      <c r="E4896" t="inlineStr">
        <is>
          <t>South Region</t>
        </is>
      </c>
      <c r="F4896" t="inlineStr">
        <is>
          <t>Rep_12</t>
        </is>
      </c>
      <c r="G4896" t="n">
        <v>13.67</v>
      </c>
      <c r="H4896" t="inlineStr">
        <is>
          <t>Negotiation</t>
        </is>
      </c>
      <c r="I4896" t="inlineStr">
        <is>
          <t>Lost</t>
        </is>
      </c>
      <c r="J4896" t="inlineStr">
        <is>
          <t>Budget Not Approved</t>
        </is>
      </c>
      <c r="K4896" t="n">
        <v>1356.18</v>
      </c>
      <c r="L4896" t="inlineStr">
        <is>
          <t>2026-05-21 15:35:40.865943</t>
        </is>
      </c>
      <c r="M4896">
        <f>VLOOKUP(H4896,'Stage Order'!$A$2:$B$8,2,FALSE)</f>
        <v/>
      </c>
      <c r="N4896">
        <f>IF(G4896&lt;=1,"1. Under 1 hour",IF(G4896&lt;=24,"2. 1-24 hours",IF(G4896&lt;=72,"3. 1-3 days","4. Over 3 days")))</f>
        <v/>
      </c>
      <c r="O4896">
        <f>TEXT(B4896,"YYYY-MM")</f>
        <v/>
      </c>
    </row>
    <row r="4897">
      <c r="A4897" t="inlineStr">
        <is>
          <t>LD-304895</t>
        </is>
      </c>
      <c r="B4897" t="inlineStr">
        <is>
          <t>2025-07-03 11:54:00</t>
        </is>
      </c>
      <c r="C4897" t="inlineStr">
        <is>
          <t>Organic Search</t>
        </is>
      </c>
      <c r="D4897" t="inlineStr">
        <is>
          <t>Language Learning</t>
        </is>
      </c>
      <c r="E4897" t="inlineStr">
        <is>
          <t>South Region</t>
        </is>
      </c>
      <c r="F4897" t="inlineStr">
        <is>
          <t>Rep_07</t>
        </is>
      </c>
      <c r="G4897" t="n">
        <v>2.22</v>
      </c>
      <c r="H4897" t="inlineStr">
        <is>
          <t>Contacted</t>
        </is>
      </c>
      <c r="I4897" t="inlineStr">
        <is>
          <t>Open</t>
        </is>
      </c>
      <c r="M4897">
        <f>VLOOKUP(H4897,'Stage Order'!$A$2:$B$8,2,FALSE)</f>
        <v/>
      </c>
      <c r="N4897">
        <f>IF(G4897&lt;=1,"1. Under 1 hour",IF(G4897&lt;=24,"2. 1-24 hours",IF(G4897&lt;=72,"3. 1-3 days","4. Over 3 days")))</f>
        <v/>
      </c>
      <c r="O4897">
        <f>TEXT(B4897,"YYYY-MM")</f>
        <v/>
      </c>
    </row>
    <row r="4898">
      <c r="A4898" t="inlineStr">
        <is>
          <t>LD-304896</t>
        </is>
      </c>
      <c r="B4898" t="inlineStr">
        <is>
          <t>2025-12-22 10:20:00</t>
        </is>
      </c>
      <c r="C4898" t="inlineStr">
        <is>
          <t>Referral</t>
        </is>
      </c>
      <c r="D4898" t="inlineStr">
        <is>
          <t>Language Learning</t>
        </is>
      </c>
      <c r="E4898" t="inlineStr">
        <is>
          <t>South Region</t>
        </is>
      </c>
      <c r="F4898" t="inlineStr">
        <is>
          <t>Rep_07</t>
        </is>
      </c>
      <c r="G4898" t="n">
        <v>7.05</v>
      </c>
      <c r="H4898" t="inlineStr">
        <is>
          <t>Negotiation</t>
        </is>
      </c>
      <c r="I4898" t="inlineStr">
        <is>
          <t>Lost</t>
        </is>
      </c>
      <c r="J4898" t="inlineStr">
        <is>
          <t>No Response / Ghosted</t>
        </is>
      </c>
      <c r="K4898" t="n">
        <v>313.19</v>
      </c>
      <c r="L4898" t="inlineStr">
        <is>
          <t>2026-02-14 19:33:43.629629</t>
        </is>
      </c>
      <c r="M4898">
        <f>VLOOKUP(H4898,'Stage Order'!$A$2:$B$8,2,FALSE)</f>
        <v/>
      </c>
      <c r="N4898">
        <f>IF(G4898&lt;=1,"1. Under 1 hour",IF(G4898&lt;=24,"2. 1-24 hours",IF(G4898&lt;=72,"3. 1-3 days","4. Over 3 days")))</f>
        <v/>
      </c>
      <c r="O4898">
        <f>TEXT(B4898,"YYYY-MM")</f>
        <v/>
      </c>
    </row>
    <row r="4899">
      <c r="A4899" t="inlineStr">
        <is>
          <t>LD-304897</t>
        </is>
      </c>
      <c r="B4899" t="inlineStr">
        <is>
          <t>2026-06-26 19:21:00</t>
        </is>
      </c>
      <c r="C4899" t="inlineStr">
        <is>
          <t>Cold Outreach</t>
        </is>
      </c>
      <c r="D4899" t="inlineStr">
        <is>
          <t>K-12 Math</t>
        </is>
      </c>
      <c r="E4899" t="inlineStr">
        <is>
          <t>International</t>
        </is>
      </c>
      <c r="F4899" t="inlineStr">
        <is>
          <t>Rep_05</t>
        </is>
      </c>
      <c r="G4899" t="n">
        <v>0.49</v>
      </c>
      <c r="H4899" t="inlineStr">
        <is>
          <t>Contacted</t>
        </is>
      </c>
      <c r="I4899" t="inlineStr">
        <is>
          <t>Open</t>
        </is>
      </c>
      <c r="M4899">
        <f>VLOOKUP(H4899,'Stage Order'!$A$2:$B$8,2,FALSE)</f>
        <v/>
      </c>
      <c r="N4899">
        <f>IF(G4899&lt;=1,"1. Under 1 hour",IF(G4899&lt;=24,"2. 1-24 hours",IF(G4899&lt;=72,"3. 1-3 days","4. Over 3 days")))</f>
        <v/>
      </c>
      <c r="O4899">
        <f>TEXT(B4899,"YYYY-MM")</f>
        <v/>
      </c>
    </row>
    <row r="4900">
      <c r="A4900" t="inlineStr">
        <is>
          <t>LD-304898</t>
        </is>
      </c>
      <c r="B4900" t="inlineStr">
        <is>
          <t>2025-07-24 20:55:00</t>
        </is>
      </c>
      <c r="C4900" t="inlineStr">
        <is>
          <t>Referral</t>
        </is>
      </c>
      <c r="D4900" t="inlineStr">
        <is>
          <t>K-12 Math</t>
        </is>
      </c>
      <c r="E4900" t="inlineStr">
        <is>
          <t>South Region</t>
        </is>
      </c>
      <c r="F4900" t="inlineStr">
        <is>
          <t>Rep_07</t>
        </is>
      </c>
      <c r="G4900" t="n">
        <v>2.5</v>
      </c>
      <c r="H4900" t="inlineStr">
        <is>
          <t>Closed</t>
        </is>
      </c>
      <c r="I4900" t="inlineStr">
        <is>
          <t>Won</t>
        </is>
      </c>
      <c r="K4900" t="n">
        <v>461.16</v>
      </c>
      <c r="L4900" t="inlineStr">
        <is>
          <t>2025-09-10 21:07:30.023779</t>
        </is>
      </c>
      <c r="M4900">
        <f>VLOOKUP(H4900,'Stage Order'!$A$2:$B$8,2,FALSE)</f>
        <v/>
      </c>
      <c r="N4900">
        <f>IF(G4900&lt;=1,"1. Under 1 hour",IF(G4900&lt;=24,"2. 1-24 hours",IF(G4900&lt;=72,"3. 1-3 days","4. Over 3 days")))</f>
        <v/>
      </c>
      <c r="O4900">
        <f>TEXT(B4900,"YYYY-MM")</f>
        <v/>
      </c>
    </row>
    <row r="4901">
      <c r="A4901" t="inlineStr">
        <is>
          <t>LD-304899</t>
        </is>
      </c>
      <c r="B4901" t="inlineStr">
        <is>
          <t>2025-06-11 07:48:00</t>
        </is>
      </c>
      <c r="C4901" t="inlineStr">
        <is>
          <t>Organic Search</t>
        </is>
      </c>
      <c r="D4901" t="inlineStr">
        <is>
          <t>Language Learning</t>
        </is>
      </c>
      <c r="E4901" t="inlineStr">
        <is>
          <t>South Region</t>
        </is>
      </c>
      <c r="F4901" t="inlineStr">
        <is>
          <t>Rep_12</t>
        </is>
      </c>
      <c r="G4901" t="n">
        <v>0.86</v>
      </c>
      <c r="H4901" t="inlineStr">
        <is>
          <t>Contacted</t>
        </is>
      </c>
      <c r="I4901" t="inlineStr">
        <is>
          <t>Open</t>
        </is>
      </c>
      <c r="M4901">
        <f>VLOOKUP(H4901,'Stage Order'!$A$2:$B$8,2,FALSE)</f>
        <v/>
      </c>
      <c r="N4901">
        <f>IF(G4901&lt;=1,"1. Under 1 hour",IF(G4901&lt;=24,"2. 1-24 hours",IF(G4901&lt;=72,"3. 1-3 days","4. Over 3 days")))</f>
        <v/>
      </c>
      <c r="O4901">
        <f>TEXT(B4901,"YYYY-MM")</f>
        <v/>
      </c>
    </row>
    <row r="4902">
      <c r="A4902" t="inlineStr">
        <is>
          <t>LD-304900</t>
        </is>
      </c>
      <c r="B4902" t="inlineStr">
        <is>
          <t>2025-12-25 16:39:00</t>
        </is>
      </c>
      <c r="C4902" t="inlineStr">
        <is>
          <t>Webinar</t>
        </is>
      </c>
      <c r="D4902" t="inlineStr">
        <is>
          <t>Language Learning</t>
        </is>
      </c>
      <c r="E4902" t="inlineStr">
        <is>
          <t>North Region</t>
        </is>
      </c>
      <c r="F4902" t="inlineStr">
        <is>
          <t>Rep_01</t>
        </is>
      </c>
      <c r="G4902" t="n">
        <v>7.04</v>
      </c>
      <c r="H4902" t="inlineStr">
        <is>
          <t>Closed</t>
        </is>
      </c>
      <c r="I4902" t="inlineStr">
        <is>
          <t>Won</t>
        </is>
      </c>
      <c r="K4902" t="n">
        <v>407.65</v>
      </c>
      <c r="L4902" t="inlineStr">
        <is>
          <t>2026-02-02 17:08:42.813175</t>
        </is>
      </c>
      <c r="M4902">
        <f>VLOOKUP(H4902,'Stage Order'!$A$2:$B$8,2,FALSE)</f>
        <v/>
      </c>
      <c r="N4902">
        <f>IF(G4902&lt;=1,"1. Under 1 hour",IF(G4902&lt;=24,"2. 1-24 hours",IF(G4902&lt;=72,"3. 1-3 days","4. Over 3 days")))</f>
        <v/>
      </c>
      <c r="O4902">
        <f>TEXT(B4902,"YYYY-MM")</f>
        <v/>
      </c>
    </row>
    <row r="4903">
      <c r="A4903" t="inlineStr">
        <is>
          <t>LD-304901</t>
        </is>
      </c>
      <c r="B4903" t="inlineStr">
        <is>
          <t>2025-01-12 09:49:00</t>
        </is>
      </c>
      <c r="C4903" t="inlineStr">
        <is>
          <t>Organic Search</t>
        </is>
      </c>
      <c r="D4903" t="inlineStr">
        <is>
          <t>Competitive Exam Prep</t>
        </is>
      </c>
      <c r="E4903" t="inlineStr">
        <is>
          <t>South Region</t>
        </is>
      </c>
      <c r="F4903" t="inlineStr">
        <is>
          <t>Rep_07</t>
        </is>
      </c>
      <c r="G4903" t="n">
        <v>5.09</v>
      </c>
      <c r="H4903" t="inlineStr">
        <is>
          <t>Proposal Sent</t>
        </is>
      </c>
      <c r="I4903" t="inlineStr">
        <is>
          <t>Lost</t>
        </is>
      </c>
      <c r="J4903" t="inlineStr">
        <is>
          <t>Price Objection</t>
        </is>
      </c>
      <c r="K4903" t="n">
        <v>910.38</v>
      </c>
      <c r="L4903" t="inlineStr">
        <is>
          <t>2025-02-25 12:14:58.117472</t>
        </is>
      </c>
      <c r="M4903">
        <f>VLOOKUP(H4903,'Stage Order'!$A$2:$B$8,2,FALSE)</f>
        <v/>
      </c>
      <c r="N4903">
        <f>IF(G4903&lt;=1,"1. Under 1 hour",IF(G4903&lt;=24,"2. 1-24 hours",IF(G4903&lt;=72,"3. 1-3 days","4. Over 3 days")))</f>
        <v/>
      </c>
      <c r="O4903">
        <f>TEXT(B4903,"YYYY-MM")</f>
        <v/>
      </c>
    </row>
    <row r="4904">
      <c r="A4904" t="inlineStr">
        <is>
          <t>LD-304902</t>
        </is>
      </c>
      <c r="B4904" t="inlineStr">
        <is>
          <t>2025-04-24 11:53:00</t>
        </is>
      </c>
      <c r="C4904" t="inlineStr">
        <is>
          <t>Cold Outreach</t>
        </is>
      </c>
      <c r="D4904" t="inlineStr">
        <is>
          <t>Coding for Kids</t>
        </is>
      </c>
      <c r="E4904" t="inlineStr">
        <is>
          <t>South Region</t>
        </is>
      </c>
      <c r="F4904" t="inlineStr">
        <is>
          <t>Rep_07</t>
        </is>
      </c>
      <c r="G4904" t="n">
        <v>6.03</v>
      </c>
      <c r="H4904" t="inlineStr">
        <is>
          <t>Contacted</t>
        </is>
      </c>
      <c r="I4904" t="inlineStr">
        <is>
          <t>Open</t>
        </is>
      </c>
      <c r="M4904">
        <f>VLOOKUP(H4904,'Stage Order'!$A$2:$B$8,2,FALSE)</f>
        <v/>
      </c>
      <c r="N4904">
        <f>IF(G4904&lt;=1,"1. Under 1 hour",IF(G4904&lt;=24,"2. 1-24 hours",IF(G4904&lt;=72,"3. 1-3 days","4. Over 3 days")))</f>
        <v/>
      </c>
      <c r="O4904">
        <f>TEXT(B4904,"YYYY-MM")</f>
        <v/>
      </c>
    </row>
    <row r="4905">
      <c r="A4905" t="inlineStr">
        <is>
          <t>LD-304903</t>
        </is>
      </c>
      <c r="B4905" t="inlineStr">
        <is>
          <t>2025-06-06 07:23:00</t>
        </is>
      </c>
      <c r="C4905" t="inlineStr">
        <is>
          <t>Webinar</t>
        </is>
      </c>
      <c r="D4905" t="inlineStr">
        <is>
          <t>Coding for Kids</t>
        </is>
      </c>
      <c r="E4905" t="inlineStr">
        <is>
          <t>South Region</t>
        </is>
      </c>
      <c r="F4905" t="inlineStr">
        <is>
          <t>Rep_02</t>
        </is>
      </c>
      <c r="G4905" t="n">
        <v>1.02</v>
      </c>
      <c r="H4905" t="inlineStr">
        <is>
          <t>Closed</t>
        </is>
      </c>
      <c r="I4905" t="inlineStr">
        <is>
          <t>Won</t>
        </is>
      </c>
      <c r="K4905" t="n">
        <v>664.73</v>
      </c>
      <c r="L4905" t="inlineStr">
        <is>
          <t>2025-07-12 16:18:09.900699</t>
        </is>
      </c>
      <c r="M4905">
        <f>VLOOKUP(H4905,'Stage Order'!$A$2:$B$8,2,FALSE)</f>
        <v/>
      </c>
      <c r="N4905">
        <f>IF(G4905&lt;=1,"1. Under 1 hour",IF(G4905&lt;=24,"2. 1-24 hours",IF(G4905&lt;=72,"3. 1-3 days","4. Over 3 days")))</f>
        <v/>
      </c>
      <c r="O4905">
        <f>TEXT(B4905,"YYYY-MM")</f>
        <v/>
      </c>
    </row>
    <row r="4906">
      <c r="A4906" t="inlineStr">
        <is>
          <t>LD-304904</t>
        </is>
      </c>
      <c r="B4906" t="inlineStr">
        <is>
          <t>2025-11-06 16:49:00</t>
        </is>
      </c>
      <c r="C4906" t="inlineStr">
        <is>
          <t>Organic Search</t>
        </is>
      </c>
      <c r="D4906" t="inlineStr">
        <is>
          <t>K-12 Math</t>
        </is>
      </c>
      <c r="E4906" t="inlineStr">
        <is>
          <t>South Region</t>
        </is>
      </c>
      <c r="F4906" t="inlineStr">
        <is>
          <t>Rep_12</t>
        </is>
      </c>
      <c r="G4906" t="n">
        <v>2.68</v>
      </c>
      <c r="H4906" t="inlineStr">
        <is>
          <t>Closed</t>
        </is>
      </c>
      <c r="I4906" t="inlineStr">
        <is>
          <t>Won</t>
        </is>
      </c>
      <c r="K4906" t="n">
        <v>576.33</v>
      </c>
      <c r="L4906" t="inlineStr">
        <is>
          <t>2025-12-25 01:40:38.284176</t>
        </is>
      </c>
      <c r="M4906">
        <f>VLOOKUP(H4906,'Stage Order'!$A$2:$B$8,2,FALSE)</f>
        <v/>
      </c>
      <c r="N4906">
        <f>IF(G4906&lt;=1,"1. Under 1 hour",IF(G4906&lt;=24,"2. 1-24 hours",IF(G4906&lt;=72,"3. 1-3 days","4. Over 3 days")))</f>
        <v/>
      </c>
      <c r="O4906">
        <f>TEXT(B4906,"YYYY-MM")</f>
        <v/>
      </c>
    </row>
    <row r="4907">
      <c r="A4907" t="inlineStr">
        <is>
          <t>LD-304905</t>
        </is>
      </c>
      <c r="B4907" t="inlineStr">
        <is>
          <t>2025-08-07 15:12:00</t>
        </is>
      </c>
      <c r="C4907" t="inlineStr">
        <is>
          <t>Referral</t>
        </is>
      </c>
      <c r="D4907" t="inlineStr">
        <is>
          <t>Coding for Kids</t>
        </is>
      </c>
      <c r="E4907" t="inlineStr">
        <is>
          <t>South Region</t>
        </is>
      </c>
      <c r="F4907" t="inlineStr">
        <is>
          <t>Rep_07</t>
        </is>
      </c>
      <c r="G4907" t="n">
        <v>0.54</v>
      </c>
      <c r="H4907" t="inlineStr">
        <is>
          <t>Closed</t>
        </is>
      </c>
      <c r="I4907" t="inlineStr">
        <is>
          <t>Won</t>
        </is>
      </c>
      <c r="K4907" t="n">
        <v>546.02</v>
      </c>
      <c r="L4907" t="inlineStr">
        <is>
          <t>2025-09-13 05:44:35.978323</t>
        </is>
      </c>
      <c r="M4907">
        <f>VLOOKUP(H4907,'Stage Order'!$A$2:$B$8,2,FALSE)</f>
        <v/>
      </c>
      <c r="N4907">
        <f>IF(G4907&lt;=1,"1. Under 1 hour",IF(G4907&lt;=24,"2. 1-24 hours",IF(G4907&lt;=72,"3. 1-3 days","4. Over 3 days")))</f>
        <v/>
      </c>
      <c r="O4907">
        <f>TEXT(B4907,"YYYY-MM")</f>
        <v/>
      </c>
    </row>
    <row r="4908">
      <c r="A4908" t="inlineStr">
        <is>
          <t>LD-304906</t>
        </is>
      </c>
      <c r="B4908" t="inlineStr">
        <is>
          <t>2025-10-27 09:17:00</t>
        </is>
      </c>
      <c r="C4908" t="inlineStr">
        <is>
          <t>Organic Search</t>
        </is>
      </c>
      <c r="D4908" t="inlineStr">
        <is>
          <t>Language Learning</t>
        </is>
      </c>
      <c r="E4908" t="inlineStr">
        <is>
          <t>North Region</t>
        </is>
      </c>
      <c r="F4908" t="inlineStr">
        <is>
          <t>Rep_11</t>
        </is>
      </c>
      <c r="G4908" t="n">
        <v>5.56</v>
      </c>
      <c r="H4908" t="inlineStr">
        <is>
          <t>Lead</t>
        </is>
      </c>
      <c r="I4908" t="inlineStr">
        <is>
          <t>Open</t>
        </is>
      </c>
      <c r="M4908">
        <f>VLOOKUP(H4908,'Stage Order'!$A$2:$B$8,2,FALSE)</f>
        <v/>
      </c>
      <c r="N4908">
        <f>IF(G4908&lt;=1,"1. Under 1 hour",IF(G4908&lt;=24,"2. 1-24 hours",IF(G4908&lt;=72,"3. 1-3 days","4. Over 3 days")))</f>
        <v/>
      </c>
      <c r="O4908">
        <f>TEXT(B4908,"YYYY-MM")</f>
        <v/>
      </c>
    </row>
    <row r="4909">
      <c r="A4909" t="inlineStr">
        <is>
          <t>LD-304907</t>
        </is>
      </c>
      <c r="B4909" t="inlineStr">
        <is>
          <t>2025-06-06 14:51:00</t>
        </is>
      </c>
      <c r="C4909" t="inlineStr">
        <is>
          <t>Cold Outreach</t>
        </is>
      </c>
      <c r="D4909" t="inlineStr">
        <is>
          <t>Coding for Kids</t>
        </is>
      </c>
      <c r="E4909" t="inlineStr">
        <is>
          <t>North Region</t>
        </is>
      </c>
      <c r="F4909" t="inlineStr">
        <is>
          <t>Rep_06</t>
        </is>
      </c>
      <c r="G4909" t="n">
        <v>2.27</v>
      </c>
      <c r="H4909" t="inlineStr">
        <is>
          <t>Contacted</t>
        </is>
      </c>
      <c r="I4909" t="inlineStr">
        <is>
          <t>Open</t>
        </is>
      </c>
      <c r="M4909">
        <f>VLOOKUP(H4909,'Stage Order'!$A$2:$B$8,2,FALSE)</f>
        <v/>
      </c>
      <c r="N4909">
        <f>IF(G4909&lt;=1,"1. Under 1 hour",IF(G4909&lt;=24,"2. 1-24 hours",IF(G4909&lt;=72,"3. 1-3 days","4. Over 3 days")))</f>
        <v/>
      </c>
      <c r="O4909">
        <f>TEXT(B4909,"YYYY-MM")</f>
        <v/>
      </c>
    </row>
    <row r="4910">
      <c r="A4910" t="inlineStr">
        <is>
          <t>LD-304908</t>
        </is>
      </c>
      <c r="B4910" t="inlineStr">
        <is>
          <t>2025-03-20 19:11:00</t>
        </is>
      </c>
      <c r="C4910" t="inlineStr">
        <is>
          <t>Cold Outreach</t>
        </is>
      </c>
      <c r="D4910" t="inlineStr">
        <is>
          <t>K-12 Math</t>
        </is>
      </c>
      <c r="E4910" t="inlineStr">
        <is>
          <t>East Region</t>
        </is>
      </c>
      <c r="F4910" t="inlineStr">
        <is>
          <t>Rep_14</t>
        </is>
      </c>
      <c r="G4910" t="n">
        <v>6.16</v>
      </c>
      <c r="H4910" t="inlineStr">
        <is>
          <t>Lead</t>
        </is>
      </c>
      <c r="I4910" t="inlineStr">
        <is>
          <t>Open</t>
        </is>
      </c>
      <c r="M4910">
        <f>VLOOKUP(H4910,'Stage Order'!$A$2:$B$8,2,FALSE)</f>
        <v/>
      </c>
      <c r="N4910">
        <f>IF(G4910&lt;=1,"1. Under 1 hour",IF(G4910&lt;=24,"2. 1-24 hours",IF(G4910&lt;=72,"3. 1-3 days","4. Over 3 days")))</f>
        <v/>
      </c>
      <c r="O4910">
        <f>TEXT(B4910,"YYYY-MM")</f>
        <v/>
      </c>
    </row>
    <row r="4911">
      <c r="A4911" t="inlineStr">
        <is>
          <t>LD-304909</t>
        </is>
      </c>
      <c r="B4911" t="inlineStr">
        <is>
          <t>2025-09-12 16:53:00</t>
        </is>
      </c>
      <c r="C4911" t="inlineStr">
        <is>
          <t>Paid Search</t>
        </is>
      </c>
      <c r="D4911" t="inlineStr">
        <is>
          <t>Competitive Exam Prep</t>
        </is>
      </c>
      <c r="E4911" t="inlineStr">
        <is>
          <t>International</t>
        </is>
      </c>
      <c r="F4911" t="inlineStr">
        <is>
          <t>Rep_10</t>
        </is>
      </c>
      <c r="G4911" t="n">
        <v>3</v>
      </c>
      <c r="H4911" t="inlineStr">
        <is>
          <t>Contacted</t>
        </is>
      </c>
      <c r="I4911" t="inlineStr">
        <is>
          <t>Open</t>
        </is>
      </c>
      <c r="M4911">
        <f>VLOOKUP(H4911,'Stage Order'!$A$2:$B$8,2,FALSE)</f>
        <v/>
      </c>
      <c r="N4911">
        <f>IF(G4911&lt;=1,"1. Under 1 hour",IF(G4911&lt;=24,"2. 1-24 hours",IF(G4911&lt;=72,"3. 1-3 days","4. Over 3 days")))</f>
        <v/>
      </c>
      <c r="O4911">
        <f>TEXT(B4911,"YYYY-MM")</f>
        <v/>
      </c>
    </row>
    <row r="4912">
      <c r="A4912" t="inlineStr">
        <is>
          <t>LD-304910</t>
        </is>
      </c>
      <c r="B4912" t="inlineStr">
        <is>
          <t>2026-03-17 20:44:00</t>
        </is>
      </c>
      <c r="C4912" t="inlineStr">
        <is>
          <t>Cold Outreach</t>
        </is>
      </c>
      <c r="D4912" t="inlineStr">
        <is>
          <t>Language Learning</t>
        </is>
      </c>
      <c r="E4912" t="inlineStr">
        <is>
          <t>South Region</t>
        </is>
      </c>
      <c r="F4912" t="inlineStr">
        <is>
          <t>Rep_07</t>
        </is>
      </c>
      <c r="G4912" t="n">
        <v>6.89</v>
      </c>
      <c r="H4912" t="inlineStr">
        <is>
          <t>Lead</t>
        </is>
      </c>
      <c r="I4912" t="inlineStr">
        <is>
          <t>Open</t>
        </is>
      </c>
      <c r="M4912">
        <f>VLOOKUP(H4912,'Stage Order'!$A$2:$B$8,2,FALSE)</f>
        <v/>
      </c>
      <c r="N4912">
        <f>IF(G4912&lt;=1,"1. Under 1 hour",IF(G4912&lt;=24,"2. 1-24 hours",IF(G4912&lt;=72,"3. 1-3 days","4. Over 3 days")))</f>
        <v/>
      </c>
      <c r="O4912">
        <f>TEXT(B4912,"YYYY-MM")</f>
        <v/>
      </c>
    </row>
    <row r="4913">
      <c r="A4913" t="inlineStr">
        <is>
          <t>LD-304911</t>
        </is>
      </c>
      <c r="B4913" t="inlineStr">
        <is>
          <t>2025-09-05 08:40:00</t>
        </is>
      </c>
      <c r="C4913" t="inlineStr">
        <is>
          <t>Organic Search</t>
        </is>
      </c>
      <c r="D4913" t="inlineStr">
        <is>
          <t>Competitive Exam Prep</t>
        </is>
      </c>
      <c r="E4913" t="inlineStr">
        <is>
          <t>East Region</t>
        </is>
      </c>
      <c r="F4913" t="inlineStr">
        <is>
          <t>Rep_14</t>
        </is>
      </c>
      <c r="G4913" t="n">
        <v>7.64</v>
      </c>
      <c r="H4913" t="inlineStr">
        <is>
          <t>Contacted</t>
        </is>
      </c>
      <c r="I4913" t="inlineStr">
        <is>
          <t>Open</t>
        </is>
      </c>
      <c r="M4913">
        <f>VLOOKUP(H4913,'Stage Order'!$A$2:$B$8,2,FALSE)</f>
        <v/>
      </c>
      <c r="N4913">
        <f>IF(G4913&lt;=1,"1. Under 1 hour",IF(G4913&lt;=24,"2. 1-24 hours",IF(G4913&lt;=72,"3. 1-3 days","4. Over 3 days")))</f>
        <v/>
      </c>
      <c r="O4913">
        <f>TEXT(B4913,"YYYY-MM")</f>
        <v/>
      </c>
    </row>
    <row r="4914">
      <c r="A4914" t="inlineStr">
        <is>
          <t>LD-304912</t>
        </is>
      </c>
      <c r="B4914" t="inlineStr">
        <is>
          <t>2025-06-12 11:25:00</t>
        </is>
      </c>
      <c r="C4914" t="inlineStr">
        <is>
          <t>Organic Search</t>
        </is>
      </c>
      <c r="D4914" t="inlineStr">
        <is>
          <t>Language Learning</t>
        </is>
      </c>
      <c r="E4914" t="inlineStr">
        <is>
          <t>International</t>
        </is>
      </c>
      <c r="F4914" t="inlineStr">
        <is>
          <t>Rep_15</t>
        </is>
      </c>
      <c r="G4914" t="n">
        <v>2.97</v>
      </c>
      <c r="H4914" t="inlineStr">
        <is>
          <t>Contacted</t>
        </is>
      </c>
      <c r="I4914" t="inlineStr">
        <is>
          <t>Open</t>
        </is>
      </c>
      <c r="M4914">
        <f>VLOOKUP(H4914,'Stage Order'!$A$2:$B$8,2,FALSE)</f>
        <v/>
      </c>
      <c r="N4914">
        <f>IF(G4914&lt;=1,"1. Under 1 hour",IF(G4914&lt;=24,"2. 1-24 hours",IF(G4914&lt;=72,"3. 1-3 days","4. Over 3 days")))</f>
        <v/>
      </c>
      <c r="O4914">
        <f>TEXT(B4914,"YYYY-MM")</f>
        <v/>
      </c>
    </row>
    <row r="4915">
      <c r="A4915" t="inlineStr">
        <is>
          <t>LD-304913</t>
        </is>
      </c>
      <c r="B4915" t="inlineStr">
        <is>
          <t>2025-04-22 08:29:00</t>
        </is>
      </c>
      <c r="C4915" t="inlineStr">
        <is>
          <t>Partner Channel</t>
        </is>
      </c>
      <c r="D4915" t="inlineStr">
        <is>
          <t>K-12 Math</t>
        </is>
      </c>
      <c r="E4915" t="inlineStr">
        <is>
          <t>West Region</t>
        </is>
      </c>
      <c r="F4915" t="inlineStr">
        <is>
          <t>Rep_03</t>
        </is>
      </c>
      <c r="G4915" t="n">
        <v>3.35</v>
      </c>
      <c r="H4915" t="inlineStr">
        <is>
          <t>Contacted</t>
        </is>
      </c>
      <c r="I4915" t="inlineStr">
        <is>
          <t>Open</t>
        </is>
      </c>
      <c r="M4915">
        <f>VLOOKUP(H4915,'Stage Order'!$A$2:$B$8,2,FALSE)</f>
        <v/>
      </c>
      <c r="N4915">
        <f>IF(G4915&lt;=1,"1. Under 1 hour",IF(G4915&lt;=24,"2. 1-24 hours",IF(G4915&lt;=72,"3. 1-3 days","4. Over 3 days")))</f>
        <v/>
      </c>
      <c r="O4915">
        <f>TEXT(B4915,"YYYY-MM")</f>
        <v/>
      </c>
    </row>
    <row r="4916">
      <c r="A4916" t="inlineStr">
        <is>
          <t>LD-304914</t>
        </is>
      </c>
      <c r="B4916" t="inlineStr">
        <is>
          <t>2025-03-11 09:36:00</t>
        </is>
      </c>
      <c r="C4916" t="inlineStr">
        <is>
          <t>Referral</t>
        </is>
      </c>
      <c r="D4916" t="inlineStr">
        <is>
          <t>Coding for Kids</t>
        </is>
      </c>
      <c r="E4916" t="inlineStr">
        <is>
          <t>South Region</t>
        </is>
      </c>
      <c r="F4916" t="inlineStr">
        <is>
          <t>Rep_12</t>
        </is>
      </c>
      <c r="G4916" t="n">
        <v>7.83</v>
      </c>
      <c r="H4916" t="inlineStr">
        <is>
          <t>Negotiation</t>
        </is>
      </c>
      <c r="I4916" t="inlineStr">
        <is>
          <t>Lost</t>
        </is>
      </c>
      <c r="J4916" t="inlineStr">
        <is>
          <t>No Response / Ghosted</t>
        </is>
      </c>
      <c r="K4916" t="n">
        <v>756.85</v>
      </c>
      <c r="L4916" t="inlineStr">
        <is>
          <t>2025-04-16 05:01:26.905440</t>
        </is>
      </c>
      <c r="M4916">
        <f>VLOOKUP(H4916,'Stage Order'!$A$2:$B$8,2,FALSE)</f>
        <v/>
      </c>
      <c r="N4916">
        <f>IF(G4916&lt;=1,"1. Under 1 hour",IF(G4916&lt;=24,"2. 1-24 hours",IF(G4916&lt;=72,"3. 1-3 days","4. Over 3 days")))</f>
        <v/>
      </c>
      <c r="O4916">
        <f>TEXT(B4916,"YYYY-MM")</f>
        <v/>
      </c>
    </row>
    <row r="4917">
      <c r="A4917" t="inlineStr">
        <is>
          <t>LD-304915</t>
        </is>
      </c>
      <c r="B4917" t="inlineStr">
        <is>
          <t>2026-03-19 15:29:00</t>
        </is>
      </c>
      <c r="C4917" t="inlineStr">
        <is>
          <t>Webinar</t>
        </is>
      </c>
      <c r="D4917" t="inlineStr">
        <is>
          <t>K-12 Math</t>
        </is>
      </c>
      <c r="E4917" t="inlineStr">
        <is>
          <t>South Region</t>
        </is>
      </c>
      <c r="F4917" t="inlineStr">
        <is>
          <t>Rep_07</t>
        </is>
      </c>
      <c r="G4917" t="n">
        <v>0.55</v>
      </c>
      <c r="H4917" t="inlineStr">
        <is>
          <t>Negotiation</t>
        </is>
      </c>
      <c r="I4917" t="inlineStr">
        <is>
          <t>Lost</t>
        </is>
      </c>
      <c r="J4917" t="inlineStr">
        <is>
          <t>Price Objection</t>
        </is>
      </c>
      <c r="K4917" t="n">
        <v>475.99</v>
      </c>
      <c r="L4917" t="inlineStr">
        <is>
          <t>2026-05-24 08:04:01.621571</t>
        </is>
      </c>
      <c r="M4917">
        <f>VLOOKUP(H4917,'Stage Order'!$A$2:$B$8,2,FALSE)</f>
        <v/>
      </c>
      <c r="N4917">
        <f>IF(G4917&lt;=1,"1. Under 1 hour",IF(G4917&lt;=24,"2. 1-24 hours",IF(G4917&lt;=72,"3. 1-3 days","4. Over 3 days")))</f>
        <v/>
      </c>
      <c r="O4917">
        <f>TEXT(B4917,"YYYY-MM")</f>
        <v/>
      </c>
    </row>
    <row r="4918">
      <c r="A4918" t="inlineStr">
        <is>
          <t>LD-304916</t>
        </is>
      </c>
      <c r="B4918" t="inlineStr">
        <is>
          <t>2025-05-15 19:06:00</t>
        </is>
      </c>
      <c r="C4918" t="inlineStr">
        <is>
          <t>Organic Search</t>
        </is>
      </c>
      <c r="D4918" t="inlineStr">
        <is>
          <t>Competitive Exam Prep</t>
        </is>
      </c>
      <c r="E4918" t="inlineStr">
        <is>
          <t>North Region</t>
        </is>
      </c>
      <c r="F4918" t="inlineStr">
        <is>
          <t>Rep_06</t>
        </is>
      </c>
      <c r="G4918" t="n">
        <v>1.09</v>
      </c>
      <c r="H4918" t="inlineStr">
        <is>
          <t>Lead</t>
        </is>
      </c>
      <c r="I4918" t="inlineStr">
        <is>
          <t>Open</t>
        </is>
      </c>
      <c r="M4918">
        <f>VLOOKUP(H4918,'Stage Order'!$A$2:$B$8,2,FALSE)</f>
        <v/>
      </c>
      <c r="N4918">
        <f>IF(G4918&lt;=1,"1. Under 1 hour",IF(G4918&lt;=24,"2. 1-24 hours",IF(G4918&lt;=72,"3. 1-3 days","4. Over 3 days")))</f>
        <v/>
      </c>
      <c r="O4918">
        <f>TEXT(B4918,"YYYY-MM")</f>
        <v/>
      </c>
    </row>
    <row r="4919">
      <c r="A4919" t="inlineStr">
        <is>
          <t>LD-304917</t>
        </is>
      </c>
      <c r="B4919" t="inlineStr">
        <is>
          <t>2025-09-19 09:13:00</t>
        </is>
      </c>
      <c r="C4919" t="inlineStr">
        <is>
          <t>Social Media</t>
        </is>
      </c>
      <c r="D4919" t="inlineStr">
        <is>
          <t>K-12 Math</t>
        </is>
      </c>
      <c r="E4919" t="inlineStr">
        <is>
          <t>North Region</t>
        </is>
      </c>
      <c r="F4919" t="inlineStr">
        <is>
          <t>Rep_06</t>
        </is>
      </c>
      <c r="G4919" t="n">
        <v>4.95</v>
      </c>
      <c r="H4919" t="inlineStr">
        <is>
          <t>Lead</t>
        </is>
      </c>
      <c r="I4919" t="inlineStr">
        <is>
          <t>Open</t>
        </is>
      </c>
      <c r="M4919">
        <f>VLOOKUP(H4919,'Stage Order'!$A$2:$B$8,2,FALSE)</f>
        <v/>
      </c>
      <c r="N4919">
        <f>IF(G4919&lt;=1,"1. Under 1 hour",IF(G4919&lt;=24,"2. 1-24 hours",IF(G4919&lt;=72,"3. 1-3 days","4. Over 3 days")))</f>
        <v/>
      </c>
      <c r="O4919">
        <f>TEXT(B4919,"YYYY-MM")</f>
        <v/>
      </c>
    </row>
    <row r="4920">
      <c r="A4920" t="inlineStr">
        <is>
          <t>LD-304918</t>
        </is>
      </c>
      <c r="B4920" t="inlineStr">
        <is>
          <t>2025-05-27 10:46:00</t>
        </is>
      </c>
      <c r="C4920" t="inlineStr">
        <is>
          <t>Paid Search</t>
        </is>
      </c>
      <c r="D4920" t="inlineStr">
        <is>
          <t>Coding for Kids</t>
        </is>
      </c>
      <c r="E4920" t="inlineStr">
        <is>
          <t>East Region</t>
        </is>
      </c>
      <c r="F4920" t="inlineStr">
        <is>
          <t>Rep_14</t>
        </is>
      </c>
      <c r="G4920" t="n">
        <v>2.69</v>
      </c>
      <c r="H4920" t="inlineStr">
        <is>
          <t>Demo Completed</t>
        </is>
      </c>
      <c r="I4920" t="inlineStr">
        <is>
          <t>Lost</t>
        </is>
      </c>
      <c r="J4920" t="inlineStr">
        <is>
          <t>Price Objection</t>
        </is>
      </c>
      <c r="K4920" t="n">
        <v>635.72</v>
      </c>
      <c r="L4920" t="inlineStr">
        <is>
          <t>2025-06-18 01:07:42.700388</t>
        </is>
      </c>
      <c r="M4920">
        <f>VLOOKUP(H4920,'Stage Order'!$A$2:$B$8,2,FALSE)</f>
        <v/>
      </c>
      <c r="N4920">
        <f>IF(G4920&lt;=1,"1. Under 1 hour",IF(G4920&lt;=24,"2. 1-24 hours",IF(G4920&lt;=72,"3. 1-3 days","4. Over 3 days")))</f>
        <v/>
      </c>
      <c r="O4920">
        <f>TEXT(B4920,"YYYY-MM")</f>
        <v/>
      </c>
    </row>
    <row r="4921">
      <c r="A4921" t="inlineStr">
        <is>
          <t>LD-304919</t>
        </is>
      </c>
      <c r="B4921" t="inlineStr">
        <is>
          <t>2026-06-23 16:17:00</t>
        </is>
      </c>
      <c r="C4921" t="inlineStr">
        <is>
          <t>Social Media</t>
        </is>
      </c>
      <c r="D4921" t="inlineStr">
        <is>
          <t>K-12 Math</t>
        </is>
      </c>
      <c r="E4921" t="inlineStr">
        <is>
          <t>South Region</t>
        </is>
      </c>
      <c r="F4921" t="inlineStr">
        <is>
          <t>Rep_02</t>
        </is>
      </c>
      <c r="G4921" t="n">
        <v>1.4</v>
      </c>
      <c r="H4921" t="inlineStr">
        <is>
          <t>Contacted</t>
        </is>
      </c>
      <c r="I4921" t="inlineStr">
        <is>
          <t>Open</t>
        </is>
      </c>
      <c r="M4921">
        <f>VLOOKUP(H4921,'Stage Order'!$A$2:$B$8,2,FALSE)</f>
        <v/>
      </c>
      <c r="N4921">
        <f>IF(G4921&lt;=1,"1. Under 1 hour",IF(G4921&lt;=24,"2. 1-24 hours",IF(G4921&lt;=72,"3. 1-3 days","4. Over 3 days")))</f>
        <v/>
      </c>
      <c r="O4921">
        <f>TEXT(B4921,"YYYY-MM")</f>
        <v/>
      </c>
    </row>
    <row r="4922">
      <c r="A4922" t="inlineStr">
        <is>
          <t>LD-304920</t>
        </is>
      </c>
      <c r="B4922" t="inlineStr">
        <is>
          <t>2026-03-13 08:36:00</t>
        </is>
      </c>
      <c r="C4922" t="inlineStr">
        <is>
          <t>Webinar</t>
        </is>
      </c>
      <c r="D4922" t="inlineStr">
        <is>
          <t>K-12 Math</t>
        </is>
      </c>
      <c r="E4922" t="inlineStr">
        <is>
          <t>North Region</t>
        </is>
      </c>
      <c r="F4922" t="inlineStr">
        <is>
          <t>Rep_01</t>
        </is>
      </c>
      <c r="G4922" t="n">
        <v>2.26</v>
      </c>
      <c r="H4922" t="inlineStr">
        <is>
          <t>Contacted</t>
        </is>
      </c>
      <c r="I4922" t="inlineStr">
        <is>
          <t>Open</t>
        </is>
      </c>
      <c r="M4922">
        <f>VLOOKUP(H4922,'Stage Order'!$A$2:$B$8,2,FALSE)</f>
        <v/>
      </c>
      <c r="N4922">
        <f>IF(G4922&lt;=1,"1. Under 1 hour",IF(G4922&lt;=24,"2. 1-24 hours",IF(G4922&lt;=72,"3. 1-3 days","4. Over 3 days")))</f>
        <v/>
      </c>
      <c r="O4922">
        <f>TEXT(B4922,"YYYY-MM")</f>
        <v/>
      </c>
    </row>
    <row r="4923">
      <c r="A4923" t="inlineStr">
        <is>
          <t>LD-304921</t>
        </is>
      </c>
      <c r="B4923" t="inlineStr">
        <is>
          <t>2025-04-30 20:40:00</t>
        </is>
      </c>
      <c r="C4923" t="inlineStr">
        <is>
          <t>Cold Outreach</t>
        </is>
      </c>
      <c r="D4923" t="inlineStr">
        <is>
          <t>Study Abroad Prep</t>
        </is>
      </c>
      <c r="E4923" t="inlineStr">
        <is>
          <t>West Region</t>
        </is>
      </c>
      <c r="F4923" t="inlineStr">
        <is>
          <t>Rep_13</t>
        </is>
      </c>
      <c r="G4923" t="n">
        <v>1.52</v>
      </c>
      <c r="H4923" t="inlineStr">
        <is>
          <t>Lead</t>
        </is>
      </c>
      <c r="I4923" t="inlineStr">
        <is>
          <t>Open</t>
        </is>
      </c>
      <c r="M4923">
        <f>VLOOKUP(H4923,'Stage Order'!$A$2:$B$8,2,FALSE)</f>
        <v/>
      </c>
      <c r="N4923">
        <f>IF(G4923&lt;=1,"1. Under 1 hour",IF(G4923&lt;=24,"2. 1-24 hours",IF(G4923&lt;=72,"3. 1-3 days","4. Over 3 days")))</f>
        <v/>
      </c>
      <c r="O4923">
        <f>TEXT(B4923,"YYYY-MM")</f>
        <v/>
      </c>
    </row>
    <row r="4924">
      <c r="A4924" t="inlineStr">
        <is>
          <t>LD-304922</t>
        </is>
      </c>
      <c r="B4924" t="inlineStr">
        <is>
          <t>2026-01-10 07:54:00</t>
        </is>
      </c>
      <c r="C4924" t="inlineStr">
        <is>
          <t>Referral</t>
        </is>
      </c>
      <c r="D4924" t="inlineStr">
        <is>
          <t>Competitive Exam Prep</t>
        </is>
      </c>
      <c r="E4924" t="inlineStr">
        <is>
          <t>East Region</t>
        </is>
      </c>
      <c r="F4924" t="inlineStr">
        <is>
          <t>Rep_14</t>
        </is>
      </c>
      <c r="G4924" t="n">
        <v>1.09</v>
      </c>
      <c r="H4924" t="inlineStr">
        <is>
          <t>Closed</t>
        </is>
      </c>
      <c r="I4924" t="inlineStr">
        <is>
          <t>Won</t>
        </is>
      </c>
      <c r="K4924" t="n">
        <v>829.58</v>
      </c>
      <c r="L4924" t="inlineStr">
        <is>
          <t>2026-02-16 07:13:03.429976</t>
        </is>
      </c>
      <c r="M4924">
        <f>VLOOKUP(H4924,'Stage Order'!$A$2:$B$8,2,FALSE)</f>
        <v/>
      </c>
      <c r="N4924">
        <f>IF(G4924&lt;=1,"1. Under 1 hour",IF(G4924&lt;=24,"2. 1-24 hours",IF(G4924&lt;=72,"3. 1-3 days","4. Over 3 days")))</f>
        <v/>
      </c>
      <c r="O4924">
        <f>TEXT(B4924,"YYYY-MM")</f>
        <v/>
      </c>
    </row>
    <row r="4925">
      <c r="A4925" t="inlineStr">
        <is>
          <t>LD-304923</t>
        </is>
      </c>
      <c r="B4925" t="inlineStr">
        <is>
          <t>2026-01-14 08:50:00</t>
        </is>
      </c>
      <c r="C4925" t="inlineStr">
        <is>
          <t>Partner Channel</t>
        </is>
      </c>
      <c r="D4925" t="inlineStr">
        <is>
          <t>Competitive Exam Prep</t>
        </is>
      </c>
      <c r="E4925" t="inlineStr">
        <is>
          <t>North Region</t>
        </is>
      </c>
      <c r="F4925" t="inlineStr">
        <is>
          <t>Rep_01</t>
        </is>
      </c>
      <c r="G4925" t="n">
        <v>0.5</v>
      </c>
      <c r="H4925" t="inlineStr">
        <is>
          <t>Closed</t>
        </is>
      </c>
      <c r="I4925" t="inlineStr">
        <is>
          <t>Won</t>
        </is>
      </c>
      <c r="K4925" t="n">
        <v>983.21</v>
      </c>
      <c r="L4925" t="inlineStr">
        <is>
          <t>2026-02-22 03:59:13.441026</t>
        </is>
      </c>
      <c r="M4925">
        <f>VLOOKUP(H4925,'Stage Order'!$A$2:$B$8,2,FALSE)</f>
        <v/>
      </c>
      <c r="N4925">
        <f>IF(G4925&lt;=1,"1. Under 1 hour",IF(G4925&lt;=24,"2. 1-24 hours",IF(G4925&lt;=72,"3. 1-3 days","4. Over 3 days")))</f>
        <v/>
      </c>
      <c r="O4925">
        <f>TEXT(B4925,"YYYY-MM")</f>
        <v/>
      </c>
    </row>
    <row r="4926">
      <c r="A4926" t="inlineStr">
        <is>
          <t>LD-304924</t>
        </is>
      </c>
      <c r="B4926" t="inlineStr">
        <is>
          <t>2026-06-03 15:34:00</t>
        </is>
      </c>
      <c r="C4926" t="inlineStr">
        <is>
          <t>Paid Search</t>
        </is>
      </c>
      <c r="D4926" t="inlineStr">
        <is>
          <t>Competitive Exam Prep</t>
        </is>
      </c>
      <c r="E4926" t="inlineStr">
        <is>
          <t>East Region</t>
        </is>
      </c>
      <c r="F4926" t="inlineStr">
        <is>
          <t>Rep_09</t>
        </is>
      </c>
      <c r="G4926" t="n">
        <v>1.52</v>
      </c>
      <c r="H4926" t="inlineStr">
        <is>
          <t>Contacted</t>
        </is>
      </c>
      <c r="I4926" t="inlineStr">
        <is>
          <t>Open</t>
        </is>
      </c>
      <c r="M4926">
        <f>VLOOKUP(H4926,'Stage Order'!$A$2:$B$8,2,FALSE)</f>
        <v/>
      </c>
      <c r="N4926">
        <f>IF(G4926&lt;=1,"1. Under 1 hour",IF(G4926&lt;=24,"2. 1-24 hours",IF(G4926&lt;=72,"3. 1-3 days","4. Over 3 days")))</f>
        <v/>
      </c>
      <c r="O4926">
        <f>TEXT(B4926,"YYYY-MM")</f>
        <v/>
      </c>
    </row>
    <row r="4927">
      <c r="A4927" t="inlineStr">
        <is>
          <t>LD-304925</t>
        </is>
      </c>
      <c r="B4927" t="inlineStr">
        <is>
          <t>2026-05-07 07:22:00</t>
        </is>
      </c>
      <c r="C4927" t="inlineStr">
        <is>
          <t>Referral</t>
        </is>
      </c>
      <c r="D4927" t="inlineStr">
        <is>
          <t>K-12 Math</t>
        </is>
      </c>
      <c r="E4927" t="inlineStr">
        <is>
          <t>West Region</t>
        </is>
      </c>
      <c r="F4927" t="inlineStr">
        <is>
          <t>Rep_08</t>
        </is>
      </c>
      <c r="G4927" t="n">
        <v>1.73</v>
      </c>
      <c r="H4927" t="inlineStr">
        <is>
          <t>Closed</t>
        </is>
      </c>
      <c r="I4927" t="inlineStr">
        <is>
          <t>Won</t>
        </is>
      </c>
      <c r="K4927" t="n">
        <v>469.68</v>
      </c>
      <c r="L4927" t="inlineStr">
        <is>
          <t>2026-06-07 12:42:30.756833</t>
        </is>
      </c>
      <c r="M4927">
        <f>VLOOKUP(H4927,'Stage Order'!$A$2:$B$8,2,FALSE)</f>
        <v/>
      </c>
      <c r="N4927">
        <f>IF(G4927&lt;=1,"1. Under 1 hour",IF(G4927&lt;=24,"2. 1-24 hours",IF(G4927&lt;=72,"3. 1-3 days","4. Over 3 days")))</f>
        <v/>
      </c>
      <c r="O4927">
        <f>TEXT(B4927,"YYYY-MM")</f>
        <v/>
      </c>
    </row>
    <row r="4928">
      <c r="A4928" t="inlineStr">
        <is>
          <t>LD-304926</t>
        </is>
      </c>
      <c r="B4928" t="inlineStr">
        <is>
          <t>2025-04-23 17:54:00</t>
        </is>
      </c>
      <c r="C4928" t="inlineStr">
        <is>
          <t>Paid Search</t>
        </is>
      </c>
      <c r="D4928" t="inlineStr">
        <is>
          <t>Competitive Exam Prep</t>
        </is>
      </c>
      <c r="E4928" t="inlineStr">
        <is>
          <t>South Region</t>
        </is>
      </c>
      <c r="F4928" t="inlineStr">
        <is>
          <t>Rep_02</t>
        </is>
      </c>
      <c r="G4928" t="n">
        <v>1.72</v>
      </c>
      <c r="H4928" t="inlineStr">
        <is>
          <t>Contacted</t>
        </is>
      </c>
      <c r="I4928" t="inlineStr">
        <is>
          <t>Open</t>
        </is>
      </c>
      <c r="M4928">
        <f>VLOOKUP(H4928,'Stage Order'!$A$2:$B$8,2,FALSE)</f>
        <v/>
      </c>
      <c r="N4928">
        <f>IF(G4928&lt;=1,"1. Under 1 hour",IF(G4928&lt;=24,"2. 1-24 hours",IF(G4928&lt;=72,"3. 1-3 days","4. Over 3 days")))</f>
        <v/>
      </c>
      <c r="O4928">
        <f>TEXT(B4928,"YYYY-MM")</f>
        <v/>
      </c>
    </row>
    <row r="4929">
      <c r="A4929" t="inlineStr">
        <is>
          <t>LD-304927</t>
        </is>
      </c>
      <c r="B4929" t="inlineStr">
        <is>
          <t>2026-05-17 19:14:00</t>
        </is>
      </c>
      <c r="C4929" t="inlineStr">
        <is>
          <t>Referral</t>
        </is>
      </c>
      <c r="D4929" t="inlineStr">
        <is>
          <t>Coding for Kids</t>
        </is>
      </c>
      <c r="E4929" t="inlineStr">
        <is>
          <t>West Region</t>
        </is>
      </c>
      <c r="F4929" t="inlineStr">
        <is>
          <t>Rep_13</t>
        </is>
      </c>
      <c r="G4929" t="n">
        <v>1.12</v>
      </c>
      <c r="H4929" t="inlineStr">
        <is>
          <t>Negotiation</t>
        </is>
      </c>
      <c r="I4929" t="inlineStr">
        <is>
          <t>Lost</t>
        </is>
      </c>
      <c r="J4929" t="inlineStr">
        <is>
          <t>Budget Not Approved</t>
        </is>
      </c>
      <c r="K4929" t="n">
        <v>538.97</v>
      </c>
      <c r="L4929" t="inlineStr">
        <is>
          <t>2026-07-08 22:44:50.033761</t>
        </is>
      </c>
      <c r="M4929">
        <f>VLOOKUP(H4929,'Stage Order'!$A$2:$B$8,2,FALSE)</f>
        <v/>
      </c>
      <c r="N4929">
        <f>IF(G4929&lt;=1,"1. Under 1 hour",IF(G4929&lt;=24,"2. 1-24 hours",IF(G4929&lt;=72,"3. 1-3 days","4. Over 3 days")))</f>
        <v/>
      </c>
      <c r="O4929">
        <f>TEXT(B4929,"YYYY-MM")</f>
        <v/>
      </c>
    </row>
    <row r="4930">
      <c r="A4930" t="inlineStr">
        <is>
          <t>LD-304928</t>
        </is>
      </c>
      <c r="B4930" t="inlineStr">
        <is>
          <t>2025-01-27 12:42:00</t>
        </is>
      </c>
      <c r="C4930" t="inlineStr">
        <is>
          <t>Paid Search</t>
        </is>
      </c>
      <c r="D4930" t="inlineStr">
        <is>
          <t>Competitive Exam Prep</t>
        </is>
      </c>
      <c r="E4930" t="inlineStr">
        <is>
          <t>South Region</t>
        </is>
      </c>
      <c r="F4930" t="inlineStr">
        <is>
          <t>Rep_02</t>
        </is>
      </c>
      <c r="G4930" t="n">
        <v>17.17</v>
      </c>
      <c r="H4930" t="inlineStr">
        <is>
          <t>Contacted</t>
        </is>
      </c>
      <c r="I4930" t="inlineStr">
        <is>
          <t>Open</t>
        </is>
      </c>
      <c r="M4930">
        <f>VLOOKUP(H4930,'Stage Order'!$A$2:$B$8,2,FALSE)</f>
        <v/>
      </c>
      <c r="N4930">
        <f>IF(G4930&lt;=1,"1. Under 1 hour",IF(G4930&lt;=24,"2. 1-24 hours",IF(G4930&lt;=72,"3. 1-3 days","4. Over 3 days")))</f>
        <v/>
      </c>
      <c r="O4930">
        <f>TEXT(B4930,"YYYY-MM")</f>
        <v/>
      </c>
    </row>
    <row r="4931">
      <c r="A4931" t="inlineStr">
        <is>
          <t>LD-304929</t>
        </is>
      </c>
      <c r="B4931" t="inlineStr">
        <is>
          <t>2026-05-04 16:04:00</t>
        </is>
      </c>
      <c r="C4931" t="inlineStr">
        <is>
          <t>Social Media</t>
        </is>
      </c>
      <c r="D4931" t="inlineStr">
        <is>
          <t>Study Abroad Prep</t>
        </is>
      </c>
      <c r="E4931" t="inlineStr">
        <is>
          <t>South Region</t>
        </is>
      </c>
      <c r="F4931" t="inlineStr">
        <is>
          <t>Rep_02</t>
        </is>
      </c>
      <c r="G4931" t="n">
        <v>2.1</v>
      </c>
      <c r="H4931" t="inlineStr">
        <is>
          <t>Contacted</t>
        </is>
      </c>
      <c r="I4931" t="inlineStr">
        <is>
          <t>Open</t>
        </is>
      </c>
      <c r="M4931">
        <f>VLOOKUP(H4931,'Stage Order'!$A$2:$B$8,2,FALSE)</f>
        <v/>
      </c>
      <c r="N4931">
        <f>IF(G4931&lt;=1,"1. Under 1 hour",IF(G4931&lt;=24,"2. 1-24 hours",IF(G4931&lt;=72,"3. 1-3 days","4. Over 3 days")))</f>
        <v/>
      </c>
      <c r="O4931">
        <f>TEXT(B4931,"YYYY-MM")</f>
        <v/>
      </c>
    </row>
    <row r="4932">
      <c r="A4932" t="inlineStr">
        <is>
          <t>LD-304930</t>
        </is>
      </c>
      <c r="B4932" t="inlineStr">
        <is>
          <t>2026-04-02 15:01:00</t>
        </is>
      </c>
      <c r="C4932" t="inlineStr">
        <is>
          <t>Cold Outreach</t>
        </is>
      </c>
      <c r="D4932" t="inlineStr">
        <is>
          <t>Coding for Kids</t>
        </is>
      </c>
      <c r="E4932" t="inlineStr">
        <is>
          <t>West Region</t>
        </is>
      </c>
      <c r="F4932" t="inlineStr">
        <is>
          <t>Rep_08</t>
        </is>
      </c>
      <c r="G4932" t="n">
        <v>1.9</v>
      </c>
      <c r="H4932" t="inlineStr">
        <is>
          <t>Contacted</t>
        </is>
      </c>
      <c r="I4932" t="inlineStr">
        <is>
          <t>Open</t>
        </is>
      </c>
      <c r="M4932">
        <f>VLOOKUP(H4932,'Stage Order'!$A$2:$B$8,2,FALSE)</f>
        <v/>
      </c>
      <c r="N4932">
        <f>IF(G4932&lt;=1,"1. Under 1 hour",IF(G4932&lt;=24,"2. 1-24 hours",IF(G4932&lt;=72,"3. 1-3 days","4. Over 3 days")))</f>
        <v/>
      </c>
      <c r="O4932">
        <f>TEXT(B4932,"YYYY-MM")</f>
        <v/>
      </c>
    </row>
    <row r="4933">
      <c r="A4933" t="inlineStr">
        <is>
          <t>LD-304931</t>
        </is>
      </c>
      <c r="B4933" t="inlineStr">
        <is>
          <t>2025-12-11 10:23:00</t>
        </is>
      </c>
      <c r="C4933" t="inlineStr">
        <is>
          <t>Social Media</t>
        </is>
      </c>
      <c r="D4933" t="inlineStr">
        <is>
          <t>Coding for Kids</t>
        </is>
      </c>
      <c r="E4933" t="inlineStr">
        <is>
          <t>North Region</t>
        </is>
      </c>
      <c r="F4933" t="inlineStr">
        <is>
          <t>Rep_01</t>
        </is>
      </c>
      <c r="G4933" t="n">
        <v>2.79</v>
      </c>
      <c r="H4933" t="inlineStr">
        <is>
          <t>Contacted</t>
        </is>
      </c>
      <c r="I4933" t="inlineStr">
        <is>
          <t>Open</t>
        </is>
      </c>
      <c r="M4933">
        <f>VLOOKUP(H4933,'Stage Order'!$A$2:$B$8,2,FALSE)</f>
        <v/>
      </c>
      <c r="N4933">
        <f>IF(G4933&lt;=1,"1. Under 1 hour",IF(G4933&lt;=24,"2. 1-24 hours",IF(G4933&lt;=72,"3. 1-3 days","4. Over 3 days")))</f>
        <v/>
      </c>
      <c r="O4933">
        <f>TEXT(B4933,"YYYY-MM")</f>
        <v/>
      </c>
    </row>
    <row r="4934">
      <c r="A4934" t="inlineStr">
        <is>
          <t>LD-304932</t>
        </is>
      </c>
      <c r="B4934" t="inlineStr">
        <is>
          <t>2025-01-23 15:59:00</t>
        </is>
      </c>
      <c r="C4934" t="inlineStr">
        <is>
          <t>Paid Search</t>
        </is>
      </c>
      <c r="D4934" t="inlineStr">
        <is>
          <t>Competitive Exam Prep</t>
        </is>
      </c>
      <c r="E4934" t="inlineStr">
        <is>
          <t>North Region</t>
        </is>
      </c>
      <c r="F4934" t="inlineStr">
        <is>
          <t>Rep_11</t>
        </is>
      </c>
      <c r="G4934" t="n">
        <v>2.82</v>
      </c>
      <c r="H4934" t="inlineStr">
        <is>
          <t>Contacted</t>
        </is>
      </c>
      <c r="I4934" t="inlineStr">
        <is>
          <t>Open</t>
        </is>
      </c>
      <c r="M4934">
        <f>VLOOKUP(H4934,'Stage Order'!$A$2:$B$8,2,FALSE)</f>
        <v/>
      </c>
      <c r="N4934">
        <f>IF(G4934&lt;=1,"1. Under 1 hour",IF(G4934&lt;=24,"2. 1-24 hours",IF(G4934&lt;=72,"3. 1-3 days","4. Over 3 days")))</f>
        <v/>
      </c>
      <c r="O4934">
        <f>TEXT(B4934,"YYYY-MM")</f>
        <v/>
      </c>
    </row>
    <row r="4935">
      <c r="A4935" t="inlineStr">
        <is>
          <t>LD-304933</t>
        </is>
      </c>
      <c r="B4935" t="inlineStr">
        <is>
          <t>2025-05-02 10:10:00</t>
        </is>
      </c>
      <c r="C4935" t="inlineStr">
        <is>
          <t>Partner Channel</t>
        </is>
      </c>
      <c r="D4935" t="inlineStr">
        <is>
          <t>Language Learning</t>
        </is>
      </c>
      <c r="E4935" t="inlineStr">
        <is>
          <t>North Region</t>
        </is>
      </c>
      <c r="F4935" t="inlineStr">
        <is>
          <t>Rep_11</t>
        </is>
      </c>
      <c r="G4935" t="n">
        <v>3.64</v>
      </c>
      <c r="H4935" t="inlineStr">
        <is>
          <t>Negotiation</t>
        </is>
      </c>
      <c r="I4935" t="inlineStr">
        <is>
          <t>Lost</t>
        </is>
      </c>
      <c r="J4935" t="inlineStr">
        <is>
          <t>No Response / Ghosted</t>
        </is>
      </c>
      <c r="K4935" t="n">
        <v>318.04</v>
      </c>
      <c r="L4935" t="inlineStr">
        <is>
          <t>2025-06-26 17:31:01.726583</t>
        </is>
      </c>
      <c r="M4935">
        <f>VLOOKUP(H4935,'Stage Order'!$A$2:$B$8,2,FALSE)</f>
        <v/>
      </c>
      <c r="N4935">
        <f>IF(G4935&lt;=1,"1. Under 1 hour",IF(G4935&lt;=24,"2. 1-24 hours",IF(G4935&lt;=72,"3. 1-3 days","4. Over 3 days")))</f>
        <v/>
      </c>
      <c r="O4935">
        <f>TEXT(B4935,"YYYY-MM")</f>
        <v/>
      </c>
    </row>
    <row r="4936">
      <c r="A4936" t="inlineStr">
        <is>
          <t>LD-304934</t>
        </is>
      </c>
      <c r="B4936" t="inlineStr">
        <is>
          <t>2025-03-07 12:11:00</t>
        </is>
      </c>
      <c r="C4936" t="inlineStr">
        <is>
          <t>Organic Search</t>
        </is>
      </c>
      <c r="D4936" t="inlineStr">
        <is>
          <t>K-12 Math</t>
        </is>
      </c>
      <c r="E4936" t="inlineStr">
        <is>
          <t>West Region</t>
        </is>
      </c>
      <c r="F4936" t="inlineStr">
        <is>
          <t>Rep_13</t>
        </is>
      </c>
      <c r="G4936" t="n">
        <v>2.81</v>
      </c>
      <c r="H4936" t="inlineStr">
        <is>
          <t>Contacted</t>
        </is>
      </c>
      <c r="I4936" t="inlineStr">
        <is>
          <t>Open</t>
        </is>
      </c>
      <c r="M4936">
        <f>VLOOKUP(H4936,'Stage Order'!$A$2:$B$8,2,FALSE)</f>
        <v/>
      </c>
      <c r="N4936">
        <f>IF(G4936&lt;=1,"1. Under 1 hour",IF(G4936&lt;=24,"2. 1-24 hours",IF(G4936&lt;=72,"3. 1-3 days","4. Over 3 days")))</f>
        <v/>
      </c>
      <c r="O4936">
        <f>TEXT(B4936,"YYYY-MM")</f>
        <v/>
      </c>
    </row>
    <row r="4937">
      <c r="A4937" t="inlineStr">
        <is>
          <t>LD-304935</t>
        </is>
      </c>
      <c r="B4937" t="inlineStr">
        <is>
          <t>2025-04-28 16:35:00</t>
        </is>
      </c>
      <c r="C4937" t="inlineStr">
        <is>
          <t>Social Media</t>
        </is>
      </c>
      <c r="D4937" t="inlineStr">
        <is>
          <t>Language Learning</t>
        </is>
      </c>
      <c r="E4937" t="inlineStr">
        <is>
          <t>North Region</t>
        </is>
      </c>
      <c r="F4937" t="inlineStr">
        <is>
          <t>Rep_11</t>
        </is>
      </c>
      <c r="G4937" t="n">
        <v>5.37</v>
      </c>
      <c r="H4937" t="inlineStr">
        <is>
          <t>Contacted</t>
        </is>
      </c>
      <c r="I4937" t="inlineStr">
        <is>
          <t>Open</t>
        </is>
      </c>
      <c r="M4937">
        <f>VLOOKUP(H4937,'Stage Order'!$A$2:$B$8,2,FALSE)</f>
        <v/>
      </c>
      <c r="N4937">
        <f>IF(G4937&lt;=1,"1. Under 1 hour",IF(G4937&lt;=24,"2. 1-24 hours",IF(G4937&lt;=72,"3. 1-3 days","4. Over 3 days")))</f>
        <v/>
      </c>
      <c r="O4937">
        <f>TEXT(B4937,"YYYY-MM")</f>
        <v/>
      </c>
    </row>
    <row r="4938">
      <c r="A4938" t="inlineStr">
        <is>
          <t>LD-304936</t>
        </is>
      </c>
      <c r="B4938" t="inlineStr">
        <is>
          <t>2025-01-09 08:01:00</t>
        </is>
      </c>
      <c r="C4938" t="inlineStr">
        <is>
          <t>Paid Search</t>
        </is>
      </c>
      <c r="D4938" t="inlineStr">
        <is>
          <t>Coding for Kids</t>
        </is>
      </c>
      <c r="E4938" t="inlineStr">
        <is>
          <t>North Region</t>
        </is>
      </c>
      <c r="F4938" t="inlineStr">
        <is>
          <t>Rep_11</t>
        </is>
      </c>
      <c r="G4938" t="n">
        <v>0.73</v>
      </c>
      <c r="H4938" t="inlineStr">
        <is>
          <t>Lead</t>
        </is>
      </c>
      <c r="I4938" t="inlineStr">
        <is>
          <t>Open</t>
        </is>
      </c>
      <c r="M4938">
        <f>VLOOKUP(H4938,'Stage Order'!$A$2:$B$8,2,FALSE)</f>
        <v/>
      </c>
      <c r="N4938">
        <f>IF(G4938&lt;=1,"1. Under 1 hour",IF(G4938&lt;=24,"2. 1-24 hours",IF(G4938&lt;=72,"3. 1-3 days","4. Over 3 days")))</f>
        <v/>
      </c>
      <c r="O4938">
        <f>TEXT(B4938,"YYYY-MM")</f>
        <v/>
      </c>
    </row>
    <row r="4939">
      <c r="A4939" t="inlineStr">
        <is>
          <t>LD-304937</t>
        </is>
      </c>
      <c r="B4939" t="inlineStr">
        <is>
          <t>2025-12-04 08:34:00</t>
        </is>
      </c>
      <c r="C4939" t="inlineStr">
        <is>
          <t>Paid Search</t>
        </is>
      </c>
      <c r="D4939" t="inlineStr">
        <is>
          <t>Coding for Kids</t>
        </is>
      </c>
      <c r="E4939" t="inlineStr">
        <is>
          <t>International</t>
        </is>
      </c>
      <c r="F4939" t="inlineStr">
        <is>
          <t>Rep_10</t>
        </is>
      </c>
      <c r="G4939" t="n">
        <v>16.61</v>
      </c>
      <c r="H4939" t="inlineStr">
        <is>
          <t>Contacted</t>
        </is>
      </c>
      <c r="I4939" t="inlineStr">
        <is>
          <t>Open</t>
        </is>
      </c>
      <c r="M4939">
        <f>VLOOKUP(H4939,'Stage Order'!$A$2:$B$8,2,FALSE)</f>
        <v/>
      </c>
      <c r="N4939">
        <f>IF(G4939&lt;=1,"1. Under 1 hour",IF(G4939&lt;=24,"2. 1-24 hours",IF(G4939&lt;=72,"3. 1-3 days","4. Over 3 days")))</f>
        <v/>
      </c>
      <c r="O4939">
        <f>TEXT(B4939,"YYYY-MM")</f>
        <v/>
      </c>
    </row>
    <row r="4940">
      <c r="A4940" t="inlineStr">
        <is>
          <t>LD-304938</t>
        </is>
      </c>
      <c r="B4940" t="inlineStr">
        <is>
          <t>2026-04-03 08:33:00</t>
        </is>
      </c>
      <c r="C4940" t="inlineStr">
        <is>
          <t>Organic Search</t>
        </is>
      </c>
      <c r="D4940" t="inlineStr">
        <is>
          <t>Language Learning</t>
        </is>
      </c>
      <c r="E4940" t="inlineStr">
        <is>
          <t>South Region</t>
        </is>
      </c>
      <c r="F4940" t="inlineStr">
        <is>
          <t>Rep_12</t>
        </is>
      </c>
      <c r="G4940" t="n">
        <v>0.4</v>
      </c>
      <c r="H4940" t="inlineStr">
        <is>
          <t>Contacted</t>
        </is>
      </c>
      <c r="I4940" t="inlineStr">
        <is>
          <t>Open</t>
        </is>
      </c>
      <c r="M4940">
        <f>VLOOKUP(H4940,'Stage Order'!$A$2:$B$8,2,FALSE)</f>
        <v/>
      </c>
      <c r="N4940">
        <f>IF(G4940&lt;=1,"1. Under 1 hour",IF(G4940&lt;=24,"2. 1-24 hours",IF(G4940&lt;=72,"3. 1-3 days","4. Over 3 days")))</f>
        <v/>
      </c>
      <c r="O4940">
        <f>TEXT(B4940,"YYYY-MM")</f>
        <v/>
      </c>
    </row>
    <row r="4941">
      <c r="A4941" t="inlineStr">
        <is>
          <t>LD-304939</t>
        </is>
      </c>
      <c r="B4941" t="inlineStr">
        <is>
          <t>2026-03-06 20:04:00</t>
        </is>
      </c>
      <c r="C4941" t="inlineStr">
        <is>
          <t>Social Media</t>
        </is>
      </c>
      <c r="D4941" t="inlineStr">
        <is>
          <t>Competitive Exam Prep</t>
        </is>
      </c>
      <c r="E4941" t="inlineStr">
        <is>
          <t>North Region</t>
        </is>
      </c>
      <c r="F4941" t="inlineStr">
        <is>
          <t>Rep_01</t>
        </is>
      </c>
      <c r="G4941" t="n">
        <v>4.43</v>
      </c>
      <c r="H4941" t="inlineStr">
        <is>
          <t>Lead</t>
        </is>
      </c>
      <c r="I4941" t="inlineStr">
        <is>
          <t>Open</t>
        </is>
      </c>
      <c r="M4941">
        <f>VLOOKUP(H4941,'Stage Order'!$A$2:$B$8,2,FALSE)</f>
        <v/>
      </c>
      <c r="N4941">
        <f>IF(G4941&lt;=1,"1. Under 1 hour",IF(G4941&lt;=24,"2. 1-24 hours",IF(G4941&lt;=72,"3. 1-3 days","4. Over 3 days")))</f>
        <v/>
      </c>
      <c r="O4941">
        <f>TEXT(B4941,"YYYY-MM")</f>
        <v/>
      </c>
    </row>
    <row r="4942">
      <c r="A4942" t="inlineStr">
        <is>
          <t>LD-304940</t>
        </is>
      </c>
      <c r="B4942" t="inlineStr">
        <is>
          <t>2025-10-17 14:52:00</t>
        </is>
      </c>
      <c r="C4942" t="inlineStr">
        <is>
          <t>Paid Search</t>
        </is>
      </c>
      <c r="D4942" t="inlineStr">
        <is>
          <t>Competitive Exam Prep</t>
        </is>
      </c>
      <c r="E4942" t="inlineStr">
        <is>
          <t>East Region</t>
        </is>
      </c>
      <c r="F4942" t="inlineStr">
        <is>
          <t>Rep_09</t>
        </is>
      </c>
      <c r="G4942" t="n">
        <v>3.32</v>
      </c>
      <c r="H4942" t="inlineStr">
        <is>
          <t>Lead</t>
        </is>
      </c>
      <c r="I4942" t="inlineStr">
        <is>
          <t>Open</t>
        </is>
      </c>
      <c r="M4942">
        <f>VLOOKUP(H4942,'Stage Order'!$A$2:$B$8,2,FALSE)</f>
        <v/>
      </c>
      <c r="N4942">
        <f>IF(G4942&lt;=1,"1. Under 1 hour",IF(G4942&lt;=24,"2. 1-24 hours",IF(G4942&lt;=72,"3. 1-3 days","4. Over 3 days")))</f>
        <v/>
      </c>
      <c r="O4942">
        <f>TEXT(B4942,"YYYY-MM")</f>
        <v/>
      </c>
    </row>
    <row r="4943">
      <c r="A4943" t="inlineStr">
        <is>
          <t>LD-304941</t>
        </is>
      </c>
      <c r="B4943" t="inlineStr">
        <is>
          <t>2026-01-09 19:21:00</t>
        </is>
      </c>
      <c r="C4943" t="inlineStr">
        <is>
          <t>Organic Search</t>
        </is>
      </c>
      <c r="D4943" t="inlineStr">
        <is>
          <t>Language Learning</t>
        </is>
      </c>
      <c r="E4943" t="inlineStr">
        <is>
          <t>West Region</t>
        </is>
      </c>
      <c r="F4943" t="inlineStr">
        <is>
          <t>Rep_03</t>
        </is>
      </c>
      <c r="G4943" t="n">
        <v>2.9</v>
      </c>
      <c r="H4943" t="inlineStr">
        <is>
          <t>Contacted</t>
        </is>
      </c>
      <c r="I4943" t="inlineStr">
        <is>
          <t>Open</t>
        </is>
      </c>
      <c r="M4943">
        <f>VLOOKUP(H4943,'Stage Order'!$A$2:$B$8,2,FALSE)</f>
        <v/>
      </c>
      <c r="N4943">
        <f>IF(G4943&lt;=1,"1. Under 1 hour",IF(G4943&lt;=24,"2. 1-24 hours",IF(G4943&lt;=72,"3. 1-3 days","4. Over 3 days")))</f>
        <v/>
      </c>
      <c r="O4943">
        <f>TEXT(B4943,"YYYY-MM")</f>
        <v/>
      </c>
    </row>
    <row r="4944">
      <c r="A4944" t="inlineStr">
        <is>
          <t>LD-304942</t>
        </is>
      </c>
      <c r="B4944" t="inlineStr">
        <is>
          <t>2026-02-25 15:27:00</t>
        </is>
      </c>
      <c r="C4944" t="inlineStr">
        <is>
          <t>Paid Search</t>
        </is>
      </c>
      <c r="D4944" t="inlineStr">
        <is>
          <t>Study Abroad Prep</t>
        </is>
      </c>
      <c r="E4944" t="inlineStr">
        <is>
          <t>West Region</t>
        </is>
      </c>
      <c r="F4944" t="inlineStr">
        <is>
          <t>Rep_08</t>
        </is>
      </c>
      <c r="G4944" t="n">
        <v>8.27</v>
      </c>
      <c r="H4944" t="inlineStr">
        <is>
          <t>Contacted</t>
        </is>
      </c>
      <c r="I4944" t="inlineStr">
        <is>
          <t>Open</t>
        </is>
      </c>
      <c r="M4944">
        <f>VLOOKUP(H4944,'Stage Order'!$A$2:$B$8,2,FALSE)</f>
        <v/>
      </c>
      <c r="N4944">
        <f>IF(G4944&lt;=1,"1. Under 1 hour",IF(G4944&lt;=24,"2. 1-24 hours",IF(G4944&lt;=72,"3. 1-3 days","4. Over 3 days")))</f>
        <v/>
      </c>
      <c r="O4944">
        <f>TEXT(B4944,"YYYY-MM")</f>
        <v/>
      </c>
    </row>
    <row r="4945">
      <c r="A4945" t="inlineStr">
        <is>
          <t>LD-304943</t>
        </is>
      </c>
      <c r="B4945" t="inlineStr">
        <is>
          <t>2025-11-23 20:40:00</t>
        </is>
      </c>
      <c r="C4945" t="inlineStr">
        <is>
          <t>Organic Search</t>
        </is>
      </c>
      <c r="D4945" t="inlineStr">
        <is>
          <t>Competitive Exam Prep</t>
        </is>
      </c>
      <c r="E4945" t="inlineStr">
        <is>
          <t>West Region</t>
        </is>
      </c>
      <c r="F4945" t="inlineStr">
        <is>
          <t>Rep_08</t>
        </is>
      </c>
      <c r="G4945" t="n">
        <v>8.9</v>
      </c>
      <c r="H4945" t="inlineStr">
        <is>
          <t>Contacted</t>
        </is>
      </c>
      <c r="I4945" t="inlineStr">
        <is>
          <t>Open</t>
        </is>
      </c>
      <c r="M4945">
        <f>VLOOKUP(H4945,'Stage Order'!$A$2:$B$8,2,FALSE)</f>
        <v/>
      </c>
      <c r="N4945">
        <f>IF(G4945&lt;=1,"1. Under 1 hour",IF(G4945&lt;=24,"2. 1-24 hours",IF(G4945&lt;=72,"3. 1-3 days","4. Over 3 days")))</f>
        <v/>
      </c>
      <c r="O4945">
        <f>TEXT(B4945,"YYYY-MM")</f>
        <v/>
      </c>
    </row>
    <row r="4946">
      <c r="A4946" t="inlineStr">
        <is>
          <t>LD-304944</t>
        </is>
      </c>
      <c r="B4946" t="inlineStr">
        <is>
          <t>2025-10-08 10:07:00</t>
        </is>
      </c>
      <c r="C4946" t="inlineStr">
        <is>
          <t>Cold Outreach</t>
        </is>
      </c>
      <c r="D4946" t="inlineStr">
        <is>
          <t>Coding for Kids</t>
        </is>
      </c>
      <c r="E4946" t="inlineStr">
        <is>
          <t>International</t>
        </is>
      </c>
      <c r="F4946" t="inlineStr">
        <is>
          <t>Rep_05</t>
        </is>
      </c>
      <c r="G4946" t="n">
        <v>8.51</v>
      </c>
      <c r="H4946" t="inlineStr">
        <is>
          <t>Lead</t>
        </is>
      </c>
      <c r="I4946" t="inlineStr">
        <is>
          <t>Open</t>
        </is>
      </c>
      <c r="M4946">
        <f>VLOOKUP(H4946,'Stage Order'!$A$2:$B$8,2,FALSE)</f>
        <v/>
      </c>
      <c r="N4946">
        <f>IF(G4946&lt;=1,"1. Under 1 hour",IF(G4946&lt;=24,"2. 1-24 hours",IF(G4946&lt;=72,"3. 1-3 days","4. Over 3 days")))</f>
        <v/>
      </c>
      <c r="O4946">
        <f>TEXT(B4946,"YYYY-MM")</f>
        <v/>
      </c>
    </row>
    <row r="4947">
      <c r="A4947" t="inlineStr">
        <is>
          <t>LD-304945</t>
        </is>
      </c>
      <c r="B4947" t="inlineStr">
        <is>
          <t>2025-08-01 17:42:00</t>
        </is>
      </c>
      <c r="C4947" t="inlineStr">
        <is>
          <t>Paid Search</t>
        </is>
      </c>
      <c r="D4947" t="inlineStr">
        <is>
          <t>Coding for Kids</t>
        </is>
      </c>
      <c r="E4947" t="inlineStr">
        <is>
          <t>South Region</t>
        </is>
      </c>
      <c r="F4947" t="inlineStr">
        <is>
          <t>Rep_02</t>
        </is>
      </c>
      <c r="G4947" t="n">
        <v>2.94</v>
      </c>
      <c r="H4947" t="inlineStr">
        <is>
          <t>Demo Completed</t>
        </is>
      </c>
      <c r="I4947" t="inlineStr">
        <is>
          <t>Lost</t>
        </is>
      </c>
      <c r="J4947" t="inlineStr">
        <is>
          <t>No Response / Ghosted</t>
        </is>
      </c>
      <c r="K4947" t="n">
        <v>542.66</v>
      </c>
      <c r="L4947" t="inlineStr">
        <is>
          <t>2025-08-22 05:23:22.144587</t>
        </is>
      </c>
      <c r="M4947">
        <f>VLOOKUP(H4947,'Stage Order'!$A$2:$B$8,2,FALSE)</f>
        <v/>
      </c>
      <c r="N4947">
        <f>IF(G4947&lt;=1,"1. Under 1 hour",IF(G4947&lt;=24,"2. 1-24 hours",IF(G4947&lt;=72,"3. 1-3 days","4. Over 3 days")))</f>
        <v/>
      </c>
      <c r="O4947">
        <f>TEXT(B4947,"YYYY-MM")</f>
        <v/>
      </c>
    </row>
    <row r="4948">
      <c r="A4948" t="inlineStr">
        <is>
          <t>LD-304946</t>
        </is>
      </c>
      <c r="B4948" t="inlineStr">
        <is>
          <t>2026-01-02 17:09:00</t>
        </is>
      </c>
      <c r="C4948" t="inlineStr">
        <is>
          <t>Referral</t>
        </is>
      </c>
      <c r="D4948" t="inlineStr">
        <is>
          <t>Competitive Exam Prep</t>
        </is>
      </c>
      <c r="E4948" t="inlineStr">
        <is>
          <t>International</t>
        </is>
      </c>
      <c r="F4948" t="inlineStr">
        <is>
          <t>Rep_15</t>
        </is>
      </c>
      <c r="G4948" t="n">
        <v>5.19</v>
      </c>
      <c r="H4948" t="inlineStr">
        <is>
          <t>Contacted</t>
        </is>
      </c>
      <c r="I4948" t="inlineStr">
        <is>
          <t>Open</t>
        </is>
      </c>
      <c r="M4948">
        <f>VLOOKUP(H4948,'Stage Order'!$A$2:$B$8,2,FALSE)</f>
        <v/>
      </c>
      <c r="N4948">
        <f>IF(G4948&lt;=1,"1. Under 1 hour",IF(G4948&lt;=24,"2. 1-24 hours",IF(G4948&lt;=72,"3. 1-3 days","4. Over 3 days")))</f>
        <v/>
      </c>
      <c r="O4948">
        <f>TEXT(B4948,"YYYY-MM")</f>
        <v/>
      </c>
    </row>
    <row r="4949">
      <c r="A4949" t="inlineStr">
        <is>
          <t>LD-304947</t>
        </is>
      </c>
      <c r="B4949" t="inlineStr">
        <is>
          <t>2025-01-17 13:18:00</t>
        </is>
      </c>
      <c r="C4949" t="inlineStr">
        <is>
          <t>Organic Search</t>
        </is>
      </c>
      <c r="D4949" t="inlineStr">
        <is>
          <t>Coding for Kids</t>
        </is>
      </c>
      <c r="E4949" t="inlineStr">
        <is>
          <t>South Region</t>
        </is>
      </c>
      <c r="F4949" t="inlineStr">
        <is>
          <t>Rep_02</t>
        </is>
      </c>
      <c r="G4949" t="n">
        <v>2.62</v>
      </c>
      <c r="H4949" t="inlineStr">
        <is>
          <t>Contacted</t>
        </is>
      </c>
      <c r="I4949" t="inlineStr">
        <is>
          <t>Open</t>
        </is>
      </c>
      <c r="M4949">
        <f>VLOOKUP(H4949,'Stage Order'!$A$2:$B$8,2,FALSE)</f>
        <v/>
      </c>
      <c r="N4949">
        <f>IF(G4949&lt;=1,"1. Under 1 hour",IF(G4949&lt;=24,"2. 1-24 hours",IF(G4949&lt;=72,"3. 1-3 days","4. Over 3 days")))</f>
        <v/>
      </c>
      <c r="O4949">
        <f>TEXT(B4949,"YYYY-MM")</f>
        <v/>
      </c>
    </row>
    <row r="4950">
      <c r="A4950" t="inlineStr">
        <is>
          <t>LD-304948</t>
        </is>
      </c>
      <c r="B4950" t="inlineStr">
        <is>
          <t>2025-12-06 07:53:00</t>
        </is>
      </c>
      <c r="C4950" t="inlineStr">
        <is>
          <t>Partner Channel</t>
        </is>
      </c>
      <c r="D4950" t="inlineStr">
        <is>
          <t>Language Learning</t>
        </is>
      </c>
      <c r="E4950" t="inlineStr">
        <is>
          <t>International</t>
        </is>
      </c>
      <c r="F4950" t="inlineStr">
        <is>
          <t>Rep_05</t>
        </is>
      </c>
      <c r="G4950" t="n">
        <v>6.09</v>
      </c>
      <c r="H4950" t="inlineStr">
        <is>
          <t>Closed</t>
        </is>
      </c>
      <c r="I4950" t="inlineStr">
        <is>
          <t>Won</t>
        </is>
      </c>
      <c r="K4950" t="n">
        <v>385.76</v>
      </c>
      <c r="L4950" t="inlineStr">
        <is>
          <t>2026-01-05 20:32:03.921551</t>
        </is>
      </c>
      <c r="M4950">
        <f>VLOOKUP(H4950,'Stage Order'!$A$2:$B$8,2,FALSE)</f>
        <v/>
      </c>
      <c r="N4950">
        <f>IF(G4950&lt;=1,"1. Under 1 hour",IF(G4950&lt;=24,"2. 1-24 hours",IF(G4950&lt;=72,"3. 1-3 days","4. Over 3 days")))</f>
        <v/>
      </c>
      <c r="O4950">
        <f>TEXT(B4950,"YYYY-MM")</f>
        <v/>
      </c>
    </row>
    <row r="4951">
      <c r="A4951" t="inlineStr">
        <is>
          <t>LD-304949</t>
        </is>
      </c>
      <c r="B4951" t="inlineStr">
        <is>
          <t>2025-08-29 11:28:00</t>
        </is>
      </c>
      <c r="C4951" t="inlineStr">
        <is>
          <t>Organic Search</t>
        </is>
      </c>
      <c r="D4951" t="inlineStr">
        <is>
          <t>Competitive Exam Prep</t>
        </is>
      </c>
      <c r="E4951" t="inlineStr">
        <is>
          <t>East Region</t>
        </is>
      </c>
      <c r="F4951" t="inlineStr">
        <is>
          <t>Rep_09</t>
        </is>
      </c>
      <c r="G4951" t="n">
        <v>2.3</v>
      </c>
      <c r="H4951" t="inlineStr">
        <is>
          <t>Lead</t>
        </is>
      </c>
      <c r="I4951" t="inlineStr">
        <is>
          <t>Open</t>
        </is>
      </c>
      <c r="M4951">
        <f>VLOOKUP(H4951,'Stage Order'!$A$2:$B$8,2,FALSE)</f>
        <v/>
      </c>
      <c r="N4951">
        <f>IF(G4951&lt;=1,"1. Under 1 hour",IF(G4951&lt;=24,"2. 1-24 hours",IF(G4951&lt;=72,"3. 1-3 days","4. Over 3 days")))</f>
        <v/>
      </c>
      <c r="O4951">
        <f>TEXT(B4951,"YYYY-MM")</f>
        <v/>
      </c>
    </row>
    <row r="4952">
      <c r="A4952" t="inlineStr">
        <is>
          <t>LD-304950</t>
        </is>
      </c>
      <c r="B4952" t="inlineStr">
        <is>
          <t>2025-01-06 17:44:00</t>
        </is>
      </c>
      <c r="C4952" t="inlineStr">
        <is>
          <t>Referral</t>
        </is>
      </c>
      <c r="D4952" t="inlineStr">
        <is>
          <t>Competitive Exam Prep</t>
        </is>
      </c>
      <c r="E4952" t="inlineStr">
        <is>
          <t>International</t>
        </is>
      </c>
      <c r="F4952" t="inlineStr">
        <is>
          <t>Rep_05</t>
        </is>
      </c>
      <c r="G4952" t="n">
        <v>1.18</v>
      </c>
      <c r="H4952" t="inlineStr">
        <is>
          <t>Contacted</t>
        </is>
      </c>
      <c r="I4952" t="inlineStr">
        <is>
          <t>Open</t>
        </is>
      </c>
      <c r="M4952">
        <f>VLOOKUP(H4952,'Stage Order'!$A$2:$B$8,2,FALSE)</f>
        <v/>
      </c>
      <c r="N4952">
        <f>IF(G4952&lt;=1,"1. Under 1 hour",IF(G4952&lt;=24,"2. 1-24 hours",IF(G4952&lt;=72,"3. 1-3 days","4. Over 3 days")))</f>
        <v/>
      </c>
      <c r="O4952">
        <f>TEXT(B4952,"YYYY-MM")</f>
        <v/>
      </c>
    </row>
    <row r="4953">
      <c r="A4953" t="inlineStr">
        <is>
          <t>LD-304951</t>
        </is>
      </c>
      <c r="B4953" t="inlineStr">
        <is>
          <t>2026-06-15 16:16:00</t>
        </is>
      </c>
      <c r="C4953" t="inlineStr">
        <is>
          <t>Referral</t>
        </is>
      </c>
      <c r="D4953" t="inlineStr">
        <is>
          <t>Competitive Exam Prep</t>
        </is>
      </c>
      <c r="E4953" t="inlineStr">
        <is>
          <t>West Region</t>
        </is>
      </c>
      <c r="F4953" t="inlineStr">
        <is>
          <t>Rep_13</t>
        </is>
      </c>
      <c r="G4953" t="n">
        <v>0.46</v>
      </c>
      <c r="H4953" t="inlineStr">
        <is>
          <t>Contacted</t>
        </is>
      </c>
      <c r="I4953" t="inlineStr">
        <is>
          <t>Open</t>
        </is>
      </c>
      <c r="M4953">
        <f>VLOOKUP(H4953,'Stage Order'!$A$2:$B$8,2,FALSE)</f>
        <v/>
      </c>
      <c r="N4953">
        <f>IF(G4953&lt;=1,"1. Under 1 hour",IF(G4953&lt;=24,"2. 1-24 hours",IF(G4953&lt;=72,"3. 1-3 days","4. Over 3 days")))</f>
        <v/>
      </c>
      <c r="O4953">
        <f>TEXT(B4953,"YYYY-MM")</f>
        <v/>
      </c>
    </row>
    <row r="4954">
      <c r="A4954" t="inlineStr">
        <is>
          <t>LD-304952</t>
        </is>
      </c>
      <c r="B4954" t="inlineStr">
        <is>
          <t>2025-05-28 13:08:00</t>
        </is>
      </c>
      <c r="C4954" t="inlineStr">
        <is>
          <t>Referral</t>
        </is>
      </c>
      <c r="D4954" t="inlineStr">
        <is>
          <t>K-12 Math</t>
        </is>
      </c>
      <c r="E4954" t="inlineStr">
        <is>
          <t>South Region</t>
        </is>
      </c>
      <c r="F4954" t="inlineStr">
        <is>
          <t>Rep_12</t>
        </is>
      </c>
      <c r="G4954" t="n">
        <v>1.32</v>
      </c>
      <c r="H4954" t="inlineStr">
        <is>
          <t>Closed</t>
        </is>
      </c>
      <c r="I4954" t="inlineStr">
        <is>
          <t>Won</t>
        </is>
      </c>
      <c r="K4954" t="n">
        <v>419.27</v>
      </c>
      <c r="L4954" t="inlineStr">
        <is>
          <t>2025-07-08 01:35:06.683045</t>
        </is>
      </c>
      <c r="M4954">
        <f>VLOOKUP(H4954,'Stage Order'!$A$2:$B$8,2,FALSE)</f>
        <v/>
      </c>
      <c r="N4954">
        <f>IF(G4954&lt;=1,"1. Under 1 hour",IF(G4954&lt;=24,"2. 1-24 hours",IF(G4954&lt;=72,"3. 1-3 days","4. Over 3 days")))</f>
        <v/>
      </c>
      <c r="O4954">
        <f>TEXT(B4954,"YYYY-MM")</f>
        <v/>
      </c>
    </row>
    <row r="4955">
      <c r="A4955" t="inlineStr">
        <is>
          <t>LD-304953</t>
        </is>
      </c>
      <c r="B4955" t="inlineStr">
        <is>
          <t>2025-12-10 18:07:00</t>
        </is>
      </c>
      <c r="C4955" t="inlineStr">
        <is>
          <t>Webinar</t>
        </is>
      </c>
      <c r="D4955" t="inlineStr">
        <is>
          <t>Coding for Kids</t>
        </is>
      </c>
      <c r="E4955" t="inlineStr">
        <is>
          <t>East Region</t>
        </is>
      </c>
      <c r="F4955" t="inlineStr">
        <is>
          <t>Rep_04</t>
        </is>
      </c>
      <c r="G4955" t="n">
        <v>6.38</v>
      </c>
      <c r="H4955" t="inlineStr">
        <is>
          <t>Closed</t>
        </is>
      </c>
      <c r="I4955" t="inlineStr">
        <is>
          <t>Won</t>
        </is>
      </c>
      <c r="K4955" t="n">
        <v>532.4</v>
      </c>
      <c r="L4955" t="inlineStr">
        <is>
          <t>2026-01-11 22:32:58.511758</t>
        </is>
      </c>
      <c r="M4955">
        <f>VLOOKUP(H4955,'Stage Order'!$A$2:$B$8,2,FALSE)</f>
        <v/>
      </c>
      <c r="N4955">
        <f>IF(G4955&lt;=1,"1. Under 1 hour",IF(G4955&lt;=24,"2. 1-24 hours",IF(G4955&lt;=72,"3. 1-3 days","4. Over 3 days")))</f>
        <v/>
      </c>
      <c r="O4955">
        <f>TEXT(B4955,"YYYY-MM")</f>
        <v/>
      </c>
    </row>
    <row r="4956">
      <c r="A4956" t="inlineStr">
        <is>
          <t>LD-304954</t>
        </is>
      </c>
      <c r="B4956" t="inlineStr">
        <is>
          <t>2026-05-11 20:28:00</t>
        </is>
      </c>
      <c r="C4956" t="inlineStr">
        <is>
          <t>Cold Outreach</t>
        </is>
      </c>
      <c r="D4956" t="inlineStr">
        <is>
          <t>Language Learning</t>
        </is>
      </c>
      <c r="E4956" t="inlineStr">
        <is>
          <t>East Region</t>
        </is>
      </c>
      <c r="F4956" t="inlineStr">
        <is>
          <t>Rep_09</t>
        </is>
      </c>
      <c r="G4956" t="n">
        <v>1.6</v>
      </c>
      <c r="H4956" t="inlineStr">
        <is>
          <t>Contacted</t>
        </is>
      </c>
      <c r="I4956" t="inlineStr">
        <is>
          <t>Open</t>
        </is>
      </c>
      <c r="M4956">
        <f>VLOOKUP(H4956,'Stage Order'!$A$2:$B$8,2,FALSE)</f>
        <v/>
      </c>
      <c r="N4956">
        <f>IF(G4956&lt;=1,"1. Under 1 hour",IF(G4956&lt;=24,"2. 1-24 hours",IF(G4956&lt;=72,"3. 1-3 days","4. Over 3 days")))</f>
        <v/>
      </c>
      <c r="O4956">
        <f>TEXT(B4956,"YYYY-MM")</f>
        <v/>
      </c>
    </row>
    <row r="4957">
      <c r="A4957" t="inlineStr">
        <is>
          <t>LD-304955</t>
        </is>
      </c>
      <c r="B4957" t="inlineStr">
        <is>
          <t>2025-12-12 14:29:00</t>
        </is>
      </c>
      <c r="C4957" t="inlineStr">
        <is>
          <t>Organic Search</t>
        </is>
      </c>
      <c r="D4957" t="inlineStr">
        <is>
          <t>K-12 Math</t>
        </is>
      </c>
      <c r="E4957" t="inlineStr">
        <is>
          <t>International</t>
        </is>
      </c>
      <c r="F4957" t="inlineStr">
        <is>
          <t>Rep_10</t>
        </is>
      </c>
      <c r="G4957" t="n">
        <v>2.61</v>
      </c>
      <c r="H4957" t="inlineStr">
        <is>
          <t>Contacted</t>
        </is>
      </c>
      <c r="I4957" t="inlineStr">
        <is>
          <t>Open</t>
        </is>
      </c>
      <c r="M4957">
        <f>VLOOKUP(H4957,'Stage Order'!$A$2:$B$8,2,FALSE)</f>
        <v/>
      </c>
      <c r="N4957">
        <f>IF(G4957&lt;=1,"1. Under 1 hour",IF(G4957&lt;=24,"2. 1-24 hours",IF(G4957&lt;=72,"3. 1-3 days","4. Over 3 days")))</f>
        <v/>
      </c>
      <c r="O4957">
        <f>TEXT(B4957,"YYYY-MM")</f>
        <v/>
      </c>
    </row>
    <row r="4958">
      <c r="A4958" t="inlineStr">
        <is>
          <t>LD-304956</t>
        </is>
      </c>
      <c r="B4958" t="inlineStr">
        <is>
          <t>2025-12-30 17:19:00</t>
        </is>
      </c>
      <c r="C4958" t="inlineStr">
        <is>
          <t>Paid Search</t>
        </is>
      </c>
      <c r="D4958" t="inlineStr">
        <is>
          <t>Competitive Exam Prep</t>
        </is>
      </c>
      <c r="E4958" t="inlineStr">
        <is>
          <t>East Region</t>
        </is>
      </c>
      <c r="F4958" t="inlineStr">
        <is>
          <t>Rep_14</t>
        </is>
      </c>
      <c r="G4958" t="n">
        <v>4.23</v>
      </c>
      <c r="H4958" t="inlineStr">
        <is>
          <t>Contacted</t>
        </is>
      </c>
      <c r="I4958" t="inlineStr">
        <is>
          <t>Open</t>
        </is>
      </c>
      <c r="M4958">
        <f>VLOOKUP(H4958,'Stage Order'!$A$2:$B$8,2,FALSE)</f>
        <v/>
      </c>
      <c r="N4958">
        <f>IF(G4958&lt;=1,"1. Under 1 hour",IF(G4958&lt;=24,"2. 1-24 hours",IF(G4958&lt;=72,"3. 1-3 days","4. Over 3 days")))</f>
        <v/>
      </c>
      <c r="O4958">
        <f>TEXT(B4958,"YYYY-MM")</f>
        <v/>
      </c>
    </row>
    <row r="4959">
      <c r="A4959" t="inlineStr">
        <is>
          <t>LD-304957</t>
        </is>
      </c>
      <c r="B4959" t="inlineStr">
        <is>
          <t>2026-02-28 07:19:00</t>
        </is>
      </c>
      <c r="C4959" t="inlineStr">
        <is>
          <t>Webinar</t>
        </is>
      </c>
      <c r="D4959" t="inlineStr">
        <is>
          <t>Study Abroad Prep</t>
        </is>
      </c>
      <c r="E4959" t="inlineStr">
        <is>
          <t>West Region</t>
        </is>
      </c>
      <c r="F4959" t="inlineStr">
        <is>
          <t>Rep_08</t>
        </is>
      </c>
      <c r="G4959" t="n">
        <v>2.58</v>
      </c>
      <c r="H4959" t="inlineStr">
        <is>
          <t>Closed</t>
        </is>
      </c>
      <c r="I4959" t="inlineStr">
        <is>
          <t>Won</t>
        </is>
      </c>
      <c r="K4959" t="n">
        <v>1705.98</v>
      </c>
      <c r="L4959" t="inlineStr">
        <is>
          <t>2026-04-11 08:35:35.156220</t>
        </is>
      </c>
      <c r="M4959">
        <f>VLOOKUP(H4959,'Stage Order'!$A$2:$B$8,2,FALSE)</f>
        <v/>
      </c>
      <c r="N4959">
        <f>IF(G4959&lt;=1,"1. Under 1 hour",IF(G4959&lt;=24,"2. 1-24 hours",IF(G4959&lt;=72,"3. 1-3 days","4. Over 3 days")))</f>
        <v/>
      </c>
      <c r="O4959">
        <f>TEXT(B4959,"YYYY-MM")</f>
        <v/>
      </c>
    </row>
    <row r="4960">
      <c r="A4960" t="inlineStr">
        <is>
          <t>LD-304958</t>
        </is>
      </c>
      <c r="B4960" t="inlineStr">
        <is>
          <t>2026-03-13 17:54:00</t>
        </is>
      </c>
      <c r="C4960" t="inlineStr">
        <is>
          <t>Referral</t>
        </is>
      </c>
      <c r="D4960" t="inlineStr">
        <is>
          <t>K-12 Math</t>
        </is>
      </c>
      <c r="E4960" t="inlineStr">
        <is>
          <t>North Region</t>
        </is>
      </c>
      <c r="F4960" t="inlineStr">
        <is>
          <t>Rep_06</t>
        </is>
      </c>
      <c r="G4960" t="n">
        <v>1.19</v>
      </c>
      <c r="H4960" t="inlineStr">
        <is>
          <t>Proposal Sent</t>
        </is>
      </c>
      <c r="I4960" t="inlineStr">
        <is>
          <t>Lost</t>
        </is>
      </c>
      <c r="J4960" t="inlineStr">
        <is>
          <t>Went With Competitor</t>
        </is>
      </c>
      <c r="K4960" t="n">
        <v>596.48</v>
      </c>
      <c r="L4960" t="inlineStr">
        <is>
          <t>2026-04-05 04:16:15.704851</t>
        </is>
      </c>
      <c r="M4960">
        <f>VLOOKUP(H4960,'Stage Order'!$A$2:$B$8,2,FALSE)</f>
        <v/>
      </c>
      <c r="N4960">
        <f>IF(G4960&lt;=1,"1. Under 1 hour",IF(G4960&lt;=24,"2. 1-24 hours",IF(G4960&lt;=72,"3. 1-3 days","4. Over 3 days")))</f>
        <v/>
      </c>
      <c r="O4960">
        <f>TEXT(B4960,"YYYY-MM")</f>
        <v/>
      </c>
    </row>
    <row r="4961">
      <c r="A4961" t="inlineStr">
        <is>
          <t>LD-304959</t>
        </is>
      </c>
      <c r="B4961" t="inlineStr">
        <is>
          <t>2025-08-29 18:27:00</t>
        </is>
      </c>
      <c r="C4961" t="inlineStr">
        <is>
          <t>Organic Search</t>
        </is>
      </c>
      <c r="D4961" t="inlineStr">
        <is>
          <t>K-12 Math</t>
        </is>
      </c>
      <c r="E4961" t="inlineStr">
        <is>
          <t>North Region</t>
        </is>
      </c>
      <c r="F4961" t="inlineStr">
        <is>
          <t>Rep_01</t>
        </is>
      </c>
      <c r="G4961" t="n">
        <v>9.470000000000001</v>
      </c>
      <c r="H4961" t="inlineStr">
        <is>
          <t>Contacted</t>
        </is>
      </c>
      <c r="I4961" t="inlineStr">
        <is>
          <t>Open</t>
        </is>
      </c>
      <c r="M4961">
        <f>VLOOKUP(H4961,'Stage Order'!$A$2:$B$8,2,FALSE)</f>
        <v/>
      </c>
      <c r="N4961">
        <f>IF(G4961&lt;=1,"1. Under 1 hour",IF(G4961&lt;=24,"2. 1-24 hours",IF(G4961&lt;=72,"3. 1-3 days","4. Over 3 days")))</f>
        <v/>
      </c>
      <c r="O4961">
        <f>TEXT(B4961,"YYYY-MM")</f>
        <v/>
      </c>
    </row>
    <row r="4962">
      <c r="A4962" t="inlineStr">
        <is>
          <t>LD-304960</t>
        </is>
      </c>
      <c r="B4962" t="inlineStr">
        <is>
          <t>2025-08-22 16:38:00</t>
        </is>
      </c>
      <c r="C4962" t="inlineStr">
        <is>
          <t>Partner Channel</t>
        </is>
      </c>
      <c r="D4962" t="inlineStr">
        <is>
          <t>K-12 Math</t>
        </is>
      </c>
      <c r="E4962" t="inlineStr">
        <is>
          <t>North Region</t>
        </is>
      </c>
      <c r="F4962" t="inlineStr">
        <is>
          <t>Rep_11</t>
        </is>
      </c>
      <c r="G4962" t="n">
        <v>6.3</v>
      </c>
      <c r="H4962" t="inlineStr">
        <is>
          <t>Demo Scheduled</t>
        </is>
      </c>
      <c r="I4962" t="inlineStr">
        <is>
          <t>Open</t>
        </is>
      </c>
      <c r="M4962">
        <f>VLOOKUP(H4962,'Stage Order'!$A$2:$B$8,2,FALSE)</f>
        <v/>
      </c>
      <c r="N4962">
        <f>IF(G4962&lt;=1,"1. Under 1 hour",IF(G4962&lt;=24,"2. 1-24 hours",IF(G4962&lt;=72,"3. 1-3 days","4. Over 3 days")))</f>
        <v/>
      </c>
      <c r="O4962">
        <f>TEXT(B4962,"YYYY-MM")</f>
        <v/>
      </c>
    </row>
    <row r="4963">
      <c r="A4963" t="inlineStr">
        <is>
          <t>LD-304961</t>
        </is>
      </c>
      <c r="B4963" t="inlineStr">
        <is>
          <t>2025-11-25 11:27:00</t>
        </is>
      </c>
      <c r="C4963" t="inlineStr">
        <is>
          <t>Paid Search</t>
        </is>
      </c>
      <c r="D4963" t="inlineStr">
        <is>
          <t>Coding for Kids</t>
        </is>
      </c>
      <c r="E4963" t="inlineStr">
        <is>
          <t>South Region</t>
        </is>
      </c>
      <c r="F4963" t="inlineStr">
        <is>
          <t>Rep_07</t>
        </is>
      </c>
      <c r="G4963" t="n">
        <v>1.75</v>
      </c>
      <c r="H4963" t="inlineStr">
        <is>
          <t>Lead</t>
        </is>
      </c>
      <c r="I4963" t="inlineStr">
        <is>
          <t>Open</t>
        </is>
      </c>
      <c r="M4963">
        <f>VLOOKUP(H4963,'Stage Order'!$A$2:$B$8,2,FALSE)</f>
        <v/>
      </c>
      <c r="N4963">
        <f>IF(G4963&lt;=1,"1. Under 1 hour",IF(G4963&lt;=24,"2. 1-24 hours",IF(G4963&lt;=72,"3. 1-3 days","4. Over 3 days")))</f>
        <v/>
      </c>
      <c r="O4963">
        <f>TEXT(B4963,"YYYY-MM")</f>
        <v/>
      </c>
    </row>
    <row r="4964">
      <c r="A4964" t="inlineStr">
        <is>
          <t>LD-304962</t>
        </is>
      </c>
      <c r="B4964" t="inlineStr">
        <is>
          <t>2025-05-23 20:27:00</t>
        </is>
      </c>
      <c r="C4964" t="inlineStr">
        <is>
          <t>Cold Outreach</t>
        </is>
      </c>
      <c r="D4964" t="inlineStr">
        <is>
          <t>Coding for Kids</t>
        </is>
      </c>
      <c r="E4964" t="inlineStr">
        <is>
          <t>South Region</t>
        </is>
      </c>
      <c r="F4964" t="inlineStr">
        <is>
          <t>Rep_07</t>
        </is>
      </c>
      <c r="G4964" t="n">
        <v>8.66</v>
      </c>
      <c r="H4964" t="inlineStr">
        <is>
          <t>Contacted</t>
        </is>
      </c>
      <c r="I4964" t="inlineStr">
        <is>
          <t>Open</t>
        </is>
      </c>
      <c r="M4964">
        <f>VLOOKUP(H4964,'Stage Order'!$A$2:$B$8,2,FALSE)</f>
        <v/>
      </c>
      <c r="N4964">
        <f>IF(G4964&lt;=1,"1. Under 1 hour",IF(G4964&lt;=24,"2. 1-24 hours",IF(G4964&lt;=72,"3. 1-3 days","4. Over 3 days")))</f>
        <v/>
      </c>
      <c r="O4964">
        <f>TEXT(B4964,"YYYY-MM")</f>
        <v/>
      </c>
    </row>
    <row r="4965">
      <c r="A4965" t="inlineStr">
        <is>
          <t>LD-304963</t>
        </is>
      </c>
      <c r="B4965" t="inlineStr">
        <is>
          <t>2026-04-17 15:36:00</t>
        </is>
      </c>
      <c r="C4965" t="inlineStr">
        <is>
          <t>Organic Search</t>
        </is>
      </c>
      <c r="D4965" t="inlineStr">
        <is>
          <t>Competitive Exam Prep</t>
        </is>
      </c>
      <c r="E4965" t="inlineStr">
        <is>
          <t>North Region</t>
        </is>
      </c>
      <c r="F4965" t="inlineStr">
        <is>
          <t>Rep_06</t>
        </is>
      </c>
      <c r="G4965" t="n">
        <v>5.91</v>
      </c>
      <c r="H4965" t="inlineStr">
        <is>
          <t>Contacted</t>
        </is>
      </c>
      <c r="I4965" t="inlineStr">
        <is>
          <t>Open</t>
        </is>
      </c>
      <c r="M4965">
        <f>VLOOKUP(H4965,'Stage Order'!$A$2:$B$8,2,FALSE)</f>
        <v/>
      </c>
      <c r="N4965">
        <f>IF(G4965&lt;=1,"1. Under 1 hour",IF(G4965&lt;=24,"2. 1-24 hours",IF(G4965&lt;=72,"3. 1-3 days","4. Over 3 days")))</f>
        <v/>
      </c>
      <c r="O4965">
        <f>TEXT(B4965,"YYYY-MM")</f>
        <v/>
      </c>
    </row>
    <row r="4966">
      <c r="A4966" t="inlineStr">
        <is>
          <t>LD-304964</t>
        </is>
      </c>
      <c r="B4966" t="inlineStr">
        <is>
          <t>2025-09-26 20:16:00</t>
        </is>
      </c>
      <c r="C4966" t="inlineStr">
        <is>
          <t>Organic Search</t>
        </is>
      </c>
      <c r="D4966" t="inlineStr">
        <is>
          <t>Competitive Exam Prep</t>
        </is>
      </c>
      <c r="E4966" t="inlineStr">
        <is>
          <t>West Region</t>
        </is>
      </c>
      <c r="F4966" t="inlineStr">
        <is>
          <t>Rep_03</t>
        </is>
      </c>
      <c r="G4966" t="n">
        <v>1.32</v>
      </c>
      <c r="H4966" t="inlineStr">
        <is>
          <t>Contacted</t>
        </is>
      </c>
      <c r="I4966" t="inlineStr">
        <is>
          <t>Open</t>
        </is>
      </c>
      <c r="M4966">
        <f>VLOOKUP(H4966,'Stage Order'!$A$2:$B$8,2,FALSE)</f>
        <v/>
      </c>
      <c r="N4966">
        <f>IF(G4966&lt;=1,"1. Under 1 hour",IF(G4966&lt;=24,"2. 1-24 hours",IF(G4966&lt;=72,"3. 1-3 days","4. Over 3 days")))</f>
        <v/>
      </c>
      <c r="O4966">
        <f>TEXT(B4966,"YYYY-MM")</f>
        <v/>
      </c>
    </row>
    <row r="4967">
      <c r="A4967" t="inlineStr">
        <is>
          <t>LD-304965</t>
        </is>
      </c>
      <c r="B4967" t="inlineStr">
        <is>
          <t>2026-06-29 10:54:00</t>
        </is>
      </c>
      <c r="C4967" t="inlineStr">
        <is>
          <t>Social Media</t>
        </is>
      </c>
      <c r="D4967" t="inlineStr">
        <is>
          <t>Study Abroad Prep</t>
        </is>
      </c>
      <c r="E4967" t="inlineStr">
        <is>
          <t>South Region</t>
        </is>
      </c>
      <c r="F4967" t="inlineStr">
        <is>
          <t>Rep_02</t>
        </is>
      </c>
      <c r="G4967" t="n">
        <v>2.99</v>
      </c>
      <c r="H4967" t="inlineStr">
        <is>
          <t>Demo Scheduled</t>
        </is>
      </c>
      <c r="I4967" t="inlineStr">
        <is>
          <t>Open</t>
        </is>
      </c>
      <c r="M4967">
        <f>VLOOKUP(H4967,'Stage Order'!$A$2:$B$8,2,FALSE)</f>
        <v/>
      </c>
      <c r="N4967">
        <f>IF(G4967&lt;=1,"1. Under 1 hour",IF(G4967&lt;=24,"2. 1-24 hours",IF(G4967&lt;=72,"3. 1-3 days","4. Over 3 days")))</f>
        <v/>
      </c>
      <c r="O4967">
        <f>TEXT(B4967,"YYYY-MM")</f>
        <v/>
      </c>
    </row>
    <row r="4968">
      <c r="A4968" t="inlineStr">
        <is>
          <t>LD-304966</t>
        </is>
      </c>
      <c r="B4968" t="inlineStr">
        <is>
          <t>2025-10-24 18:37:00</t>
        </is>
      </c>
      <c r="C4968" t="inlineStr">
        <is>
          <t>Partner Channel</t>
        </is>
      </c>
      <c r="D4968" t="inlineStr">
        <is>
          <t>K-12 Math</t>
        </is>
      </c>
      <c r="E4968" t="inlineStr">
        <is>
          <t>West Region</t>
        </is>
      </c>
      <c r="F4968" t="inlineStr">
        <is>
          <t>Rep_03</t>
        </is>
      </c>
      <c r="G4968" t="n">
        <v>2.13</v>
      </c>
      <c r="H4968" t="inlineStr">
        <is>
          <t>Contacted</t>
        </is>
      </c>
      <c r="I4968" t="inlineStr">
        <is>
          <t>Open</t>
        </is>
      </c>
      <c r="M4968">
        <f>VLOOKUP(H4968,'Stage Order'!$A$2:$B$8,2,FALSE)</f>
        <v/>
      </c>
      <c r="N4968">
        <f>IF(G4968&lt;=1,"1. Under 1 hour",IF(G4968&lt;=24,"2. 1-24 hours",IF(G4968&lt;=72,"3. 1-3 days","4. Over 3 days")))</f>
        <v/>
      </c>
      <c r="O4968">
        <f>TEXT(B4968,"YYYY-MM")</f>
        <v/>
      </c>
    </row>
    <row r="4969">
      <c r="A4969" t="inlineStr">
        <is>
          <t>LD-304967</t>
        </is>
      </c>
      <c r="B4969" t="inlineStr">
        <is>
          <t>2025-11-26 10:10:00</t>
        </is>
      </c>
      <c r="C4969" t="inlineStr">
        <is>
          <t>Webinar</t>
        </is>
      </c>
      <c r="D4969" t="inlineStr">
        <is>
          <t>Study Abroad Prep</t>
        </is>
      </c>
      <c r="E4969" t="inlineStr">
        <is>
          <t>West Region</t>
        </is>
      </c>
      <c r="F4969" t="inlineStr">
        <is>
          <t>Rep_08</t>
        </is>
      </c>
      <c r="G4969" t="n">
        <v>0.84</v>
      </c>
      <c r="H4969" t="inlineStr">
        <is>
          <t>Closed</t>
        </is>
      </c>
      <c r="I4969" t="inlineStr">
        <is>
          <t>Won</t>
        </is>
      </c>
      <c r="K4969" t="n">
        <v>1246.3</v>
      </c>
      <c r="L4969" t="inlineStr">
        <is>
          <t>2026-01-19 07:29:24.248591</t>
        </is>
      </c>
      <c r="M4969">
        <f>VLOOKUP(H4969,'Stage Order'!$A$2:$B$8,2,FALSE)</f>
        <v/>
      </c>
      <c r="N4969">
        <f>IF(G4969&lt;=1,"1. Under 1 hour",IF(G4969&lt;=24,"2. 1-24 hours",IF(G4969&lt;=72,"3. 1-3 days","4. Over 3 days")))</f>
        <v/>
      </c>
      <c r="O4969">
        <f>TEXT(B4969,"YYYY-MM")</f>
        <v/>
      </c>
    </row>
    <row r="4970">
      <c r="A4970" t="inlineStr">
        <is>
          <t>LD-304968</t>
        </is>
      </c>
      <c r="B4970" t="inlineStr">
        <is>
          <t>2025-07-31 15:35:00</t>
        </is>
      </c>
      <c r="C4970" t="inlineStr">
        <is>
          <t>Referral</t>
        </is>
      </c>
      <c r="D4970" t="inlineStr">
        <is>
          <t>Competitive Exam Prep</t>
        </is>
      </c>
      <c r="E4970" t="inlineStr">
        <is>
          <t>International</t>
        </is>
      </c>
      <c r="F4970" t="inlineStr">
        <is>
          <t>Rep_05</t>
        </is>
      </c>
      <c r="G4970" t="n">
        <v>5.64</v>
      </c>
      <c r="H4970" t="inlineStr">
        <is>
          <t>Negotiation</t>
        </is>
      </c>
      <c r="I4970" t="inlineStr">
        <is>
          <t>Lost</t>
        </is>
      </c>
      <c r="J4970" t="inlineStr">
        <is>
          <t>Went With Competitor</t>
        </is>
      </c>
      <c r="K4970" t="n">
        <v>871.3</v>
      </c>
      <c r="L4970" t="inlineStr">
        <is>
          <t>2025-09-05 02:55:31.068276</t>
        </is>
      </c>
      <c r="M4970">
        <f>VLOOKUP(H4970,'Stage Order'!$A$2:$B$8,2,FALSE)</f>
        <v/>
      </c>
      <c r="N4970">
        <f>IF(G4970&lt;=1,"1. Under 1 hour",IF(G4970&lt;=24,"2. 1-24 hours",IF(G4970&lt;=72,"3. 1-3 days","4. Over 3 days")))</f>
        <v/>
      </c>
      <c r="O4970">
        <f>TEXT(B4970,"YYYY-MM")</f>
        <v/>
      </c>
    </row>
    <row r="4971">
      <c r="A4971" t="inlineStr">
        <is>
          <t>LD-304969</t>
        </is>
      </c>
      <c r="B4971" t="inlineStr">
        <is>
          <t>2026-04-01 12:33:00</t>
        </is>
      </c>
      <c r="C4971" t="inlineStr">
        <is>
          <t>Organic Search</t>
        </is>
      </c>
      <c r="D4971" t="inlineStr">
        <is>
          <t>Coding for Kids</t>
        </is>
      </c>
      <c r="E4971" t="inlineStr">
        <is>
          <t>South Region</t>
        </is>
      </c>
      <c r="F4971" t="inlineStr">
        <is>
          <t>Rep_07</t>
        </is>
      </c>
      <c r="G4971" t="n">
        <v>4.5</v>
      </c>
      <c r="H4971" t="inlineStr">
        <is>
          <t>Demo Scheduled</t>
        </is>
      </c>
      <c r="I4971" t="inlineStr">
        <is>
          <t>Open</t>
        </is>
      </c>
      <c r="M4971">
        <f>VLOOKUP(H4971,'Stage Order'!$A$2:$B$8,2,FALSE)</f>
        <v/>
      </c>
      <c r="N4971">
        <f>IF(G4971&lt;=1,"1. Under 1 hour",IF(G4971&lt;=24,"2. 1-24 hours",IF(G4971&lt;=72,"3. 1-3 days","4. Over 3 days")))</f>
        <v/>
      </c>
      <c r="O4971">
        <f>TEXT(B4971,"YYYY-MM")</f>
        <v/>
      </c>
    </row>
    <row r="4972">
      <c r="A4972" t="inlineStr">
        <is>
          <t>LD-304970</t>
        </is>
      </c>
      <c r="B4972" t="inlineStr">
        <is>
          <t>2025-10-24 09:38:00</t>
        </is>
      </c>
      <c r="C4972" t="inlineStr">
        <is>
          <t>Organic Search</t>
        </is>
      </c>
      <c r="D4972" t="inlineStr">
        <is>
          <t>Language Learning</t>
        </is>
      </c>
      <c r="E4972" t="inlineStr">
        <is>
          <t>East Region</t>
        </is>
      </c>
      <c r="F4972" t="inlineStr">
        <is>
          <t>Rep_14</t>
        </is>
      </c>
      <c r="G4972" t="n">
        <v>2.25</v>
      </c>
      <c r="H4972" t="inlineStr">
        <is>
          <t>Demo Scheduled</t>
        </is>
      </c>
      <c r="I4972" t="inlineStr">
        <is>
          <t>Open</t>
        </is>
      </c>
      <c r="M4972">
        <f>VLOOKUP(H4972,'Stage Order'!$A$2:$B$8,2,FALSE)</f>
        <v/>
      </c>
      <c r="N4972">
        <f>IF(G4972&lt;=1,"1. Under 1 hour",IF(G4972&lt;=24,"2. 1-24 hours",IF(G4972&lt;=72,"3. 1-3 days","4. Over 3 days")))</f>
        <v/>
      </c>
      <c r="O4972">
        <f>TEXT(B4972,"YYYY-MM")</f>
        <v/>
      </c>
    </row>
    <row r="4973">
      <c r="A4973" t="inlineStr">
        <is>
          <t>LD-304971</t>
        </is>
      </c>
      <c r="B4973" t="inlineStr">
        <is>
          <t>2025-05-02 09:42:00</t>
        </is>
      </c>
      <c r="C4973" t="inlineStr">
        <is>
          <t>Cold Outreach</t>
        </is>
      </c>
      <c r="D4973" t="inlineStr">
        <is>
          <t>Coding for Kids</t>
        </is>
      </c>
      <c r="E4973" t="inlineStr">
        <is>
          <t>North Region</t>
        </is>
      </c>
      <c r="F4973" t="inlineStr">
        <is>
          <t>Rep_06</t>
        </is>
      </c>
      <c r="G4973" t="n">
        <v>2.37</v>
      </c>
      <c r="H4973" t="inlineStr">
        <is>
          <t>Contacted</t>
        </is>
      </c>
      <c r="I4973" t="inlineStr">
        <is>
          <t>Open</t>
        </is>
      </c>
      <c r="M4973">
        <f>VLOOKUP(H4973,'Stage Order'!$A$2:$B$8,2,FALSE)</f>
        <v/>
      </c>
      <c r="N4973">
        <f>IF(G4973&lt;=1,"1. Under 1 hour",IF(G4973&lt;=24,"2. 1-24 hours",IF(G4973&lt;=72,"3. 1-3 days","4. Over 3 days")))</f>
        <v/>
      </c>
      <c r="O4973">
        <f>TEXT(B4973,"YYYY-MM")</f>
        <v/>
      </c>
    </row>
    <row r="4974">
      <c r="A4974" t="inlineStr">
        <is>
          <t>LD-304972</t>
        </is>
      </c>
      <c r="B4974" t="inlineStr">
        <is>
          <t>2026-02-09 09:30:00</t>
        </is>
      </c>
      <c r="C4974" t="inlineStr">
        <is>
          <t>Organic Search</t>
        </is>
      </c>
      <c r="D4974" t="inlineStr">
        <is>
          <t>K-12 Math</t>
        </is>
      </c>
      <c r="E4974" t="inlineStr">
        <is>
          <t>South Region</t>
        </is>
      </c>
      <c r="F4974" t="inlineStr">
        <is>
          <t>Rep_07</t>
        </is>
      </c>
      <c r="G4974" t="n">
        <v>2.17</v>
      </c>
      <c r="H4974" t="inlineStr">
        <is>
          <t>Contacted</t>
        </is>
      </c>
      <c r="I4974" t="inlineStr">
        <is>
          <t>Open</t>
        </is>
      </c>
      <c r="M4974">
        <f>VLOOKUP(H4974,'Stage Order'!$A$2:$B$8,2,FALSE)</f>
        <v/>
      </c>
      <c r="N4974">
        <f>IF(G4974&lt;=1,"1. Under 1 hour",IF(G4974&lt;=24,"2. 1-24 hours",IF(G4974&lt;=72,"3. 1-3 days","4. Over 3 days")))</f>
        <v/>
      </c>
      <c r="O4974">
        <f>TEXT(B4974,"YYYY-MM")</f>
        <v/>
      </c>
    </row>
    <row r="4975">
      <c r="A4975" t="inlineStr">
        <is>
          <t>LD-304973</t>
        </is>
      </c>
      <c r="B4975" t="inlineStr">
        <is>
          <t>2025-10-17 18:01:00</t>
        </is>
      </c>
      <c r="C4975" t="inlineStr">
        <is>
          <t>Social Media</t>
        </is>
      </c>
      <c r="D4975" t="inlineStr">
        <is>
          <t>Competitive Exam Prep</t>
        </is>
      </c>
      <c r="E4975" t="inlineStr">
        <is>
          <t>North Region</t>
        </is>
      </c>
      <c r="F4975" t="inlineStr">
        <is>
          <t>Rep_06</t>
        </is>
      </c>
      <c r="G4975" t="n">
        <v>2.54</v>
      </c>
      <c r="H4975" t="inlineStr">
        <is>
          <t>Demo Completed</t>
        </is>
      </c>
      <c r="I4975" t="inlineStr">
        <is>
          <t>Lost</t>
        </is>
      </c>
      <c r="J4975" t="inlineStr">
        <is>
          <t>Went With Competitor</t>
        </is>
      </c>
      <c r="K4975" t="n">
        <v>1150.97</v>
      </c>
      <c r="L4975" t="inlineStr">
        <is>
          <t>2025-11-16 10:55:08.128641</t>
        </is>
      </c>
      <c r="M4975">
        <f>VLOOKUP(H4975,'Stage Order'!$A$2:$B$8,2,FALSE)</f>
        <v/>
      </c>
      <c r="N4975">
        <f>IF(G4975&lt;=1,"1. Under 1 hour",IF(G4975&lt;=24,"2. 1-24 hours",IF(G4975&lt;=72,"3. 1-3 days","4. Over 3 days")))</f>
        <v/>
      </c>
      <c r="O4975">
        <f>TEXT(B4975,"YYYY-MM")</f>
        <v/>
      </c>
    </row>
    <row r="4976">
      <c r="A4976" t="inlineStr">
        <is>
          <t>LD-304974</t>
        </is>
      </c>
      <c r="B4976" t="inlineStr">
        <is>
          <t>2025-05-29 14:59:00</t>
        </is>
      </c>
      <c r="C4976" t="inlineStr">
        <is>
          <t>Organic Search</t>
        </is>
      </c>
      <c r="D4976" t="inlineStr">
        <is>
          <t>Coding for Kids</t>
        </is>
      </c>
      <c r="E4976" t="inlineStr">
        <is>
          <t>South Region</t>
        </is>
      </c>
      <c r="F4976" t="inlineStr">
        <is>
          <t>Rep_07</t>
        </is>
      </c>
      <c r="G4976" t="n">
        <v>4.88</v>
      </c>
      <c r="H4976" t="inlineStr">
        <is>
          <t>Contacted</t>
        </is>
      </c>
      <c r="I4976" t="inlineStr">
        <is>
          <t>Open</t>
        </is>
      </c>
      <c r="M4976">
        <f>VLOOKUP(H4976,'Stage Order'!$A$2:$B$8,2,FALSE)</f>
        <v/>
      </c>
      <c r="N4976">
        <f>IF(G4976&lt;=1,"1. Under 1 hour",IF(G4976&lt;=24,"2. 1-24 hours",IF(G4976&lt;=72,"3. 1-3 days","4. Over 3 days")))</f>
        <v/>
      </c>
      <c r="O4976">
        <f>TEXT(B4976,"YYYY-MM")</f>
        <v/>
      </c>
    </row>
    <row r="4977">
      <c r="A4977" t="inlineStr">
        <is>
          <t>LD-304975</t>
        </is>
      </c>
      <c r="B4977" t="inlineStr">
        <is>
          <t>2025-03-28 16:07:00</t>
        </is>
      </c>
      <c r="C4977" t="inlineStr">
        <is>
          <t>Organic Search</t>
        </is>
      </c>
      <c r="D4977" t="inlineStr">
        <is>
          <t>Coding for Kids</t>
        </is>
      </c>
      <c r="E4977" t="inlineStr">
        <is>
          <t>North Region</t>
        </is>
      </c>
      <c r="F4977" t="inlineStr">
        <is>
          <t>Rep_11</t>
        </is>
      </c>
      <c r="G4977" t="n">
        <v>1.23</v>
      </c>
      <c r="H4977" t="inlineStr">
        <is>
          <t>Demo Completed</t>
        </is>
      </c>
      <c r="I4977" t="inlineStr">
        <is>
          <t>Lost</t>
        </is>
      </c>
      <c r="J4977" t="inlineStr">
        <is>
          <t>Went With Competitor</t>
        </is>
      </c>
      <c r="K4977" t="n">
        <v>539.98</v>
      </c>
      <c r="L4977" t="inlineStr">
        <is>
          <t>2025-05-11 06:08:08.687272</t>
        </is>
      </c>
      <c r="M4977">
        <f>VLOOKUP(H4977,'Stage Order'!$A$2:$B$8,2,FALSE)</f>
        <v/>
      </c>
      <c r="N4977">
        <f>IF(G4977&lt;=1,"1. Under 1 hour",IF(G4977&lt;=24,"2. 1-24 hours",IF(G4977&lt;=72,"3. 1-3 days","4. Over 3 days")))</f>
        <v/>
      </c>
      <c r="O4977">
        <f>TEXT(B4977,"YYYY-MM")</f>
        <v/>
      </c>
    </row>
    <row r="4978">
      <c r="A4978" t="inlineStr">
        <is>
          <t>LD-304976</t>
        </is>
      </c>
      <c r="B4978" t="inlineStr">
        <is>
          <t>2025-03-04 12:20:00</t>
        </is>
      </c>
      <c r="C4978" t="inlineStr">
        <is>
          <t>Paid Search</t>
        </is>
      </c>
      <c r="D4978" t="inlineStr">
        <is>
          <t>Competitive Exam Prep</t>
        </is>
      </c>
      <c r="E4978" t="inlineStr">
        <is>
          <t>North Region</t>
        </is>
      </c>
      <c r="F4978" t="inlineStr">
        <is>
          <t>Rep_01</t>
        </is>
      </c>
      <c r="G4978" t="n">
        <v>1.64</v>
      </c>
      <c r="H4978" t="inlineStr">
        <is>
          <t>Contacted</t>
        </is>
      </c>
      <c r="I4978" t="inlineStr">
        <is>
          <t>Open</t>
        </is>
      </c>
      <c r="M4978">
        <f>VLOOKUP(H4978,'Stage Order'!$A$2:$B$8,2,FALSE)</f>
        <v/>
      </c>
      <c r="N4978">
        <f>IF(G4978&lt;=1,"1. Under 1 hour",IF(G4978&lt;=24,"2. 1-24 hours",IF(G4978&lt;=72,"3. 1-3 days","4. Over 3 days")))</f>
        <v/>
      </c>
      <c r="O4978">
        <f>TEXT(B4978,"YYYY-MM")</f>
        <v/>
      </c>
    </row>
    <row r="4979">
      <c r="A4979" t="inlineStr">
        <is>
          <t>LD-304977</t>
        </is>
      </c>
      <c r="B4979" t="inlineStr">
        <is>
          <t>2025-03-24 14:09:00</t>
        </is>
      </c>
      <c r="C4979" t="inlineStr">
        <is>
          <t>Organic Search</t>
        </is>
      </c>
      <c r="D4979" t="inlineStr">
        <is>
          <t>K-12 Math</t>
        </is>
      </c>
      <c r="E4979" t="inlineStr">
        <is>
          <t>South Region</t>
        </is>
      </c>
      <c r="F4979" t="inlineStr">
        <is>
          <t>Rep_02</t>
        </is>
      </c>
      <c r="G4979" t="n">
        <v>2.45</v>
      </c>
      <c r="H4979" t="inlineStr">
        <is>
          <t>Negotiation</t>
        </is>
      </c>
      <c r="I4979" t="inlineStr">
        <is>
          <t>Lost</t>
        </is>
      </c>
      <c r="J4979" t="inlineStr">
        <is>
          <t>Budget Not Approved</t>
        </is>
      </c>
      <c r="K4979" t="n">
        <v>440.45</v>
      </c>
      <c r="L4979" t="inlineStr">
        <is>
          <t>2025-05-12 03:44:04.535483</t>
        </is>
      </c>
      <c r="M4979">
        <f>VLOOKUP(H4979,'Stage Order'!$A$2:$B$8,2,FALSE)</f>
        <v/>
      </c>
      <c r="N4979">
        <f>IF(G4979&lt;=1,"1. Under 1 hour",IF(G4979&lt;=24,"2. 1-24 hours",IF(G4979&lt;=72,"3. 1-3 days","4. Over 3 days")))</f>
        <v/>
      </c>
      <c r="O4979">
        <f>TEXT(B4979,"YYYY-MM")</f>
        <v/>
      </c>
    </row>
    <row r="4980">
      <c r="A4980" t="inlineStr">
        <is>
          <t>LD-304978</t>
        </is>
      </c>
      <c r="B4980" t="inlineStr">
        <is>
          <t>2026-04-08 17:20:00</t>
        </is>
      </c>
      <c r="C4980" t="inlineStr">
        <is>
          <t>Webinar</t>
        </is>
      </c>
      <c r="D4980" t="inlineStr">
        <is>
          <t>Coding for Kids</t>
        </is>
      </c>
      <c r="E4980" t="inlineStr">
        <is>
          <t>International</t>
        </is>
      </c>
      <c r="F4980" t="inlineStr">
        <is>
          <t>Rep_05</t>
        </is>
      </c>
      <c r="G4980" t="n">
        <v>21.34</v>
      </c>
      <c r="H4980" t="inlineStr">
        <is>
          <t>Demo Completed</t>
        </is>
      </c>
      <c r="I4980" t="inlineStr">
        <is>
          <t>Lost</t>
        </is>
      </c>
      <c r="J4980" t="inlineStr">
        <is>
          <t>Bad Timing</t>
        </is>
      </c>
      <c r="K4980" t="n">
        <v>621.05</v>
      </c>
      <c r="L4980" t="inlineStr">
        <is>
          <t>2026-04-29 05:47:04.257810</t>
        </is>
      </c>
      <c r="M4980">
        <f>VLOOKUP(H4980,'Stage Order'!$A$2:$B$8,2,FALSE)</f>
        <v/>
      </c>
      <c r="N4980">
        <f>IF(G4980&lt;=1,"1. Under 1 hour",IF(G4980&lt;=24,"2. 1-24 hours",IF(G4980&lt;=72,"3. 1-3 days","4. Over 3 days")))</f>
        <v/>
      </c>
      <c r="O4980">
        <f>TEXT(B4980,"YYYY-MM")</f>
        <v/>
      </c>
    </row>
    <row r="4981">
      <c r="A4981" t="inlineStr">
        <is>
          <t>LD-304979</t>
        </is>
      </c>
      <c r="B4981" t="inlineStr">
        <is>
          <t>2026-01-23 16:22:00</t>
        </is>
      </c>
      <c r="C4981" t="inlineStr">
        <is>
          <t>Social Media</t>
        </is>
      </c>
      <c r="D4981" t="inlineStr">
        <is>
          <t>K-12 Math</t>
        </is>
      </c>
      <c r="E4981" t="inlineStr">
        <is>
          <t>International</t>
        </is>
      </c>
      <c r="F4981" t="inlineStr">
        <is>
          <t>Rep_05</t>
        </is>
      </c>
      <c r="G4981" t="n">
        <v>1.26</v>
      </c>
      <c r="H4981" t="inlineStr">
        <is>
          <t>Contacted</t>
        </is>
      </c>
      <c r="I4981" t="inlineStr">
        <is>
          <t>Open</t>
        </is>
      </c>
      <c r="M4981">
        <f>VLOOKUP(H4981,'Stage Order'!$A$2:$B$8,2,FALSE)</f>
        <v/>
      </c>
      <c r="N4981">
        <f>IF(G4981&lt;=1,"1. Under 1 hour",IF(G4981&lt;=24,"2. 1-24 hours",IF(G4981&lt;=72,"3. 1-3 days","4. Over 3 days")))</f>
        <v/>
      </c>
      <c r="O4981">
        <f>TEXT(B4981,"YYYY-MM")</f>
        <v/>
      </c>
    </row>
    <row r="4982">
      <c r="A4982" t="inlineStr">
        <is>
          <t>LD-304980</t>
        </is>
      </c>
      <c r="B4982" t="inlineStr">
        <is>
          <t>2025-03-29 07:14:00</t>
        </is>
      </c>
      <c r="C4982" t="inlineStr">
        <is>
          <t>Social Media</t>
        </is>
      </c>
      <c r="D4982" t="inlineStr">
        <is>
          <t>Competitive Exam Prep</t>
        </is>
      </c>
      <c r="E4982" t="inlineStr">
        <is>
          <t>International</t>
        </is>
      </c>
      <c r="F4982" t="inlineStr">
        <is>
          <t>Rep_05</t>
        </is>
      </c>
      <c r="G4982" t="n">
        <v>2.48</v>
      </c>
      <c r="H4982" t="inlineStr">
        <is>
          <t>Lead</t>
        </is>
      </c>
      <c r="I4982" t="inlineStr">
        <is>
          <t>Open</t>
        </is>
      </c>
      <c r="M4982">
        <f>VLOOKUP(H4982,'Stage Order'!$A$2:$B$8,2,FALSE)</f>
        <v/>
      </c>
      <c r="N4982">
        <f>IF(G4982&lt;=1,"1. Under 1 hour",IF(G4982&lt;=24,"2. 1-24 hours",IF(G4982&lt;=72,"3. 1-3 days","4. Over 3 days")))</f>
        <v/>
      </c>
      <c r="O4982">
        <f>TEXT(B4982,"YYYY-MM")</f>
        <v/>
      </c>
    </row>
    <row r="4983">
      <c r="A4983" t="inlineStr">
        <is>
          <t>LD-304981</t>
        </is>
      </c>
      <c r="B4983" t="inlineStr">
        <is>
          <t>2026-01-09 12:53:00</t>
        </is>
      </c>
      <c r="C4983" t="inlineStr">
        <is>
          <t>Organic Search</t>
        </is>
      </c>
      <c r="D4983" t="inlineStr">
        <is>
          <t>K-12 Math</t>
        </is>
      </c>
      <c r="E4983" t="inlineStr">
        <is>
          <t>North Region</t>
        </is>
      </c>
      <c r="F4983" t="inlineStr">
        <is>
          <t>Rep_11</t>
        </is>
      </c>
      <c r="G4983" t="n">
        <v>9.75</v>
      </c>
      <c r="H4983" t="inlineStr">
        <is>
          <t>Closed</t>
        </is>
      </c>
      <c r="I4983" t="inlineStr">
        <is>
          <t>Won</t>
        </is>
      </c>
      <c r="K4983" t="n">
        <v>555.3099999999999</v>
      </c>
      <c r="L4983" t="inlineStr">
        <is>
          <t>2026-02-23 16:40:48.016500</t>
        </is>
      </c>
      <c r="M4983">
        <f>VLOOKUP(H4983,'Stage Order'!$A$2:$B$8,2,FALSE)</f>
        <v/>
      </c>
      <c r="N4983">
        <f>IF(G4983&lt;=1,"1. Under 1 hour",IF(G4983&lt;=24,"2. 1-24 hours",IF(G4983&lt;=72,"3. 1-3 days","4. Over 3 days")))</f>
        <v/>
      </c>
      <c r="O4983">
        <f>TEXT(B4983,"YYYY-MM")</f>
        <v/>
      </c>
    </row>
    <row r="4984">
      <c r="A4984" t="inlineStr">
        <is>
          <t>LD-304982</t>
        </is>
      </c>
      <c r="B4984" t="inlineStr">
        <is>
          <t>2025-07-11 15:04:00</t>
        </is>
      </c>
      <c r="C4984" t="inlineStr">
        <is>
          <t>Social Media</t>
        </is>
      </c>
      <c r="D4984" t="inlineStr">
        <is>
          <t>Coding for Kids</t>
        </is>
      </c>
      <c r="E4984" t="inlineStr">
        <is>
          <t>West Region</t>
        </is>
      </c>
      <c r="F4984" t="inlineStr">
        <is>
          <t>Rep_13</t>
        </is>
      </c>
      <c r="G4984" t="n">
        <v>1.85</v>
      </c>
      <c r="H4984" t="inlineStr">
        <is>
          <t>Demo Completed</t>
        </is>
      </c>
      <c r="I4984" t="inlineStr">
        <is>
          <t>Lost</t>
        </is>
      </c>
      <c r="J4984" t="inlineStr">
        <is>
          <t>Price Objection</t>
        </is>
      </c>
      <c r="K4984" t="n">
        <v>747.49</v>
      </c>
      <c r="L4984" t="inlineStr">
        <is>
          <t>2025-08-06 03:43:31.591958</t>
        </is>
      </c>
      <c r="M4984">
        <f>VLOOKUP(H4984,'Stage Order'!$A$2:$B$8,2,FALSE)</f>
        <v/>
      </c>
      <c r="N4984">
        <f>IF(G4984&lt;=1,"1. Under 1 hour",IF(G4984&lt;=24,"2. 1-24 hours",IF(G4984&lt;=72,"3. 1-3 days","4. Over 3 days")))</f>
        <v/>
      </c>
      <c r="O4984">
        <f>TEXT(B4984,"YYYY-MM")</f>
        <v/>
      </c>
    </row>
    <row r="4985">
      <c r="A4985" t="inlineStr">
        <is>
          <t>LD-304983</t>
        </is>
      </c>
      <c r="B4985" t="inlineStr">
        <is>
          <t>2026-06-20 12:41:00</t>
        </is>
      </c>
      <c r="C4985" t="inlineStr">
        <is>
          <t>Cold Outreach</t>
        </is>
      </c>
      <c r="D4985" t="inlineStr">
        <is>
          <t>Coding for Kids</t>
        </is>
      </c>
      <c r="E4985" t="inlineStr">
        <is>
          <t>North Region</t>
        </is>
      </c>
      <c r="F4985" t="inlineStr">
        <is>
          <t>Rep_11</t>
        </is>
      </c>
      <c r="G4985" t="n">
        <v>4.86</v>
      </c>
      <c r="H4985" t="inlineStr">
        <is>
          <t>Demo Completed</t>
        </is>
      </c>
      <c r="I4985" t="inlineStr">
        <is>
          <t>Lost</t>
        </is>
      </c>
      <c r="J4985" t="inlineStr">
        <is>
          <t>Went With Competitor</t>
        </is>
      </c>
      <c r="K4985" t="n">
        <v>691.72</v>
      </c>
      <c r="L4985" t="inlineStr">
        <is>
          <t>2026-07-13 18:06:25.852512</t>
        </is>
      </c>
      <c r="M4985">
        <f>VLOOKUP(H4985,'Stage Order'!$A$2:$B$8,2,FALSE)</f>
        <v/>
      </c>
      <c r="N4985">
        <f>IF(G4985&lt;=1,"1. Under 1 hour",IF(G4985&lt;=24,"2. 1-24 hours",IF(G4985&lt;=72,"3. 1-3 days","4. Over 3 days")))</f>
        <v/>
      </c>
      <c r="O4985">
        <f>TEXT(B4985,"YYYY-MM")</f>
        <v/>
      </c>
    </row>
    <row r="4986">
      <c r="A4986" t="inlineStr">
        <is>
          <t>LD-304984</t>
        </is>
      </c>
      <c r="B4986" t="inlineStr">
        <is>
          <t>2025-06-06 14:35:00</t>
        </is>
      </c>
      <c r="C4986" t="inlineStr">
        <is>
          <t>Cold Outreach</t>
        </is>
      </c>
      <c r="D4986" t="inlineStr">
        <is>
          <t>K-12 Math</t>
        </is>
      </c>
      <c r="E4986" t="inlineStr">
        <is>
          <t>South Region</t>
        </is>
      </c>
      <c r="F4986" t="inlineStr">
        <is>
          <t>Rep_07</t>
        </is>
      </c>
      <c r="G4986" t="n">
        <v>1.89</v>
      </c>
      <c r="H4986" t="inlineStr">
        <is>
          <t>Lead</t>
        </is>
      </c>
      <c r="I4986" t="inlineStr">
        <is>
          <t>Open</t>
        </is>
      </c>
      <c r="M4986">
        <f>VLOOKUP(H4986,'Stage Order'!$A$2:$B$8,2,FALSE)</f>
        <v/>
      </c>
      <c r="N4986">
        <f>IF(G4986&lt;=1,"1. Under 1 hour",IF(G4986&lt;=24,"2. 1-24 hours",IF(G4986&lt;=72,"3. 1-3 days","4. Over 3 days")))</f>
        <v/>
      </c>
      <c r="O4986">
        <f>TEXT(B4986,"YYYY-MM")</f>
        <v/>
      </c>
    </row>
    <row r="4987">
      <c r="A4987" t="inlineStr">
        <is>
          <t>LD-304985</t>
        </is>
      </c>
      <c r="B4987" t="inlineStr">
        <is>
          <t>2025-02-05 12:24:00</t>
        </is>
      </c>
      <c r="C4987" t="inlineStr">
        <is>
          <t>Cold Outreach</t>
        </is>
      </c>
      <c r="D4987" t="inlineStr">
        <is>
          <t>K-12 Math</t>
        </is>
      </c>
      <c r="E4987" t="inlineStr">
        <is>
          <t>International</t>
        </is>
      </c>
      <c r="F4987" t="inlineStr">
        <is>
          <t>Rep_10</t>
        </is>
      </c>
      <c r="G4987" t="n">
        <v>0.54</v>
      </c>
      <c r="H4987" t="inlineStr">
        <is>
          <t>Demo Scheduled</t>
        </is>
      </c>
      <c r="I4987" t="inlineStr">
        <is>
          <t>Open</t>
        </is>
      </c>
      <c r="M4987">
        <f>VLOOKUP(H4987,'Stage Order'!$A$2:$B$8,2,FALSE)</f>
        <v/>
      </c>
      <c r="N4987">
        <f>IF(G4987&lt;=1,"1. Under 1 hour",IF(G4987&lt;=24,"2. 1-24 hours",IF(G4987&lt;=72,"3. 1-3 days","4. Over 3 days")))</f>
        <v/>
      </c>
      <c r="O4987">
        <f>TEXT(B4987,"YYYY-MM")</f>
        <v/>
      </c>
    </row>
    <row r="4988">
      <c r="A4988" t="inlineStr">
        <is>
          <t>LD-304986</t>
        </is>
      </c>
      <c r="B4988" t="inlineStr">
        <is>
          <t>2025-09-04 19:49:00</t>
        </is>
      </c>
      <c r="C4988" t="inlineStr">
        <is>
          <t>Referral</t>
        </is>
      </c>
      <c r="D4988" t="inlineStr">
        <is>
          <t>Competitive Exam Prep</t>
        </is>
      </c>
      <c r="E4988" t="inlineStr">
        <is>
          <t>North Region</t>
        </is>
      </c>
      <c r="F4988" t="inlineStr">
        <is>
          <t>Rep_06</t>
        </is>
      </c>
      <c r="G4988" t="n">
        <v>2.43</v>
      </c>
      <c r="H4988" t="inlineStr">
        <is>
          <t>Negotiation</t>
        </is>
      </c>
      <c r="I4988" t="inlineStr">
        <is>
          <t>Lost</t>
        </is>
      </c>
      <c r="J4988" t="inlineStr">
        <is>
          <t>Price Objection</t>
        </is>
      </c>
      <c r="K4988" t="n">
        <v>842.86</v>
      </c>
      <c r="L4988" t="inlineStr">
        <is>
          <t>2025-10-31 01:56:07.816412</t>
        </is>
      </c>
      <c r="M4988">
        <f>VLOOKUP(H4988,'Stage Order'!$A$2:$B$8,2,FALSE)</f>
        <v/>
      </c>
      <c r="N4988">
        <f>IF(G4988&lt;=1,"1. Under 1 hour",IF(G4988&lt;=24,"2. 1-24 hours",IF(G4988&lt;=72,"3. 1-3 days","4. Over 3 days")))</f>
        <v/>
      </c>
      <c r="O4988">
        <f>TEXT(B4988,"YYYY-MM")</f>
        <v/>
      </c>
    </row>
    <row r="4989">
      <c r="A4989" t="inlineStr">
        <is>
          <t>LD-304987</t>
        </is>
      </c>
      <c r="B4989" t="inlineStr">
        <is>
          <t>2025-12-05 16:50:00</t>
        </is>
      </c>
      <c r="C4989" t="inlineStr">
        <is>
          <t>Paid Search</t>
        </is>
      </c>
      <c r="D4989" t="inlineStr">
        <is>
          <t>Competitive Exam Prep</t>
        </is>
      </c>
      <c r="E4989" t="inlineStr">
        <is>
          <t>South Region</t>
        </is>
      </c>
      <c r="F4989" t="inlineStr">
        <is>
          <t>Rep_12</t>
        </is>
      </c>
      <c r="G4989" t="n">
        <v>3.06</v>
      </c>
      <c r="H4989" t="inlineStr">
        <is>
          <t>Negotiation</t>
        </is>
      </c>
      <c r="I4989" t="inlineStr">
        <is>
          <t>Lost</t>
        </is>
      </c>
      <c r="J4989" t="inlineStr">
        <is>
          <t>Went With Competitor</t>
        </is>
      </c>
      <c r="K4989" t="n">
        <v>1070.16</v>
      </c>
      <c r="L4989" t="inlineStr">
        <is>
          <t>2026-01-10 10:31:47.604105</t>
        </is>
      </c>
      <c r="M4989">
        <f>VLOOKUP(H4989,'Stage Order'!$A$2:$B$8,2,FALSE)</f>
        <v/>
      </c>
      <c r="N4989">
        <f>IF(G4989&lt;=1,"1. Under 1 hour",IF(G4989&lt;=24,"2. 1-24 hours",IF(G4989&lt;=72,"3. 1-3 days","4. Over 3 days")))</f>
        <v/>
      </c>
      <c r="O4989">
        <f>TEXT(B4989,"YYYY-MM")</f>
        <v/>
      </c>
    </row>
    <row r="4990">
      <c r="A4990" t="inlineStr">
        <is>
          <t>LD-304988</t>
        </is>
      </c>
      <c r="B4990" t="inlineStr">
        <is>
          <t>2026-01-12 19:25:00</t>
        </is>
      </c>
      <c r="C4990" t="inlineStr">
        <is>
          <t>Paid Search</t>
        </is>
      </c>
      <c r="D4990" t="inlineStr">
        <is>
          <t>Study Abroad Prep</t>
        </is>
      </c>
      <c r="E4990" t="inlineStr">
        <is>
          <t>North Region</t>
        </is>
      </c>
      <c r="F4990" t="inlineStr">
        <is>
          <t>Rep_06</t>
        </is>
      </c>
      <c r="G4990" t="n">
        <v>4.69</v>
      </c>
      <c r="H4990" t="inlineStr">
        <is>
          <t>Contacted</t>
        </is>
      </c>
      <c r="I4990" t="inlineStr">
        <is>
          <t>Open</t>
        </is>
      </c>
      <c r="M4990">
        <f>VLOOKUP(H4990,'Stage Order'!$A$2:$B$8,2,FALSE)</f>
        <v/>
      </c>
      <c r="N4990">
        <f>IF(G4990&lt;=1,"1. Under 1 hour",IF(G4990&lt;=24,"2. 1-24 hours",IF(G4990&lt;=72,"3. 1-3 days","4. Over 3 days")))</f>
        <v/>
      </c>
      <c r="O4990">
        <f>TEXT(B4990,"YYYY-MM")</f>
        <v/>
      </c>
    </row>
    <row r="4991">
      <c r="A4991" t="inlineStr">
        <is>
          <t>LD-304989</t>
        </is>
      </c>
      <c r="B4991" t="inlineStr">
        <is>
          <t>2026-03-12 11:53:00</t>
        </is>
      </c>
      <c r="C4991" t="inlineStr">
        <is>
          <t>Organic Search</t>
        </is>
      </c>
      <c r="D4991" t="inlineStr">
        <is>
          <t>Competitive Exam Prep</t>
        </is>
      </c>
      <c r="E4991" t="inlineStr">
        <is>
          <t>South Region</t>
        </is>
      </c>
      <c r="F4991" t="inlineStr">
        <is>
          <t>Rep_12</t>
        </is>
      </c>
      <c r="G4991" t="n">
        <v>2.98</v>
      </c>
      <c r="H4991" t="inlineStr">
        <is>
          <t>Closed</t>
        </is>
      </c>
      <c r="I4991" t="inlineStr">
        <is>
          <t>Won</t>
        </is>
      </c>
      <c r="K4991" t="n">
        <v>1086.84</v>
      </c>
      <c r="L4991" t="inlineStr">
        <is>
          <t>2026-04-19 20:48:20.205567</t>
        </is>
      </c>
      <c r="M4991">
        <f>VLOOKUP(H4991,'Stage Order'!$A$2:$B$8,2,FALSE)</f>
        <v/>
      </c>
      <c r="N4991">
        <f>IF(G4991&lt;=1,"1. Under 1 hour",IF(G4991&lt;=24,"2. 1-24 hours",IF(G4991&lt;=72,"3. 1-3 days","4. Over 3 days")))</f>
        <v/>
      </c>
      <c r="O4991">
        <f>TEXT(B4991,"YYYY-MM")</f>
        <v/>
      </c>
    </row>
    <row r="4992">
      <c r="A4992" t="inlineStr">
        <is>
          <t>LD-304990</t>
        </is>
      </c>
      <c r="B4992" t="inlineStr">
        <is>
          <t>2025-08-29 17:00:00</t>
        </is>
      </c>
      <c r="C4992" t="inlineStr">
        <is>
          <t>Social Media</t>
        </is>
      </c>
      <c r="D4992" t="inlineStr">
        <is>
          <t>Coding for Kids</t>
        </is>
      </c>
      <c r="E4992" t="inlineStr">
        <is>
          <t>International</t>
        </is>
      </c>
      <c r="F4992" t="inlineStr">
        <is>
          <t>Rep_05</t>
        </is>
      </c>
      <c r="G4992" t="n">
        <v>7.43</v>
      </c>
      <c r="H4992" t="inlineStr">
        <is>
          <t>Proposal Sent</t>
        </is>
      </c>
      <c r="I4992" t="inlineStr">
        <is>
          <t>Lost</t>
        </is>
      </c>
      <c r="J4992" t="inlineStr">
        <is>
          <t>Went With Competitor</t>
        </is>
      </c>
      <c r="K4992" t="n">
        <v>726.77</v>
      </c>
      <c r="L4992" t="inlineStr">
        <is>
          <t>2025-10-13 11:49:51.888434</t>
        </is>
      </c>
      <c r="M4992">
        <f>VLOOKUP(H4992,'Stage Order'!$A$2:$B$8,2,FALSE)</f>
        <v/>
      </c>
      <c r="N4992">
        <f>IF(G4992&lt;=1,"1. Under 1 hour",IF(G4992&lt;=24,"2. 1-24 hours",IF(G4992&lt;=72,"3. 1-3 days","4. Over 3 days")))</f>
        <v/>
      </c>
      <c r="O4992">
        <f>TEXT(B4992,"YYYY-MM")</f>
        <v/>
      </c>
    </row>
    <row r="4993">
      <c r="A4993" t="inlineStr">
        <is>
          <t>LD-304991</t>
        </is>
      </c>
      <c r="B4993" t="inlineStr">
        <is>
          <t>2025-06-25 10:30:00</t>
        </is>
      </c>
      <c r="C4993" t="inlineStr">
        <is>
          <t>Social Media</t>
        </is>
      </c>
      <c r="D4993" t="inlineStr">
        <is>
          <t>Competitive Exam Prep</t>
        </is>
      </c>
      <c r="E4993" t="inlineStr">
        <is>
          <t>West Region</t>
        </is>
      </c>
      <c r="F4993" t="inlineStr">
        <is>
          <t>Rep_13</t>
        </is>
      </c>
      <c r="G4993" t="n">
        <v>2.43</v>
      </c>
      <c r="H4993" t="inlineStr">
        <is>
          <t>Contacted</t>
        </is>
      </c>
      <c r="I4993" t="inlineStr">
        <is>
          <t>Open</t>
        </is>
      </c>
      <c r="M4993">
        <f>VLOOKUP(H4993,'Stage Order'!$A$2:$B$8,2,FALSE)</f>
        <v/>
      </c>
      <c r="N4993">
        <f>IF(G4993&lt;=1,"1. Under 1 hour",IF(G4993&lt;=24,"2. 1-24 hours",IF(G4993&lt;=72,"3. 1-3 days","4. Over 3 days")))</f>
        <v/>
      </c>
      <c r="O4993">
        <f>TEXT(B4993,"YYYY-MM")</f>
        <v/>
      </c>
    </row>
    <row r="4994">
      <c r="A4994" t="inlineStr">
        <is>
          <t>LD-304992</t>
        </is>
      </c>
      <c r="B4994" t="inlineStr">
        <is>
          <t>2025-03-12 09:50:00</t>
        </is>
      </c>
      <c r="C4994" t="inlineStr">
        <is>
          <t>Paid Search</t>
        </is>
      </c>
      <c r="D4994" t="inlineStr">
        <is>
          <t>Competitive Exam Prep</t>
        </is>
      </c>
      <c r="E4994" t="inlineStr">
        <is>
          <t>South Region</t>
        </is>
      </c>
      <c r="F4994" t="inlineStr">
        <is>
          <t>Rep_02</t>
        </is>
      </c>
      <c r="G4994" t="n">
        <v>10.3</v>
      </c>
      <c r="H4994" t="inlineStr">
        <is>
          <t>Demo Scheduled</t>
        </is>
      </c>
      <c r="I4994" t="inlineStr">
        <is>
          <t>Open</t>
        </is>
      </c>
      <c r="M4994">
        <f>VLOOKUP(H4994,'Stage Order'!$A$2:$B$8,2,FALSE)</f>
        <v/>
      </c>
      <c r="N4994">
        <f>IF(G4994&lt;=1,"1. Under 1 hour",IF(G4994&lt;=24,"2. 1-24 hours",IF(G4994&lt;=72,"3. 1-3 days","4. Over 3 days")))</f>
        <v/>
      </c>
      <c r="O4994">
        <f>TEXT(B4994,"YYYY-MM")</f>
        <v/>
      </c>
    </row>
    <row r="4995">
      <c r="A4995" t="inlineStr">
        <is>
          <t>LD-304993</t>
        </is>
      </c>
      <c r="B4995" t="inlineStr">
        <is>
          <t>2026-06-02 08:43:00</t>
        </is>
      </c>
      <c r="C4995" t="inlineStr">
        <is>
          <t>Organic Search</t>
        </is>
      </c>
      <c r="D4995" t="inlineStr">
        <is>
          <t>Coding for Kids</t>
        </is>
      </c>
      <c r="E4995" t="inlineStr">
        <is>
          <t>West Region</t>
        </is>
      </c>
      <c r="F4995" t="inlineStr">
        <is>
          <t>Rep_13</t>
        </is>
      </c>
      <c r="G4995" t="n">
        <v>2.52</v>
      </c>
      <c r="H4995" t="inlineStr">
        <is>
          <t>Contacted</t>
        </is>
      </c>
      <c r="I4995" t="inlineStr">
        <is>
          <t>Open</t>
        </is>
      </c>
      <c r="M4995">
        <f>VLOOKUP(H4995,'Stage Order'!$A$2:$B$8,2,FALSE)</f>
        <v/>
      </c>
      <c r="N4995">
        <f>IF(G4995&lt;=1,"1. Under 1 hour",IF(G4995&lt;=24,"2. 1-24 hours",IF(G4995&lt;=72,"3. 1-3 days","4. Over 3 days")))</f>
        <v/>
      </c>
      <c r="O4995">
        <f>TEXT(B4995,"YYYY-MM")</f>
        <v/>
      </c>
    </row>
    <row r="4996">
      <c r="A4996" t="inlineStr">
        <is>
          <t>LD-304994</t>
        </is>
      </c>
      <c r="B4996" t="inlineStr">
        <is>
          <t>2026-01-19 07:20:00</t>
        </is>
      </c>
      <c r="C4996" t="inlineStr">
        <is>
          <t>Referral</t>
        </is>
      </c>
      <c r="D4996" t="inlineStr">
        <is>
          <t>Study Abroad Prep</t>
        </is>
      </c>
      <c r="E4996" t="inlineStr">
        <is>
          <t>East Region</t>
        </is>
      </c>
      <c r="F4996" t="inlineStr">
        <is>
          <t>Rep_04</t>
        </is>
      </c>
      <c r="G4996" t="n">
        <v>8.41</v>
      </c>
      <c r="H4996" t="inlineStr">
        <is>
          <t>Negotiation</t>
        </is>
      </c>
      <c r="I4996" t="inlineStr">
        <is>
          <t>Lost</t>
        </is>
      </c>
      <c r="J4996" t="inlineStr">
        <is>
          <t>Price Objection</t>
        </is>
      </c>
      <c r="K4996" t="n">
        <v>1372.4</v>
      </c>
      <c r="L4996" t="inlineStr">
        <is>
          <t>2026-02-27 09:21:14.195344</t>
        </is>
      </c>
      <c r="M4996">
        <f>VLOOKUP(H4996,'Stage Order'!$A$2:$B$8,2,FALSE)</f>
        <v/>
      </c>
      <c r="N4996">
        <f>IF(G4996&lt;=1,"1. Under 1 hour",IF(G4996&lt;=24,"2. 1-24 hours",IF(G4996&lt;=72,"3. 1-3 days","4. Over 3 days")))</f>
        <v/>
      </c>
      <c r="O4996">
        <f>TEXT(B4996,"YYYY-MM")</f>
        <v/>
      </c>
    </row>
    <row r="4997">
      <c r="A4997" t="inlineStr">
        <is>
          <t>LD-304995</t>
        </is>
      </c>
      <c r="B4997" t="inlineStr">
        <is>
          <t>2025-11-28 20:24:00</t>
        </is>
      </c>
      <c r="C4997" t="inlineStr">
        <is>
          <t>Webinar</t>
        </is>
      </c>
      <c r="D4997" t="inlineStr">
        <is>
          <t>K-12 Math</t>
        </is>
      </c>
      <c r="E4997" t="inlineStr">
        <is>
          <t>East Region</t>
        </is>
      </c>
      <c r="F4997" t="inlineStr">
        <is>
          <t>Rep_14</t>
        </is>
      </c>
      <c r="G4997" t="n">
        <v>26.2</v>
      </c>
      <c r="H4997" t="inlineStr">
        <is>
          <t>Contacted</t>
        </is>
      </c>
      <c r="I4997" t="inlineStr">
        <is>
          <t>Open</t>
        </is>
      </c>
      <c r="M4997">
        <f>VLOOKUP(H4997,'Stage Order'!$A$2:$B$8,2,FALSE)</f>
        <v/>
      </c>
      <c r="N4997">
        <f>IF(G4997&lt;=1,"1. Under 1 hour",IF(G4997&lt;=24,"2. 1-24 hours",IF(G4997&lt;=72,"3. 1-3 days","4. Over 3 days")))</f>
        <v/>
      </c>
      <c r="O4997">
        <f>TEXT(B4997,"YYYY-MM")</f>
        <v/>
      </c>
    </row>
    <row r="4998">
      <c r="A4998" t="inlineStr">
        <is>
          <t>LD-304996</t>
        </is>
      </c>
      <c r="B4998" t="inlineStr">
        <is>
          <t>2025-05-24 16:58:00</t>
        </is>
      </c>
      <c r="C4998" t="inlineStr">
        <is>
          <t>Referral</t>
        </is>
      </c>
      <c r="D4998" t="inlineStr">
        <is>
          <t>Competitive Exam Prep</t>
        </is>
      </c>
      <c r="E4998" t="inlineStr">
        <is>
          <t>North Region</t>
        </is>
      </c>
      <c r="F4998" t="inlineStr">
        <is>
          <t>Rep_06</t>
        </is>
      </c>
      <c r="G4998" t="n">
        <v>6.64</v>
      </c>
      <c r="H4998" t="inlineStr">
        <is>
          <t>Proposal Sent</t>
        </is>
      </c>
      <c r="I4998" t="inlineStr">
        <is>
          <t>Lost</t>
        </is>
      </c>
      <c r="J4998" t="inlineStr">
        <is>
          <t>Budget Not Approved</t>
        </is>
      </c>
      <c r="K4998" t="n">
        <v>874.72</v>
      </c>
      <c r="L4998" t="inlineStr">
        <is>
          <t>2025-07-06 23:30:38.823548</t>
        </is>
      </c>
      <c r="M4998">
        <f>VLOOKUP(H4998,'Stage Order'!$A$2:$B$8,2,FALSE)</f>
        <v/>
      </c>
      <c r="N4998">
        <f>IF(G4998&lt;=1,"1. Under 1 hour",IF(G4998&lt;=24,"2. 1-24 hours",IF(G4998&lt;=72,"3. 1-3 days","4. Over 3 days")))</f>
        <v/>
      </c>
      <c r="O4998">
        <f>TEXT(B4998,"YYYY-MM")</f>
        <v/>
      </c>
    </row>
    <row r="4999">
      <c r="A4999" t="inlineStr">
        <is>
          <t>LD-304997</t>
        </is>
      </c>
      <c r="B4999" t="inlineStr">
        <is>
          <t>2025-07-02 16:56:00</t>
        </is>
      </c>
      <c r="C4999" t="inlineStr">
        <is>
          <t>Cold Outreach</t>
        </is>
      </c>
      <c r="D4999" t="inlineStr">
        <is>
          <t>Study Abroad Prep</t>
        </is>
      </c>
      <c r="E4999" t="inlineStr">
        <is>
          <t>South Region</t>
        </is>
      </c>
      <c r="F4999" t="inlineStr">
        <is>
          <t>Rep_02</t>
        </is>
      </c>
      <c r="G4999" t="n">
        <v>4.36</v>
      </c>
      <c r="H4999" t="inlineStr">
        <is>
          <t>Contacted</t>
        </is>
      </c>
      <c r="I4999" t="inlineStr">
        <is>
          <t>Open</t>
        </is>
      </c>
      <c r="M4999">
        <f>VLOOKUP(H4999,'Stage Order'!$A$2:$B$8,2,FALSE)</f>
        <v/>
      </c>
      <c r="N4999">
        <f>IF(G4999&lt;=1,"1. Under 1 hour",IF(G4999&lt;=24,"2. 1-24 hours",IF(G4999&lt;=72,"3. 1-3 days","4. Over 3 days")))</f>
        <v/>
      </c>
      <c r="O4999">
        <f>TEXT(B4999,"YYYY-MM")</f>
        <v/>
      </c>
    </row>
    <row r="5000">
      <c r="A5000" t="inlineStr">
        <is>
          <t>LD-304998</t>
        </is>
      </c>
      <c r="B5000" t="inlineStr">
        <is>
          <t>2025-02-04 13:47:00</t>
        </is>
      </c>
      <c r="C5000" t="inlineStr">
        <is>
          <t>Social Media</t>
        </is>
      </c>
      <c r="D5000" t="inlineStr">
        <is>
          <t>Language Learning</t>
        </is>
      </c>
      <c r="E5000" t="inlineStr">
        <is>
          <t>East Region</t>
        </is>
      </c>
      <c r="F5000" t="inlineStr">
        <is>
          <t>Rep_04</t>
        </is>
      </c>
      <c r="G5000" t="n">
        <v>3.34</v>
      </c>
      <c r="H5000" t="inlineStr">
        <is>
          <t>Lead</t>
        </is>
      </c>
      <c r="I5000" t="inlineStr">
        <is>
          <t>Open</t>
        </is>
      </c>
      <c r="M5000">
        <f>VLOOKUP(H5000,'Stage Order'!$A$2:$B$8,2,FALSE)</f>
        <v/>
      </c>
      <c r="N5000">
        <f>IF(G5000&lt;=1,"1. Under 1 hour",IF(G5000&lt;=24,"2. 1-24 hours",IF(G5000&lt;=72,"3. 1-3 days","4. Over 3 days")))</f>
        <v/>
      </c>
      <c r="O5000">
        <f>TEXT(B5000,"YYYY-MM")</f>
        <v/>
      </c>
    </row>
    <row r="5001">
      <c r="A5001" t="inlineStr">
        <is>
          <t>LD-304999</t>
        </is>
      </c>
      <c r="B5001" t="inlineStr">
        <is>
          <t>2026-05-08 12:54:00</t>
        </is>
      </c>
      <c r="C5001" t="inlineStr">
        <is>
          <t>Cold Outreach</t>
        </is>
      </c>
      <c r="D5001" t="inlineStr">
        <is>
          <t>K-12 Math</t>
        </is>
      </c>
      <c r="E5001" t="inlineStr">
        <is>
          <t>North Region</t>
        </is>
      </c>
      <c r="F5001" t="inlineStr">
        <is>
          <t>Rep_01</t>
        </is>
      </c>
      <c r="G5001" t="n">
        <v>1.14</v>
      </c>
      <c r="H5001" t="inlineStr">
        <is>
          <t>Contacted</t>
        </is>
      </c>
      <c r="I5001" t="inlineStr">
        <is>
          <t>Open</t>
        </is>
      </c>
      <c r="M5001">
        <f>VLOOKUP(H5001,'Stage Order'!$A$2:$B$8,2,FALSE)</f>
        <v/>
      </c>
      <c r="N5001">
        <f>IF(G5001&lt;=1,"1. Under 1 hour",IF(G5001&lt;=24,"2. 1-24 hours",IF(G5001&lt;=72,"3. 1-3 days","4. Over 3 days")))</f>
        <v/>
      </c>
      <c r="O5001">
        <f>TEXT(B5001,"YYYY-MM")</f>
        <v/>
      </c>
    </row>
    <row r="5002">
      <c r="A5002" t="inlineStr">
        <is>
          <t>LD-305000</t>
        </is>
      </c>
      <c r="B5002" t="inlineStr">
        <is>
          <t>2025-01-06 07:18:00</t>
        </is>
      </c>
      <c r="C5002" t="inlineStr">
        <is>
          <t>Referral</t>
        </is>
      </c>
      <c r="D5002" t="inlineStr">
        <is>
          <t>K-12 Math</t>
        </is>
      </c>
      <c r="E5002" t="inlineStr">
        <is>
          <t>South Region</t>
        </is>
      </c>
      <c r="F5002" t="inlineStr">
        <is>
          <t>Rep_02</t>
        </is>
      </c>
      <c r="G5002" t="n">
        <v>10.98</v>
      </c>
      <c r="H5002" t="inlineStr">
        <is>
          <t>Contacted</t>
        </is>
      </c>
      <c r="I5002" t="inlineStr">
        <is>
          <t>Open</t>
        </is>
      </c>
      <c r="M5002">
        <f>VLOOKUP(H5002,'Stage Order'!$A$2:$B$8,2,FALSE)</f>
        <v/>
      </c>
      <c r="N5002">
        <f>IF(G5002&lt;=1,"1. Under 1 hour",IF(G5002&lt;=24,"2. 1-24 hours",IF(G5002&lt;=72,"3. 1-3 days","4. Over 3 days")))</f>
        <v/>
      </c>
      <c r="O5002">
        <f>TEXT(B5002,"YYYY-MM")</f>
        <v/>
      </c>
    </row>
    <row r="5003">
      <c r="A5003" t="inlineStr">
        <is>
          <t>LD-305001</t>
        </is>
      </c>
      <c r="B5003" t="inlineStr">
        <is>
          <t>2025-09-05 11:23:00</t>
        </is>
      </c>
      <c r="C5003" t="inlineStr">
        <is>
          <t>Organic Search</t>
        </is>
      </c>
      <c r="D5003" t="inlineStr">
        <is>
          <t>Competitive Exam Prep</t>
        </is>
      </c>
      <c r="E5003" t="inlineStr">
        <is>
          <t>West Region</t>
        </is>
      </c>
      <c r="F5003" t="inlineStr">
        <is>
          <t>Rep_08</t>
        </is>
      </c>
      <c r="G5003" t="n">
        <v>3.63</v>
      </c>
      <c r="H5003" t="inlineStr">
        <is>
          <t>Negotiation</t>
        </is>
      </c>
      <c r="I5003" t="inlineStr">
        <is>
          <t>Lost</t>
        </is>
      </c>
      <c r="J5003" t="inlineStr">
        <is>
          <t>Price Objection</t>
        </is>
      </c>
      <c r="K5003" t="n">
        <v>1144.81</v>
      </c>
      <c r="L5003" t="inlineStr">
        <is>
          <t>2025-10-16 05:17:15.805205</t>
        </is>
      </c>
      <c r="M5003">
        <f>VLOOKUP(H5003,'Stage Order'!$A$2:$B$8,2,FALSE)</f>
        <v/>
      </c>
      <c r="N5003">
        <f>IF(G5003&lt;=1,"1. Under 1 hour",IF(G5003&lt;=24,"2. 1-24 hours",IF(G5003&lt;=72,"3. 1-3 days","4. Over 3 days")))</f>
        <v/>
      </c>
      <c r="O5003">
        <f>TEXT(B5003,"YYYY-MM")</f>
        <v/>
      </c>
    </row>
    <row r="5004">
      <c r="A5004" t="inlineStr">
        <is>
          <t>LD-305002</t>
        </is>
      </c>
      <c r="B5004" t="inlineStr">
        <is>
          <t>2025-12-09 13:03:00</t>
        </is>
      </c>
      <c r="C5004" t="inlineStr">
        <is>
          <t>Social Media</t>
        </is>
      </c>
      <c r="D5004" t="inlineStr">
        <is>
          <t>Language Learning</t>
        </is>
      </c>
      <c r="E5004" t="inlineStr">
        <is>
          <t>South Region</t>
        </is>
      </c>
      <c r="F5004" t="inlineStr">
        <is>
          <t>Rep_02</t>
        </is>
      </c>
      <c r="G5004" t="n">
        <v>0.66</v>
      </c>
      <c r="H5004" t="inlineStr">
        <is>
          <t>Demo Scheduled</t>
        </is>
      </c>
      <c r="I5004" t="inlineStr">
        <is>
          <t>Open</t>
        </is>
      </c>
      <c r="M5004">
        <f>VLOOKUP(H5004,'Stage Order'!$A$2:$B$8,2,FALSE)</f>
        <v/>
      </c>
      <c r="N5004">
        <f>IF(G5004&lt;=1,"1. Under 1 hour",IF(G5004&lt;=24,"2. 1-24 hours",IF(G5004&lt;=72,"3. 1-3 days","4. Over 3 days")))</f>
        <v/>
      </c>
      <c r="O5004">
        <f>TEXT(B5004,"YYYY-MM")</f>
        <v/>
      </c>
    </row>
    <row r="5005">
      <c r="A5005" t="inlineStr">
        <is>
          <t>LD-305003</t>
        </is>
      </c>
      <c r="B5005" t="inlineStr">
        <is>
          <t>2025-12-26 16:43:00</t>
        </is>
      </c>
      <c r="C5005" t="inlineStr">
        <is>
          <t>Social Media</t>
        </is>
      </c>
      <c r="D5005" t="inlineStr">
        <is>
          <t>Language Learning</t>
        </is>
      </c>
      <c r="E5005" t="inlineStr">
        <is>
          <t>North Region</t>
        </is>
      </c>
      <c r="F5005" t="inlineStr">
        <is>
          <t>Rep_11</t>
        </is>
      </c>
      <c r="G5005" t="n">
        <v>3.21</v>
      </c>
      <c r="H5005" t="inlineStr">
        <is>
          <t>Contacted</t>
        </is>
      </c>
      <c r="I5005" t="inlineStr">
        <is>
          <t>Open</t>
        </is>
      </c>
      <c r="M5005">
        <f>VLOOKUP(H5005,'Stage Order'!$A$2:$B$8,2,FALSE)</f>
        <v/>
      </c>
      <c r="N5005">
        <f>IF(G5005&lt;=1,"1. Under 1 hour",IF(G5005&lt;=24,"2. 1-24 hours",IF(G5005&lt;=72,"3. 1-3 days","4. Over 3 days")))</f>
        <v/>
      </c>
      <c r="O5005">
        <f>TEXT(B5005,"YYYY-MM")</f>
        <v/>
      </c>
    </row>
    <row r="5006">
      <c r="A5006" t="inlineStr">
        <is>
          <t>LD-305004</t>
        </is>
      </c>
      <c r="B5006" t="inlineStr">
        <is>
          <t>2026-01-06 16:05:00</t>
        </is>
      </c>
      <c r="C5006" t="inlineStr">
        <is>
          <t>Social Media</t>
        </is>
      </c>
      <c r="D5006" t="inlineStr">
        <is>
          <t>Competitive Exam Prep</t>
        </is>
      </c>
      <c r="E5006" t="inlineStr">
        <is>
          <t>South Region</t>
        </is>
      </c>
      <c r="F5006" t="inlineStr">
        <is>
          <t>Rep_07</t>
        </is>
      </c>
      <c r="G5006" t="n">
        <v>2.16</v>
      </c>
      <c r="H5006" t="inlineStr">
        <is>
          <t>Proposal Sent</t>
        </is>
      </c>
      <c r="I5006" t="inlineStr">
        <is>
          <t>Lost</t>
        </is>
      </c>
      <c r="J5006" t="inlineStr">
        <is>
          <t>Bad Timing</t>
        </is>
      </c>
      <c r="K5006" t="n">
        <v>852.22</v>
      </c>
      <c r="L5006" t="inlineStr">
        <is>
          <t>2026-02-27 03:21:24.940989</t>
        </is>
      </c>
      <c r="M5006">
        <f>VLOOKUP(H5006,'Stage Order'!$A$2:$B$8,2,FALSE)</f>
        <v/>
      </c>
      <c r="N5006">
        <f>IF(G5006&lt;=1,"1. Under 1 hour",IF(G5006&lt;=24,"2. 1-24 hours",IF(G5006&lt;=72,"3. 1-3 days","4. Over 3 days")))</f>
        <v/>
      </c>
      <c r="O5006">
        <f>TEXT(B5006,"YYYY-MM")</f>
        <v/>
      </c>
    </row>
    <row r="5007">
      <c r="A5007" t="inlineStr">
        <is>
          <t>LD-305005</t>
        </is>
      </c>
      <c r="B5007" t="inlineStr">
        <is>
          <t>2025-11-03 11:22:00</t>
        </is>
      </c>
      <c r="C5007" t="inlineStr">
        <is>
          <t>Paid Search</t>
        </is>
      </c>
      <c r="D5007" t="inlineStr">
        <is>
          <t>Coding for Kids</t>
        </is>
      </c>
      <c r="E5007" t="inlineStr">
        <is>
          <t>South Region</t>
        </is>
      </c>
      <c r="F5007" t="inlineStr">
        <is>
          <t>Rep_02</t>
        </is>
      </c>
      <c r="G5007" t="n">
        <v>0.31</v>
      </c>
      <c r="H5007" t="inlineStr">
        <is>
          <t>Closed</t>
        </is>
      </c>
      <c r="I5007" t="inlineStr">
        <is>
          <t>Won</t>
        </is>
      </c>
      <c r="K5007" t="n">
        <v>705.14</v>
      </c>
      <c r="L5007" t="inlineStr">
        <is>
          <t>2025-12-09 03:39:57.450076</t>
        </is>
      </c>
      <c r="M5007">
        <f>VLOOKUP(H5007,'Stage Order'!$A$2:$B$8,2,FALSE)</f>
        <v/>
      </c>
      <c r="N5007">
        <f>IF(G5007&lt;=1,"1. Under 1 hour",IF(G5007&lt;=24,"2. 1-24 hours",IF(G5007&lt;=72,"3. 1-3 days","4. Over 3 days")))</f>
        <v/>
      </c>
      <c r="O5007">
        <f>TEXT(B5007,"YYYY-MM")</f>
        <v/>
      </c>
    </row>
    <row r="5008">
      <c r="A5008" t="inlineStr">
        <is>
          <t>LD-305006</t>
        </is>
      </c>
      <c r="B5008" t="inlineStr">
        <is>
          <t>2025-05-16 14:50:00</t>
        </is>
      </c>
      <c r="C5008" t="inlineStr">
        <is>
          <t>Cold Outreach</t>
        </is>
      </c>
      <c r="D5008" t="inlineStr">
        <is>
          <t>Coding for Kids</t>
        </is>
      </c>
      <c r="E5008" t="inlineStr">
        <is>
          <t>International</t>
        </is>
      </c>
      <c r="F5008" t="inlineStr">
        <is>
          <t>Rep_15</t>
        </is>
      </c>
      <c r="G5008" t="n">
        <v>1.36</v>
      </c>
      <c r="H5008" t="inlineStr">
        <is>
          <t>Lead</t>
        </is>
      </c>
      <c r="I5008" t="inlineStr">
        <is>
          <t>Open</t>
        </is>
      </c>
      <c r="M5008">
        <f>VLOOKUP(H5008,'Stage Order'!$A$2:$B$8,2,FALSE)</f>
        <v/>
      </c>
      <c r="N5008">
        <f>IF(G5008&lt;=1,"1. Under 1 hour",IF(G5008&lt;=24,"2. 1-24 hours",IF(G5008&lt;=72,"3. 1-3 days","4. Over 3 days")))</f>
        <v/>
      </c>
      <c r="O5008">
        <f>TEXT(B5008,"YYYY-MM")</f>
        <v/>
      </c>
    </row>
    <row r="5009">
      <c r="A5009" t="inlineStr">
        <is>
          <t>LD-305007</t>
        </is>
      </c>
      <c r="B5009" t="inlineStr">
        <is>
          <t>2025-10-02 18:56:00</t>
        </is>
      </c>
      <c r="C5009" t="inlineStr">
        <is>
          <t>Organic Search</t>
        </is>
      </c>
      <c r="D5009" t="inlineStr">
        <is>
          <t>Coding for Kids</t>
        </is>
      </c>
      <c r="E5009" t="inlineStr">
        <is>
          <t>South Region</t>
        </is>
      </c>
      <c r="F5009" t="inlineStr">
        <is>
          <t>Rep_12</t>
        </is>
      </c>
      <c r="G5009" t="n">
        <v>13.96</v>
      </c>
      <c r="H5009" t="inlineStr">
        <is>
          <t>Demo Completed</t>
        </is>
      </c>
      <c r="I5009" t="inlineStr">
        <is>
          <t>Lost</t>
        </is>
      </c>
      <c r="J5009" t="inlineStr">
        <is>
          <t>Price Objection</t>
        </is>
      </c>
      <c r="K5009" t="n">
        <v>747.9</v>
      </c>
      <c r="L5009" t="inlineStr">
        <is>
          <t>2025-11-02 14:55:28.658371</t>
        </is>
      </c>
      <c r="M5009">
        <f>VLOOKUP(H5009,'Stage Order'!$A$2:$B$8,2,FALSE)</f>
        <v/>
      </c>
      <c r="N5009">
        <f>IF(G5009&lt;=1,"1. Under 1 hour",IF(G5009&lt;=24,"2. 1-24 hours",IF(G5009&lt;=72,"3. 1-3 days","4. Over 3 days")))</f>
        <v/>
      </c>
      <c r="O5009">
        <f>TEXT(B5009,"YYYY-MM")</f>
        <v/>
      </c>
    </row>
    <row r="5010">
      <c r="A5010" t="inlineStr">
        <is>
          <t>LD-305008</t>
        </is>
      </c>
      <c r="B5010" t="inlineStr">
        <is>
          <t>2025-08-29 10:12:00</t>
        </is>
      </c>
      <c r="C5010" t="inlineStr">
        <is>
          <t>Cold Outreach</t>
        </is>
      </c>
      <c r="D5010" t="inlineStr">
        <is>
          <t>Coding for Kids</t>
        </is>
      </c>
      <c r="E5010" t="inlineStr">
        <is>
          <t>North Region</t>
        </is>
      </c>
      <c r="F5010" t="inlineStr">
        <is>
          <t>Rep_11</t>
        </is>
      </c>
      <c r="G5010" t="n">
        <v>1.2</v>
      </c>
      <c r="H5010" t="inlineStr">
        <is>
          <t>Proposal Sent</t>
        </is>
      </c>
      <c r="I5010" t="inlineStr">
        <is>
          <t>Lost</t>
        </is>
      </c>
      <c r="J5010" t="inlineStr">
        <is>
          <t>Price Objection</t>
        </is>
      </c>
      <c r="K5010" t="n">
        <v>711.37</v>
      </c>
      <c r="L5010" t="inlineStr">
        <is>
          <t>2025-10-06 00:07:11.848153</t>
        </is>
      </c>
      <c r="M5010">
        <f>VLOOKUP(H5010,'Stage Order'!$A$2:$B$8,2,FALSE)</f>
        <v/>
      </c>
      <c r="N5010">
        <f>IF(G5010&lt;=1,"1. Under 1 hour",IF(G5010&lt;=24,"2. 1-24 hours",IF(G5010&lt;=72,"3. 1-3 days","4. Over 3 days")))</f>
        <v/>
      </c>
      <c r="O5010">
        <f>TEXT(B5010,"YYYY-MM")</f>
        <v/>
      </c>
    </row>
    <row r="5011">
      <c r="A5011" t="inlineStr">
        <is>
          <t>LD-305009</t>
        </is>
      </c>
      <c r="B5011" t="inlineStr">
        <is>
          <t>2025-08-15 15:38:00</t>
        </is>
      </c>
      <c r="C5011" t="inlineStr">
        <is>
          <t>Organic Search</t>
        </is>
      </c>
      <c r="D5011" t="inlineStr">
        <is>
          <t>K-12 Math</t>
        </is>
      </c>
      <c r="E5011" t="inlineStr">
        <is>
          <t>South Region</t>
        </is>
      </c>
      <c r="F5011" t="inlineStr">
        <is>
          <t>Rep_12</t>
        </is>
      </c>
      <c r="G5011" t="n">
        <v>0.76</v>
      </c>
      <c r="H5011" t="inlineStr">
        <is>
          <t>Negotiation</t>
        </is>
      </c>
      <c r="I5011" t="inlineStr">
        <is>
          <t>Lost</t>
        </is>
      </c>
      <c r="J5011" t="inlineStr">
        <is>
          <t>No Response / Ghosted</t>
        </is>
      </c>
      <c r="K5011" t="n">
        <v>445.27</v>
      </c>
      <c r="L5011" t="inlineStr">
        <is>
          <t>2025-09-11 21:41:43.403454</t>
        </is>
      </c>
      <c r="M5011">
        <f>VLOOKUP(H5011,'Stage Order'!$A$2:$B$8,2,FALSE)</f>
        <v/>
      </c>
      <c r="N5011">
        <f>IF(G5011&lt;=1,"1. Under 1 hour",IF(G5011&lt;=24,"2. 1-24 hours",IF(G5011&lt;=72,"3. 1-3 days","4. Over 3 days")))</f>
        <v/>
      </c>
      <c r="O5011">
        <f>TEXT(B5011,"YYYY-MM")</f>
        <v/>
      </c>
    </row>
    <row r="5012">
      <c r="A5012" t="inlineStr">
        <is>
          <t>LD-305010</t>
        </is>
      </c>
      <c r="B5012" t="inlineStr">
        <is>
          <t>2026-03-06 08:53:00</t>
        </is>
      </c>
      <c r="C5012" t="inlineStr">
        <is>
          <t>Paid Search</t>
        </is>
      </c>
      <c r="D5012" t="inlineStr">
        <is>
          <t>Competitive Exam Prep</t>
        </is>
      </c>
      <c r="E5012" t="inlineStr">
        <is>
          <t>South Region</t>
        </is>
      </c>
      <c r="F5012" t="inlineStr">
        <is>
          <t>Rep_07</t>
        </is>
      </c>
      <c r="G5012" t="n">
        <v>1.69</v>
      </c>
      <c r="H5012" t="inlineStr">
        <is>
          <t>Contacted</t>
        </is>
      </c>
      <c r="I5012" t="inlineStr">
        <is>
          <t>Open</t>
        </is>
      </c>
      <c r="M5012">
        <f>VLOOKUP(H5012,'Stage Order'!$A$2:$B$8,2,FALSE)</f>
        <v/>
      </c>
      <c r="N5012">
        <f>IF(G5012&lt;=1,"1. Under 1 hour",IF(G5012&lt;=24,"2. 1-24 hours",IF(G5012&lt;=72,"3. 1-3 days","4. Over 3 days")))</f>
        <v/>
      </c>
      <c r="O5012">
        <f>TEXT(B5012,"YYYY-MM")</f>
        <v/>
      </c>
    </row>
    <row r="5013">
      <c r="A5013" t="inlineStr">
        <is>
          <t>LD-305011</t>
        </is>
      </c>
      <c r="B5013" t="inlineStr">
        <is>
          <t>2025-05-30 15:11:00</t>
        </is>
      </c>
      <c r="C5013" t="inlineStr">
        <is>
          <t>Organic Search</t>
        </is>
      </c>
      <c r="D5013" t="inlineStr">
        <is>
          <t>Language Learning</t>
        </is>
      </c>
      <c r="E5013" t="inlineStr">
        <is>
          <t>North Region</t>
        </is>
      </c>
      <c r="F5013" t="inlineStr">
        <is>
          <t>Rep_01</t>
        </is>
      </c>
      <c r="G5013" t="n">
        <v>1.2</v>
      </c>
      <c r="H5013" t="inlineStr">
        <is>
          <t>Contacted</t>
        </is>
      </c>
      <c r="I5013" t="inlineStr">
        <is>
          <t>Open</t>
        </is>
      </c>
      <c r="M5013">
        <f>VLOOKUP(H5013,'Stage Order'!$A$2:$B$8,2,FALSE)</f>
        <v/>
      </c>
      <c r="N5013">
        <f>IF(G5013&lt;=1,"1. Under 1 hour",IF(G5013&lt;=24,"2. 1-24 hours",IF(G5013&lt;=72,"3. 1-3 days","4. Over 3 days")))</f>
        <v/>
      </c>
      <c r="O5013">
        <f>TEXT(B5013,"YYYY-MM")</f>
        <v/>
      </c>
    </row>
    <row r="5014">
      <c r="A5014" t="inlineStr">
        <is>
          <t>LD-305012</t>
        </is>
      </c>
      <c r="B5014" t="inlineStr">
        <is>
          <t>2025-03-07 16:25:00</t>
        </is>
      </c>
      <c r="C5014" t="inlineStr">
        <is>
          <t>Paid Search</t>
        </is>
      </c>
      <c r="D5014" t="inlineStr">
        <is>
          <t>K-12 Math</t>
        </is>
      </c>
      <c r="E5014" t="inlineStr">
        <is>
          <t>North Region</t>
        </is>
      </c>
      <c r="F5014" t="inlineStr">
        <is>
          <t>Rep_01</t>
        </is>
      </c>
      <c r="G5014" t="n">
        <v>3.37</v>
      </c>
      <c r="H5014" t="inlineStr">
        <is>
          <t>Demo Scheduled</t>
        </is>
      </c>
      <c r="I5014" t="inlineStr">
        <is>
          <t>Open</t>
        </is>
      </c>
      <c r="M5014">
        <f>VLOOKUP(H5014,'Stage Order'!$A$2:$B$8,2,FALSE)</f>
        <v/>
      </c>
      <c r="N5014">
        <f>IF(G5014&lt;=1,"1. Under 1 hour",IF(G5014&lt;=24,"2. 1-24 hours",IF(G5014&lt;=72,"3. 1-3 days","4. Over 3 days")))</f>
        <v/>
      </c>
      <c r="O5014">
        <f>TEXT(B5014,"YYYY-MM")</f>
        <v/>
      </c>
    </row>
    <row r="5015">
      <c r="A5015" t="inlineStr">
        <is>
          <t>LD-305013</t>
        </is>
      </c>
      <c r="B5015" t="inlineStr">
        <is>
          <t>2025-11-07 13:18:00</t>
        </is>
      </c>
      <c r="C5015" t="inlineStr">
        <is>
          <t>Paid Search</t>
        </is>
      </c>
      <c r="D5015" t="inlineStr">
        <is>
          <t>K-12 Math</t>
        </is>
      </c>
      <c r="E5015" t="inlineStr">
        <is>
          <t>North Region</t>
        </is>
      </c>
      <c r="F5015" t="inlineStr">
        <is>
          <t>Rep_01</t>
        </is>
      </c>
      <c r="G5015" t="n">
        <v>15.93</v>
      </c>
      <c r="H5015" t="inlineStr">
        <is>
          <t>Demo Completed</t>
        </is>
      </c>
      <c r="I5015" t="inlineStr">
        <is>
          <t>Lost</t>
        </is>
      </c>
      <c r="J5015" t="inlineStr">
        <is>
          <t>Price Objection</t>
        </is>
      </c>
      <c r="K5015" t="n">
        <v>462.33</v>
      </c>
      <c r="L5015" t="inlineStr">
        <is>
          <t>2025-12-15 18:24:46.297591</t>
        </is>
      </c>
      <c r="M5015">
        <f>VLOOKUP(H5015,'Stage Order'!$A$2:$B$8,2,FALSE)</f>
        <v/>
      </c>
      <c r="N5015">
        <f>IF(G5015&lt;=1,"1. Under 1 hour",IF(G5015&lt;=24,"2. 1-24 hours",IF(G5015&lt;=72,"3. 1-3 days","4. Over 3 days")))</f>
        <v/>
      </c>
      <c r="O5015">
        <f>TEXT(B5015,"YYYY-MM")</f>
        <v/>
      </c>
    </row>
    <row r="5016">
      <c r="A5016" t="inlineStr">
        <is>
          <t>LD-305014</t>
        </is>
      </c>
      <c r="B5016" t="inlineStr">
        <is>
          <t>2025-08-19 10:01:00</t>
        </is>
      </c>
      <c r="C5016" t="inlineStr">
        <is>
          <t>Paid Search</t>
        </is>
      </c>
      <c r="D5016" t="inlineStr">
        <is>
          <t>Language Learning</t>
        </is>
      </c>
      <c r="E5016" t="inlineStr">
        <is>
          <t>North Region</t>
        </is>
      </c>
      <c r="F5016" t="inlineStr">
        <is>
          <t>Rep_06</t>
        </is>
      </c>
      <c r="G5016" t="n">
        <v>0.82</v>
      </c>
      <c r="H5016" t="inlineStr">
        <is>
          <t>Demo Completed</t>
        </is>
      </c>
      <c r="I5016" t="inlineStr">
        <is>
          <t>Lost</t>
        </is>
      </c>
      <c r="J5016" t="inlineStr">
        <is>
          <t>Budget Not Approved</t>
        </is>
      </c>
      <c r="K5016" t="n">
        <v>345.03</v>
      </c>
      <c r="L5016" t="inlineStr">
        <is>
          <t>2025-09-06 13:20:39.405711</t>
        </is>
      </c>
      <c r="M5016">
        <f>VLOOKUP(H5016,'Stage Order'!$A$2:$B$8,2,FALSE)</f>
        <v/>
      </c>
      <c r="N5016">
        <f>IF(G5016&lt;=1,"1. Under 1 hour",IF(G5016&lt;=24,"2. 1-24 hours",IF(G5016&lt;=72,"3. 1-3 days","4. Over 3 days")))</f>
        <v/>
      </c>
      <c r="O5016">
        <f>TEXT(B5016,"YYYY-MM")</f>
        <v/>
      </c>
    </row>
    <row r="5017">
      <c r="A5017" t="inlineStr">
        <is>
          <t>LD-305015</t>
        </is>
      </c>
      <c r="B5017" t="inlineStr">
        <is>
          <t>2025-06-20 19:33:00</t>
        </is>
      </c>
      <c r="C5017" t="inlineStr">
        <is>
          <t>Social Media</t>
        </is>
      </c>
      <c r="D5017" t="inlineStr">
        <is>
          <t>Language Learning</t>
        </is>
      </c>
      <c r="E5017" t="inlineStr">
        <is>
          <t>International</t>
        </is>
      </c>
      <c r="F5017" t="inlineStr">
        <is>
          <t>Rep_05</t>
        </is>
      </c>
      <c r="G5017" t="n">
        <v>1.92</v>
      </c>
      <c r="H5017" t="inlineStr">
        <is>
          <t>Lead</t>
        </is>
      </c>
      <c r="I5017" t="inlineStr">
        <is>
          <t>Open</t>
        </is>
      </c>
      <c r="M5017">
        <f>VLOOKUP(H5017,'Stage Order'!$A$2:$B$8,2,FALSE)</f>
        <v/>
      </c>
      <c r="N5017">
        <f>IF(G5017&lt;=1,"1. Under 1 hour",IF(G5017&lt;=24,"2. 1-24 hours",IF(G5017&lt;=72,"3. 1-3 days","4. Over 3 days")))</f>
        <v/>
      </c>
      <c r="O5017">
        <f>TEXT(B5017,"YYYY-MM")</f>
        <v/>
      </c>
    </row>
    <row r="5018">
      <c r="A5018" t="inlineStr">
        <is>
          <t>LD-305016</t>
        </is>
      </c>
      <c r="B5018" t="inlineStr">
        <is>
          <t>2025-07-10 08:24:00</t>
        </is>
      </c>
      <c r="C5018" t="inlineStr">
        <is>
          <t>Organic Search</t>
        </is>
      </c>
      <c r="D5018" t="inlineStr">
        <is>
          <t>Competitive Exam Prep</t>
        </is>
      </c>
      <c r="E5018" t="inlineStr">
        <is>
          <t>East Region</t>
        </is>
      </c>
      <c r="F5018" t="inlineStr">
        <is>
          <t>Rep_14</t>
        </is>
      </c>
      <c r="G5018" t="n">
        <v>2.65</v>
      </c>
      <c r="H5018" t="inlineStr">
        <is>
          <t>Contacted</t>
        </is>
      </c>
      <c r="I5018" t="inlineStr">
        <is>
          <t>Open</t>
        </is>
      </c>
      <c r="M5018">
        <f>VLOOKUP(H5018,'Stage Order'!$A$2:$B$8,2,FALSE)</f>
        <v/>
      </c>
      <c r="N5018">
        <f>IF(G5018&lt;=1,"1. Under 1 hour",IF(G5018&lt;=24,"2. 1-24 hours",IF(G5018&lt;=72,"3. 1-3 days","4. Over 3 days")))</f>
        <v/>
      </c>
      <c r="O5018">
        <f>TEXT(B5018,"YYYY-MM")</f>
        <v/>
      </c>
    </row>
    <row r="5019">
      <c r="A5019" t="inlineStr">
        <is>
          <t>LD-305017</t>
        </is>
      </c>
      <c r="B5019" t="inlineStr">
        <is>
          <t>2025-02-12 10:52:00</t>
        </is>
      </c>
      <c r="C5019" t="inlineStr">
        <is>
          <t>Paid Search</t>
        </is>
      </c>
      <c r="D5019" t="inlineStr">
        <is>
          <t>K-12 Math</t>
        </is>
      </c>
      <c r="E5019" t="inlineStr">
        <is>
          <t>West Region</t>
        </is>
      </c>
      <c r="F5019" t="inlineStr">
        <is>
          <t>Rep_08</t>
        </is>
      </c>
      <c r="G5019" t="n">
        <v>14.37</v>
      </c>
      <c r="H5019" t="inlineStr">
        <is>
          <t>Proposal Sent</t>
        </is>
      </c>
      <c r="I5019" t="inlineStr">
        <is>
          <t>Lost</t>
        </is>
      </c>
      <c r="J5019" t="inlineStr">
        <is>
          <t>Went With Competitor</t>
        </is>
      </c>
      <c r="K5019" t="n">
        <v>430.64</v>
      </c>
      <c r="L5019" t="inlineStr">
        <is>
          <t>2025-03-24 08:15:44.244028</t>
        </is>
      </c>
      <c r="M5019">
        <f>VLOOKUP(H5019,'Stage Order'!$A$2:$B$8,2,FALSE)</f>
        <v/>
      </c>
      <c r="N5019">
        <f>IF(G5019&lt;=1,"1. Under 1 hour",IF(G5019&lt;=24,"2. 1-24 hours",IF(G5019&lt;=72,"3. 1-3 days","4. Over 3 days")))</f>
        <v/>
      </c>
      <c r="O5019">
        <f>TEXT(B5019,"YYYY-MM")</f>
        <v/>
      </c>
    </row>
    <row r="5020">
      <c r="A5020" t="inlineStr">
        <is>
          <t>LD-305018</t>
        </is>
      </c>
      <c r="B5020" t="inlineStr">
        <is>
          <t>2025-11-09 09:44:00</t>
        </is>
      </c>
      <c r="C5020" t="inlineStr">
        <is>
          <t>Organic Search</t>
        </is>
      </c>
      <c r="D5020" t="inlineStr">
        <is>
          <t>Study Abroad Prep</t>
        </is>
      </c>
      <c r="E5020" t="inlineStr">
        <is>
          <t>South Region</t>
        </is>
      </c>
      <c r="F5020" t="inlineStr">
        <is>
          <t>Rep_07</t>
        </is>
      </c>
      <c r="G5020" t="n">
        <v>2.08</v>
      </c>
      <c r="H5020" t="inlineStr">
        <is>
          <t>Proposal Sent</t>
        </is>
      </c>
      <c r="I5020" t="inlineStr">
        <is>
          <t>Lost</t>
        </is>
      </c>
      <c r="J5020" t="inlineStr">
        <is>
          <t>Price Objection</t>
        </is>
      </c>
      <c r="K5020" t="n">
        <v>1524.73</v>
      </c>
      <c r="L5020" t="inlineStr">
        <is>
          <t>2025-12-21 01:30:34.495994</t>
        </is>
      </c>
      <c r="M5020">
        <f>VLOOKUP(H5020,'Stage Order'!$A$2:$B$8,2,FALSE)</f>
        <v/>
      </c>
      <c r="N5020">
        <f>IF(G5020&lt;=1,"1. Under 1 hour",IF(G5020&lt;=24,"2. 1-24 hours",IF(G5020&lt;=72,"3. 1-3 days","4. Over 3 days")))</f>
        <v/>
      </c>
      <c r="O5020">
        <f>TEXT(B5020,"YYYY-MM")</f>
        <v/>
      </c>
    </row>
    <row r="5021">
      <c r="A5021" t="inlineStr">
        <is>
          <t>LD-305019</t>
        </is>
      </c>
      <c r="B5021" t="inlineStr">
        <is>
          <t>2025-06-09 11:14:00</t>
        </is>
      </c>
      <c r="C5021" t="inlineStr">
        <is>
          <t>Webinar</t>
        </is>
      </c>
      <c r="D5021" t="inlineStr">
        <is>
          <t>Language Learning</t>
        </is>
      </c>
      <c r="E5021" t="inlineStr">
        <is>
          <t>International</t>
        </is>
      </c>
      <c r="F5021" t="inlineStr">
        <is>
          <t>Rep_15</t>
        </is>
      </c>
      <c r="G5021" t="n">
        <v>2.01</v>
      </c>
      <c r="H5021" t="inlineStr">
        <is>
          <t>Negotiation</t>
        </is>
      </c>
      <c r="I5021" t="inlineStr">
        <is>
          <t>Lost</t>
        </is>
      </c>
      <c r="J5021" t="inlineStr">
        <is>
          <t>Price Objection</t>
        </is>
      </c>
      <c r="K5021" t="n">
        <v>365.04</v>
      </c>
      <c r="L5021" t="inlineStr">
        <is>
          <t>2025-07-21 12:04:51.417045</t>
        </is>
      </c>
      <c r="M5021">
        <f>VLOOKUP(H5021,'Stage Order'!$A$2:$B$8,2,FALSE)</f>
        <v/>
      </c>
      <c r="N5021">
        <f>IF(G5021&lt;=1,"1. Under 1 hour",IF(G5021&lt;=24,"2. 1-24 hours",IF(G5021&lt;=72,"3. 1-3 days","4. Over 3 days")))</f>
        <v/>
      </c>
      <c r="O5021">
        <f>TEXT(B5021,"YYYY-MM")</f>
        <v/>
      </c>
    </row>
    <row r="5022">
      <c r="A5022" t="inlineStr">
        <is>
          <t>LD-305020</t>
        </is>
      </c>
      <c r="B5022" t="inlineStr">
        <is>
          <t>2025-08-22 13:15:00</t>
        </is>
      </c>
      <c r="C5022" t="inlineStr">
        <is>
          <t>Cold Outreach</t>
        </is>
      </c>
      <c r="D5022" t="inlineStr">
        <is>
          <t>Coding for Kids</t>
        </is>
      </c>
      <c r="E5022" t="inlineStr">
        <is>
          <t>South Region</t>
        </is>
      </c>
      <c r="F5022" t="inlineStr">
        <is>
          <t>Rep_12</t>
        </is>
      </c>
      <c r="G5022" t="n">
        <v>8.02</v>
      </c>
      <c r="H5022" t="inlineStr">
        <is>
          <t>Lead</t>
        </is>
      </c>
      <c r="I5022" t="inlineStr">
        <is>
          <t>Open</t>
        </is>
      </c>
      <c r="M5022">
        <f>VLOOKUP(H5022,'Stage Order'!$A$2:$B$8,2,FALSE)</f>
        <v/>
      </c>
      <c r="N5022">
        <f>IF(G5022&lt;=1,"1. Under 1 hour",IF(G5022&lt;=24,"2. 1-24 hours",IF(G5022&lt;=72,"3. 1-3 days","4. Over 3 days")))</f>
        <v/>
      </c>
      <c r="O5022">
        <f>TEXT(B5022,"YYYY-MM")</f>
        <v/>
      </c>
    </row>
    <row r="5023">
      <c r="A5023" t="inlineStr">
        <is>
          <t>LD-305021</t>
        </is>
      </c>
      <c r="B5023" t="inlineStr">
        <is>
          <t>2025-09-04 07:55:00</t>
        </is>
      </c>
      <c r="C5023" t="inlineStr">
        <is>
          <t>Referral</t>
        </is>
      </c>
      <c r="D5023" t="inlineStr">
        <is>
          <t>Language Learning</t>
        </is>
      </c>
      <c r="E5023" t="inlineStr">
        <is>
          <t>West Region</t>
        </is>
      </c>
      <c r="F5023" t="inlineStr">
        <is>
          <t>Rep_13</t>
        </is>
      </c>
      <c r="G5023" t="n">
        <v>1.36</v>
      </c>
      <c r="H5023" t="inlineStr">
        <is>
          <t>Closed</t>
        </is>
      </c>
      <c r="I5023" t="inlineStr">
        <is>
          <t>Won</t>
        </is>
      </c>
      <c r="K5023" t="n">
        <v>293.73</v>
      </c>
      <c r="L5023" t="inlineStr">
        <is>
          <t>2025-10-09 03:38:05.471597</t>
        </is>
      </c>
      <c r="M5023">
        <f>VLOOKUP(H5023,'Stage Order'!$A$2:$B$8,2,FALSE)</f>
        <v/>
      </c>
      <c r="N5023">
        <f>IF(G5023&lt;=1,"1. Under 1 hour",IF(G5023&lt;=24,"2. 1-24 hours",IF(G5023&lt;=72,"3. 1-3 days","4. Over 3 days")))</f>
        <v/>
      </c>
      <c r="O5023">
        <f>TEXT(B5023,"YYYY-MM")</f>
        <v/>
      </c>
    </row>
    <row r="5024">
      <c r="A5024" t="inlineStr">
        <is>
          <t>LD-305022</t>
        </is>
      </c>
      <c r="B5024" t="inlineStr">
        <is>
          <t>2026-04-21 14:23:00</t>
        </is>
      </c>
      <c r="C5024" t="inlineStr">
        <is>
          <t>Partner Channel</t>
        </is>
      </c>
      <c r="D5024" t="inlineStr">
        <is>
          <t>Language Learning</t>
        </is>
      </c>
      <c r="E5024" t="inlineStr">
        <is>
          <t>North Region</t>
        </is>
      </c>
      <c r="F5024" t="inlineStr">
        <is>
          <t>Rep_06</t>
        </is>
      </c>
      <c r="G5024" t="n">
        <v>2.46</v>
      </c>
      <c r="H5024" t="inlineStr">
        <is>
          <t>Demo Scheduled</t>
        </is>
      </c>
      <c r="I5024" t="inlineStr">
        <is>
          <t>Open</t>
        </is>
      </c>
      <c r="M5024">
        <f>VLOOKUP(H5024,'Stage Order'!$A$2:$B$8,2,FALSE)</f>
        <v/>
      </c>
      <c r="N5024">
        <f>IF(G5024&lt;=1,"1. Under 1 hour",IF(G5024&lt;=24,"2. 1-24 hours",IF(G5024&lt;=72,"3. 1-3 days","4. Over 3 days")))</f>
        <v/>
      </c>
      <c r="O5024">
        <f>TEXT(B5024,"YYYY-MM")</f>
        <v/>
      </c>
    </row>
    <row r="5025">
      <c r="A5025" t="inlineStr">
        <is>
          <t>LD-305023</t>
        </is>
      </c>
      <c r="B5025" t="inlineStr">
        <is>
          <t>2025-08-28 11:28:00</t>
        </is>
      </c>
      <c r="C5025" t="inlineStr">
        <is>
          <t>Social Media</t>
        </is>
      </c>
      <c r="D5025" t="inlineStr">
        <is>
          <t>K-12 Math</t>
        </is>
      </c>
      <c r="E5025" t="inlineStr">
        <is>
          <t>North Region</t>
        </is>
      </c>
      <c r="F5025" t="inlineStr">
        <is>
          <t>Rep_01</t>
        </is>
      </c>
      <c r="G5025" t="n">
        <v>8.960000000000001</v>
      </c>
      <c r="H5025" t="inlineStr">
        <is>
          <t>Lead</t>
        </is>
      </c>
      <c r="I5025" t="inlineStr">
        <is>
          <t>Open</t>
        </is>
      </c>
      <c r="M5025">
        <f>VLOOKUP(H5025,'Stage Order'!$A$2:$B$8,2,FALSE)</f>
        <v/>
      </c>
      <c r="N5025">
        <f>IF(G5025&lt;=1,"1. Under 1 hour",IF(G5025&lt;=24,"2. 1-24 hours",IF(G5025&lt;=72,"3. 1-3 days","4. Over 3 days")))</f>
        <v/>
      </c>
      <c r="O5025">
        <f>TEXT(B5025,"YYYY-MM")</f>
        <v/>
      </c>
    </row>
    <row r="5026">
      <c r="A5026" t="inlineStr">
        <is>
          <t>LD-305024</t>
        </is>
      </c>
      <c r="B5026" t="inlineStr">
        <is>
          <t>2026-01-09 16:43:00</t>
        </is>
      </c>
      <c r="C5026" t="inlineStr">
        <is>
          <t>Social Media</t>
        </is>
      </c>
      <c r="D5026" t="inlineStr">
        <is>
          <t>K-12 Math</t>
        </is>
      </c>
      <c r="E5026" t="inlineStr">
        <is>
          <t>North Region</t>
        </is>
      </c>
      <c r="F5026" t="inlineStr">
        <is>
          <t>Rep_01</t>
        </is>
      </c>
      <c r="G5026" t="n">
        <v>1.37</v>
      </c>
      <c r="H5026" t="inlineStr">
        <is>
          <t>Contacted</t>
        </is>
      </c>
      <c r="I5026" t="inlineStr">
        <is>
          <t>Open</t>
        </is>
      </c>
      <c r="M5026">
        <f>VLOOKUP(H5026,'Stage Order'!$A$2:$B$8,2,FALSE)</f>
        <v/>
      </c>
      <c r="N5026">
        <f>IF(G5026&lt;=1,"1. Under 1 hour",IF(G5026&lt;=24,"2. 1-24 hours",IF(G5026&lt;=72,"3. 1-3 days","4. Over 3 days")))</f>
        <v/>
      </c>
      <c r="O5026">
        <f>TEXT(B5026,"YYYY-MM")</f>
        <v/>
      </c>
    </row>
    <row r="5027">
      <c r="A5027" t="inlineStr">
        <is>
          <t>LD-305025</t>
        </is>
      </c>
      <c r="B5027" t="inlineStr">
        <is>
          <t>2025-07-15 20:19:00</t>
        </is>
      </c>
      <c r="C5027" t="inlineStr">
        <is>
          <t>Cold Outreach</t>
        </is>
      </c>
      <c r="D5027" t="inlineStr">
        <is>
          <t>K-12 Math</t>
        </is>
      </c>
      <c r="E5027" t="inlineStr">
        <is>
          <t>West Region</t>
        </is>
      </c>
      <c r="F5027" t="inlineStr">
        <is>
          <t>Rep_03</t>
        </is>
      </c>
      <c r="G5027" t="n">
        <v>3.53</v>
      </c>
      <c r="H5027" t="inlineStr">
        <is>
          <t>Contacted</t>
        </is>
      </c>
      <c r="I5027" t="inlineStr">
        <is>
          <t>Open</t>
        </is>
      </c>
      <c r="M5027">
        <f>VLOOKUP(H5027,'Stage Order'!$A$2:$B$8,2,FALSE)</f>
        <v/>
      </c>
      <c r="N5027">
        <f>IF(G5027&lt;=1,"1. Under 1 hour",IF(G5027&lt;=24,"2. 1-24 hours",IF(G5027&lt;=72,"3. 1-3 days","4. Over 3 days")))</f>
        <v/>
      </c>
      <c r="O5027">
        <f>TEXT(B5027,"YYYY-MM")</f>
        <v/>
      </c>
    </row>
    <row r="5028">
      <c r="A5028" t="inlineStr">
        <is>
          <t>LD-305026</t>
        </is>
      </c>
      <c r="B5028" t="inlineStr">
        <is>
          <t>2025-02-28 17:36:00</t>
        </is>
      </c>
      <c r="C5028" t="inlineStr">
        <is>
          <t>Organic Search</t>
        </is>
      </c>
      <c r="D5028" t="inlineStr">
        <is>
          <t>Competitive Exam Prep</t>
        </is>
      </c>
      <c r="E5028" t="inlineStr">
        <is>
          <t>East Region</t>
        </is>
      </c>
      <c r="F5028" t="inlineStr">
        <is>
          <t>Rep_14</t>
        </is>
      </c>
      <c r="G5028" t="n">
        <v>0.97</v>
      </c>
      <c r="H5028" t="inlineStr">
        <is>
          <t>Lead</t>
        </is>
      </c>
      <c r="I5028" t="inlineStr">
        <is>
          <t>Open</t>
        </is>
      </c>
      <c r="M5028">
        <f>VLOOKUP(H5028,'Stage Order'!$A$2:$B$8,2,FALSE)</f>
        <v/>
      </c>
      <c r="N5028">
        <f>IF(G5028&lt;=1,"1. Under 1 hour",IF(G5028&lt;=24,"2. 1-24 hours",IF(G5028&lt;=72,"3. 1-3 days","4. Over 3 days")))</f>
        <v/>
      </c>
      <c r="O5028">
        <f>TEXT(B5028,"YYYY-MM")</f>
        <v/>
      </c>
    </row>
    <row r="5029">
      <c r="A5029" t="inlineStr">
        <is>
          <t>LD-305027</t>
        </is>
      </c>
      <c r="B5029" t="inlineStr">
        <is>
          <t>2026-01-30 10:38:00</t>
        </is>
      </c>
      <c r="C5029" t="inlineStr">
        <is>
          <t>Webinar</t>
        </is>
      </c>
      <c r="D5029" t="inlineStr">
        <is>
          <t>Competitive Exam Prep</t>
        </is>
      </c>
      <c r="E5029" t="inlineStr">
        <is>
          <t>South Region</t>
        </is>
      </c>
      <c r="F5029" t="inlineStr">
        <is>
          <t>Rep_07</t>
        </is>
      </c>
      <c r="G5029" t="n">
        <v>5.86</v>
      </c>
      <c r="H5029" t="inlineStr">
        <is>
          <t>Contacted</t>
        </is>
      </c>
      <c r="I5029" t="inlineStr">
        <is>
          <t>Open</t>
        </is>
      </c>
      <c r="M5029">
        <f>VLOOKUP(H5029,'Stage Order'!$A$2:$B$8,2,FALSE)</f>
        <v/>
      </c>
      <c r="N5029">
        <f>IF(G5029&lt;=1,"1. Under 1 hour",IF(G5029&lt;=24,"2. 1-24 hours",IF(G5029&lt;=72,"3. 1-3 days","4. Over 3 days")))</f>
        <v/>
      </c>
      <c r="O5029">
        <f>TEXT(B5029,"YYYY-MM")</f>
        <v/>
      </c>
    </row>
    <row r="5030">
      <c r="A5030" t="inlineStr">
        <is>
          <t>LD-305028</t>
        </is>
      </c>
      <c r="B5030" t="inlineStr">
        <is>
          <t>2025-01-31 11:57:00</t>
        </is>
      </c>
      <c r="C5030" t="inlineStr">
        <is>
          <t>Referral</t>
        </is>
      </c>
      <c r="D5030" t="inlineStr">
        <is>
          <t>Coding for Kids</t>
        </is>
      </c>
      <c r="E5030" t="inlineStr">
        <is>
          <t>South Region</t>
        </is>
      </c>
      <c r="F5030" t="inlineStr">
        <is>
          <t>Rep_02</t>
        </is>
      </c>
      <c r="G5030" t="n">
        <v>3.64</v>
      </c>
      <c r="H5030" t="inlineStr">
        <is>
          <t>Contacted</t>
        </is>
      </c>
      <c r="I5030" t="inlineStr">
        <is>
          <t>Open</t>
        </is>
      </c>
      <c r="M5030">
        <f>VLOOKUP(H5030,'Stage Order'!$A$2:$B$8,2,FALSE)</f>
        <v/>
      </c>
      <c r="N5030">
        <f>IF(G5030&lt;=1,"1. Under 1 hour",IF(G5030&lt;=24,"2. 1-24 hours",IF(G5030&lt;=72,"3. 1-3 days","4. Over 3 days")))</f>
        <v/>
      </c>
      <c r="O5030">
        <f>TEXT(B5030,"YYYY-MM")</f>
        <v/>
      </c>
    </row>
    <row r="5031">
      <c r="A5031" t="inlineStr">
        <is>
          <t>LD-305029</t>
        </is>
      </c>
      <c r="B5031" t="inlineStr">
        <is>
          <t>2026-01-23 07:03:00</t>
        </is>
      </c>
      <c r="C5031" t="inlineStr">
        <is>
          <t>Paid Search</t>
        </is>
      </c>
      <c r="D5031" t="inlineStr">
        <is>
          <t>Competitive Exam Prep</t>
        </is>
      </c>
      <c r="E5031" t="inlineStr">
        <is>
          <t>International</t>
        </is>
      </c>
      <c r="F5031" t="inlineStr">
        <is>
          <t>Rep_15</t>
        </is>
      </c>
      <c r="G5031" t="n">
        <v>3.23</v>
      </c>
      <c r="H5031" t="inlineStr">
        <is>
          <t>Lead</t>
        </is>
      </c>
      <c r="I5031" t="inlineStr">
        <is>
          <t>Open</t>
        </is>
      </c>
      <c r="M5031">
        <f>VLOOKUP(H5031,'Stage Order'!$A$2:$B$8,2,FALSE)</f>
        <v/>
      </c>
      <c r="N5031">
        <f>IF(G5031&lt;=1,"1. Under 1 hour",IF(G5031&lt;=24,"2. 1-24 hours",IF(G5031&lt;=72,"3. 1-3 days","4. Over 3 days")))</f>
        <v/>
      </c>
      <c r="O5031">
        <f>TEXT(B5031,"YYYY-MM")</f>
        <v/>
      </c>
    </row>
    <row r="5032">
      <c r="A5032" t="inlineStr">
        <is>
          <t>LD-305030</t>
        </is>
      </c>
      <c r="B5032" t="inlineStr">
        <is>
          <t>2026-03-12 20:55:00</t>
        </is>
      </c>
      <c r="C5032" t="inlineStr">
        <is>
          <t>Paid Search</t>
        </is>
      </c>
      <c r="D5032" t="inlineStr">
        <is>
          <t>Coding for Kids</t>
        </is>
      </c>
      <c r="E5032" t="inlineStr">
        <is>
          <t>North Region</t>
        </is>
      </c>
      <c r="F5032" t="inlineStr">
        <is>
          <t>Rep_06</t>
        </is>
      </c>
      <c r="G5032" t="n">
        <v>6.32</v>
      </c>
      <c r="H5032" t="inlineStr">
        <is>
          <t>Contacted</t>
        </is>
      </c>
      <c r="I5032" t="inlineStr">
        <is>
          <t>Open</t>
        </is>
      </c>
      <c r="M5032">
        <f>VLOOKUP(H5032,'Stage Order'!$A$2:$B$8,2,FALSE)</f>
        <v/>
      </c>
      <c r="N5032">
        <f>IF(G5032&lt;=1,"1. Under 1 hour",IF(G5032&lt;=24,"2. 1-24 hours",IF(G5032&lt;=72,"3. 1-3 days","4. Over 3 days")))</f>
        <v/>
      </c>
      <c r="O5032">
        <f>TEXT(B5032,"YYYY-MM")</f>
        <v/>
      </c>
    </row>
    <row r="5033">
      <c r="A5033" t="inlineStr">
        <is>
          <t>LD-305031</t>
        </is>
      </c>
      <c r="B5033" t="inlineStr">
        <is>
          <t>2025-12-03 12:48:00</t>
        </is>
      </c>
      <c r="C5033" t="inlineStr">
        <is>
          <t>Organic Search</t>
        </is>
      </c>
      <c r="D5033" t="inlineStr">
        <is>
          <t>K-12 Math</t>
        </is>
      </c>
      <c r="E5033" t="inlineStr">
        <is>
          <t>International</t>
        </is>
      </c>
      <c r="F5033" t="inlineStr">
        <is>
          <t>Rep_15</t>
        </is>
      </c>
      <c r="G5033" t="n">
        <v>30.84</v>
      </c>
      <c r="H5033" t="inlineStr">
        <is>
          <t>Contacted</t>
        </is>
      </c>
      <c r="I5033" t="inlineStr">
        <is>
          <t>Open</t>
        </is>
      </c>
      <c r="M5033">
        <f>VLOOKUP(H5033,'Stage Order'!$A$2:$B$8,2,FALSE)</f>
        <v/>
      </c>
      <c r="N5033">
        <f>IF(G5033&lt;=1,"1. Under 1 hour",IF(G5033&lt;=24,"2. 1-24 hours",IF(G5033&lt;=72,"3. 1-3 days","4. Over 3 days")))</f>
        <v/>
      </c>
      <c r="O5033">
        <f>TEXT(B5033,"YYYY-MM")</f>
        <v/>
      </c>
    </row>
    <row r="5034">
      <c r="A5034" t="inlineStr">
        <is>
          <t>LD-305032</t>
        </is>
      </c>
      <c r="B5034" t="inlineStr">
        <is>
          <t>2026-02-17 18:51:00</t>
        </is>
      </c>
      <c r="C5034" t="inlineStr">
        <is>
          <t>Paid Search</t>
        </is>
      </c>
      <c r="D5034" t="inlineStr">
        <is>
          <t>K-12 Math</t>
        </is>
      </c>
      <c r="E5034" t="inlineStr">
        <is>
          <t>North Region</t>
        </is>
      </c>
      <c r="F5034" t="inlineStr">
        <is>
          <t>Rep_01</t>
        </is>
      </c>
      <c r="G5034" t="n">
        <v>0.73</v>
      </c>
      <c r="H5034" t="inlineStr">
        <is>
          <t>Contacted</t>
        </is>
      </c>
      <c r="I5034" t="inlineStr">
        <is>
          <t>Open</t>
        </is>
      </c>
      <c r="M5034">
        <f>VLOOKUP(H5034,'Stage Order'!$A$2:$B$8,2,FALSE)</f>
        <v/>
      </c>
      <c r="N5034">
        <f>IF(G5034&lt;=1,"1. Under 1 hour",IF(G5034&lt;=24,"2. 1-24 hours",IF(G5034&lt;=72,"3. 1-3 days","4. Over 3 days")))</f>
        <v/>
      </c>
      <c r="O5034">
        <f>TEXT(B5034,"YYYY-MM")</f>
        <v/>
      </c>
    </row>
    <row r="5035">
      <c r="A5035" t="inlineStr">
        <is>
          <t>LD-305033</t>
        </is>
      </c>
      <c r="B5035" t="inlineStr">
        <is>
          <t>2025-03-04 18:37:00</t>
        </is>
      </c>
      <c r="C5035" t="inlineStr">
        <is>
          <t>Social Media</t>
        </is>
      </c>
      <c r="D5035" t="inlineStr">
        <is>
          <t>Language Learning</t>
        </is>
      </c>
      <c r="E5035" t="inlineStr">
        <is>
          <t>International</t>
        </is>
      </c>
      <c r="F5035" t="inlineStr">
        <is>
          <t>Rep_05</t>
        </is>
      </c>
      <c r="G5035" t="n">
        <v>0.32</v>
      </c>
      <c r="H5035" t="inlineStr">
        <is>
          <t>Demo Scheduled</t>
        </is>
      </c>
      <c r="I5035" t="inlineStr">
        <is>
          <t>Open</t>
        </is>
      </c>
      <c r="M5035">
        <f>VLOOKUP(H5035,'Stage Order'!$A$2:$B$8,2,FALSE)</f>
        <v/>
      </c>
      <c r="N5035">
        <f>IF(G5035&lt;=1,"1. Under 1 hour",IF(G5035&lt;=24,"2. 1-24 hours",IF(G5035&lt;=72,"3. 1-3 days","4. Over 3 days")))</f>
        <v/>
      </c>
      <c r="O5035">
        <f>TEXT(B5035,"YYYY-MM")</f>
        <v/>
      </c>
    </row>
    <row r="5036">
      <c r="A5036" t="inlineStr">
        <is>
          <t>LD-305034</t>
        </is>
      </c>
      <c r="B5036" t="inlineStr">
        <is>
          <t>2025-02-22 08:07:00</t>
        </is>
      </c>
      <c r="C5036" t="inlineStr">
        <is>
          <t>Organic Search</t>
        </is>
      </c>
      <c r="D5036" t="inlineStr">
        <is>
          <t>Competitive Exam Prep</t>
        </is>
      </c>
      <c r="E5036" t="inlineStr">
        <is>
          <t>North Region</t>
        </is>
      </c>
      <c r="F5036" t="inlineStr">
        <is>
          <t>Rep_06</t>
        </is>
      </c>
      <c r="G5036" t="n">
        <v>3.92</v>
      </c>
      <c r="H5036" t="inlineStr">
        <is>
          <t>Lead</t>
        </is>
      </c>
      <c r="I5036" t="inlineStr">
        <is>
          <t>Open</t>
        </is>
      </c>
      <c r="M5036">
        <f>VLOOKUP(H5036,'Stage Order'!$A$2:$B$8,2,FALSE)</f>
        <v/>
      </c>
      <c r="N5036">
        <f>IF(G5036&lt;=1,"1. Under 1 hour",IF(G5036&lt;=24,"2. 1-24 hours",IF(G5036&lt;=72,"3. 1-3 days","4. Over 3 days")))</f>
        <v/>
      </c>
      <c r="O5036">
        <f>TEXT(B5036,"YYYY-MM")</f>
        <v/>
      </c>
    </row>
    <row r="5037">
      <c r="A5037" t="inlineStr">
        <is>
          <t>LD-305035</t>
        </is>
      </c>
      <c r="B5037" t="inlineStr">
        <is>
          <t>2025-02-21 09:39:00</t>
        </is>
      </c>
      <c r="C5037" t="inlineStr">
        <is>
          <t>Organic Search</t>
        </is>
      </c>
      <c r="D5037" t="inlineStr">
        <is>
          <t>Coding for Kids</t>
        </is>
      </c>
      <c r="E5037" t="inlineStr">
        <is>
          <t>East Region</t>
        </is>
      </c>
      <c r="F5037" t="inlineStr">
        <is>
          <t>Rep_04</t>
        </is>
      </c>
      <c r="G5037" t="n">
        <v>1.66</v>
      </c>
      <c r="H5037" t="inlineStr">
        <is>
          <t>Contacted</t>
        </is>
      </c>
      <c r="I5037" t="inlineStr">
        <is>
          <t>Open</t>
        </is>
      </c>
      <c r="M5037">
        <f>VLOOKUP(H5037,'Stage Order'!$A$2:$B$8,2,FALSE)</f>
        <v/>
      </c>
      <c r="N5037">
        <f>IF(G5037&lt;=1,"1. Under 1 hour",IF(G5037&lt;=24,"2. 1-24 hours",IF(G5037&lt;=72,"3. 1-3 days","4. Over 3 days")))</f>
        <v/>
      </c>
      <c r="O5037">
        <f>TEXT(B5037,"YYYY-MM")</f>
        <v/>
      </c>
    </row>
    <row r="5038">
      <c r="A5038" t="inlineStr">
        <is>
          <t>LD-305036</t>
        </is>
      </c>
      <c r="B5038" t="inlineStr">
        <is>
          <t>2025-05-05 20:35:00</t>
        </is>
      </c>
      <c r="C5038" t="inlineStr">
        <is>
          <t>Social Media</t>
        </is>
      </c>
      <c r="D5038" t="inlineStr">
        <is>
          <t>K-12 Math</t>
        </is>
      </c>
      <c r="E5038" t="inlineStr">
        <is>
          <t>West Region</t>
        </is>
      </c>
      <c r="F5038" t="inlineStr">
        <is>
          <t>Rep_03</t>
        </is>
      </c>
      <c r="G5038" t="n">
        <v>2</v>
      </c>
      <c r="H5038" t="inlineStr">
        <is>
          <t>Lead</t>
        </is>
      </c>
      <c r="I5038" t="inlineStr">
        <is>
          <t>Open</t>
        </is>
      </c>
      <c r="M5038">
        <f>VLOOKUP(H5038,'Stage Order'!$A$2:$B$8,2,FALSE)</f>
        <v/>
      </c>
      <c r="N5038">
        <f>IF(G5038&lt;=1,"1. Under 1 hour",IF(G5038&lt;=24,"2. 1-24 hours",IF(G5038&lt;=72,"3. 1-3 days","4. Over 3 days")))</f>
        <v/>
      </c>
      <c r="O5038">
        <f>TEXT(B5038,"YYYY-MM")</f>
        <v/>
      </c>
    </row>
    <row r="5039">
      <c r="A5039" t="inlineStr">
        <is>
          <t>LD-305037</t>
        </is>
      </c>
      <c r="B5039" t="inlineStr">
        <is>
          <t>2025-03-17 15:12:00</t>
        </is>
      </c>
      <c r="C5039" t="inlineStr">
        <is>
          <t>Paid Search</t>
        </is>
      </c>
      <c r="D5039" t="inlineStr">
        <is>
          <t>Study Abroad Prep</t>
        </is>
      </c>
      <c r="E5039" t="inlineStr">
        <is>
          <t>North Region</t>
        </is>
      </c>
      <c r="F5039" t="inlineStr">
        <is>
          <t>Rep_06</t>
        </is>
      </c>
      <c r="G5039" t="n">
        <v>3.62</v>
      </c>
      <c r="H5039" t="inlineStr">
        <is>
          <t>Lead</t>
        </is>
      </c>
      <c r="I5039" t="inlineStr">
        <is>
          <t>Open</t>
        </is>
      </c>
      <c r="M5039">
        <f>VLOOKUP(H5039,'Stage Order'!$A$2:$B$8,2,FALSE)</f>
        <v/>
      </c>
      <c r="N5039">
        <f>IF(G5039&lt;=1,"1. Under 1 hour",IF(G5039&lt;=24,"2. 1-24 hours",IF(G5039&lt;=72,"3. 1-3 days","4. Over 3 days")))</f>
        <v/>
      </c>
      <c r="O5039">
        <f>TEXT(B5039,"YYYY-MM")</f>
        <v/>
      </c>
    </row>
    <row r="5040">
      <c r="A5040" t="inlineStr">
        <is>
          <t>LD-305038</t>
        </is>
      </c>
      <c r="B5040" t="inlineStr">
        <is>
          <t>2025-11-23 18:38:00</t>
        </is>
      </c>
      <c r="C5040" t="inlineStr">
        <is>
          <t>Referral</t>
        </is>
      </c>
      <c r="D5040" t="inlineStr">
        <is>
          <t>Language Learning</t>
        </is>
      </c>
      <c r="E5040" t="inlineStr">
        <is>
          <t>West Region</t>
        </is>
      </c>
      <c r="F5040" t="inlineStr">
        <is>
          <t>Rep_08</t>
        </is>
      </c>
      <c r="G5040" t="n">
        <v>1.13</v>
      </c>
      <c r="H5040" t="inlineStr">
        <is>
          <t>Closed</t>
        </is>
      </c>
      <c r="I5040" t="inlineStr">
        <is>
          <t>Won</t>
        </is>
      </c>
      <c r="K5040" t="n">
        <v>421.1</v>
      </c>
      <c r="L5040" t="inlineStr">
        <is>
          <t>2025-12-30 15:58:04.255687</t>
        </is>
      </c>
      <c r="M5040">
        <f>VLOOKUP(H5040,'Stage Order'!$A$2:$B$8,2,FALSE)</f>
        <v/>
      </c>
      <c r="N5040">
        <f>IF(G5040&lt;=1,"1. Under 1 hour",IF(G5040&lt;=24,"2. 1-24 hours",IF(G5040&lt;=72,"3. 1-3 days","4. Over 3 days")))</f>
        <v/>
      </c>
      <c r="O5040">
        <f>TEXT(B5040,"YYYY-MM")</f>
        <v/>
      </c>
    </row>
    <row r="5041">
      <c r="A5041" t="inlineStr">
        <is>
          <t>LD-305039</t>
        </is>
      </c>
      <c r="B5041" t="inlineStr">
        <is>
          <t>2025-03-29 13:11:00</t>
        </is>
      </c>
      <c r="C5041" t="inlineStr">
        <is>
          <t>Partner Channel</t>
        </is>
      </c>
      <c r="D5041" t="inlineStr">
        <is>
          <t>Study Abroad Prep</t>
        </is>
      </c>
      <c r="E5041" t="inlineStr">
        <is>
          <t>South Region</t>
        </is>
      </c>
      <c r="F5041" t="inlineStr">
        <is>
          <t>Rep_12</t>
        </is>
      </c>
      <c r="G5041" t="n">
        <v>1.57</v>
      </c>
      <c r="H5041" t="inlineStr">
        <is>
          <t>Proposal Sent</t>
        </is>
      </c>
      <c r="I5041" t="inlineStr">
        <is>
          <t>Lost</t>
        </is>
      </c>
      <c r="J5041" t="inlineStr">
        <is>
          <t>Bad Timing</t>
        </is>
      </c>
      <c r="K5041" t="n">
        <v>1309.99</v>
      </c>
      <c r="L5041" t="inlineStr">
        <is>
          <t>2025-05-15 10:17:09.380005</t>
        </is>
      </c>
      <c r="M5041">
        <f>VLOOKUP(H5041,'Stage Order'!$A$2:$B$8,2,FALSE)</f>
        <v/>
      </c>
      <c r="N5041">
        <f>IF(G5041&lt;=1,"1. Under 1 hour",IF(G5041&lt;=24,"2. 1-24 hours",IF(G5041&lt;=72,"3. 1-3 days","4. Over 3 days")))</f>
        <v/>
      </c>
      <c r="O5041">
        <f>TEXT(B5041,"YYYY-MM")</f>
        <v/>
      </c>
    </row>
    <row r="5042">
      <c r="A5042" t="inlineStr">
        <is>
          <t>LD-305040</t>
        </is>
      </c>
      <c r="B5042" t="inlineStr">
        <is>
          <t>2025-06-13 18:22:00</t>
        </is>
      </c>
      <c r="C5042" t="inlineStr">
        <is>
          <t>Paid Search</t>
        </is>
      </c>
      <c r="D5042" t="inlineStr">
        <is>
          <t>K-12 Math</t>
        </is>
      </c>
      <c r="E5042" t="inlineStr">
        <is>
          <t>South Region</t>
        </is>
      </c>
      <c r="F5042" t="inlineStr">
        <is>
          <t>Rep_02</t>
        </is>
      </c>
      <c r="G5042" t="n">
        <v>4.55</v>
      </c>
      <c r="H5042" t="inlineStr">
        <is>
          <t>Proposal Sent</t>
        </is>
      </c>
      <c r="I5042" t="inlineStr">
        <is>
          <t>Lost</t>
        </is>
      </c>
      <c r="J5042" t="inlineStr">
        <is>
          <t>Went With Competitor</t>
        </is>
      </c>
      <c r="K5042" t="n">
        <v>495.28</v>
      </c>
      <c r="L5042" t="inlineStr">
        <is>
          <t>2025-07-09 22:50:19.462377</t>
        </is>
      </c>
      <c r="M5042">
        <f>VLOOKUP(H5042,'Stage Order'!$A$2:$B$8,2,FALSE)</f>
        <v/>
      </c>
      <c r="N5042">
        <f>IF(G5042&lt;=1,"1. Under 1 hour",IF(G5042&lt;=24,"2. 1-24 hours",IF(G5042&lt;=72,"3. 1-3 days","4. Over 3 days")))</f>
        <v/>
      </c>
      <c r="O5042">
        <f>TEXT(B5042,"YYYY-MM")</f>
        <v/>
      </c>
    </row>
    <row r="5043">
      <c r="A5043" t="inlineStr">
        <is>
          <t>LD-305041</t>
        </is>
      </c>
      <c r="B5043" t="inlineStr">
        <is>
          <t>2025-01-27 12:00:00</t>
        </is>
      </c>
      <c r="C5043" t="inlineStr">
        <is>
          <t>Webinar</t>
        </is>
      </c>
      <c r="D5043" t="inlineStr">
        <is>
          <t>K-12 Math</t>
        </is>
      </c>
      <c r="E5043" t="inlineStr">
        <is>
          <t>East Region</t>
        </is>
      </c>
      <c r="F5043" t="inlineStr">
        <is>
          <t>Rep_09</t>
        </is>
      </c>
      <c r="G5043" t="n">
        <v>44.66</v>
      </c>
      <c r="H5043" t="inlineStr">
        <is>
          <t>Closed</t>
        </is>
      </c>
      <c r="I5043" t="inlineStr">
        <is>
          <t>Won</t>
        </is>
      </c>
      <c r="K5043" t="n">
        <v>470.02</v>
      </c>
      <c r="L5043" t="inlineStr">
        <is>
          <t>2025-03-07 11:01:39.401622</t>
        </is>
      </c>
      <c r="M5043">
        <f>VLOOKUP(H5043,'Stage Order'!$A$2:$B$8,2,FALSE)</f>
        <v/>
      </c>
      <c r="N5043">
        <f>IF(G5043&lt;=1,"1. Under 1 hour",IF(G5043&lt;=24,"2. 1-24 hours",IF(G5043&lt;=72,"3. 1-3 days","4. Over 3 days")))</f>
        <v/>
      </c>
      <c r="O5043">
        <f>TEXT(B5043,"YYYY-MM")</f>
        <v/>
      </c>
    </row>
    <row r="5044">
      <c r="A5044" t="inlineStr">
        <is>
          <t>LD-305042</t>
        </is>
      </c>
      <c r="B5044" t="inlineStr">
        <is>
          <t>2026-01-01 12:04:00</t>
        </is>
      </c>
      <c r="C5044" t="inlineStr">
        <is>
          <t>Organic Search</t>
        </is>
      </c>
      <c r="D5044" t="inlineStr">
        <is>
          <t>K-12 Math</t>
        </is>
      </c>
      <c r="E5044" t="inlineStr">
        <is>
          <t>East Region</t>
        </is>
      </c>
      <c r="F5044" t="inlineStr">
        <is>
          <t>Rep_14</t>
        </is>
      </c>
      <c r="G5044" t="n">
        <v>1.17</v>
      </c>
      <c r="H5044" t="inlineStr">
        <is>
          <t>Contacted</t>
        </is>
      </c>
      <c r="I5044" t="inlineStr">
        <is>
          <t>Open</t>
        </is>
      </c>
      <c r="M5044">
        <f>VLOOKUP(H5044,'Stage Order'!$A$2:$B$8,2,FALSE)</f>
        <v/>
      </c>
      <c r="N5044">
        <f>IF(G5044&lt;=1,"1. Under 1 hour",IF(G5044&lt;=24,"2. 1-24 hours",IF(G5044&lt;=72,"3. 1-3 days","4. Over 3 days")))</f>
        <v/>
      </c>
      <c r="O5044">
        <f>TEXT(B5044,"YYYY-MM")</f>
        <v/>
      </c>
    </row>
    <row r="5045">
      <c r="A5045" t="inlineStr">
        <is>
          <t>LD-305043</t>
        </is>
      </c>
      <c r="B5045" t="inlineStr">
        <is>
          <t>2025-12-26 12:54:00</t>
        </is>
      </c>
      <c r="C5045" t="inlineStr">
        <is>
          <t>Social Media</t>
        </is>
      </c>
      <c r="D5045" t="inlineStr">
        <is>
          <t>Competitive Exam Prep</t>
        </is>
      </c>
      <c r="E5045" t="inlineStr">
        <is>
          <t>South Region</t>
        </is>
      </c>
      <c r="F5045" t="inlineStr">
        <is>
          <t>Rep_02</t>
        </is>
      </c>
      <c r="G5045" t="n">
        <v>1.26</v>
      </c>
      <c r="H5045" t="inlineStr">
        <is>
          <t>Closed</t>
        </is>
      </c>
      <c r="I5045" t="inlineStr">
        <is>
          <t>Won</t>
        </is>
      </c>
      <c r="K5045" t="n">
        <v>852.88</v>
      </c>
      <c r="L5045" t="inlineStr">
        <is>
          <t>2026-01-24 04:12:05.215329</t>
        </is>
      </c>
      <c r="M5045">
        <f>VLOOKUP(H5045,'Stage Order'!$A$2:$B$8,2,FALSE)</f>
        <v/>
      </c>
      <c r="N5045">
        <f>IF(G5045&lt;=1,"1. Under 1 hour",IF(G5045&lt;=24,"2. 1-24 hours",IF(G5045&lt;=72,"3. 1-3 days","4. Over 3 days")))</f>
        <v/>
      </c>
      <c r="O5045">
        <f>TEXT(B5045,"YYYY-MM")</f>
        <v/>
      </c>
    </row>
    <row r="5046">
      <c r="A5046" t="inlineStr">
        <is>
          <t>LD-305044</t>
        </is>
      </c>
      <c r="B5046" t="inlineStr">
        <is>
          <t>2025-07-23 11:41:00</t>
        </is>
      </c>
      <c r="C5046" t="inlineStr">
        <is>
          <t>Cold Outreach</t>
        </is>
      </c>
      <c r="D5046" t="inlineStr">
        <is>
          <t>Study Abroad Prep</t>
        </is>
      </c>
      <c r="E5046" t="inlineStr">
        <is>
          <t>North Region</t>
        </is>
      </c>
      <c r="F5046" t="inlineStr">
        <is>
          <t>Rep_11</t>
        </is>
      </c>
      <c r="G5046" t="n">
        <v>2.31</v>
      </c>
      <c r="H5046" t="inlineStr">
        <is>
          <t>Contacted</t>
        </is>
      </c>
      <c r="I5046" t="inlineStr">
        <is>
          <t>Open</t>
        </is>
      </c>
      <c r="M5046">
        <f>VLOOKUP(H5046,'Stage Order'!$A$2:$B$8,2,FALSE)</f>
        <v/>
      </c>
      <c r="N5046">
        <f>IF(G5046&lt;=1,"1. Under 1 hour",IF(G5046&lt;=24,"2. 1-24 hours",IF(G5046&lt;=72,"3. 1-3 days","4. Over 3 days")))</f>
        <v/>
      </c>
      <c r="O5046">
        <f>TEXT(B5046,"YYYY-MM")</f>
        <v/>
      </c>
    </row>
    <row r="5047">
      <c r="A5047" t="inlineStr">
        <is>
          <t>LD-305045</t>
        </is>
      </c>
      <c r="B5047" t="inlineStr">
        <is>
          <t>2026-02-16 08:40:00</t>
        </is>
      </c>
      <c r="C5047" t="inlineStr">
        <is>
          <t>Webinar</t>
        </is>
      </c>
      <c r="D5047" t="inlineStr">
        <is>
          <t>Language Learning</t>
        </is>
      </c>
      <c r="E5047" t="inlineStr">
        <is>
          <t>East Region</t>
        </is>
      </c>
      <c r="F5047" t="inlineStr">
        <is>
          <t>Rep_04</t>
        </is>
      </c>
      <c r="G5047" t="n">
        <v>1.63</v>
      </c>
      <c r="H5047" t="inlineStr">
        <is>
          <t>Contacted</t>
        </is>
      </c>
      <c r="I5047" t="inlineStr">
        <is>
          <t>Open</t>
        </is>
      </c>
      <c r="M5047">
        <f>VLOOKUP(H5047,'Stage Order'!$A$2:$B$8,2,FALSE)</f>
        <v/>
      </c>
      <c r="N5047">
        <f>IF(G5047&lt;=1,"1. Under 1 hour",IF(G5047&lt;=24,"2. 1-24 hours",IF(G5047&lt;=72,"3. 1-3 days","4. Over 3 days")))</f>
        <v/>
      </c>
      <c r="O5047">
        <f>TEXT(B5047,"YYYY-MM")</f>
        <v/>
      </c>
    </row>
    <row r="5048">
      <c r="A5048" t="inlineStr">
        <is>
          <t>LD-305046</t>
        </is>
      </c>
      <c r="B5048" t="inlineStr">
        <is>
          <t>2026-05-18 12:11:00</t>
        </is>
      </c>
      <c r="C5048" t="inlineStr">
        <is>
          <t>Organic Search</t>
        </is>
      </c>
      <c r="D5048" t="inlineStr">
        <is>
          <t>Competitive Exam Prep</t>
        </is>
      </c>
      <c r="E5048" t="inlineStr">
        <is>
          <t>North Region</t>
        </is>
      </c>
      <c r="F5048" t="inlineStr">
        <is>
          <t>Rep_01</t>
        </is>
      </c>
      <c r="G5048" t="n">
        <v>1.47</v>
      </c>
      <c r="H5048" t="inlineStr">
        <is>
          <t>Contacted</t>
        </is>
      </c>
      <c r="I5048" t="inlineStr">
        <is>
          <t>Open</t>
        </is>
      </c>
      <c r="M5048">
        <f>VLOOKUP(H5048,'Stage Order'!$A$2:$B$8,2,FALSE)</f>
        <v/>
      </c>
      <c r="N5048">
        <f>IF(G5048&lt;=1,"1. Under 1 hour",IF(G5048&lt;=24,"2. 1-24 hours",IF(G5048&lt;=72,"3. 1-3 days","4. Over 3 days")))</f>
        <v/>
      </c>
      <c r="O5048">
        <f>TEXT(B5048,"YYYY-MM")</f>
        <v/>
      </c>
    </row>
    <row r="5049">
      <c r="A5049" t="inlineStr">
        <is>
          <t>LD-305047</t>
        </is>
      </c>
      <c r="B5049" t="inlineStr">
        <is>
          <t>2025-06-04 18:20:00</t>
        </is>
      </c>
      <c r="C5049" t="inlineStr">
        <is>
          <t>Social Media</t>
        </is>
      </c>
      <c r="D5049" t="inlineStr">
        <is>
          <t>Competitive Exam Prep</t>
        </is>
      </c>
      <c r="E5049" t="inlineStr">
        <is>
          <t>East Region</t>
        </is>
      </c>
      <c r="F5049" t="inlineStr">
        <is>
          <t>Rep_14</t>
        </is>
      </c>
      <c r="G5049" t="n">
        <v>14.41</v>
      </c>
      <c r="H5049" t="inlineStr">
        <is>
          <t>Lead</t>
        </is>
      </c>
      <c r="I5049" t="inlineStr">
        <is>
          <t>Open</t>
        </is>
      </c>
      <c r="M5049">
        <f>VLOOKUP(H5049,'Stage Order'!$A$2:$B$8,2,FALSE)</f>
        <v/>
      </c>
      <c r="N5049">
        <f>IF(G5049&lt;=1,"1. Under 1 hour",IF(G5049&lt;=24,"2. 1-24 hours",IF(G5049&lt;=72,"3. 1-3 days","4. Over 3 days")))</f>
        <v/>
      </c>
      <c r="O5049">
        <f>TEXT(B5049,"YYYY-MM")</f>
        <v/>
      </c>
    </row>
    <row r="5050">
      <c r="A5050" t="inlineStr">
        <is>
          <t>LD-305048</t>
        </is>
      </c>
      <c r="B5050" t="inlineStr">
        <is>
          <t>2026-05-28 15:26:00</t>
        </is>
      </c>
      <c r="C5050" t="inlineStr">
        <is>
          <t>Paid Search</t>
        </is>
      </c>
      <c r="D5050" t="inlineStr">
        <is>
          <t>Competitive Exam Prep</t>
        </is>
      </c>
      <c r="E5050" t="inlineStr">
        <is>
          <t>West Region</t>
        </is>
      </c>
      <c r="F5050" t="inlineStr">
        <is>
          <t>Rep_13</t>
        </is>
      </c>
      <c r="G5050" t="n">
        <v>6.52</v>
      </c>
      <c r="H5050" t="inlineStr">
        <is>
          <t>Contacted</t>
        </is>
      </c>
      <c r="I5050" t="inlineStr">
        <is>
          <t>Open</t>
        </is>
      </c>
      <c r="M5050">
        <f>VLOOKUP(H5050,'Stage Order'!$A$2:$B$8,2,FALSE)</f>
        <v/>
      </c>
      <c r="N5050">
        <f>IF(G5050&lt;=1,"1. Under 1 hour",IF(G5050&lt;=24,"2. 1-24 hours",IF(G5050&lt;=72,"3. 1-3 days","4. Over 3 days")))</f>
        <v/>
      </c>
      <c r="O5050">
        <f>TEXT(B5050,"YYYY-MM")</f>
        <v/>
      </c>
    </row>
    <row r="5051">
      <c r="A5051" t="inlineStr">
        <is>
          <t>LD-305049</t>
        </is>
      </c>
      <c r="B5051" t="inlineStr">
        <is>
          <t>2025-07-04 15:10:00</t>
        </is>
      </c>
      <c r="C5051" t="inlineStr">
        <is>
          <t>Referral</t>
        </is>
      </c>
      <c r="D5051" t="inlineStr">
        <is>
          <t>Competitive Exam Prep</t>
        </is>
      </c>
      <c r="E5051" t="inlineStr">
        <is>
          <t>West Region</t>
        </is>
      </c>
      <c r="F5051" t="inlineStr">
        <is>
          <t>Rep_08</t>
        </is>
      </c>
      <c r="G5051" t="n">
        <v>2.67</v>
      </c>
      <c r="H5051" t="inlineStr">
        <is>
          <t>Negotiation</t>
        </is>
      </c>
      <c r="I5051" t="inlineStr">
        <is>
          <t>Lost</t>
        </is>
      </c>
      <c r="J5051" t="inlineStr">
        <is>
          <t>Went With Competitor</t>
        </is>
      </c>
      <c r="K5051" t="n">
        <v>1145.12</v>
      </c>
      <c r="L5051" t="inlineStr">
        <is>
          <t>2025-08-27 16:54:47.973442</t>
        </is>
      </c>
      <c r="M5051">
        <f>VLOOKUP(H5051,'Stage Order'!$A$2:$B$8,2,FALSE)</f>
        <v/>
      </c>
      <c r="N5051">
        <f>IF(G5051&lt;=1,"1. Under 1 hour",IF(G5051&lt;=24,"2. 1-24 hours",IF(G5051&lt;=72,"3. 1-3 days","4. Over 3 days")))</f>
        <v/>
      </c>
      <c r="O5051">
        <f>TEXT(B5051,"YYYY-MM")</f>
        <v/>
      </c>
    </row>
    <row r="5052">
      <c r="A5052" t="inlineStr">
        <is>
          <t>LD-305050</t>
        </is>
      </c>
      <c r="B5052" t="inlineStr">
        <is>
          <t>2026-02-16 14:21:00</t>
        </is>
      </c>
      <c r="C5052" t="inlineStr">
        <is>
          <t>Webinar</t>
        </is>
      </c>
      <c r="D5052" t="inlineStr">
        <is>
          <t>Language Learning</t>
        </is>
      </c>
      <c r="E5052" t="inlineStr">
        <is>
          <t>South Region</t>
        </is>
      </c>
      <c r="F5052" t="inlineStr">
        <is>
          <t>Rep_02</t>
        </is>
      </c>
      <c r="G5052" t="n">
        <v>1.53</v>
      </c>
      <c r="H5052" t="inlineStr">
        <is>
          <t>Contacted</t>
        </is>
      </c>
      <c r="I5052" t="inlineStr">
        <is>
          <t>Open</t>
        </is>
      </c>
      <c r="M5052">
        <f>VLOOKUP(H5052,'Stage Order'!$A$2:$B$8,2,FALSE)</f>
        <v/>
      </c>
      <c r="N5052">
        <f>IF(G5052&lt;=1,"1. Under 1 hour",IF(G5052&lt;=24,"2. 1-24 hours",IF(G5052&lt;=72,"3. 1-3 days","4. Over 3 days")))</f>
        <v/>
      </c>
      <c r="O5052">
        <f>TEXT(B5052,"YYYY-MM")</f>
        <v/>
      </c>
    </row>
    <row r="5053">
      <c r="A5053" t="inlineStr">
        <is>
          <t>LD-305051</t>
        </is>
      </c>
      <c r="B5053" t="inlineStr">
        <is>
          <t>2026-03-10 07:28:00</t>
        </is>
      </c>
      <c r="C5053" t="inlineStr">
        <is>
          <t>Paid Search</t>
        </is>
      </c>
      <c r="D5053" t="inlineStr">
        <is>
          <t>K-12 Math</t>
        </is>
      </c>
      <c r="E5053" t="inlineStr">
        <is>
          <t>South Region</t>
        </is>
      </c>
      <c r="F5053" t="inlineStr">
        <is>
          <t>Rep_07</t>
        </is>
      </c>
      <c r="G5053" t="n">
        <v>3.99</v>
      </c>
      <c r="H5053" t="inlineStr">
        <is>
          <t>Demo Scheduled</t>
        </is>
      </c>
      <c r="I5053" t="inlineStr">
        <is>
          <t>Open</t>
        </is>
      </c>
      <c r="M5053">
        <f>VLOOKUP(H5053,'Stage Order'!$A$2:$B$8,2,FALSE)</f>
        <v/>
      </c>
      <c r="N5053">
        <f>IF(G5053&lt;=1,"1. Under 1 hour",IF(G5053&lt;=24,"2. 1-24 hours",IF(G5053&lt;=72,"3. 1-3 days","4. Over 3 days")))</f>
        <v/>
      </c>
      <c r="O5053">
        <f>TEXT(B5053,"YYYY-MM")</f>
        <v/>
      </c>
    </row>
    <row r="5054">
      <c r="A5054" t="inlineStr">
        <is>
          <t>LD-305052</t>
        </is>
      </c>
      <c r="B5054" t="inlineStr">
        <is>
          <t>2025-03-24 12:49:00</t>
        </is>
      </c>
      <c r="C5054" t="inlineStr">
        <is>
          <t>Social Media</t>
        </is>
      </c>
      <c r="D5054" t="inlineStr">
        <is>
          <t>K-12 Math</t>
        </is>
      </c>
      <c r="E5054" t="inlineStr">
        <is>
          <t>North Region</t>
        </is>
      </c>
      <c r="F5054" t="inlineStr">
        <is>
          <t>Rep_11</t>
        </is>
      </c>
      <c r="G5054" t="n">
        <v>8.77</v>
      </c>
      <c r="H5054" t="inlineStr">
        <is>
          <t>Contacted</t>
        </is>
      </c>
      <c r="I5054" t="inlineStr">
        <is>
          <t>Open</t>
        </is>
      </c>
      <c r="M5054">
        <f>VLOOKUP(H5054,'Stage Order'!$A$2:$B$8,2,FALSE)</f>
        <v/>
      </c>
      <c r="N5054">
        <f>IF(G5054&lt;=1,"1. Under 1 hour",IF(G5054&lt;=24,"2. 1-24 hours",IF(G5054&lt;=72,"3. 1-3 days","4. Over 3 days")))</f>
        <v/>
      </c>
      <c r="O5054">
        <f>TEXT(B5054,"YYYY-MM")</f>
        <v/>
      </c>
    </row>
    <row r="5055">
      <c r="A5055" t="inlineStr">
        <is>
          <t>LD-305053</t>
        </is>
      </c>
      <c r="B5055" t="inlineStr">
        <is>
          <t>2025-07-28 07:24:00</t>
        </is>
      </c>
      <c r="C5055" t="inlineStr">
        <is>
          <t>Partner Channel</t>
        </is>
      </c>
      <c r="D5055" t="inlineStr">
        <is>
          <t>Language Learning</t>
        </is>
      </c>
      <c r="E5055" t="inlineStr">
        <is>
          <t>West Region</t>
        </is>
      </c>
      <c r="F5055" t="inlineStr">
        <is>
          <t>Rep_08</t>
        </is>
      </c>
      <c r="G5055" t="n">
        <v>1.04</v>
      </c>
      <c r="H5055" t="inlineStr">
        <is>
          <t>Negotiation</t>
        </is>
      </c>
      <c r="I5055" t="inlineStr">
        <is>
          <t>Lost</t>
        </is>
      </c>
      <c r="J5055" t="inlineStr">
        <is>
          <t>No Response / Ghosted</t>
        </is>
      </c>
      <c r="K5055" t="n">
        <v>345.07</v>
      </c>
      <c r="L5055" t="inlineStr">
        <is>
          <t>2025-09-13 15:43:50.788176</t>
        </is>
      </c>
      <c r="M5055">
        <f>VLOOKUP(H5055,'Stage Order'!$A$2:$B$8,2,FALSE)</f>
        <v/>
      </c>
      <c r="N5055">
        <f>IF(G5055&lt;=1,"1. Under 1 hour",IF(G5055&lt;=24,"2. 1-24 hours",IF(G5055&lt;=72,"3. 1-3 days","4. Over 3 days")))</f>
        <v/>
      </c>
      <c r="O5055">
        <f>TEXT(B5055,"YYYY-MM")</f>
        <v/>
      </c>
    </row>
    <row r="5056">
      <c r="A5056" t="inlineStr">
        <is>
          <t>LD-305054</t>
        </is>
      </c>
      <c r="B5056" t="inlineStr">
        <is>
          <t>2025-08-06 15:26:00</t>
        </is>
      </c>
      <c r="C5056" t="inlineStr">
        <is>
          <t>Paid Search</t>
        </is>
      </c>
      <c r="D5056" t="inlineStr">
        <is>
          <t>Coding for Kids</t>
        </is>
      </c>
      <c r="E5056" t="inlineStr">
        <is>
          <t>South Region</t>
        </is>
      </c>
      <c r="F5056" t="inlineStr">
        <is>
          <t>Rep_02</t>
        </is>
      </c>
      <c r="G5056" t="n">
        <v>6.08</v>
      </c>
      <c r="H5056" t="inlineStr">
        <is>
          <t>Contacted</t>
        </is>
      </c>
      <c r="I5056" t="inlineStr">
        <is>
          <t>Open</t>
        </is>
      </c>
      <c r="M5056">
        <f>VLOOKUP(H5056,'Stage Order'!$A$2:$B$8,2,FALSE)</f>
        <v/>
      </c>
      <c r="N5056">
        <f>IF(G5056&lt;=1,"1. Under 1 hour",IF(G5056&lt;=24,"2. 1-24 hours",IF(G5056&lt;=72,"3. 1-3 days","4. Over 3 days")))</f>
        <v/>
      </c>
      <c r="O5056">
        <f>TEXT(B5056,"YYYY-MM")</f>
        <v/>
      </c>
    </row>
    <row r="5057">
      <c r="A5057" t="inlineStr">
        <is>
          <t>LD-305055</t>
        </is>
      </c>
      <c r="B5057" t="inlineStr">
        <is>
          <t>2025-03-11 09:56:00</t>
        </is>
      </c>
      <c r="C5057" t="inlineStr">
        <is>
          <t>Organic Search</t>
        </is>
      </c>
      <c r="D5057" t="inlineStr">
        <is>
          <t>K-12 Math</t>
        </is>
      </c>
      <c r="E5057" t="inlineStr">
        <is>
          <t>West Region</t>
        </is>
      </c>
      <c r="F5057" t="inlineStr">
        <is>
          <t>Rep_03</t>
        </is>
      </c>
      <c r="G5057" t="n">
        <v>2.05</v>
      </c>
      <c r="H5057" t="inlineStr">
        <is>
          <t>Lead</t>
        </is>
      </c>
      <c r="I5057" t="inlineStr">
        <is>
          <t>Open</t>
        </is>
      </c>
      <c r="M5057">
        <f>VLOOKUP(H5057,'Stage Order'!$A$2:$B$8,2,FALSE)</f>
        <v/>
      </c>
      <c r="N5057">
        <f>IF(G5057&lt;=1,"1. Under 1 hour",IF(G5057&lt;=24,"2. 1-24 hours",IF(G5057&lt;=72,"3. 1-3 days","4. Over 3 days")))</f>
        <v/>
      </c>
      <c r="O5057">
        <f>TEXT(B5057,"YYYY-MM")</f>
        <v/>
      </c>
    </row>
    <row r="5058">
      <c r="A5058" t="inlineStr">
        <is>
          <t>LD-305056</t>
        </is>
      </c>
      <c r="B5058" t="inlineStr">
        <is>
          <t>2026-06-05 20:33:00</t>
        </is>
      </c>
      <c r="C5058" t="inlineStr">
        <is>
          <t>Organic Search</t>
        </is>
      </c>
      <c r="D5058" t="inlineStr">
        <is>
          <t>K-12 Math</t>
        </is>
      </c>
      <c r="E5058" t="inlineStr">
        <is>
          <t>East Region</t>
        </is>
      </c>
      <c r="F5058" t="inlineStr">
        <is>
          <t>Rep_04</t>
        </is>
      </c>
      <c r="G5058" t="n">
        <v>2.32</v>
      </c>
      <c r="H5058" t="inlineStr">
        <is>
          <t>Contacted</t>
        </is>
      </c>
      <c r="I5058" t="inlineStr">
        <is>
          <t>Open</t>
        </is>
      </c>
      <c r="M5058">
        <f>VLOOKUP(H5058,'Stage Order'!$A$2:$B$8,2,FALSE)</f>
        <v/>
      </c>
      <c r="N5058">
        <f>IF(G5058&lt;=1,"1. Under 1 hour",IF(G5058&lt;=24,"2. 1-24 hours",IF(G5058&lt;=72,"3. 1-3 days","4. Over 3 days")))</f>
        <v/>
      </c>
      <c r="O5058">
        <f>TEXT(B5058,"YYYY-MM")</f>
        <v/>
      </c>
    </row>
    <row r="5059">
      <c r="A5059" t="inlineStr">
        <is>
          <t>LD-305057</t>
        </is>
      </c>
      <c r="B5059" t="inlineStr">
        <is>
          <t>2025-12-24 13:21:00</t>
        </is>
      </c>
      <c r="C5059" t="inlineStr">
        <is>
          <t>Cold Outreach</t>
        </is>
      </c>
      <c r="D5059" t="inlineStr">
        <is>
          <t>Competitive Exam Prep</t>
        </is>
      </c>
      <c r="E5059" t="inlineStr">
        <is>
          <t>West Region</t>
        </is>
      </c>
      <c r="F5059" t="inlineStr">
        <is>
          <t>Rep_13</t>
        </is>
      </c>
      <c r="G5059" t="n">
        <v>4.22</v>
      </c>
      <c r="H5059" t="inlineStr">
        <is>
          <t>Contacted</t>
        </is>
      </c>
      <c r="I5059" t="inlineStr">
        <is>
          <t>Open</t>
        </is>
      </c>
      <c r="M5059">
        <f>VLOOKUP(H5059,'Stage Order'!$A$2:$B$8,2,FALSE)</f>
        <v/>
      </c>
      <c r="N5059">
        <f>IF(G5059&lt;=1,"1. Under 1 hour",IF(G5059&lt;=24,"2. 1-24 hours",IF(G5059&lt;=72,"3. 1-3 days","4. Over 3 days")))</f>
        <v/>
      </c>
      <c r="O5059">
        <f>TEXT(B5059,"YYYY-MM")</f>
        <v/>
      </c>
    </row>
    <row r="5060">
      <c r="A5060" t="inlineStr">
        <is>
          <t>LD-305058</t>
        </is>
      </c>
      <c r="B5060" t="inlineStr">
        <is>
          <t>2025-02-05 11:33:00</t>
        </is>
      </c>
      <c r="C5060" t="inlineStr">
        <is>
          <t>Social Media</t>
        </is>
      </c>
      <c r="D5060" t="inlineStr">
        <is>
          <t>Language Learning</t>
        </is>
      </c>
      <c r="E5060" t="inlineStr">
        <is>
          <t>West Region</t>
        </is>
      </c>
      <c r="F5060" t="inlineStr">
        <is>
          <t>Rep_08</t>
        </is>
      </c>
      <c r="G5060" t="n">
        <v>3.47</v>
      </c>
      <c r="H5060" t="inlineStr">
        <is>
          <t>Contacted</t>
        </is>
      </c>
      <c r="I5060" t="inlineStr">
        <is>
          <t>Open</t>
        </is>
      </c>
      <c r="M5060">
        <f>VLOOKUP(H5060,'Stage Order'!$A$2:$B$8,2,FALSE)</f>
        <v/>
      </c>
      <c r="N5060">
        <f>IF(G5060&lt;=1,"1. Under 1 hour",IF(G5060&lt;=24,"2. 1-24 hours",IF(G5060&lt;=72,"3. 1-3 days","4. Over 3 days")))</f>
        <v/>
      </c>
      <c r="O5060">
        <f>TEXT(B5060,"YYYY-MM")</f>
        <v/>
      </c>
    </row>
    <row r="5061">
      <c r="A5061" t="inlineStr">
        <is>
          <t>LD-305059</t>
        </is>
      </c>
      <c r="B5061" t="inlineStr">
        <is>
          <t>2026-03-11 17:38:00</t>
        </is>
      </c>
      <c r="C5061" t="inlineStr">
        <is>
          <t>Social Media</t>
        </is>
      </c>
      <c r="D5061" t="inlineStr">
        <is>
          <t>K-12 Math</t>
        </is>
      </c>
      <c r="E5061" t="inlineStr">
        <is>
          <t>South Region</t>
        </is>
      </c>
      <c r="F5061" t="inlineStr">
        <is>
          <t>Rep_07</t>
        </is>
      </c>
      <c r="G5061" t="n">
        <v>7.75</v>
      </c>
      <c r="H5061" t="inlineStr">
        <is>
          <t>Contacted</t>
        </is>
      </c>
      <c r="I5061" t="inlineStr">
        <is>
          <t>Open</t>
        </is>
      </c>
      <c r="M5061">
        <f>VLOOKUP(H5061,'Stage Order'!$A$2:$B$8,2,FALSE)</f>
        <v/>
      </c>
      <c r="N5061">
        <f>IF(G5061&lt;=1,"1. Under 1 hour",IF(G5061&lt;=24,"2. 1-24 hours",IF(G5061&lt;=72,"3. 1-3 days","4. Over 3 days")))</f>
        <v/>
      </c>
      <c r="O5061">
        <f>TEXT(B5061,"YYYY-MM")</f>
        <v/>
      </c>
    </row>
    <row r="5062">
      <c r="A5062" t="inlineStr">
        <is>
          <t>LD-305060</t>
        </is>
      </c>
      <c r="B5062" t="inlineStr">
        <is>
          <t>2025-12-30 10:35:00</t>
        </is>
      </c>
      <c r="C5062" t="inlineStr">
        <is>
          <t>Partner Channel</t>
        </is>
      </c>
      <c r="D5062" t="inlineStr">
        <is>
          <t>Coding for Kids</t>
        </is>
      </c>
      <c r="E5062" t="inlineStr">
        <is>
          <t>West Region</t>
        </is>
      </c>
      <c r="F5062" t="inlineStr">
        <is>
          <t>Rep_08</t>
        </is>
      </c>
      <c r="G5062" t="n">
        <v>4.6</v>
      </c>
      <c r="H5062" t="inlineStr">
        <is>
          <t>Contacted</t>
        </is>
      </c>
      <c r="I5062" t="inlineStr">
        <is>
          <t>Open</t>
        </is>
      </c>
      <c r="M5062">
        <f>VLOOKUP(H5062,'Stage Order'!$A$2:$B$8,2,FALSE)</f>
        <v/>
      </c>
      <c r="N5062">
        <f>IF(G5062&lt;=1,"1. Under 1 hour",IF(G5062&lt;=24,"2. 1-24 hours",IF(G5062&lt;=72,"3. 1-3 days","4. Over 3 days")))</f>
        <v/>
      </c>
      <c r="O5062">
        <f>TEXT(B5062,"YYYY-MM")</f>
        <v/>
      </c>
    </row>
    <row r="5063">
      <c r="A5063" t="inlineStr">
        <is>
          <t>LD-305061</t>
        </is>
      </c>
      <c r="B5063" t="inlineStr">
        <is>
          <t>2025-11-07 20:25:00</t>
        </is>
      </c>
      <c r="C5063" t="inlineStr">
        <is>
          <t>Social Media</t>
        </is>
      </c>
      <c r="D5063" t="inlineStr">
        <is>
          <t>Language Learning</t>
        </is>
      </c>
      <c r="E5063" t="inlineStr">
        <is>
          <t>South Region</t>
        </is>
      </c>
      <c r="F5063" t="inlineStr">
        <is>
          <t>Rep_02</t>
        </is>
      </c>
      <c r="G5063" t="n">
        <v>0.74</v>
      </c>
      <c r="H5063" t="inlineStr">
        <is>
          <t>Contacted</t>
        </is>
      </c>
      <c r="I5063" t="inlineStr">
        <is>
          <t>Open</t>
        </is>
      </c>
      <c r="M5063">
        <f>VLOOKUP(H5063,'Stage Order'!$A$2:$B$8,2,FALSE)</f>
        <v/>
      </c>
      <c r="N5063">
        <f>IF(G5063&lt;=1,"1. Under 1 hour",IF(G5063&lt;=24,"2. 1-24 hours",IF(G5063&lt;=72,"3. 1-3 days","4. Over 3 days")))</f>
        <v/>
      </c>
      <c r="O5063">
        <f>TEXT(B5063,"YYYY-MM")</f>
        <v/>
      </c>
    </row>
    <row r="5064">
      <c r="A5064" t="inlineStr">
        <is>
          <t>LD-305062</t>
        </is>
      </c>
      <c r="B5064" t="inlineStr">
        <is>
          <t>2025-11-28 07:52:00</t>
        </is>
      </c>
      <c r="C5064" t="inlineStr">
        <is>
          <t>Cold Outreach</t>
        </is>
      </c>
      <c r="D5064" t="inlineStr">
        <is>
          <t>Competitive Exam Prep</t>
        </is>
      </c>
      <c r="E5064" t="inlineStr">
        <is>
          <t>South Region</t>
        </is>
      </c>
      <c r="F5064" t="inlineStr">
        <is>
          <t>Rep_07</t>
        </is>
      </c>
      <c r="G5064" t="n">
        <v>3.16</v>
      </c>
      <c r="H5064" t="inlineStr">
        <is>
          <t>Contacted</t>
        </is>
      </c>
      <c r="I5064" t="inlineStr">
        <is>
          <t>Open</t>
        </is>
      </c>
      <c r="M5064">
        <f>VLOOKUP(H5064,'Stage Order'!$A$2:$B$8,2,FALSE)</f>
        <v/>
      </c>
      <c r="N5064">
        <f>IF(G5064&lt;=1,"1. Under 1 hour",IF(G5064&lt;=24,"2. 1-24 hours",IF(G5064&lt;=72,"3. 1-3 days","4. Over 3 days")))</f>
        <v/>
      </c>
      <c r="O5064">
        <f>TEXT(B5064,"YYYY-MM")</f>
        <v/>
      </c>
    </row>
    <row r="5065">
      <c r="A5065" t="inlineStr">
        <is>
          <t>LD-305063</t>
        </is>
      </c>
      <c r="B5065" t="inlineStr">
        <is>
          <t>2025-01-29 16:40:00</t>
        </is>
      </c>
      <c r="C5065" t="inlineStr">
        <is>
          <t>Social Media</t>
        </is>
      </c>
      <c r="D5065" t="inlineStr">
        <is>
          <t>Competitive Exam Prep</t>
        </is>
      </c>
      <c r="E5065" t="inlineStr">
        <is>
          <t>East Region</t>
        </is>
      </c>
      <c r="F5065" t="inlineStr">
        <is>
          <t>Rep_14</t>
        </is>
      </c>
      <c r="G5065" t="n">
        <v>4.76</v>
      </c>
      <c r="H5065" t="inlineStr">
        <is>
          <t>Lead</t>
        </is>
      </c>
      <c r="I5065" t="inlineStr">
        <is>
          <t>Open</t>
        </is>
      </c>
      <c r="M5065">
        <f>VLOOKUP(H5065,'Stage Order'!$A$2:$B$8,2,FALSE)</f>
        <v/>
      </c>
      <c r="N5065">
        <f>IF(G5065&lt;=1,"1. Under 1 hour",IF(G5065&lt;=24,"2. 1-24 hours",IF(G5065&lt;=72,"3. 1-3 days","4. Over 3 days")))</f>
        <v/>
      </c>
      <c r="O5065">
        <f>TEXT(B5065,"YYYY-MM")</f>
        <v/>
      </c>
    </row>
    <row r="5066">
      <c r="A5066" t="inlineStr">
        <is>
          <t>LD-305064</t>
        </is>
      </c>
      <c r="B5066" t="inlineStr">
        <is>
          <t>2025-07-03 13:03:00</t>
        </is>
      </c>
      <c r="C5066" t="inlineStr">
        <is>
          <t>Social Media</t>
        </is>
      </c>
      <c r="D5066" t="inlineStr">
        <is>
          <t>Competitive Exam Prep</t>
        </is>
      </c>
      <c r="E5066" t="inlineStr">
        <is>
          <t>East Region</t>
        </is>
      </c>
      <c r="F5066" t="inlineStr">
        <is>
          <t>Rep_14</t>
        </is>
      </c>
      <c r="G5066" t="n">
        <v>3.25</v>
      </c>
      <c r="H5066" t="inlineStr">
        <is>
          <t>Demo Completed</t>
        </is>
      </c>
      <c r="I5066" t="inlineStr">
        <is>
          <t>Lost</t>
        </is>
      </c>
      <c r="J5066" t="inlineStr">
        <is>
          <t>No Response / Ghosted</t>
        </is>
      </c>
      <c r="K5066" t="n">
        <v>985.02</v>
      </c>
      <c r="L5066" t="inlineStr">
        <is>
          <t>2025-07-28 09:18:48.628591</t>
        </is>
      </c>
      <c r="M5066">
        <f>VLOOKUP(H5066,'Stage Order'!$A$2:$B$8,2,FALSE)</f>
        <v/>
      </c>
      <c r="N5066">
        <f>IF(G5066&lt;=1,"1. Under 1 hour",IF(G5066&lt;=24,"2. 1-24 hours",IF(G5066&lt;=72,"3. 1-3 days","4. Over 3 days")))</f>
        <v/>
      </c>
      <c r="O5066">
        <f>TEXT(B5066,"YYYY-MM")</f>
        <v/>
      </c>
    </row>
    <row r="5067">
      <c r="A5067" t="inlineStr">
        <is>
          <t>LD-305065</t>
        </is>
      </c>
      <c r="B5067" t="inlineStr">
        <is>
          <t>2025-05-23 08:41:00</t>
        </is>
      </c>
      <c r="C5067" t="inlineStr">
        <is>
          <t>Partner Channel</t>
        </is>
      </c>
      <c r="D5067" t="inlineStr">
        <is>
          <t>K-12 Math</t>
        </is>
      </c>
      <c r="E5067" t="inlineStr">
        <is>
          <t>International</t>
        </is>
      </c>
      <c r="F5067" t="inlineStr">
        <is>
          <t>Rep_15</t>
        </is>
      </c>
      <c r="G5067" t="n">
        <v>2.26</v>
      </c>
      <c r="H5067" t="inlineStr">
        <is>
          <t>Contacted</t>
        </is>
      </c>
      <c r="I5067" t="inlineStr">
        <is>
          <t>Open</t>
        </is>
      </c>
      <c r="M5067">
        <f>VLOOKUP(H5067,'Stage Order'!$A$2:$B$8,2,FALSE)</f>
        <v/>
      </c>
      <c r="N5067">
        <f>IF(G5067&lt;=1,"1. Under 1 hour",IF(G5067&lt;=24,"2. 1-24 hours",IF(G5067&lt;=72,"3. 1-3 days","4. Over 3 days")))</f>
        <v/>
      </c>
      <c r="O5067">
        <f>TEXT(B5067,"YYYY-MM")</f>
        <v/>
      </c>
    </row>
    <row r="5068">
      <c r="A5068" t="inlineStr">
        <is>
          <t>LD-305066</t>
        </is>
      </c>
      <c r="B5068" t="inlineStr">
        <is>
          <t>2025-07-26 17:14:00</t>
        </is>
      </c>
      <c r="C5068" t="inlineStr">
        <is>
          <t>Cold Outreach</t>
        </is>
      </c>
      <c r="D5068" t="inlineStr">
        <is>
          <t>Study Abroad Prep</t>
        </is>
      </c>
      <c r="E5068" t="inlineStr">
        <is>
          <t>West Region</t>
        </is>
      </c>
      <c r="F5068" t="inlineStr">
        <is>
          <t>Rep_13</t>
        </is>
      </c>
      <c r="G5068" t="n">
        <v>1.32</v>
      </c>
      <c r="H5068" t="inlineStr">
        <is>
          <t>Contacted</t>
        </is>
      </c>
      <c r="I5068" t="inlineStr">
        <is>
          <t>Open</t>
        </is>
      </c>
      <c r="M5068">
        <f>VLOOKUP(H5068,'Stage Order'!$A$2:$B$8,2,FALSE)</f>
        <v/>
      </c>
      <c r="N5068">
        <f>IF(G5068&lt;=1,"1. Under 1 hour",IF(G5068&lt;=24,"2. 1-24 hours",IF(G5068&lt;=72,"3. 1-3 days","4. Over 3 days")))</f>
        <v/>
      </c>
      <c r="O5068">
        <f>TEXT(B5068,"YYYY-MM")</f>
        <v/>
      </c>
    </row>
    <row r="5069">
      <c r="A5069" t="inlineStr">
        <is>
          <t>LD-305067</t>
        </is>
      </c>
      <c r="B5069" t="inlineStr">
        <is>
          <t>2025-01-22 15:44:00</t>
        </is>
      </c>
      <c r="C5069" t="inlineStr">
        <is>
          <t>Social Media</t>
        </is>
      </c>
      <c r="D5069" t="inlineStr">
        <is>
          <t>Competitive Exam Prep</t>
        </is>
      </c>
      <c r="E5069" t="inlineStr">
        <is>
          <t>South Region</t>
        </is>
      </c>
      <c r="F5069" t="inlineStr">
        <is>
          <t>Rep_02</t>
        </is>
      </c>
      <c r="G5069" t="n">
        <v>2.22</v>
      </c>
      <c r="H5069" t="inlineStr">
        <is>
          <t>Lead</t>
        </is>
      </c>
      <c r="I5069" t="inlineStr">
        <is>
          <t>Open</t>
        </is>
      </c>
      <c r="M5069">
        <f>VLOOKUP(H5069,'Stage Order'!$A$2:$B$8,2,FALSE)</f>
        <v/>
      </c>
      <c r="N5069">
        <f>IF(G5069&lt;=1,"1. Under 1 hour",IF(G5069&lt;=24,"2. 1-24 hours",IF(G5069&lt;=72,"3. 1-3 days","4. Over 3 days")))</f>
        <v/>
      </c>
      <c r="O5069">
        <f>TEXT(B5069,"YYYY-MM")</f>
        <v/>
      </c>
    </row>
    <row r="5070">
      <c r="A5070" t="inlineStr">
        <is>
          <t>LD-305068</t>
        </is>
      </c>
      <c r="B5070" t="inlineStr">
        <is>
          <t>2025-08-14 16:24:00</t>
        </is>
      </c>
      <c r="C5070" t="inlineStr">
        <is>
          <t>Organic Search</t>
        </is>
      </c>
      <c r="D5070" t="inlineStr">
        <is>
          <t>K-12 Math</t>
        </is>
      </c>
      <c r="E5070" t="inlineStr">
        <is>
          <t>West Region</t>
        </is>
      </c>
      <c r="F5070" t="inlineStr">
        <is>
          <t>Rep_13</t>
        </is>
      </c>
      <c r="G5070" t="n">
        <v>1.57</v>
      </c>
      <c r="H5070" t="inlineStr">
        <is>
          <t>Demo Completed</t>
        </is>
      </c>
      <c r="I5070" t="inlineStr">
        <is>
          <t>Lost</t>
        </is>
      </c>
      <c r="J5070" t="inlineStr">
        <is>
          <t>Price Objection</t>
        </is>
      </c>
      <c r="K5070" t="n">
        <v>424.69</v>
      </c>
      <c r="L5070" t="inlineStr">
        <is>
          <t>2025-08-25 23:11:38.089886</t>
        </is>
      </c>
      <c r="M5070">
        <f>VLOOKUP(H5070,'Stage Order'!$A$2:$B$8,2,FALSE)</f>
        <v/>
      </c>
      <c r="N5070">
        <f>IF(G5070&lt;=1,"1. Under 1 hour",IF(G5070&lt;=24,"2. 1-24 hours",IF(G5070&lt;=72,"3. 1-3 days","4. Over 3 days")))</f>
        <v/>
      </c>
      <c r="O5070">
        <f>TEXT(B5070,"YYYY-MM")</f>
        <v/>
      </c>
    </row>
    <row r="5071">
      <c r="A5071" t="inlineStr">
        <is>
          <t>LD-305069</t>
        </is>
      </c>
      <c r="B5071" t="inlineStr">
        <is>
          <t>2026-03-27 08:57:00</t>
        </is>
      </c>
      <c r="C5071" t="inlineStr">
        <is>
          <t>Paid Search</t>
        </is>
      </c>
      <c r="D5071" t="inlineStr">
        <is>
          <t>Competitive Exam Prep</t>
        </is>
      </c>
      <c r="E5071" t="inlineStr">
        <is>
          <t>South Region</t>
        </is>
      </c>
      <c r="F5071" t="inlineStr">
        <is>
          <t>Rep_12</t>
        </is>
      </c>
      <c r="G5071" t="n">
        <v>1.84</v>
      </c>
      <c r="H5071" t="inlineStr">
        <is>
          <t>Contacted</t>
        </is>
      </c>
      <c r="I5071" t="inlineStr">
        <is>
          <t>Open</t>
        </is>
      </c>
      <c r="M5071">
        <f>VLOOKUP(H5071,'Stage Order'!$A$2:$B$8,2,FALSE)</f>
        <v/>
      </c>
      <c r="N5071">
        <f>IF(G5071&lt;=1,"1. Under 1 hour",IF(G5071&lt;=24,"2. 1-24 hours",IF(G5071&lt;=72,"3. 1-3 days","4. Over 3 days")))</f>
        <v/>
      </c>
      <c r="O5071">
        <f>TEXT(B5071,"YYYY-MM")</f>
        <v/>
      </c>
    </row>
    <row r="5072">
      <c r="A5072" t="inlineStr">
        <is>
          <t>LD-305070</t>
        </is>
      </c>
      <c r="B5072" t="inlineStr">
        <is>
          <t>2025-09-15 07:53:00</t>
        </is>
      </c>
      <c r="C5072" t="inlineStr">
        <is>
          <t>Paid Search</t>
        </is>
      </c>
      <c r="D5072" t="inlineStr">
        <is>
          <t>Competitive Exam Prep</t>
        </is>
      </c>
      <c r="E5072" t="inlineStr">
        <is>
          <t>South Region</t>
        </is>
      </c>
      <c r="F5072" t="inlineStr">
        <is>
          <t>Rep_07</t>
        </is>
      </c>
      <c r="G5072" t="n">
        <v>8.32</v>
      </c>
      <c r="H5072" t="inlineStr">
        <is>
          <t>Contacted</t>
        </is>
      </c>
      <c r="I5072" t="inlineStr">
        <is>
          <t>Open</t>
        </is>
      </c>
      <c r="M5072">
        <f>VLOOKUP(H5072,'Stage Order'!$A$2:$B$8,2,FALSE)</f>
        <v/>
      </c>
      <c r="N5072">
        <f>IF(G5072&lt;=1,"1. Under 1 hour",IF(G5072&lt;=24,"2. 1-24 hours",IF(G5072&lt;=72,"3. 1-3 days","4. Over 3 days")))</f>
        <v/>
      </c>
      <c r="O5072">
        <f>TEXT(B5072,"YYYY-MM")</f>
        <v/>
      </c>
    </row>
    <row r="5073">
      <c r="A5073" t="inlineStr">
        <is>
          <t>LD-305071</t>
        </is>
      </c>
      <c r="B5073" t="inlineStr">
        <is>
          <t>2026-04-06 12:15:00</t>
        </is>
      </c>
      <c r="C5073" t="inlineStr">
        <is>
          <t>Social Media</t>
        </is>
      </c>
      <c r="D5073" t="inlineStr">
        <is>
          <t>Competitive Exam Prep</t>
        </is>
      </c>
      <c r="E5073" t="inlineStr">
        <is>
          <t>East Region</t>
        </is>
      </c>
      <c r="F5073" t="inlineStr">
        <is>
          <t>Rep_09</t>
        </is>
      </c>
      <c r="G5073" t="n">
        <v>9.93</v>
      </c>
      <c r="H5073" t="inlineStr">
        <is>
          <t>Contacted</t>
        </is>
      </c>
      <c r="I5073" t="inlineStr">
        <is>
          <t>Open</t>
        </is>
      </c>
      <c r="M5073">
        <f>VLOOKUP(H5073,'Stage Order'!$A$2:$B$8,2,FALSE)</f>
        <v/>
      </c>
      <c r="N5073">
        <f>IF(G5073&lt;=1,"1. Under 1 hour",IF(G5073&lt;=24,"2. 1-24 hours",IF(G5073&lt;=72,"3. 1-3 days","4. Over 3 days")))</f>
        <v/>
      </c>
      <c r="O5073">
        <f>TEXT(B5073,"YYYY-MM")</f>
        <v/>
      </c>
    </row>
    <row r="5074">
      <c r="A5074" t="inlineStr">
        <is>
          <t>LD-305072</t>
        </is>
      </c>
      <c r="B5074" t="inlineStr">
        <is>
          <t>2026-02-10 18:39:00</t>
        </is>
      </c>
      <c r="C5074" t="inlineStr">
        <is>
          <t>Organic Search</t>
        </is>
      </c>
      <c r="D5074" t="inlineStr">
        <is>
          <t>K-12 Math</t>
        </is>
      </c>
      <c r="E5074" t="inlineStr">
        <is>
          <t>North Region</t>
        </is>
      </c>
      <c r="F5074" t="inlineStr">
        <is>
          <t>Rep_11</t>
        </is>
      </c>
      <c r="G5074" t="n">
        <v>3.64</v>
      </c>
      <c r="H5074" t="inlineStr">
        <is>
          <t>Negotiation</t>
        </is>
      </c>
      <c r="I5074" t="inlineStr">
        <is>
          <t>Lost</t>
        </is>
      </c>
      <c r="J5074" t="inlineStr">
        <is>
          <t>Price Objection</t>
        </is>
      </c>
      <c r="K5074" t="n">
        <v>505.91</v>
      </c>
      <c r="L5074" t="inlineStr">
        <is>
          <t>2026-03-25 16:38:55.087855</t>
        </is>
      </c>
      <c r="M5074">
        <f>VLOOKUP(H5074,'Stage Order'!$A$2:$B$8,2,FALSE)</f>
        <v/>
      </c>
      <c r="N5074">
        <f>IF(G5074&lt;=1,"1. Under 1 hour",IF(G5074&lt;=24,"2. 1-24 hours",IF(G5074&lt;=72,"3. 1-3 days","4. Over 3 days")))</f>
        <v/>
      </c>
      <c r="O5074">
        <f>TEXT(B5074,"YYYY-MM")</f>
        <v/>
      </c>
    </row>
    <row r="5075">
      <c r="A5075" t="inlineStr">
        <is>
          <t>LD-305073</t>
        </is>
      </c>
      <c r="B5075" t="inlineStr">
        <is>
          <t>2025-03-21 11:54:00</t>
        </is>
      </c>
      <c r="C5075" t="inlineStr">
        <is>
          <t>Paid Search</t>
        </is>
      </c>
      <c r="D5075" t="inlineStr">
        <is>
          <t>Study Abroad Prep</t>
        </is>
      </c>
      <c r="E5075" t="inlineStr">
        <is>
          <t>South Region</t>
        </is>
      </c>
      <c r="F5075" t="inlineStr">
        <is>
          <t>Rep_07</t>
        </is>
      </c>
      <c r="G5075" t="n">
        <v>2.08</v>
      </c>
      <c r="H5075" t="inlineStr">
        <is>
          <t>Proposal Sent</t>
        </is>
      </c>
      <c r="I5075" t="inlineStr">
        <is>
          <t>Lost</t>
        </is>
      </c>
      <c r="J5075" t="inlineStr">
        <is>
          <t>Bad Timing</t>
        </is>
      </c>
      <c r="K5075" t="n">
        <v>1268.88</v>
      </c>
      <c r="L5075" t="inlineStr">
        <is>
          <t>2025-05-03 22:48:57.581290</t>
        </is>
      </c>
      <c r="M5075">
        <f>VLOOKUP(H5075,'Stage Order'!$A$2:$B$8,2,FALSE)</f>
        <v/>
      </c>
      <c r="N5075">
        <f>IF(G5075&lt;=1,"1. Under 1 hour",IF(G5075&lt;=24,"2. 1-24 hours",IF(G5075&lt;=72,"3. 1-3 days","4. Over 3 days")))</f>
        <v/>
      </c>
      <c r="O5075">
        <f>TEXT(B5075,"YYYY-MM")</f>
        <v/>
      </c>
    </row>
    <row r="5076">
      <c r="A5076" t="inlineStr">
        <is>
          <t>LD-305074</t>
        </is>
      </c>
      <c r="B5076" t="inlineStr">
        <is>
          <t>2025-01-31 08:50:00</t>
        </is>
      </c>
      <c r="C5076" t="inlineStr">
        <is>
          <t>Social Media</t>
        </is>
      </c>
      <c r="D5076" t="inlineStr">
        <is>
          <t>Language Learning</t>
        </is>
      </c>
      <c r="E5076" t="inlineStr">
        <is>
          <t>South Region</t>
        </is>
      </c>
      <c r="F5076" t="inlineStr">
        <is>
          <t>Rep_12</t>
        </is>
      </c>
      <c r="G5076" t="n">
        <v>1.29</v>
      </c>
      <c r="H5076" t="inlineStr">
        <is>
          <t>Negotiation</t>
        </is>
      </c>
      <c r="I5076" t="inlineStr">
        <is>
          <t>Lost</t>
        </is>
      </c>
      <c r="J5076" t="inlineStr">
        <is>
          <t>No Response / Ghosted</t>
        </is>
      </c>
      <c r="K5076" t="n">
        <v>336.79</v>
      </c>
      <c r="L5076" t="inlineStr">
        <is>
          <t>2025-03-08 04:41:46.404336</t>
        </is>
      </c>
      <c r="M5076">
        <f>VLOOKUP(H5076,'Stage Order'!$A$2:$B$8,2,FALSE)</f>
        <v/>
      </c>
      <c r="N5076">
        <f>IF(G5076&lt;=1,"1. Under 1 hour",IF(G5076&lt;=24,"2. 1-24 hours",IF(G5076&lt;=72,"3. 1-3 days","4. Over 3 days")))</f>
        <v/>
      </c>
      <c r="O5076">
        <f>TEXT(B5076,"YYYY-MM")</f>
        <v/>
      </c>
    </row>
    <row r="5077">
      <c r="A5077" t="inlineStr">
        <is>
          <t>LD-305075</t>
        </is>
      </c>
      <c r="B5077" t="inlineStr">
        <is>
          <t>2025-04-25 14:01:00</t>
        </is>
      </c>
      <c r="C5077" t="inlineStr">
        <is>
          <t>Organic Search</t>
        </is>
      </c>
      <c r="D5077" t="inlineStr">
        <is>
          <t>K-12 Math</t>
        </is>
      </c>
      <c r="E5077" t="inlineStr">
        <is>
          <t>East Region</t>
        </is>
      </c>
      <c r="F5077" t="inlineStr">
        <is>
          <t>Rep_04</t>
        </is>
      </c>
      <c r="G5077" t="n">
        <v>1.42</v>
      </c>
      <c r="H5077" t="inlineStr">
        <is>
          <t>Contacted</t>
        </is>
      </c>
      <c r="I5077" t="inlineStr">
        <is>
          <t>Open</t>
        </is>
      </c>
      <c r="M5077">
        <f>VLOOKUP(H5077,'Stage Order'!$A$2:$B$8,2,FALSE)</f>
        <v/>
      </c>
      <c r="N5077">
        <f>IF(G5077&lt;=1,"1. Under 1 hour",IF(G5077&lt;=24,"2. 1-24 hours",IF(G5077&lt;=72,"3. 1-3 days","4. Over 3 days")))</f>
        <v/>
      </c>
      <c r="O5077">
        <f>TEXT(B5077,"YYYY-MM")</f>
        <v/>
      </c>
    </row>
    <row r="5078">
      <c r="A5078" t="inlineStr">
        <is>
          <t>LD-305076</t>
        </is>
      </c>
      <c r="B5078" t="inlineStr">
        <is>
          <t>2026-03-06 17:08:00</t>
        </is>
      </c>
      <c r="C5078" t="inlineStr">
        <is>
          <t>Cold Outreach</t>
        </is>
      </c>
      <c r="D5078" t="inlineStr">
        <is>
          <t>K-12 Math</t>
        </is>
      </c>
      <c r="E5078" t="inlineStr">
        <is>
          <t>International</t>
        </is>
      </c>
      <c r="F5078" t="inlineStr">
        <is>
          <t>Rep_05</t>
        </is>
      </c>
      <c r="G5078" t="n">
        <v>4.9</v>
      </c>
      <c r="H5078" t="inlineStr">
        <is>
          <t>Lead</t>
        </is>
      </c>
      <c r="I5078" t="inlineStr">
        <is>
          <t>Open</t>
        </is>
      </c>
      <c r="M5078">
        <f>VLOOKUP(H5078,'Stage Order'!$A$2:$B$8,2,FALSE)</f>
        <v/>
      </c>
      <c r="N5078">
        <f>IF(G5078&lt;=1,"1. Under 1 hour",IF(G5078&lt;=24,"2. 1-24 hours",IF(G5078&lt;=72,"3. 1-3 days","4. Over 3 days")))</f>
        <v/>
      </c>
      <c r="O5078">
        <f>TEXT(B5078,"YYYY-MM")</f>
        <v/>
      </c>
    </row>
    <row r="5079">
      <c r="A5079" t="inlineStr">
        <is>
          <t>LD-305077</t>
        </is>
      </c>
      <c r="B5079" t="inlineStr">
        <is>
          <t>2025-10-28 19:29:00</t>
        </is>
      </c>
      <c r="C5079" t="inlineStr">
        <is>
          <t>Paid Search</t>
        </is>
      </c>
      <c r="D5079" t="inlineStr">
        <is>
          <t>Language Learning</t>
        </is>
      </c>
      <c r="E5079" t="inlineStr">
        <is>
          <t>North Region</t>
        </is>
      </c>
      <c r="F5079" t="inlineStr">
        <is>
          <t>Rep_06</t>
        </is>
      </c>
      <c r="G5079" t="n">
        <v>1.84</v>
      </c>
      <c r="H5079" t="inlineStr">
        <is>
          <t>Contacted</t>
        </is>
      </c>
      <c r="I5079" t="inlineStr">
        <is>
          <t>Open</t>
        </is>
      </c>
      <c r="M5079">
        <f>VLOOKUP(H5079,'Stage Order'!$A$2:$B$8,2,FALSE)</f>
        <v/>
      </c>
      <c r="N5079">
        <f>IF(G5079&lt;=1,"1. Under 1 hour",IF(G5079&lt;=24,"2. 1-24 hours",IF(G5079&lt;=72,"3. 1-3 days","4. Over 3 days")))</f>
        <v/>
      </c>
      <c r="O5079">
        <f>TEXT(B5079,"YYYY-MM")</f>
        <v/>
      </c>
    </row>
    <row r="5080">
      <c r="A5080" t="inlineStr">
        <is>
          <t>LD-305078</t>
        </is>
      </c>
      <c r="B5080" t="inlineStr">
        <is>
          <t>2025-11-07 14:45:00</t>
        </is>
      </c>
      <c r="C5080" t="inlineStr">
        <is>
          <t>Paid Search</t>
        </is>
      </c>
      <c r="D5080" t="inlineStr">
        <is>
          <t>K-12 Math</t>
        </is>
      </c>
      <c r="E5080" t="inlineStr">
        <is>
          <t>East Region</t>
        </is>
      </c>
      <c r="F5080" t="inlineStr">
        <is>
          <t>Rep_09</t>
        </is>
      </c>
      <c r="G5080" t="n">
        <v>2.98</v>
      </c>
      <c r="H5080" t="inlineStr">
        <is>
          <t>Contacted</t>
        </is>
      </c>
      <c r="I5080" t="inlineStr">
        <is>
          <t>Open</t>
        </is>
      </c>
      <c r="M5080">
        <f>VLOOKUP(H5080,'Stage Order'!$A$2:$B$8,2,FALSE)</f>
        <v/>
      </c>
      <c r="N5080">
        <f>IF(G5080&lt;=1,"1. Under 1 hour",IF(G5080&lt;=24,"2. 1-24 hours",IF(G5080&lt;=72,"3. 1-3 days","4. Over 3 days")))</f>
        <v/>
      </c>
      <c r="O5080">
        <f>TEXT(B5080,"YYYY-MM")</f>
        <v/>
      </c>
    </row>
    <row r="5081">
      <c r="A5081" t="inlineStr">
        <is>
          <t>LD-305079</t>
        </is>
      </c>
      <c r="B5081" t="inlineStr">
        <is>
          <t>2025-06-02 16:16:00</t>
        </is>
      </c>
      <c r="C5081" t="inlineStr">
        <is>
          <t>Referral</t>
        </is>
      </c>
      <c r="D5081" t="inlineStr">
        <is>
          <t>Competitive Exam Prep</t>
        </is>
      </c>
      <c r="E5081" t="inlineStr">
        <is>
          <t>North Region</t>
        </is>
      </c>
      <c r="F5081" t="inlineStr">
        <is>
          <t>Rep_01</t>
        </is>
      </c>
      <c r="G5081" t="n">
        <v>2.39</v>
      </c>
      <c r="H5081" t="inlineStr">
        <is>
          <t>Negotiation</t>
        </is>
      </c>
      <c r="I5081" t="inlineStr">
        <is>
          <t>Lost</t>
        </is>
      </c>
      <c r="J5081" t="inlineStr">
        <is>
          <t>Went With Competitor</t>
        </is>
      </c>
      <c r="K5081" t="n">
        <v>1168.65</v>
      </c>
      <c r="L5081" t="inlineStr">
        <is>
          <t>2025-07-21 01:45:39.648969</t>
        </is>
      </c>
      <c r="M5081">
        <f>VLOOKUP(H5081,'Stage Order'!$A$2:$B$8,2,FALSE)</f>
        <v/>
      </c>
      <c r="N5081">
        <f>IF(G5081&lt;=1,"1. Under 1 hour",IF(G5081&lt;=24,"2. 1-24 hours",IF(G5081&lt;=72,"3. 1-3 days","4. Over 3 days")))</f>
        <v/>
      </c>
      <c r="O5081">
        <f>TEXT(B5081,"YYYY-MM")</f>
        <v/>
      </c>
    </row>
    <row r="5082">
      <c r="A5082" t="inlineStr">
        <is>
          <t>LD-305080</t>
        </is>
      </c>
      <c r="B5082" t="inlineStr">
        <is>
          <t>2025-04-28 16:06:00</t>
        </is>
      </c>
      <c r="C5082" t="inlineStr">
        <is>
          <t>Organic Search</t>
        </is>
      </c>
      <c r="D5082" t="inlineStr">
        <is>
          <t>Coding for Kids</t>
        </is>
      </c>
      <c r="E5082" t="inlineStr">
        <is>
          <t>South Region</t>
        </is>
      </c>
      <c r="F5082" t="inlineStr">
        <is>
          <t>Rep_02</t>
        </is>
      </c>
      <c r="G5082" t="n">
        <v>5.74</v>
      </c>
      <c r="H5082" t="inlineStr">
        <is>
          <t>Contacted</t>
        </is>
      </c>
      <c r="I5082" t="inlineStr">
        <is>
          <t>Open</t>
        </is>
      </c>
      <c r="M5082">
        <f>VLOOKUP(H5082,'Stage Order'!$A$2:$B$8,2,FALSE)</f>
        <v/>
      </c>
      <c r="N5082">
        <f>IF(G5082&lt;=1,"1. Under 1 hour",IF(G5082&lt;=24,"2. 1-24 hours",IF(G5082&lt;=72,"3. 1-3 days","4. Over 3 days")))</f>
        <v/>
      </c>
      <c r="O5082">
        <f>TEXT(B5082,"YYYY-MM")</f>
        <v/>
      </c>
    </row>
    <row r="5083">
      <c r="A5083" t="inlineStr">
        <is>
          <t>LD-305081</t>
        </is>
      </c>
      <c r="B5083" t="inlineStr">
        <is>
          <t>2026-05-01 17:49:00</t>
        </is>
      </c>
      <c r="C5083" t="inlineStr">
        <is>
          <t>Partner Channel</t>
        </is>
      </c>
      <c r="D5083" t="inlineStr">
        <is>
          <t>Coding for Kids</t>
        </is>
      </c>
      <c r="E5083" t="inlineStr">
        <is>
          <t>West Region</t>
        </is>
      </c>
      <c r="F5083" t="inlineStr">
        <is>
          <t>Rep_03</t>
        </is>
      </c>
      <c r="G5083" t="n">
        <v>3.26</v>
      </c>
      <c r="H5083" t="inlineStr">
        <is>
          <t>Contacted</t>
        </is>
      </c>
      <c r="I5083" t="inlineStr">
        <is>
          <t>Open</t>
        </is>
      </c>
      <c r="M5083">
        <f>VLOOKUP(H5083,'Stage Order'!$A$2:$B$8,2,FALSE)</f>
        <v/>
      </c>
      <c r="N5083">
        <f>IF(G5083&lt;=1,"1. Under 1 hour",IF(G5083&lt;=24,"2. 1-24 hours",IF(G5083&lt;=72,"3. 1-3 days","4. Over 3 days")))</f>
        <v/>
      </c>
      <c r="O5083">
        <f>TEXT(B5083,"YYYY-MM")</f>
        <v/>
      </c>
    </row>
    <row r="5084">
      <c r="A5084" t="inlineStr">
        <is>
          <t>LD-305082</t>
        </is>
      </c>
      <c r="B5084" t="inlineStr">
        <is>
          <t>2025-08-01 10:19:00</t>
        </is>
      </c>
      <c r="C5084" t="inlineStr">
        <is>
          <t>Webinar</t>
        </is>
      </c>
      <c r="D5084" t="inlineStr">
        <is>
          <t>Language Learning</t>
        </is>
      </c>
      <c r="E5084" t="inlineStr">
        <is>
          <t>East Region</t>
        </is>
      </c>
      <c r="F5084" t="inlineStr">
        <is>
          <t>Rep_04</t>
        </is>
      </c>
      <c r="G5084" t="n">
        <v>2.08</v>
      </c>
      <c r="H5084" t="inlineStr">
        <is>
          <t>Demo Completed</t>
        </is>
      </c>
      <c r="I5084" t="inlineStr">
        <is>
          <t>Lost</t>
        </is>
      </c>
      <c r="J5084" t="inlineStr">
        <is>
          <t>Bad Timing</t>
        </is>
      </c>
      <c r="K5084" t="n">
        <v>290.85</v>
      </c>
      <c r="L5084" t="inlineStr">
        <is>
          <t>2025-09-03 12:05:43.032238</t>
        </is>
      </c>
      <c r="M5084">
        <f>VLOOKUP(H5084,'Stage Order'!$A$2:$B$8,2,FALSE)</f>
        <v/>
      </c>
      <c r="N5084">
        <f>IF(G5084&lt;=1,"1. Under 1 hour",IF(G5084&lt;=24,"2. 1-24 hours",IF(G5084&lt;=72,"3. 1-3 days","4. Over 3 days")))</f>
        <v/>
      </c>
      <c r="O5084">
        <f>TEXT(B5084,"YYYY-MM")</f>
        <v/>
      </c>
    </row>
    <row r="5085">
      <c r="A5085" t="inlineStr">
        <is>
          <t>LD-305083</t>
        </is>
      </c>
      <c r="B5085" t="inlineStr">
        <is>
          <t>2025-09-29 08:09:00</t>
        </is>
      </c>
      <c r="C5085" t="inlineStr">
        <is>
          <t>Organic Search</t>
        </is>
      </c>
      <c r="D5085" t="inlineStr">
        <is>
          <t>Language Learning</t>
        </is>
      </c>
      <c r="E5085" t="inlineStr">
        <is>
          <t>South Region</t>
        </is>
      </c>
      <c r="F5085" t="inlineStr">
        <is>
          <t>Rep_02</t>
        </is>
      </c>
      <c r="G5085" t="n">
        <v>3.9</v>
      </c>
      <c r="H5085" t="inlineStr">
        <is>
          <t>Contacted</t>
        </is>
      </c>
      <c r="I5085" t="inlineStr">
        <is>
          <t>Open</t>
        </is>
      </c>
      <c r="M5085">
        <f>VLOOKUP(H5085,'Stage Order'!$A$2:$B$8,2,FALSE)</f>
        <v/>
      </c>
      <c r="N5085">
        <f>IF(G5085&lt;=1,"1. Under 1 hour",IF(G5085&lt;=24,"2. 1-24 hours",IF(G5085&lt;=72,"3. 1-3 days","4. Over 3 days")))</f>
        <v/>
      </c>
      <c r="O5085">
        <f>TEXT(B5085,"YYYY-MM")</f>
        <v/>
      </c>
    </row>
    <row r="5086">
      <c r="A5086" t="inlineStr">
        <is>
          <t>LD-305084</t>
        </is>
      </c>
      <c r="B5086" t="inlineStr">
        <is>
          <t>2026-02-11 19:11:00</t>
        </is>
      </c>
      <c r="C5086" t="inlineStr">
        <is>
          <t>Social Media</t>
        </is>
      </c>
      <c r="D5086" t="inlineStr">
        <is>
          <t>Competitive Exam Prep</t>
        </is>
      </c>
      <c r="E5086" t="inlineStr">
        <is>
          <t>International</t>
        </is>
      </c>
      <c r="F5086" t="inlineStr">
        <is>
          <t>Rep_10</t>
        </is>
      </c>
      <c r="G5086" t="n">
        <v>7.06</v>
      </c>
      <c r="H5086" t="inlineStr">
        <is>
          <t>Demo Scheduled</t>
        </is>
      </c>
      <c r="I5086" t="inlineStr">
        <is>
          <t>Open</t>
        </is>
      </c>
      <c r="M5086">
        <f>VLOOKUP(H5086,'Stage Order'!$A$2:$B$8,2,FALSE)</f>
        <v/>
      </c>
      <c r="N5086">
        <f>IF(G5086&lt;=1,"1. Under 1 hour",IF(G5086&lt;=24,"2. 1-24 hours",IF(G5086&lt;=72,"3. 1-3 days","4. Over 3 days")))</f>
        <v/>
      </c>
      <c r="O5086">
        <f>TEXT(B5086,"YYYY-MM")</f>
        <v/>
      </c>
    </row>
    <row r="5087">
      <c r="A5087" t="inlineStr">
        <is>
          <t>LD-305085</t>
        </is>
      </c>
      <c r="B5087" t="inlineStr">
        <is>
          <t>2026-02-10 18:21:00</t>
        </is>
      </c>
      <c r="C5087" t="inlineStr">
        <is>
          <t>Referral</t>
        </is>
      </c>
      <c r="D5087" t="inlineStr">
        <is>
          <t>K-12 Math</t>
        </is>
      </c>
      <c r="E5087" t="inlineStr">
        <is>
          <t>North Region</t>
        </is>
      </c>
      <c r="F5087" t="inlineStr">
        <is>
          <t>Rep_11</t>
        </is>
      </c>
      <c r="G5087" t="n">
        <v>3.19</v>
      </c>
      <c r="H5087" t="inlineStr">
        <is>
          <t>Closed</t>
        </is>
      </c>
      <c r="I5087" t="inlineStr">
        <is>
          <t>Won</t>
        </is>
      </c>
      <c r="K5087" t="n">
        <v>466.09</v>
      </c>
      <c r="L5087" t="inlineStr">
        <is>
          <t>2026-03-15 05:50:35.240529</t>
        </is>
      </c>
      <c r="M5087">
        <f>VLOOKUP(H5087,'Stage Order'!$A$2:$B$8,2,FALSE)</f>
        <v/>
      </c>
      <c r="N5087">
        <f>IF(G5087&lt;=1,"1. Under 1 hour",IF(G5087&lt;=24,"2. 1-24 hours",IF(G5087&lt;=72,"3. 1-3 days","4. Over 3 days")))</f>
        <v/>
      </c>
      <c r="O5087">
        <f>TEXT(B5087,"YYYY-MM")</f>
        <v/>
      </c>
    </row>
    <row r="5088">
      <c r="A5088" t="inlineStr">
        <is>
          <t>LD-305086</t>
        </is>
      </c>
      <c r="B5088" t="inlineStr">
        <is>
          <t>2025-01-23 10:43:00</t>
        </is>
      </c>
      <c r="C5088" t="inlineStr">
        <is>
          <t>Referral</t>
        </is>
      </c>
      <c r="D5088" t="inlineStr">
        <is>
          <t>K-12 Math</t>
        </is>
      </c>
      <c r="E5088" t="inlineStr">
        <is>
          <t>North Region</t>
        </is>
      </c>
      <c r="F5088" t="inlineStr">
        <is>
          <t>Rep_11</t>
        </is>
      </c>
      <c r="G5088" t="n">
        <v>19.53</v>
      </c>
      <c r="H5088" t="inlineStr">
        <is>
          <t>Closed</t>
        </is>
      </c>
      <c r="I5088" t="inlineStr">
        <is>
          <t>Won</t>
        </is>
      </c>
      <c r="K5088" t="n">
        <v>587.62</v>
      </c>
      <c r="L5088" t="inlineStr">
        <is>
          <t>2025-03-04 14:08:35.600636</t>
        </is>
      </c>
      <c r="M5088">
        <f>VLOOKUP(H5088,'Stage Order'!$A$2:$B$8,2,FALSE)</f>
        <v/>
      </c>
      <c r="N5088">
        <f>IF(G5088&lt;=1,"1. Under 1 hour",IF(G5088&lt;=24,"2. 1-24 hours",IF(G5088&lt;=72,"3. 1-3 days","4. Over 3 days")))</f>
        <v/>
      </c>
      <c r="O5088">
        <f>TEXT(B5088,"YYYY-MM")</f>
        <v/>
      </c>
    </row>
    <row r="5089">
      <c r="A5089" t="inlineStr">
        <is>
          <t>LD-305087</t>
        </is>
      </c>
      <c r="B5089" t="inlineStr">
        <is>
          <t>2025-05-29 15:21:00</t>
        </is>
      </c>
      <c r="C5089" t="inlineStr">
        <is>
          <t>Cold Outreach</t>
        </is>
      </c>
      <c r="D5089" t="inlineStr">
        <is>
          <t>Study Abroad Prep</t>
        </is>
      </c>
      <c r="E5089" t="inlineStr">
        <is>
          <t>South Region</t>
        </is>
      </c>
      <c r="F5089" t="inlineStr">
        <is>
          <t>Rep_02</t>
        </is>
      </c>
      <c r="G5089" t="n">
        <v>3.25</v>
      </c>
      <c r="H5089" t="inlineStr">
        <is>
          <t>Lead</t>
        </is>
      </c>
      <c r="I5089" t="inlineStr">
        <is>
          <t>Open</t>
        </is>
      </c>
      <c r="M5089">
        <f>VLOOKUP(H5089,'Stage Order'!$A$2:$B$8,2,FALSE)</f>
        <v/>
      </c>
      <c r="N5089">
        <f>IF(G5089&lt;=1,"1. Under 1 hour",IF(G5089&lt;=24,"2. 1-24 hours",IF(G5089&lt;=72,"3. 1-3 days","4. Over 3 days")))</f>
        <v/>
      </c>
      <c r="O5089">
        <f>TEXT(B5089,"YYYY-MM")</f>
        <v/>
      </c>
    </row>
    <row r="5090">
      <c r="A5090" t="inlineStr">
        <is>
          <t>LD-305088</t>
        </is>
      </c>
      <c r="B5090" t="inlineStr">
        <is>
          <t>2026-02-20 19:14:00</t>
        </is>
      </c>
      <c r="C5090" t="inlineStr">
        <is>
          <t>Social Media</t>
        </is>
      </c>
      <c r="D5090" t="inlineStr">
        <is>
          <t>Competitive Exam Prep</t>
        </is>
      </c>
      <c r="E5090" t="inlineStr">
        <is>
          <t>South Region</t>
        </is>
      </c>
      <c r="F5090" t="inlineStr">
        <is>
          <t>Rep_12</t>
        </is>
      </c>
      <c r="G5090" t="n">
        <v>3.55</v>
      </c>
      <c r="H5090" t="inlineStr">
        <is>
          <t>Demo Completed</t>
        </is>
      </c>
      <c r="I5090" t="inlineStr">
        <is>
          <t>Lost</t>
        </is>
      </c>
      <c r="J5090" t="inlineStr">
        <is>
          <t>No Response / Ghosted</t>
        </is>
      </c>
      <c r="K5090" t="n">
        <v>1167.6</v>
      </c>
      <c r="L5090" t="inlineStr">
        <is>
          <t>2026-04-08 01:21:00.736659</t>
        </is>
      </c>
      <c r="M5090">
        <f>VLOOKUP(H5090,'Stage Order'!$A$2:$B$8,2,FALSE)</f>
        <v/>
      </c>
      <c r="N5090">
        <f>IF(G5090&lt;=1,"1. Under 1 hour",IF(G5090&lt;=24,"2. 1-24 hours",IF(G5090&lt;=72,"3. 1-3 days","4. Over 3 days")))</f>
        <v/>
      </c>
      <c r="O5090">
        <f>TEXT(B5090,"YYYY-MM")</f>
        <v/>
      </c>
    </row>
    <row r="5091">
      <c r="A5091" t="inlineStr">
        <is>
          <t>LD-305089</t>
        </is>
      </c>
      <c r="B5091" t="inlineStr">
        <is>
          <t>2025-11-13 16:57:00</t>
        </is>
      </c>
      <c r="C5091" t="inlineStr">
        <is>
          <t>Cold Outreach</t>
        </is>
      </c>
      <c r="D5091" t="inlineStr">
        <is>
          <t>Language Learning</t>
        </is>
      </c>
      <c r="E5091" t="inlineStr">
        <is>
          <t>West Region</t>
        </is>
      </c>
      <c r="F5091" t="inlineStr">
        <is>
          <t>Rep_13</t>
        </is>
      </c>
      <c r="G5091" t="n">
        <v>3.9</v>
      </c>
      <c r="H5091" t="inlineStr">
        <is>
          <t>Lead</t>
        </is>
      </c>
      <c r="I5091" t="inlineStr">
        <is>
          <t>Open</t>
        </is>
      </c>
      <c r="M5091">
        <f>VLOOKUP(H5091,'Stage Order'!$A$2:$B$8,2,FALSE)</f>
        <v/>
      </c>
      <c r="N5091">
        <f>IF(G5091&lt;=1,"1. Under 1 hour",IF(G5091&lt;=24,"2. 1-24 hours",IF(G5091&lt;=72,"3. 1-3 days","4. Over 3 days")))</f>
        <v/>
      </c>
      <c r="O5091">
        <f>TEXT(B5091,"YYYY-MM")</f>
        <v/>
      </c>
    </row>
    <row r="5092">
      <c r="A5092" t="inlineStr">
        <is>
          <t>LD-305090</t>
        </is>
      </c>
      <c r="B5092" t="inlineStr">
        <is>
          <t>2025-11-14 18:29:00</t>
        </is>
      </c>
      <c r="C5092" t="inlineStr">
        <is>
          <t>Paid Search</t>
        </is>
      </c>
      <c r="D5092" t="inlineStr">
        <is>
          <t>Competitive Exam Prep</t>
        </is>
      </c>
      <c r="E5092" t="inlineStr">
        <is>
          <t>East Region</t>
        </is>
      </c>
      <c r="F5092" t="inlineStr">
        <is>
          <t>Rep_04</t>
        </is>
      </c>
      <c r="G5092" t="n">
        <v>1.21</v>
      </c>
      <c r="H5092" t="inlineStr">
        <is>
          <t>Lead</t>
        </is>
      </c>
      <c r="I5092" t="inlineStr">
        <is>
          <t>Open</t>
        </is>
      </c>
      <c r="M5092">
        <f>VLOOKUP(H5092,'Stage Order'!$A$2:$B$8,2,FALSE)</f>
        <v/>
      </c>
      <c r="N5092">
        <f>IF(G5092&lt;=1,"1. Under 1 hour",IF(G5092&lt;=24,"2. 1-24 hours",IF(G5092&lt;=72,"3. 1-3 days","4. Over 3 days")))</f>
        <v/>
      </c>
      <c r="O5092">
        <f>TEXT(B5092,"YYYY-MM")</f>
        <v/>
      </c>
    </row>
    <row r="5093">
      <c r="A5093" t="inlineStr">
        <is>
          <t>LD-305091</t>
        </is>
      </c>
      <c r="B5093" t="inlineStr">
        <is>
          <t>2025-11-13 13:55:00</t>
        </is>
      </c>
      <c r="C5093" t="inlineStr">
        <is>
          <t>Organic Search</t>
        </is>
      </c>
      <c r="D5093" t="inlineStr">
        <is>
          <t>Language Learning</t>
        </is>
      </c>
      <c r="E5093" t="inlineStr">
        <is>
          <t>International</t>
        </is>
      </c>
      <c r="F5093" t="inlineStr">
        <is>
          <t>Rep_15</t>
        </is>
      </c>
      <c r="G5093" t="n">
        <v>1.7</v>
      </c>
      <c r="H5093" t="inlineStr">
        <is>
          <t>Contacted</t>
        </is>
      </c>
      <c r="I5093" t="inlineStr">
        <is>
          <t>Open</t>
        </is>
      </c>
      <c r="M5093">
        <f>VLOOKUP(H5093,'Stage Order'!$A$2:$B$8,2,FALSE)</f>
        <v/>
      </c>
      <c r="N5093">
        <f>IF(G5093&lt;=1,"1. Under 1 hour",IF(G5093&lt;=24,"2. 1-24 hours",IF(G5093&lt;=72,"3. 1-3 days","4. Over 3 days")))</f>
        <v/>
      </c>
      <c r="O5093">
        <f>TEXT(B5093,"YYYY-MM")</f>
        <v/>
      </c>
    </row>
    <row r="5094">
      <c r="A5094" t="inlineStr">
        <is>
          <t>LD-305092</t>
        </is>
      </c>
      <c r="B5094" t="inlineStr">
        <is>
          <t>2025-06-01 19:32:00</t>
        </is>
      </c>
      <c r="C5094" t="inlineStr">
        <is>
          <t>Social Media</t>
        </is>
      </c>
      <c r="D5094" t="inlineStr">
        <is>
          <t>Competitive Exam Prep</t>
        </is>
      </c>
      <c r="E5094" t="inlineStr">
        <is>
          <t>West Region</t>
        </is>
      </c>
      <c r="F5094" t="inlineStr">
        <is>
          <t>Rep_13</t>
        </is>
      </c>
      <c r="G5094" t="n">
        <v>3.39</v>
      </c>
      <c r="H5094" t="inlineStr">
        <is>
          <t>Contacted</t>
        </is>
      </c>
      <c r="I5094" t="inlineStr">
        <is>
          <t>Open</t>
        </is>
      </c>
      <c r="M5094">
        <f>VLOOKUP(H5094,'Stage Order'!$A$2:$B$8,2,FALSE)</f>
        <v/>
      </c>
      <c r="N5094">
        <f>IF(G5094&lt;=1,"1. Under 1 hour",IF(G5094&lt;=24,"2. 1-24 hours",IF(G5094&lt;=72,"3. 1-3 days","4. Over 3 days")))</f>
        <v/>
      </c>
      <c r="O5094">
        <f>TEXT(B5094,"YYYY-MM")</f>
        <v/>
      </c>
    </row>
    <row r="5095">
      <c r="A5095" t="inlineStr">
        <is>
          <t>LD-305093</t>
        </is>
      </c>
      <c r="B5095" t="inlineStr">
        <is>
          <t>2025-09-15 09:32:00</t>
        </is>
      </c>
      <c r="C5095" t="inlineStr">
        <is>
          <t>Organic Search</t>
        </is>
      </c>
      <c r="D5095" t="inlineStr">
        <is>
          <t>Competitive Exam Prep</t>
        </is>
      </c>
      <c r="E5095" t="inlineStr">
        <is>
          <t>South Region</t>
        </is>
      </c>
      <c r="F5095" t="inlineStr">
        <is>
          <t>Rep_12</t>
        </is>
      </c>
      <c r="G5095" t="n">
        <v>1.43</v>
      </c>
      <c r="H5095" t="inlineStr">
        <is>
          <t>Closed</t>
        </is>
      </c>
      <c r="I5095" t="inlineStr">
        <is>
          <t>Won</t>
        </is>
      </c>
      <c r="K5095" t="n">
        <v>1020.45</v>
      </c>
      <c r="L5095" t="inlineStr">
        <is>
          <t>2025-10-24 11:42:13.382678</t>
        </is>
      </c>
      <c r="M5095">
        <f>VLOOKUP(H5095,'Stage Order'!$A$2:$B$8,2,FALSE)</f>
        <v/>
      </c>
      <c r="N5095">
        <f>IF(G5095&lt;=1,"1. Under 1 hour",IF(G5095&lt;=24,"2. 1-24 hours",IF(G5095&lt;=72,"3. 1-3 days","4. Over 3 days")))</f>
        <v/>
      </c>
      <c r="O5095">
        <f>TEXT(B5095,"YYYY-MM")</f>
        <v/>
      </c>
    </row>
    <row r="5096">
      <c r="A5096" t="inlineStr">
        <is>
          <t>LD-305094</t>
        </is>
      </c>
      <c r="B5096" t="inlineStr">
        <is>
          <t>2025-05-09 07:54:00</t>
        </is>
      </c>
      <c r="C5096" t="inlineStr">
        <is>
          <t>Referral</t>
        </is>
      </c>
      <c r="D5096" t="inlineStr">
        <is>
          <t>Study Abroad Prep</t>
        </is>
      </c>
      <c r="E5096" t="inlineStr">
        <is>
          <t>International</t>
        </is>
      </c>
      <c r="F5096" t="inlineStr">
        <is>
          <t>Rep_10</t>
        </is>
      </c>
      <c r="G5096" t="n">
        <v>18.52</v>
      </c>
      <c r="H5096" t="inlineStr">
        <is>
          <t>Contacted</t>
        </is>
      </c>
      <c r="I5096" t="inlineStr">
        <is>
          <t>Open</t>
        </is>
      </c>
      <c r="M5096">
        <f>VLOOKUP(H5096,'Stage Order'!$A$2:$B$8,2,FALSE)</f>
        <v/>
      </c>
      <c r="N5096">
        <f>IF(G5096&lt;=1,"1. Under 1 hour",IF(G5096&lt;=24,"2. 1-24 hours",IF(G5096&lt;=72,"3. 1-3 days","4. Over 3 days")))</f>
        <v/>
      </c>
      <c r="O5096">
        <f>TEXT(B5096,"YYYY-MM")</f>
        <v/>
      </c>
    </row>
    <row r="5097">
      <c r="A5097" t="inlineStr">
        <is>
          <t>LD-305095</t>
        </is>
      </c>
      <c r="B5097" t="inlineStr">
        <is>
          <t>2026-04-24 14:22:00</t>
        </is>
      </c>
      <c r="C5097" t="inlineStr">
        <is>
          <t>Social Media</t>
        </is>
      </c>
      <c r="D5097" t="inlineStr">
        <is>
          <t>Competitive Exam Prep</t>
        </is>
      </c>
      <c r="E5097" t="inlineStr">
        <is>
          <t>South Region</t>
        </is>
      </c>
      <c r="F5097" t="inlineStr">
        <is>
          <t>Rep_12</t>
        </is>
      </c>
      <c r="G5097" t="n">
        <v>15.5</v>
      </c>
      <c r="H5097" t="inlineStr">
        <is>
          <t>Demo Completed</t>
        </is>
      </c>
      <c r="I5097" t="inlineStr">
        <is>
          <t>Lost</t>
        </is>
      </c>
      <c r="J5097" t="inlineStr">
        <is>
          <t>No Response / Ghosted</t>
        </is>
      </c>
      <c r="K5097" t="n">
        <v>896.51</v>
      </c>
      <c r="L5097" t="inlineStr">
        <is>
          <t>2026-05-31 19:58:46.327265</t>
        </is>
      </c>
      <c r="M5097">
        <f>VLOOKUP(H5097,'Stage Order'!$A$2:$B$8,2,FALSE)</f>
        <v/>
      </c>
      <c r="N5097">
        <f>IF(G5097&lt;=1,"1. Under 1 hour",IF(G5097&lt;=24,"2. 1-24 hours",IF(G5097&lt;=72,"3. 1-3 days","4. Over 3 days")))</f>
        <v/>
      </c>
      <c r="O5097">
        <f>TEXT(B5097,"YYYY-MM")</f>
        <v/>
      </c>
    </row>
    <row r="5098">
      <c r="A5098" t="inlineStr">
        <is>
          <t>LD-305096</t>
        </is>
      </c>
      <c r="B5098" t="inlineStr">
        <is>
          <t>2026-01-06 16:46:00</t>
        </is>
      </c>
      <c r="C5098" t="inlineStr">
        <is>
          <t>Organic Search</t>
        </is>
      </c>
      <c r="D5098" t="inlineStr">
        <is>
          <t>K-12 Math</t>
        </is>
      </c>
      <c r="E5098" t="inlineStr">
        <is>
          <t>North Region</t>
        </is>
      </c>
      <c r="F5098" t="inlineStr">
        <is>
          <t>Rep_11</t>
        </is>
      </c>
      <c r="G5098" t="n">
        <v>6.73</v>
      </c>
      <c r="H5098" t="inlineStr">
        <is>
          <t>Contacted</t>
        </is>
      </c>
      <c r="I5098" t="inlineStr">
        <is>
          <t>Open</t>
        </is>
      </c>
      <c r="M5098">
        <f>VLOOKUP(H5098,'Stage Order'!$A$2:$B$8,2,FALSE)</f>
        <v/>
      </c>
      <c r="N5098">
        <f>IF(G5098&lt;=1,"1. Under 1 hour",IF(G5098&lt;=24,"2. 1-24 hours",IF(G5098&lt;=72,"3. 1-3 days","4. Over 3 days")))</f>
        <v/>
      </c>
      <c r="O5098">
        <f>TEXT(B5098,"YYYY-MM")</f>
        <v/>
      </c>
    </row>
    <row r="5099">
      <c r="A5099" t="inlineStr">
        <is>
          <t>LD-305097</t>
        </is>
      </c>
      <c r="B5099" t="inlineStr">
        <is>
          <t>2026-05-22 09:16:00</t>
        </is>
      </c>
      <c r="C5099" t="inlineStr">
        <is>
          <t>Organic Search</t>
        </is>
      </c>
      <c r="D5099" t="inlineStr">
        <is>
          <t>Competitive Exam Prep</t>
        </is>
      </c>
      <c r="E5099" t="inlineStr">
        <is>
          <t>West Region</t>
        </is>
      </c>
      <c r="F5099" t="inlineStr">
        <is>
          <t>Rep_13</t>
        </is>
      </c>
      <c r="G5099" t="n">
        <v>2.41</v>
      </c>
      <c r="H5099" t="inlineStr">
        <is>
          <t>Negotiation</t>
        </is>
      </c>
      <c r="I5099" t="inlineStr">
        <is>
          <t>Lost</t>
        </is>
      </c>
      <c r="J5099" t="inlineStr">
        <is>
          <t>No Response / Ghosted</t>
        </is>
      </c>
      <c r="K5099" t="n">
        <v>1166.57</v>
      </c>
      <c r="L5099" t="inlineStr">
        <is>
          <t>2026-07-27 06:58:39.499579</t>
        </is>
      </c>
      <c r="M5099">
        <f>VLOOKUP(H5099,'Stage Order'!$A$2:$B$8,2,FALSE)</f>
        <v/>
      </c>
      <c r="N5099">
        <f>IF(G5099&lt;=1,"1. Under 1 hour",IF(G5099&lt;=24,"2. 1-24 hours",IF(G5099&lt;=72,"3. 1-3 days","4. Over 3 days")))</f>
        <v/>
      </c>
      <c r="O5099">
        <f>TEXT(B5099,"YYYY-MM")</f>
        <v/>
      </c>
    </row>
    <row r="5100">
      <c r="A5100" t="inlineStr">
        <is>
          <t>LD-305098</t>
        </is>
      </c>
      <c r="B5100" t="inlineStr">
        <is>
          <t>2025-09-09 09:34:00</t>
        </is>
      </c>
      <c r="C5100" t="inlineStr">
        <is>
          <t>Organic Search</t>
        </is>
      </c>
      <c r="D5100" t="inlineStr">
        <is>
          <t>Coding for Kids</t>
        </is>
      </c>
      <c r="E5100" t="inlineStr">
        <is>
          <t>West Region</t>
        </is>
      </c>
      <c r="F5100" t="inlineStr">
        <is>
          <t>Rep_03</t>
        </is>
      </c>
      <c r="G5100" t="n">
        <v>19.68</v>
      </c>
      <c r="H5100" t="inlineStr">
        <is>
          <t>Lead</t>
        </is>
      </c>
      <c r="I5100" t="inlineStr">
        <is>
          <t>Open</t>
        </is>
      </c>
      <c r="M5100">
        <f>VLOOKUP(H5100,'Stage Order'!$A$2:$B$8,2,FALSE)</f>
        <v/>
      </c>
      <c r="N5100">
        <f>IF(G5100&lt;=1,"1. Under 1 hour",IF(G5100&lt;=24,"2. 1-24 hours",IF(G5100&lt;=72,"3. 1-3 days","4. Over 3 days")))</f>
        <v/>
      </c>
      <c r="O5100">
        <f>TEXT(B5100,"YYYY-MM")</f>
        <v/>
      </c>
    </row>
    <row r="5101">
      <c r="A5101" t="inlineStr">
        <is>
          <t>LD-305099</t>
        </is>
      </c>
      <c r="B5101" t="inlineStr">
        <is>
          <t>2025-10-01 14:49:00</t>
        </is>
      </c>
      <c r="C5101" t="inlineStr">
        <is>
          <t>Cold Outreach</t>
        </is>
      </c>
      <c r="D5101" t="inlineStr">
        <is>
          <t>Competitive Exam Prep</t>
        </is>
      </c>
      <c r="E5101" t="inlineStr">
        <is>
          <t>South Region</t>
        </is>
      </c>
      <c r="F5101" t="inlineStr">
        <is>
          <t>Rep_12</t>
        </is>
      </c>
      <c r="G5101" t="n">
        <v>3.49</v>
      </c>
      <c r="H5101" t="inlineStr">
        <is>
          <t>Lead</t>
        </is>
      </c>
      <c r="I5101" t="inlineStr">
        <is>
          <t>Open</t>
        </is>
      </c>
      <c r="M5101">
        <f>VLOOKUP(H5101,'Stage Order'!$A$2:$B$8,2,FALSE)</f>
        <v/>
      </c>
      <c r="N5101">
        <f>IF(G5101&lt;=1,"1. Under 1 hour",IF(G5101&lt;=24,"2. 1-24 hours",IF(G5101&lt;=72,"3. 1-3 days","4. Over 3 days")))</f>
        <v/>
      </c>
      <c r="O5101">
        <f>TEXT(B5101,"YYYY-MM")</f>
        <v/>
      </c>
    </row>
    <row r="5102">
      <c r="A5102" t="inlineStr">
        <is>
          <t>LD-305100</t>
        </is>
      </c>
      <c r="B5102" t="inlineStr">
        <is>
          <t>2026-01-28 11:00:00</t>
        </is>
      </c>
      <c r="C5102" t="inlineStr">
        <is>
          <t>Social Media</t>
        </is>
      </c>
      <c r="D5102" t="inlineStr">
        <is>
          <t>Coding for Kids</t>
        </is>
      </c>
      <c r="E5102" t="inlineStr">
        <is>
          <t>East Region</t>
        </is>
      </c>
      <c r="F5102" t="inlineStr">
        <is>
          <t>Rep_14</t>
        </is>
      </c>
      <c r="G5102" t="n">
        <v>13.95</v>
      </c>
      <c r="H5102" t="inlineStr">
        <is>
          <t>Contacted</t>
        </is>
      </c>
      <c r="I5102" t="inlineStr">
        <is>
          <t>Open</t>
        </is>
      </c>
      <c r="M5102">
        <f>VLOOKUP(H5102,'Stage Order'!$A$2:$B$8,2,FALSE)</f>
        <v/>
      </c>
      <c r="N5102">
        <f>IF(G5102&lt;=1,"1. Under 1 hour",IF(G5102&lt;=24,"2. 1-24 hours",IF(G5102&lt;=72,"3. 1-3 days","4. Over 3 days")))</f>
        <v/>
      </c>
      <c r="O5102">
        <f>TEXT(B5102,"YYYY-MM")</f>
        <v/>
      </c>
    </row>
    <row r="5103">
      <c r="A5103" t="inlineStr">
        <is>
          <t>LD-305101</t>
        </is>
      </c>
      <c r="B5103" t="inlineStr">
        <is>
          <t>2025-06-29 18:31:00</t>
        </is>
      </c>
      <c r="C5103" t="inlineStr">
        <is>
          <t>Paid Search</t>
        </is>
      </c>
      <c r="D5103" t="inlineStr">
        <is>
          <t>Study Abroad Prep</t>
        </is>
      </c>
      <c r="E5103" t="inlineStr">
        <is>
          <t>International</t>
        </is>
      </c>
      <c r="F5103" t="inlineStr">
        <is>
          <t>Rep_15</t>
        </is>
      </c>
      <c r="G5103" t="n">
        <v>9.01</v>
      </c>
      <c r="H5103" t="inlineStr">
        <is>
          <t>Contacted</t>
        </is>
      </c>
      <c r="I5103" t="inlineStr">
        <is>
          <t>Open</t>
        </is>
      </c>
      <c r="M5103">
        <f>VLOOKUP(H5103,'Stage Order'!$A$2:$B$8,2,FALSE)</f>
        <v/>
      </c>
      <c r="N5103">
        <f>IF(G5103&lt;=1,"1. Under 1 hour",IF(G5103&lt;=24,"2. 1-24 hours",IF(G5103&lt;=72,"3. 1-3 days","4. Over 3 days")))</f>
        <v/>
      </c>
      <c r="O5103">
        <f>TEXT(B5103,"YYYY-MM")</f>
        <v/>
      </c>
    </row>
    <row r="5104">
      <c r="A5104" t="inlineStr">
        <is>
          <t>LD-305102</t>
        </is>
      </c>
      <c r="B5104" t="inlineStr">
        <is>
          <t>2025-08-04 20:53:00</t>
        </is>
      </c>
      <c r="C5104" t="inlineStr">
        <is>
          <t>Partner Channel</t>
        </is>
      </c>
      <c r="D5104" t="inlineStr">
        <is>
          <t>Coding for Kids</t>
        </is>
      </c>
      <c r="E5104" t="inlineStr">
        <is>
          <t>South Region</t>
        </is>
      </c>
      <c r="F5104" t="inlineStr">
        <is>
          <t>Rep_07</t>
        </is>
      </c>
      <c r="G5104" t="n">
        <v>18.78</v>
      </c>
      <c r="H5104" t="inlineStr">
        <is>
          <t>Negotiation</t>
        </is>
      </c>
      <c r="I5104" t="inlineStr">
        <is>
          <t>Lost</t>
        </is>
      </c>
      <c r="J5104" t="inlineStr">
        <is>
          <t>Price Objection</t>
        </is>
      </c>
      <c r="K5104" t="n">
        <v>656.98</v>
      </c>
      <c r="L5104" t="inlineStr">
        <is>
          <t>2025-09-21 01:29:12.460477</t>
        </is>
      </c>
      <c r="M5104">
        <f>VLOOKUP(H5104,'Stage Order'!$A$2:$B$8,2,FALSE)</f>
        <v/>
      </c>
      <c r="N5104">
        <f>IF(G5104&lt;=1,"1. Under 1 hour",IF(G5104&lt;=24,"2. 1-24 hours",IF(G5104&lt;=72,"3. 1-3 days","4. Over 3 days")))</f>
        <v/>
      </c>
      <c r="O5104">
        <f>TEXT(B5104,"YYYY-MM")</f>
        <v/>
      </c>
    </row>
    <row r="5105">
      <c r="A5105" t="inlineStr">
        <is>
          <t>LD-305103</t>
        </is>
      </c>
      <c r="B5105" t="inlineStr">
        <is>
          <t>2025-02-28 14:18:00</t>
        </is>
      </c>
      <c r="C5105" t="inlineStr">
        <is>
          <t>Paid Search</t>
        </is>
      </c>
      <c r="D5105" t="inlineStr">
        <is>
          <t>K-12 Math</t>
        </is>
      </c>
      <c r="E5105" t="inlineStr">
        <is>
          <t>East Region</t>
        </is>
      </c>
      <c r="F5105" t="inlineStr">
        <is>
          <t>Rep_09</t>
        </is>
      </c>
      <c r="G5105" t="n">
        <v>2.38</v>
      </c>
      <c r="H5105" t="inlineStr">
        <is>
          <t>Contacted</t>
        </is>
      </c>
      <c r="I5105" t="inlineStr">
        <is>
          <t>Open</t>
        </is>
      </c>
      <c r="M5105">
        <f>VLOOKUP(H5105,'Stage Order'!$A$2:$B$8,2,FALSE)</f>
        <v/>
      </c>
      <c r="N5105">
        <f>IF(G5105&lt;=1,"1. Under 1 hour",IF(G5105&lt;=24,"2. 1-24 hours",IF(G5105&lt;=72,"3. 1-3 days","4. Over 3 days")))</f>
        <v/>
      </c>
      <c r="O5105">
        <f>TEXT(B5105,"YYYY-MM")</f>
        <v/>
      </c>
    </row>
    <row r="5106">
      <c r="A5106" t="inlineStr">
        <is>
          <t>LD-305104</t>
        </is>
      </c>
      <c r="B5106" t="inlineStr">
        <is>
          <t>2025-06-09 15:56:00</t>
        </is>
      </c>
      <c r="C5106" t="inlineStr">
        <is>
          <t>Paid Search</t>
        </is>
      </c>
      <c r="D5106" t="inlineStr">
        <is>
          <t>Coding for Kids</t>
        </is>
      </c>
      <c r="E5106" t="inlineStr">
        <is>
          <t>North Region</t>
        </is>
      </c>
      <c r="F5106" t="inlineStr">
        <is>
          <t>Rep_06</t>
        </is>
      </c>
      <c r="G5106" t="n">
        <v>2.24</v>
      </c>
      <c r="H5106" t="inlineStr">
        <is>
          <t>Demo Scheduled</t>
        </is>
      </c>
      <c r="I5106" t="inlineStr">
        <is>
          <t>Open</t>
        </is>
      </c>
      <c r="M5106">
        <f>VLOOKUP(H5106,'Stage Order'!$A$2:$B$8,2,FALSE)</f>
        <v/>
      </c>
      <c r="N5106">
        <f>IF(G5106&lt;=1,"1. Under 1 hour",IF(G5106&lt;=24,"2. 1-24 hours",IF(G5106&lt;=72,"3. 1-3 days","4. Over 3 days")))</f>
        <v/>
      </c>
      <c r="O5106">
        <f>TEXT(B5106,"YYYY-MM")</f>
        <v/>
      </c>
    </row>
    <row r="5107">
      <c r="A5107" t="inlineStr">
        <is>
          <t>LD-305105</t>
        </is>
      </c>
      <c r="B5107" t="inlineStr">
        <is>
          <t>2026-02-20 14:44:00</t>
        </is>
      </c>
      <c r="C5107" t="inlineStr">
        <is>
          <t>Webinar</t>
        </is>
      </c>
      <c r="D5107" t="inlineStr">
        <is>
          <t>Study Abroad Prep</t>
        </is>
      </c>
      <c r="E5107" t="inlineStr">
        <is>
          <t>South Region</t>
        </is>
      </c>
      <c r="F5107" t="inlineStr">
        <is>
          <t>Rep_02</t>
        </is>
      </c>
      <c r="G5107" t="n">
        <v>1.15</v>
      </c>
      <c r="H5107" t="inlineStr">
        <is>
          <t>Negotiation</t>
        </is>
      </c>
      <c r="I5107" t="inlineStr">
        <is>
          <t>Lost</t>
        </is>
      </c>
      <c r="J5107" t="inlineStr">
        <is>
          <t>Price Objection</t>
        </is>
      </c>
      <c r="K5107" t="n">
        <v>1281.14</v>
      </c>
      <c r="L5107" t="inlineStr">
        <is>
          <t>2026-04-15 07:03:23.859863</t>
        </is>
      </c>
      <c r="M5107">
        <f>VLOOKUP(H5107,'Stage Order'!$A$2:$B$8,2,FALSE)</f>
        <v/>
      </c>
      <c r="N5107">
        <f>IF(G5107&lt;=1,"1. Under 1 hour",IF(G5107&lt;=24,"2. 1-24 hours",IF(G5107&lt;=72,"3. 1-3 days","4. Over 3 days")))</f>
        <v/>
      </c>
      <c r="O5107">
        <f>TEXT(B5107,"YYYY-MM")</f>
        <v/>
      </c>
    </row>
    <row r="5108">
      <c r="A5108" t="inlineStr">
        <is>
          <t>LD-305106</t>
        </is>
      </c>
      <c r="B5108" t="inlineStr">
        <is>
          <t>2025-11-28 11:00:00</t>
        </is>
      </c>
      <c r="C5108" t="inlineStr">
        <is>
          <t>Cold Outreach</t>
        </is>
      </c>
      <c r="D5108" t="inlineStr">
        <is>
          <t>Language Learning</t>
        </is>
      </c>
      <c r="E5108" t="inlineStr">
        <is>
          <t>South Region</t>
        </is>
      </c>
      <c r="F5108" t="inlineStr">
        <is>
          <t>Rep_07</t>
        </is>
      </c>
      <c r="G5108" t="n">
        <v>37.52</v>
      </c>
      <c r="H5108" t="inlineStr">
        <is>
          <t>Contacted</t>
        </is>
      </c>
      <c r="I5108" t="inlineStr">
        <is>
          <t>Open</t>
        </is>
      </c>
      <c r="M5108">
        <f>VLOOKUP(H5108,'Stage Order'!$A$2:$B$8,2,FALSE)</f>
        <v/>
      </c>
      <c r="N5108">
        <f>IF(G5108&lt;=1,"1. Under 1 hour",IF(G5108&lt;=24,"2. 1-24 hours",IF(G5108&lt;=72,"3. 1-3 days","4. Over 3 days")))</f>
        <v/>
      </c>
      <c r="O5108">
        <f>TEXT(B5108,"YYYY-MM")</f>
        <v/>
      </c>
    </row>
    <row r="5109">
      <c r="A5109" t="inlineStr">
        <is>
          <t>LD-305107</t>
        </is>
      </c>
      <c r="B5109" t="inlineStr">
        <is>
          <t>2025-02-25 17:14:00</t>
        </is>
      </c>
      <c r="C5109" t="inlineStr">
        <is>
          <t>Organic Search</t>
        </is>
      </c>
      <c r="D5109" t="inlineStr">
        <is>
          <t>K-12 Math</t>
        </is>
      </c>
      <c r="E5109" t="inlineStr">
        <is>
          <t>North Region</t>
        </is>
      </c>
      <c r="F5109" t="inlineStr">
        <is>
          <t>Rep_11</t>
        </is>
      </c>
      <c r="G5109" t="n">
        <v>3.53</v>
      </c>
      <c r="H5109" t="inlineStr">
        <is>
          <t>Contacted</t>
        </is>
      </c>
      <c r="I5109" t="inlineStr">
        <is>
          <t>Open</t>
        </is>
      </c>
      <c r="M5109">
        <f>VLOOKUP(H5109,'Stage Order'!$A$2:$B$8,2,FALSE)</f>
        <v/>
      </c>
      <c r="N5109">
        <f>IF(G5109&lt;=1,"1. Under 1 hour",IF(G5109&lt;=24,"2. 1-24 hours",IF(G5109&lt;=72,"3. 1-3 days","4. Over 3 days")))</f>
        <v/>
      </c>
      <c r="O5109">
        <f>TEXT(B5109,"YYYY-MM")</f>
        <v/>
      </c>
    </row>
    <row r="5110">
      <c r="A5110" t="inlineStr">
        <is>
          <t>LD-305108</t>
        </is>
      </c>
      <c r="B5110" t="inlineStr">
        <is>
          <t>2025-02-19 19:45:00</t>
        </is>
      </c>
      <c r="C5110" t="inlineStr">
        <is>
          <t>Social Media</t>
        </is>
      </c>
      <c r="D5110" t="inlineStr">
        <is>
          <t>Study Abroad Prep</t>
        </is>
      </c>
      <c r="E5110" t="inlineStr">
        <is>
          <t>South Region</t>
        </is>
      </c>
      <c r="F5110" t="inlineStr">
        <is>
          <t>Rep_02</t>
        </is>
      </c>
      <c r="G5110" t="n">
        <v>2.46</v>
      </c>
      <c r="H5110" t="inlineStr">
        <is>
          <t>Proposal Sent</t>
        </is>
      </c>
      <c r="I5110" t="inlineStr">
        <is>
          <t>Lost</t>
        </is>
      </c>
      <c r="J5110" t="inlineStr">
        <is>
          <t>Price Objection</t>
        </is>
      </c>
      <c r="K5110" t="n">
        <v>1254.26</v>
      </c>
      <c r="L5110" t="inlineStr">
        <is>
          <t>2025-04-04 14:40:51.990763</t>
        </is>
      </c>
      <c r="M5110">
        <f>VLOOKUP(H5110,'Stage Order'!$A$2:$B$8,2,FALSE)</f>
        <v/>
      </c>
      <c r="N5110">
        <f>IF(G5110&lt;=1,"1. Under 1 hour",IF(G5110&lt;=24,"2. 1-24 hours",IF(G5110&lt;=72,"3. 1-3 days","4. Over 3 days")))</f>
        <v/>
      </c>
      <c r="O5110">
        <f>TEXT(B5110,"YYYY-MM")</f>
        <v/>
      </c>
    </row>
    <row r="5111">
      <c r="A5111" t="inlineStr">
        <is>
          <t>LD-305109</t>
        </is>
      </c>
      <c r="B5111" t="inlineStr">
        <is>
          <t>2025-01-16 07:13:00</t>
        </is>
      </c>
      <c r="C5111" t="inlineStr">
        <is>
          <t>Paid Search</t>
        </is>
      </c>
      <c r="D5111" t="inlineStr">
        <is>
          <t>K-12 Math</t>
        </is>
      </c>
      <c r="E5111" t="inlineStr">
        <is>
          <t>South Region</t>
        </is>
      </c>
      <c r="F5111" t="inlineStr">
        <is>
          <t>Rep_02</t>
        </is>
      </c>
      <c r="G5111" t="n">
        <v>2.78</v>
      </c>
      <c r="H5111" t="inlineStr">
        <is>
          <t>Contacted</t>
        </is>
      </c>
      <c r="I5111" t="inlineStr">
        <is>
          <t>Open</t>
        </is>
      </c>
      <c r="M5111">
        <f>VLOOKUP(H5111,'Stage Order'!$A$2:$B$8,2,FALSE)</f>
        <v/>
      </c>
      <c r="N5111">
        <f>IF(G5111&lt;=1,"1. Under 1 hour",IF(G5111&lt;=24,"2. 1-24 hours",IF(G5111&lt;=72,"3. 1-3 days","4. Over 3 days")))</f>
        <v/>
      </c>
      <c r="O5111">
        <f>TEXT(B5111,"YYYY-MM")</f>
        <v/>
      </c>
    </row>
    <row r="5112">
      <c r="A5112" t="inlineStr">
        <is>
          <t>LD-305110</t>
        </is>
      </c>
      <c r="B5112" t="inlineStr">
        <is>
          <t>2025-09-19 19:30:00</t>
        </is>
      </c>
      <c r="C5112" t="inlineStr">
        <is>
          <t>Social Media</t>
        </is>
      </c>
      <c r="D5112" t="inlineStr">
        <is>
          <t>Language Learning</t>
        </is>
      </c>
      <c r="E5112" t="inlineStr">
        <is>
          <t>South Region</t>
        </is>
      </c>
      <c r="F5112" t="inlineStr">
        <is>
          <t>Rep_07</t>
        </is>
      </c>
      <c r="G5112" t="n">
        <v>2.2</v>
      </c>
      <c r="H5112" t="inlineStr">
        <is>
          <t>Demo Completed</t>
        </is>
      </c>
      <c r="I5112" t="inlineStr">
        <is>
          <t>Lost</t>
        </is>
      </c>
      <c r="J5112" t="inlineStr">
        <is>
          <t>Went With Competitor</t>
        </is>
      </c>
      <c r="K5112" t="n">
        <v>340.71</v>
      </c>
      <c r="L5112" t="inlineStr">
        <is>
          <t>2025-11-05 19:56:47.116649</t>
        </is>
      </c>
      <c r="M5112">
        <f>VLOOKUP(H5112,'Stage Order'!$A$2:$B$8,2,FALSE)</f>
        <v/>
      </c>
      <c r="N5112">
        <f>IF(G5112&lt;=1,"1. Under 1 hour",IF(G5112&lt;=24,"2. 1-24 hours",IF(G5112&lt;=72,"3. 1-3 days","4. Over 3 days")))</f>
        <v/>
      </c>
      <c r="O5112">
        <f>TEXT(B5112,"YYYY-MM")</f>
        <v/>
      </c>
    </row>
    <row r="5113">
      <c r="A5113" t="inlineStr">
        <is>
          <t>LD-305111</t>
        </is>
      </c>
      <c r="B5113" t="inlineStr">
        <is>
          <t>2025-08-18 09:12:00</t>
        </is>
      </c>
      <c r="C5113" t="inlineStr">
        <is>
          <t>Organic Search</t>
        </is>
      </c>
      <c r="D5113" t="inlineStr">
        <is>
          <t>K-12 Math</t>
        </is>
      </c>
      <c r="E5113" t="inlineStr">
        <is>
          <t>South Region</t>
        </is>
      </c>
      <c r="F5113" t="inlineStr">
        <is>
          <t>Rep_02</t>
        </is>
      </c>
      <c r="G5113" t="n">
        <v>9.109999999999999</v>
      </c>
      <c r="H5113" t="inlineStr">
        <is>
          <t>Contacted</t>
        </is>
      </c>
      <c r="I5113" t="inlineStr">
        <is>
          <t>Open</t>
        </is>
      </c>
      <c r="M5113">
        <f>VLOOKUP(H5113,'Stage Order'!$A$2:$B$8,2,FALSE)</f>
        <v/>
      </c>
      <c r="N5113">
        <f>IF(G5113&lt;=1,"1. Under 1 hour",IF(G5113&lt;=24,"2. 1-24 hours",IF(G5113&lt;=72,"3. 1-3 days","4. Over 3 days")))</f>
        <v/>
      </c>
      <c r="O5113">
        <f>TEXT(B5113,"YYYY-MM")</f>
        <v/>
      </c>
    </row>
    <row r="5114">
      <c r="A5114" t="inlineStr">
        <is>
          <t>LD-305112</t>
        </is>
      </c>
      <c r="B5114" t="inlineStr">
        <is>
          <t>2025-02-18 16:24:00</t>
        </is>
      </c>
      <c r="C5114" t="inlineStr">
        <is>
          <t>Organic Search</t>
        </is>
      </c>
      <c r="D5114" t="inlineStr">
        <is>
          <t>Competitive Exam Prep</t>
        </is>
      </c>
      <c r="E5114" t="inlineStr">
        <is>
          <t>North Region</t>
        </is>
      </c>
      <c r="F5114" t="inlineStr">
        <is>
          <t>Rep_06</t>
        </is>
      </c>
      <c r="G5114" t="n">
        <v>0.83</v>
      </c>
      <c r="H5114" t="inlineStr">
        <is>
          <t>Contacted</t>
        </is>
      </c>
      <c r="I5114" t="inlineStr">
        <is>
          <t>Open</t>
        </is>
      </c>
      <c r="M5114">
        <f>VLOOKUP(H5114,'Stage Order'!$A$2:$B$8,2,FALSE)</f>
        <v/>
      </c>
      <c r="N5114">
        <f>IF(G5114&lt;=1,"1. Under 1 hour",IF(G5114&lt;=24,"2. 1-24 hours",IF(G5114&lt;=72,"3. 1-3 days","4. Over 3 days")))</f>
        <v/>
      </c>
      <c r="O5114">
        <f>TEXT(B5114,"YYYY-MM")</f>
        <v/>
      </c>
    </row>
    <row r="5115">
      <c r="A5115" t="inlineStr">
        <is>
          <t>LD-305113</t>
        </is>
      </c>
      <c r="B5115" t="inlineStr">
        <is>
          <t>2025-09-25 08:34:00</t>
        </is>
      </c>
      <c r="C5115" t="inlineStr">
        <is>
          <t>Referral</t>
        </is>
      </c>
      <c r="D5115" t="inlineStr">
        <is>
          <t>Competitive Exam Prep</t>
        </is>
      </c>
      <c r="E5115" t="inlineStr">
        <is>
          <t>West Region</t>
        </is>
      </c>
      <c r="F5115" t="inlineStr">
        <is>
          <t>Rep_08</t>
        </is>
      </c>
      <c r="G5115" t="n">
        <v>1.55</v>
      </c>
      <c r="H5115" t="inlineStr">
        <is>
          <t>Closed</t>
        </is>
      </c>
      <c r="I5115" t="inlineStr">
        <is>
          <t>Won</t>
        </is>
      </c>
      <c r="K5115" t="n">
        <v>1070.87</v>
      </c>
      <c r="L5115" t="inlineStr">
        <is>
          <t>2025-11-02 00:16:45.471418</t>
        </is>
      </c>
      <c r="M5115">
        <f>VLOOKUP(H5115,'Stage Order'!$A$2:$B$8,2,FALSE)</f>
        <v/>
      </c>
      <c r="N5115">
        <f>IF(G5115&lt;=1,"1. Under 1 hour",IF(G5115&lt;=24,"2. 1-24 hours",IF(G5115&lt;=72,"3. 1-3 days","4. Over 3 days")))</f>
        <v/>
      </c>
      <c r="O5115">
        <f>TEXT(B5115,"YYYY-MM")</f>
        <v/>
      </c>
    </row>
    <row r="5116">
      <c r="A5116" t="inlineStr">
        <is>
          <t>LD-305114</t>
        </is>
      </c>
      <c r="B5116" t="inlineStr">
        <is>
          <t>2025-02-01 12:04:00</t>
        </is>
      </c>
      <c r="C5116" t="inlineStr">
        <is>
          <t>Organic Search</t>
        </is>
      </c>
      <c r="D5116" t="inlineStr">
        <is>
          <t>Coding for Kids</t>
        </is>
      </c>
      <c r="E5116" t="inlineStr">
        <is>
          <t>South Region</t>
        </is>
      </c>
      <c r="F5116" t="inlineStr">
        <is>
          <t>Rep_12</t>
        </is>
      </c>
      <c r="G5116" t="n">
        <v>1.52</v>
      </c>
      <c r="H5116" t="inlineStr">
        <is>
          <t>Contacted</t>
        </is>
      </c>
      <c r="I5116" t="inlineStr">
        <is>
          <t>Open</t>
        </is>
      </c>
      <c r="M5116">
        <f>VLOOKUP(H5116,'Stage Order'!$A$2:$B$8,2,FALSE)</f>
        <v/>
      </c>
      <c r="N5116">
        <f>IF(G5116&lt;=1,"1. Under 1 hour",IF(G5116&lt;=24,"2. 1-24 hours",IF(G5116&lt;=72,"3. 1-3 days","4. Over 3 days")))</f>
        <v/>
      </c>
      <c r="O5116">
        <f>TEXT(B5116,"YYYY-MM")</f>
        <v/>
      </c>
    </row>
    <row r="5117">
      <c r="A5117" t="inlineStr">
        <is>
          <t>LD-305115</t>
        </is>
      </c>
      <c r="B5117" t="inlineStr">
        <is>
          <t>2025-04-21 07:04:00</t>
        </is>
      </c>
      <c r="C5117" t="inlineStr">
        <is>
          <t>Paid Search</t>
        </is>
      </c>
      <c r="D5117" t="inlineStr">
        <is>
          <t>Study Abroad Prep</t>
        </is>
      </c>
      <c r="E5117" t="inlineStr">
        <is>
          <t>West Region</t>
        </is>
      </c>
      <c r="F5117" t="inlineStr">
        <is>
          <t>Rep_13</t>
        </is>
      </c>
      <c r="G5117" t="n">
        <v>5.43</v>
      </c>
      <c r="H5117" t="inlineStr">
        <is>
          <t>Contacted</t>
        </is>
      </c>
      <c r="I5117" t="inlineStr">
        <is>
          <t>Open</t>
        </is>
      </c>
      <c r="M5117">
        <f>VLOOKUP(H5117,'Stage Order'!$A$2:$B$8,2,FALSE)</f>
        <v/>
      </c>
      <c r="N5117">
        <f>IF(G5117&lt;=1,"1. Under 1 hour",IF(G5117&lt;=24,"2. 1-24 hours",IF(G5117&lt;=72,"3. 1-3 days","4. Over 3 days")))</f>
        <v/>
      </c>
      <c r="O5117">
        <f>TEXT(B5117,"YYYY-MM")</f>
        <v/>
      </c>
    </row>
    <row r="5118">
      <c r="A5118" t="inlineStr">
        <is>
          <t>LD-305116</t>
        </is>
      </c>
      <c r="B5118" t="inlineStr">
        <is>
          <t>2025-09-15 14:42:00</t>
        </is>
      </c>
      <c r="C5118" t="inlineStr">
        <is>
          <t>Referral</t>
        </is>
      </c>
      <c r="D5118" t="inlineStr">
        <is>
          <t>Coding for Kids</t>
        </is>
      </c>
      <c r="E5118" t="inlineStr">
        <is>
          <t>North Region</t>
        </is>
      </c>
      <c r="F5118" t="inlineStr">
        <is>
          <t>Rep_06</t>
        </is>
      </c>
      <c r="G5118" t="n">
        <v>5.81</v>
      </c>
      <c r="H5118" t="inlineStr">
        <is>
          <t>Contacted</t>
        </is>
      </c>
      <c r="I5118" t="inlineStr">
        <is>
          <t>Open</t>
        </is>
      </c>
      <c r="M5118">
        <f>VLOOKUP(H5118,'Stage Order'!$A$2:$B$8,2,FALSE)</f>
        <v/>
      </c>
      <c r="N5118">
        <f>IF(G5118&lt;=1,"1. Under 1 hour",IF(G5118&lt;=24,"2. 1-24 hours",IF(G5118&lt;=72,"3. 1-3 days","4. Over 3 days")))</f>
        <v/>
      </c>
      <c r="O5118">
        <f>TEXT(B5118,"YYYY-MM")</f>
        <v/>
      </c>
    </row>
    <row r="5119">
      <c r="A5119" t="inlineStr">
        <is>
          <t>LD-305117</t>
        </is>
      </c>
      <c r="B5119" t="inlineStr">
        <is>
          <t>2025-01-13 07:39:00</t>
        </is>
      </c>
      <c r="C5119" t="inlineStr">
        <is>
          <t>Referral</t>
        </is>
      </c>
      <c r="D5119" t="inlineStr">
        <is>
          <t>Study Abroad Prep</t>
        </is>
      </c>
      <c r="E5119" t="inlineStr">
        <is>
          <t>West Region</t>
        </is>
      </c>
      <c r="F5119" t="inlineStr">
        <is>
          <t>Rep_13</t>
        </is>
      </c>
      <c r="G5119" t="n">
        <v>4.28</v>
      </c>
      <c r="H5119" t="inlineStr">
        <is>
          <t>Contacted</t>
        </is>
      </c>
      <c r="I5119" t="inlineStr">
        <is>
          <t>Open</t>
        </is>
      </c>
      <c r="M5119">
        <f>VLOOKUP(H5119,'Stage Order'!$A$2:$B$8,2,FALSE)</f>
        <v/>
      </c>
      <c r="N5119">
        <f>IF(G5119&lt;=1,"1. Under 1 hour",IF(G5119&lt;=24,"2. 1-24 hours",IF(G5119&lt;=72,"3. 1-3 days","4. Over 3 days")))</f>
        <v/>
      </c>
      <c r="O5119">
        <f>TEXT(B5119,"YYYY-MM")</f>
        <v/>
      </c>
    </row>
    <row r="5120">
      <c r="A5120" t="inlineStr">
        <is>
          <t>LD-305118</t>
        </is>
      </c>
      <c r="B5120" t="inlineStr">
        <is>
          <t>2026-05-27 20:26:00</t>
        </is>
      </c>
      <c r="C5120" t="inlineStr">
        <is>
          <t>Paid Search</t>
        </is>
      </c>
      <c r="D5120" t="inlineStr">
        <is>
          <t>Study Abroad Prep</t>
        </is>
      </c>
      <c r="E5120" t="inlineStr">
        <is>
          <t>South Region</t>
        </is>
      </c>
      <c r="F5120" t="inlineStr">
        <is>
          <t>Rep_02</t>
        </is>
      </c>
      <c r="G5120" t="n">
        <v>17.6</v>
      </c>
      <c r="H5120" t="inlineStr">
        <is>
          <t>Proposal Sent</t>
        </is>
      </c>
      <c r="I5120" t="inlineStr">
        <is>
          <t>Lost</t>
        </is>
      </c>
      <c r="J5120" t="inlineStr">
        <is>
          <t>Price Objection</t>
        </is>
      </c>
      <c r="K5120" t="n">
        <v>1196.57</v>
      </c>
      <c r="L5120" t="inlineStr">
        <is>
          <t>2026-07-05 06:35:51.129053</t>
        </is>
      </c>
      <c r="M5120">
        <f>VLOOKUP(H5120,'Stage Order'!$A$2:$B$8,2,FALSE)</f>
        <v/>
      </c>
      <c r="N5120">
        <f>IF(G5120&lt;=1,"1. Under 1 hour",IF(G5120&lt;=24,"2. 1-24 hours",IF(G5120&lt;=72,"3. 1-3 days","4. Over 3 days")))</f>
        <v/>
      </c>
      <c r="O5120">
        <f>TEXT(B5120,"YYYY-MM")</f>
        <v/>
      </c>
    </row>
    <row r="5121">
      <c r="A5121" t="inlineStr">
        <is>
          <t>LD-305119</t>
        </is>
      </c>
      <c r="B5121" t="inlineStr">
        <is>
          <t>2025-03-18 20:14:00</t>
        </is>
      </c>
      <c r="C5121" t="inlineStr">
        <is>
          <t>Referral</t>
        </is>
      </c>
      <c r="D5121" t="inlineStr">
        <is>
          <t>K-12 Math</t>
        </is>
      </c>
      <c r="E5121" t="inlineStr">
        <is>
          <t>North Region</t>
        </is>
      </c>
      <c r="F5121" t="inlineStr">
        <is>
          <t>Rep_06</t>
        </is>
      </c>
      <c r="G5121" t="n">
        <v>3.19</v>
      </c>
      <c r="H5121" t="inlineStr">
        <is>
          <t>Contacted</t>
        </is>
      </c>
      <c r="I5121" t="inlineStr">
        <is>
          <t>Open</t>
        </is>
      </c>
      <c r="M5121">
        <f>VLOOKUP(H5121,'Stage Order'!$A$2:$B$8,2,FALSE)</f>
        <v/>
      </c>
      <c r="N5121">
        <f>IF(G5121&lt;=1,"1. Under 1 hour",IF(G5121&lt;=24,"2. 1-24 hours",IF(G5121&lt;=72,"3. 1-3 days","4. Over 3 days")))</f>
        <v/>
      </c>
      <c r="O5121">
        <f>TEXT(B5121,"YYYY-MM")</f>
        <v/>
      </c>
    </row>
    <row r="5122">
      <c r="A5122" t="inlineStr">
        <is>
          <t>LD-305120</t>
        </is>
      </c>
      <c r="B5122" t="inlineStr">
        <is>
          <t>2026-03-25 14:36:00</t>
        </is>
      </c>
      <c r="C5122" t="inlineStr">
        <is>
          <t>Referral</t>
        </is>
      </c>
      <c r="D5122" t="inlineStr">
        <is>
          <t>Study Abroad Prep</t>
        </is>
      </c>
      <c r="E5122" t="inlineStr">
        <is>
          <t>North Region</t>
        </is>
      </c>
      <c r="F5122" t="inlineStr">
        <is>
          <t>Rep_01</t>
        </is>
      </c>
      <c r="G5122" t="n">
        <v>3.82</v>
      </c>
      <c r="H5122" t="inlineStr">
        <is>
          <t>Contacted</t>
        </is>
      </c>
      <c r="I5122" t="inlineStr">
        <is>
          <t>Open</t>
        </is>
      </c>
      <c r="M5122">
        <f>VLOOKUP(H5122,'Stage Order'!$A$2:$B$8,2,FALSE)</f>
        <v/>
      </c>
      <c r="N5122">
        <f>IF(G5122&lt;=1,"1. Under 1 hour",IF(G5122&lt;=24,"2. 1-24 hours",IF(G5122&lt;=72,"3. 1-3 days","4. Over 3 days")))</f>
        <v/>
      </c>
      <c r="O5122">
        <f>TEXT(B5122,"YYYY-MM")</f>
        <v/>
      </c>
    </row>
    <row r="5123">
      <c r="A5123" t="inlineStr">
        <is>
          <t>LD-305121</t>
        </is>
      </c>
      <c r="B5123" t="inlineStr">
        <is>
          <t>2025-09-09 14:00:00</t>
        </is>
      </c>
      <c r="C5123" t="inlineStr">
        <is>
          <t>Webinar</t>
        </is>
      </c>
      <c r="D5123" t="inlineStr">
        <is>
          <t>Coding for Kids</t>
        </is>
      </c>
      <c r="E5123" t="inlineStr">
        <is>
          <t>South Region</t>
        </is>
      </c>
      <c r="F5123" t="inlineStr">
        <is>
          <t>Rep_12</t>
        </is>
      </c>
      <c r="G5123" t="n">
        <v>3.51</v>
      </c>
      <c r="H5123" t="inlineStr">
        <is>
          <t>Closed</t>
        </is>
      </c>
      <c r="I5123" t="inlineStr">
        <is>
          <t>Won</t>
        </is>
      </c>
      <c r="K5123" t="n">
        <v>589.03</v>
      </c>
      <c r="L5123" t="inlineStr">
        <is>
          <t>2025-10-18 08:47:28.313761</t>
        </is>
      </c>
      <c r="M5123">
        <f>VLOOKUP(H5123,'Stage Order'!$A$2:$B$8,2,FALSE)</f>
        <v/>
      </c>
      <c r="N5123">
        <f>IF(G5123&lt;=1,"1. Under 1 hour",IF(G5123&lt;=24,"2. 1-24 hours",IF(G5123&lt;=72,"3. 1-3 days","4. Over 3 days")))</f>
        <v/>
      </c>
      <c r="O5123">
        <f>TEXT(B5123,"YYYY-MM")</f>
        <v/>
      </c>
    </row>
    <row r="5124">
      <c r="A5124" t="inlineStr">
        <is>
          <t>LD-305122</t>
        </is>
      </c>
      <c r="B5124" t="inlineStr">
        <is>
          <t>2025-04-30 18:04:00</t>
        </is>
      </c>
      <c r="C5124" t="inlineStr">
        <is>
          <t>Webinar</t>
        </is>
      </c>
      <c r="D5124" t="inlineStr">
        <is>
          <t>Study Abroad Prep</t>
        </is>
      </c>
      <c r="E5124" t="inlineStr">
        <is>
          <t>South Region</t>
        </is>
      </c>
      <c r="F5124" t="inlineStr">
        <is>
          <t>Rep_07</t>
        </is>
      </c>
      <c r="G5124" t="n">
        <v>1.56</v>
      </c>
      <c r="H5124" t="inlineStr">
        <is>
          <t>Lead</t>
        </is>
      </c>
      <c r="I5124" t="inlineStr">
        <is>
          <t>Open</t>
        </is>
      </c>
      <c r="M5124">
        <f>VLOOKUP(H5124,'Stage Order'!$A$2:$B$8,2,FALSE)</f>
        <v/>
      </c>
      <c r="N5124">
        <f>IF(G5124&lt;=1,"1. Under 1 hour",IF(G5124&lt;=24,"2. 1-24 hours",IF(G5124&lt;=72,"3. 1-3 days","4. Over 3 days")))</f>
        <v/>
      </c>
      <c r="O5124">
        <f>TEXT(B5124,"YYYY-MM")</f>
        <v/>
      </c>
    </row>
    <row r="5125">
      <c r="A5125" t="inlineStr">
        <is>
          <t>LD-305123</t>
        </is>
      </c>
      <c r="B5125" t="inlineStr">
        <is>
          <t>2025-12-30 15:43:00</t>
        </is>
      </c>
      <c r="C5125" t="inlineStr">
        <is>
          <t>Paid Search</t>
        </is>
      </c>
      <c r="D5125" t="inlineStr">
        <is>
          <t>K-12 Math</t>
        </is>
      </c>
      <c r="E5125" t="inlineStr">
        <is>
          <t>West Region</t>
        </is>
      </c>
      <c r="F5125" t="inlineStr">
        <is>
          <t>Rep_13</t>
        </is>
      </c>
      <c r="G5125" t="n">
        <v>3.13</v>
      </c>
      <c r="H5125" t="inlineStr">
        <is>
          <t>Contacted</t>
        </is>
      </c>
      <c r="I5125" t="inlineStr">
        <is>
          <t>Open</t>
        </is>
      </c>
      <c r="M5125">
        <f>VLOOKUP(H5125,'Stage Order'!$A$2:$B$8,2,FALSE)</f>
        <v/>
      </c>
      <c r="N5125">
        <f>IF(G5125&lt;=1,"1. Under 1 hour",IF(G5125&lt;=24,"2. 1-24 hours",IF(G5125&lt;=72,"3. 1-3 days","4. Over 3 days")))</f>
        <v/>
      </c>
      <c r="O5125">
        <f>TEXT(B5125,"YYYY-MM")</f>
        <v/>
      </c>
    </row>
    <row r="5126">
      <c r="A5126" t="inlineStr">
        <is>
          <t>LD-305124</t>
        </is>
      </c>
      <c r="B5126" t="inlineStr">
        <is>
          <t>2025-08-04 20:48:00</t>
        </is>
      </c>
      <c r="C5126" t="inlineStr">
        <is>
          <t>Partner Channel</t>
        </is>
      </c>
      <c r="D5126" t="inlineStr">
        <is>
          <t>K-12 Math</t>
        </is>
      </c>
      <c r="E5126" t="inlineStr">
        <is>
          <t>North Region</t>
        </is>
      </c>
      <c r="F5126" t="inlineStr">
        <is>
          <t>Rep_11</t>
        </is>
      </c>
      <c r="G5126" t="n">
        <v>2.4</v>
      </c>
      <c r="H5126" t="inlineStr">
        <is>
          <t>Contacted</t>
        </is>
      </c>
      <c r="I5126" t="inlineStr">
        <is>
          <t>Open</t>
        </is>
      </c>
      <c r="M5126">
        <f>VLOOKUP(H5126,'Stage Order'!$A$2:$B$8,2,FALSE)</f>
        <v/>
      </c>
      <c r="N5126">
        <f>IF(G5126&lt;=1,"1. Under 1 hour",IF(G5126&lt;=24,"2. 1-24 hours",IF(G5126&lt;=72,"3. 1-3 days","4. Over 3 days")))</f>
        <v/>
      </c>
      <c r="O5126">
        <f>TEXT(B5126,"YYYY-MM")</f>
        <v/>
      </c>
    </row>
    <row r="5127">
      <c r="A5127" t="inlineStr">
        <is>
          <t>LD-305125</t>
        </is>
      </c>
      <c r="B5127" t="inlineStr">
        <is>
          <t>2026-03-17 20:36:00</t>
        </is>
      </c>
      <c r="C5127" t="inlineStr">
        <is>
          <t>Paid Search</t>
        </is>
      </c>
      <c r="D5127" t="inlineStr">
        <is>
          <t>Competitive Exam Prep</t>
        </is>
      </c>
      <c r="E5127" t="inlineStr">
        <is>
          <t>South Region</t>
        </is>
      </c>
      <c r="F5127" t="inlineStr">
        <is>
          <t>Rep_02</t>
        </is>
      </c>
      <c r="G5127" t="n">
        <v>9.06</v>
      </c>
      <c r="H5127" t="inlineStr">
        <is>
          <t>Lead</t>
        </is>
      </c>
      <c r="I5127" t="inlineStr">
        <is>
          <t>Open</t>
        </is>
      </c>
      <c r="M5127">
        <f>VLOOKUP(H5127,'Stage Order'!$A$2:$B$8,2,FALSE)</f>
        <v/>
      </c>
      <c r="N5127">
        <f>IF(G5127&lt;=1,"1. Under 1 hour",IF(G5127&lt;=24,"2. 1-24 hours",IF(G5127&lt;=72,"3. 1-3 days","4. Over 3 days")))</f>
        <v/>
      </c>
      <c r="O5127">
        <f>TEXT(B5127,"YYYY-MM")</f>
        <v/>
      </c>
    </row>
    <row r="5128">
      <c r="A5128" t="inlineStr">
        <is>
          <t>LD-305126</t>
        </is>
      </c>
      <c r="B5128" t="inlineStr">
        <is>
          <t>2026-03-13 10:20:00</t>
        </is>
      </c>
      <c r="C5128" t="inlineStr">
        <is>
          <t>Organic Search</t>
        </is>
      </c>
      <c r="D5128" t="inlineStr">
        <is>
          <t>Coding for Kids</t>
        </is>
      </c>
      <c r="E5128" t="inlineStr">
        <is>
          <t>West Region</t>
        </is>
      </c>
      <c r="F5128" t="inlineStr">
        <is>
          <t>Rep_03</t>
        </is>
      </c>
      <c r="G5128" t="n">
        <v>3.43</v>
      </c>
      <c r="H5128" t="inlineStr">
        <is>
          <t>Contacted</t>
        </is>
      </c>
      <c r="I5128" t="inlineStr">
        <is>
          <t>Open</t>
        </is>
      </c>
      <c r="M5128">
        <f>VLOOKUP(H5128,'Stage Order'!$A$2:$B$8,2,FALSE)</f>
        <v/>
      </c>
      <c r="N5128">
        <f>IF(G5128&lt;=1,"1. Under 1 hour",IF(G5128&lt;=24,"2. 1-24 hours",IF(G5128&lt;=72,"3. 1-3 days","4. Over 3 days")))</f>
        <v/>
      </c>
      <c r="O5128">
        <f>TEXT(B5128,"YYYY-MM")</f>
        <v/>
      </c>
    </row>
    <row r="5129">
      <c r="A5129" t="inlineStr">
        <is>
          <t>LD-305127</t>
        </is>
      </c>
      <c r="B5129" t="inlineStr">
        <is>
          <t>2025-05-08 11:16:00</t>
        </is>
      </c>
      <c r="C5129" t="inlineStr">
        <is>
          <t>Referral</t>
        </is>
      </c>
      <c r="D5129" t="inlineStr">
        <is>
          <t>K-12 Math</t>
        </is>
      </c>
      <c r="E5129" t="inlineStr">
        <is>
          <t>South Region</t>
        </is>
      </c>
      <c r="F5129" t="inlineStr">
        <is>
          <t>Rep_02</t>
        </is>
      </c>
      <c r="G5129" t="n">
        <v>6.09</v>
      </c>
      <c r="H5129" t="inlineStr">
        <is>
          <t>Closed</t>
        </is>
      </c>
      <c r="I5129" t="inlineStr">
        <is>
          <t>Won</t>
        </is>
      </c>
      <c r="K5129" t="n">
        <v>557.05</v>
      </c>
      <c r="L5129" t="inlineStr">
        <is>
          <t>2025-06-15 19:49:11.340564</t>
        </is>
      </c>
      <c r="M5129">
        <f>VLOOKUP(H5129,'Stage Order'!$A$2:$B$8,2,FALSE)</f>
        <v/>
      </c>
      <c r="N5129">
        <f>IF(G5129&lt;=1,"1. Under 1 hour",IF(G5129&lt;=24,"2. 1-24 hours",IF(G5129&lt;=72,"3. 1-3 days","4. Over 3 days")))</f>
        <v/>
      </c>
      <c r="O5129">
        <f>TEXT(B5129,"YYYY-MM")</f>
        <v/>
      </c>
    </row>
    <row r="5130">
      <c r="A5130" t="inlineStr">
        <is>
          <t>LD-305128</t>
        </is>
      </c>
      <c r="B5130" t="inlineStr">
        <is>
          <t>2025-03-28 09:51:00</t>
        </is>
      </c>
      <c r="C5130" t="inlineStr">
        <is>
          <t>Organic Search</t>
        </is>
      </c>
      <c r="D5130" t="inlineStr">
        <is>
          <t>Language Learning</t>
        </is>
      </c>
      <c r="E5130" t="inlineStr">
        <is>
          <t>North Region</t>
        </is>
      </c>
      <c r="F5130" t="inlineStr">
        <is>
          <t>Rep_06</t>
        </is>
      </c>
      <c r="G5130" t="n">
        <v>7</v>
      </c>
      <c r="H5130" t="inlineStr">
        <is>
          <t>Lead</t>
        </is>
      </c>
      <c r="I5130" t="inlineStr">
        <is>
          <t>Open</t>
        </is>
      </c>
      <c r="M5130">
        <f>VLOOKUP(H5130,'Stage Order'!$A$2:$B$8,2,FALSE)</f>
        <v/>
      </c>
      <c r="N5130">
        <f>IF(G5130&lt;=1,"1. Under 1 hour",IF(G5130&lt;=24,"2. 1-24 hours",IF(G5130&lt;=72,"3. 1-3 days","4. Over 3 days")))</f>
        <v/>
      </c>
      <c r="O5130">
        <f>TEXT(B5130,"YYYY-MM")</f>
        <v/>
      </c>
    </row>
    <row r="5131">
      <c r="A5131" t="inlineStr">
        <is>
          <t>LD-305129</t>
        </is>
      </c>
      <c r="B5131" t="inlineStr">
        <is>
          <t>2025-06-21 15:20:00</t>
        </is>
      </c>
      <c r="C5131" t="inlineStr">
        <is>
          <t>Social Media</t>
        </is>
      </c>
      <c r="D5131" t="inlineStr">
        <is>
          <t>Coding for Kids</t>
        </is>
      </c>
      <c r="E5131" t="inlineStr">
        <is>
          <t>North Region</t>
        </is>
      </c>
      <c r="F5131" t="inlineStr">
        <is>
          <t>Rep_01</t>
        </is>
      </c>
      <c r="G5131" t="n">
        <v>4.94</v>
      </c>
      <c r="H5131" t="inlineStr">
        <is>
          <t>Lead</t>
        </is>
      </c>
      <c r="I5131" t="inlineStr">
        <is>
          <t>Open</t>
        </is>
      </c>
      <c r="M5131">
        <f>VLOOKUP(H5131,'Stage Order'!$A$2:$B$8,2,FALSE)</f>
        <v/>
      </c>
      <c r="N5131">
        <f>IF(G5131&lt;=1,"1. Under 1 hour",IF(G5131&lt;=24,"2. 1-24 hours",IF(G5131&lt;=72,"3. 1-3 days","4. Over 3 days")))</f>
        <v/>
      </c>
      <c r="O5131">
        <f>TEXT(B5131,"YYYY-MM")</f>
        <v/>
      </c>
    </row>
    <row r="5132">
      <c r="A5132" t="inlineStr">
        <is>
          <t>LD-305130</t>
        </is>
      </c>
      <c r="B5132" t="inlineStr">
        <is>
          <t>2025-08-08 15:21:00</t>
        </is>
      </c>
      <c r="C5132" t="inlineStr">
        <is>
          <t>Webinar</t>
        </is>
      </c>
      <c r="D5132" t="inlineStr">
        <is>
          <t>K-12 Math</t>
        </is>
      </c>
      <c r="E5132" t="inlineStr">
        <is>
          <t>South Region</t>
        </is>
      </c>
      <c r="F5132" t="inlineStr">
        <is>
          <t>Rep_07</t>
        </is>
      </c>
      <c r="G5132" t="n">
        <v>4.65</v>
      </c>
      <c r="H5132" t="inlineStr">
        <is>
          <t>Contacted</t>
        </is>
      </c>
      <c r="I5132" t="inlineStr">
        <is>
          <t>Open</t>
        </is>
      </c>
      <c r="M5132">
        <f>VLOOKUP(H5132,'Stage Order'!$A$2:$B$8,2,FALSE)</f>
        <v/>
      </c>
      <c r="N5132">
        <f>IF(G5132&lt;=1,"1. Under 1 hour",IF(G5132&lt;=24,"2. 1-24 hours",IF(G5132&lt;=72,"3. 1-3 days","4. Over 3 days")))</f>
        <v/>
      </c>
      <c r="O5132">
        <f>TEXT(B5132,"YYYY-MM")</f>
        <v/>
      </c>
    </row>
    <row r="5133">
      <c r="A5133" t="inlineStr">
        <is>
          <t>LD-305131</t>
        </is>
      </c>
      <c r="B5133" t="inlineStr">
        <is>
          <t>2025-10-25 11:51:00</t>
        </is>
      </c>
      <c r="C5133" t="inlineStr">
        <is>
          <t>Paid Search</t>
        </is>
      </c>
      <c r="D5133" t="inlineStr">
        <is>
          <t>K-12 Math</t>
        </is>
      </c>
      <c r="E5133" t="inlineStr">
        <is>
          <t>East Region</t>
        </is>
      </c>
      <c r="F5133" t="inlineStr">
        <is>
          <t>Rep_14</t>
        </is>
      </c>
      <c r="G5133" t="n">
        <v>6.29</v>
      </c>
      <c r="H5133" t="inlineStr">
        <is>
          <t>Lead</t>
        </is>
      </c>
      <c r="I5133" t="inlineStr">
        <is>
          <t>Open</t>
        </is>
      </c>
      <c r="M5133">
        <f>VLOOKUP(H5133,'Stage Order'!$A$2:$B$8,2,FALSE)</f>
        <v/>
      </c>
      <c r="N5133">
        <f>IF(G5133&lt;=1,"1. Under 1 hour",IF(G5133&lt;=24,"2. 1-24 hours",IF(G5133&lt;=72,"3. 1-3 days","4. Over 3 days")))</f>
        <v/>
      </c>
      <c r="O5133">
        <f>TEXT(B5133,"YYYY-MM")</f>
        <v/>
      </c>
    </row>
    <row r="5134">
      <c r="A5134" t="inlineStr">
        <is>
          <t>LD-305132</t>
        </is>
      </c>
      <c r="B5134" t="inlineStr">
        <is>
          <t>2025-05-23 17:37:00</t>
        </is>
      </c>
      <c r="C5134" t="inlineStr">
        <is>
          <t>Cold Outreach</t>
        </is>
      </c>
      <c r="D5134" t="inlineStr">
        <is>
          <t>Competitive Exam Prep</t>
        </is>
      </c>
      <c r="E5134" t="inlineStr">
        <is>
          <t>West Region</t>
        </is>
      </c>
      <c r="F5134" t="inlineStr">
        <is>
          <t>Rep_08</t>
        </is>
      </c>
      <c r="G5134" t="n">
        <v>1.7</v>
      </c>
      <c r="H5134" t="inlineStr">
        <is>
          <t>Demo Completed</t>
        </is>
      </c>
      <c r="I5134" t="inlineStr">
        <is>
          <t>Lost</t>
        </is>
      </c>
      <c r="J5134" t="inlineStr">
        <is>
          <t>No Response / Ghosted</t>
        </is>
      </c>
      <c r="K5134" t="n">
        <v>931.28</v>
      </c>
      <c r="L5134" t="inlineStr">
        <is>
          <t>2025-06-10 20:33:53.855608</t>
        </is>
      </c>
      <c r="M5134">
        <f>VLOOKUP(H5134,'Stage Order'!$A$2:$B$8,2,FALSE)</f>
        <v/>
      </c>
      <c r="N5134">
        <f>IF(G5134&lt;=1,"1. Under 1 hour",IF(G5134&lt;=24,"2. 1-24 hours",IF(G5134&lt;=72,"3. 1-3 days","4. Over 3 days")))</f>
        <v/>
      </c>
      <c r="O5134">
        <f>TEXT(B5134,"YYYY-MM")</f>
        <v/>
      </c>
    </row>
    <row r="5135">
      <c r="A5135" t="inlineStr">
        <is>
          <t>LD-305133</t>
        </is>
      </c>
      <c r="B5135" t="inlineStr">
        <is>
          <t>2025-10-09 07:39:00</t>
        </is>
      </c>
      <c r="C5135" t="inlineStr">
        <is>
          <t>Paid Search</t>
        </is>
      </c>
      <c r="D5135" t="inlineStr">
        <is>
          <t>Language Learning</t>
        </is>
      </c>
      <c r="E5135" t="inlineStr">
        <is>
          <t>North Region</t>
        </is>
      </c>
      <c r="F5135" t="inlineStr">
        <is>
          <t>Rep_01</t>
        </is>
      </c>
      <c r="G5135" t="n">
        <v>1.53</v>
      </c>
      <c r="H5135" t="inlineStr">
        <is>
          <t>Contacted</t>
        </is>
      </c>
      <c r="I5135" t="inlineStr">
        <is>
          <t>Open</t>
        </is>
      </c>
      <c r="M5135">
        <f>VLOOKUP(H5135,'Stage Order'!$A$2:$B$8,2,FALSE)</f>
        <v/>
      </c>
      <c r="N5135">
        <f>IF(G5135&lt;=1,"1. Under 1 hour",IF(G5135&lt;=24,"2. 1-24 hours",IF(G5135&lt;=72,"3. 1-3 days","4. Over 3 days")))</f>
        <v/>
      </c>
      <c r="O5135">
        <f>TEXT(B5135,"YYYY-MM")</f>
        <v/>
      </c>
    </row>
    <row r="5136">
      <c r="A5136" t="inlineStr">
        <is>
          <t>LD-305134</t>
        </is>
      </c>
      <c r="B5136" t="inlineStr">
        <is>
          <t>2026-03-03 19:03:00</t>
        </is>
      </c>
      <c r="C5136" t="inlineStr">
        <is>
          <t>Paid Search</t>
        </is>
      </c>
      <c r="D5136" t="inlineStr">
        <is>
          <t>K-12 Math</t>
        </is>
      </c>
      <c r="E5136" t="inlineStr">
        <is>
          <t>East Region</t>
        </is>
      </c>
      <c r="F5136" t="inlineStr">
        <is>
          <t>Rep_09</t>
        </is>
      </c>
      <c r="G5136" t="n">
        <v>3.46</v>
      </c>
      <c r="H5136" t="inlineStr">
        <is>
          <t>Lead</t>
        </is>
      </c>
      <c r="I5136" t="inlineStr">
        <is>
          <t>Open</t>
        </is>
      </c>
      <c r="M5136">
        <f>VLOOKUP(H5136,'Stage Order'!$A$2:$B$8,2,FALSE)</f>
        <v/>
      </c>
      <c r="N5136">
        <f>IF(G5136&lt;=1,"1. Under 1 hour",IF(G5136&lt;=24,"2. 1-24 hours",IF(G5136&lt;=72,"3. 1-3 days","4. Over 3 days")))</f>
        <v/>
      </c>
      <c r="O5136">
        <f>TEXT(B5136,"YYYY-MM")</f>
        <v/>
      </c>
    </row>
    <row r="5137">
      <c r="A5137" t="inlineStr">
        <is>
          <t>LD-305135</t>
        </is>
      </c>
      <c r="B5137" t="inlineStr">
        <is>
          <t>2025-02-28 10:02:00</t>
        </is>
      </c>
      <c r="C5137" t="inlineStr">
        <is>
          <t>Social Media</t>
        </is>
      </c>
      <c r="D5137" t="inlineStr">
        <is>
          <t>Language Learning</t>
        </is>
      </c>
      <c r="E5137" t="inlineStr">
        <is>
          <t>West Region</t>
        </is>
      </c>
      <c r="F5137" t="inlineStr">
        <is>
          <t>Rep_08</t>
        </is>
      </c>
      <c r="G5137" t="n">
        <v>1.22</v>
      </c>
      <c r="H5137" t="inlineStr">
        <is>
          <t>Proposal Sent</t>
        </is>
      </c>
      <c r="I5137" t="inlineStr">
        <is>
          <t>Lost</t>
        </is>
      </c>
      <c r="J5137" t="inlineStr">
        <is>
          <t>No Response / Ghosted</t>
        </is>
      </c>
      <c r="K5137" t="n">
        <v>337.73</v>
      </c>
      <c r="L5137" t="inlineStr">
        <is>
          <t>2025-04-01 22:57:27.391766</t>
        </is>
      </c>
      <c r="M5137">
        <f>VLOOKUP(H5137,'Stage Order'!$A$2:$B$8,2,FALSE)</f>
        <v/>
      </c>
      <c r="N5137">
        <f>IF(G5137&lt;=1,"1. Under 1 hour",IF(G5137&lt;=24,"2. 1-24 hours",IF(G5137&lt;=72,"3. 1-3 days","4. Over 3 days")))</f>
        <v/>
      </c>
      <c r="O5137">
        <f>TEXT(B5137,"YYYY-MM")</f>
        <v/>
      </c>
    </row>
    <row r="5138">
      <c r="A5138" t="inlineStr">
        <is>
          <t>LD-305136</t>
        </is>
      </c>
      <c r="B5138" t="inlineStr">
        <is>
          <t>2025-04-19 16:35:00</t>
        </is>
      </c>
      <c r="C5138" t="inlineStr">
        <is>
          <t>Social Media</t>
        </is>
      </c>
      <c r="D5138" t="inlineStr">
        <is>
          <t>K-12 Math</t>
        </is>
      </c>
      <c r="E5138" t="inlineStr">
        <is>
          <t>West Region</t>
        </is>
      </c>
      <c r="F5138" t="inlineStr">
        <is>
          <t>Rep_13</t>
        </is>
      </c>
      <c r="G5138" t="n">
        <v>0.53</v>
      </c>
      <c r="H5138" t="inlineStr">
        <is>
          <t>Contacted</t>
        </is>
      </c>
      <c r="I5138" t="inlineStr">
        <is>
          <t>Open</t>
        </is>
      </c>
      <c r="M5138">
        <f>VLOOKUP(H5138,'Stage Order'!$A$2:$B$8,2,FALSE)</f>
        <v/>
      </c>
      <c r="N5138">
        <f>IF(G5138&lt;=1,"1. Under 1 hour",IF(G5138&lt;=24,"2. 1-24 hours",IF(G5138&lt;=72,"3. 1-3 days","4. Over 3 days")))</f>
        <v/>
      </c>
      <c r="O5138">
        <f>TEXT(B5138,"YYYY-MM")</f>
        <v/>
      </c>
    </row>
    <row r="5139">
      <c r="A5139" t="inlineStr">
        <is>
          <t>LD-305137</t>
        </is>
      </c>
      <c r="B5139" t="inlineStr">
        <is>
          <t>2025-02-21 12:35:00</t>
        </is>
      </c>
      <c r="C5139" t="inlineStr">
        <is>
          <t>Paid Search</t>
        </is>
      </c>
      <c r="D5139" t="inlineStr">
        <is>
          <t>Language Learning</t>
        </is>
      </c>
      <c r="E5139" t="inlineStr">
        <is>
          <t>North Region</t>
        </is>
      </c>
      <c r="F5139" t="inlineStr">
        <is>
          <t>Rep_06</t>
        </is>
      </c>
      <c r="G5139" t="n">
        <v>6.42</v>
      </c>
      <c r="H5139" t="inlineStr">
        <is>
          <t>Lead</t>
        </is>
      </c>
      <c r="I5139" t="inlineStr">
        <is>
          <t>Open</t>
        </is>
      </c>
      <c r="M5139">
        <f>VLOOKUP(H5139,'Stage Order'!$A$2:$B$8,2,FALSE)</f>
        <v/>
      </c>
      <c r="N5139">
        <f>IF(G5139&lt;=1,"1. Under 1 hour",IF(G5139&lt;=24,"2. 1-24 hours",IF(G5139&lt;=72,"3. 1-3 days","4. Over 3 days")))</f>
        <v/>
      </c>
      <c r="O5139">
        <f>TEXT(B5139,"YYYY-MM")</f>
        <v/>
      </c>
    </row>
    <row r="5140">
      <c r="A5140" t="inlineStr">
        <is>
          <t>LD-305138</t>
        </is>
      </c>
      <c r="B5140" t="inlineStr">
        <is>
          <t>2026-04-21 11:17:00</t>
        </is>
      </c>
      <c r="C5140" t="inlineStr">
        <is>
          <t>Referral</t>
        </is>
      </c>
      <c r="D5140" t="inlineStr">
        <is>
          <t>Study Abroad Prep</t>
        </is>
      </c>
      <c r="E5140" t="inlineStr">
        <is>
          <t>West Region</t>
        </is>
      </c>
      <c r="F5140" t="inlineStr">
        <is>
          <t>Rep_03</t>
        </is>
      </c>
      <c r="G5140" t="n">
        <v>1.03</v>
      </c>
      <c r="H5140" t="inlineStr">
        <is>
          <t>Contacted</t>
        </is>
      </c>
      <c r="I5140" t="inlineStr">
        <is>
          <t>Open</t>
        </is>
      </c>
      <c r="M5140">
        <f>VLOOKUP(H5140,'Stage Order'!$A$2:$B$8,2,FALSE)</f>
        <v/>
      </c>
      <c r="N5140">
        <f>IF(G5140&lt;=1,"1. Under 1 hour",IF(G5140&lt;=24,"2. 1-24 hours",IF(G5140&lt;=72,"3. 1-3 days","4. Over 3 days")))</f>
        <v/>
      </c>
      <c r="O5140">
        <f>TEXT(B5140,"YYYY-MM")</f>
        <v/>
      </c>
    </row>
    <row r="5141">
      <c r="A5141" t="inlineStr">
        <is>
          <t>LD-305139</t>
        </is>
      </c>
      <c r="B5141" t="inlineStr">
        <is>
          <t>2025-08-19 11:59:00</t>
        </is>
      </c>
      <c r="C5141" t="inlineStr">
        <is>
          <t>Organic Search</t>
        </is>
      </c>
      <c r="D5141" t="inlineStr">
        <is>
          <t>Study Abroad Prep</t>
        </is>
      </c>
      <c r="E5141" t="inlineStr">
        <is>
          <t>North Region</t>
        </is>
      </c>
      <c r="F5141" t="inlineStr">
        <is>
          <t>Rep_11</t>
        </is>
      </c>
      <c r="G5141" t="n">
        <v>2.4</v>
      </c>
      <c r="H5141" t="inlineStr">
        <is>
          <t>Negotiation</t>
        </is>
      </c>
      <c r="I5141" t="inlineStr">
        <is>
          <t>Lost</t>
        </is>
      </c>
      <c r="J5141" t="inlineStr">
        <is>
          <t>Price Objection</t>
        </is>
      </c>
      <c r="K5141" t="n">
        <v>1336.25</v>
      </c>
      <c r="L5141" t="inlineStr">
        <is>
          <t>2025-10-13 20:11:32.669803</t>
        </is>
      </c>
      <c r="M5141">
        <f>VLOOKUP(H5141,'Stage Order'!$A$2:$B$8,2,FALSE)</f>
        <v/>
      </c>
      <c r="N5141">
        <f>IF(G5141&lt;=1,"1. Under 1 hour",IF(G5141&lt;=24,"2. 1-24 hours",IF(G5141&lt;=72,"3. 1-3 days","4. Over 3 days")))</f>
        <v/>
      </c>
      <c r="O5141">
        <f>TEXT(B5141,"YYYY-MM")</f>
        <v/>
      </c>
    </row>
    <row r="5142">
      <c r="A5142" t="inlineStr">
        <is>
          <t>LD-305140</t>
        </is>
      </c>
      <c r="B5142" t="inlineStr">
        <is>
          <t>2025-09-11 17:37:00</t>
        </is>
      </c>
      <c r="C5142" t="inlineStr">
        <is>
          <t>Paid Search</t>
        </is>
      </c>
      <c r="D5142" t="inlineStr">
        <is>
          <t>Competitive Exam Prep</t>
        </is>
      </c>
      <c r="E5142" t="inlineStr">
        <is>
          <t>West Region</t>
        </is>
      </c>
      <c r="F5142" t="inlineStr">
        <is>
          <t>Rep_03</t>
        </is>
      </c>
      <c r="G5142" t="n">
        <v>1.73</v>
      </c>
      <c r="H5142" t="inlineStr">
        <is>
          <t>Contacted</t>
        </is>
      </c>
      <c r="I5142" t="inlineStr">
        <is>
          <t>Open</t>
        </is>
      </c>
      <c r="M5142">
        <f>VLOOKUP(H5142,'Stage Order'!$A$2:$B$8,2,FALSE)</f>
        <v/>
      </c>
      <c r="N5142">
        <f>IF(G5142&lt;=1,"1. Under 1 hour",IF(G5142&lt;=24,"2. 1-24 hours",IF(G5142&lt;=72,"3. 1-3 days","4. Over 3 days")))</f>
        <v/>
      </c>
      <c r="O5142">
        <f>TEXT(B5142,"YYYY-MM")</f>
        <v/>
      </c>
    </row>
    <row r="5143">
      <c r="A5143" t="inlineStr">
        <is>
          <t>LD-305141</t>
        </is>
      </c>
      <c r="B5143" t="inlineStr">
        <is>
          <t>2025-07-25 15:23:00</t>
        </is>
      </c>
      <c r="C5143" t="inlineStr">
        <is>
          <t>Paid Search</t>
        </is>
      </c>
      <c r="D5143" t="inlineStr">
        <is>
          <t>Language Learning</t>
        </is>
      </c>
      <c r="E5143" t="inlineStr">
        <is>
          <t>South Region</t>
        </is>
      </c>
      <c r="F5143" t="inlineStr">
        <is>
          <t>Rep_07</t>
        </is>
      </c>
      <c r="G5143" t="n">
        <v>1.81</v>
      </c>
      <c r="H5143" t="inlineStr">
        <is>
          <t>Lead</t>
        </is>
      </c>
      <c r="I5143" t="inlineStr">
        <is>
          <t>Open</t>
        </is>
      </c>
      <c r="M5143">
        <f>VLOOKUP(H5143,'Stage Order'!$A$2:$B$8,2,FALSE)</f>
        <v/>
      </c>
      <c r="N5143">
        <f>IF(G5143&lt;=1,"1. Under 1 hour",IF(G5143&lt;=24,"2. 1-24 hours",IF(G5143&lt;=72,"3. 1-3 days","4. Over 3 days")))</f>
        <v/>
      </c>
      <c r="O5143">
        <f>TEXT(B5143,"YYYY-MM")</f>
        <v/>
      </c>
    </row>
    <row r="5144">
      <c r="A5144" t="inlineStr">
        <is>
          <t>LD-305142</t>
        </is>
      </c>
      <c r="B5144" t="inlineStr">
        <is>
          <t>2025-08-26 07:52:00</t>
        </is>
      </c>
      <c r="C5144" t="inlineStr">
        <is>
          <t>Webinar</t>
        </is>
      </c>
      <c r="D5144" t="inlineStr">
        <is>
          <t>K-12 Math</t>
        </is>
      </c>
      <c r="E5144" t="inlineStr">
        <is>
          <t>North Region</t>
        </is>
      </c>
      <c r="F5144" t="inlineStr">
        <is>
          <t>Rep_11</t>
        </is>
      </c>
      <c r="G5144" t="n">
        <v>2.13</v>
      </c>
      <c r="H5144" t="inlineStr">
        <is>
          <t>Contacted</t>
        </is>
      </c>
      <c r="I5144" t="inlineStr">
        <is>
          <t>Open</t>
        </is>
      </c>
      <c r="M5144">
        <f>VLOOKUP(H5144,'Stage Order'!$A$2:$B$8,2,FALSE)</f>
        <v/>
      </c>
      <c r="N5144">
        <f>IF(G5144&lt;=1,"1. Under 1 hour",IF(G5144&lt;=24,"2. 1-24 hours",IF(G5144&lt;=72,"3. 1-3 days","4. Over 3 days")))</f>
        <v/>
      </c>
      <c r="O5144">
        <f>TEXT(B5144,"YYYY-MM")</f>
        <v/>
      </c>
    </row>
    <row r="5145">
      <c r="A5145" t="inlineStr">
        <is>
          <t>LD-305143</t>
        </is>
      </c>
      <c r="B5145" t="inlineStr">
        <is>
          <t>2025-09-03 09:21:00</t>
        </is>
      </c>
      <c r="C5145" t="inlineStr">
        <is>
          <t>Partner Channel</t>
        </is>
      </c>
      <c r="D5145" t="inlineStr">
        <is>
          <t>Coding for Kids</t>
        </is>
      </c>
      <c r="E5145" t="inlineStr">
        <is>
          <t>East Region</t>
        </is>
      </c>
      <c r="F5145" t="inlineStr">
        <is>
          <t>Rep_04</t>
        </is>
      </c>
      <c r="G5145" t="n">
        <v>3.33</v>
      </c>
      <c r="H5145" t="inlineStr">
        <is>
          <t>Closed</t>
        </is>
      </c>
      <c r="I5145" t="inlineStr">
        <is>
          <t>Won</t>
        </is>
      </c>
      <c r="K5145" t="n">
        <v>680.8200000000001</v>
      </c>
      <c r="L5145" t="inlineStr">
        <is>
          <t>2025-10-10 15:05:25.041664</t>
        </is>
      </c>
      <c r="M5145">
        <f>VLOOKUP(H5145,'Stage Order'!$A$2:$B$8,2,FALSE)</f>
        <v/>
      </c>
      <c r="N5145">
        <f>IF(G5145&lt;=1,"1. Under 1 hour",IF(G5145&lt;=24,"2. 1-24 hours",IF(G5145&lt;=72,"3. 1-3 days","4. Over 3 days")))</f>
        <v/>
      </c>
      <c r="O5145">
        <f>TEXT(B5145,"YYYY-MM")</f>
        <v/>
      </c>
    </row>
    <row r="5146">
      <c r="A5146" t="inlineStr">
        <is>
          <t>LD-305144</t>
        </is>
      </c>
      <c r="B5146" t="inlineStr">
        <is>
          <t>2025-12-19 14:35:00</t>
        </is>
      </c>
      <c r="C5146" t="inlineStr">
        <is>
          <t>Referral</t>
        </is>
      </c>
      <c r="D5146" t="inlineStr">
        <is>
          <t>Competitive Exam Prep</t>
        </is>
      </c>
      <c r="E5146" t="inlineStr">
        <is>
          <t>South Region</t>
        </is>
      </c>
      <c r="F5146" t="inlineStr">
        <is>
          <t>Rep_12</t>
        </is>
      </c>
      <c r="G5146" t="n">
        <v>2.94</v>
      </c>
      <c r="H5146" t="inlineStr">
        <is>
          <t>Closed</t>
        </is>
      </c>
      <c r="I5146" t="inlineStr">
        <is>
          <t>Won</t>
        </is>
      </c>
      <c r="K5146" t="n">
        <v>1005.79</v>
      </c>
      <c r="L5146" t="inlineStr">
        <is>
          <t>2026-01-17 13:14:55.628607</t>
        </is>
      </c>
      <c r="M5146">
        <f>VLOOKUP(H5146,'Stage Order'!$A$2:$B$8,2,FALSE)</f>
        <v/>
      </c>
      <c r="N5146">
        <f>IF(G5146&lt;=1,"1. Under 1 hour",IF(G5146&lt;=24,"2. 1-24 hours",IF(G5146&lt;=72,"3. 1-3 days","4. Over 3 days")))</f>
        <v/>
      </c>
      <c r="O5146">
        <f>TEXT(B5146,"YYYY-MM")</f>
        <v/>
      </c>
    </row>
    <row r="5147">
      <c r="A5147" t="inlineStr">
        <is>
          <t>LD-305145</t>
        </is>
      </c>
      <c r="B5147" t="inlineStr">
        <is>
          <t>2025-11-25 12:16:00</t>
        </is>
      </c>
      <c r="C5147" t="inlineStr">
        <is>
          <t>Organic Search</t>
        </is>
      </c>
      <c r="D5147" t="inlineStr">
        <is>
          <t>K-12 Math</t>
        </is>
      </c>
      <c r="E5147" t="inlineStr">
        <is>
          <t>East Region</t>
        </is>
      </c>
      <c r="F5147" t="inlineStr">
        <is>
          <t>Rep_04</t>
        </is>
      </c>
      <c r="G5147" t="n">
        <v>1.89</v>
      </c>
      <c r="H5147" t="inlineStr">
        <is>
          <t>Lead</t>
        </is>
      </c>
      <c r="I5147" t="inlineStr">
        <is>
          <t>Open</t>
        </is>
      </c>
      <c r="M5147">
        <f>VLOOKUP(H5147,'Stage Order'!$A$2:$B$8,2,FALSE)</f>
        <v/>
      </c>
      <c r="N5147">
        <f>IF(G5147&lt;=1,"1. Under 1 hour",IF(G5147&lt;=24,"2. 1-24 hours",IF(G5147&lt;=72,"3. 1-3 days","4. Over 3 days")))</f>
        <v/>
      </c>
      <c r="O5147">
        <f>TEXT(B5147,"YYYY-MM")</f>
        <v/>
      </c>
    </row>
    <row r="5148">
      <c r="A5148" t="inlineStr">
        <is>
          <t>LD-305146</t>
        </is>
      </c>
      <c r="B5148" t="inlineStr">
        <is>
          <t>2025-04-18 17:09:00</t>
        </is>
      </c>
      <c r="C5148" t="inlineStr">
        <is>
          <t>Referral</t>
        </is>
      </c>
      <c r="D5148" t="inlineStr">
        <is>
          <t>Competitive Exam Prep</t>
        </is>
      </c>
      <c r="E5148" t="inlineStr">
        <is>
          <t>East Region</t>
        </is>
      </c>
      <c r="F5148" t="inlineStr">
        <is>
          <t>Rep_14</t>
        </is>
      </c>
      <c r="G5148" t="n">
        <v>7.55</v>
      </c>
      <c r="H5148" t="inlineStr">
        <is>
          <t>Contacted</t>
        </is>
      </c>
      <c r="I5148" t="inlineStr">
        <is>
          <t>Open</t>
        </is>
      </c>
      <c r="M5148">
        <f>VLOOKUP(H5148,'Stage Order'!$A$2:$B$8,2,FALSE)</f>
        <v/>
      </c>
      <c r="N5148">
        <f>IF(G5148&lt;=1,"1. Under 1 hour",IF(G5148&lt;=24,"2. 1-24 hours",IF(G5148&lt;=72,"3. 1-3 days","4. Over 3 days")))</f>
        <v/>
      </c>
      <c r="O5148">
        <f>TEXT(B5148,"YYYY-MM")</f>
        <v/>
      </c>
    </row>
    <row r="5149">
      <c r="A5149" t="inlineStr">
        <is>
          <t>LD-305147</t>
        </is>
      </c>
      <c r="B5149" t="inlineStr">
        <is>
          <t>2025-04-25 10:37:00</t>
        </is>
      </c>
      <c r="C5149" t="inlineStr">
        <is>
          <t>Webinar</t>
        </is>
      </c>
      <c r="D5149" t="inlineStr">
        <is>
          <t>Competitive Exam Prep</t>
        </is>
      </c>
      <c r="E5149" t="inlineStr">
        <is>
          <t>North Region</t>
        </is>
      </c>
      <c r="F5149" t="inlineStr">
        <is>
          <t>Rep_11</t>
        </is>
      </c>
      <c r="G5149" t="n">
        <v>4.04</v>
      </c>
      <c r="H5149" t="inlineStr">
        <is>
          <t>Closed</t>
        </is>
      </c>
      <c r="I5149" t="inlineStr">
        <is>
          <t>Won</t>
        </is>
      </c>
      <c r="K5149" t="n">
        <v>1017.85</v>
      </c>
      <c r="L5149" t="inlineStr">
        <is>
          <t>2025-05-29 01:00:24.960076</t>
        </is>
      </c>
      <c r="M5149">
        <f>VLOOKUP(H5149,'Stage Order'!$A$2:$B$8,2,FALSE)</f>
        <v/>
      </c>
      <c r="N5149">
        <f>IF(G5149&lt;=1,"1. Under 1 hour",IF(G5149&lt;=24,"2. 1-24 hours",IF(G5149&lt;=72,"3. 1-3 days","4. Over 3 days")))</f>
        <v/>
      </c>
      <c r="O5149">
        <f>TEXT(B5149,"YYYY-MM")</f>
        <v/>
      </c>
    </row>
    <row r="5150">
      <c r="A5150" t="inlineStr">
        <is>
          <t>LD-305148</t>
        </is>
      </c>
      <c r="B5150" t="inlineStr">
        <is>
          <t>2026-04-14 14:03:00</t>
        </is>
      </c>
      <c r="C5150" t="inlineStr">
        <is>
          <t>Cold Outreach</t>
        </is>
      </c>
      <c r="D5150" t="inlineStr">
        <is>
          <t>Coding for Kids</t>
        </is>
      </c>
      <c r="E5150" t="inlineStr">
        <is>
          <t>North Region</t>
        </is>
      </c>
      <c r="F5150" t="inlineStr">
        <is>
          <t>Rep_01</t>
        </is>
      </c>
      <c r="G5150" t="n">
        <v>1.2</v>
      </c>
      <c r="H5150" t="inlineStr">
        <is>
          <t>Lead</t>
        </is>
      </c>
      <c r="I5150" t="inlineStr">
        <is>
          <t>Open</t>
        </is>
      </c>
      <c r="M5150">
        <f>VLOOKUP(H5150,'Stage Order'!$A$2:$B$8,2,FALSE)</f>
        <v/>
      </c>
      <c r="N5150">
        <f>IF(G5150&lt;=1,"1. Under 1 hour",IF(G5150&lt;=24,"2. 1-24 hours",IF(G5150&lt;=72,"3. 1-3 days","4. Over 3 days")))</f>
        <v/>
      </c>
      <c r="O5150">
        <f>TEXT(B5150,"YYYY-MM")</f>
        <v/>
      </c>
    </row>
    <row r="5151">
      <c r="A5151" t="inlineStr">
        <is>
          <t>LD-305149</t>
        </is>
      </c>
      <c r="B5151" t="inlineStr">
        <is>
          <t>2026-04-02 08:11:00</t>
        </is>
      </c>
      <c r="C5151" t="inlineStr">
        <is>
          <t>Webinar</t>
        </is>
      </c>
      <c r="D5151" t="inlineStr">
        <is>
          <t>K-12 Math</t>
        </is>
      </c>
      <c r="E5151" t="inlineStr">
        <is>
          <t>East Region</t>
        </is>
      </c>
      <c r="F5151" t="inlineStr">
        <is>
          <t>Rep_09</t>
        </is>
      </c>
      <c r="G5151" t="n">
        <v>16.82</v>
      </c>
      <c r="H5151" t="inlineStr">
        <is>
          <t>Contacted</t>
        </is>
      </c>
      <c r="I5151" t="inlineStr">
        <is>
          <t>Open</t>
        </is>
      </c>
      <c r="M5151">
        <f>VLOOKUP(H5151,'Stage Order'!$A$2:$B$8,2,FALSE)</f>
        <v/>
      </c>
      <c r="N5151">
        <f>IF(G5151&lt;=1,"1. Under 1 hour",IF(G5151&lt;=24,"2. 1-24 hours",IF(G5151&lt;=72,"3. 1-3 days","4. Over 3 days")))</f>
        <v/>
      </c>
      <c r="O5151">
        <f>TEXT(B5151,"YYYY-MM")</f>
        <v/>
      </c>
    </row>
    <row r="5152">
      <c r="A5152" t="inlineStr">
        <is>
          <t>LD-305150</t>
        </is>
      </c>
      <c r="B5152" t="inlineStr">
        <is>
          <t>2025-06-26 10:45:00</t>
        </is>
      </c>
      <c r="C5152" t="inlineStr">
        <is>
          <t>Paid Search</t>
        </is>
      </c>
      <c r="D5152" t="inlineStr">
        <is>
          <t>Coding for Kids</t>
        </is>
      </c>
      <c r="E5152" t="inlineStr">
        <is>
          <t>West Region</t>
        </is>
      </c>
      <c r="F5152" t="inlineStr">
        <is>
          <t>Rep_13</t>
        </is>
      </c>
      <c r="G5152" t="n">
        <v>4.15</v>
      </c>
      <c r="H5152" t="inlineStr">
        <is>
          <t>Contacted</t>
        </is>
      </c>
      <c r="I5152" t="inlineStr">
        <is>
          <t>Open</t>
        </is>
      </c>
      <c r="M5152">
        <f>VLOOKUP(H5152,'Stage Order'!$A$2:$B$8,2,FALSE)</f>
        <v/>
      </c>
      <c r="N5152">
        <f>IF(G5152&lt;=1,"1. Under 1 hour",IF(G5152&lt;=24,"2. 1-24 hours",IF(G5152&lt;=72,"3. 1-3 days","4. Over 3 days")))</f>
        <v/>
      </c>
      <c r="O5152">
        <f>TEXT(B5152,"YYYY-MM")</f>
        <v/>
      </c>
    </row>
    <row r="5153">
      <c r="A5153" t="inlineStr">
        <is>
          <t>LD-305151</t>
        </is>
      </c>
      <c r="B5153" t="inlineStr">
        <is>
          <t>2026-04-18 11:55:00</t>
        </is>
      </c>
      <c r="C5153" t="inlineStr">
        <is>
          <t>Paid Search</t>
        </is>
      </c>
      <c r="D5153" t="inlineStr">
        <is>
          <t>Competitive Exam Prep</t>
        </is>
      </c>
      <c r="E5153" t="inlineStr">
        <is>
          <t>North Region</t>
        </is>
      </c>
      <c r="F5153" t="inlineStr">
        <is>
          <t>Rep_06</t>
        </is>
      </c>
      <c r="G5153" t="n">
        <v>13.62</v>
      </c>
      <c r="H5153" t="inlineStr">
        <is>
          <t>Contacted</t>
        </is>
      </c>
      <c r="I5153" t="inlineStr">
        <is>
          <t>Open</t>
        </is>
      </c>
      <c r="M5153">
        <f>VLOOKUP(H5153,'Stage Order'!$A$2:$B$8,2,FALSE)</f>
        <v/>
      </c>
      <c r="N5153">
        <f>IF(G5153&lt;=1,"1. Under 1 hour",IF(G5153&lt;=24,"2. 1-24 hours",IF(G5153&lt;=72,"3. 1-3 days","4. Over 3 days")))</f>
        <v/>
      </c>
      <c r="O5153">
        <f>TEXT(B5153,"YYYY-MM")</f>
        <v/>
      </c>
    </row>
    <row r="5154">
      <c r="A5154" t="inlineStr">
        <is>
          <t>LD-305152</t>
        </is>
      </c>
      <c r="B5154" t="inlineStr">
        <is>
          <t>2025-06-29 10:12:00</t>
        </is>
      </c>
      <c r="C5154" t="inlineStr">
        <is>
          <t>Webinar</t>
        </is>
      </c>
      <c r="D5154" t="inlineStr">
        <is>
          <t>K-12 Math</t>
        </is>
      </c>
      <c r="E5154" t="inlineStr">
        <is>
          <t>North Region</t>
        </is>
      </c>
      <c r="F5154" t="inlineStr">
        <is>
          <t>Rep_11</t>
        </is>
      </c>
      <c r="G5154" t="n">
        <v>2.57</v>
      </c>
      <c r="H5154" t="inlineStr">
        <is>
          <t>Closed</t>
        </is>
      </c>
      <c r="I5154" t="inlineStr">
        <is>
          <t>Won</t>
        </is>
      </c>
      <c r="K5154" t="n">
        <v>517.37</v>
      </c>
      <c r="L5154" t="inlineStr">
        <is>
          <t>2025-08-07 10:32:43.934503</t>
        </is>
      </c>
      <c r="M5154">
        <f>VLOOKUP(H5154,'Stage Order'!$A$2:$B$8,2,FALSE)</f>
        <v/>
      </c>
      <c r="N5154">
        <f>IF(G5154&lt;=1,"1. Under 1 hour",IF(G5154&lt;=24,"2. 1-24 hours",IF(G5154&lt;=72,"3. 1-3 days","4. Over 3 days")))</f>
        <v/>
      </c>
      <c r="O5154">
        <f>TEXT(B5154,"YYYY-MM")</f>
        <v/>
      </c>
    </row>
    <row r="5155">
      <c r="A5155" t="inlineStr">
        <is>
          <t>LD-305153</t>
        </is>
      </c>
      <c r="B5155" t="inlineStr">
        <is>
          <t>2025-04-04 19:56:00</t>
        </is>
      </c>
      <c r="C5155" t="inlineStr">
        <is>
          <t>Referral</t>
        </is>
      </c>
      <c r="D5155" t="inlineStr">
        <is>
          <t>Study Abroad Prep</t>
        </is>
      </c>
      <c r="E5155" t="inlineStr">
        <is>
          <t>North Region</t>
        </is>
      </c>
      <c r="F5155" t="inlineStr">
        <is>
          <t>Rep_11</t>
        </is>
      </c>
      <c r="G5155" t="n">
        <v>1.59</v>
      </c>
      <c r="H5155" t="inlineStr">
        <is>
          <t>Negotiation</t>
        </is>
      </c>
      <c r="I5155" t="inlineStr">
        <is>
          <t>Lost</t>
        </is>
      </c>
      <c r="J5155" t="inlineStr">
        <is>
          <t>Went With Competitor</t>
        </is>
      </c>
      <c r="K5155" t="n">
        <v>1351.11</v>
      </c>
      <c r="L5155" t="inlineStr">
        <is>
          <t>2025-05-18 08:52:08.491775</t>
        </is>
      </c>
      <c r="M5155">
        <f>VLOOKUP(H5155,'Stage Order'!$A$2:$B$8,2,FALSE)</f>
        <v/>
      </c>
      <c r="N5155">
        <f>IF(G5155&lt;=1,"1. Under 1 hour",IF(G5155&lt;=24,"2. 1-24 hours",IF(G5155&lt;=72,"3. 1-3 days","4. Over 3 days")))</f>
        <v/>
      </c>
      <c r="O5155">
        <f>TEXT(B5155,"YYYY-MM")</f>
        <v/>
      </c>
    </row>
    <row r="5156">
      <c r="A5156" t="inlineStr">
        <is>
          <t>LD-305154</t>
        </is>
      </c>
      <c r="B5156" t="inlineStr">
        <is>
          <t>2026-02-20 10:01:00</t>
        </is>
      </c>
      <c r="C5156" t="inlineStr">
        <is>
          <t>Paid Search</t>
        </is>
      </c>
      <c r="D5156" t="inlineStr">
        <is>
          <t>Language Learning</t>
        </is>
      </c>
      <c r="E5156" t="inlineStr">
        <is>
          <t>South Region</t>
        </is>
      </c>
      <c r="F5156" t="inlineStr">
        <is>
          <t>Rep_02</t>
        </is>
      </c>
      <c r="G5156" t="n">
        <v>4.88</v>
      </c>
      <c r="H5156" t="inlineStr">
        <is>
          <t>Contacted</t>
        </is>
      </c>
      <c r="I5156" t="inlineStr">
        <is>
          <t>Open</t>
        </is>
      </c>
      <c r="M5156">
        <f>VLOOKUP(H5156,'Stage Order'!$A$2:$B$8,2,FALSE)</f>
        <v/>
      </c>
      <c r="N5156">
        <f>IF(G5156&lt;=1,"1. Under 1 hour",IF(G5156&lt;=24,"2. 1-24 hours",IF(G5156&lt;=72,"3. 1-3 days","4. Over 3 days")))</f>
        <v/>
      </c>
      <c r="O5156">
        <f>TEXT(B5156,"YYYY-MM")</f>
        <v/>
      </c>
    </row>
    <row r="5157">
      <c r="A5157" t="inlineStr">
        <is>
          <t>LD-305155</t>
        </is>
      </c>
      <c r="B5157" t="inlineStr">
        <is>
          <t>2025-01-15 10:31:00</t>
        </is>
      </c>
      <c r="C5157" t="inlineStr">
        <is>
          <t>Organic Search</t>
        </is>
      </c>
      <c r="D5157" t="inlineStr">
        <is>
          <t>Coding for Kids</t>
        </is>
      </c>
      <c r="E5157" t="inlineStr">
        <is>
          <t>East Region</t>
        </is>
      </c>
      <c r="F5157" t="inlineStr">
        <is>
          <t>Rep_14</t>
        </is>
      </c>
      <c r="G5157" t="n">
        <v>3.95</v>
      </c>
      <c r="H5157" t="inlineStr">
        <is>
          <t>Demo Scheduled</t>
        </is>
      </c>
      <c r="I5157" t="inlineStr">
        <is>
          <t>Open</t>
        </is>
      </c>
      <c r="M5157">
        <f>VLOOKUP(H5157,'Stage Order'!$A$2:$B$8,2,FALSE)</f>
        <v/>
      </c>
      <c r="N5157">
        <f>IF(G5157&lt;=1,"1. Under 1 hour",IF(G5157&lt;=24,"2. 1-24 hours",IF(G5157&lt;=72,"3. 1-3 days","4. Over 3 days")))</f>
        <v/>
      </c>
      <c r="O5157">
        <f>TEXT(B5157,"YYYY-MM")</f>
        <v/>
      </c>
    </row>
    <row r="5158">
      <c r="A5158" t="inlineStr">
        <is>
          <t>LD-305156</t>
        </is>
      </c>
      <c r="B5158" t="inlineStr">
        <is>
          <t>2025-09-08 08:23:00</t>
        </is>
      </c>
      <c r="C5158" t="inlineStr">
        <is>
          <t>Partner Channel</t>
        </is>
      </c>
      <c r="D5158" t="inlineStr">
        <is>
          <t>Language Learning</t>
        </is>
      </c>
      <c r="E5158" t="inlineStr">
        <is>
          <t>North Region</t>
        </is>
      </c>
      <c r="F5158" t="inlineStr">
        <is>
          <t>Rep_01</t>
        </is>
      </c>
      <c r="G5158" t="n">
        <v>2.99</v>
      </c>
      <c r="H5158" t="inlineStr">
        <is>
          <t>Contacted</t>
        </is>
      </c>
      <c r="I5158" t="inlineStr">
        <is>
          <t>Open</t>
        </is>
      </c>
      <c r="M5158">
        <f>VLOOKUP(H5158,'Stage Order'!$A$2:$B$8,2,FALSE)</f>
        <v/>
      </c>
      <c r="N5158">
        <f>IF(G5158&lt;=1,"1. Under 1 hour",IF(G5158&lt;=24,"2. 1-24 hours",IF(G5158&lt;=72,"3. 1-3 days","4. Over 3 days")))</f>
        <v/>
      </c>
      <c r="O5158">
        <f>TEXT(B5158,"YYYY-MM")</f>
        <v/>
      </c>
    </row>
    <row r="5159">
      <c r="A5159" t="inlineStr">
        <is>
          <t>LD-305157</t>
        </is>
      </c>
      <c r="B5159" t="inlineStr">
        <is>
          <t>2025-08-22 09:35:00</t>
        </is>
      </c>
      <c r="C5159" t="inlineStr">
        <is>
          <t>Organic Search</t>
        </is>
      </c>
      <c r="D5159" t="inlineStr">
        <is>
          <t>Language Learning</t>
        </is>
      </c>
      <c r="E5159" t="inlineStr">
        <is>
          <t>West Region</t>
        </is>
      </c>
      <c r="F5159" t="inlineStr">
        <is>
          <t>Rep_03</t>
        </is>
      </c>
      <c r="G5159" t="n">
        <v>2.13</v>
      </c>
      <c r="H5159" t="inlineStr">
        <is>
          <t>Lead</t>
        </is>
      </c>
      <c r="I5159" t="inlineStr">
        <is>
          <t>Open</t>
        </is>
      </c>
      <c r="M5159">
        <f>VLOOKUP(H5159,'Stage Order'!$A$2:$B$8,2,FALSE)</f>
        <v/>
      </c>
      <c r="N5159">
        <f>IF(G5159&lt;=1,"1. Under 1 hour",IF(G5159&lt;=24,"2. 1-24 hours",IF(G5159&lt;=72,"3. 1-3 days","4. Over 3 days")))</f>
        <v/>
      </c>
      <c r="O5159">
        <f>TEXT(B5159,"YYYY-MM")</f>
        <v/>
      </c>
    </row>
    <row r="5160">
      <c r="A5160" t="inlineStr">
        <is>
          <t>LD-305158</t>
        </is>
      </c>
      <c r="B5160" t="inlineStr">
        <is>
          <t>2025-01-24 13:00:00</t>
        </is>
      </c>
      <c r="C5160" t="inlineStr">
        <is>
          <t>Social Media</t>
        </is>
      </c>
      <c r="D5160" t="inlineStr">
        <is>
          <t>Coding for Kids</t>
        </is>
      </c>
      <c r="E5160" t="inlineStr">
        <is>
          <t>South Region</t>
        </is>
      </c>
      <c r="F5160" t="inlineStr">
        <is>
          <t>Rep_02</t>
        </is>
      </c>
      <c r="G5160" t="n">
        <v>10.03</v>
      </c>
      <c r="H5160" t="inlineStr">
        <is>
          <t>Demo Completed</t>
        </is>
      </c>
      <c r="I5160" t="inlineStr">
        <is>
          <t>Lost</t>
        </is>
      </c>
      <c r="J5160" t="inlineStr">
        <is>
          <t>Price Objection</t>
        </is>
      </c>
      <c r="K5160" t="n">
        <v>566.03</v>
      </c>
      <c r="L5160" t="inlineStr">
        <is>
          <t>2025-02-15 10:53:10.441365</t>
        </is>
      </c>
      <c r="M5160">
        <f>VLOOKUP(H5160,'Stage Order'!$A$2:$B$8,2,FALSE)</f>
        <v/>
      </c>
      <c r="N5160">
        <f>IF(G5160&lt;=1,"1. Under 1 hour",IF(G5160&lt;=24,"2. 1-24 hours",IF(G5160&lt;=72,"3. 1-3 days","4. Over 3 days")))</f>
        <v/>
      </c>
      <c r="O5160">
        <f>TEXT(B5160,"YYYY-MM")</f>
        <v/>
      </c>
    </row>
    <row r="5161">
      <c r="A5161" t="inlineStr">
        <is>
          <t>LD-305159</t>
        </is>
      </c>
      <c r="B5161" t="inlineStr">
        <is>
          <t>2026-06-27 07:49:00</t>
        </is>
      </c>
      <c r="C5161" t="inlineStr">
        <is>
          <t>Organic Search</t>
        </is>
      </c>
      <c r="D5161" t="inlineStr">
        <is>
          <t>Language Learning</t>
        </is>
      </c>
      <c r="E5161" t="inlineStr">
        <is>
          <t>North Region</t>
        </is>
      </c>
      <c r="F5161" t="inlineStr">
        <is>
          <t>Rep_01</t>
        </is>
      </c>
      <c r="G5161" t="n">
        <v>2.84</v>
      </c>
      <c r="H5161" t="inlineStr">
        <is>
          <t>Contacted</t>
        </is>
      </c>
      <c r="I5161" t="inlineStr">
        <is>
          <t>Open</t>
        </is>
      </c>
      <c r="M5161">
        <f>VLOOKUP(H5161,'Stage Order'!$A$2:$B$8,2,FALSE)</f>
        <v/>
      </c>
      <c r="N5161">
        <f>IF(G5161&lt;=1,"1. Under 1 hour",IF(G5161&lt;=24,"2. 1-24 hours",IF(G5161&lt;=72,"3. 1-3 days","4. Over 3 days")))</f>
        <v/>
      </c>
      <c r="O5161">
        <f>TEXT(B5161,"YYYY-MM")</f>
        <v/>
      </c>
    </row>
    <row r="5162">
      <c r="A5162" t="inlineStr">
        <is>
          <t>LD-305160</t>
        </is>
      </c>
      <c r="B5162" t="inlineStr">
        <is>
          <t>2025-05-18 07:44:00</t>
        </is>
      </c>
      <c r="C5162" t="inlineStr">
        <is>
          <t>Paid Search</t>
        </is>
      </c>
      <c r="D5162" t="inlineStr">
        <is>
          <t>Study Abroad Prep</t>
        </is>
      </c>
      <c r="E5162" t="inlineStr">
        <is>
          <t>South Region</t>
        </is>
      </c>
      <c r="F5162" t="inlineStr">
        <is>
          <t>Rep_12</t>
        </is>
      </c>
      <c r="G5162" t="n">
        <v>1.88</v>
      </c>
      <c r="H5162" t="inlineStr">
        <is>
          <t>Proposal Sent</t>
        </is>
      </c>
      <c r="I5162" t="inlineStr">
        <is>
          <t>Lost</t>
        </is>
      </c>
      <c r="J5162" t="inlineStr">
        <is>
          <t>Price Objection</t>
        </is>
      </c>
      <c r="K5162" t="n">
        <v>1480.26</v>
      </c>
      <c r="L5162" t="inlineStr">
        <is>
          <t>2025-06-30 04:39:08.802691</t>
        </is>
      </c>
      <c r="M5162">
        <f>VLOOKUP(H5162,'Stage Order'!$A$2:$B$8,2,FALSE)</f>
        <v/>
      </c>
      <c r="N5162">
        <f>IF(G5162&lt;=1,"1. Under 1 hour",IF(G5162&lt;=24,"2. 1-24 hours",IF(G5162&lt;=72,"3. 1-3 days","4. Over 3 days")))</f>
        <v/>
      </c>
      <c r="O5162">
        <f>TEXT(B5162,"YYYY-MM")</f>
        <v/>
      </c>
    </row>
    <row r="5163">
      <c r="A5163" t="inlineStr">
        <is>
          <t>LD-305161</t>
        </is>
      </c>
      <c r="B5163" t="inlineStr">
        <is>
          <t>2026-01-30 13:02:00</t>
        </is>
      </c>
      <c r="C5163" t="inlineStr">
        <is>
          <t>Social Media</t>
        </is>
      </c>
      <c r="D5163" t="inlineStr">
        <is>
          <t>Language Learning</t>
        </is>
      </c>
      <c r="E5163" t="inlineStr">
        <is>
          <t>West Region</t>
        </is>
      </c>
      <c r="F5163" t="inlineStr">
        <is>
          <t>Rep_03</t>
        </is>
      </c>
      <c r="G5163" t="n">
        <v>7.15</v>
      </c>
      <c r="H5163" t="inlineStr">
        <is>
          <t>Closed</t>
        </is>
      </c>
      <c r="I5163" t="inlineStr">
        <is>
          <t>Won</t>
        </is>
      </c>
      <c r="K5163" t="n">
        <v>418.98</v>
      </c>
      <c r="L5163" t="inlineStr">
        <is>
          <t>2026-03-09 09:32:41.192689</t>
        </is>
      </c>
      <c r="M5163">
        <f>VLOOKUP(H5163,'Stage Order'!$A$2:$B$8,2,FALSE)</f>
        <v/>
      </c>
      <c r="N5163">
        <f>IF(G5163&lt;=1,"1. Under 1 hour",IF(G5163&lt;=24,"2. 1-24 hours",IF(G5163&lt;=72,"3. 1-3 days","4. Over 3 days")))</f>
        <v/>
      </c>
      <c r="O5163">
        <f>TEXT(B5163,"YYYY-MM")</f>
        <v/>
      </c>
    </row>
    <row r="5164">
      <c r="A5164" t="inlineStr">
        <is>
          <t>LD-305162</t>
        </is>
      </c>
      <c r="B5164" t="inlineStr">
        <is>
          <t>2025-02-21 13:23:00</t>
        </is>
      </c>
      <c r="C5164" t="inlineStr">
        <is>
          <t>Social Media</t>
        </is>
      </c>
      <c r="D5164" t="inlineStr">
        <is>
          <t>Coding for Kids</t>
        </is>
      </c>
      <c r="E5164" t="inlineStr">
        <is>
          <t>South Region</t>
        </is>
      </c>
      <c r="F5164" t="inlineStr">
        <is>
          <t>Rep_07</t>
        </is>
      </c>
      <c r="G5164" t="n">
        <v>9.44</v>
      </c>
      <c r="H5164" t="inlineStr">
        <is>
          <t>Lead</t>
        </is>
      </c>
      <c r="I5164" t="inlineStr">
        <is>
          <t>Open</t>
        </is>
      </c>
      <c r="M5164">
        <f>VLOOKUP(H5164,'Stage Order'!$A$2:$B$8,2,FALSE)</f>
        <v/>
      </c>
      <c r="N5164">
        <f>IF(G5164&lt;=1,"1. Under 1 hour",IF(G5164&lt;=24,"2. 1-24 hours",IF(G5164&lt;=72,"3. 1-3 days","4. Over 3 days")))</f>
        <v/>
      </c>
      <c r="O5164">
        <f>TEXT(B5164,"YYYY-MM")</f>
        <v/>
      </c>
    </row>
    <row r="5165">
      <c r="A5165" t="inlineStr">
        <is>
          <t>LD-305163</t>
        </is>
      </c>
      <c r="B5165" t="inlineStr">
        <is>
          <t>2025-05-29 16:24:00</t>
        </is>
      </c>
      <c r="C5165" t="inlineStr">
        <is>
          <t>Referral</t>
        </is>
      </c>
      <c r="D5165" t="inlineStr">
        <is>
          <t>Competitive Exam Prep</t>
        </is>
      </c>
      <c r="E5165" t="inlineStr">
        <is>
          <t>West Region</t>
        </is>
      </c>
      <c r="F5165" t="inlineStr">
        <is>
          <t>Rep_03</t>
        </is>
      </c>
      <c r="G5165" t="n">
        <v>1.93</v>
      </c>
      <c r="H5165" t="inlineStr">
        <is>
          <t>Demo Scheduled</t>
        </is>
      </c>
      <c r="I5165" t="inlineStr">
        <is>
          <t>Open</t>
        </is>
      </c>
      <c r="M5165">
        <f>VLOOKUP(H5165,'Stage Order'!$A$2:$B$8,2,FALSE)</f>
        <v/>
      </c>
      <c r="N5165">
        <f>IF(G5165&lt;=1,"1. Under 1 hour",IF(G5165&lt;=24,"2. 1-24 hours",IF(G5165&lt;=72,"3. 1-3 days","4. Over 3 days")))</f>
        <v/>
      </c>
      <c r="O5165">
        <f>TEXT(B5165,"YYYY-MM")</f>
        <v/>
      </c>
    </row>
    <row r="5166">
      <c r="A5166" t="inlineStr">
        <is>
          <t>LD-305164</t>
        </is>
      </c>
      <c r="B5166" t="inlineStr">
        <is>
          <t>2026-01-05 20:44:00</t>
        </is>
      </c>
      <c r="C5166" t="inlineStr">
        <is>
          <t>Paid Search</t>
        </is>
      </c>
      <c r="D5166" t="inlineStr">
        <is>
          <t>Language Learning</t>
        </is>
      </c>
      <c r="E5166" t="inlineStr">
        <is>
          <t>East Region</t>
        </is>
      </c>
      <c r="F5166" t="inlineStr">
        <is>
          <t>Rep_04</t>
        </is>
      </c>
      <c r="G5166" t="n">
        <v>1.06</v>
      </c>
      <c r="H5166" t="inlineStr">
        <is>
          <t>Contacted</t>
        </is>
      </c>
      <c r="I5166" t="inlineStr">
        <is>
          <t>Open</t>
        </is>
      </c>
      <c r="M5166">
        <f>VLOOKUP(H5166,'Stage Order'!$A$2:$B$8,2,FALSE)</f>
        <v/>
      </c>
      <c r="N5166">
        <f>IF(G5166&lt;=1,"1. Under 1 hour",IF(G5166&lt;=24,"2. 1-24 hours",IF(G5166&lt;=72,"3. 1-3 days","4. Over 3 days")))</f>
        <v/>
      </c>
      <c r="O5166">
        <f>TEXT(B5166,"YYYY-MM")</f>
        <v/>
      </c>
    </row>
    <row r="5167">
      <c r="A5167" t="inlineStr">
        <is>
          <t>LD-305165</t>
        </is>
      </c>
      <c r="B5167" t="inlineStr">
        <is>
          <t>2025-01-24 10:51:00</t>
        </is>
      </c>
      <c r="C5167" t="inlineStr">
        <is>
          <t>Webinar</t>
        </is>
      </c>
      <c r="D5167" t="inlineStr">
        <is>
          <t>K-12 Math</t>
        </is>
      </c>
      <c r="E5167" t="inlineStr">
        <is>
          <t>West Region</t>
        </is>
      </c>
      <c r="F5167" t="inlineStr">
        <is>
          <t>Rep_03</t>
        </is>
      </c>
      <c r="G5167" t="n">
        <v>3.37</v>
      </c>
      <c r="H5167" t="inlineStr">
        <is>
          <t>Closed</t>
        </is>
      </c>
      <c r="I5167" t="inlineStr">
        <is>
          <t>Won</t>
        </is>
      </c>
      <c r="K5167" t="n">
        <v>592.71</v>
      </c>
      <c r="L5167" t="inlineStr">
        <is>
          <t>2025-03-15 16:41:54.295705</t>
        </is>
      </c>
      <c r="M5167">
        <f>VLOOKUP(H5167,'Stage Order'!$A$2:$B$8,2,FALSE)</f>
        <v/>
      </c>
      <c r="N5167">
        <f>IF(G5167&lt;=1,"1. Under 1 hour",IF(G5167&lt;=24,"2. 1-24 hours",IF(G5167&lt;=72,"3. 1-3 days","4. Over 3 days")))</f>
        <v/>
      </c>
      <c r="O5167">
        <f>TEXT(B5167,"YYYY-MM")</f>
        <v/>
      </c>
    </row>
    <row r="5168">
      <c r="A5168" t="inlineStr">
        <is>
          <t>LD-305166</t>
        </is>
      </c>
      <c r="B5168" t="inlineStr">
        <is>
          <t>2025-12-02 15:15:00</t>
        </is>
      </c>
      <c r="C5168" t="inlineStr">
        <is>
          <t>Referral</t>
        </is>
      </c>
      <c r="D5168" t="inlineStr">
        <is>
          <t>Competitive Exam Prep</t>
        </is>
      </c>
      <c r="E5168" t="inlineStr">
        <is>
          <t>South Region</t>
        </is>
      </c>
      <c r="F5168" t="inlineStr">
        <is>
          <t>Rep_12</t>
        </is>
      </c>
      <c r="G5168" t="n">
        <v>1.13</v>
      </c>
      <c r="H5168" t="inlineStr">
        <is>
          <t>Contacted</t>
        </is>
      </c>
      <c r="I5168" t="inlineStr">
        <is>
          <t>Open</t>
        </is>
      </c>
      <c r="M5168">
        <f>VLOOKUP(H5168,'Stage Order'!$A$2:$B$8,2,FALSE)</f>
        <v/>
      </c>
      <c r="N5168">
        <f>IF(G5168&lt;=1,"1. Under 1 hour",IF(G5168&lt;=24,"2. 1-24 hours",IF(G5168&lt;=72,"3. 1-3 days","4. Over 3 days")))</f>
        <v/>
      </c>
      <c r="O5168">
        <f>TEXT(B5168,"YYYY-MM")</f>
        <v/>
      </c>
    </row>
    <row r="5169">
      <c r="A5169" t="inlineStr">
        <is>
          <t>LD-305167</t>
        </is>
      </c>
      <c r="B5169" t="inlineStr">
        <is>
          <t>2026-01-09 11:50:00</t>
        </is>
      </c>
      <c r="C5169" t="inlineStr">
        <is>
          <t>Organic Search</t>
        </is>
      </c>
      <c r="D5169" t="inlineStr">
        <is>
          <t>Language Learning</t>
        </is>
      </c>
      <c r="E5169" t="inlineStr">
        <is>
          <t>East Region</t>
        </is>
      </c>
      <c r="F5169" t="inlineStr">
        <is>
          <t>Rep_14</t>
        </is>
      </c>
      <c r="G5169" t="n">
        <v>5.37</v>
      </c>
      <c r="H5169" t="inlineStr">
        <is>
          <t>Lead</t>
        </is>
      </c>
      <c r="I5169" t="inlineStr">
        <is>
          <t>Open</t>
        </is>
      </c>
      <c r="M5169">
        <f>VLOOKUP(H5169,'Stage Order'!$A$2:$B$8,2,FALSE)</f>
        <v/>
      </c>
      <c r="N5169">
        <f>IF(G5169&lt;=1,"1. Under 1 hour",IF(G5169&lt;=24,"2. 1-24 hours",IF(G5169&lt;=72,"3. 1-3 days","4. Over 3 days")))</f>
        <v/>
      </c>
      <c r="O5169">
        <f>TEXT(B5169,"YYYY-MM")</f>
        <v/>
      </c>
    </row>
    <row r="5170">
      <c r="A5170" t="inlineStr">
        <is>
          <t>LD-305168</t>
        </is>
      </c>
      <c r="B5170" t="inlineStr">
        <is>
          <t>2025-03-28 14:54:00</t>
        </is>
      </c>
      <c r="C5170" t="inlineStr">
        <is>
          <t>Referral</t>
        </is>
      </c>
      <c r="D5170" t="inlineStr">
        <is>
          <t>Coding for Kids</t>
        </is>
      </c>
      <c r="E5170" t="inlineStr">
        <is>
          <t>North Region</t>
        </is>
      </c>
      <c r="F5170" t="inlineStr">
        <is>
          <t>Rep_06</t>
        </is>
      </c>
      <c r="G5170" t="n">
        <v>1.28</v>
      </c>
      <c r="H5170" t="inlineStr">
        <is>
          <t>Contacted</t>
        </is>
      </c>
      <c r="I5170" t="inlineStr">
        <is>
          <t>Open</t>
        </is>
      </c>
      <c r="M5170">
        <f>VLOOKUP(H5170,'Stage Order'!$A$2:$B$8,2,FALSE)</f>
        <v/>
      </c>
      <c r="N5170">
        <f>IF(G5170&lt;=1,"1. Under 1 hour",IF(G5170&lt;=24,"2. 1-24 hours",IF(G5170&lt;=72,"3. 1-3 days","4. Over 3 days")))</f>
        <v/>
      </c>
      <c r="O5170">
        <f>TEXT(B5170,"YYYY-MM")</f>
        <v/>
      </c>
    </row>
    <row r="5171">
      <c r="A5171" t="inlineStr">
        <is>
          <t>LD-305169</t>
        </is>
      </c>
      <c r="B5171" t="inlineStr">
        <is>
          <t>2025-03-22 19:35:00</t>
        </is>
      </c>
      <c r="C5171" t="inlineStr">
        <is>
          <t>Organic Search</t>
        </is>
      </c>
      <c r="D5171" t="inlineStr">
        <is>
          <t>K-12 Math</t>
        </is>
      </c>
      <c r="E5171" t="inlineStr">
        <is>
          <t>South Region</t>
        </is>
      </c>
      <c r="F5171" t="inlineStr">
        <is>
          <t>Rep_07</t>
        </is>
      </c>
      <c r="G5171" t="n">
        <v>2.34</v>
      </c>
      <c r="H5171" t="inlineStr">
        <is>
          <t>Negotiation</t>
        </is>
      </c>
      <c r="I5171" t="inlineStr">
        <is>
          <t>Lost</t>
        </is>
      </c>
      <c r="J5171" t="inlineStr">
        <is>
          <t>Went With Competitor</t>
        </is>
      </c>
      <c r="K5171" t="n">
        <v>541.9</v>
      </c>
      <c r="L5171" t="inlineStr">
        <is>
          <t>2025-05-05 21:43:31.086372</t>
        </is>
      </c>
      <c r="M5171">
        <f>VLOOKUP(H5171,'Stage Order'!$A$2:$B$8,2,FALSE)</f>
        <v/>
      </c>
      <c r="N5171">
        <f>IF(G5171&lt;=1,"1. Under 1 hour",IF(G5171&lt;=24,"2. 1-24 hours",IF(G5171&lt;=72,"3. 1-3 days","4. Over 3 days")))</f>
        <v/>
      </c>
      <c r="O5171">
        <f>TEXT(B5171,"YYYY-MM")</f>
        <v/>
      </c>
    </row>
    <row r="5172">
      <c r="A5172" t="inlineStr">
        <is>
          <t>LD-305170</t>
        </is>
      </c>
      <c r="B5172" t="inlineStr">
        <is>
          <t>2026-06-05 09:34:00</t>
        </is>
      </c>
      <c r="C5172" t="inlineStr">
        <is>
          <t>Partner Channel</t>
        </is>
      </c>
      <c r="D5172" t="inlineStr">
        <is>
          <t>K-12 Math</t>
        </is>
      </c>
      <c r="E5172" t="inlineStr">
        <is>
          <t>East Region</t>
        </is>
      </c>
      <c r="F5172" t="inlineStr">
        <is>
          <t>Rep_09</t>
        </is>
      </c>
      <c r="G5172" t="n">
        <v>3.15</v>
      </c>
      <c r="H5172" t="inlineStr">
        <is>
          <t>Proposal Sent</t>
        </is>
      </c>
      <c r="I5172" t="inlineStr">
        <is>
          <t>Lost</t>
        </is>
      </c>
      <c r="J5172" t="inlineStr">
        <is>
          <t>Bad Timing</t>
        </is>
      </c>
      <c r="K5172" t="n">
        <v>462.32</v>
      </c>
      <c r="L5172" t="inlineStr">
        <is>
          <t>2026-07-05 17:14:26.474698</t>
        </is>
      </c>
      <c r="M5172">
        <f>VLOOKUP(H5172,'Stage Order'!$A$2:$B$8,2,FALSE)</f>
        <v/>
      </c>
      <c r="N5172">
        <f>IF(G5172&lt;=1,"1. Under 1 hour",IF(G5172&lt;=24,"2. 1-24 hours",IF(G5172&lt;=72,"3. 1-3 days","4. Over 3 days")))</f>
        <v/>
      </c>
      <c r="O5172">
        <f>TEXT(B5172,"YYYY-MM")</f>
        <v/>
      </c>
    </row>
    <row r="5173">
      <c r="A5173" t="inlineStr">
        <is>
          <t>LD-305171</t>
        </is>
      </c>
      <c r="B5173" t="inlineStr">
        <is>
          <t>2025-02-14 16:23:00</t>
        </is>
      </c>
      <c r="C5173" t="inlineStr">
        <is>
          <t>Cold Outreach</t>
        </is>
      </c>
      <c r="D5173" t="inlineStr">
        <is>
          <t>Study Abroad Prep</t>
        </is>
      </c>
      <c r="E5173" t="inlineStr">
        <is>
          <t>East Region</t>
        </is>
      </c>
      <c r="F5173" t="inlineStr">
        <is>
          <t>Rep_14</t>
        </is>
      </c>
      <c r="G5173" t="n">
        <v>5.77</v>
      </c>
      <c r="H5173" t="inlineStr">
        <is>
          <t>Lead</t>
        </is>
      </c>
      <c r="I5173" t="inlineStr">
        <is>
          <t>Open</t>
        </is>
      </c>
      <c r="M5173">
        <f>VLOOKUP(H5173,'Stage Order'!$A$2:$B$8,2,FALSE)</f>
        <v/>
      </c>
      <c r="N5173">
        <f>IF(G5173&lt;=1,"1. Under 1 hour",IF(G5173&lt;=24,"2. 1-24 hours",IF(G5173&lt;=72,"3. 1-3 days","4. Over 3 days")))</f>
        <v/>
      </c>
      <c r="O5173">
        <f>TEXT(B5173,"YYYY-MM")</f>
        <v/>
      </c>
    </row>
    <row r="5174">
      <c r="A5174" t="inlineStr">
        <is>
          <t>LD-305172</t>
        </is>
      </c>
      <c r="B5174" t="inlineStr">
        <is>
          <t>2025-08-08 13:52:00</t>
        </is>
      </c>
      <c r="C5174" t="inlineStr">
        <is>
          <t>Cold Outreach</t>
        </is>
      </c>
      <c r="D5174" t="inlineStr">
        <is>
          <t>K-12 Math</t>
        </is>
      </c>
      <c r="E5174" t="inlineStr">
        <is>
          <t>North Region</t>
        </is>
      </c>
      <c r="F5174" t="inlineStr">
        <is>
          <t>Rep_06</t>
        </is>
      </c>
      <c r="G5174" t="n">
        <v>10.64</v>
      </c>
      <c r="H5174" t="inlineStr">
        <is>
          <t>Lead</t>
        </is>
      </c>
      <c r="I5174" t="inlineStr">
        <is>
          <t>Open</t>
        </is>
      </c>
      <c r="M5174">
        <f>VLOOKUP(H5174,'Stage Order'!$A$2:$B$8,2,FALSE)</f>
        <v/>
      </c>
      <c r="N5174">
        <f>IF(G5174&lt;=1,"1. Under 1 hour",IF(G5174&lt;=24,"2. 1-24 hours",IF(G5174&lt;=72,"3. 1-3 days","4. Over 3 days")))</f>
        <v/>
      </c>
      <c r="O5174">
        <f>TEXT(B5174,"YYYY-MM")</f>
        <v/>
      </c>
    </row>
    <row r="5175">
      <c r="A5175" t="inlineStr">
        <is>
          <t>LD-305173</t>
        </is>
      </c>
      <c r="B5175" t="inlineStr">
        <is>
          <t>2026-05-05 08:49:00</t>
        </is>
      </c>
      <c r="C5175" t="inlineStr">
        <is>
          <t>Cold Outreach</t>
        </is>
      </c>
      <c r="D5175" t="inlineStr">
        <is>
          <t>Language Learning</t>
        </is>
      </c>
      <c r="E5175" t="inlineStr">
        <is>
          <t>North Region</t>
        </is>
      </c>
      <c r="F5175" t="inlineStr">
        <is>
          <t>Rep_06</t>
        </is>
      </c>
      <c r="G5175" t="n">
        <v>10.53</v>
      </c>
      <c r="H5175" t="inlineStr">
        <is>
          <t>Contacted</t>
        </is>
      </c>
      <c r="I5175" t="inlineStr">
        <is>
          <t>Open</t>
        </is>
      </c>
      <c r="M5175">
        <f>VLOOKUP(H5175,'Stage Order'!$A$2:$B$8,2,FALSE)</f>
        <v/>
      </c>
      <c r="N5175">
        <f>IF(G5175&lt;=1,"1. Under 1 hour",IF(G5175&lt;=24,"2. 1-24 hours",IF(G5175&lt;=72,"3. 1-3 days","4. Over 3 days")))</f>
        <v/>
      </c>
      <c r="O5175">
        <f>TEXT(B5175,"YYYY-MM")</f>
        <v/>
      </c>
    </row>
    <row r="5176">
      <c r="A5176" t="inlineStr">
        <is>
          <t>LD-305174</t>
        </is>
      </c>
      <c r="B5176" t="inlineStr">
        <is>
          <t>2026-06-16 17:16:00</t>
        </is>
      </c>
      <c r="C5176" t="inlineStr">
        <is>
          <t>Paid Search</t>
        </is>
      </c>
      <c r="D5176" t="inlineStr">
        <is>
          <t>Study Abroad Prep</t>
        </is>
      </c>
      <c r="E5176" t="inlineStr">
        <is>
          <t>South Region</t>
        </is>
      </c>
      <c r="F5176" t="inlineStr">
        <is>
          <t>Rep_02</t>
        </is>
      </c>
      <c r="G5176" t="n">
        <v>1.11</v>
      </c>
      <c r="H5176" t="inlineStr">
        <is>
          <t>Contacted</t>
        </is>
      </c>
      <c r="I5176" t="inlineStr">
        <is>
          <t>Open</t>
        </is>
      </c>
      <c r="M5176">
        <f>VLOOKUP(H5176,'Stage Order'!$A$2:$B$8,2,FALSE)</f>
        <v/>
      </c>
      <c r="N5176">
        <f>IF(G5176&lt;=1,"1. Under 1 hour",IF(G5176&lt;=24,"2. 1-24 hours",IF(G5176&lt;=72,"3. 1-3 days","4. Over 3 days")))</f>
        <v/>
      </c>
      <c r="O5176">
        <f>TEXT(B5176,"YYYY-MM")</f>
        <v/>
      </c>
    </row>
    <row r="5177">
      <c r="A5177" t="inlineStr">
        <is>
          <t>LD-305175</t>
        </is>
      </c>
      <c r="B5177" t="inlineStr">
        <is>
          <t>2025-08-25 13:35:00</t>
        </is>
      </c>
      <c r="C5177" t="inlineStr">
        <is>
          <t>Referral</t>
        </is>
      </c>
      <c r="D5177" t="inlineStr">
        <is>
          <t>K-12 Math</t>
        </is>
      </c>
      <c r="E5177" t="inlineStr">
        <is>
          <t>West Region</t>
        </is>
      </c>
      <c r="F5177" t="inlineStr">
        <is>
          <t>Rep_03</t>
        </is>
      </c>
      <c r="G5177" t="n">
        <v>1.03</v>
      </c>
      <c r="H5177" t="inlineStr">
        <is>
          <t>Contacted</t>
        </is>
      </c>
      <c r="I5177" t="inlineStr">
        <is>
          <t>Open</t>
        </is>
      </c>
      <c r="M5177">
        <f>VLOOKUP(H5177,'Stage Order'!$A$2:$B$8,2,FALSE)</f>
        <v/>
      </c>
      <c r="N5177">
        <f>IF(G5177&lt;=1,"1. Under 1 hour",IF(G5177&lt;=24,"2. 1-24 hours",IF(G5177&lt;=72,"3. 1-3 days","4. Over 3 days")))</f>
        <v/>
      </c>
      <c r="O5177">
        <f>TEXT(B5177,"YYYY-MM")</f>
        <v/>
      </c>
    </row>
    <row r="5178">
      <c r="A5178" t="inlineStr">
        <is>
          <t>LD-305176</t>
        </is>
      </c>
      <c r="B5178" t="inlineStr">
        <is>
          <t>2025-10-15 07:37:00</t>
        </is>
      </c>
      <c r="C5178" t="inlineStr">
        <is>
          <t>Organic Search</t>
        </is>
      </c>
      <c r="D5178" t="inlineStr">
        <is>
          <t>Coding for Kids</t>
        </is>
      </c>
      <c r="E5178" t="inlineStr">
        <is>
          <t>West Region</t>
        </is>
      </c>
      <c r="F5178" t="inlineStr">
        <is>
          <t>Rep_13</t>
        </is>
      </c>
      <c r="G5178" t="n">
        <v>2.63</v>
      </c>
      <c r="H5178" t="inlineStr">
        <is>
          <t>Contacted</t>
        </is>
      </c>
      <c r="I5178" t="inlineStr">
        <is>
          <t>Open</t>
        </is>
      </c>
      <c r="M5178">
        <f>VLOOKUP(H5178,'Stage Order'!$A$2:$B$8,2,FALSE)</f>
        <v/>
      </c>
      <c r="N5178">
        <f>IF(G5178&lt;=1,"1. Under 1 hour",IF(G5178&lt;=24,"2. 1-24 hours",IF(G5178&lt;=72,"3. 1-3 days","4. Over 3 days")))</f>
        <v/>
      </c>
      <c r="O5178">
        <f>TEXT(B5178,"YYYY-MM")</f>
        <v/>
      </c>
    </row>
    <row r="5179">
      <c r="A5179" t="inlineStr">
        <is>
          <t>LD-305177</t>
        </is>
      </c>
      <c r="B5179" t="inlineStr">
        <is>
          <t>2025-02-26 11:02:00</t>
        </is>
      </c>
      <c r="C5179" t="inlineStr">
        <is>
          <t>Referral</t>
        </is>
      </c>
      <c r="D5179" t="inlineStr">
        <is>
          <t>Competitive Exam Prep</t>
        </is>
      </c>
      <c r="E5179" t="inlineStr">
        <is>
          <t>North Region</t>
        </is>
      </c>
      <c r="F5179" t="inlineStr">
        <is>
          <t>Rep_01</t>
        </is>
      </c>
      <c r="G5179" t="n">
        <v>6.02</v>
      </c>
      <c r="H5179" t="inlineStr">
        <is>
          <t>Contacted</t>
        </is>
      </c>
      <c r="I5179" t="inlineStr">
        <is>
          <t>Open</t>
        </is>
      </c>
      <c r="M5179">
        <f>VLOOKUP(H5179,'Stage Order'!$A$2:$B$8,2,FALSE)</f>
        <v/>
      </c>
      <c r="N5179">
        <f>IF(G5179&lt;=1,"1. Under 1 hour",IF(G5179&lt;=24,"2. 1-24 hours",IF(G5179&lt;=72,"3. 1-3 days","4. Over 3 days")))</f>
        <v/>
      </c>
      <c r="O5179">
        <f>TEXT(B5179,"YYYY-MM")</f>
        <v/>
      </c>
    </row>
    <row r="5180">
      <c r="A5180" t="inlineStr">
        <is>
          <t>LD-305178</t>
        </is>
      </c>
      <c r="B5180" t="inlineStr">
        <is>
          <t>2025-08-04 20:05:00</t>
        </is>
      </c>
      <c r="C5180" t="inlineStr">
        <is>
          <t>Social Media</t>
        </is>
      </c>
      <c r="D5180" t="inlineStr">
        <is>
          <t>K-12 Math</t>
        </is>
      </c>
      <c r="E5180" t="inlineStr">
        <is>
          <t>South Region</t>
        </is>
      </c>
      <c r="F5180" t="inlineStr">
        <is>
          <t>Rep_12</t>
        </is>
      </c>
      <c r="G5180" t="n">
        <v>3.33</v>
      </c>
      <c r="H5180" t="inlineStr">
        <is>
          <t>Contacted</t>
        </is>
      </c>
      <c r="I5180" t="inlineStr">
        <is>
          <t>Open</t>
        </is>
      </c>
      <c r="M5180">
        <f>VLOOKUP(H5180,'Stage Order'!$A$2:$B$8,2,FALSE)</f>
        <v/>
      </c>
      <c r="N5180">
        <f>IF(G5180&lt;=1,"1. Under 1 hour",IF(G5180&lt;=24,"2. 1-24 hours",IF(G5180&lt;=72,"3. 1-3 days","4. Over 3 days")))</f>
        <v/>
      </c>
      <c r="O5180">
        <f>TEXT(B5180,"YYYY-MM")</f>
        <v/>
      </c>
    </row>
    <row r="5181">
      <c r="A5181" t="inlineStr">
        <is>
          <t>LD-305179</t>
        </is>
      </c>
      <c r="B5181" t="inlineStr">
        <is>
          <t>2025-11-19 07:12:00</t>
        </is>
      </c>
      <c r="C5181" t="inlineStr">
        <is>
          <t>Paid Search</t>
        </is>
      </c>
      <c r="D5181" t="inlineStr">
        <is>
          <t>Language Learning</t>
        </is>
      </c>
      <c r="E5181" t="inlineStr">
        <is>
          <t>East Region</t>
        </is>
      </c>
      <c r="F5181" t="inlineStr">
        <is>
          <t>Rep_04</t>
        </is>
      </c>
      <c r="G5181" t="n">
        <v>0.75</v>
      </c>
      <c r="H5181" t="inlineStr">
        <is>
          <t>Contacted</t>
        </is>
      </c>
      <c r="I5181" t="inlineStr">
        <is>
          <t>Open</t>
        </is>
      </c>
      <c r="M5181">
        <f>VLOOKUP(H5181,'Stage Order'!$A$2:$B$8,2,FALSE)</f>
        <v/>
      </c>
      <c r="N5181">
        <f>IF(G5181&lt;=1,"1. Under 1 hour",IF(G5181&lt;=24,"2. 1-24 hours",IF(G5181&lt;=72,"3. 1-3 days","4. Over 3 days")))</f>
        <v/>
      </c>
      <c r="O5181">
        <f>TEXT(B5181,"YYYY-MM")</f>
        <v/>
      </c>
    </row>
    <row r="5182">
      <c r="A5182" t="inlineStr">
        <is>
          <t>LD-305180</t>
        </is>
      </c>
      <c r="B5182" t="inlineStr">
        <is>
          <t>2026-01-12 17:22:00</t>
        </is>
      </c>
      <c r="C5182" t="inlineStr">
        <is>
          <t>Referral</t>
        </is>
      </c>
      <c r="D5182" t="inlineStr">
        <is>
          <t>K-12 Math</t>
        </is>
      </c>
      <c r="E5182" t="inlineStr">
        <is>
          <t>International</t>
        </is>
      </c>
      <c r="F5182" t="inlineStr">
        <is>
          <t>Rep_15</t>
        </is>
      </c>
      <c r="G5182" t="n">
        <v>2.7</v>
      </c>
      <c r="H5182" t="inlineStr">
        <is>
          <t>Contacted</t>
        </is>
      </c>
      <c r="I5182" t="inlineStr">
        <is>
          <t>Open</t>
        </is>
      </c>
      <c r="M5182">
        <f>VLOOKUP(H5182,'Stage Order'!$A$2:$B$8,2,FALSE)</f>
        <v/>
      </c>
      <c r="N5182">
        <f>IF(G5182&lt;=1,"1. Under 1 hour",IF(G5182&lt;=24,"2. 1-24 hours",IF(G5182&lt;=72,"3. 1-3 days","4. Over 3 days")))</f>
        <v/>
      </c>
      <c r="O5182">
        <f>TEXT(B5182,"YYYY-MM")</f>
        <v/>
      </c>
    </row>
    <row r="5183">
      <c r="A5183" t="inlineStr">
        <is>
          <t>LD-305181</t>
        </is>
      </c>
      <c r="B5183" t="inlineStr">
        <is>
          <t>2025-02-07 20:01:00</t>
        </is>
      </c>
      <c r="C5183" t="inlineStr">
        <is>
          <t>Paid Search</t>
        </is>
      </c>
      <c r="D5183" t="inlineStr">
        <is>
          <t>K-12 Math</t>
        </is>
      </c>
      <c r="E5183" t="inlineStr">
        <is>
          <t>North Region</t>
        </is>
      </c>
      <c r="F5183" t="inlineStr">
        <is>
          <t>Rep_06</t>
        </is>
      </c>
      <c r="G5183" t="n">
        <v>8.789999999999999</v>
      </c>
      <c r="H5183" t="inlineStr">
        <is>
          <t>Lead</t>
        </is>
      </c>
      <c r="I5183" t="inlineStr">
        <is>
          <t>Open</t>
        </is>
      </c>
      <c r="M5183">
        <f>VLOOKUP(H5183,'Stage Order'!$A$2:$B$8,2,FALSE)</f>
        <v/>
      </c>
      <c r="N5183">
        <f>IF(G5183&lt;=1,"1. Under 1 hour",IF(G5183&lt;=24,"2. 1-24 hours",IF(G5183&lt;=72,"3. 1-3 days","4. Over 3 days")))</f>
        <v/>
      </c>
      <c r="O5183">
        <f>TEXT(B5183,"YYYY-MM")</f>
        <v/>
      </c>
    </row>
    <row r="5184">
      <c r="A5184" t="inlineStr">
        <is>
          <t>LD-305182</t>
        </is>
      </c>
      <c r="B5184" t="inlineStr">
        <is>
          <t>2025-11-20 14:49:00</t>
        </is>
      </c>
      <c r="C5184" t="inlineStr">
        <is>
          <t>Cold Outreach</t>
        </is>
      </c>
      <c r="D5184" t="inlineStr">
        <is>
          <t>K-12 Math</t>
        </is>
      </c>
      <c r="E5184" t="inlineStr">
        <is>
          <t>East Region</t>
        </is>
      </c>
      <c r="F5184" t="inlineStr">
        <is>
          <t>Rep_04</t>
        </is>
      </c>
      <c r="G5184" t="n">
        <v>4.02</v>
      </c>
      <c r="H5184" t="inlineStr">
        <is>
          <t>Lead</t>
        </is>
      </c>
      <c r="I5184" t="inlineStr">
        <is>
          <t>Open</t>
        </is>
      </c>
      <c r="M5184">
        <f>VLOOKUP(H5184,'Stage Order'!$A$2:$B$8,2,FALSE)</f>
        <v/>
      </c>
      <c r="N5184">
        <f>IF(G5184&lt;=1,"1. Under 1 hour",IF(G5184&lt;=24,"2. 1-24 hours",IF(G5184&lt;=72,"3. 1-3 days","4. Over 3 days")))</f>
        <v/>
      </c>
      <c r="O5184">
        <f>TEXT(B5184,"YYYY-MM")</f>
        <v/>
      </c>
    </row>
    <row r="5185">
      <c r="A5185" t="inlineStr">
        <is>
          <t>LD-305183</t>
        </is>
      </c>
      <c r="B5185" t="inlineStr">
        <is>
          <t>2025-10-26 20:22:00</t>
        </is>
      </c>
      <c r="C5185" t="inlineStr">
        <is>
          <t>Organic Search</t>
        </is>
      </c>
      <c r="D5185" t="inlineStr">
        <is>
          <t>Coding for Kids</t>
        </is>
      </c>
      <c r="E5185" t="inlineStr">
        <is>
          <t>South Region</t>
        </is>
      </c>
      <c r="F5185" t="inlineStr">
        <is>
          <t>Rep_07</t>
        </is>
      </c>
      <c r="G5185" t="n">
        <v>1.14</v>
      </c>
      <c r="H5185" t="inlineStr">
        <is>
          <t>Contacted</t>
        </is>
      </c>
      <c r="I5185" t="inlineStr">
        <is>
          <t>Open</t>
        </is>
      </c>
      <c r="M5185">
        <f>VLOOKUP(H5185,'Stage Order'!$A$2:$B$8,2,FALSE)</f>
        <v/>
      </c>
      <c r="N5185">
        <f>IF(G5185&lt;=1,"1. Under 1 hour",IF(G5185&lt;=24,"2. 1-24 hours",IF(G5185&lt;=72,"3. 1-3 days","4. Over 3 days")))</f>
        <v/>
      </c>
      <c r="O5185">
        <f>TEXT(B5185,"YYYY-MM")</f>
        <v/>
      </c>
    </row>
    <row r="5186">
      <c r="A5186" t="inlineStr">
        <is>
          <t>LD-305184</t>
        </is>
      </c>
      <c r="B5186" t="inlineStr">
        <is>
          <t>2025-05-26 07:35:00</t>
        </is>
      </c>
      <c r="C5186" t="inlineStr">
        <is>
          <t>Social Media</t>
        </is>
      </c>
      <c r="D5186" t="inlineStr">
        <is>
          <t>K-12 Math</t>
        </is>
      </c>
      <c r="E5186" t="inlineStr">
        <is>
          <t>South Region</t>
        </is>
      </c>
      <c r="F5186" t="inlineStr">
        <is>
          <t>Rep_12</t>
        </is>
      </c>
      <c r="G5186" t="n">
        <v>4.93</v>
      </c>
      <c r="H5186" t="inlineStr">
        <is>
          <t>Negotiation</t>
        </is>
      </c>
      <c r="I5186" t="inlineStr">
        <is>
          <t>Lost</t>
        </is>
      </c>
      <c r="J5186" t="inlineStr">
        <is>
          <t>Bad Timing</t>
        </is>
      </c>
      <c r="K5186" t="n">
        <v>522.45</v>
      </c>
      <c r="L5186" t="inlineStr">
        <is>
          <t>2025-07-13 05:52:31.992943</t>
        </is>
      </c>
      <c r="M5186">
        <f>VLOOKUP(H5186,'Stage Order'!$A$2:$B$8,2,FALSE)</f>
        <v/>
      </c>
      <c r="N5186">
        <f>IF(G5186&lt;=1,"1. Under 1 hour",IF(G5186&lt;=24,"2. 1-24 hours",IF(G5186&lt;=72,"3. 1-3 days","4. Over 3 days")))</f>
        <v/>
      </c>
      <c r="O5186">
        <f>TEXT(B5186,"YYYY-MM")</f>
        <v/>
      </c>
    </row>
    <row r="5187">
      <c r="A5187" t="inlineStr">
        <is>
          <t>LD-305185</t>
        </is>
      </c>
      <c r="B5187" t="inlineStr">
        <is>
          <t>2025-08-08 16:33:00</t>
        </is>
      </c>
      <c r="C5187" t="inlineStr">
        <is>
          <t>Paid Search</t>
        </is>
      </c>
      <c r="D5187" t="inlineStr">
        <is>
          <t>Competitive Exam Prep</t>
        </is>
      </c>
      <c r="E5187" t="inlineStr">
        <is>
          <t>East Region</t>
        </is>
      </c>
      <c r="F5187" t="inlineStr">
        <is>
          <t>Rep_14</t>
        </is>
      </c>
      <c r="G5187" t="n">
        <v>21.9</v>
      </c>
      <c r="H5187" t="inlineStr">
        <is>
          <t>Contacted</t>
        </is>
      </c>
      <c r="I5187" t="inlineStr">
        <is>
          <t>Open</t>
        </is>
      </c>
      <c r="M5187">
        <f>VLOOKUP(H5187,'Stage Order'!$A$2:$B$8,2,FALSE)</f>
        <v/>
      </c>
      <c r="N5187">
        <f>IF(G5187&lt;=1,"1. Under 1 hour",IF(G5187&lt;=24,"2. 1-24 hours",IF(G5187&lt;=72,"3. 1-3 days","4. Over 3 days")))</f>
        <v/>
      </c>
      <c r="O5187">
        <f>TEXT(B5187,"YYYY-MM")</f>
        <v/>
      </c>
    </row>
    <row r="5188">
      <c r="A5188" t="inlineStr">
        <is>
          <t>LD-305186</t>
        </is>
      </c>
      <c r="B5188" t="inlineStr">
        <is>
          <t>2026-02-17 16:45:00</t>
        </is>
      </c>
      <c r="C5188" t="inlineStr">
        <is>
          <t>Social Media</t>
        </is>
      </c>
      <c r="D5188" t="inlineStr">
        <is>
          <t>K-12 Math</t>
        </is>
      </c>
      <c r="E5188" t="inlineStr">
        <is>
          <t>East Region</t>
        </is>
      </c>
      <c r="F5188" t="inlineStr">
        <is>
          <t>Rep_14</t>
        </is>
      </c>
      <c r="G5188" t="n">
        <v>1.38</v>
      </c>
      <c r="H5188" t="inlineStr">
        <is>
          <t>Demo Scheduled</t>
        </is>
      </c>
      <c r="I5188" t="inlineStr">
        <is>
          <t>Open</t>
        </is>
      </c>
      <c r="M5188">
        <f>VLOOKUP(H5188,'Stage Order'!$A$2:$B$8,2,FALSE)</f>
        <v/>
      </c>
      <c r="N5188">
        <f>IF(G5188&lt;=1,"1. Under 1 hour",IF(G5188&lt;=24,"2. 1-24 hours",IF(G5188&lt;=72,"3. 1-3 days","4. Over 3 days")))</f>
        <v/>
      </c>
      <c r="O5188">
        <f>TEXT(B5188,"YYYY-MM")</f>
        <v/>
      </c>
    </row>
    <row r="5189">
      <c r="A5189" t="inlineStr">
        <is>
          <t>LD-305187</t>
        </is>
      </c>
      <c r="B5189" t="inlineStr">
        <is>
          <t>2026-02-21 08:24:00</t>
        </is>
      </c>
      <c r="C5189" t="inlineStr">
        <is>
          <t>Social Media</t>
        </is>
      </c>
      <c r="D5189" t="inlineStr">
        <is>
          <t>Competitive Exam Prep</t>
        </is>
      </c>
      <c r="E5189" t="inlineStr">
        <is>
          <t>North Region</t>
        </is>
      </c>
      <c r="F5189" t="inlineStr">
        <is>
          <t>Rep_06</t>
        </is>
      </c>
      <c r="G5189" t="n">
        <v>9.09</v>
      </c>
      <c r="H5189" t="inlineStr">
        <is>
          <t>Lead</t>
        </is>
      </c>
      <c r="I5189" t="inlineStr">
        <is>
          <t>Open</t>
        </is>
      </c>
      <c r="M5189">
        <f>VLOOKUP(H5189,'Stage Order'!$A$2:$B$8,2,FALSE)</f>
        <v/>
      </c>
      <c r="N5189">
        <f>IF(G5189&lt;=1,"1. Under 1 hour",IF(G5189&lt;=24,"2. 1-24 hours",IF(G5189&lt;=72,"3. 1-3 days","4. Over 3 days")))</f>
        <v/>
      </c>
      <c r="O5189">
        <f>TEXT(B5189,"YYYY-MM")</f>
        <v/>
      </c>
    </row>
    <row r="5190">
      <c r="A5190" t="inlineStr">
        <is>
          <t>LD-305188</t>
        </is>
      </c>
      <c r="B5190" t="inlineStr">
        <is>
          <t>2025-02-17 20:05:00</t>
        </is>
      </c>
      <c r="C5190" t="inlineStr">
        <is>
          <t>Organic Search</t>
        </is>
      </c>
      <c r="D5190" t="inlineStr">
        <is>
          <t>Language Learning</t>
        </is>
      </c>
      <c r="E5190" t="inlineStr">
        <is>
          <t>South Region</t>
        </is>
      </c>
      <c r="F5190" t="inlineStr">
        <is>
          <t>Rep_07</t>
        </is>
      </c>
      <c r="G5190" t="n">
        <v>15.18</v>
      </c>
      <c r="H5190" t="inlineStr">
        <is>
          <t>Contacted</t>
        </is>
      </c>
      <c r="I5190" t="inlineStr">
        <is>
          <t>Open</t>
        </is>
      </c>
      <c r="M5190">
        <f>VLOOKUP(H5190,'Stage Order'!$A$2:$B$8,2,FALSE)</f>
        <v/>
      </c>
      <c r="N5190">
        <f>IF(G5190&lt;=1,"1. Under 1 hour",IF(G5190&lt;=24,"2. 1-24 hours",IF(G5190&lt;=72,"3. 1-3 days","4. Over 3 days")))</f>
        <v/>
      </c>
      <c r="O5190">
        <f>TEXT(B5190,"YYYY-MM")</f>
        <v/>
      </c>
    </row>
    <row r="5191">
      <c r="A5191" t="inlineStr">
        <is>
          <t>LD-305189</t>
        </is>
      </c>
      <c r="B5191" t="inlineStr">
        <is>
          <t>2025-12-20 08:39:00</t>
        </is>
      </c>
      <c r="C5191" t="inlineStr">
        <is>
          <t>Social Media</t>
        </is>
      </c>
      <c r="D5191" t="inlineStr">
        <is>
          <t>Language Learning</t>
        </is>
      </c>
      <c r="E5191" t="inlineStr">
        <is>
          <t>South Region</t>
        </is>
      </c>
      <c r="F5191" t="inlineStr">
        <is>
          <t>Rep_12</t>
        </is>
      </c>
      <c r="G5191" t="n">
        <v>3.78</v>
      </c>
      <c r="H5191" t="inlineStr">
        <is>
          <t>Contacted</t>
        </is>
      </c>
      <c r="I5191" t="inlineStr">
        <is>
          <t>Open</t>
        </is>
      </c>
      <c r="M5191">
        <f>VLOOKUP(H5191,'Stage Order'!$A$2:$B$8,2,FALSE)</f>
        <v/>
      </c>
      <c r="N5191">
        <f>IF(G5191&lt;=1,"1. Under 1 hour",IF(G5191&lt;=24,"2. 1-24 hours",IF(G5191&lt;=72,"3. 1-3 days","4. Over 3 days")))</f>
        <v/>
      </c>
      <c r="O5191">
        <f>TEXT(B5191,"YYYY-MM")</f>
        <v/>
      </c>
    </row>
    <row r="5192">
      <c r="A5192" t="inlineStr">
        <is>
          <t>LD-305190</t>
        </is>
      </c>
      <c r="B5192" t="inlineStr">
        <is>
          <t>2025-04-15 09:47:00</t>
        </is>
      </c>
      <c r="C5192" t="inlineStr">
        <is>
          <t>Webinar</t>
        </is>
      </c>
      <c r="D5192" t="inlineStr">
        <is>
          <t>Competitive Exam Prep</t>
        </is>
      </c>
      <c r="E5192" t="inlineStr">
        <is>
          <t>West Region</t>
        </is>
      </c>
      <c r="F5192" t="inlineStr">
        <is>
          <t>Rep_13</t>
        </is>
      </c>
      <c r="G5192" t="n">
        <v>0.54</v>
      </c>
      <c r="H5192" t="inlineStr">
        <is>
          <t>Contacted</t>
        </is>
      </c>
      <c r="I5192" t="inlineStr">
        <is>
          <t>Open</t>
        </is>
      </c>
      <c r="M5192">
        <f>VLOOKUP(H5192,'Stage Order'!$A$2:$B$8,2,FALSE)</f>
        <v/>
      </c>
      <c r="N5192">
        <f>IF(G5192&lt;=1,"1. Under 1 hour",IF(G5192&lt;=24,"2. 1-24 hours",IF(G5192&lt;=72,"3. 1-3 days","4. Over 3 days")))</f>
        <v/>
      </c>
      <c r="O5192">
        <f>TEXT(B5192,"YYYY-MM")</f>
        <v/>
      </c>
    </row>
    <row r="5193">
      <c r="A5193" t="inlineStr">
        <is>
          <t>LD-305191</t>
        </is>
      </c>
      <c r="B5193" t="inlineStr">
        <is>
          <t>2025-12-02 07:37:00</t>
        </is>
      </c>
      <c r="C5193" t="inlineStr">
        <is>
          <t>Cold Outreach</t>
        </is>
      </c>
      <c r="D5193" t="inlineStr">
        <is>
          <t>K-12 Math</t>
        </is>
      </c>
      <c r="E5193" t="inlineStr">
        <is>
          <t>West Region</t>
        </is>
      </c>
      <c r="F5193" t="inlineStr">
        <is>
          <t>Rep_03</t>
        </is>
      </c>
      <c r="G5193" t="n">
        <v>4.01</v>
      </c>
      <c r="H5193" t="inlineStr">
        <is>
          <t>Lead</t>
        </is>
      </c>
      <c r="I5193" t="inlineStr">
        <is>
          <t>Open</t>
        </is>
      </c>
      <c r="M5193">
        <f>VLOOKUP(H5193,'Stage Order'!$A$2:$B$8,2,FALSE)</f>
        <v/>
      </c>
      <c r="N5193">
        <f>IF(G5193&lt;=1,"1. Under 1 hour",IF(G5193&lt;=24,"2. 1-24 hours",IF(G5193&lt;=72,"3. 1-3 days","4. Over 3 days")))</f>
        <v/>
      </c>
      <c r="O5193">
        <f>TEXT(B5193,"YYYY-MM")</f>
        <v/>
      </c>
    </row>
    <row r="5194">
      <c r="A5194" t="inlineStr">
        <is>
          <t>LD-305192</t>
        </is>
      </c>
      <c r="B5194" t="inlineStr">
        <is>
          <t>2025-02-17 11:48:00</t>
        </is>
      </c>
      <c r="C5194" t="inlineStr">
        <is>
          <t>Cold Outreach</t>
        </is>
      </c>
      <c r="D5194" t="inlineStr">
        <is>
          <t>K-12 Math</t>
        </is>
      </c>
      <c r="E5194" t="inlineStr">
        <is>
          <t>South Region</t>
        </is>
      </c>
      <c r="F5194" t="inlineStr">
        <is>
          <t>Rep_07</t>
        </is>
      </c>
      <c r="G5194" t="n">
        <v>1.48</v>
      </c>
      <c r="H5194" t="inlineStr">
        <is>
          <t>Demo Scheduled</t>
        </is>
      </c>
      <c r="I5194" t="inlineStr">
        <is>
          <t>Open</t>
        </is>
      </c>
      <c r="M5194">
        <f>VLOOKUP(H5194,'Stage Order'!$A$2:$B$8,2,FALSE)</f>
        <v/>
      </c>
      <c r="N5194">
        <f>IF(G5194&lt;=1,"1. Under 1 hour",IF(G5194&lt;=24,"2. 1-24 hours",IF(G5194&lt;=72,"3. 1-3 days","4. Over 3 days")))</f>
        <v/>
      </c>
      <c r="O5194">
        <f>TEXT(B5194,"YYYY-MM")</f>
        <v/>
      </c>
    </row>
    <row r="5195">
      <c r="A5195" t="inlineStr">
        <is>
          <t>LD-305193</t>
        </is>
      </c>
      <c r="B5195" t="inlineStr">
        <is>
          <t>2025-05-02 08:01:00</t>
        </is>
      </c>
      <c r="C5195" t="inlineStr">
        <is>
          <t>Referral</t>
        </is>
      </c>
      <c r="D5195" t="inlineStr">
        <is>
          <t>Competitive Exam Prep</t>
        </is>
      </c>
      <c r="E5195" t="inlineStr">
        <is>
          <t>North Region</t>
        </is>
      </c>
      <c r="F5195" t="inlineStr">
        <is>
          <t>Rep_01</t>
        </is>
      </c>
      <c r="G5195" t="n">
        <v>16.15</v>
      </c>
      <c r="H5195" t="inlineStr">
        <is>
          <t>Closed</t>
        </is>
      </c>
      <c r="I5195" t="inlineStr">
        <is>
          <t>Won</t>
        </is>
      </c>
      <c r="K5195" t="n">
        <v>958.3</v>
      </c>
      <c r="L5195" t="inlineStr">
        <is>
          <t>2025-06-15 08:57:00.577506</t>
        </is>
      </c>
      <c r="M5195">
        <f>VLOOKUP(H5195,'Stage Order'!$A$2:$B$8,2,FALSE)</f>
        <v/>
      </c>
      <c r="N5195">
        <f>IF(G5195&lt;=1,"1. Under 1 hour",IF(G5195&lt;=24,"2. 1-24 hours",IF(G5195&lt;=72,"3. 1-3 days","4. Over 3 days")))</f>
        <v/>
      </c>
      <c r="O5195">
        <f>TEXT(B5195,"YYYY-MM")</f>
        <v/>
      </c>
    </row>
    <row r="5196">
      <c r="A5196" t="inlineStr">
        <is>
          <t>LD-305194</t>
        </is>
      </c>
      <c r="B5196" t="inlineStr">
        <is>
          <t>2026-01-11 14:19:00</t>
        </is>
      </c>
      <c r="C5196" t="inlineStr">
        <is>
          <t>Organic Search</t>
        </is>
      </c>
      <c r="D5196" t="inlineStr">
        <is>
          <t>Coding for Kids</t>
        </is>
      </c>
      <c r="E5196" t="inlineStr">
        <is>
          <t>East Region</t>
        </is>
      </c>
      <c r="F5196" t="inlineStr">
        <is>
          <t>Rep_09</t>
        </is>
      </c>
      <c r="G5196" t="n">
        <v>10.2</v>
      </c>
      <c r="H5196" t="inlineStr">
        <is>
          <t>Contacted</t>
        </is>
      </c>
      <c r="I5196" t="inlineStr">
        <is>
          <t>Open</t>
        </is>
      </c>
      <c r="M5196">
        <f>VLOOKUP(H5196,'Stage Order'!$A$2:$B$8,2,FALSE)</f>
        <v/>
      </c>
      <c r="N5196">
        <f>IF(G5196&lt;=1,"1. Under 1 hour",IF(G5196&lt;=24,"2. 1-24 hours",IF(G5196&lt;=72,"3. 1-3 days","4. Over 3 days")))</f>
        <v/>
      </c>
      <c r="O5196">
        <f>TEXT(B5196,"YYYY-MM")</f>
        <v/>
      </c>
    </row>
    <row r="5197">
      <c r="A5197" t="inlineStr">
        <is>
          <t>LD-305195</t>
        </is>
      </c>
      <c r="B5197" t="inlineStr">
        <is>
          <t>2026-05-15 11:32:00</t>
        </is>
      </c>
      <c r="C5197" t="inlineStr">
        <is>
          <t>Webinar</t>
        </is>
      </c>
      <c r="D5197" t="inlineStr">
        <is>
          <t>Study Abroad Prep</t>
        </is>
      </c>
      <c r="E5197" t="inlineStr">
        <is>
          <t>East Region</t>
        </is>
      </c>
      <c r="F5197" t="inlineStr">
        <is>
          <t>Rep_09</t>
        </is>
      </c>
      <c r="G5197" t="n">
        <v>0.68</v>
      </c>
      <c r="H5197" t="inlineStr">
        <is>
          <t>Contacted</t>
        </is>
      </c>
      <c r="I5197" t="inlineStr">
        <is>
          <t>Open</t>
        </is>
      </c>
      <c r="M5197">
        <f>VLOOKUP(H5197,'Stage Order'!$A$2:$B$8,2,FALSE)</f>
        <v/>
      </c>
      <c r="N5197">
        <f>IF(G5197&lt;=1,"1. Under 1 hour",IF(G5197&lt;=24,"2. 1-24 hours",IF(G5197&lt;=72,"3. 1-3 days","4. Over 3 days")))</f>
        <v/>
      </c>
      <c r="O5197">
        <f>TEXT(B5197,"YYYY-MM")</f>
        <v/>
      </c>
    </row>
    <row r="5198">
      <c r="A5198" t="inlineStr">
        <is>
          <t>LD-305196</t>
        </is>
      </c>
      <c r="B5198" t="inlineStr">
        <is>
          <t>2025-02-13 08:29:00</t>
        </is>
      </c>
      <c r="C5198" t="inlineStr">
        <is>
          <t>Organic Search</t>
        </is>
      </c>
      <c r="D5198" t="inlineStr">
        <is>
          <t>K-12 Math</t>
        </is>
      </c>
      <c r="E5198" t="inlineStr">
        <is>
          <t>South Region</t>
        </is>
      </c>
      <c r="F5198" t="inlineStr">
        <is>
          <t>Rep_02</t>
        </is>
      </c>
      <c r="G5198" t="n">
        <v>0.39</v>
      </c>
      <c r="H5198" t="inlineStr">
        <is>
          <t>Contacted</t>
        </is>
      </c>
      <c r="I5198" t="inlineStr">
        <is>
          <t>Open</t>
        </is>
      </c>
      <c r="M5198">
        <f>VLOOKUP(H5198,'Stage Order'!$A$2:$B$8,2,FALSE)</f>
        <v/>
      </c>
      <c r="N5198">
        <f>IF(G5198&lt;=1,"1. Under 1 hour",IF(G5198&lt;=24,"2. 1-24 hours",IF(G5198&lt;=72,"3. 1-3 days","4. Over 3 days")))</f>
        <v/>
      </c>
      <c r="O5198">
        <f>TEXT(B5198,"YYYY-MM")</f>
        <v/>
      </c>
    </row>
    <row r="5199">
      <c r="A5199" t="inlineStr">
        <is>
          <t>LD-305197</t>
        </is>
      </c>
      <c r="B5199" t="inlineStr">
        <is>
          <t>2025-03-13 11:07:00</t>
        </is>
      </c>
      <c r="C5199" t="inlineStr">
        <is>
          <t>Organic Search</t>
        </is>
      </c>
      <c r="D5199" t="inlineStr">
        <is>
          <t>K-12 Math</t>
        </is>
      </c>
      <c r="E5199" t="inlineStr">
        <is>
          <t>South Region</t>
        </is>
      </c>
      <c r="F5199" t="inlineStr">
        <is>
          <t>Rep_02</t>
        </is>
      </c>
      <c r="G5199" t="n">
        <v>4.26</v>
      </c>
      <c r="H5199" t="inlineStr">
        <is>
          <t>Negotiation</t>
        </is>
      </c>
      <c r="I5199" t="inlineStr">
        <is>
          <t>Lost</t>
        </is>
      </c>
      <c r="J5199" t="inlineStr">
        <is>
          <t>Price Objection</t>
        </is>
      </c>
      <c r="K5199" t="n">
        <v>408.04</v>
      </c>
      <c r="L5199" t="inlineStr">
        <is>
          <t>2025-05-04 13:05:16.376756</t>
        </is>
      </c>
      <c r="M5199">
        <f>VLOOKUP(H5199,'Stage Order'!$A$2:$B$8,2,FALSE)</f>
        <v/>
      </c>
      <c r="N5199">
        <f>IF(G5199&lt;=1,"1. Under 1 hour",IF(G5199&lt;=24,"2. 1-24 hours",IF(G5199&lt;=72,"3. 1-3 days","4. Over 3 days")))</f>
        <v/>
      </c>
      <c r="O5199">
        <f>TEXT(B5199,"YYYY-MM")</f>
        <v/>
      </c>
    </row>
    <row r="5200">
      <c r="A5200" t="inlineStr">
        <is>
          <t>LD-305198</t>
        </is>
      </c>
      <c r="B5200" t="inlineStr">
        <is>
          <t>2025-10-09 18:57:00</t>
        </is>
      </c>
      <c r="C5200" t="inlineStr">
        <is>
          <t>Social Media</t>
        </is>
      </c>
      <c r="D5200" t="inlineStr">
        <is>
          <t>Competitive Exam Prep</t>
        </is>
      </c>
      <c r="E5200" t="inlineStr">
        <is>
          <t>West Region</t>
        </is>
      </c>
      <c r="F5200" t="inlineStr">
        <is>
          <t>Rep_03</t>
        </is>
      </c>
      <c r="G5200" t="n">
        <v>5.3</v>
      </c>
      <c r="H5200" t="inlineStr">
        <is>
          <t>Negotiation</t>
        </is>
      </c>
      <c r="I5200" t="inlineStr">
        <is>
          <t>Lost</t>
        </is>
      </c>
      <c r="J5200" t="inlineStr">
        <is>
          <t>Price Objection</t>
        </is>
      </c>
      <c r="K5200" t="n">
        <v>950.63</v>
      </c>
      <c r="L5200" t="inlineStr">
        <is>
          <t>2025-11-20 23:14:51.834837</t>
        </is>
      </c>
      <c r="M5200">
        <f>VLOOKUP(H5200,'Stage Order'!$A$2:$B$8,2,FALSE)</f>
        <v/>
      </c>
      <c r="N5200">
        <f>IF(G5200&lt;=1,"1. Under 1 hour",IF(G5200&lt;=24,"2. 1-24 hours",IF(G5200&lt;=72,"3. 1-3 days","4. Over 3 days")))</f>
        <v/>
      </c>
      <c r="O5200">
        <f>TEXT(B5200,"YYYY-MM")</f>
        <v/>
      </c>
    </row>
    <row r="5201">
      <c r="A5201" t="inlineStr">
        <is>
          <t>LD-305199</t>
        </is>
      </c>
      <c r="B5201" t="inlineStr">
        <is>
          <t>2026-04-25 11:06:00</t>
        </is>
      </c>
      <c r="C5201" t="inlineStr">
        <is>
          <t>Organic Search</t>
        </is>
      </c>
      <c r="D5201" t="inlineStr">
        <is>
          <t>Language Learning</t>
        </is>
      </c>
      <c r="E5201" t="inlineStr">
        <is>
          <t>North Region</t>
        </is>
      </c>
      <c r="F5201" t="inlineStr">
        <is>
          <t>Rep_01</t>
        </is>
      </c>
      <c r="G5201" t="n">
        <v>2.07</v>
      </c>
      <c r="H5201" t="inlineStr">
        <is>
          <t>Contacted</t>
        </is>
      </c>
      <c r="I5201" t="inlineStr">
        <is>
          <t>Open</t>
        </is>
      </c>
      <c r="M5201">
        <f>VLOOKUP(H5201,'Stage Order'!$A$2:$B$8,2,FALSE)</f>
        <v/>
      </c>
      <c r="N5201">
        <f>IF(G5201&lt;=1,"1. Under 1 hour",IF(G5201&lt;=24,"2. 1-24 hours",IF(G5201&lt;=72,"3. 1-3 days","4. Over 3 days")))</f>
        <v/>
      </c>
      <c r="O5201">
        <f>TEXT(B5201,"YYYY-MM")</f>
        <v/>
      </c>
    </row>
    <row r="5202">
      <c r="A5202" t="inlineStr">
        <is>
          <t>LD-305200</t>
        </is>
      </c>
      <c r="B5202" t="inlineStr">
        <is>
          <t>2025-01-17 08:28:00</t>
        </is>
      </c>
      <c r="C5202" t="inlineStr">
        <is>
          <t>Paid Search</t>
        </is>
      </c>
      <c r="D5202" t="inlineStr">
        <is>
          <t>Language Learning</t>
        </is>
      </c>
      <c r="E5202" t="inlineStr">
        <is>
          <t>West Region</t>
        </is>
      </c>
      <c r="F5202" t="inlineStr">
        <is>
          <t>Rep_08</t>
        </is>
      </c>
      <c r="G5202" t="n">
        <v>2.08</v>
      </c>
      <c r="H5202" t="inlineStr">
        <is>
          <t>Closed</t>
        </is>
      </c>
      <c r="I5202" t="inlineStr">
        <is>
          <t>Won</t>
        </is>
      </c>
      <c r="K5202" t="n">
        <v>401.07</v>
      </c>
      <c r="L5202" t="inlineStr">
        <is>
          <t>2025-02-18 23:23:15.353269</t>
        </is>
      </c>
      <c r="M5202">
        <f>VLOOKUP(H5202,'Stage Order'!$A$2:$B$8,2,FALSE)</f>
        <v/>
      </c>
      <c r="N5202">
        <f>IF(G5202&lt;=1,"1. Under 1 hour",IF(G5202&lt;=24,"2. 1-24 hours",IF(G5202&lt;=72,"3. 1-3 days","4. Over 3 days")))</f>
        <v/>
      </c>
      <c r="O5202">
        <f>TEXT(B5202,"YYYY-MM")</f>
        <v/>
      </c>
    </row>
    <row r="5203">
      <c r="A5203" t="inlineStr">
        <is>
          <t>LD-305201</t>
        </is>
      </c>
      <c r="B5203" t="inlineStr">
        <is>
          <t>2025-09-30 19:00:00</t>
        </is>
      </c>
      <c r="C5203" t="inlineStr">
        <is>
          <t>Referral</t>
        </is>
      </c>
      <c r="D5203" t="inlineStr">
        <is>
          <t>K-12 Math</t>
        </is>
      </c>
      <c r="E5203" t="inlineStr">
        <is>
          <t>West Region</t>
        </is>
      </c>
      <c r="F5203" t="inlineStr">
        <is>
          <t>Rep_13</t>
        </is>
      </c>
      <c r="G5203" t="n">
        <v>6.12</v>
      </c>
      <c r="H5203" t="inlineStr">
        <is>
          <t>Negotiation</t>
        </is>
      </c>
      <c r="I5203" t="inlineStr">
        <is>
          <t>Lost</t>
        </is>
      </c>
      <c r="J5203" t="inlineStr">
        <is>
          <t>Went With Competitor</t>
        </is>
      </c>
      <c r="K5203" t="n">
        <v>515.47</v>
      </c>
      <c r="L5203" t="inlineStr">
        <is>
          <t>2025-10-25 12:01:10.499988</t>
        </is>
      </c>
      <c r="M5203">
        <f>VLOOKUP(H5203,'Stage Order'!$A$2:$B$8,2,FALSE)</f>
        <v/>
      </c>
      <c r="N5203">
        <f>IF(G5203&lt;=1,"1. Under 1 hour",IF(G5203&lt;=24,"2. 1-24 hours",IF(G5203&lt;=72,"3. 1-3 days","4. Over 3 days")))</f>
        <v/>
      </c>
      <c r="O5203">
        <f>TEXT(B5203,"YYYY-MM")</f>
        <v/>
      </c>
    </row>
    <row r="5204">
      <c r="A5204" t="inlineStr">
        <is>
          <t>LD-305202</t>
        </is>
      </c>
      <c r="B5204" t="inlineStr">
        <is>
          <t>2025-09-09 13:37:00</t>
        </is>
      </c>
      <c r="C5204" t="inlineStr">
        <is>
          <t>Social Media</t>
        </is>
      </c>
      <c r="D5204" t="inlineStr">
        <is>
          <t>Competitive Exam Prep</t>
        </is>
      </c>
      <c r="E5204" t="inlineStr">
        <is>
          <t>South Region</t>
        </is>
      </c>
      <c r="F5204" t="inlineStr">
        <is>
          <t>Rep_02</t>
        </is>
      </c>
      <c r="G5204" t="n">
        <v>4.71</v>
      </c>
      <c r="H5204" t="inlineStr">
        <is>
          <t>Closed</t>
        </is>
      </c>
      <c r="I5204" t="inlineStr">
        <is>
          <t>Won</t>
        </is>
      </c>
      <c r="K5204" t="n">
        <v>894.98</v>
      </c>
      <c r="L5204" t="inlineStr">
        <is>
          <t>2025-10-22 15:38:02.941453</t>
        </is>
      </c>
      <c r="M5204">
        <f>VLOOKUP(H5204,'Stage Order'!$A$2:$B$8,2,FALSE)</f>
        <v/>
      </c>
      <c r="N5204">
        <f>IF(G5204&lt;=1,"1. Under 1 hour",IF(G5204&lt;=24,"2. 1-24 hours",IF(G5204&lt;=72,"3. 1-3 days","4. Over 3 days")))</f>
        <v/>
      </c>
      <c r="O5204">
        <f>TEXT(B5204,"YYYY-MM")</f>
        <v/>
      </c>
    </row>
    <row r="5205">
      <c r="A5205" t="inlineStr">
        <is>
          <t>LD-305203</t>
        </is>
      </c>
      <c r="B5205" t="inlineStr">
        <is>
          <t>2025-07-14 13:42:00</t>
        </is>
      </c>
      <c r="C5205" t="inlineStr">
        <is>
          <t>Social Media</t>
        </is>
      </c>
      <c r="D5205" t="inlineStr">
        <is>
          <t>Competitive Exam Prep</t>
        </is>
      </c>
      <c r="E5205" t="inlineStr">
        <is>
          <t>South Region</t>
        </is>
      </c>
      <c r="F5205" t="inlineStr">
        <is>
          <t>Rep_12</t>
        </is>
      </c>
      <c r="G5205" t="n">
        <v>11.79</v>
      </c>
      <c r="H5205" t="inlineStr">
        <is>
          <t>Proposal Sent</t>
        </is>
      </c>
      <c r="I5205" t="inlineStr">
        <is>
          <t>Lost</t>
        </is>
      </c>
      <c r="J5205" t="inlineStr">
        <is>
          <t>Went With Competitor</t>
        </is>
      </c>
      <c r="K5205" t="n">
        <v>969.35</v>
      </c>
      <c r="L5205" t="inlineStr">
        <is>
          <t>2025-08-20 11:16:27.837721</t>
        </is>
      </c>
      <c r="M5205">
        <f>VLOOKUP(H5205,'Stage Order'!$A$2:$B$8,2,FALSE)</f>
        <v/>
      </c>
      <c r="N5205">
        <f>IF(G5205&lt;=1,"1. Under 1 hour",IF(G5205&lt;=24,"2. 1-24 hours",IF(G5205&lt;=72,"3. 1-3 days","4. Over 3 days")))</f>
        <v/>
      </c>
      <c r="O5205">
        <f>TEXT(B5205,"YYYY-MM")</f>
        <v/>
      </c>
    </row>
    <row r="5206">
      <c r="A5206" t="inlineStr">
        <is>
          <t>LD-305204</t>
        </is>
      </c>
      <c r="B5206" t="inlineStr">
        <is>
          <t>2025-04-28 09:44:00</t>
        </is>
      </c>
      <c r="C5206" t="inlineStr">
        <is>
          <t>Webinar</t>
        </is>
      </c>
      <c r="D5206" t="inlineStr">
        <is>
          <t>Coding for Kids</t>
        </is>
      </c>
      <c r="E5206" t="inlineStr">
        <is>
          <t>East Region</t>
        </is>
      </c>
      <c r="F5206" t="inlineStr">
        <is>
          <t>Rep_14</t>
        </is>
      </c>
      <c r="G5206" t="n">
        <v>0.77</v>
      </c>
      <c r="H5206" t="inlineStr">
        <is>
          <t>Contacted</t>
        </is>
      </c>
      <c r="I5206" t="inlineStr">
        <is>
          <t>Open</t>
        </is>
      </c>
      <c r="M5206">
        <f>VLOOKUP(H5206,'Stage Order'!$A$2:$B$8,2,FALSE)</f>
        <v/>
      </c>
      <c r="N5206">
        <f>IF(G5206&lt;=1,"1. Under 1 hour",IF(G5206&lt;=24,"2. 1-24 hours",IF(G5206&lt;=72,"3. 1-3 days","4. Over 3 days")))</f>
        <v/>
      </c>
      <c r="O5206">
        <f>TEXT(B5206,"YYYY-MM")</f>
        <v/>
      </c>
    </row>
    <row r="5207">
      <c r="A5207" t="inlineStr">
        <is>
          <t>LD-305205</t>
        </is>
      </c>
      <c r="B5207" t="inlineStr">
        <is>
          <t>2025-09-11 11:23:00</t>
        </is>
      </c>
      <c r="C5207" t="inlineStr">
        <is>
          <t>Webinar</t>
        </is>
      </c>
      <c r="D5207" t="inlineStr">
        <is>
          <t>Language Learning</t>
        </is>
      </c>
      <c r="E5207" t="inlineStr">
        <is>
          <t>South Region</t>
        </is>
      </c>
      <c r="F5207" t="inlineStr">
        <is>
          <t>Rep_12</t>
        </is>
      </c>
      <c r="G5207" t="n">
        <v>0.73</v>
      </c>
      <c r="H5207" t="inlineStr">
        <is>
          <t>Contacted</t>
        </is>
      </c>
      <c r="I5207" t="inlineStr">
        <is>
          <t>Open</t>
        </is>
      </c>
      <c r="M5207">
        <f>VLOOKUP(H5207,'Stage Order'!$A$2:$B$8,2,FALSE)</f>
        <v/>
      </c>
      <c r="N5207">
        <f>IF(G5207&lt;=1,"1. Under 1 hour",IF(G5207&lt;=24,"2. 1-24 hours",IF(G5207&lt;=72,"3. 1-3 days","4. Over 3 days")))</f>
        <v/>
      </c>
      <c r="O5207">
        <f>TEXT(B5207,"YYYY-MM")</f>
        <v/>
      </c>
    </row>
    <row r="5208">
      <c r="A5208" t="inlineStr">
        <is>
          <t>LD-305206</t>
        </is>
      </c>
      <c r="B5208" t="inlineStr">
        <is>
          <t>2025-04-30 08:28:00</t>
        </is>
      </c>
      <c r="C5208" t="inlineStr">
        <is>
          <t>Paid Search</t>
        </is>
      </c>
      <c r="D5208" t="inlineStr">
        <is>
          <t>K-12 Math</t>
        </is>
      </c>
      <c r="E5208" t="inlineStr">
        <is>
          <t>East Region</t>
        </is>
      </c>
      <c r="F5208" t="inlineStr">
        <is>
          <t>Rep_14</t>
        </is>
      </c>
      <c r="G5208" t="n">
        <v>1.16</v>
      </c>
      <c r="H5208" t="inlineStr">
        <is>
          <t>Demo Scheduled</t>
        </is>
      </c>
      <c r="I5208" t="inlineStr">
        <is>
          <t>Open</t>
        </is>
      </c>
      <c r="M5208">
        <f>VLOOKUP(H5208,'Stage Order'!$A$2:$B$8,2,FALSE)</f>
        <v/>
      </c>
      <c r="N5208">
        <f>IF(G5208&lt;=1,"1. Under 1 hour",IF(G5208&lt;=24,"2. 1-24 hours",IF(G5208&lt;=72,"3. 1-3 days","4. Over 3 days")))</f>
        <v/>
      </c>
      <c r="O5208">
        <f>TEXT(B5208,"YYYY-MM")</f>
        <v/>
      </c>
    </row>
    <row r="5209">
      <c r="A5209" t="inlineStr">
        <is>
          <t>LD-305207</t>
        </is>
      </c>
      <c r="B5209" t="inlineStr">
        <is>
          <t>2026-03-19 15:59:00</t>
        </is>
      </c>
      <c r="C5209" t="inlineStr">
        <is>
          <t>Cold Outreach</t>
        </is>
      </c>
      <c r="D5209" t="inlineStr">
        <is>
          <t>Coding for Kids</t>
        </is>
      </c>
      <c r="E5209" t="inlineStr">
        <is>
          <t>South Region</t>
        </is>
      </c>
      <c r="F5209" t="inlineStr">
        <is>
          <t>Rep_12</t>
        </is>
      </c>
      <c r="G5209" t="n">
        <v>0.45</v>
      </c>
      <c r="H5209" t="inlineStr">
        <is>
          <t>Contacted</t>
        </is>
      </c>
      <c r="I5209" t="inlineStr">
        <is>
          <t>Open</t>
        </is>
      </c>
      <c r="M5209">
        <f>VLOOKUP(H5209,'Stage Order'!$A$2:$B$8,2,FALSE)</f>
        <v/>
      </c>
      <c r="N5209">
        <f>IF(G5209&lt;=1,"1. Under 1 hour",IF(G5209&lt;=24,"2. 1-24 hours",IF(G5209&lt;=72,"3. 1-3 days","4. Over 3 days")))</f>
        <v/>
      </c>
      <c r="O5209">
        <f>TEXT(B5209,"YYYY-MM")</f>
        <v/>
      </c>
    </row>
    <row r="5210">
      <c r="A5210" t="inlineStr">
        <is>
          <t>LD-305208</t>
        </is>
      </c>
      <c r="B5210" t="inlineStr">
        <is>
          <t>2026-06-25 10:12:00</t>
        </is>
      </c>
      <c r="C5210" t="inlineStr">
        <is>
          <t>Referral</t>
        </is>
      </c>
      <c r="D5210" t="inlineStr">
        <is>
          <t>Study Abroad Prep</t>
        </is>
      </c>
      <c r="E5210" t="inlineStr">
        <is>
          <t>International</t>
        </is>
      </c>
      <c r="F5210" t="inlineStr">
        <is>
          <t>Rep_15</t>
        </is>
      </c>
      <c r="G5210" t="n">
        <v>1.8</v>
      </c>
      <c r="H5210" t="inlineStr">
        <is>
          <t>Negotiation</t>
        </is>
      </c>
      <c r="I5210" t="inlineStr">
        <is>
          <t>Lost</t>
        </is>
      </c>
      <c r="J5210" t="inlineStr">
        <is>
          <t>Price Objection</t>
        </is>
      </c>
      <c r="K5210" t="n">
        <v>1538.14</v>
      </c>
      <c r="L5210" t="inlineStr">
        <is>
          <t>2026-08-08 07:42:13.826160</t>
        </is>
      </c>
      <c r="M5210">
        <f>VLOOKUP(H5210,'Stage Order'!$A$2:$B$8,2,FALSE)</f>
        <v/>
      </c>
      <c r="N5210">
        <f>IF(G5210&lt;=1,"1. Under 1 hour",IF(G5210&lt;=24,"2. 1-24 hours",IF(G5210&lt;=72,"3. 1-3 days","4. Over 3 days")))</f>
        <v/>
      </c>
      <c r="O5210">
        <f>TEXT(B5210,"YYYY-MM")</f>
        <v/>
      </c>
    </row>
    <row r="5211">
      <c r="A5211" t="inlineStr">
        <is>
          <t>LD-305209</t>
        </is>
      </c>
      <c r="B5211" t="inlineStr">
        <is>
          <t>2025-05-22 18:48:00</t>
        </is>
      </c>
      <c r="C5211" t="inlineStr">
        <is>
          <t>Webinar</t>
        </is>
      </c>
      <c r="D5211" t="inlineStr">
        <is>
          <t>Coding for Kids</t>
        </is>
      </c>
      <c r="E5211" t="inlineStr">
        <is>
          <t>North Region</t>
        </is>
      </c>
      <c r="F5211" t="inlineStr">
        <is>
          <t>Rep_11</t>
        </is>
      </c>
      <c r="G5211" t="n">
        <v>1.05</v>
      </c>
      <c r="H5211" t="inlineStr">
        <is>
          <t>Closed</t>
        </is>
      </c>
      <c r="I5211" t="inlineStr">
        <is>
          <t>Won</t>
        </is>
      </c>
      <c r="K5211" t="n">
        <v>648.35</v>
      </c>
      <c r="L5211" t="inlineStr">
        <is>
          <t>2025-06-19 11:41:51.800800</t>
        </is>
      </c>
      <c r="M5211">
        <f>VLOOKUP(H5211,'Stage Order'!$A$2:$B$8,2,FALSE)</f>
        <v/>
      </c>
      <c r="N5211">
        <f>IF(G5211&lt;=1,"1. Under 1 hour",IF(G5211&lt;=24,"2. 1-24 hours",IF(G5211&lt;=72,"3. 1-3 days","4. Over 3 days")))</f>
        <v/>
      </c>
      <c r="O5211">
        <f>TEXT(B5211,"YYYY-MM")</f>
        <v/>
      </c>
    </row>
    <row r="5212">
      <c r="A5212" t="inlineStr">
        <is>
          <t>LD-305210</t>
        </is>
      </c>
      <c r="B5212" t="inlineStr">
        <is>
          <t>2025-12-11 09:57:00</t>
        </is>
      </c>
      <c r="C5212" t="inlineStr">
        <is>
          <t>Organic Search</t>
        </is>
      </c>
      <c r="D5212" t="inlineStr">
        <is>
          <t>Study Abroad Prep</t>
        </is>
      </c>
      <c r="E5212" t="inlineStr">
        <is>
          <t>East Region</t>
        </is>
      </c>
      <c r="F5212" t="inlineStr">
        <is>
          <t>Rep_09</t>
        </is>
      </c>
      <c r="G5212" t="n">
        <v>3.35</v>
      </c>
      <c r="H5212" t="inlineStr">
        <is>
          <t>Lead</t>
        </is>
      </c>
      <c r="I5212" t="inlineStr">
        <is>
          <t>Open</t>
        </is>
      </c>
      <c r="M5212">
        <f>VLOOKUP(H5212,'Stage Order'!$A$2:$B$8,2,FALSE)</f>
        <v/>
      </c>
      <c r="N5212">
        <f>IF(G5212&lt;=1,"1. Under 1 hour",IF(G5212&lt;=24,"2. 1-24 hours",IF(G5212&lt;=72,"3. 1-3 days","4. Over 3 days")))</f>
        <v/>
      </c>
      <c r="O5212">
        <f>TEXT(B5212,"YYYY-MM")</f>
        <v/>
      </c>
    </row>
    <row r="5213">
      <c r="A5213" t="inlineStr">
        <is>
          <t>LD-305211</t>
        </is>
      </c>
      <c r="B5213" t="inlineStr">
        <is>
          <t>2026-01-16 12:09:00</t>
        </is>
      </c>
      <c r="C5213" t="inlineStr">
        <is>
          <t>Referral</t>
        </is>
      </c>
      <c r="D5213" t="inlineStr">
        <is>
          <t>Language Learning</t>
        </is>
      </c>
      <c r="E5213" t="inlineStr">
        <is>
          <t>West Region</t>
        </is>
      </c>
      <c r="F5213" t="inlineStr">
        <is>
          <t>Rep_08</t>
        </is>
      </c>
      <c r="G5213" t="n">
        <v>10.99</v>
      </c>
      <c r="H5213" t="inlineStr">
        <is>
          <t>Closed</t>
        </is>
      </c>
      <c r="I5213" t="inlineStr">
        <is>
          <t>Won</t>
        </is>
      </c>
      <c r="K5213" t="n">
        <v>311.98</v>
      </c>
      <c r="L5213" t="inlineStr">
        <is>
          <t>2026-02-21 00:26:31.216093</t>
        </is>
      </c>
      <c r="M5213">
        <f>VLOOKUP(H5213,'Stage Order'!$A$2:$B$8,2,FALSE)</f>
        <v/>
      </c>
      <c r="N5213">
        <f>IF(G5213&lt;=1,"1. Under 1 hour",IF(G5213&lt;=24,"2. 1-24 hours",IF(G5213&lt;=72,"3. 1-3 days","4. Over 3 days")))</f>
        <v/>
      </c>
      <c r="O5213">
        <f>TEXT(B5213,"YYYY-MM")</f>
        <v/>
      </c>
    </row>
    <row r="5214">
      <c r="A5214" t="inlineStr">
        <is>
          <t>LD-305212</t>
        </is>
      </c>
      <c r="B5214" t="inlineStr">
        <is>
          <t>2026-04-28 16:00:00</t>
        </is>
      </c>
      <c r="C5214" t="inlineStr">
        <is>
          <t>Webinar</t>
        </is>
      </c>
      <c r="D5214" t="inlineStr">
        <is>
          <t>Language Learning</t>
        </is>
      </c>
      <c r="E5214" t="inlineStr">
        <is>
          <t>North Region</t>
        </is>
      </c>
      <c r="F5214" t="inlineStr">
        <is>
          <t>Rep_06</t>
        </is>
      </c>
      <c r="G5214" t="n">
        <v>2.11</v>
      </c>
      <c r="H5214" t="inlineStr">
        <is>
          <t>Contacted</t>
        </is>
      </c>
      <c r="I5214" t="inlineStr">
        <is>
          <t>Open</t>
        </is>
      </c>
      <c r="M5214">
        <f>VLOOKUP(H5214,'Stage Order'!$A$2:$B$8,2,FALSE)</f>
        <v/>
      </c>
      <c r="N5214">
        <f>IF(G5214&lt;=1,"1. Under 1 hour",IF(G5214&lt;=24,"2. 1-24 hours",IF(G5214&lt;=72,"3. 1-3 days","4. Over 3 days")))</f>
        <v/>
      </c>
      <c r="O5214">
        <f>TEXT(B5214,"YYYY-MM")</f>
        <v/>
      </c>
    </row>
    <row r="5215">
      <c r="A5215" t="inlineStr">
        <is>
          <t>LD-305213</t>
        </is>
      </c>
      <c r="B5215" t="inlineStr">
        <is>
          <t>2026-05-12 20:16:00</t>
        </is>
      </c>
      <c r="C5215" t="inlineStr">
        <is>
          <t>Paid Search</t>
        </is>
      </c>
      <c r="D5215" t="inlineStr">
        <is>
          <t>Language Learning</t>
        </is>
      </c>
      <c r="E5215" t="inlineStr">
        <is>
          <t>International</t>
        </is>
      </c>
      <c r="F5215" t="inlineStr">
        <is>
          <t>Rep_05</t>
        </is>
      </c>
      <c r="G5215" t="n">
        <v>2.74</v>
      </c>
      <c r="H5215" t="inlineStr">
        <is>
          <t>Lead</t>
        </is>
      </c>
      <c r="I5215" t="inlineStr">
        <is>
          <t>Open</t>
        </is>
      </c>
      <c r="M5215">
        <f>VLOOKUP(H5215,'Stage Order'!$A$2:$B$8,2,FALSE)</f>
        <v/>
      </c>
      <c r="N5215">
        <f>IF(G5215&lt;=1,"1. Under 1 hour",IF(G5215&lt;=24,"2. 1-24 hours",IF(G5215&lt;=72,"3. 1-3 days","4. Over 3 days")))</f>
        <v/>
      </c>
      <c r="O5215">
        <f>TEXT(B5215,"YYYY-MM")</f>
        <v/>
      </c>
    </row>
    <row r="5216">
      <c r="A5216" t="inlineStr">
        <is>
          <t>LD-305214</t>
        </is>
      </c>
      <c r="B5216" t="inlineStr">
        <is>
          <t>2025-10-02 20:59:00</t>
        </is>
      </c>
      <c r="C5216" t="inlineStr">
        <is>
          <t>Cold Outreach</t>
        </is>
      </c>
      <c r="D5216" t="inlineStr">
        <is>
          <t>Study Abroad Prep</t>
        </is>
      </c>
      <c r="E5216" t="inlineStr">
        <is>
          <t>South Region</t>
        </is>
      </c>
      <c r="F5216" t="inlineStr">
        <is>
          <t>Rep_12</t>
        </is>
      </c>
      <c r="G5216" t="n">
        <v>1.1</v>
      </c>
      <c r="H5216" t="inlineStr">
        <is>
          <t>Lead</t>
        </is>
      </c>
      <c r="I5216" t="inlineStr">
        <is>
          <t>Open</t>
        </is>
      </c>
      <c r="M5216">
        <f>VLOOKUP(H5216,'Stage Order'!$A$2:$B$8,2,FALSE)</f>
        <v/>
      </c>
      <c r="N5216">
        <f>IF(G5216&lt;=1,"1. Under 1 hour",IF(G5216&lt;=24,"2. 1-24 hours",IF(G5216&lt;=72,"3. 1-3 days","4. Over 3 days")))</f>
        <v/>
      </c>
      <c r="O5216">
        <f>TEXT(B5216,"YYYY-MM")</f>
        <v/>
      </c>
    </row>
    <row r="5217">
      <c r="A5217" t="inlineStr">
        <is>
          <t>LD-305215</t>
        </is>
      </c>
      <c r="B5217" t="inlineStr">
        <is>
          <t>2025-07-17 20:13:00</t>
        </is>
      </c>
      <c r="C5217" t="inlineStr">
        <is>
          <t>Referral</t>
        </is>
      </c>
      <c r="D5217" t="inlineStr">
        <is>
          <t>Coding for Kids</t>
        </is>
      </c>
      <c r="E5217" t="inlineStr">
        <is>
          <t>East Region</t>
        </is>
      </c>
      <c r="F5217" t="inlineStr">
        <is>
          <t>Rep_04</t>
        </is>
      </c>
      <c r="G5217" t="n">
        <v>2.72</v>
      </c>
      <c r="H5217" t="inlineStr">
        <is>
          <t>Contacted</t>
        </is>
      </c>
      <c r="I5217" t="inlineStr">
        <is>
          <t>Open</t>
        </is>
      </c>
      <c r="M5217">
        <f>VLOOKUP(H5217,'Stage Order'!$A$2:$B$8,2,FALSE)</f>
        <v/>
      </c>
      <c r="N5217">
        <f>IF(G5217&lt;=1,"1. Under 1 hour",IF(G5217&lt;=24,"2. 1-24 hours",IF(G5217&lt;=72,"3. 1-3 days","4. Over 3 days")))</f>
        <v/>
      </c>
      <c r="O5217">
        <f>TEXT(B5217,"YYYY-MM")</f>
        <v/>
      </c>
    </row>
    <row r="5218">
      <c r="A5218" t="inlineStr">
        <is>
          <t>LD-305216</t>
        </is>
      </c>
      <c r="B5218" t="inlineStr">
        <is>
          <t>2025-08-26 07:00:00</t>
        </is>
      </c>
      <c r="C5218" t="inlineStr">
        <is>
          <t>Referral</t>
        </is>
      </c>
      <c r="D5218" t="inlineStr">
        <is>
          <t>Coding for Kids</t>
        </is>
      </c>
      <c r="E5218" t="inlineStr">
        <is>
          <t>South Region</t>
        </is>
      </c>
      <c r="F5218" t="inlineStr">
        <is>
          <t>Rep_12</t>
        </is>
      </c>
      <c r="G5218" t="n">
        <v>2.27</v>
      </c>
      <c r="H5218" t="inlineStr">
        <is>
          <t>Negotiation</t>
        </is>
      </c>
      <c r="I5218" t="inlineStr">
        <is>
          <t>Lost</t>
        </is>
      </c>
      <c r="J5218" t="inlineStr">
        <is>
          <t>No Response / Ghosted</t>
        </is>
      </c>
      <c r="K5218" t="n">
        <v>764.53</v>
      </c>
      <c r="L5218" t="inlineStr">
        <is>
          <t>2025-10-01 22:12:05.684145</t>
        </is>
      </c>
      <c r="M5218">
        <f>VLOOKUP(H5218,'Stage Order'!$A$2:$B$8,2,FALSE)</f>
        <v/>
      </c>
      <c r="N5218">
        <f>IF(G5218&lt;=1,"1. Under 1 hour",IF(G5218&lt;=24,"2. 1-24 hours",IF(G5218&lt;=72,"3. 1-3 days","4. Over 3 days")))</f>
        <v/>
      </c>
      <c r="O5218">
        <f>TEXT(B5218,"YYYY-MM")</f>
        <v/>
      </c>
    </row>
    <row r="5219">
      <c r="A5219" t="inlineStr">
        <is>
          <t>LD-305217</t>
        </is>
      </c>
      <c r="B5219" t="inlineStr">
        <is>
          <t>2025-07-17 13:36:00</t>
        </is>
      </c>
      <c r="C5219" t="inlineStr">
        <is>
          <t>Social Media</t>
        </is>
      </c>
      <c r="D5219" t="inlineStr">
        <is>
          <t>Language Learning</t>
        </is>
      </c>
      <c r="E5219" t="inlineStr">
        <is>
          <t>West Region</t>
        </is>
      </c>
      <c r="F5219" t="inlineStr">
        <is>
          <t>Rep_13</t>
        </is>
      </c>
      <c r="G5219" t="n">
        <v>5.2</v>
      </c>
      <c r="H5219" t="inlineStr">
        <is>
          <t>Contacted</t>
        </is>
      </c>
      <c r="I5219" t="inlineStr">
        <is>
          <t>Open</t>
        </is>
      </c>
      <c r="M5219">
        <f>VLOOKUP(H5219,'Stage Order'!$A$2:$B$8,2,FALSE)</f>
        <v/>
      </c>
      <c r="N5219">
        <f>IF(G5219&lt;=1,"1. Under 1 hour",IF(G5219&lt;=24,"2. 1-24 hours",IF(G5219&lt;=72,"3. 1-3 days","4. Over 3 days")))</f>
        <v/>
      </c>
      <c r="O5219">
        <f>TEXT(B5219,"YYYY-MM")</f>
        <v/>
      </c>
    </row>
    <row r="5220">
      <c r="A5220" t="inlineStr">
        <is>
          <t>LD-305218</t>
        </is>
      </c>
      <c r="B5220" t="inlineStr">
        <is>
          <t>2025-11-14 11:48:00</t>
        </is>
      </c>
      <c r="C5220" t="inlineStr">
        <is>
          <t>Partner Channel</t>
        </is>
      </c>
      <c r="D5220" t="inlineStr">
        <is>
          <t>Language Learning</t>
        </is>
      </c>
      <c r="E5220" t="inlineStr">
        <is>
          <t>West Region</t>
        </is>
      </c>
      <c r="F5220" t="inlineStr">
        <is>
          <t>Rep_08</t>
        </is>
      </c>
      <c r="G5220" t="n">
        <v>1.55</v>
      </c>
      <c r="H5220" t="inlineStr">
        <is>
          <t>Contacted</t>
        </is>
      </c>
      <c r="I5220" t="inlineStr">
        <is>
          <t>Open</t>
        </is>
      </c>
      <c r="M5220">
        <f>VLOOKUP(H5220,'Stage Order'!$A$2:$B$8,2,FALSE)</f>
        <v/>
      </c>
      <c r="N5220">
        <f>IF(G5220&lt;=1,"1. Under 1 hour",IF(G5220&lt;=24,"2. 1-24 hours",IF(G5220&lt;=72,"3. 1-3 days","4. Over 3 days")))</f>
        <v/>
      </c>
      <c r="O5220">
        <f>TEXT(B5220,"YYYY-MM")</f>
        <v/>
      </c>
    </row>
    <row r="5221">
      <c r="A5221" t="inlineStr">
        <is>
          <t>LD-305219</t>
        </is>
      </c>
      <c r="B5221" t="inlineStr">
        <is>
          <t>2025-08-08 15:30:00</t>
        </is>
      </c>
      <c r="C5221" t="inlineStr">
        <is>
          <t>Referral</t>
        </is>
      </c>
      <c r="D5221" t="inlineStr">
        <is>
          <t>Coding for Kids</t>
        </is>
      </c>
      <c r="E5221" t="inlineStr">
        <is>
          <t>West Region</t>
        </is>
      </c>
      <c r="F5221" t="inlineStr">
        <is>
          <t>Rep_08</t>
        </is>
      </c>
      <c r="G5221" t="n">
        <v>1.52</v>
      </c>
      <c r="H5221" t="inlineStr">
        <is>
          <t>Closed</t>
        </is>
      </c>
      <c r="I5221" t="inlineStr">
        <is>
          <t>Won</t>
        </is>
      </c>
      <c r="K5221" t="n">
        <v>557</v>
      </c>
      <c r="L5221" t="inlineStr">
        <is>
          <t>2025-09-14 07:56:57.214180</t>
        </is>
      </c>
      <c r="M5221">
        <f>VLOOKUP(H5221,'Stage Order'!$A$2:$B$8,2,FALSE)</f>
        <v/>
      </c>
      <c r="N5221">
        <f>IF(G5221&lt;=1,"1. Under 1 hour",IF(G5221&lt;=24,"2. 1-24 hours",IF(G5221&lt;=72,"3. 1-3 days","4. Over 3 days")))</f>
        <v/>
      </c>
      <c r="O5221">
        <f>TEXT(B5221,"YYYY-MM")</f>
        <v/>
      </c>
    </row>
    <row r="5222">
      <c r="A5222" t="inlineStr">
        <is>
          <t>LD-305220</t>
        </is>
      </c>
      <c r="B5222" t="inlineStr">
        <is>
          <t>2026-02-17 10:51:00</t>
        </is>
      </c>
      <c r="C5222" t="inlineStr">
        <is>
          <t>Referral</t>
        </is>
      </c>
      <c r="D5222" t="inlineStr">
        <is>
          <t>Coding for Kids</t>
        </is>
      </c>
      <c r="E5222" t="inlineStr">
        <is>
          <t>South Region</t>
        </is>
      </c>
      <c r="F5222" t="inlineStr">
        <is>
          <t>Rep_02</t>
        </is>
      </c>
      <c r="G5222" t="n">
        <v>7.62</v>
      </c>
      <c r="H5222" t="inlineStr">
        <is>
          <t>Contacted</t>
        </is>
      </c>
      <c r="I5222" t="inlineStr">
        <is>
          <t>Open</t>
        </is>
      </c>
      <c r="M5222">
        <f>VLOOKUP(H5222,'Stage Order'!$A$2:$B$8,2,FALSE)</f>
        <v/>
      </c>
      <c r="N5222">
        <f>IF(G5222&lt;=1,"1. Under 1 hour",IF(G5222&lt;=24,"2. 1-24 hours",IF(G5222&lt;=72,"3. 1-3 days","4. Over 3 days")))</f>
        <v/>
      </c>
      <c r="O5222">
        <f>TEXT(B5222,"YYYY-MM")</f>
        <v/>
      </c>
    </row>
    <row r="5223">
      <c r="A5223" t="inlineStr">
        <is>
          <t>LD-305221</t>
        </is>
      </c>
      <c r="B5223" t="inlineStr">
        <is>
          <t>2026-05-28 07:07:00</t>
        </is>
      </c>
      <c r="C5223" t="inlineStr">
        <is>
          <t>Organic Search</t>
        </is>
      </c>
      <c r="D5223" t="inlineStr">
        <is>
          <t>Language Learning</t>
        </is>
      </c>
      <c r="E5223" t="inlineStr">
        <is>
          <t>West Region</t>
        </is>
      </c>
      <c r="F5223" t="inlineStr">
        <is>
          <t>Rep_08</t>
        </is>
      </c>
      <c r="G5223" t="n">
        <v>2.19</v>
      </c>
      <c r="H5223" t="inlineStr">
        <is>
          <t>Negotiation</t>
        </is>
      </c>
      <c r="I5223" t="inlineStr">
        <is>
          <t>Lost</t>
        </is>
      </c>
      <c r="J5223" t="inlineStr">
        <is>
          <t>Price Objection</t>
        </is>
      </c>
      <c r="K5223" t="n">
        <v>308.48</v>
      </c>
      <c r="L5223" t="inlineStr">
        <is>
          <t>2026-07-19 20:57:57.094727</t>
        </is>
      </c>
      <c r="M5223">
        <f>VLOOKUP(H5223,'Stage Order'!$A$2:$B$8,2,FALSE)</f>
        <v/>
      </c>
      <c r="N5223">
        <f>IF(G5223&lt;=1,"1. Under 1 hour",IF(G5223&lt;=24,"2. 1-24 hours",IF(G5223&lt;=72,"3. 1-3 days","4. Over 3 days")))</f>
        <v/>
      </c>
      <c r="O5223">
        <f>TEXT(B5223,"YYYY-MM")</f>
        <v/>
      </c>
    </row>
    <row r="5224">
      <c r="A5224" t="inlineStr">
        <is>
          <t>LD-305222</t>
        </is>
      </c>
      <c r="B5224" t="inlineStr">
        <is>
          <t>2025-12-05 09:10:00</t>
        </is>
      </c>
      <c r="C5224" t="inlineStr">
        <is>
          <t>Social Media</t>
        </is>
      </c>
      <c r="D5224" t="inlineStr">
        <is>
          <t>K-12 Math</t>
        </is>
      </c>
      <c r="E5224" t="inlineStr">
        <is>
          <t>East Region</t>
        </is>
      </c>
      <c r="F5224" t="inlineStr">
        <is>
          <t>Rep_14</t>
        </is>
      </c>
      <c r="G5224" t="n">
        <v>3.24</v>
      </c>
      <c r="H5224" t="inlineStr">
        <is>
          <t>Lead</t>
        </is>
      </c>
      <c r="I5224" t="inlineStr">
        <is>
          <t>Open</t>
        </is>
      </c>
      <c r="M5224">
        <f>VLOOKUP(H5224,'Stage Order'!$A$2:$B$8,2,FALSE)</f>
        <v/>
      </c>
      <c r="N5224">
        <f>IF(G5224&lt;=1,"1. Under 1 hour",IF(G5224&lt;=24,"2. 1-24 hours",IF(G5224&lt;=72,"3. 1-3 days","4. Over 3 days")))</f>
        <v/>
      </c>
      <c r="O5224">
        <f>TEXT(B5224,"YYYY-MM")</f>
        <v/>
      </c>
    </row>
    <row r="5225">
      <c r="A5225" t="inlineStr">
        <is>
          <t>LD-305223</t>
        </is>
      </c>
      <c r="B5225" t="inlineStr">
        <is>
          <t>2026-02-20 10:29:00</t>
        </is>
      </c>
      <c r="C5225" t="inlineStr">
        <is>
          <t>Referral</t>
        </is>
      </c>
      <c r="D5225" t="inlineStr">
        <is>
          <t>Coding for Kids</t>
        </is>
      </c>
      <c r="E5225" t="inlineStr">
        <is>
          <t>North Region</t>
        </is>
      </c>
      <c r="F5225" t="inlineStr">
        <is>
          <t>Rep_11</t>
        </is>
      </c>
      <c r="G5225" t="n">
        <v>23.55</v>
      </c>
      <c r="H5225" t="inlineStr">
        <is>
          <t>Closed</t>
        </is>
      </c>
      <c r="I5225" t="inlineStr">
        <is>
          <t>Won</t>
        </is>
      </c>
      <c r="K5225" t="n">
        <v>698.09</v>
      </c>
      <c r="L5225" t="inlineStr">
        <is>
          <t>2026-04-11 15:04:36.427790</t>
        </is>
      </c>
      <c r="M5225">
        <f>VLOOKUP(H5225,'Stage Order'!$A$2:$B$8,2,FALSE)</f>
        <v/>
      </c>
      <c r="N5225">
        <f>IF(G5225&lt;=1,"1. Under 1 hour",IF(G5225&lt;=24,"2. 1-24 hours",IF(G5225&lt;=72,"3. 1-3 days","4. Over 3 days")))</f>
        <v/>
      </c>
      <c r="O5225">
        <f>TEXT(B5225,"YYYY-MM")</f>
        <v/>
      </c>
    </row>
    <row r="5226">
      <c r="A5226" t="inlineStr">
        <is>
          <t>LD-305224</t>
        </is>
      </c>
      <c r="B5226" t="inlineStr">
        <is>
          <t>2026-01-08 07:11:00</t>
        </is>
      </c>
      <c r="C5226" t="inlineStr">
        <is>
          <t>Social Media</t>
        </is>
      </c>
      <c r="D5226" t="inlineStr">
        <is>
          <t>Competitive Exam Prep</t>
        </is>
      </c>
      <c r="E5226" t="inlineStr">
        <is>
          <t>South Region</t>
        </is>
      </c>
      <c r="F5226" t="inlineStr">
        <is>
          <t>Rep_02</t>
        </is>
      </c>
      <c r="G5226" t="n">
        <v>1.65</v>
      </c>
      <c r="H5226" t="inlineStr">
        <is>
          <t>Contacted</t>
        </is>
      </c>
      <c r="I5226" t="inlineStr">
        <is>
          <t>Open</t>
        </is>
      </c>
      <c r="M5226">
        <f>VLOOKUP(H5226,'Stage Order'!$A$2:$B$8,2,FALSE)</f>
        <v/>
      </c>
      <c r="N5226">
        <f>IF(G5226&lt;=1,"1. Under 1 hour",IF(G5226&lt;=24,"2. 1-24 hours",IF(G5226&lt;=72,"3. 1-3 days","4. Over 3 days")))</f>
        <v/>
      </c>
      <c r="O5226">
        <f>TEXT(B5226,"YYYY-MM")</f>
        <v/>
      </c>
    </row>
    <row r="5227">
      <c r="A5227" t="inlineStr">
        <is>
          <t>LD-305225</t>
        </is>
      </c>
      <c r="B5227" t="inlineStr">
        <is>
          <t>2026-02-16 13:13:00</t>
        </is>
      </c>
      <c r="C5227" t="inlineStr">
        <is>
          <t>Webinar</t>
        </is>
      </c>
      <c r="D5227" t="inlineStr">
        <is>
          <t>K-12 Math</t>
        </is>
      </c>
      <c r="E5227" t="inlineStr">
        <is>
          <t>South Region</t>
        </is>
      </c>
      <c r="F5227" t="inlineStr">
        <is>
          <t>Rep_12</t>
        </is>
      </c>
      <c r="G5227" t="n">
        <v>0.9399999999999999</v>
      </c>
      <c r="H5227" t="inlineStr">
        <is>
          <t>Contacted</t>
        </is>
      </c>
      <c r="I5227" t="inlineStr">
        <is>
          <t>Open</t>
        </is>
      </c>
      <c r="M5227">
        <f>VLOOKUP(H5227,'Stage Order'!$A$2:$B$8,2,FALSE)</f>
        <v/>
      </c>
      <c r="N5227">
        <f>IF(G5227&lt;=1,"1. Under 1 hour",IF(G5227&lt;=24,"2. 1-24 hours",IF(G5227&lt;=72,"3. 1-3 days","4. Over 3 days")))</f>
        <v/>
      </c>
      <c r="O5227">
        <f>TEXT(B5227,"YYYY-MM")</f>
        <v/>
      </c>
    </row>
    <row r="5228">
      <c r="A5228" t="inlineStr">
        <is>
          <t>LD-305226</t>
        </is>
      </c>
      <c r="B5228" t="inlineStr">
        <is>
          <t>2026-05-01 19:30:00</t>
        </is>
      </c>
      <c r="C5228" t="inlineStr">
        <is>
          <t>Cold Outreach</t>
        </is>
      </c>
      <c r="D5228" t="inlineStr">
        <is>
          <t>K-12 Math</t>
        </is>
      </c>
      <c r="E5228" t="inlineStr">
        <is>
          <t>North Region</t>
        </is>
      </c>
      <c r="F5228" t="inlineStr">
        <is>
          <t>Rep_06</t>
        </is>
      </c>
      <c r="G5228" t="n">
        <v>6.92</v>
      </c>
      <c r="H5228" t="inlineStr">
        <is>
          <t>Lead</t>
        </is>
      </c>
      <c r="I5228" t="inlineStr">
        <is>
          <t>Open</t>
        </is>
      </c>
      <c r="M5228">
        <f>VLOOKUP(H5228,'Stage Order'!$A$2:$B$8,2,FALSE)</f>
        <v/>
      </c>
      <c r="N5228">
        <f>IF(G5228&lt;=1,"1. Under 1 hour",IF(G5228&lt;=24,"2. 1-24 hours",IF(G5228&lt;=72,"3. 1-3 days","4. Over 3 days")))</f>
        <v/>
      </c>
      <c r="O5228">
        <f>TEXT(B5228,"YYYY-MM")</f>
        <v/>
      </c>
    </row>
    <row r="5229">
      <c r="A5229" t="inlineStr">
        <is>
          <t>LD-305227</t>
        </is>
      </c>
      <c r="B5229" t="inlineStr">
        <is>
          <t>2025-05-23 17:05:00</t>
        </is>
      </c>
      <c r="C5229" t="inlineStr">
        <is>
          <t>Social Media</t>
        </is>
      </c>
      <c r="D5229" t="inlineStr">
        <is>
          <t>Study Abroad Prep</t>
        </is>
      </c>
      <c r="E5229" t="inlineStr">
        <is>
          <t>North Region</t>
        </is>
      </c>
      <c r="F5229" t="inlineStr">
        <is>
          <t>Rep_01</t>
        </is>
      </c>
      <c r="G5229" t="n">
        <v>7.75</v>
      </c>
      <c r="H5229" t="inlineStr">
        <is>
          <t>Demo Completed</t>
        </is>
      </c>
      <c r="I5229" t="inlineStr">
        <is>
          <t>Lost</t>
        </is>
      </c>
      <c r="J5229" t="inlineStr">
        <is>
          <t>Price Objection</t>
        </is>
      </c>
      <c r="K5229" t="n">
        <v>1312.48</v>
      </c>
      <c r="L5229" t="inlineStr">
        <is>
          <t>2025-06-23 12:35:02.629327</t>
        </is>
      </c>
      <c r="M5229">
        <f>VLOOKUP(H5229,'Stage Order'!$A$2:$B$8,2,FALSE)</f>
        <v/>
      </c>
      <c r="N5229">
        <f>IF(G5229&lt;=1,"1. Under 1 hour",IF(G5229&lt;=24,"2. 1-24 hours",IF(G5229&lt;=72,"3. 1-3 days","4. Over 3 days")))</f>
        <v/>
      </c>
      <c r="O5229">
        <f>TEXT(B5229,"YYYY-MM")</f>
        <v/>
      </c>
    </row>
    <row r="5230">
      <c r="A5230" t="inlineStr">
        <is>
          <t>LD-305228</t>
        </is>
      </c>
      <c r="B5230" t="inlineStr">
        <is>
          <t>2026-04-02 17:44:00</t>
        </is>
      </c>
      <c r="C5230" t="inlineStr">
        <is>
          <t>Paid Search</t>
        </is>
      </c>
      <c r="D5230" t="inlineStr">
        <is>
          <t>Competitive Exam Prep</t>
        </is>
      </c>
      <c r="E5230" t="inlineStr">
        <is>
          <t>East Region</t>
        </is>
      </c>
      <c r="F5230" t="inlineStr">
        <is>
          <t>Rep_14</t>
        </is>
      </c>
      <c r="G5230" t="n">
        <v>2.11</v>
      </c>
      <c r="H5230" t="inlineStr">
        <is>
          <t>Contacted</t>
        </is>
      </c>
      <c r="I5230" t="inlineStr">
        <is>
          <t>Open</t>
        </is>
      </c>
      <c r="M5230">
        <f>VLOOKUP(H5230,'Stage Order'!$A$2:$B$8,2,FALSE)</f>
        <v/>
      </c>
      <c r="N5230">
        <f>IF(G5230&lt;=1,"1. Under 1 hour",IF(G5230&lt;=24,"2. 1-24 hours",IF(G5230&lt;=72,"3. 1-3 days","4. Over 3 days")))</f>
        <v/>
      </c>
      <c r="O5230">
        <f>TEXT(B5230,"YYYY-MM")</f>
        <v/>
      </c>
    </row>
    <row r="5231">
      <c r="A5231" t="inlineStr">
        <is>
          <t>LD-305229</t>
        </is>
      </c>
      <c r="B5231" t="inlineStr">
        <is>
          <t>2026-04-14 18:47:00</t>
        </is>
      </c>
      <c r="C5231" t="inlineStr">
        <is>
          <t>Webinar</t>
        </is>
      </c>
      <c r="D5231" t="inlineStr">
        <is>
          <t>Coding for Kids</t>
        </is>
      </c>
      <c r="E5231" t="inlineStr">
        <is>
          <t>International</t>
        </is>
      </c>
      <c r="F5231" t="inlineStr">
        <is>
          <t>Rep_15</t>
        </is>
      </c>
      <c r="G5231" t="n">
        <v>5.76</v>
      </c>
      <c r="H5231" t="inlineStr">
        <is>
          <t>Lead</t>
        </is>
      </c>
      <c r="I5231" t="inlineStr">
        <is>
          <t>Open</t>
        </is>
      </c>
      <c r="M5231">
        <f>VLOOKUP(H5231,'Stage Order'!$A$2:$B$8,2,FALSE)</f>
        <v/>
      </c>
      <c r="N5231">
        <f>IF(G5231&lt;=1,"1. Under 1 hour",IF(G5231&lt;=24,"2. 1-24 hours",IF(G5231&lt;=72,"3. 1-3 days","4. Over 3 days")))</f>
        <v/>
      </c>
      <c r="O5231">
        <f>TEXT(B5231,"YYYY-MM")</f>
        <v/>
      </c>
    </row>
    <row r="5232">
      <c r="A5232" t="inlineStr">
        <is>
          <t>LD-305230</t>
        </is>
      </c>
      <c r="B5232" t="inlineStr">
        <is>
          <t>2025-02-27 16:27:00</t>
        </is>
      </c>
      <c r="C5232" t="inlineStr">
        <is>
          <t>Webinar</t>
        </is>
      </c>
      <c r="D5232" t="inlineStr">
        <is>
          <t>Competitive Exam Prep</t>
        </is>
      </c>
      <c r="E5232" t="inlineStr">
        <is>
          <t>North Region</t>
        </is>
      </c>
      <c r="F5232" t="inlineStr">
        <is>
          <t>Rep_01</t>
        </is>
      </c>
      <c r="G5232" t="n">
        <v>2.28</v>
      </c>
      <c r="H5232" t="inlineStr">
        <is>
          <t>Closed</t>
        </is>
      </c>
      <c r="I5232" t="inlineStr">
        <is>
          <t>Won</t>
        </is>
      </c>
      <c r="K5232" t="n">
        <v>893.48</v>
      </c>
      <c r="L5232" t="inlineStr">
        <is>
          <t>2025-04-08 20:52:28.157953</t>
        </is>
      </c>
      <c r="M5232">
        <f>VLOOKUP(H5232,'Stage Order'!$A$2:$B$8,2,FALSE)</f>
        <v/>
      </c>
      <c r="N5232">
        <f>IF(G5232&lt;=1,"1. Under 1 hour",IF(G5232&lt;=24,"2. 1-24 hours",IF(G5232&lt;=72,"3. 1-3 days","4. Over 3 days")))</f>
        <v/>
      </c>
      <c r="O5232">
        <f>TEXT(B5232,"YYYY-MM")</f>
        <v/>
      </c>
    </row>
    <row r="5233">
      <c r="A5233" t="inlineStr">
        <is>
          <t>LD-305231</t>
        </is>
      </c>
      <c r="B5233" t="inlineStr">
        <is>
          <t>2025-12-25 15:01:00</t>
        </is>
      </c>
      <c r="C5233" t="inlineStr">
        <is>
          <t>Paid Search</t>
        </is>
      </c>
      <c r="D5233" t="inlineStr">
        <is>
          <t>K-12 Math</t>
        </is>
      </c>
      <c r="E5233" t="inlineStr">
        <is>
          <t>South Region</t>
        </is>
      </c>
      <c r="F5233" t="inlineStr">
        <is>
          <t>Rep_07</t>
        </is>
      </c>
      <c r="G5233" t="n">
        <v>9.76</v>
      </c>
      <c r="H5233" t="inlineStr">
        <is>
          <t>Contacted</t>
        </is>
      </c>
      <c r="I5233" t="inlineStr">
        <is>
          <t>Open</t>
        </is>
      </c>
      <c r="M5233">
        <f>VLOOKUP(H5233,'Stage Order'!$A$2:$B$8,2,FALSE)</f>
        <v/>
      </c>
      <c r="N5233">
        <f>IF(G5233&lt;=1,"1. Under 1 hour",IF(G5233&lt;=24,"2. 1-24 hours",IF(G5233&lt;=72,"3. 1-3 days","4. Over 3 days")))</f>
        <v/>
      </c>
      <c r="O5233">
        <f>TEXT(B5233,"YYYY-MM")</f>
        <v/>
      </c>
    </row>
    <row r="5234">
      <c r="A5234" t="inlineStr">
        <is>
          <t>LD-305232</t>
        </is>
      </c>
      <c r="B5234" t="inlineStr">
        <is>
          <t>2025-06-11 18:08:00</t>
        </is>
      </c>
      <c r="C5234" t="inlineStr">
        <is>
          <t>Cold Outreach</t>
        </is>
      </c>
      <c r="D5234" t="inlineStr">
        <is>
          <t>Competitive Exam Prep</t>
        </is>
      </c>
      <c r="E5234" t="inlineStr">
        <is>
          <t>International</t>
        </is>
      </c>
      <c r="F5234" t="inlineStr">
        <is>
          <t>Rep_05</t>
        </is>
      </c>
      <c r="G5234" t="n">
        <v>7.32</v>
      </c>
      <c r="H5234" t="inlineStr">
        <is>
          <t>Contacted</t>
        </is>
      </c>
      <c r="I5234" t="inlineStr">
        <is>
          <t>Open</t>
        </is>
      </c>
      <c r="M5234">
        <f>VLOOKUP(H5234,'Stage Order'!$A$2:$B$8,2,FALSE)</f>
        <v/>
      </c>
      <c r="N5234">
        <f>IF(G5234&lt;=1,"1. Under 1 hour",IF(G5234&lt;=24,"2. 1-24 hours",IF(G5234&lt;=72,"3. 1-3 days","4. Over 3 days")))</f>
        <v/>
      </c>
      <c r="O5234">
        <f>TEXT(B5234,"YYYY-MM")</f>
        <v/>
      </c>
    </row>
    <row r="5235">
      <c r="A5235" t="inlineStr">
        <is>
          <t>LD-305233</t>
        </is>
      </c>
      <c r="B5235" t="inlineStr">
        <is>
          <t>2026-02-19 07:37:00</t>
        </is>
      </c>
      <c r="C5235" t="inlineStr">
        <is>
          <t>Webinar</t>
        </is>
      </c>
      <c r="D5235" t="inlineStr">
        <is>
          <t>K-12 Math</t>
        </is>
      </c>
      <c r="E5235" t="inlineStr">
        <is>
          <t>West Region</t>
        </is>
      </c>
      <c r="F5235" t="inlineStr">
        <is>
          <t>Rep_08</t>
        </is>
      </c>
      <c r="G5235" t="n">
        <v>0.86</v>
      </c>
      <c r="H5235" t="inlineStr">
        <is>
          <t>Proposal Sent</t>
        </is>
      </c>
      <c r="I5235" t="inlineStr">
        <is>
          <t>Lost</t>
        </is>
      </c>
      <c r="J5235" t="inlineStr">
        <is>
          <t>Price Objection</t>
        </is>
      </c>
      <c r="K5235" t="n">
        <v>558.02</v>
      </c>
      <c r="L5235" t="inlineStr">
        <is>
          <t>2026-04-05 03:20:48.964082</t>
        </is>
      </c>
      <c r="M5235">
        <f>VLOOKUP(H5235,'Stage Order'!$A$2:$B$8,2,FALSE)</f>
        <v/>
      </c>
      <c r="N5235">
        <f>IF(G5235&lt;=1,"1. Under 1 hour",IF(G5235&lt;=24,"2. 1-24 hours",IF(G5235&lt;=72,"3. 1-3 days","4. Over 3 days")))</f>
        <v/>
      </c>
      <c r="O5235">
        <f>TEXT(B5235,"YYYY-MM")</f>
        <v/>
      </c>
    </row>
    <row r="5236">
      <c r="A5236" t="inlineStr">
        <is>
          <t>LD-305234</t>
        </is>
      </c>
      <c r="B5236" t="inlineStr">
        <is>
          <t>2025-08-11 19:52:00</t>
        </is>
      </c>
      <c r="C5236" t="inlineStr">
        <is>
          <t>Cold Outreach</t>
        </is>
      </c>
      <c r="D5236" t="inlineStr">
        <is>
          <t>Coding for Kids</t>
        </is>
      </c>
      <c r="E5236" t="inlineStr">
        <is>
          <t>North Region</t>
        </is>
      </c>
      <c r="F5236" t="inlineStr">
        <is>
          <t>Rep_11</t>
        </is>
      </c>
      <c r="G5236" t="n">
        <v>0.82</v>
      </c>
      <c r="H5236" t="inlineStr">
        <is>
          <t>Lead</t>
        </is>
      </c>
      <c r="I5236" t="inlineStr">
        <is>
          <t>Open</t>
        </is>
      </c>
      <c r="M5236">
        <f>VLOOKUP(H5236,'Stage Order'!$A$2:$B$8,2,FALSE)</f>
        <v/>
      </c>
      <c r="N5236">
        <f>IF(G5236&lt;=1,"1. Under 1 hour",IF(G5236&lt;=24,"2. 1-24 hours",IF(G5236&lt;=72,"3. 1-3 days","4. Over 3 days")))</f>
        <v/>
      </c>
      <c r="O5236">
        <f>TEXT(B5236,"YYYY-MM")</f>
        <v/>
      </c>
    </row>
    <row r="5237">
      <c r="A5237" t="inlineStr">
        <is>
          <t>LD-305235</t>
        </is>
      </c>
      <c r="B5237" t="inlineStr">
        <is>
          <t>2025-08-29 10:49:00</t>
        </is>
      </c>
      <c r="C5237" t="inlineStr">
        <is>
          <t>Cold Outreach</t>
        </is>
      </c>
      <c r="D5237" t="inlineStr">
        <is>
          <t>Competitive Exam Prep</t>
        </is>
      </c>
      <c r="E5237" t="inlineStr">
        <is>
          <t>South Region</t>
        </is>
      </c>
      <c r="F5237" t="inlineStr">
        <is>
          <t>Rep_12</t>
        </is>
      </c>
      <c r="G5237" t="n">
        <v>3.04</v>
      </c>
      <c r="H5237" t="inlineStr">
        <is>
          <t>Lead</t>
        </is>
      </c>
      <c r="I5237" t="inlineStr">
        <is>
          <t>Open</t>
        </is>
      </c>
      <c r="M5237">
        <f>VLOOKUP(H5237,'Stage Order'!$A$2:$B$8,2,FALSE)</f>
        <v/>
      </c>
      <c r="N5237">
        <f>IF(G5237&lt;=1,"1. Under 1 hour",IF(G5237&lt;=24,"2. 1-24 hours",IF(G5237&lt;=72,"3. 1-3 days","4. Over 3 days")))</f>
        <v/>
      </c>
      <c r="O5237">
        <f>TEXT(B5237,"YYYY-MM")</f>
        <v/>
      </c>
    </row>
    <row r="5238">
      <c r="A5238" t="inlineStr">
        <is>
          <t>LD-305236</t>
        </is>
      </c>
      <c r="B5238" t="inlineStr">
        <is>
          <t>2026-06-03 18:48:00</t>
        </is>
      </c>
      <c r="C5238" t="inlineStr">
        <is>
          <t>Cold Outreach</t>
        </is>
      </c>
      <c r="D5238" t="inlineStr">
        <is>
          <t>K-12 Math</t>
        </is>
      </c>
      <c r="E5238" t="inlineStr">
        <is>
          <t>North Region</t>
        </is>
      </c>
      <c r="F5238" t="inlineStr">
        <is>
          <t>Rep_01</t>
        </is>
      </c>
      <c r="G5238" t="n">
        <v>3.52</v>
      </c>
      <c r="H5238" t="inlineStr">
        <is>
          <t>Contacted</t>
        </is>
      </c>
      <c r="I5238" t="inlineStr">
        <is>
          <t>Open</t>
        </is>
      </c>
      <c r="M5238">
        <f>VLOOKUP(H5238,'Stage Order'!$A$2:$B$8,2,FALSE)</f>
        <v/>
      </c>
      <c r="N5238">
        <f>IF(G5238&lt;=1,"1. Under 1 hour",IF(G5238&lt;=24,"2. 1-24 hours",IF(G5238&lt;=72,"3. 1-3 days","4. Over 3 days")))</f>
        <v/>
      </c>
      <c r="O5238">
        <f>TEXT(B5238,"YYYY-MM")</f>
        <v/>
      </c>
    </row>
    <row r="5239">
      <c r="A5239" t="inlineStr">
        <is>
          <t>LD-305237</t>
        </is>
      </c>
      <c r="B5239" t="inlineStr">
        <is>
          <t>2026-02-15 11:16:00</t>
        </is>
      </c>
      <c r="C5239" t="inlineStr">
        <is>
          <t>Referral</t>
        </is>
      </c>
      <c r="D5239" t="inlineStr">
        <is>
          <t>Coding for Kids</t>
        </is>
      </c>
      <c r="E5239" t="inlineStr">
        <is>
          <t>International</t>
        </is>
      </c>
      <c r="F5239" t="inlineStr">
        <is>
          <t>Rep_10</t>
        </is>
      </c>
      <c r="G5239" t="n">
        <v>4.44</v>
      </c>
      <c r="H5239" t="inlineStr">
        <is>
          <t>Contacted</t>
        </is>
      </c>
      <c r="I5239" t="inlineStr">
        <is>
          <t>Open</t>
        </is>
      </c>
      <c r="M5239">
        <f>VLOOKUP(H5239,'Stage Order'!$A$2:$B$8,2,FALSE)</f>
        <v/>
      </c>
      <c r="N5239">
        <f>IF(G5239&lt;=1,"1. Under 1 hour",IF(G5239&lt;=24,"2. 1-24 hours",IF(G5239&lt;=72,"3. 1-3 days","4. Over 3 days")))</f>
        <v/>
      </c>
      <c r="O5239">
        <f>TEXT(B5239,"YYYY-MM")</f>
        <v/>
      </c>
    </row>
    <row r="5240">
      <c r="A5240" t="inlineStr">
        <is>
          <t>LD-305238</t>
        </is>
      </c>
      <c r="B5240" t="inlineStr">
        <is>
          <t>2025-05-02 15:13:00</t>
        </is>
      </c>
      <c r="C5240" t="inlineStr">
        <is>
          <t>Paid Search</t>
        </is>
      </c>
      <c r="D5240" t="inlineStr">
        <is>
          <t>K-12 Math</t>
        </is>
      </c>
      <c r="E5240" t="inlineStr">
        <is>
          <t>South Region</t>
        </is>
      </c>
      <c r="F5240" t="inlineStr">
        <is>
          <t>Rep_07</t>
        </is>
      </c>
      <c r="G5240" t="n">
        <v>3.48</v>
      </c>
      <c r="H5240" t="inlineStr">
        <is>
          <t>Negotiation</t>
        </is>
      </c>
      <c r="I5240" t="inlineStr">
        <is>
          <t>Lost</t>
        </is>
      </c>
      <c r="J5240" t="inlineStr">
        <is>
          <t>No Response / Ghosted</t>
        </is>
      </c>
      <c r="K5240" t="n">
        <v>550.16</v>
      </c>
      <c r="L5240" t="inlineStr">
        <is>
          <t>2025-06-08 03:38:44.724903</t>
        </is>
      </c>
      <c r="M5240">
        <f>VLOOKUP(H5240,'Stage Order'!$A$2:$B$8,2,FALSE)</f>
        <v/>
      </c>
      <c r="N5240">
        <f>IF(G5240&lt;=1,"1. Under 1 hour",IF(G5240&lt;=24,"2. 1-24 hours",IF(G5240&lt;=72,"3. 1-3 days","4. Over 3 days")))</f>
        <v/>
      </c>
      <c r="O5240">
        <f>TEXT(B5240,"YYYY-MM")</f>
        <v/>
      </c>
    </row>
    <row r="5241">
      <c r="A5241" t="inlineStr">
        <is>
          <t>LD-305239</t>
        </is>
      </c>
      <c r="B5241" t="inlineStr">
        <is>
          <t>2026-04-17 19:18:00</t>
        </is>
      </c>
      <c r="C5241" t="inlineStr">
        <is>
          <t>Organic Search</t>
        </is>
      </c>
      <c r="D5241" t="inlineStr">
        <is>
          <t>Coding for Kids</t>
        </is>
      </c>
      <c r="E5241" t="inlineStr">
        <is>
          <t>North Region</t>
        </is>
      </c>
      <c r="F5241" t="inlineStr">
        <is>
          <t>Rep_06</t>
        </is>
      </c>
      <c r="G5241" t="n">
        <v>10.75</v>
      </c>
      <c r="H5241" t="inlineStr">
        <is>
          <t>Contacted</t>
        </is>
      </c>
      <c r="I5241" t="inlineStr">
        <is>
          <t>Open</t>
        </is>
      </c>
      <c r="M5241">
        <f>VLOOKUP(H5241,'Stage Order'!$A$2:$B$8,2,FALSE)</f>
        <v/>
      </c>
      <c r="N5241">
        <f>IF(G5241&lt;=1,"1. Under 1 hour",IF(G5241&lt;=24,"2. 1-24 hours",IF(G5241&lt;=72,"3. 1-3 days","4. Over 3 days")))</f>
        <v/>
      </c>
      <c r="O5241">
        <f>TEXT(B5241,"YYYY-MM")</f>
        <v/>
      </c>
    </row>
    <row r="5242">
      <c r="A5242" t="inlineStr">
        <is>
          <t>LD-305240</t>
        </is>
      </c>
      <c r="B5242" t="inlineStr">
        <is>
          <t>2026-06-01 13:35:00</t>
        </is>
      </c>
      <c r="C5242" t="inlineStr">
        <is>
          <t>Organic Search</t>
        </is>
      </c>
      <c r="D5242" t="inlineStr">
        <is>
          <t>Competitive Exam Prep</t>
        </is>
      </c>
      <c r="E5242" t="inlineStr">
        <is>
          <t>International</t>
        </is>
      </c>
      <c r="F5242" t="inlineStr">
        <is>
          <t>Rep_05</t>
        </is>
      </c>
      <c r="G5242" t="n">
        <v>8.77</v>
      </c>
      <c r="H5242" t="inlineStr">
        <is>
          <t>Proposal Sent</t>
        </is>
      </c>
      <c r="I5242" t="inlineStr">
        <is>
          <t>Lost</t>
        </is>
      </c>
      <c r="J5242" t="inlineStr">
        <is>
          <t>Budget Not Approved</t>
        </is>
      </c>
      <c r="K5242" t="n">
        <v>1113.42</v>
      </c>
      <c r="L5242" t="inlineStr">
        <is>
          <t>2026-07-01 05:54:00.587619</t>
        </is>
      </c>
      <c r="M5242">
        <f>VLOOKUP(H5242,'Stage Order'!$A$2:$B$8,2,FALSE)</f>
        <v/>
      </c>
      <c r="N5242">
        <f>IF(G5242&lt;=1,"1. Under 1 hour",IF(G5242&lt;=24,"2. 1-24 hours",IF(G5242&lt;=72,"3. 1-3 days","4. Over 3 days")))</f>
        <v/>
      </c>
      <c r="O5242">
        <f>TEXT(B5242,"YYYY-MM")</f>
        <v/>
      </c>
    </row>
    <row r="5243">
      <c r="A5243" t="inlineStr">
        <is>
          <t>LD-305241</t>
        </is>
      </c>
      <c r="B5243" t="inlineStr">
        <is>
          <t>2025-07-29 12:45:00</t>
        </is>
      </c>
      <c r="C5243" t="inlineStr">
        <is>
          <t>Paid Search</t>
        </is>
      </c>
      <c r="D5243" t="inlineStr">
        <is>
          <t>Coding for Kids</t>
        </is>
      </c>
      <c r="E5243" t="inlineStr">
        <is>
          <t>South Region</t>
        </is>
      </c>
      <c r="F5243" t="inlineStr">
        <is>
          <t>Rep_02</t>
        </is>
      </c>
      <c r="G5243" t="n">
        <v>3.2</v>
      </c>
      <c r="H5243" t="inlineStr">
        <is>
          <t>Demo Completed</t>
        </is>
      </c>
      <c r="I5243" t="inlineStr">
        <is>
          <t>Lost</t>
        </is>
      </c>
      <c r="J5243" t="inlineStr">
        <is>
          <t>No Response / Ghosted</t>
        </is>
      </c>
      <c r="K5243" t="n">
        <v>563.79</v>
      </c>
      <c r="L5243" t="inlineStr">
        <is>
          <t>2025-08-10 02:44:34.464821</t>
        </is>
      </c>
      <c r="M5243">
        <f>VLOOKUP(H5243,'Stage Order'!$A$2:$B$8,2,FALSE)</f>
        <v/>
      </c>
      <c r="N5243">
        <f>IF(G5243&lt;=1,"1. Under 1 hour",IF(G5243&lt;=24,"2. 1-24 hours",IF(G5243&lt;=72,"3. 1-3 days","4. Over 3 days")))</f>
        <v/>
      </c>
      <c r="O5243">
        <f>TEXT(B5243,"YYYY-MM")</f>
        <v/>
      </c>
    </row>
    <row r="5244">
      <c r="A5244" t="inlineStr">
        <is>
          <t>LD-305242</t>
        </is>
      </c>
      <c r="B5244" t="inlineStr">
        <is>
          <t>2025-06-26 14:05:00</t>
        </is>
      </c>
      <c r="C5244" t="inlineStr">
        <is>
          <t>Cold Outreach</t>
        </is>
      </c>
      <c r="D5244" t="inlineStr">
        <is>
          <t>Competitive Exam Prep</t>
        </is>
      </c>
      <c r="E5244" t="inlineStr">
        <is>
          <t>West Region</t>
        </is>
      </c>
      <c r="F5244" t="inlineStr">
        <is>
          <t>Rep_13</t>
        </is>
      </c>
      <c r="G5244" t="n">
        <v>5.51</v>
      </c>
      <c r="H5244" t="inlineStr">
        <is>
          <t>Demo Completed</t>
        </is>
      </c>
      <c r="I5244" t="inlineStr">
        <is>
          <t>Lost</t>
        </is>
      </c>
      <c r="J5244" t="inlineStr">
        <is>
          <t>Price Objection</t>
        </is>
      </c>
      <c r="K5244" t="n">
        <v>823.54</v>
      </c>
      <c r="L5244" t="inlineStr">
        <is>
          <t>2025-08-10 02:56:22.205482</t>
        </is>
      </c>
      <c r="M5244">
        <f>VLOOKUP(H5244,'Stage Order'!$A$2:$B$8,2,FALSE)</f>
        <v/>
      </c>
      <c r="N5244">
        <f>IF(G5244&lt;=1,"1. Under 1 hour",IF(G5244&lt;=24,"2. 1-24 hours",IF(G5244&lt;=72,"3. 1-3 days","4. Over 3 days")))</f>
        <v/>
      </c>
      <c r="O5244">
        <f>TEXT(B5244,"YYYY-MM")</f>
        <v/>
      </c>
    </row>
    <row r="5245">
      <c r="A5245" t="inlineStr">
        <is>
          <t>LD-305243</t>
        </is>
      </c>
      <c r="B5245" t="inlineStr">
        <is>
          <t>2025-05-15 18:55:00</t>
        </is>
      </c>
      <c r="C5245" t="inlineStr">
        <is>
          <t>Cold Outreach</t>
        </is>
      </c>
      <c r="D5245" t="inlineStr">
        <is>
          <t>Language Learning</t>
        </is>
      </c>
      <c r="E5245" t="inlineStr">
        <is>
          <t>North Region</t>
        </is>
      </c>
      <c r="F5245" t="inlineStr">
        <is>
          <t>Rep_06</t>
        </is>
      </c>
      <c r="G5245" t="n">
        <v>6.31</v>
      </c>
      <c r="H5245" t="inlineStr">
        <is>
          <t>Lead</t>
        </is>
      </c>
      <c r="I5245" t="inlineStr">
        <is>
          <t>Open</t>
        </is>
      </c>
      <c r="M5245">
        <f>VLOOKUP(H5245,'Stage Order'!$A$2:$B$8,2,FALSE)</f>
        <v/>
      </c>
      <c r="N5245">
        <f>IF(G5245&lt;=1,"1. Under 1 hour",IF(G5245&lt;=24,"2. 1-24 hours",IF(G5245&lt;=72,"3. 1-3 days","4. Over 3 days")))</f>
        <v/>
      </c>
      <c r="O5245">
        <f>TEXT(B5245,"YYYY-MM")</f>
        <v/>
      </c>
    </row>
    <row r="5246">
      <c r="A5246" t="inlineStr">
        <is>
          <t>LD-305244</t>
        </is>
      </c>
      <c r="B5246" t="inlineStr">
        <is>
          <t>2025-03-02 07:28:00</t>
        </is>
      </c>
      <c r="C5246" t="inlineStr">
        <is>
          <t>Social Media</t>
        </is>
      </c>
      <c r="D5246" t="inlineStr">
        <is>
          <t>Competitive Exam Prep</t>
        </is>
      </c>
      <c r="E5246" t="inlineStr">
        <is>
          <t>South Region</t>
        </is>
      </c>
      <c r="F5246" t="inlineStr">
        <is>
          <t>Rep_12</t>
        </is>
      </c>
      <c r="G5246" t="n">
        <v>1.26</v>
      </c>
      <c r="H5246" t="inlineStr">
        <is>
          <t>Demo Scheduled</t>
        </is>
      </c>
      <c r="I5246" t="inlineStr">
        <is>
          <t>Open</t>
        </is>
      </c>
      <c r="M5246">
        <f>VLOOKUP(H5246,'Stage Order'!$A$2:$B$8,2,FALSE)</f>
        <v/>
      </c>
      <c r="N5246">
        <f>IF(G5246&lt;=1,"1. Under 1 hour",IF(G5246&lt;=24,"2. 1-24 hours",IF(G5246&lt;=72,"3. 1-3 days","4. Over 3 days")))</f>
        <v/>
      </c>
      <c r="O5246">
        <f>TEXT(B5246,"YYYY-MM")</f>
        <v/>
      </c>
    </row>
    <row r="5247">
      <c r="A5247" t="inlineStr">
        <is>
          <t>LD-305245</t>
        </is>
      </c>
      <c r="B5247" t="inlineStr">
        <is>
          <t>2025-02-05 13:44:00</t>
        </is>
      </c>
      <c r="C5247" t="inlineStr">
        <is>
          <t>Social Media</t>
        </is>
      </c>
      <c r="D5247" t="inlineStr">
        <is>
          <t>Language Learning</t>
        </is>
      </c>
      <c r="E5247" t="inlineStr">
        <is>
          <t>International</t>
        </is>
      </c>
      <c r="F5247" t="inlineStr">
        <is>
          <t>Rep_10</t>
        </is>
      </c>
      <c r="G5247" t="n">
        <v>35.71</v>
      </c>
      <c r="H5247" t="inlineStr">
        <is>
          <t>Contacted</t>
        </is>
      </c>
      <c r="I5247" t="inlineStr">
        <is>
          <t>Open</t>
        </is>
      </c>
      <c r="M5247">
        <f>VLOOKUP(H5247,'Stage Order'!$A$2:$B$8,2,FALSE)</f>
        <v/>
      </c>
      <c r="N5247">
        <f>IF(G5247&lt;=1,"1. Under 1 hour",IF(G5247&lt;=24,"2. 1-24 hours",IF(G5247&lt;=72,"3. 1-3 days","4. Over 3 days")))</f>
        <v/>
      </c>
      <c r="O5247">
        <f>TEXT(B5247,"YYYY-MM")</f>
        <v/>
      </c>
    </row>
    <row r="5248">
      <c r="A5248" t="inlineStr">
        <is>
          <t>LD-305246</t>
        </is>
      </c>
      <c r="B5248" t="inlineStr">
        <is>
          <t>2025-05-13 09:27:00</t>
        </is>
      </c>
      <c r="C5248" t="inlineStr">
        <is>
          <t>Social Media</t>
        </is>
      </c>
      <c r="D5248" t="inlineStr">
        <is>
          <t>Language Learning</t>
        </is>
      </c>
      <c r="E5248" t="inlineStr">
        <is>
          <t>East Region</t>
        </is>
      </c>
      <c r="F5248" t="inlineStr">
        <is>
          <t>Rep_14</t>
        </is>
      </c>
      <c r="G5248" t="n">
        <v>1.17</v>
      </c>
      <c r="H5248" t="inlineStr">
        <is>
          <t>Demo Completed</t>
        </is>
      </c>
      <c r="I5248" t="inlineStr">
        <is>
          <t>Lost</t>
        </is>
      </c>
      <c r="J5248" t="inlineStr">
        <is>
          <t>Bad Timing</t>
        </is>
      </c>
      <c r="K5248" t="n">
        <v>392.65</v>
      </c>
      <c r="L5248" t="inlineStr">
        <is>
          <t>2025-06-06 23:38:26.356810</t>
        </is>
      </c>
      <c r="M5248">
        <f>VLOOKUP(H5248,'Stage Order'!$A$2:$B$8,2,FALSE)</f>
        <v/>
      </c>
      <c r="N5248">
        <f>IF(G5248&lt;=1,"1. Under 1 hour",IF(G5248&lt;=24,"2. 1-24 hours",IF(G5248&lt;=72,"3. 1-3 days","4. Over 3 days")))</f>
        <v/>
      </c>
      <c r="O5248">
        <f>TEXT(B5248,"YYYY-MM")</f>
        <v/>
      </c>
    </row>
    <row r="5249">
      <c r="A5249" t="inlineStr">
        <is>
          <t>LD-305247</t>
        </is>
      </c>
      <c r="B5249" t="inlineStr">
        <is>
          <t>2025-09-04 16:00:00</t>
        </is>
      </c>
      <c r="C5249" t="inlineStr">
        <is>
          <t>Referral</t>
        </is>
      </c>
      <c r="D5249" t="inlineStr">
        <is>
          <t>Competitive Exam Prep</t>
        </is>
      </c>
      <c r="E5249" t="inlineStr">
        <is>
          <t>South Region</t>
        </is>
      </c>
      <c r="F5249" t="inlineStr">
        <is>
          <t>Rep_12</t>
        </is>
      </c>
      <c r="G5249" t="n">
        <v>4.01</v>
      </c>
      <c r="H5249" t="inlineStr">
        <is>
          <t>Contacted</t>
        </is>
      </c>
      <c r="I5249" t="inlineStr">
        <is>
          <t>Open</t>
        </is>
      </c>
      <c r="M5249">
        <f>VLOOKUP(H5249,'Stage Order'!$A$2:$B$8,2,FALSE)</f>
        <v/>
      </c>
      <c r="N5249">
        <f>IF(G5249&lt;=1,"1. Under 1 hour",IF(G5249&lt;=24,"2. 1-24 hours",IF(G5249&lt;=72,"3. 1-3 days","4. Over 3 days")))</f>
        <v/>
      </c>
      <c r="O5249">
        <f>TEXT(B5249,"YYYY-MM")</f>
        <v/>
      </c>
    </row>
    <row r="5250">
      <c r="A5250" t="inlineStr">
        <is>
          <t>LD-305248</t>
        </is>
      </c>
      <c r="B5250" t="inlineStr">
        <is>
          <t>2025-08-07 15:11:00</t>
        </is>
      </c>
      <c r="C5250" t="inlineStr">
        <is>
          <t>Paid Search</t>
        </is>
      </c>
      <c r="D5250" t="inlineStr">
        <is>
          <t>Competitive Exam Prep</t>
        </is>
      </c>
      <c r="E5250" t="inlineStr">
        <is>
          <t>South Region</t>
        </is>
      </c>
      <c r="F5250" t="inlineStr">
        <is>
          <t>Rep_02</t>
        </is>
      </c>
      <c r="G5250" t="n">
        <v>8.73</v>
      </c>
      <c r="H5250" t="inlineStr">
        <is>
          <t>Contacted</t>
        </is>
      </c>
      <c r="I5250" t="inlineStr">
        <is>
          <t>Open</t>
        </is>
      </c>
      <c r="M5250">
        <f>VLOOKUP(H5250,'Stage Order'!$A$2:$B$8,2,FALSE)</f>
        <v/>
      </c>
      <c r="N5250">
        <f>IF(G5250&lt;=1,"1. Under 1 hour",IF(G5250&lt;=24,"2. 1-24 hours",IF(G5250&lt;=72,"3. 1-3 days","4. Over 3 days")))</f>
        <v/>
      </c>
      <c r="O5250">
        <f>TEXT(B5250,"YYYY-MM")</f>
        <v/>
      </c>
    </row>
    <row r="5251">
      <c r="A5251" t="inlineStr">
        <is>
          <t>LD-305249</t>
        </is>
      </c>
      <c r="B5251" t="inlineStr">
        <is>
          <t>2025-02-07 16:49:00</t>
        </is>
      </c>
      <c r="C5251" t="inlineStr">
        <is>
          <t>Referral</t>
        </is>
      </c>
      <c r="D5251" t="inlineStr">
        <is>
          <t>Language Learning</t>
        </is>
      </c>
      <c r="E5251" t="inlineStr">
        <is>
          <t>International</t>
        </is>
      </c>
      <c r="F5251" t="inlineStr">
        <is>
          <t>Rep_15</t>
        </is>
      </c>
      <c r="G5251" t="n">
        <v>2.77</v>
      </c>
      <c r="H5251" t="inlineStr">
        <is>
          <t>Contacted</t>
        </is>
      </c>
      <c r="I5251" t="inlineStr">
        <is>
          <t>Open</t>
        </is>
      </c>
      <c r="M5251">
        <f>VLOOKUP(H5251,'Stage Order'!$A$2:$B$8,2,FALSE)</f>
        <v/>
      </c>
      <c r="N5251">
        <f>IF(G5251&lt;=1,"1. Under 1 hour",IF(G5251&lt;=24,"2. 1-24 hours",IF(G5251&lt;=72,"3. 1-3 days","4. Over 3 days")))</f>
        <v/>
      </c>
      <c r="O5251">
        <f>TEXT(B5251,"YYYY-MM")</f>
        <v/>
      </c>
    </row>
    <row r="5252">
      <c r="A5252" t="inlineStr">
        <is>
          <t>LD-305250</t>
        </is>
      </c>
      <c r="B5252" t="inlineStr">
        <is>
          <t>2026-06-04 07:51:00</t>
        </is>
      </c>
      <c r="C5252" t="inlineStr">
        <is>
          <t>Paid Search</t>
        </is>
      </c>
      <c r="D5252" t="inlineStr">
        <is>
          <t>Coding for Kids</t>
        </is>
      </c>
      <c r="E5252" t="inlineStr">
        <is>
          <t>South Region</t>
        </is>
      </c>
      <c r="F5252" t="inlineStr">
        <is>
          <t>Rep_12</t>
        </is>
      </c>
      <c r="G5252" t="n">
        <v>1.12</v>
      </c>
      <c r="H5252" t="inlineStr">
        <is>
          <t>Negotiation</t>
        </is>
      </c>
      <c r="I5252" t="inlineStr">
        <is>
          <t>Lost</t>
        </is>
      </c>
      <c r="J5252" t="inlineStr">
        <is>
          <t>Went With Competitor</t>
        </is>
      </c>
      <c r="K5252" t="n">
        <v>584.92</v>
      </c>
      <c r="L5252" t="inlineStr">
        <is>
          <t>2026-07-27 06:05:04.670614</t>
        </is>
      </c>
      <c r="M5252">
        <f>VLOOKUP(H5252,'Stage Order'!$A$2:$B$8,2,FALSE)</f>
        <v/>
      </c>
      <c r="N5252">
        <f>IF(G5252&lt;=1,"1. Under 1 hour",IF(G5252&lt;=24,"2. 1-24 hours",IF(G5252&lt;=72,"3. 1-3 days","4. Over 3 days")))</f>
        <v/>
      </c>
      <c r="O5252">
        <f>TEXT(B5252,"YYYY-MM")</f>
        <v/>
      </c>
    </row>
    <row r="5253">
      <c r="A5253" t="inlineStr">
        <is>
          <t>LD-305251</t>
        </is>
      </c>
      <c r="B5253" t="inlineStr">
        <is>
          <t>2025-02-25 10:24:00</t>
        </is>
      </c>
      <c r="C5253" t="inlineStr">
        <is>
          <t>Referral</t>
        </is>
      </c>
      <c r="D5253" t="inlineStr">
        <is>
          <t>Language Learning</t>
        </is>
      </c>
      <c r="E5253" t="inlineStr">
        <is>
          <t>South Region</t>
        </is>
      </c>
      <c r="F5253" t="inlineStr">
        <is>
          <t>Rep_07</t>
        </is>
      </c>
      <c r="G5253" t="n">
        <v>3.24</v>
      </c>
      <c r="H5253" t="inlineStr">
        <is>
          <t>Closed</t>
        </is>
      </c>
      <c r="I5253" t="inlineStr">
        <is>
          <t>Won</t>
        </is>
      </c>
      <c r="K5253" t="n">
        <v>397.94</v>
      </c>
      <c r="L5253" t="inlineStr">
        <is>
          <t>2025-04-04 04:34:50.464218</t>
        </is>
      </c>
      <c r="M5253">
        <f>VLOOKUP(H5253,'Stage Order'!$A$2:$B$8,2,FALSE)</f>
        <v/>
      </c>
      <c r="N5253">
        <f>IF(G5253&lt;=1,"1. Under 1 hour",IF(G5253&lt;=24,"2. 1-24 hours",IF(G5253&lt;=72,"3. 1-3 days","4. Over 3 days")))</f>
        <v/>
      </c>
      <c r="O5253">
        <f>TEXT(B5253,"YYYY-MM")</f>
        <v/>
      </c>
    </row>
    <row r="5254">
      <c r="A5254" t="inlineStr">
        <is>
          <t>LD-305252</t>
        </is>
      </c>
      <c r="B5254" t="inlineStr">
        <is>
          <t>2025-10-24 17:53:00</t>
        </is>
      </c>
      <c r="C5254" t="inlineStr">
        <is>
          <t>Organic Search</t>
        </is>
      </c>
      <c r="D5254" t="inlineStr">
        <is>
          <t>Language Learning</t>
        </is>
      </c>
      <c r="E5254" t="inlineStr">
        <is>
          <t>South Region</t>
        </is>
      </c>
      <c r="F5254" t="inlineStr">
        <is>
          <t>Rep_07</t>
        </is>
      </c>
      <c r="G5254" t="n">
        <v>0.84</v>
      </c>
      <c r="H5254" t="inlineStr">
        <is>
          <t>Contacted</t>
        </is>
      </c>
      <c r="I5254" t="inlineStr">
        <is>
          <t>Open</t>
        </is>
      </c>
      <c r="M5254">
        <f>VLOOKUP(H5254,'Stage Order'!$A$2:$B$8,2,FALSE)</f>
        <v/>
      </c>
      <c r="N5254">
        <f>IF(G5254&lt;=1,"1. Under 1 hour",IF(G5254&lt;=24,"2. 1-24 hours",IF(G5254&lt;=72,"3. 1-3 days","4. Over 3 days")))</f>
        <v/>
      </c>
      <c r="O5254">
        <f>TEXT(B5254,"YYYY-MM")</f>
        <v/>
      </c>
    </row>
    <row r="5255">
      <c r="A5255" t="inlineStr">
        <is>
          <t>LD-305253</t>
        </is>
      </c>
      <c r="B5255" t="inlineStr">
        <is>
          <t>2025-06-14 18:35:00</t>
        </is>
      </c>
      <c r="C5255" t="inlineStr">
        <is>
          <t>Organic Search</t>
        </is>
      </c>
      <c r="D5255" t="inlineStr">
        <is>
          <t>Competitive Exam Prep</t>
        </is>
      </c>
      <c r="E5255" t="inlineStr">
        <is>
          <t>West Region</t>
        </is>
      </c>
      <c r="F5255" t="inlineStr">
        <is>
          <t>Rep_13</t>
        </is>
      </c>
      <c r="G5255" t="n">
        <v>7.64</v>
      </c>
      <c r="H5255" t="inlineStr">
        <is>
          <t>Contacted</t>
        </is>
      </c>
      <c r="I5255" t="inlineStr">
        <is>
          <t>Open</t>
        </is>
      </c>
      <c r="M5255">
        <f>VLOOKUP(H5255,'Stage Order'!$A$2:$B$8,2,FALSE)</f>
        <v/>
      </c>
      <c r="N5255">
        <f>IF(G5255&lt;=1,"1. Under 1 hour",IF(G5255&lt;=24,"2. 1-24 hours",IF(G5255&lt;=72,"3. 1-3 days","4. Over 3 days")))</f>
        <v/>
      </c>
      <c r="O5255">
        <f>TEXT(B5255,"YYYY-MM")</f>
        <v/>
      </c>
    </row>
    <row r="5256">
      <c r="A5256" t="inlineStr">
        <is>
          <t>LD-305254</t>
        </is>
      </c>
      <c r="B5256" t="inlineStr">
        <is>
          <t>2025-06-26 14:44:00</t>
        </is>
      </c>
      <c r="C5256" t="inlineStr">
        <is>
          <t>Organic Search</t>
        </is>
      </c>
      <c r="D5256" t="inlineStr">
        <is>
          <t>Coding for Kids</t>
        </is>
      </c>
      <c r="E5256" t="inlineStr">
        <is>
          <t>West Region</t>
        </is>
      </c>
      <c r="F5256" t="inlineStr">
        <is>
          <t>Rep_03</t>
        </is>
      </c>
      <c r="G5256" t="n">
        <v>3.03</v>
      </c>
      <c r="H5256" t="inlineStr">
        <is>
          <t>Demo Completed</t>
        </is>
      </c>
      <c r="I5256" t="inlineStr">
        <is>
          <t>Lost</t>
        </is>
      </c>
      <c r="J5256" t="inlineStr">
        <is>
          <t>Price Objection</t>
        </is>
      </c>
      <c r="K5256" t="n">
        <v>632.48</v>
      </c>
      <c r="L5256" t="inlineStr">
        <is>
          <t>2025-07-25 09:02:04.822239</t>
        </is>
      </c>
      <c r="M5256">
        <f>VLOOKUP(H5256,'Stage Order'!$A$2:$B$8,2,FALSE)</f>
        <v/>
      </c>
      <c r="N5256">
        <f>IF(G5256&lt;=1,"1. Under 1 hour",IF(G5256&lt;=24,"2. 1-24 hours",IF(G5256&lt;=72,"3. 1-3 days","4. Over 3 days")))</f>
        <v/>
      </c>
      <c r="O5256">
        <f>TEXT(B5256,"YYYY-MM")</f>
        <v/>
      </c>
    </row>
    <row r="5257">
      <c r="A5257" t="inlineStr">
        <is>
          <t>LD-305255</t>
        </is>
      </c>
      <c r="B5257" t="inlineStr">
        <is>
          <t>2025-08-19 17:12:00</t>
        </is>
      </c>
      <c r="C5257" t="inlineStr">
        <is>
          <t>Paid Search</t>
        </is>
      </c>
      <c r="D5257" t="inlineStr">
        <is>
          <t>Language Learning</t>
        </is>
      </c>
      <c r="E5257" t="inlineStr">
        <is>
          <t>West Region</t>
        </is>
      </c>
      <c r="F5257" t="inlineStr">
        <is>
          <t>Rep_13</t>
        </is>
      </c>
      <c r="G5257" t="n">
        <v>19.14</v>
      </c>
      <c r="H5257" t="inlineStr">
        <is>
          <t>Demo Scheduled</t>
        </is>
      </c>
      <c r="I5257" t="inlineStr">
        <is>
          <t>Open</t>
        </is>
      </c>
      <c r="M5257">
        <f>VLOOKUP(H5257,'Stage Order'!$A$2:$B$8,2,FALSE)</f>
        <v/>
      </c>
      <c r="N5257">
        <f>IF(G5257&lt;=1,"1. Under 1 hour",IF(G5257&lt;=24,"2. 1-24 hours",IF(G5257&lt;=72,"3. 1-3 days","4. Over 3 days")))</f>
        <v/>
      </c>
      <c r="O5257">
        <f>TEXT(B5257,"YYYY-MM")</f>
        <v/>
      </c>
    </row>
    <row r="5258">
      <c r="A5258" t="inlineStr">
        <is>
          <t>LD-305256</t>
        </is>
      </c>
      <c r="B5258" t="inlineStr">
        <is>
          <t>2025-03-05 09:56:00</t>
        </is>
      </c>
      <c r="C5258" t="inlineStr">
        <is>
          <t>Webinar</t>
        </is>
      </c>
      <c r="D5258" t="inlineStr">
        <is>
          <t>Coding for Kids</t>
        </is>
      </c>
      <c r="E5258" t="inlineStr">
        <is>
          <t>North Region</t>
        </is>
      </c>
      <c r="F5258" t="inlineStr">
        <is>
          <t>Rep_11</t>
        </is>
      </c>
      <c r="G5258" t="n">
        <v>2.85</v>
      </c>
      <c r="H5258" t="inlineStr">
        <is>
          <t>Negotiation</t>
        </is>
      </c>
      <c r="I5258" t="inlineStr">
        <is>
          <t>Lost</t>
        </is>
      </c>
      <c r="J5258" t="inlineStr">
        <is>
          <t>Went With Competitor</t>
        </is>
      </c>
      <c r="K5258" t="n">
        <v>628.87</v>
      </c>
      <c r="L5258" t="inlineStr">
        <is>
          <t>2025-04-17 08:53:23.777621</t>
        </is>
      </c>
      <c r="M5258">
        <f>VLOOKUP(H5258,'Stage Order'!$A$2:$B$8,2,FALSE)</f>
        <v/>
      </c>
      <c r="N5258">
        <f>IF(G5258&lt;=1,"1. Under 1 hour",IF(G5258&lt;=24,"2. 1-24 hours",IF(G5258&lt;=72,"3. 1-3 days","4. Over 3 days")))</f>
        <v/>
      </c>
      <c r="O5258">
        <f>TEXT(B5258,"YYYY-MM")</f>
        <v/>
      </c>
    </row>
    <row r="5259">
      <c r="A5259" t="inlineStr">
        <is>
          <t>LD-305257</t>
        </is>
      </c>
      <c r="B5259" t="inlineStr">
        <is>
          <t>2026-01-02 07:04:00</t>
        </is>
      </c>
      <c r="C5259" t="inlineStr">
        <is>
          <t>Social Media</t>
        </is>
      </c>
      <c r="D5259" t="inlineStr">
        <is>
          <t>Competitive Exam Prep</t>
        </is>
      </c>
      <c r="E5259" t="inlineStr">
        <is>
          <t>South Region</t>
        </is>
      </c>
      <c r="F5259" t="inlineStr">
        <is>
          <t>Rep_07</t>
        </is>
      </c>
      <c r="G5259" t="n">
        <v>4.31</v>
      </c>
      <c r="H5259" t="inlineStr">
        <is>
          <t>Lead</t>
        </is>
      </c>
      <c r="I5259" t="inlineStr">
        <is>
          <t>Open</t>
        </is>
      </c>
      <c r="M5259">
        <f>VLOOKUP(H5259,'Stage Order'!$A$2:$B$8,2,FALSE)</f>
        <v/>
      </c>
      <c r="N5259">
        <f>IF(G5259&lt;=1,"1. Under 1 hour",IF(G5259&lt;=24,"2. 1-24 hours",IF(G5259&lt;=72,"3. 1-3 days","4. Over 3 days")))</f>
        <v/>
      </c>
      <c r="O5259">
        <f>TEXT(B5259,"YYYY-MM")</f>
        <v/>
      </c>
    </row>
    <row r="5260">
      <c r="A5260" t="inlineStr">
        <is>
          <t>LD-305258</t>
        </is>
      </c>
      <c r="B5260" t="inlineStr">
        <is>
          <t>2025-08-06 07:02:00</t>
        </is>
      </c>
      <c r="C5260" t="inlineStr">
        <is>
          <t>Organic Search</t>
        </is>
      </c>
      <c r="D5260" t="inlineStr">
        <is>
          <t>Competitive Exam Prep</t>
        </is>
      </c>
      <c r="E5260" t="inlineStr">
        <is>
          <t>South Region</t>
        </is>
      </c>
      <c r="F5260" t="inlineStr">
        <is>
          <t>Rep_07</t>
        </is>
      </c>
      <c r="G5260" t="n">
        <v>2.4</v>
      </c>
      <c r="H5260" t="inlineStr">
        <is>
          <t>Demo Completed</t>
        </is>
      </c>
      <c r="I5260" t="inlineStr">
        <is>
          <t>Lost</t>
        </is>
      </c>
      <c r="J5260" t="inlineStr">
        <is>
          <t>No Response / Ghosted</t>
        </is>
      </c>
      <c r="K5260" t="n">
        <v>1059.17</v>
      </c>
      <c r="L5260" t="inlineStr">
        <is>
          <t>2025-09-03 03:13:13.327746</t>
        </is>
      </c>
      <c r="M5260">
        <f>VLOOKUP(H5260,'Stage Order'!$A$2:$B$8,2,FALSE)</f>
        <v/>
      </c>
      <c r="N5260">
        <f>IF(G5260&lt;=1,"1. Under 1 hour",IF(G5260&lt;=24,"2. 1-24 hours",IF(G5260&lt;=72,"3. 1-3 days","4. Over 3 days")))</f>
        <v/>
      </c>
      <c r="O5260">
        <f>TEXT(B5260,"YYYY-MM")</f>
        <v/>
      </c>
    </row>
    <row r="5261">
      <c r="A5261" t="inlineStr">
        <is>
          <t>LD-305259</t>
        </is>
      </c>
      <c r="B5261" t="inlineStr">
        <is>
          <t>2025-04-28 12:58:00</t>
        </is>
      </c>
      <c r="C5261" t="inlineStr">
        <is>
          <t>Organic Search</t>
        </is>
      </c>
      <c r="D5261" t="inlineStr">
        <is>
          <t>K-12 Math</t>
        </is>
      </c>
      <c r="E5261" t="inlineStr">
        <is>
          <t>North Region</t>
        </is>
      </c>
      <c r="F5261" t="inlineStr">
        <is>
          <t>Rep_01</t>
        </is>
      </c>
      <c r="G5261" t="n">
        <v>3.88</v>
      </c>
      <c r="H5261" t="inlineStr">
        <is>
          <t>Closed</t>
        </is>
      </c>
      <c r="I5261" t="inlineStr">
        <is>
          <t>Won</t>
        </is>
      </c>
      <c r="K5261" t="n">
        <v>586.29</v>
      </c>
      <c r="L5261" t="inlineStr">
        <is>
          <t>2025-06-05 21:33:59.304739</t>
        </is>
      </c>
      <c r="M5261">
        <f>VLOOKUP(H5261,'Stage Order'!$A$2:$B$8,2,FALSE)</f>
        <v/>
      </c>
      <c r="N5261">
        <f>IF(G5261&lt;=1,"1. Under 1 hour",IF(G5261&lt;=24,"2. 1-24 hours",IF(G5261&lt;=72,"3. 1-3 days","4. Over 3 days")))</f>
        <v/>
      </c>
      <c r="O5261">
        <f>TEXT(B5261,"YYYY-MM")</f>
        <v/>
      </c>
    </row>
    <row r="5262">
      <c r="A5262" t="inlineStr">
        <is>
          <t>LD-305260</t>
        </is>
      </c>
      <c r="B5262" t="inlineStr">
        <is>
          <t>2026-03-31 16:09:00</t>
        </is>
      </c>
      <c r="C5262" t="inlineStr">
        <is>
          <t>Referral</t>
        </is>
      </c>
      <c r="D5262" t="inlineStr">
        <is>
          <t>Competitive Exam Prep</t>
        </is>
      </c>
      <c r="E5262" t="inlineStr">
        <is>
          <t>North Region</t>
        </is>
      </c>
      <c r="F5262" t="inlineStr">
        <is>
          <t>Rep_11</t>
        </is>
      </c>
      <c r="G5262" t="n">
        <v>4.68</v>
      </c>
      <c r="H5262" t="inlineStr">
        <is>
          <t>Proposal Sent</t>
        </is>
      </c>
      <c r="I5262" t="inlineStr">
        <is>
          <t>Lost</t>
        </is>
      </c>
      <c r="J5262" t="inlineStr">
        <is>
          <t>Price Objection</t>
        </is>
      </c>
      <c r="K5262" t="n">
        <v>935.73</v>
      </c>
      <c r="L5262" t="inlineStr">
        <is>
          <t>2026-05-08 23:09:27.940375</t>
        </is>
      </c>
      <c r="M5262">
        <f>VLOOKUP(H5262,'Stage Order'!$A$2:$B$8,2,FALSE)</f>
        <v/>
      </c>
      <c r="N5262">
        <f>IF(G5262&lt;=1,"1. Under 1 hour",IF(G5262&lt;=24,"2. 1-24 hours",IF(G5262&lt;=72,"3. 1-3 days","4. Over 3 days")))</f>
        <v/>
      </c>
      <c r="O5262">
        <f>TEXT(B5262,"YYYY-MM")</f>
        <v/>
      </c>
    </row>
    <row r="5263">
      <c r="A5263" t="inlineStr">
        <is>
          <t>LD-305261</t>
        </is>
      </c>
      <c r="B5263" t="inlineStr">
        <is>
          <t>2025-09-16 14:34:00</t>
        </is>
      </c>
      <c r="C5263" t="inlineStr">
        <is>
          <t>Organic Search</t>
        </is>
      </c>
      <c r="D5263" t="inlineStr">
        <is>
          <t>Language Learning</t>
        </is>
      </c>
      <c r="E5263" t="inlineStr">
        <is>
          <t>South Region</t>
        </is>
      </c>
      <c r="F5263" t="inlineStr">
        <is>
          <t>Rep_07</t>
        </is>
      </c>
      <c r="G5263" t="n">
        <v>0.87</v>
      </c>
      <c r="H5263" t="inlineStr">
        <is>
          <t>Demo Completed</t>
        </is>
      </c>
      <c r="I5263" t="inlineStr">
        <is>
          <t>Lost</t>
        </is>
      </c>
      <c r="J5263" t="inlineStr">
        <is>
          <t>Bad Timing</t>
        </is>
      </c>
      <c r="K5263" t="n">
        <v>368.29</v>
      </c>
      <c r="L5263" t="inlineStr">
        <is>
          <t>2025-10-08 13:22:40.239496</t>
        </is>
      </c>
      <c r="M5263">
        <f>VLOOKUP(H5263,'Stage Order'!$A$2:$B$8,2,FALSE)</f>
        <v/>
      </c>
      <c r="N5263">
        <f>IF(G5263&lt;=1,"1. Under 1 hour",IF(G5263&lt;=24,"2. 1-24 hours",IF(G5263&lt;=72,"3. 1-3 days","4. Over 3 days")))</f>
        <v/>
      </c>
      <c r="O5263">
        <f>TEXT(B5263,"YYYY-MM")</f>
        <v/>
      </c>
    </row>
    <row r="5264">
      <c r="A5264" t="inlineStr">
        <is>
          <t>LD-305262</t>
        </is>
      </c>
      <c r="B5264" t="inlineStr">
        <is>
          <t>2026-05-21 11:07:00</t>
        </is>
      </c>
      <c r="C5264" t="inlineStr">
        <is>
          <t>Social Media</t>
        </is>
      </c>
      <c r="D5264" t="inlineStr">
        <is>
          <t>Language Learning</t>
        </is>
      </c>
      <c r="E5264" t="inlineStr">
        <is>
          <t>West Region</t>
        </is>
      </c>
      <c r="F5264" t="inlineStr">
        <is>
          <t>Rep_08</t>
        </is>
      </c>
      <c r="G5264" t="n">
        <v>2.77</v>
      </c>
      <c r="H5264" t="inlineStr">
        <is>
          <t>Proposal Sent</t>
        </is>
      </c>
      <c r="I5264" t="inlineStr">
        <is>
          <t>Lost</t>
        </is>
      </c>
      <c r="J5264" t="inlineStr">
        <is>
          <t>Price Objection</t>
        </is>
      </c>
      <c r="K5264" t="n">
        <v>370.28</v>
      </c>
      <c r="L5264" t="inlineStr">
        <is>
          <t>2026-06-26 09:29:35.994276</t>
        </is>
      </c>
      <c r="M5264">
        <f>VLOOKUP(H5264,'Stage Order'!$A$2:$B$8,2,FALSE)</f>
        <v/>
      </c>
      <c r="N5264">
        <f>IF(G5264&lt;=1,"1. Under 1 hour",IF(G5264&lt;=24,"2. 1-24 hours",IF(G5264&lt;=72,"3. 1-3 days","4. Over 3 days")))</f>
        <v/>
      </c>
      <c r="O5264">
        <f>TEXT(B5264,"YYYY-MM")</f>
        <v/>
      </c>
    </row>
    <row r="5265">
      <c r="A5265" t="inlineStr">
        <is>
          <t>LD-305263</t>
        </is>
      </c>
      <c r="B5265" t="inlineStr">
        <is>
          <t>2025-07-22 10:59:00</t>
        </is>
      </c>
      <c r="C5265" t="inlineStr">
        <is>
          <t>Organic Search</t>
        </is>
      </c>
      <c r="D5265" t="inlineStr">
        <is>
          <t>K-12 Math</t>
        </is>
      </c>
      <c r="E5265" t="inlineStr">
        <is>
          <t>North Region</t>
        </is>
      </c>
      <c r="F5265" t="inlineStr">
        <is>
          <t>Rep_11</t>
        </is>
      </c>
      <c r="G5265" t="n">
        <v>1.74</v>
      </c>
      <c r="H5265" t="inlineStr">
        <is>
          <t>Closed</t>
        </is>
      </c>
      <c r="I5265" t="inlineStr">
        <is>
          <t>Won</t>
        </is>
      </c>
      <c r="K5265" t="n">
        <v>584.74</v>
      </c>
      <c r="L5265" t="inlineStr">
        <is>
          <t>2025-08-21 20:28:10.582748</t>
        </is>
      </c>
      <c r="M5265">
        <f>VLOOKUP(H5265,'Stage Order'!$A$2:$B$8,2,FALSE)</f>
        <v/>
      </c>
      <c r="N5265">
        <f>IF(G5265&lt;=1,"1. Under 1 hour",IF(G5265&lt;=24,"2. 1-24 hours",IF(G5265&lt;=72,"3. 1-3 days","4. Over 3 days")))</f>
        <v/>
      </c>
      <c r="O5265">
        <f>TEXT(B5265,"YYYY-MM")</f>
        <v/>
      </c>
    </row>
    <row r="5266">
      <c r="A5266" t="inlineStr">
        <is>
          <t>LD-305264</t>
        </is>
      </c>
      <c r="B5266" t="inlineStr">
        <is>
          <t>2026-05-22 07:01:00</t>
        </is>
      </c>
      <c r="C5266" t="inlineStr">
        <is>
          <t>Paid Search</t>
        </is>
      </c>
      <c r="D5266" t="inlineStr">
        <is>
          <t>Competitive Exam Prep</t>
        </is>
      </c>
      <c r="E5266" t="inlineStr">
        <is>
          <t>South Region</t>
        </is>
      </c>
      <c r="F5266" t="inlineStr">
        <is>
          <t>Rep_07</t>
        </is>
      </c>
      <c r="G5266" t="n">
        <v>2.45</v>
      </c>
      <c r="H5266" t="inlineStr">
        <is>
          <t>Proposal Sent</t>
        </is>
      </c>
      <c r="I5266" t="inlineStr">
        <is>
          <t>Lost</t>
        </is>
      </c>
      <c r="J5266" t="inlineStr">
        <is>
          <t>Price Objection</t>
        </is>
      </c>
      <c r="K5266" t="n">
        <v>1034.55</v>
      </c>
      <c r="L5266" t="inlineStr">
        <is>
          <t>2026-07-09 01:11:56.436295</t>
        </is>
      </c>
      <c r="M5266">
        <f>VLOOKUP(H5266,'Stage Order'!$A$2:$B$8,2,FALSE)</f>
        <v/>
      </c>
      <c r="N5266">
        <f>IF(G5266&lt;=1,"1. Under 1 hour",IF(G5266&lt;=24,"2. 1-24 hours",IF(G5266&lt;=72,"3. 1-3 days","4. Over 3 days")))</f>
        <v/>
      </c>
      <c r="O5266">
        <f>TEXT(B5266,"YYYY-MM")</f>
        <v/>
      </c>
    </row>
    <row r="5267">
      <c r="A5267" t="inlineStr">
        <is>
          <t>LD-305265</t>
        </is>
      </c>
      <c r="B5267" t="inlineStr">
        <is>
          <t>2026-02-05 13:27:00</t>
        </is>
      </c>
      <c r="C5267" t="inlineStr">
        <is>
          <t>Organic Search</t>
        </is>
      </c>
      <c r="D5267" t="inlineStr">
        <is>
          <t>K-12 Math</t>
        </is>
      </c>
      <c r="E5267" t="inlineStr">
        <is>
          <t>North Region</t>
        </is>
      </c>
      <c r="F5267" t="inlineStr">
        <is>
          <t>Rep_06</t>
        </is>
      </c>
      <c r="G5267" t="n">
        <v>1.11</v>
      </c>
      <c r="H5267" t="inlineStr">
        <is>
          <t>Lead</t>
        </is>
      </c>
      <c r="I5267" t="inlineStr">
        <is>
          <t>Open</t>
        </is>
      </c>
      <c r="M5267">
        <f>VLOOKUP(H5267,'Stage Order'!$A$2:$B$8,2,FALSE)</f>
        <v/>
      </c>
      <c r="N5267">
        <f>IF(G5267&lt;=1,"1. Under 1 hour",IF(G5267&lt;=24,"2. 1-24 hours",IF(G5267&lt;=72,"3. 1-3 days","4. Over 3 days")))</f>
        <v/>
      </c>
      <c r="O5267">
        <f>TEXT(B5267,"YYYY-MM")</f>
        <v/>
      </c>
    </row>
    <row r="5268">
      <c r="A5268" t="inlineStr">
        <is>
          <t>LD-305266</t>
        </is>
      </c>
      <c r="B5268" t="inlineStr">
        <is>
          <t>2025-07-18 15:11:00</t>
        </is>
      </c>
      <c r="C5268" t="inlineStr">
        <is>
          <t>Referral</t>
        </is>
      </c>
      <c r="D5268" t="inlineStr">
        <is>
          <t>Coding for Kids</t>
        </is>
      </c>
      <c r="E5268" t="inlineStr">
        <is>
          <t>South Region</t>
        </is>
      </c>
      <c r="F5268" t="inlineStr">
        <is>
          <t>Rep_02</t>
        </is>
      </c>
      <c r="G5268" t="n">
        <v>1.67</v>
      </c>
      <c r="H5268" t="inlineStr">
        <is>
          <t>Contacted</t>
        </is>
      </c>
      <c r="I5268" t="inlineStr">
        <is>
          <t>Open</t>
        </is>
      </c>
      <c r="M5268">
        <f>VLOOKUP(H5268,'Stage Order'!$A$2:$B$8,2,FALSE)</f>
        <v/>
      </c>
      <c r="N5268">
        <f>IF(G5268&lt;=1,"1. Under 1 hour",IF(G5268&lt;=24,"2. 1-24 hours",IF(G5268&lt;=72,"3. 1-3 days","4. Over 3 days")))</f>
        <v/>
      </c>
      <c r="O5268">
        <f>TEXT(B5268,"YYYY-MM")</f>
        <v/>
      </c>
    </row>
    <row r="5269">
      <c r="A5269" t="inlineStr">
        <is>
          <t>LD-305267</t>
        </is>
      </c>
      <c r="B5269" t="inlineStr">
        <is>
          <t>2025-11-26 09:25:00</t>
        </is>
      </c>
      <c r="C5269" t="inlineStr">
        <is>
          <t>Organic Search</t>
        </is>
      </c>
      <c r="D5269" t="inlineStr">
        <is>
          <t>K-12 Math</t>
        </is>
      </c>
      <c r="E5269" t="inlineStr">
        <is>
          <t>International</t>
        </is>
      </c>
      <c r="F5269" t="inlineStr">
        <is>
          <t>Rep_05</t>
        </is>
      </c>
      <c r="G5269" t="n">
        <v>1.48</v>
      </c>
      <c r="H5269" t="inlineStr">
        <is>
          <t>Proposal Sent</t>
        </is>
      </c>
      <c r="I5269" t="inlineStr">
        <is>
          <t>Lost</t>
        </is>
      </c>
      <c r="J5269" t="inlineStr">
        <is>
          <t>Price Objection</t>
        </is>
      </c>
      <c r="K5269" t="n">
        <v>587.47</v>
      </c>
      <c r="L5269" t="inlineStr">
        <is>
          <t>2026-01-05 07:20:38.676822</t>
        </is>
      </c>
      <c r="M5269">
        <f>VLOOKUP(H5269,'Stage Order'!$A$2:$B$8,2,FALSE)</f>
        <v/>
      </c>
      <c r="N5269">
        <f>IF(G5269&lt;=1,"1. Under 1 hour",IF(G5269&lt;=24,"2. 1-24 hours",IF(G5269&lt;=72,"3. 1-3 days","4. Over 3 days")))</f>
        <v/>
      </c>
      <c r="O5269">
        <f>TEXT(B5269,"YYYY-MM")</f>
        <v/>
      </c>
    </row>
    <row r="5270">
      <c r="A5270" t="inlineStr">
        <is>
          <t>LD-305268</t>
        </is>
      </c>
      <c r="B5270" t="inlineStr">
        <is>
          <t>2025-04-04 07:00:00</t>
        </is>
      </c>
      <c r="C5270" t="inlineStr">
        <is>
          <t>Paid Search</t>
        </is>
      </c>
      <c r="D5270" t="inlineStr">
        <is>
          <t>Coding for Kids</t>
        </is>
      </c>
      <c r="E5270" t="inlineStr">
        <is>
          <t>South Region</t>
        </is>
      </c>
      <c r="F5270" t="inlineStr">
        <is>
          <t>Rep_07</t>
        </is>
      </c>
      <c r="G5270" t="n">
        <v>0.96</v>
      </c>
      <c r="H5270" t="inlineStr">
        <is>
          <t>Proposal Sent</t>
        </is>
      </c>
      <c r="I5270" t="inlineStr">
        <is>
          <t>Lost</t>
        </is>
      </c>
      <c r="J5270" t="inlineStr">
        <is>
          <t>Bad Timing</t>
        </is>
      </c>
      <c r="K5270" t="n">
        <v>623.3200000000001</v>
      </c>
      <c r="L5270" t="inlineStr">
        <is>
          <t>2025-05-09 21:56:23.366404</t>
        </is>
      </c>
      <c r="M5270">
        <f>VLOOKUP(H5270,'Stage Order'!$A$2:$B$8,2,FALSE)</f>
        <v/>
      </c>
      <c r="N5270">
        <f>IF(G5270&lt;=1,"1. Under 1 hour",IF(G5270&lt;=24,"2. 1-24 hours",IF(G5270&lt;=72,"3. 1-3 days","4. Over 3 days")))</f>
        <v/>
      </c>
      <c r="O5270">
        <f>TEXT(B5270,"YYYY-MM")</f>
        <v/>
      </c>
    </row>
    <row r="5271">
      <c r="A5271" t="inlineStr">
        <is>
          <t>LD-305269</t>
        </is>
      </c>
      <c r="B5271" t="inlineStr">
        <is>
          <t>2025-08-08 16:24:00</t>
        </is>
      </c>
      <c r="C5271" t="inlineStr">
        <is>
          <t>Organic Search</t>
        </is>
      </c>
      <c r="D5271" t="inlineStr">
        <is>
          <t>Study Abroad Prep</t>
        </is>
      </c>
      <c r="E5271" t="inlineStr">
        <is>
          <t>International</t>
        </is>
      </c>
      <c r="F5271" t="inlineStr">
        <is>
          <t>Rep_15</t>
        </is>
      </c>
      <c r="G5271" t="n">
        <v>3.68</v>
      </c>
      <c r="H5271" t="inlineStr">
        <is>
          <t>Proposal Sent</t>
        </is>
      </c>
      <c r="I5271" t="inlineStr">
        <is>
          <t>Lost</t>
        </is>
      </c>
      <c r="J5271" t="inlineStr">
        <is>
          <t>Budget Not Approved</t>
        </is>
      </c>
      <c r="K5271" t="n">
        <v>1255.5</v>
      </c>
      <c r="L5271" t="inlineStr">
        <is>
          <t>2025-09-11 01:41:09.749755</t>
        </is>
      </c>
      <c r="M5271">
        <f>VLOOKUP(H5271,'Stage Order'!$A$2:$B$8,2,FALSE)</f>
        <v/>
      </c>
      <c r="N5271">
        <f>IF(G5271&lt;=1,"1. Under 1 hour",IF(G5271&lt;=24,"2. 1-24 hours",IF(G5271&lt;=72,"3. 1-3 days","4. Over 3 days")))</f>
        <v/>
      </c>
      <c r="O5271">
        <f>TEXT(B5271,"YYYY-MM")</f>
        <v/>
      </c>
    </row>
    <row r="5272">
      <c r="A5272" t="inlineStr">
        <is>
          <t>LD-305270</t>
        </is>
      </c>
      <c r="B5272" t="inlineStr">
        <is>
          <t>2026-03-13 08:53:00</t>
        </is>
      </c>
      <c r="C5272" t="inlineStr">
        <is>
          <t>Organic Search</t>
        </is>
      </c>
      <c r="D5272" t="inlineStr">
        <is>
          <t>K-12 Math</t>
        </is>
      </c>
      <c r="E5272" t="inlineStr">
        <is>
          <t>South Region</t>
        </is>
      </c>
      <c r="F5272" t="inlineStr">
        <is>
          <t>Rep_12</t>
        </is>
      </c>
      <c r="G5272" t="n">
        <v>2.4</v>
      </c>
      <c r="H5272" t="inlineStr">
        <is>
          <t>Proposal Sent</t>
        </is>
      </c>
      <c r="I5272" t="inlineStr">
        <is>
          <t>Lost</t>
        </is>
      </c>
      <c r="J5272" t="inlineStr">
        <is>
          <t>Budget Not Approved</t>
        </is>
      </c>
      <c r="K5272" t="n">
        <v>495.68</v>
      </c>
      <c r="L5272" t="inlineStr">
        <is>
          <t>2026-04-20 04:45:56.549413</t>
        </is>
      </c>
      <c r="M5272">
        <f>VLOOKUP(H5272,'Stage Order'!$A$2:$B$8,2,FALSE)</f>
        <v/>
      </c>
      <c r="N5272">
        <f>IF(G5272&lt;=1,"1. Under 1 hour",IF(G5272&lt;=24,"2. 1-24 hours",IF(G5272&lt;=72,"3. 1-3 days","4. Over 3 days")))</f>
        <v/>
      </c>
      <c r="O5272">
        <f>TEXT(B5272,"YYYY-MM")</f>
        <v/>
      </c>
    </row>
    <row r="5273">
      <c r="A5273" t="inlineStr">
        <is>
          <t>LD-305271</t>
        </is>
      </c>
      <c r="B5273" t="inlineStr">
        <is>
          <t>2025-05-28 16:23:00</t>
        </is>
      </c>
      <c r="C5273" t="inlineStr">
        <is>
          <t>Social Media</t>
        </is>
      </c>
      <c r="D5273" t="inlineStr">
        <is>
          <t>K-12 Math</t>
        </is>
      </c>
      <c r="E5273" t="inlineStr">
        <is>
          <t>North Region</t>
        </is>
      </c>
      <c r="F5273" t="inlineStr">
        <is>
          <t>Rep_06</t>
        </is>
      </c>
      <c r="G5273" t="n">
        <v>5.68</v>
      </c>
      <c r="H5273" t="inlineStr">
        <is>
          <t>Lead</t>
        </is>
      </c>
      <c r="I5273" t="inlineStr">
        <is>
          <t>Open</t>
        </is>
      </c>
      <c r="M5273">
        <f>VLOOKUP(H5273,'Stage Order'!$A$2:$B$8,2,FALSE)</f>
        <v/>
      </c>
      <c r="N5273">
        <f>IF(G5273&lt;=1,"1. Under 1 hour",IF(G5273&lt;=24,"2. 1-24 hours",IF(G5273&lt;=72,"3. 1-3 days","4. Over 3 days")))</f>
        <v/>
      </c>
      <c r="O5273">
        <f>TEXT(B5273,"YYYY-MM")</f>
        <v/>
      </c>
    </row>
    <row r="5274">
      <c r="A5274" t="inlineStr">
        <is>
          <t>LD-305272</t>
        </is>
      </c>
      <c r="B5274" t="inlineStr">
        <is>
          <t>2025-08-12 09:29:00</t>
        </is>
      </c>
      <c r="C5274" t="inlineStr">
        <is>
          <t>Social Media</t>
        </is>
      </c>
      <c r="D5274" t="inlineStr">
        <is>
          <t>Coding for Kids</t>
        </is>
      </c>
      <c r="E5274" t="inlineStr">
        <is>
          <t>West Region</t>
        </is>
      </c>
      <c r="F5274" t="inlineStr">
        <is>
          <t>Rep_08</t>
        </is>
      </c>
      <c r="G5274" t="n">
        <v>1.55</v>
      </c>
      <c r="H5274" t="inlineStr">
        <is>
          <t>Contacted</t>
        </is>
      </c>
      <c r="I5274" t="inlineStr">
        <is>
          <t>Open</t>
        </is>
      </c>
      <c r="M5274">
        <f>VLOOKUP(H5274,'Stage Order'!$A$2:$B$8,2,FALSE)</f>
        <v/>
      </c>
      <c r="N5274">
        <f>IF(G5274&lt;=1,"1. Under 1 hour",IF(G5274&lt;=24,"2. 1-24 hours",IF(G5274&lt;=72,"3. 1-3 days","4. Over 3 days")))</f>
        <v/>
      </c>
      <c r="O5274">
        <f>TEXT(B5274,"YYYY-MM")</f>
        <v/>
      </c>
    </row>
    <row r="5275">
      <c r="A5275" t="inlineStr">
        <is>
          <t>LD-305273</t>
        </is>
      </c>
      <c r="B5275" t="inlineStr">
        <is>
          <t>2025-06-03 07:42:00</t>
        </is>
      </c>
      <c r="C5275" t="inlineStr">
        <is>
          <t>Paid Search</t>
        </is>
      </c>
      <c r="D5275" t="inlineStr">
        <is>
          <t>Coding for Kids</t>
        </is>
      </c>
      <c r="E5275" t="inlineStr">
        <is>
          <t>North Region</t>
        </is>
      </c>
      <c r="F5275" t="inlineStr">
        <is>
          <t>Rep_06</t>
        </is>
      </c>
      <c r="G5275" t="n">
        <v>2.28</v>
      </c>
      <c r="H5275" t="inlineStr">
        <is>
          <t>Contacted</t>
        </is>
      </c>
      <c r="I5275" t="inlineStr">
        <is>
          <t>Open</t>
        </is>
      </c>
      <c r="M5275">
        <f>VLOOKUP(H5275,'Stage Order'!$A$2:$B$8,2,FALSE)</f>
        <v/>
      </c>
      <c r="N5275">
        <f>IF(G5275&lt;=1,"1. Under 1 hour",IF(G5275&lt;=24,"2. 1-24 hours",IF(G5275&lt;=72,"3. 1-3 days","4. Over 3 days")))</f>
        <v/>
      </c>
      <c r="O5275">
        <f>TEXT(B5275,"YYYY-MM")</f>
        <v/>
      </c>
    </row>
    <row r="5276">
      <c r="A5276" t="inlineStr">
        <is>
          <t>LD-305274</t>
        </is>
      </c>
      <c r="B5276" t="inlineStr">
        <is>
          <t>2025-09-14 13:51:00</t>
        </is>
      </c>
      <c r="C5276" t="inlineStr">
        <is>
          <t>Organic Search</t>
        </is>
      </c>
      <c r="D5276" t="inlineStr">
        <is>
          <t>K-12 Math</t>
        </is>
      </c>
      <c r="E5276" t="inlineStr">
        <is>
          <t>West Region</t>
        </is>
      </c>
      <c r="F5276" t="inlineStr">
        <is>
          <t>Rep_08</t>
        </is>
      </c>
      <c r="G5276" t="n">
        <v>6.29</v>
      </c>
      <c r="H5276" t="inlineStr">
        <is>
          <t>Negotiation</t>
        </is>
      </c>
      <c r="I5276" t="inlineStr">
        <is>
          <t>Lost</t>
        </is>
      </c>
      <c r="J5276" t="inlineStr">
        <is>
          <t>Budget Not Approved</t>
        </is>
      </c>
      <c r="K5276" t="n">
        <v>524.49</v>
      </c>
      <c r="L5276" t="inlineStr">
        <is>
          <t>2025-11-04 15:14:52.639109</t>
        </is>
      </c>
      <c r="M5276">
        <f>VLOOKUP(H5276,'Stage Order'!$A$2:$B$8,2,FALSE)</f>
        <v/>
      </c>
      <c r="N5276">
        <f>IF(G5276&lt;=1,"1. Under 1 hour",IF(G5276&lt;=24,"2. 1-24 hours",IF(G5276&lt;=72,"3. 1-3 days","4. Over 3 days")))</f>
        <v/>
      </c>
      <c r="O5276">
        <f>TEXT(B5276,"YYYY-MM")</f>
        <v/>
      </c>
    </row>
    <row r="5277">
      <c r="A5277" t="inlineStr">
        <is>
          <t>LD-305275</t>
        </is>
      </c>
      <c r="B5277" t="inlineStr">
        <is>
          <t>2025-02-05 09:36:00</t>
        </is>
      </c>
      <c r="C5277" t="inlineStr">
        <is>
          <t>Webinar</t>
        </is>
      </c>
      <c r="D5277" t="inlineStr">
        <is>
          <t>K-12 Math</t>
        </is>
      </c>
      <c r="E5277" t="inlineStr">
        <is>
          <t>South Region</t>
        </is>
      </c>
      <c r="F5277" t="inlineStr">
        <is>
          <t>Rep_07</t>
        </is>
      </c>
      <c r="G5277" t="n">
        <v>2.43</v>
      </c>
      <c r="H5277" t="inlineStr">
        <is>
          <t>Negotiation</t>
        </is>
      </c>
      <c r="I5277" t="inlineStr">
        <is>
          <t>Lost</t>
        </is>
      </c>
      <c r="J5277" t="inlineStr">
        <is>
          <t>Went With Competitor</t>
        </is>
      </c>
      <c r="K5277" t="n">
        <v>468.86</v>
      </c>
      <c r="L5277" t="inlineStr">
        <is>
          <t>2025-03-26 20:28:12.969549</t>
        </is>
      </c>
      <c r="M5277">
        <f>VLOOKUP(H5277,'Stage Order'!$A$2:$B$8,2,FALSE)</f>
        <v/>
      </c>
      <c r="N5277">
        <f>IF(G5277&lt;=1,"1. Under 1 hour",IF(G5277&lt;=24,"2. 1-24 hours",IF(G5277&lt;=72,"3. 1-3 days","4. Over 3 days")))</f>
        <v/>
      </c>
      <c r="O5277">
        <f>TEXT(B5277,"YYYY-MM")</f>
        <v/>
      </c>
    </row>
    <row r="5278">
      <c r="A5278" t="inlineStr">
        <is>
          <t>LD-305276</t>
        </is>
      </c>
      <c r="B5278" t="inlineStr">
        <is>
          <t>2026-02-10 17:24:00</t>
        </is>
      </c>
      <c r="C5278" t="inlineStr">
        <is>
          <t>Webinar</t>
        </is>
      </c>
      <c r="D5278" t="inlineStr">
        <is>
          <t>Coding for Kids</t>
        </is>
      </c>
      <c r="E5278" t="inlineStr">
        <is>
          <t>South Region</t>
        </is>
      </c>
      <c r="F5278" t="inlineStr">
        <is>
          <t>Rep_12</t>
        </is>
      </c>
      <c r="G5278" t="n">
        <v>3.69</v>
      </c>
      <c r="H5278" t="inlineStr">
        <is>
          <t>Contacted</t>
        </is>
      </c>
      <c r="I5278" t="inlineStr">
        <is>
          <t>Open</t>
        </is>
      </c>
      <c r="M5278">
        <f>VLOOKUP(H5278,'Stage Order'!$A$2:$B$8,2,FALSE)</f>
        <v/>
      </c>
      <c r="N5278">
        <f>IF(G5278&lt;=1,"1. Under 1 hour",IF(G5278&lt;=24,"2. 1-24 hours",IF(G5278&lt;=72,"3. 1-3 days","4. Over 3 days")))</f>
        <v/>
      </c>
      <c r="O5278">
        <f>TEXT(B5278,"YYYY-MM")</f>
        <v/>
      </c>
    </row>
    <row r="5279">
      <c r="A5279" t="inlineStr">
        <is>
          <t>LD-305277</t>
        </is>
      </c>
      <c r="B5279" t="inlineStr">
        <is>
          <t>2026-01-28 19:23:00</t>
        </is>
      </c>
      <c r="C5279" t="inlineStr">
        <is>
          <t>Referral</t>
        </is>
      </c>
      <c r="D5279" t="inlineStr">
        <is>
          <t>Competitive Exam Prep</t>
        </is>
      </c>
      <c r="E5279" t="inlineStr">
        <is>
          <t>South Region</t>
        </is>
      </c>
      <c r="F5279" t="inlineStr">
        <is>
          <t>Rep_07</t>
        </is>
      </c>
      <c r="G5279" t="n">
        <v>1.86</v>
      </c>
      <c r="H5279" t="inlineStr">
        <is>
          <t>Closed</t>
        </is>
      </c>
      <c r="I5279" t="inlineStr">
        <is>
          <t>Won</t>
        </is>
      </c>
      <c r="K5279" t="n">
        <v>1123.27</v>
      </c>
      <c r="L5279" t="inlineStr">
        <is>
          <t>2026-03-14 07:01:30.502255</t>
        </is>
      </c>
      <c r="M5279">
        <f>VLOOKUP(H5279,'Stage Order'!$A$2:$B$8,2,FALSE)</f>
        <v/>
      </c>
      <c r="N5279">
        <f>IF(G5279&lt;=1,"1. Under 1 hour",IF(G5279&lt;=24,"2. 1-24 hours",IF(G5279&lt;=72,"3. 1-3 days","4. Over 3 days")))</f>
        <v/>
      </c>
      <c r="O5279">
        <f>TEXT(B5279,"YYYY-MM")</f>
        <v/>
      </c>
    </row>
    <row r="5280">
      <c r="A5280" t="inlineStr">
        <is>
          <t>LD-305278</t>
        </is>
      </c>
      <c r="B5280" t="inlineStr">
        <is>
          <t>2025-12-01 07:49:00</t>
        </is>
      </c>
      <c r="C5280" t="inlineStr">
        <is>
          <t>Organic Search</t>
        </is>
      </c>
      <c r="D5280" t="inlineStr">
        <is>
          <t>Competitive Exam Prep</t>
        </is>
      </c>
      <c r="E5280" t="inlineStr">
        <is>
          <t>South Region</t>
        </is>
      </c>
      <c r="F5280" t="inlineStr">
        <is>
          <t>Rep_07</t>
        </is>
      </c>
      <c r="G5280" t="n">
        <v>1.04</v>
      </c>
      <c r="H5280" t="inlineStr">
        <is>
          <t>Closed</t>
        </is>
      </c>
      <c r="I5280" t="inlineStr">
        <is>
          <t>Won</t>
        </is>
      </c>
      <c r="K5280" t="n">
        <v>1168.92</v>
      </c>
      <c r="L5280" t="inlineStr">
        <is>
          <t>2026-01-13 21:06:44.859620</t>
        </is>
      </c>
      <c r="M5280">
        <f>VLOOKUP(H5280,'Stage Order'!$A$2:$B$8,2,FALSE)</f>
        <v/>
      </c>
      <c r="N5280">
        <f>IF(G5280&lt;=1,"1. Under 1 hour",IF(G5280&lt;=24,"2. 1-24 hours",IF(G5280&lt;=72,"3. 1-3 days","4. Over 3 days")))</f>
        <v/>
      </c>
      <c r="O5280">
        <f>TEXT(B5280,"YYYY-MM")</f>
        <v/>
      </c>
    </row>
    <row r="5281">
      <c r="A5281" t="inlineStr">
        <is>
          <t>LD-305279</t>
        </is>
      </c>
      <c r="B5281" t="inlineStr">
        <is>
          <t>2026-03-20 11:15:00</t>
        </is>
      </c>
      <c r="C5281" t="inlineStr">
        <is>
          <t>Social Media</t>
        </is>
      </c>
      <c r="D5281" t="inlineStr">
        <is>
          <t>Language Learning</t>
        </is>
      </c>
      <c r="E5281" t="inlineStr">
        <is>
          <t>South Region</t>
        </is>
      </c>
      <c r="F5281" t="inlineStr">
        <is>
          <t>Rep_12</t>
        </is>
      </c>
      <c r="G5281" t="n">
        <v>7.04</v>
      </c>
      <c r="H5281" t="inlineStr">
        <is>
          <t>Proposal Sent</t>
        </is>
      </c>
      <c r="I5281" t="inlineStr">
        <is>
          <t>Lost</t>
        </is>
      </c>
      <c r="J5281" t="inlineStr">
        <is>
          <t>No Response / Ghosted</t>
        </is>
      </c>
      <c r="K5281" t="n">
        <v>371.48</v>
      </c>
      <c r="L5281" t="inlineStr">
        <is>
          <t>2026-04-18 21:08:08.107574</t>
        </is>
      </c>
      <c r="M5281">
        <f>VLOOKUP(H5281,'Stage Order'!$A$2:$B$8,2,FALSE)</f>
        <v/>
      </c>
      <c r="N5281">
        <f>IF(G5281&lt;=1,"1. Under 1 hour",IF(G5281&lt;=24,"2. 1-24 hours",IF(G5281&lt;=72,"3. 1-3 days","4. Over 3 days")))</f>
        <v/>
      </c>
      <c r="O5281">
        <f>TEXT(B5281,"YYYY-MM")</f>
        <v/>
      </c>
    </row>
    <row r="5282">
      <c r="A5282" t="inlineStr">
        <is>
          <t>LD-305280</t>
        </is>
      </c>
      <c r="B5282" t="inlineStr">
        <is>
          <t>2026-01-01 16:12:00</t>
        </is>
      </c>
      <c r="C5282" t="inlineStr">
        <is>
          <t>Referral</t>
        </is>
      </c>
      <c r="D5282" t="inlineStr">
        <is>
          <t>K-12 Math</t>
        </is>
      </c>
      <c r="E5282" t="inlineStr">
        <is>
          <t>South Region</t>
        </is>
      </c>
      <c r="F5282" t="inlineStr">
        <is>
          <t>Rep_12</t>
        </is>
      </c>
      <c r="G5282" t="n">
        <v>10.86</v>
      </c>
      <c r="H5282" t="inlineStr">
        <is>
          <t>Closed</t>
        </is>
      </c>
      <c r="I5282" t="inlineStr">
        <is>
          <t>Won</t>
        </is>
      </c>
      <c r="K5282" t="n">
        <v>444.56</v>
      </c>
      <c r="L5282" t="inlineStr">
        <is>
          <t>2026-02-08 00:31:10.678293</t>
        </is>
      </c>
      <c r="M5282">
        <f>VLOOKUP(H5282,'Stage Order'!$A$2:$B$8,2,FALSE)</f>
        <v/>
      </c>
      <c r="N5282">
        <f>IF(G5282&lt;=1,"1. Under 1 hour",IF(G5282&lt;=24,"2. 1-24 hours",IF(G5282&lt;=72,"3. 1-3 days","4. Over 3 days")))</f>
        <v/>
      </c>
      <c r="O5282">
        <f>TEXT(B5282,"YYYY-MM")</f>
        <v/>
      </c>
    </row>
    <row r="5283">
      <c r="A5283" t="inlineStr">
        <is>
          <t>LD-305281</t>
        </is>
      </c>
      <c r="B5283" t="inlineStr">
        <is>
          <t>2025-06-13 16:24:00</t>
        </is>
      </c>
      <c r="C5283" t="inlineStr">
        <is>
          <t>Referral</t>
        </is>
      </c>
      <c r="D5283" t="inlineStr">
        <is>
          <t>Coding for Kids</t>
        </is>
      </c>
      <c r="E5283" t="inlineStr">
        <is>
          <t>South Region</t>
        </is>
      </c>
      <c r="F5283" t="inlineStr">
        <is>
          <t>Rep_02</t>
        </is>
      </c>
      <c r="G5283" t="n">
        <v>1.13</v>
      </c>
      <c r="H5283" t="inlineStr">
        <is>
          <t>Closed</t>
        </is>
      </c>
      <c r="I5283" t="inlineStr">
        <is>
          <t>Won</t>
        </is>
      </c>
      <c r="K5283" t="n">
        <v>644.53</v>
      </c>
      <c r="L5283" t="inlineStr">
        <is>
          <t>2025-07-12 00:20:42.082054</t>
        </is>
      </c>
      <c r="M5283">
        <f>VLOOKUP(H5283,'Stage Order'!$A$2:$B$8,2,FALSE)</f>
        <v/>
      </c>
      <c r="N5283">
        <f>IF(G5283&lt;=1,"1. Under 1 hour",IF(G5283&lt;=24,"2. 1-24 hours",IF(G5283&lt;=72,"3. 1-3 days","4. Over 3 days")))</f>
        <v/>
      </c>
      <c r="O5283">
        <f>TEXT(B5283,"YYYY-MM")</f>
        <v/>
      </c>
    </row>
    <row r="5284">
      <c r="A5284" t="inlineStr">
        <is>
          <t>LD-305282</t>
        </is>
      </c>
      <c r="B5284" t="inlineStr">
        <is>
          <t>2026-05-01 14:49:00</t>
        </is>
      </c>
      <c r="C5284" t="inlineStr">
        <is>
          <t>Organic Search</t>
        </is>
      </c>
      <c r="D5284" t="inlineStr">
        <is>
          <t>Coding for Kids</t>
        </is>
      </c>
      <c r="E5284" t="inlineStr">
        <is>
          <t>West Region</t>
        </is>
      </c>
      <c r="F5284" t="inlineStr">
        <is>
          <t>Rep_13</t>
        </is>
      </c>
      <c r="G5284" t="n">
        <v>1.42</v>
      </c>
      <c r="H5284" t="inlineStr">
        <is>
          <t>Proposal Sent</t>
        </is>
      </c>
      <c r="I5284" t="inlineStr">
        <is>
          <t>Lost</t>
        </is>
      </c>
      <c r="J5284" t="inlineStr">
        <is>
          <t>Bad Timing</t>
        </is>
      </c>
      <c r="K5284" t="n">
        <v>557.23</v>
      </c>
      <c r="L5284" t="inlineStr">
        <is>
          <t>2026-06-22 17:20:17.582955</t>
        </is>
      </c>
      <c r="M5284">
        <f>VLOOKUP(H5284,'Stage Order'!$A$2:$B$8,2,FALSE)</f>
        <v/>
      </c>
      <c r="N5284">
        <f>IF(G5284&lt;=1,"1. Under 1 hour",IF(G5284&lt;=24,"2. 1-24 hours",IF(G5284&lt;=72,"3. 1-3 days","4. Over 3 days")))</f>
        <v/>
      </c>
      <c r="O5284">
        <f>TEXT(B5284,"YYYY-MM")</f>
        <v/>
      </c>
    </row>
    <row r="5285">
      <c r="A5285" t="inlineStr">
        <is>
          <t>LD-305283</t>
        </is>
      </c>
      <c r="B5285" t="inlineStr">
        <is>
          <t>2025-11-28 12:58:00</t>
        </is>
      </c>
      <c r="C5285" t="inlineStr">
        <is>
          <t>Webinar</t>
        </is>
      </c>
      <c r="D5285" t="inlineStr">
        <is>
          <t>K-12 Math</t>
        </is>
      </c>
      <c r="E5285" t="inlineStr">
        <is>
          <t>North Region</t>
        </is>
      </c>
      <c r="F5285" t="inlineStr">
        <is>
          <t>Rep_01</t>
        </is>
      </c>
      <c r="G5285" t="n">
        <v>1.57</v>
      </c>
      <c r="H5285" t="inlineStr">
        <is>
          <t>Negotiation</t>
        </is>
      </c>
      <c r="I5285" t="inlineStr">
        <is>
          <t>Lost</t>
        </is>
      </c>
      <c r="J5285" t="inlineStr">
        <is>
          <t>No Response / Ghosted</t>
        </is>
      </c>
      <c r="K5285" t="n">
        <v>466.43</v>
      </c>
      <c r="L5285" t="inlineStr">
        <is>
          <t>2026-01-09 00:48:54.381518</t>
        </is>
      </c>
      <c r="M5285">
        <f>VLOOKUP(H5285,'Stage Order'!$A$2:$B$8,2,FALSE)</f>
        <v/>
      </c>
      <c r="N5285">
        <f>IF(G5285&lt;=1,"1. Under 1 hour",IF(G5285&lt;=24,"2. 1-24 hours",IF(G5285&lt;=72,"3. 1-3 days","4. Over 3 days")))</f>
        <v/>
      </c>
      <c r="O5285">
        <f>TEXT(B5285,"YYYY-MM")</f>
        <v/>
      </c>
    </row>
    <row r="5286">
      <c r="A5286" t="inlineStr">
        <is>
          <t>LD-305284</t>
        </is>
      </c>
      <c r="B5286" t="inlineStr">
        <is>
          <t>2025-08-07 07:30:00</t>
        </is>
      </c>
      <c r="C5286" t="inlineStr">
        <is>
          <t>Cold Outreach</t>
        </is>
      </c>
      <c r="D5286" t="inlineStr">
        <is>
          <t>Language Learning</t>
        </is>
      </c>
      <c r="E5286" t="inlineStr">
        <is>
          <t>South Region</t>
        </is>
      </c>
      <c r="F5286" t="inlineStr">
        <is>
          <t>Rep_12</t>
        </is>
      </c>
      <c r="G5286" t="n">
        <v>2.09</v>
      </c>
      <c r="H5286" t="inlineStr">
        <is>
          <t>Lead</t>
        </is>
      </c>
      <c r="I5286" t="inlineStr">
        <is>
          <t>Open</t>
        </is>
      </c>
      <c r="M5286">
        <f>VLOOKUP(H5286,'Stage Order'!$A$2:$B$8,2,FALSE)</f>
        <v/>
      </c>
      <c r="N5286">
        <f>IF(G5286&lt;=1,"1. Under 1 hour",IF(G5286&lt;=24,"2. 1-24 hours",IF(G5286&lt;=72,"3. 1-3 days","4. Over 3 days")))</f>
        <v/>
      </c>
      <c r="O5286">
        <f>TEXT(B5286,"YYYY-MM")</f>
        <v/>
      </c>
    </row>
    <row r="5287">
      <c r="A5287" t="inlineStr">
        <is>
          <t>LD-305285</t>
        </is>
      </c>
      <c r="B5287" t="inlineStr">
        <is>
          <t>2025-08-31 18:15:00</t>
        </is>
      </c>
      <c r="C5287" t="inlineStr">
        <is>
          <t>Social Media</t>
        </is>
      </c>
      <c r="D5287" t="inlineStr">
        <is>
          <t>K-12 Math</t>
        </is>
      </c>
      <c r="E5287" t="inlineStr">
        <is>
          <t>South Region</t>
        </is>
      </c>
      <c r="F5287" t="inlineStr">
        <is>
          <t>Rep_07</t>
        </is>
      </c>
      <c r="G5287" t="n">
        <v>1.96</v>
      </c>
      <c r="H5287" t="inlineStr">
        <is>
          <t>Contacted</t>
        </is>
      </c>
      <c r="I5287" t="inlineStr">
        <is>
          <t>Open</t>
        </is>
      </c>
      <c r="M5287">
        <f>VLOOKUP(H5287,'Stage Order'!$A$2:$B$8,2,FALSE)</f>
        <v/>
      </c>
      <c r="N5287">
        <f>IF(G5287&lt;=1,"1. Under 1 hour",IF(G5287&lt;=24,"2. 1-24 hours",IF(G5287&lt;=72,"3. 1-3 days","4. Over 3 days")))</f>
        <v/>
      </c>
      <c r="O5287">
        <f>TEXT(B5287,"YYYY-MM")</f>
        <v/>
      </c>
    </row>
    <row r="5288">
      <c r="A5288" t="inlineStr">
        <is>
          <t>LD-305286</t>
        </is>
      </c>
      <c r="B5288" t="inlineStr">
        <is>
          <t>2026-01-09 11:06:00</t>
        </is>
      </c>
      <c r="C5288" t="inlineStr">
        <is>
          <t>Referral</t>
        </is>
      </c>
      <c r="D5288" t="inlineStr">
        <is>
          <t>Competitive Exam Prep</t>
        </is>
      </c>
      <c r="E5288" t="inlineStr">
        <is>
          <t>West Region</t>
        </is>
      </c>
      <c r="F5288" t="inlineStr">
        <is>
          <t>Rep_13</t>
        </is>
      </c>
      <c r="G5288" t="n">
        <v>10.18</v>
      </c>
      <c r="H5288" t="inlineStr">
        <is>
          <t>Negotiation</t>
        </is>
      </c>
      <c r="I5288" t="inlineStr">
        <is>
          <t>Lost</t>
        </is>
      </c>
      <c r="J5288" t="inlineStr">
        <is>
          <t>Bad Timing</t>
        </is>
      </c>
      <c r="K5288" t="n">
        <v>1035.09</v>
      </c>
      <c r="L5288" t="inlineStr">
        <is>
          <t>2026-02-24 21:13:29.307191</t>
        </is>
      </c>
      <c r="M5288">
        <f>VLOOKUP(H5288,'Stage Order'!$A$2:$B$8,2,FALSE)</f>
        <v/>
      </c>
      <c r="N5288">
        <f>IF(G5288&lt;=1,"1. Under 1 hour",IF(G5288&lt;=24,"2. 1-24 hours",IF(G5288&lt;=72,"3. 1-3 days","4. Over 3 days")))</f>
        <v/>
      </c>
      <c r="O5288">
        <f>TEXT(B5288,"YYYY-MM")</f>
        <v/>
      </c>
    </row>
    <row r="5289">
      <c r="A5289" t="inlineStr">
        <is>
          <t>LD-305287</t>
        </is>
      </c>
      <c r="B5289" t="inlineStr">
        <is>
          <t>2026-02-26 15:25:00</t>
        </is>
      </c>
      <c r="C5289" t="inlineStr">
        <is>
          <t>Webinar</t>
        </is>
      </c>
      <c r="D5289" t="inlineStr">
        <is>
          <t>Study Abroad Prep</t>
        </is>
      </c>
      <c r="E5289" t="inlineStr">
        <is>
          <t>South Region</t>
        </is>
      </c>
      <c r="F5289" t="inlineStr">
        <is>
          <t>Rep_07</t>
        </is>
      </c>
      <c r="G5289" t="n">
        <v>4.41</v>
      </c>
      <c r="H5289" t="inlineStr">
        <is>
          <t>Contacted</t>
        </is>
      </c>
      <c r="I5289" t="inlineStr">
        <is>
          <t>Open</t>
        </is>
      </c>
      <c r="M5289">
        <f>VLOOKUP(H5289,'Stage Order'!$A$2:$B$8,2,FALSE)</f>
        <v/>
      </c>
      <c r="N5289">
        <f>IF(G5289&lt;=1,"1. Under 1 hour",IF(G5289&lt;=24,"2. 1-24 hours",IF(G5289&lt;=72,"3. 1-3 days","4. Over 3 days")))</f>
        <v/>
      </c>
      <c r="O5289">
        <f>TEXT(B5289,"YYYY-MM")</f>
        <v/>
      </c>
    </row>
    <row r="5290">
      <c r="A5290" t="inlineStr">
        <is>
          <t>LD-305288</t>
        </is>
      </c>
      <c r="B5290" t="inlineStr">
        <is>
          <t>2025-10-12 12:31:00</t>
        </is>
      </c>
      <c r="C5290" t="inlineStr">
        <is>
          <t>Organic Search</t>
        </is>
      </c>
      <c r="D5290" t="inlineStr">
        <is>
          <t>Study Abroad Prep</t>
        </is>
      </c>
      <c r="E5290" t="inlineStr">
        <is>
          <t>South Region</t>
        </is>
      </c>
      <c r="F5290" t="inlineStr">
        <is>
          <t>Rep_12</t>
        </is>
      </c>
      <c r="G5290" t="n">
        <v>4.08</v>
      </c>
      <c r="H5290" t="inlineStr">
        <is>
          <t>Proposal Sent</t>
        </is>
      </c>
      <c r="I5290" t="inlineStr">
        <is>
          <t>Lost</t>
        </is>
      </c>
      <c r="J5290" t="inlineStr">
        <is>
          <t>Went With Competitor</t>
        </is>
      </c>
      <c r="K5290" t="n">
        <v>1229.86</v>
      </c>
      <c r="L5290" t="inlineStr">
        <is>
          <t>2025-11-03 20:01:37.284613</t>
        </is>
      </c>
      <c r="M5290">
        <f>VLOOKUP(H5290,'Stage Order'!$A$2:$B$8,2,FALSE)</f>
        <v/>
      </c>
      <c r="N5290">
        <f>IF(G5290&lt;=1,"1. Under 1 hour",IF(G5290&lt;=24,"2. 1-24 hours",IF(G5290&lt;=72,"3. 1-3 days","4. Over 3 days")))</f>
        <v/>
      </c>
      <c r="O5290">
        <f>TEXT(B5290,"YYYY-MM")</f>
        <v/>
      </c>
    </row>
    <row r="5291">
      <c r="A5291" t="inlineStr">
        <is>
          <t>LD-305289</t>
        </is>
      </c>
      <c r="B5291" t="inlineStr">
        <is>
          <t>2025-07-11 08:30:00</t>
        </is>
      </c>
      <c r="C5291" t="inlineStr">
        <is>
          <t>Organic Search</t>
        </is>
      </c>
      <c r="D5291" t="inlineStr">
        <is>
          <t>K-12 Math</t>
        </is>
      </c>
      <c r="E5291" t="inlineStr">
        <is>
          <t>East Region</t>
        </is>
      </c>
      <c r="F5291" t="inlineStr">
        <is>
          <t>Rep_09</t>
        </is>
      </c>
      <c r="G5291" t="n">
        <v>2.6</v>
      </c>
      <c r="H5291" t="inlineStr">
        <is>
          <t>Lead</t>
        </is>
      </c>
      <c r="I5291" t="inlineStr">
        <is>
          <t>Open</t>
        </is>
      </c>
      <c r="M5291">
        <f>VLOOKUP(H5291,'Stage Order'!$A$2:$B$8,2,FALSE)</f>
        <v/>
      </c>
      <c r="N5291">
        <f>IF(G5291&lt;=1,"1. Under 1 hour",IF(G5291&lt;=24,"2. 1-24 hours",IF(G5291&lt;=72,"3. 1-3 days","4. Over 3 days")))</f>
        <v/>
      </c>
      <c r="O5291">
        <f>TEXT(B5291,"YYYY-MM")</f>
        <v/>
      </c>
    </row>
    <row r="5292">
      <c r="A5292" t="inlineStr">
        <is>
          <t>LD-305290</t>
        </is>
      </c>
      <c r="B5292" t="inlineStr">
        <is>
          <t>2026-01-09 08:39:00</t>
        </is>
      </c>
      <c r="C5292" t="inlineStr">
        <is>
          <t>Paid Search</t>
        </is>
      </c>
      <c r="D5292" t="inlineStr">
        <is>
          <t>Coding for Kids</t>
        </is>
      </c>
      <c r="E5292" t="inlineStr">
        <is>
          <t>East Region</t>
        </is>
      </c>
      <c r="F5292" t="inlineStr">
        <is>
          <t>Rep_04</t>
        </is>
      </c>
      <c r="G5292" t="n">
        <v>2.09</v>
      </c>
      <c r="H5292" t="inlineStr">
        <is>
          <t>Contacted</t>
        </is>
      </c>
      <c r="I5292" t="inlineStr">
        <is>
          <t>Open</t>
        </is>
      </c>
      <c r="M5292">
        <f>VLOOKUP(H5292,'Stage Order'!$A$2:$B$8,2,FALSE)</f>
        <v/>
      </c>
      <c r="N5292">
        <f>IF(G5292&lt;=1,"1. Under 1 hour",IF(G5292&lt;=24,"2. 1-24 hours",IF(G5292&lt;=72,"3. 1-3 days","4. Over 3 days")))</f>
        <v/>
      </c>
      <c r="O5292">
        <f>TEXT(B5292,"YYYY-MM")</f>
        <v/>
      </c>
    </row>
    <row r="5293">
      <c r="A5293" t="inlineStr">
        <is>
          <t>LD-305291</t>
        </is>
      </c>
      <c r="B5293" t="inlineStr">
        <is>
          <t>2025-11-05 20:41:00</t>
        </is>
      </c>
      <c r="C5293" t="inlineStr">
        <is>
          <t>Organic Search</t>
        </is>
      </c>
      <c r="D5293" t="inlineStr">
        <is>
          <t>Competitive Exam Prep</t>
        </is>
      </c>
      <c r="E5293" t="inlineStr">
        <is>
          <t>East Region</t>
        </is>
      </c>
      <c r="F5293" t="inlineStr">
        <is>
          <t>Rep_09</t>
        </is>
      </c>
      <c r="G5293" t="n">
        <v>2.29</v>
      </c>
      <c r="H5293" t="inlineStr">
        <is>
          <t>Lead</t>
        </is>
      </c>
      <c r="I5293" t="inlineStr">
        <is>
          <t>Open</t>
        </is>
      </c>
      <c r="M5293">
        <f>VLOOKUP(H5293,'Stage Order'!$A$2:$B$8,2,FALSE)</f>
        <v/>
      </c>
      <c r="N5293">
        <f>IF(G5293&lt;=1,"1. Under 1 hour",IF(G5293&lt;=24,"2. 1-24 hours",IF(G5293&lt;=72,"3. 1-3 days","4. Over 3 days")))</f>
        <v/>
      </c>
      <c r="O5293">
        <f>TEXT(B5293,"YYYY-MM")</f>
        <v/>
      </c>
    </row>
    <row r="5294">
      <c r="A5294" t="inlineStr">
        <is>
          <t>LD-305292</t>
        </is>
      </c>
      <c r="B5294" t="inlineStr">
        <is>
          <t>2025-04-30 14:28:00</t>
        </is>
      </c>
      <c r="C5294" t="inlineStr">
        <is>
          <t>Webinar</t>
        </is>
      </c>
      <c r="D5294" t="inlineStr">
        <is>
          <t>K-12 Math</t>
        </is>
      </c>
      <c r="E5294" t="inlineStr">
        <is>
          <t>West Region</t>
        </is>
      </c>
      <c r="F5294" t="inlineStr">
        <is>
          <t>Rep_08</t>
        </is>
      </c>
      <c r="G5294" t="n">
        <v>1.69</v>
      </c>
      <c r="H5294" t="inlineStr">
        <is>
          <t>Contacted</t>
        </is>
      </c>
      <c r="I5294" t="inlineStr">
        <is>
          <t>Open</t>
        </is>
      </c>
      <c r="M5294">
        <f>VLOOKUP(H5294,'Stage Order'!$A$2:$B$8,2,FALSE)</f>
        <v/>
      </c>
      <c r="N5294">
        <f>IF(G5294&lt;=1,"1. Under 1 hour",IF(G5294&lt;=24,"2. 1-24 hours",IF(G5294&lt;=72,"3. 1-3 days","4. Over 3 days")))</f>
        <v/>
      </c>
      <c r="O5294">
        <f>TEXT(B5294,"YYYY-MM")</f>
        <v/>
      </c>
    </row>
    <row r="5295">
      <c r="A5295" t="inlineStr">
        <is>
          <t>LD-305293</t>
        </is>
      </c>
      <c r="B5295" t="inlineStr">
        <is>
          <t>2026-03-13 11:36:00</t>
        </is>
      </c>
      <c r="C5295" t="inlineStr">
        <is>
          <t>Organic Search</t>
        </is>
      </c>
      <c r="D5295" t="inlineStr">
        <is>
          <t>Language Learning</t>
        </is>
      </c>
      <c r="E5295" t="inlineStr">
        <is>
          <t>North Region</t>
        </is>
      </c>
      <c r="F5295" t="inlineStr">
        <is>
          <t>Rep_06</t>
        </is>
      </c>
      <c r="G5295" t="n">
        <v>2.46</v>
      </c>
      <c r="H5295" t="inlineStr">
        <is>
          <t>Contacted</t>
        </is>
      </c>
      <c r="I5295" t="inlineStr">
        <is>
          <t>Open</t>
        </is>
      </c>
      <c r="M5295">
        <f>VLOOKUP(H5295,'Stage Order'!$A$2:$B$8,2,FALSE)</f>
        <v/>
      </c>
      <c r="N5295">
        <f>IF(G5295&lt;=1,"1. Under 1 hour",IF(G5295&lt;=24,"2. 1-24 hours",IF(G5295&lt;=72,"3. 1-3 days","4. Over 3 days")))</f>
        <v/>
      </c>
      <c r="O5295">
        <f>TEXT(B5295,"YYYY-MM")</f>
        <v/>
      </c>
    </row>
    <row r="5296">
      <c r="A5296" t="inlineStr">
        <is>
          <t>LD-305294</t>
        </is>
      </c>
      <c r="B5296" t="inlineStr">
        <is>
          <t>2025-06-19 08:50:00</t>
        </is>
      </c>
      <c r="C5296" t="inlineStr">
        <is>
          <t>Cold Outreach</t>
        </is>
      </c>
      <c r="D5296" t="inlineStr">
        <is>
          <t>Coding for Kids</t>
        </is>
      </c>
      <c r="E5296" t="inlineStr">
        <is>
          <t>East Region</t>
        </is>
      </c>
      <c r="F5296" t="inlineStr">
        <is>
          <t>Rep_04</t>
        </is>
      </c>
      <c r="G5296" t="n">
        <v>2.41</v>
      </c>
      <c r="H5296" t="inlineStr">
        <is>
          <t>Lead</t>
        </is>
      </c>
      <c r="I5296" t="inlineStr">
        <is>
          <t>Open</t>
        </is>
      </c>
      <c r="M5296">
        <f>VLOOKUP(H5296,'Stage Order'!$A$2:$B$8,2,FALSE)</f>
        <v/>
      </c>
      <c r="N5296">
        <f>IF(G5296&lt;=1,"1. Under 1 hour",IF(G5296&lt;=24,"2. 1-24 hours",IF(G5296&lt;=72,"3. 1-3 days","4. Over 3 days")))</f>
        <v/>
      </c>
      <c r="O5296">
        <f>TEXT(B5296,"YYYY-MM")</f>
        <v/>
      </c>
    </row>
    <row r="5297">
      <c r="A5297" t="inlineStr">
        <is>
          <t>LD-305295</t>
        </is>
      </c>
      <c r="B5297" t="inlineStr">
        <is>
          <t>2025-06-16 19:00:00</t>
        </is>
      </c>
      <c r="C5297" t="inlineStr">
        <is>
          <t>Cold Outreach</t>
        </is>
      </c>
      <c r="D5297" t="inlineStr">
        <is>
          <t>Competitive Exam Prep</t>
        </is>
      </c>
      <c r="E5297" t="inlineStr">
        <is>
          <t>East Region</t>
        </is>
      </c>
      <c r="F5297" t="inlineStr">
        <is>
          <t>Rep_14</t>
        </is>
      </c>
      <c r="G5297" t="n">
        <v>5.1</v>
      </c>
      <c r="H5297" t="inlineStr">
        <is>
          <t>Lead</t>
        </is>
      </c>
      <c r="I5297" t="inlineStr">
        <is>
          <t>Open</t>
        </is>
      </c>
      <c r="M5297">
        <f>VLOOKUP(H5297,'Stage Order'!$A$2:$B$8,2,FALSE)</f>
        <v/>
      </c>
      <c r="N5297">
        <f>IF(G5297&lt;=1,"1. Under 1 hour",IF(G5297&lt;=24,"2. 1-24 hours",IF(G5297&lt;=72,"3. 1-3 days","4. Over 3 days")))</f>
        <v/>
      </c>
      <c r="O5297">
        <f>TEXT(B5297,"YYYY-MM")</f>
        <v/>
      </c>
    </row>
    <row r="5298">
      <c r="A5298" t="inlineStr">
        <is>
          <t>LD-305296</t>
        </is>
      </c>
      <c r="B5298" t="inlineStr">
        <is>
          <t>2025-05-27 20:29:00</t>
        </is>
      </c>
      <c r="C5298" t="inlineStr">
        <is>
          <t>Partner Channel</t>
        </is>
      </c>
      <c r="D5298" t="inlineStr">
        <is>
          <t>Competitive Exam Prep</t>
        </is>
      </c>
      <c r="E5298" t="inlineStr">
        <is>
          <t>West Region</t>
        </is>
      </c>
      <c r="F5298" t="inlineStr">
        <is>
          <t>Rep_08</t>
        </is>
      </c>
      <c r="G5298" t="n">
        <v>1.1</v>
      </c>
      <c r="H5298" t="inlineStr">
        <is>
          <t>Negotiation</t>
        </is>
      </c>
      <c r="I5298" t="inlineStr">
        <is>
          <t>Lost</t>
        </is>
      </c>
      <c r="J5298" t="inlineStr">
        <is>
          <t>Price Objection</t>
        </is>
      </c>
      <c r="K5298" t="n">
        <v>1112.11</v>
      </c>
      <c r="L5298" t="inlineStr">
        <is>
          <t>2025-07-04 01:13:25.126099</t>
        </is>
      </c>
      <c r="M5298">
        <f>VLOOKUP(H5298,'Stage Order'!$A$2:$B$8,2,FALSE)</f>
        <v/>
      </c>
      <c r="N5298">
        <f>IF(G5298&lt;=1,"1. Under 1 hour",IF(G5298&lt;=24,"2. 1-24 hours",IF(G5298&lt;=72,"3. 1-3 days","4. Over 3 days")))</f>
        <v/>
      </c>
      <c r="O5298">
        <f>TEXT(B5298,"YYYY-MM")</f>
        <v/>
      </c>
    </row>
    <row r="5299">
      <c r="A5299" t="inlineStr">
        <is>
          <t>LD-305297</t>
        </is>
      </c>
      <c r="B5299" t="inlineStr">
        <is>
          <t>2025-01-11 15:30:00</t>
        </is>
      </c>
      <c r="C5299" t="inlineStr">
        <is>
          <t>Cold Outreach</t>
        </is>
      </c>
      <c r="D5299" t="inlineStr">
        <is>
          <t>Coding for Kids</t>
        </is>
      </c>
      <c r="E5299" t="inlineStr">
        <is>
          <t>South Region</t>
        </is>
      </c>
      <c r="F5299" t="inlineStr">
        <is>
          <t>Rep_07</t>
        </is>
      </c>
      <c r="G5299" t="n">
        <v>3.22</v>
      </c>
      <c r="H5299" t="inlineStr">
        <is>
          <t>Contacted</t>
        </is>
      </c>
      <c r="I5299" t="inlineStr">
        <is>
          <t>Open</t>
        </is>
      </c>
      <c r="M5299">
        <f>VLOOKUP(H5299,'Stage Order'!$A$2:$B$8,2,FALSE)</f>
        <v/>
      </c>
      <c r="N5299">
        <f>IF(G5299&lt;=1,"1. Under 1 hour",IF(G5299&lt;=24,"2. 1-24 hours",IF(G5299&lt;=72,"3. 1-3 days","4. Over 3 days")))</f>
        <v/>
      </c>
      <c r="O5299">
        <f>TEXT(B5299,"YYYY-MM")</f>
        <v/>
      </c>
    </row>
    <row r="5300">
      <c r="A5300" t="inlineStr">
        <is>
          <t>LD-305298</t>
        </is>
      </c>
      <c r="B5300" t="inlineStr">
        <is>
          <t>2026-04-05 14:17:00</t>
        </is>
      </c>
      <c r="C5300" t="inlineStr">
        <is>
          <t>Paid Search</t>
        </is>
      </c>
      <c r="D5300" t="inlineStr">
        <is>
          <t>K-12 Math</t>
        </is>
      </c>
      <c r="E5300" t="inlineStr">
        <is>
          <t>North Region</t>
        </is>
      </c>
      <c r="F5300" t="inlineStr">
        <is>
          <t>Rep_01</t>
        </is>
      </c>
      <c r="G5300" t="n">
        <v>1.57</v>
      </c>
      <c r="H5300" t="inlineStr">
        <is>
          <t>Demo Scheduled</t>
        </is>
      </c>
      <c r="I5300" t="inlineStr">
        <is>
          <t>Open</t>
        </is>
      </c>
      <c r="M5300">
        <f>VLOOKUP(H5300,'Stage Order'!$A$2:$B$8,2,FALSE)</f>
        <v/>
      </c>
      <c r="N5300">
        <f>IF(G5300&lt;=1,"1. Under 1 hour",IF(G5300&lt;=24,"2. 1-24 hours",IF(G5300&lt;=72,"3. 1-3 days","4. Over 3 days")))</f>
        <v/>
      </c>
      <c r="O5300">
        <f>TEXT(B5300,"YYYY-MM")</f>
        <v/>
      </c>
    </row>
    <row r="5301">
      <c r="A5301" t="inlineStr">
        <is>
          <t>LD-305299</t>
        </is>
      </c>
      <c r="B5301" t="inlineStr">
        <is>
          <t>2025-02-21 18:47:00</t>
        </is>
      </c>
      <c r="C5301" t="inlineStr">
        <is>
          <t>Paid Search</t>
        </is>
      </c>
      <c r="D5301" t="inlineStr">
        <is>
          <t>Language Learning</t>
        </is>
      </c>
      <c r="E5301" t="inlineStr">
        <is>
          <t>South Region</t>
        </is>
      </c>
      <c r="F5301" t="inlineStr">
        <is>
          <t>Rep_12</t>
        </is>
      </c>
      <c r="G5301" t="n">
        <v>4.79</v>
      </c>
      <c r="H5301" t="inlineStr">
        <is>
          <t>Proposal Sent</t>
        </is>
      </c>
      <c r="I5301" t="inlineStr">
        <is>
          <t>Lost</t>
        </is>
      </c>
      <c r="J5301" t="inlineStr">
        <is>
          <t>No Response / Ghosted</t>
        </is>
      </c>
      <c r="K5301" t="n">
        <v>332.33</v>
      </c>
      <c r="L5301" t="inlineStr">
        <is>
          <t>2025-04-04 11:56:16.362429</t>
        </is>
      </c>
      <c r="M5301">
        <f>VLOOKUP(H5301,'Stage Order'!$A$2:$B$8,2,FALSE)</f>
        <v/>
      </c>
      <c r="N5301">
        <f>IF(G5301&lt;=1,"1. Under 1 hour",IF(G5301&lt;=24,"2. 1-24 hours",IF(G5301&lt;=72,"3. 1-3 days","4. Over 3 days")))</f>
        <v/>
      </c>
      <c r="O5301">
        <f>TEXT(B5301,"YYYY-MM")</f>
        <v/>
      </c>
    </row>
    <row r="5302">
      <c r="A5302" t="inlineStr">
        <is>
          <t>LD-305300</t>
        </is>
      </c>
      <c r="B5302" t="inlineStr">
        <is>
          <t>2025-09-05 12:41:00</t>
        </is>
      </c>
      <c r="C5302" t="inlineStr">
        <is>
          <t>Cold Outreach</t>
        </is>
      </c>
      <c r="D5302" t="inlineStr">
        <is>
          <t>Competitive Exam Prep</t>
        </is>
      </c>
      <c r="E5302" t="inlineStr">
        <is>
          <t>South Region</t>
        </is>
      </c>
      <c r="F5302" t="inlineStr">
        <is>
          <t>Rep_12</t>
        </is>
      </c>
      <c r="G5302" t="n">
        <v>3.25</v>
      </c>
      <c r="H5302" t="inlineStr">
        <is>
          <t>Lead</t>
        </is>
      </c>
      <c r="I5302" t="inlineStr">
        <is>
          <t>Open</t>
        </is>
      </c>
      <c r="M5302">
        <f>VLOOKUP(H5302,'Stage Order'!$A$2:$B$8,2,FALSE)</f>
        <v/>
      </c>
      <c r="N5302">
        <f>IF(G5302&lt;=1,"1. Under 1 hour",IF(G5302&lt;=24,"2. 1-24 hours",IF(G5302&lt;=72,"3. 1-3 days","4. Over 3 days")))</f>
        <v/>
      </c>
      <c r="O5302">
        <f>TEXT(B5302,"YYYY-MM")</f>
        <v/>
      </c>
    </row>
    <row r="5303">
      <c r="A5303" t="inlineStr">
        <is>
          <t>LD-305301</t>
        </is>
      </c>
      <c r="B5303" t="inlineStr">
        <is>
          <t>2026-04-14 09:04:00</t>
        </is>
      </c>
      <c r="C5303" t="inlineStr">
        <is>
          <t>Referral</t>
        </is>
      </c>
      <c r="D5303" t="inlineStr">
        <is>
          <t>Competitive Exam Prep</t>
        </is>
      </c>
      <c r="E5303" t="inlineStr">
        <is>
          <t>North Region</t>
        </is>
      </c>
      <c r="F5303" t="inlineStr">
        <is>
          <t>Rep_06</t>
        </is>
      </c>
      <c r="G5303" t="n">
        <v>3.64</v>
      </c>
      <c r="H5303" t="inlineStr">
        <is>
          <t>Contacted</t>
        </is>
      </c>
      <c r="I5303" t="inlineStr">
        <is>
          <t>Open</t>
        </is>
      </c>
      <c r="M5303">
        <f>VLOOKUP(H5303,'Stage Order'!$A$2:$B$8,2,FALSE)</f>
        <v/>
      </c>
      <c r="N5303">
        <f>IF(G5303&lt;=1,"1. Under 1 hour",IF(G5303&lt;=24,"2. 1-24 hours",IF(G5303&lt;=72,"3. 1-3 days","4. Over 3 days")))</f>
        <v/>
      </c>
      <c r="O5303">
        <f>TEXT(B5303,"YYYY-MM")</f>
        <v/>
      </c>
    </row>
    <row r="5304">
      <c r="A5304" t="inlineStr">
        <is>
          <t>LD-305302</t>
        </is>
      </c>
      <c r="B5304" t="inlineStr">
        <is>
          <t>2025-08-15 20:04:00</t>
        </is>
      </c>
      <c r="C5304" t="inlineStr">
        <is>
          <t>Organic Search</t>
        </is>
      </c>
      <c r="D5304" t="inlineStr">
        <is>
          <t>Study Abroad Prep</t>
        </is>
      </c>
      <c r="E5304" t="inlineStr">
        <is>
          <t>East Region</t>
        </is>
      </c>
      <c r="F5304" t="inlineStr">
        <is>
          <t>Rep_09</t>
        </is>
      </c>
      <c r="G5304" t="n">
        <v>2.83</v>
      </c>
      <c r="H5304" t="inlineStr">
        <is>
          <t>Demo Completed</t>
        </is>
      </c>
      <c r="I5304" t="inlineStr">
        <is>
          <t>Lost</t>
        </is>
      </c>
      <c r="J5304" t="inlineStr">
        <is>
          <t>No Response / Ghosted</t>
        </is>
      </c>
      <c r="K5304" t="n">
        <v>1309.94</v>
      </c>
      <c r="L5304" t="inlineStr">
        <is>
          <t>2025-09-15 18:50:02.658768</t>
        </is>
      </c>
      <c r="M5304">
        <f>VLOOKUP(H5304,'Stage Order'!$A$2:$B$8,2,FALSE)</f>
        <v/>
      </c>
      <c r="N5304">
        <f>IF(G5304&lt;=1,"1. Under 1 hour",IF(G5304&lt;=24,"2. 1-24 hours",IF(G5304&lt;=72,"3. 1-3 days","4. Over 3 days")))</f>
        <v/>
      </c>
      <c r="O5304">
        <f>TEXT(B5304,"YYYY-MM")</f>
        <v/>
      </c>
    </row>
    <row r="5305">
      <c r="A5305" t="inlineStr">
        <is>
          <t>LD-305303</t>
        </is>
      </c>
      <c r="B5305" t="inlineStr">
        <is>
          <t>2025-07-14 15:02:00</t>
        </is>
      </c>
      <c r="C5305" t="inlineStr">
        <is>
          <t>Cold Outreach</t>
        </is>
      </c>
      <c r="D5305" t="inlineStr">
        <is>
          <t>K-12 Math</t>
        </is>
      </c>
      <c r="E5305" t="inlineStr">
        <is>
          <t>South Region</t>
        </is>
      </c>
      <c r="F5305" t="inlineStr">
        <is>
          <t>Rep_07</t>
        </is>
      </c>
      <c r="G5305" t="n">
        <v>3.72</v>
      </c>
      <c r="H5305" t="inlineStr">
        <is>
          <t>Lead</t>
        </is>
      </c>
      <c r="I5305" t="inlineStr">
        <is>
          <t>Open</t>
        </is>
      </c>
      <c r="M5305">
        <f>VLOOKUP(H5305,'Stage Order'!$A$2:$B$8,2,FALSE)</f>
        <v/>
      </c>
      <c r="N5305">
        <f>IF(G5305&lt;=1,"1. Under 1 hour",IF(G5305&lt;=24,"2. 1-24 hours",IF(G5305&lt;=72,"3. 1-3 days","4. Over 3 days")))</f>
        <v/>
      </c>
      <c r="O5305">
        <f>TEXT(B5305,"YYYY-MM")</f>
        <v/>
      </c>
    </row>
    <row r="5306">
      <c r="A5306" t="inlineStr">
        <is>
          <t>LD-305304</t>
        </is>
      </c>
      <c r="B5306" t="inlineStr">
        <is>
          <t>2025-09-25 19:43:00</t>
        </is>
      </c>
      <c r="C5306" t="inlineStr">
        <is>
          <t>Social Media</t>
        </is>
      </c>
      <c r="D5306" t="inlineStr">
        <is>
          <t>Coding for Kids</t>
        </is>
      </c>
      <c r="E5306" t="inlineStr">
        <is>
          <t>West Region</t>
        </is>
      </c>
      <c r="F5306" t="inlineStr">
        <is>
          <t>Rep_13</t>
        </is>
      </c>
      <c r="G5306" t="n">
        <v>1.61</v>
      </c>
      <c r="H5306" t="inlineStr">
        <is>
          <t>Lead</t>
        </is>
      </c>
      <c r="I5306" t="inlineStr">
        <is>
          <t>Open</t>
        </is>
      </c>
      <c r="M5306">
        <f>VLOOKUP(H5306,'Stage Order'!$A$2:$B$8,2,FALSE)</f>
        <v/>
      </c>
      <c r="N5306">
        <f>IF(G5306&lt;=1,"1. Under 1 hour",IF(G5306&lt;=24,"2. 1-24 hours",IF(G5306&lt;=72,"3. 1-3 days","4. Over 3 days")))</f>
        <v/>
      </c>
      <c r="O5306">
        <f>TEXT(B5306,"YYYY-MM")</f>
        <v/>
      </c>
    </row>
    <row r="5307">
      <c r="A5307" t="inlineStr">
        <is>
          <t>LD-305305</t>
        </is>
      </c>
      <c r="B5307" t="inlineStr">
        <is>
          <t>2025-01-31 15:31:00</t>
        </is>
      </c>
      <c r="C5307" t="inlineStr">
        <is>
          <t>Partner Channel</t>
        </is>
      </c>
      <c r="D5307" t="inlineStr">
        <is>
          <t>Study Abroad Prep</t>
        </is>
      </c>
      <c r="E5307" t="inlineStr">
        <is>
          <t>South Region</t>
        </is>
      </c>
      <c r="F5307" t="inlineStr">
        <is>
          <t>Rep_12</t>
        </is>
      </c>
      <c r="G5307" t="n">
        <v>4.35</v>
      </c>
      <c r="H5307" t="inlineStr">
        <is>
          <t>Lead</t>
        </is>
      </c>
      <c r="I5307" t="inlineStr">
        <is>
          <t>Open</t>
        </is>
      </c>
      <c r="M5307">
        <f>VLOOKUP(H5307,'Stage Order'!$A$2:$B$8,2,FALSE)</f>
        <v/>
      </c>
      <c r="N5307">
        <f>IF(G5307&lt;=1,"1. Under 1 hour",IF(G5307&lt;=24,"2. 1-24 hours",IF(G5307&lt;=72,"3. 1-3 days","4. Over 3 days")))</f>
        <v/>
      </c>
      <c r="O5307">
        <f>TEXT(B5307,"YYYY-MM")</f>
        <v/>
      </c>
    </row>
    <row r="5308">
      <c r="A5308" t="inlineStr">
        <is>
          <t>LD-305306</t>
        </is>
      </c>
      <c r="B5308" t="inlineStr">
        <is>
          <t>2025-08-01 15:11:00</t>
        </is>
      </c>
      <c r="C5308" t="inlineStr">
        <is>
          <t>Referral</t>
        </is>
      </c>
      <c r="D5308" t="inlineStr">
        <is>
          <t>Coding for Kids</t>
        </is>
      </c>
      <c r="E5308" t="inlineStr">
        <is>
          <t>West Region</t>
        </is>
      </c>
      <c r="F5308" t="inlineStr">
        <is>
          <t>Rep_03</t>
        </is>
      </c>
      <c r="G5308" t="n">
        <v>2.19</v>
      </c>
      <c r="H5308" t="inlineStr">
        <is>
          <t>Closed</t>
        </is>
      </c>
      <c r="I5308" t="inlineStr">
        <is>
          <t>Won</t>
        </is>
      </c>
      <c r="K5308" t="n">
        <v>589.33</v>
      </c>
      <c r="L5308" t="inlineStr">
        <is>
          <t>2025-09-10 01:17:36.442731</t>
        </is>
      </c>
      <c r="M5308">
        <f>VLOOKUP(H5308,'Stage Order'!$A$2:$B$8,2,FALSE)</f>
        <v/>
      </c>
      <c r="N5308">
        <f>IF(G5308&lt;=1,"1. Under 1 hour",IF(G5308&lt;=24,"2. 1-24 hours",IF(G5308&lt;=72,"3. 1-3 days","4. Over 3 days")))</f>
        <v/>
      </c>
      <c r="O5308">
        <f>TEXT(B5308,"YYYY-MM")</f>
        <v/>
      </c>
    </row>
    <row r="5309">
      <c r="A5309" t="inlineStr">
        <is>
          <t>LD-305307</t>
        </is>
      </c>
      <c r="B5309" t="inlineStr">
        <is>
          <t>2026-05-22 10:29:00</t>
        </is>
      </c>
      <c r="C5309" t="inlineStr">
        <is>
          <t>Social Media</t>
        </is>
      </c>
      <c r="D5309" t="inlineStr">
        <is>
          <t>K-12 Math</t>
        </is>
      </c>
      <c r="E5309" t="inlineStr">
        <is>
          <t>West Region</t>
        </is>
      </c>
      <c r="F5309" t="inlineStr">
        <is>
          <t>Rep_13</t>
        </is>
      </c>
      <c r="G5309" t="n">
        <v>6.88</v>
      </c>
      <c r="H5309" t="inlineStr">
        <is>
          <t>Lead</t>
        </is>
      </c>
      <c r="I5309" t="inlineStr">
        <is>
          <t>Open</t>
        </is>
      </c>
      <c r="M5309">
        <f>VLOOKUP(H5309,'Stage Order'!$A$2:$B$8,2,FALSE)</f>
        <v/>
      </c>
      <c r="N5309">
        <f>IF(G5309&lt;=1,"1. Under 1 hour",IF(G5309&lt;=24,"2. 1-24 hours",IF(G5309&lt;=72,"3. 1-3 days","4. Over 3 days")))</f>
        <v/>
      </c>
      <c r="O5309">
        <f>TEXT(B5309,"YYYY-MM")</f>
        <v/>
      </c>
    </row>
    <row r="5310">
      <c r="A5310" t="inlineStr">
        <is>
          <t>LD-305308</t>
        </is>
      </c>
      <c r="B5310" t="inlineStr">
        <is>
          <t>2025-12-31 09:16:00</t>
        </is>
      </c>
      <c r="C5310" t="inlineStr">
        <is>
          <t>Referral</t>
        </is>
      </c>
      <c r="D5310" t="inlineStr">
        <is>
          <t>Competitive Exam Prep</t>
        </is>
      </c>
      <c r="E5310" t="inlineStr">
        <is>
          <t>West Region</t>
        </is>
      </c>
      <c r="F5310" t="inlineStr">
        <is>
          <t>Rep_03</t>
        </is>
      </c>
      <c r="G5310" t="n">
        <v>1.93</v>
      </c>
      <c r="H5310" t="inlineStr">
        <is>
          <t>Contacted</t>
        </is>
      </c>
      <c r="I5310" t="inlineStr">
        <is>
          <t>Open</t>
        </is>
      </c>
      <c r="M5310">
        <f>VLOOKUP(H5310,'Stage Order'!$A$2:$B$8,2,FALSE)</f>
        <v/>
      </c>
      <c r="N5310">
        <f>IF(G5310&lt;=1,"1. Under 1 hour",IF(G5310&lt;=24,"2. 1-24 hours",IF(G5310&lt;=72,"3. 1-3 days","4. Over 3 days")))</f>
        <v/>
      </c>
      <c r="O5310">
        <f>TEXT(B5310,"YYYY-MM")</f>
        <v/>
      </c>
    </row>
    <row r="5311">
      <c r="A5311" t="inlineStr">
        <is>
          <t>LD-305309</t>
        </is>
      </c>
      <c r="B5311" t="inlineStr">
        <is>
          <t>2025-12-12 17:35:00</t>
        </is>
      </c>
      <c r="C5311" t="inlineStr">
        <is>
          <t>Social Media</t>
        </is>
      </c>
      <c r="D5311" t="inlineStr">
        <is>
          <t>Competitive Exam Prep</t>
        </is>
      </c>
      <c r="E5311" t="inlineStr">
        <is>
          <t>East Region</t>
        </is>
      </c>
      <c r="F5311" t="inlineStr">
        <is>
          <t>Rep_04</t>
        </is>
      </c>
      <c r="G5311" t="n">
        <v>6.83</v>
      </c>
      <c r="H5311" t="inlineStr">
        <is>
          <t>Contacted</t>
        </is>
      </c>
      <c r="I5311" t="inlineStr">
        <is>
          <t>Open</t>
        </is>
      </c>
      <c r="M5311">
        <f>VLOOKUP(H5311,'Stage Order'!$A$2:$B$8,2,FALSE)</f>
        <v/>
      </c>
      <c r="N5311">
        <f>IF(G5311&lt;=1,"1. Under 1 hour",IF(G5311&lt;=24,"2. 1-24 hours",IF(G5311&lt;=72,"3. 1-3 days","4. Over 3 days")))</f>
        <v/>
      </c>
      <c r="O5311">
        <f>TEXT(B5311,"YYYY-MM")</f>
        <v/>
      </c>
    </row>
    <row r="5312">
      <c r="A5312" t="inlineStr">
        <is>
          <t>LD-305310</t>
        </is>
      </c>
      <c r="B5312" t="inlineStr">
        <is>
          <t>2025-07-07 10:34:00</t>
        </is>
      </c>
      <c r="C5312" t="inlineStr">
        <is>
          <t>Webinar</t>
        </is>
      </c>
      <c r="D5312" t="inlineStr">
        <is>
          <t>K-12 Math</t>
        </is>
      </c>
      <c r="E5312" t="inlineStr">
        <is>
          <t>International</t>
        </is>
      </c>
      <c r="F5312" t="inlineStr">
        <is>
          <t>Rep_15</t>
        </is>
      </c>
      <c r="G5312" t="n">
        <v>2.22</v>
      </c>
      <c r="H5312" t="inlineStr">
        <is>
          <t>Proposal Sent</t>
        </is>
      </c>
      <c r="I5312" t="inlineStr">
        <is>
          <t>Lost</t>
        </is>
      </c>
      <c r="J5312" t="inlineStr">
        <is>
          <t>No Response / Ghosted</t>
        </is>
      </c>
      <c r="K5312" t="n">
        <v>588.88</v>
      </c>
      <c r="L5312" t="inlineStr">
        <is>
          <t>2025-08-16 05:41:06.325490</t>
        </is>
      </c>
      <c r="M5312">
        <f>VLOOKUP(H5312,'Stage Order'!$A$2:$B$8,2,FALSE)</f>
        <v/>
      </c>
      <c r="N5312">
        <f>IF(G5312&lt;=1,"1. Under 1 hour",IF(G5312&lt;=24,"2. 1-24 hours",IF(G5312&lt;=72,"3. 1-3 days","4. Over 3 days")))</f>
        <v/>
      </c>
      <c r="O5312">
        <f>TEXT(B5312,"YYYY-MM")</f>
        <v/>
      </c>
    </row>
    <row r="5313">
      <c r="A5313" t="inlineStr">
        <is>
          <t>LD-305311</t>
        </is>
      </c>
      <c r="B5313" t="inlineStr">
        <is>
          <t>2026-06-25 19:38:00</t>
        </is>
      </c>
      <c r="C5313" t="inlineStr">
        <is>
          <t>Referral</t>
        </is>
      </c>
      <c r="D5313" t="inlineStr">
        <is>
          <t>Coding for Kids</t>
        </is>
      </c>
      <c r="E5313" t="inlineStr">
        <is>
          <t>East Region</t>
        </is>
      </c>
      <c r="F5313" t="inlineStr">
        <is>
          <t>Rep_09</t>
        </is>
      </c>
      <c r="G5313" t="n">
        <v>1.51</v>
      </c>
      <c r="H5313" t="inlineStr">
        <is>
          <t>Negotiation</t>
        </is>
      </c>
      <c r="I5313" t="inlineStr">
        <is>
          <t>Lost</t>
        </is>
      </c>
      <c r="J5313" t="inlineStr">
        <is>
          <t>Went With Competitor</t>
        </is>
      </c>
      <c r="K5313" t="n">
        <v>711.8200000000001</v>
      </c>
      <c r="L5313" t="inlineStr">
        <is>
          <t>2026-07-25 03:16:15.837960</t>
        </is>
      </c>
      <c r="M5313">
        <f>VLOOKUP(H5313,'Stage Order'!$A$2:$B$8,2,FALSE)</f>
        <v/>
      </c>
      <c r="N5313">
        <f>IF(G5313&lt;=1,"1. Under 1 hour",IF(G5313&lt;=24,"2. 1-24 hours",IF(G5313&lt;=72,"3. 1-3 days","4. Over 3 days")))</f>
        <v/>
      </c>
      <c r="O5313">
        <f>TEXT(B5313,"YYYY-MM")</f>
        <v/>
      </c>
    </row>
    <row r="5314">
      <c r="A5314" t="inlineStr">
        <is>
          <t>LD-305312</t>
        </is>
      </c>
      <c r="B5314" t="inlineStr">
        <is>
          <t>2025-09-22 14:26:00</t>
        </is>
      </c>
      <c r="C5314" t="inlineStr">
        <is>
          <t>Organic Search</t>
        </is>
      </c>
      <c r="D5314" t="inlineStr">
        <is>
          <t>Language Learning</t>
        </is>
      </c>
      <c r="E5314" t="inlineStr">
        <is>
          <t>South Region</t>
        </is>
      </c>
      <c r="F5314" t="inlineStr">
        <is>
          <t>Rep_12</t>
        </is>
      </c>
      <c r="G5314" t="n">
        <v>1.81</v>
      </c>
      <c r="H5314" t="inlineStr">
        <is>
          <t>Contacted</t>
        </is>
      </c>
      <c r="I5314" t="inlineStr">
        <is>
          <t>Open</t>
        </is>
      </c>
      <c r="M5314">
        <f>VLOOKUP(H5314,'Stage Order'!$A$2:$B$8,2,FALSE)</f>
        <v/>
      </c>
      <c r="N5314">
        <f>IF(G5314&lt;=1,"1. Under 1 hour",IF(G5314&lt;=24,"2. 1-24 hours",IF(G5314&lt;=72,"3. 1-3 days","4. Over 3 days")))</f>
        <v/>
      </c>
      <c r="O5314">
        <f>TEXT(B5314,"YYYY-MM")</f>
        <v/>
      </c>
    </row>
    <row r="5315">
      <c r="A5315" t="inlineStr">
        <is>
          <t>LD-305313</t>
        </is>
      </c>
      <c r="B5315" t="inlineStr">
        <is>
          <t>2026-01-31 12:33:00</t>
        </is>
      </c>
      <c r="C5315" t="inlineStr">
        <is>
          <t>Organic Search</t>
        </is>
      </c>
      <c r="D5315" t="inlineStr">
        <is>
          <t>K-12 Math</t>
        </is>
      </c>
      <c r="E5315" t="inlineStr">
        <is>
          <t>North Region</t>
        </is>
      </c>
      <c r="F5315" t="inlineStr">
        <is>
          <t>Rep_06</t>
        </is>
      </c>
      <c r="G5315" t="n">
        <v>5.91</v>
      </c>
      <c r="H5315" t="inlineStr">
        <is>
          <t>Contacted</t>
        </is>
      </c>
      <c r="I5315" t="inlineStr">
        <is>
          <t>Open</t>
        </is>
      </c>
      <c r="M5315">
        <f>VLOOKUP(H5315,'Stage Order'!$A$2:$B$8,2,FALSE)</f>
        <v/>
      </c>
      <c r="N5315">
        <f>IF(G5315&lt;=1,"1. Under 1 hour",IF(G5315&lt;=24,"2. 1-24 hours",IF(G5315&lt;=72,"3. 1-3 days","4. Over 3 days")))</f>
        <v/>
      </c>
      <c r="O5315">
        <f>TEXT(B5315,"YYYY-MM")</f>
        <v/>
      </c>
    </row>
    <row r="5316">
      <c r="A5316" t="inlineStr">
        <is>
          <t>LD-305314</t>
        </is>
      </c>
      <c r="B5316" t="inlineStr">
        <is>
          <t>2026-02-11 08:38:00</t>
        </is>
      </c>
      <c r="C5316" t="inlineStr">
        <is>
          <t>Social Media</t>
        </is>
      </c>
      <c r="D5316" t="inlineStr">
        <is>
          <t>K-12 Math</t>
        </is>
      </c>
      <c r="E5316" t="inlineStr">
        <is>
          <t>South Region</t>
        </is>
      </c>
      <c r="F5316" t="inlineStr">
        <is>
          <t>Rep_07</t>
        </is>
      </c>
      <c r="G5316" t="n">
        <v>6.04</v>
      </c>
      <c r="H5316" t="inlineStr">
        <is>
          <t>Lead</t>
        </is>
      </c>
      <c r="I5316" t="inlineStr">
        <is>
          <t>Open</t>
        </is>
      </c>
      <c r="M5316">
        <f>VLOOKUP(H5316,'Stage Order'!$A$2:$B$8,2,FALSE)</f>
        <v/>
      </c>
      <c r="N5316">
        <f>IF(G5316&lt;=1,"1. Under 1 hour",IF(G5316&lt;=24,"2. 1-24 hours",IF(G5316&lt;=72,"3. 1-3 days","4. Over 3 days")))</f>
        <v/>
      </c>
      <c r="O5316">
        <f>TEXT(B5316,"YYYY-MM")</f>
        <v/>
      </c>
    </row>
    <row r="5317">
      <c r="A5317" t="inlineStr">
        <is>
          <t>LD-305315</t>
        </is>
      </c>
      <c r="B5317" t="inlineStr">
        <is>
          <t>2026-03-25 16:16:00</t>
        </is>
      </c>
      <c r="C5317" t="inlineStr">
        <is>
          <t>Organic Search</t>
        </is>
      </c>
      <c r="D5317" t="inlineStr">
        <is>
          <t>Competitive Exam Prep</t>
        </is>
      </c>
      <c r="E5317" t="inlineStr">
        <is>
          <t>South Region</t>
        </is>
      </c>
      <c r="F5317" t="inlineStr">
        <is>
          <t>Rep_12</t>
        </is>
      </c>
      <c r="G5317" t="n">
        <v>0.83</v>
      </c>
      <c r="H5317" t="inlineStr">
        <is>
          <t>Contacted</t>
        </is>
      </c>
      <c r="I5317" t="inlineStr">
        <is>
          <t>Open</t>
        </is>
      </c>
      <c r="M5317">
        <f>VLOOKUP(H5317,'Stage Order'!$A$2:$B$8,2,FALSE)</f>
        <v/>
      </c>
      <c r="N5317">
        <f>IF(G5317&lt;=1,"1. Under 1 hour",IF(G5317&lt;=24,"2. 1-24 hours",IF(G5317&lt;=72,"3. 1-3 days","4. Over 3 days")))</f>
        <v/>
      </c>
      <c r="O5317">
        <f>TEXT(B5317,"YYYY-MM")</f>
        <v/>
      </c>
    </row>
    <row r="5318">
      <c r="A5318" t="inlineStr">
        <is>
          <t>LD-305316</t>
        </is>
      </c>
      <c r="B5318" t="inlineStr">
        <is>
          <t>2025-09-05 19:44:00</t>
        </is>
      </c>
      <c r="C5318" t="inlineStr">
        <is>
          <t>Social Media</t>
        </is>
      </c>
      <c r="D5318" t="inlineStr">
        <is>
          <t>Competitive Exam Prep</t>
        </is>
      </c>
      <c r="E5318" t="inlineStr">
        <is>
          <t>West Region</t>
        </is>
      </c>
      <c r="F5318" t="inlineStr">
        <is>
          <t>Rep_03</t>
        </is>
      </c>
      <c r="G5318" t="n">
        <v>4.05</v>
      </c>
      <c r="H5318" t="inlineStr">
        <is>
          <t>Contacted</t>
        </is>
      </c>
      <c r="I5318" t="inlineStr">
        <is>
          <t>Open</t>
        </is>
      </c>
      <c r="M5318">
        <f>VLOOKUP(H5318,'Stage Order'!$A$2:$B$8,2,FALSE)</f>
        <v/>
      </c>
      <c r="N5318">
        <f>IF(G5318&lt;=1,"1. Under 1 hour",IF(G5318&lt;=24,"2. 1-24 hours",IF(G5318&lt;=72,"3. 1-3 days","4. Over 3 days")))</f>
        <v/>
      </c>
      <c r="O5318">
        <f>TEXT(B5318,"YYYY-MM")</f>
        <v/>
      </c>
    </row>
    <row r="5319">
      <c r="A5319" t="inlineStr">
        <is>
          <t>LD-305317</t>
        </is>
      </c>
      <c r="B5319" t="inlineStr">
        <is>
          <t>2025-09-21 16:06:00</t>
        </is>
      </c>
      <c r="C5319" t="inlineStr">
        <is>
          <t>Referral</t>
        </is>
      </c>
      <c r="D5319" t="inlineStr">
        <is>
          <t>K-12 Math</t>
        </is>
      </c>
      <c r="E5319" t="inlineStr">
        <is>
          <t>North Region</t>
        </is>
      </c>
      <c r="F5319" t="inlineStr">
        <is>
          <t>Rep_06</t>
        </is>
      </c>
      <c r="G5319" t="n">
        <v>1.37</v>
      </c>
      <c r="H5319" t="inlineStr">
        <is>
          <t>Contacted</t>
        </is>
      </c>
      <c r="I5319" t="inlineStr">
        <is>
          <t>Open</t>
        </is>
      </c>
      <c r="M5319">
        <f>VLOOKUP(H5319,'Stage Order'!$A$2:$B$8,2,FALSE)</f>
        <v/>
      </c>
      <c r="N5319">
        <f>IF(G5319&lt;=1,"1. Under 1 hour",IF(G5319&lt;=24,"2. 1-24 hours",IF(G5319&lt;=72,"3. 1-3 days","4. Over 3 days")))</f>
        <v/>
      </c>
      <c r="O5319">
        <f>TEXT(B5319,"YYYY-MM")</f>
        <v/>
      </c>
    </row>
    <row r="5320">
      <c r="A5320" t="inlineStr">
        <is>
          <t>LD-305318</t>
        </is>
      </c>
      <c r="B5320" t="inlineStr">
        <is>
          <t>2025-12-30 09:51:00</t>
        </is>
      </c>
      <c r="C5320" t="inlineStr">
        <is>
          <t>Organic Search</t>
        </is>
      </c>
      <c r="D5320" t="inlineStr">
        <is>
          <t>Competitive Exam Prep</t>
        </is>
      </c>
      <c r="E5320" t="inlineStr">
        <is>
          <t>East Region</t>
        </is>
      </c>
      <c r="F5320" t="inlineStr">
        <is>
          <t>Rep_09</t>
        </is>
      </c>
      <c r="G5320" t="n">
        <v>3.84</v>
      </c>
      <c r="H5320" t="inlineStr">
        <is>
          <t>Demo Completed</t>
        </is>
      </c>
      <c r="I5320" t="inlineStr">
        <is>
          <t>Lost</t>
        </is>
      </c>
      <c r="J5320" t="inlineStr">
        <is>
          <t>Bad Timing</t>
        </is>
      </c>
      <c r="K5320" t="n">
        <v>911.88</v>
      </c>
      <c r="L5320" t="inlineStr">
        <is>
          <t>2026-02-02 15:03:38.637793</t>
        </is>
      </c>
      <c r="M5320">
        <f>VLOOKUP(H5320,'Stage Order'!$A$2:$B$8,2,FALSE)</f>
        <v/>
      </c>
      <c r="N5320">
        <f>IF(G5320&lt;=1,"1. Under 1 hour",IF(G5320&lt;=24,"2. 1-24 hours",IF(G5320&lt;=72,"3. 1-3 days","4. Over 3 days")))</f>
        <v/>
      </c>
      <c r="O5320">
        <f>TEXT(B5320,"YYYY-MM")</f>
        <v/>
      </c>
    </row>
    <row r="5321">
      <c r="A5321" t="inlineStr">
        <is>
          <t>LD-305319</t>
        </is>
      </c>
      <c r="B5321" t="inlineStr">
        <is>
          <t>2026-04-10 13:55:00</t>
        </is>
      </c>
      <c r="C5321" t="inlineStr">
        <is>
          <t>Paid Search</t>
        </is>
      </c>
      <c r="D5321" t="inlineStr">
        <is>
          <t>Language Learning</t>
        </is>
      </c>
      <c r="E5321" t="inlineStr">
        <is>
          <t>International</t>
        </is>
      </c>
      <c r="F5321" t="inlineStr">
        <is>
          <t>Rep_10</t>
        </is>
      </c>
      <c r="G5321" t="n">
        <v>3.29</v>
      </c>
      <c r="H5321" t="inlineStr">
        <is>
          <t>Negotiation</t>
        </is>
      </c>
      <c r="I5321" t="inlineStr">
        <is>
          <t>Lost</t>
        </is>
      </c>
      <c r="J5321" t="inlineStr">
        <is>
          <t>Price Objection</t>
        </is>
      </c>
      <c r="K5321" t="n">
        <v>371.76</v>
      </c>
      <c r="L5321" t="inlineStr">
        <is>
          <t>2026-05-28 11:44:43.112607</t>
        </is>
      </c>
      <c r="M5321">
        <f>VLOOKUP(H5321,'Stage Order'!$A$2:$B$8,2,FALSE)</f>
        <v/>
      </c>
      <c r="N5321">
        <f>IF(G5321&lt;=1,"1. Under 1 hour",IF(G5321&lt;=24,"2. 1-24 hours",IF(G5321&lt;=72,"3. 1-3 days","4. Over 3 days")))</f>
        <v/>
      </c>
      <c r="O5321">
        <f>TEXT(B5321,"YYYY-MM")</f>
        <v/>
      </c>
    </row>
    <row r="5322">
      <c r="A5322" t="inlineStr">
        <is>
          <t>LD-305320</t>
        </is>
      </c>
      <c r="B5322" t="inlineStr">
        <is>
          <t>2025-09-01 07:09:00</t>
        </is>
      </c>
      <c r="C5322" t="inlineStr">
        <is>
          <t>Referral</t>
        </is>
      </c>
      <c r="D5322" t="inlineStr">
        <is>
          <t>K-12 Math</t>
        </is>
      </c>
      <c r="E5322" t="inlineStr">
        <is>
          <t>West Region</t>
        </is>
      </c>
      <c r="F5322" t="inlineStr">
        <is>
          <t>Rep_13</t>
        </is>
      </c>
      <c r="G5322" t="n">
        <v>2.51</v>
      </c>
      <c r="H5322" t="inlineStr">
        <is>
          <t>Contacted</t>
        </is>
      </c>
      <c r="I5322" t="inlineStr">
        <is>
          <t>Open</t>
        </is>
      </c>
      <c r="M5322">
        <f>VLOOKUP(H5322,'Stage Order'!$A$2:$B$8,2,FALSE)</f>
        <v/>
      </c>
      <c r="N5322">
        <f>IF(G5322&lt;=1,"1. Under 1 hour",IF(G5322&lt;=24,"2. 1-24 hours",IF(G5322&lt;=72,"3. 1-3 days","4. Over 3 days")))</f>
        <v/>
      </c>
      <c r="O5322">
        <f>TEXT(B5322,"YYYY-MM")</f>
        <v/>
      </c>
    </row>
    <row r="5323">
      <c r="A5323" t="inlineStr">
        <is>
          <t>LD-305321</t>
        </is>
      </c>
      <c r="B5323" t="inlineStr">
        <is>
          <t>2025-05-23 12:29:00</t>
        </is>
      </c>
      <c r="C5323" t="inlineStr">
        <is>
          <t>Webinar</t>
        </is>
      </c>
      <c r="D5323" t="inlineStr">
        <is>
          <t>K-12 Math</t>
        </is>
      </c>
      <c r="E5323" t="inlineStr">
        <is>
          <t>North Region</t>
        </is>
      </c>
      <c r="F5323" t="inlineStr">
        <is>
          <t>Rep_01</t>
        </is>
      </c>
      <c r="G5323" t="n">
        <v>5.77</v>
      </c>
      <c r="H5323" t="inlineStr">
        <is>
          <t>Contacted</t>
        </is>
      </c>
      <c r="I5323" t="inlineStr">
        <is>
          <t>Open</t>
        </is>
      </c>
      <c r="M5323">
        <f>VLOOKUP(H5323,'Stage Order'!$A$2:$B$8,2,FALSE)</f>
        <v/>
      </c>
      <c r="N5323">
        <f>IF(G5323&lt;=1,"1. Under 1 hour",IF(G5323&lt;=24,"2. 1-24 hours",IF(G5323&lt;=72,"3. 1-3 days","4. Over 3 days")))</f>
        <v/>
      </c>
      <c r="O5323">
        <f>TEXT(B5323,"YYYY-MM")</f>
        <v/>
      </c>
    </row>
    <row r="5324">
      <c r="A5324" t="inlineStr">
        <is>
          <t>LD-305322</t>
        </is>
      </c>
      <c r="B5324" t="inlineStr">
        <is>
          <t>2025-01-07 10:21:00</t>
        </is>
      </c>
      <c r="C5324" t="inlineStr">
        <is>
          <t>Referral</t>
        </is>
      </c>
      <c r="D5324" t="inlineStr">
        <is>
          <t>Study Abroad Prep</t>
        </is>
      </c>
      <c r="E5324" t="inlineStr">
        <is>
          <t>North Region</t>
        </is>
      </c>
      <c r="F5324" t="inlineStr">
        <is>
          <t>Rep_06</t>
        </is>
      </c>
      <c r="G5324" t="n">
        <v>15.41</v>
      </c>
      <c r="H5324" t="inlineStr">
        <is>
          <t>Closed</t>
        </is>
      </c>
      <c r="I5324" t="inlineStr">
        <is>
          <t>Won</t>
        </is>
      </c>
      <c r="K5324" t="n">
        <v>1489.01</v>
      </c>
      <c r="L5324" t="inlineStr">
        <is>
          <t>2025-02-19 06:23:19.357795</t>
        </is>
      </c>
      <c r="M5324">
        <f>VLOOKUP(H5324,'Stage Order'!$A$2:$B$8,2,FALSE)</f>
        <v/>
      </c>
      <c r="N5324">
        <f>IF(G5324&lt;=1,"1. Under 1 hour",IF(G5324&lt;=24,"2. 1-24 hours",IF(G5324&lt;=72,"3. 1-3 days","4. Over 3 days")))</f>
        <v/>
      </c>
      <c r="O5324">
        <f>TEXT(B5324,"YYYY-MM")</f>
        <v/>
      </c>
    </row>
    <row r="5325">
      <c r="A5325" t="inlineStr">
        <is>
          <t>LD-305323</t>
        </is>
      </c>
      <c r="B5325" t="inlineStr">
        <is>
          <t>2025-11-07 10:26:00</t>
        </is>
      </c>
      <c r="C5325" t="inlineStr">
        <is>
          <t>Cold Outreach</t>
        </is>
      </c>
      <c r="D5325" t="inlineStr">
        <is>
          <t>Coding for Kids</t>
        </is>
      </c>
      <c r="E5325" t="inlineStr">
        <is>
          <t>West Region</t>
        </is>
      </c>
      <c r="F5325" t="inlineStr">
        <is>
          <t>Rep_08</t>
        </is>
      </c>
      <c r="G5325" t="n">
        <v>0.39</v>
      </c>
      <c r="H5325" t="inlineStr">
        <is>
          <t>Lead</t>
        </is>
      </c>
      <c r="I5325" t="inlineStr">
        <is>
          <t>Open</t>
        </is>
      </c>
      <c r="M5325">
        <f>VLOOKUP(H5325,'Stage Order'!$A$2:$B$8,2,FALSE)</f>
        <v/>
      </c>
      <c r="N5325">
        <f>IF(G5325&lt;=1,"1. Under 1 hour",IF(G5325&lt;=24,"2. 1-24 hours",IF(G5325&lt;=72,"3. 1-3 days","4. Over 3 days")))</f>
        <v/>
      </c>
      <c r="O5325">
        <f>TEXT(B5325,"YYYY-MM")</f>
        <v/>
      </c>
    </row>
    <row r="5326">
      <c r="A5326" t="inlineStr">
        <is>
          <t>LD-305324</t>
        </is>
      </c>
      <c r="B5326" t="inlineStr">
        <is>
          <t>2026-05-24 15:57:00</t>
        </is>
      </c>
      <c r="C5326" t="inlineStr">
        <is>
          <t>Organic Search</t>
        </is>
      </c>
      <c r="D5326" t="inlineStr">
        <is>
          <t>Study Abroad Prep</t>
        </is>
      </c>
      <c r="E5326" t="inlineStr">
        <is>
          <t>South Region</t>
        </is>
      </c>
      <c r="F5326" t="inlineStr">
        <is>
          <t>Rep_02</t>
        </is>
      </c>
      <c r="G5326" t="n">
        <v>2.92</v>
      </c>
      <c r="H5326" t="inlineStr">
        <is>
          <t>Contacted</t>
        </is>
      </c>
      <c r="I5326" t="inlineStr">
        <is>
          <t>Open</t>
        </is>
      </c>
      <c r="M5326">
        <f>VLOOKUP(H5326,'Stage Order'!$A$2:$B$8,2,FALSE)</f>
        <v/>
      </c>
      <c r="N5326">
        <f>IF(G5326&lt;=1,"1. Under 1 hour",IF(G5326&lt;=24,"2. 1-24 hours",IF(G5326&lt;=72,"3. 1-3 days","4. Over 3 days")))</f>
        <v/>
      </c>
      <c r="O5326">
        <f>TEXT(B5326,"YYYY-MM")</f>
        <v/>
      </c>
    </row>
    <row r="5327">
      <c r="A5327" t="inlineStr">
        <is>
          <t>LD-305325</t>
        </is>
      </c>
      <c r="B5327" t="inlineStr">
        <is>
          <t>2026-02-09 12:40:00</t>
        </is>
      </c>
      <c r="C5327" t="inlineStr">
        <is>
          <t>Paid Search</t>
        </is>
      </c>
      <c r="D5327" t="inlineStr">
        <is>
          <t>K-12 Math</t>
        </is>
      </c>
      <c r="E5327" t="inlineStr">
        <is>
          <t>International</t>
        </is>
      </c>
      <c r="F5327" t="inlineStr">
        <is>
          <t>Rep_05</t>
        </is>
      </c>
      <c r="G5327" t="n">
        <v>2.8</v>
      </c>
      <c r="H5327" t="inlineStr">
        <is>
          <t>Lead</t>
        </is>
      </c>
      <c r="I5327" t="inlineStr">
        <is>
          <t>Open</t>
        </is>
      </c>
      <c r="M5327">
        <f>VLOOKUP(H5327,'Stage Order'!$A$2:$B$8,2,FALSE)</f>
        <v/>
      </c>
      <c r="N5327">
        <f>IF(G5327&lt;=1,"1. Under 1 hour",IF(G5327&lt;=24,"2. 1-24 hours",IF(G5327&lt;=72,"3. 1-3 days","4. Over 3 days")))</f>
        <v/>
      </c>
      <c r="O5327">
        <f>TEXT(B5327,"YYYY-MM")</f>
        <v/>
      </c>
    </row>
    <row r="5328">
      <c r="A5328" t="inlineStr">
        <is>
          <t>LD-305326</t>
        </is>
      </c>
      <c r="B5328" t="inlineStr">
        <is>
          <t>2026-03-06 08:53:00</t>
        </is>
      </c>
      <c r="C5328" t="inlineStr">
        <is>
          <t>Cold Outreach</t>
        </is>
      </c>
      <c r="D5328" t="inlineStr">
        <is>
          <t>K-12 Math</t>
        </is>
      </c>
      <c r="E5328" t="inlineStr">
        <is>
          <t>West Region</t>
        </is>
      </c>
      <c r="F5328" t="inlineStr">
        <is>
          <t>Rep_13</t>
        </is>
      </c>
      <c r="G5328" t="n">
        <v>1.1</v>
      </c>
      <c r="H5328" t="inlineStr">
        <is>
          <t>Lead</t>
        </is>
      </c>
      <c r="I5328" t="inlineStr">
        <is>
          <t>Open</t>
        </is>
      </c>
      <c r="M5328">
        <f>VLOOKUP(H5328,'Stage Order'!$A$2:$B$8,2,FALSE)</f>
        <v/>
      </c>
      <c r="N5328">
        <f>IF(G5328&lt;=1,"1. Under 1 hour",IF(G5328&lt;=24,"2. 1-24 hours",IF(G5328&lt;=72,"3. 1-3 days","4. Over 3 days")))</f>
        <v/>
      </c>
      <c r="O5328">
        <f>TEXT(B5328,"YYYY-MM")</f>
        <v/>
      </c>
    </row>
    <row r="5329">
      <c r="A5329" t="inlineStr">
        <is>
          <t>LD-305327</t>
        </is>
      </c>
      <c r="B5329" t="inlineStr">
        <is>
          <t>2025-07-11 12:55:00</t>
        </is>
      </c>
      <c r="C5329" t="inlineStr">
        <is>
          <t>Webinar</t>
        </is>
      </c>
      <c r="D5329" t="inlineStr">
        <is>
          <t>Competitive Exam Prep</t>
        </is>
      </c>
      <c r="E5329" t="inlineStr">
        <is>
          <t>North Region</t>
        </is>
      </c>
      <c r="F5329" t="inlineStr">
        <is>
          <t>Rep_11</t>
        </is>
      </c>
      <c r="G5329" t="n">
        <v>7.45</v>
      </c>
      <c r="H5329" t="inlineStr">
        <is>
          <t>Negotiation</t>
        </is>
      </c>
      <c r="I5329" t="inlineStr">
        <is>
          <t>Lost</t>
        </is>
      </c>
      <c r="J5329" t="inlineStr">
        <is>
          <t>Went With Competitor</t>
        </is>
      </c>
      <c r="K5329" t="n">
        <v>1083.85</v>
      </c>
      <c r="L5329" t="inlineStr">
        <is>
          <t>2025-08-27 13:29:59.477756</t>
        </is>
      </c>
      <c r="M5329">
        <f>VLOOKUP(H5329,'Stage Order'!$A$2:$B$8,2,FALSE)</f>
        <v/>
      </c>
      <c r="N5329">
        <f>IF(G5329&lt;=1,"1. Under 1 hour",IF(G5329&lt;=24,"2. 1-24 hours",IF(G5329&lt;=72,"3. 1-3 days","4. Over 3 days")))</f>
        <v/>
      </c>
      <c r="O5329">
        <f>TEXT(B5329,"YYYY-MM")</f>
        <v/>
      </c>
    </row>
    <row r="5330">
      <c r="A5330" t="inlineStr">
        <is>
          <t>LD-305328</t>
        </is>
      </c>
      <c r="B5330" t="inlineStr">
        <is>
          <t>2025-12-29 17:12:00</t>
        </is>
      </c>
      <c r="C5330" t="inlineStr">
        <is>
          <t>Referral</t>
        </is>
      </c>
      <c r="D5330" t="inlineStr">
        <is>
          <t>Language Learning</t>
        </is>
      </c>
      <c r="E5330" t="inlineStr">
        <is>
          <t>South Region</t>
        </is>
      </c>
      <c r="F5330" t="inlineStr">
        <is>
          <t>Rep_02</t>
        </is>
      </c>
      <c r="G5330" t="n">
        <v>2.65</v>
      </c>
      <c r="H5330" t="inlineStr">
        <is>
          <t>Contacted</t>
        </is>
      </c>
      <c r="I5330" t="inlineStr">
        <is>
          <t>Open</t>
        </is>
      </c>
      <c r="M5330">
        <f>VLOOKUP(H5330,'Stage Order'!$A$2:$B$8,2,FALSE)</f>
        <v/>
      </c>
      <c r="N5330">
        <f>IF(G5330&lt;=1,"1. Under 1 hour",IF(G5330&lt;=24,"2. 1-24 hours",IF(G5330&lt;=72,"3. 1-3 days","4. Over 3 days")))</f>
        <v/>
      </c>
      <c r="O5330">
        <f>TEXT(B5330,"YYYY-MM")</f>
        <v/>
      </c>
    </row>
    <row r="5331">
      <c r="A5331" t="inlineStr">
        <is>
          <t>LD-305329</t>
        </is>
      </c>
      <c r="B5331" t="inlineStr">
        <is>
          <t>2025-05-09 13:28:00</t>
        </is>
      </c>
      <c r="C5331" t="inlineStr">
        <is>
          <t>Social Media</t>
        </is>
      </c>
      <c r="D5331" t="inlineStr">
        <is>
          <t>Coding for Kids</t>
        </is>
      </c>
      <c r="E5331" t="inlineStr">
        <is>
          <t>International</t>
        </is>
      </c>
      <c r="F5331" t="inlineStr">
        <is>
          <t>Rep_10</t>
        </is>
      </c>
      <c r="G5331" t="n">
        <v>0.75</v>
      </c>
      <c r="H5331" t="inlineStr">
        <is>
          <t>Proposal Sent</t>
        </is>
      </c>
      <c r="I5331" t="inlineStr">
        <is>
          <t>Lost</t>
        </is>
      </c>
      <c r="J5331" t="inlineStr">
        <is>
          <t>Went With Competitor</t>
        </is>
      </c>
      <c r="K5331" t="n">
        <v>676.25</v>
      </c>
      <c r="L5331" t="inlineStr">
        <is>
          <t>2025-06-09 03:52:36.846426</t>
        </is>
      </c>
      <c r="M5331">
        <f>VLOOKUP(H5331,'Stage Order'!$A$2:$B$8,2,FALSE)</f>
        <v/>
      </c>
      <c r="N5331">
        <f>IF(G5331&lt;=1,"1. Under 1 hour",IF(G5331&lt;=24,"2. 1-24 hours",IF(G5331&lt;=72,"3. 1-3 days","4. Over 3 days")))</f>
        <v/>
      </c>
      <c r="O5331">
        <f>TEXT(B5331,"YYYY-MM")</f>
        <v/>
      </c>
    </row>
    <row r="5332">
      <c r="A5332" t="inlineStr">
        <is>
          <t>LD-305330</t>
        </is>
      </c>
      <c r="B5332" t="inlineStr">
        <is>
          <t>2025-12-10 12:37:00</t>
        </is>
      </c>
      <c r="C5332" t="inlineStr">
        <is>
          <t>Referral</t>
        </is>
      </c>
      <c r="D5332" t="inlineStr">
        <is>
          <t>Coding for Kids</t>
        </is>
      </c>
      <c r="E5332" t="inlineStr">
        <is>
          <t>International</t>
        </is>
      </c>
      <c r="F5332" t="inlineStr">
        <is>
          <t>Rep_10</t>
        </is>
      </c>
      <c r="G5332" t="n">
        <v>0.57</v>
      </c>
      <c r="H5332" t="inlineStr">
        <is>
          <t>Contacted</t>
        </is>
      </c>
      <c r="I5332" t="inlineStr">
        <is>
          <t>Open</t>
        </is>
      </c>
      <c r="M5332">
        <f>VLOOKUP(H5332,'Stage Order'!$A$2:$B$8,2,FALSE)</f>
        <v/>
      </c>
      <c r="N5332">
        <f>IF(G5332&lt;=1,"1. Under 1 hour",IF(G5332&lt;=24,"2. 1-24 hours",IF(G5332&lt;=72,"3. 1-3 days","4. Over 3 days")))</f>
        <v/>
      </c>
      <c r="O5332">
        <f>TEXT(B5332,"YYYY-MM")</f>
        <v/>
      </c>
    </row>
    <row r="5333">
      <c r="A5333" t="inlineStr">
        <is>
          <t>LD-305331</t>
        </is>
      </c>
      <c r="B5333" t="inlineStr">
        <is>
          <t>2025-05-20 17:57:00</t>
        </is>
      </c>
      <c r="C5333" t="inlineStr">
        <is>
          <t>Webinar</t>
        </is>
      </c>
      <c r="D5333" t="inlineStr">
        <is>
          <t>Language Learning</t>
        </is>
      </c>
      <c r="E5333" t="inlineStr">
        <is>
          <t>North Region</t>
        </is>
      </c>
      <c r="F5333" t="inlineStr">
        <is>
          <t>Rep_01</t>
        </is>
      </c>
      <c r="G5333" t="n">
        <v>1.18</v>
      </c>
      <c r="H5333" t="inlineStr">
        <is>
          <t>Demo Completed</t>
        </is>
      </c>
      <c r="I5333" t="inlineStr">
        <is>
          <t>Lost</t>
        </is>
      </c>
      <c r="J5333" t="inlineStr">
        <is>
          <t>Price Objection</t>
        </is>
      </c>
      <c r="K5333" t="n">
        <v>342.45</v>
      </c>
      <c r="L5333" t="inlineStr">
        <is>
          <t>2025-06-21 19:38:34.047918</t>
        </is>
      </c>
      <c r="M5333">
        <f>VLOOKUP(H5333,'Stage Order'!$A$2:$B$8,2,FALSE)</f>
        <v/>
      </c>
      <c r="N5333">
        <f>IF(G5333&lt;=1,"1. Under 1 hour",IF(G5333&lt;=24,"2. 1-24 hours",IF(G5333&lt;=72,"3. 1-3 days","4. Over 3 days")))</f>
        <v/>
      </c>
      <c r="O5333">
        <f>TEXT(B5333,"YYYY-MM")</f>
        <v/>
      </c>
    </row>
    <row r="5334">
      <c r="A5334" t="inlineStr">
        <is>
          <t>LD-305332</t>
        </is>
      </c>
      <c r="B5334" t="inlineStr">
        <is>
          <t>2025-01-31 14:54:00</t>
        </is>
      </c>
      <c r="C5334" t="inlineStr">
        <is>
          <t>Referral</t>
        </is>
      </c>
      <c r="D5334" t="inlineStr">
        <is>
          <t>K-12 Math</t>
        </is>
      </c>
      <c r="E5334" t="inlineStr">
        <is>
          <t>North Region</t>
        </is>
      </c>
      <c r="F5334" t="inlineStr">
        <is>
          <t>Rep_01</t>
        </is>
      </c>
      <c r="G5334" t="n">
        <v>10.13</v>
      </c>
      <c r="H5334" t="inlineStr">
        <is>
          <t>Closed</t>
        </is>
      </c>
      <c r="I5334" t="inlineStr">
        <is>
          <t>Won</t>
        </is>
      </c>
      <c r="K5334" t="n">
        <v>437.06</v>
      </c>
      <c r="L5334" t="inlineStr">
        <is>
          <t>2025-03-15 17:31:00.961339</t>
        </is>
      </c>
      <c r="M5334">
        <f>VLOOKUP(H5334,'Stage Order'!$A$2:$B$8,2,FALSE)</f>
        <v/>
      </c>
      <c r="N5334">
        <f>IF(G5334&lt;=1,"1. Under 1 hour",IF(G5334&lt;=24,"2. 1-24 hours",IF(G5334&lt;=72,"3. 1-3 days","4. Over 3 days")))</f>
        <v/>
      </c>
      <c r="O5334">
        <f>TEXT(B5334,"YYYY-MM")</f>
        <v/>
      </c>
    </row>
    <row r="5335">
      <c r="A5335" t="inlineStr">
        <is>
          <t>LD-305333</t>
        </is>
      </c>
      <c r="B5335" t="inlineStr">
        <is>
          <t>2025-08-08 14:28:00</t>
        </is>
      </c>
      <c r="C5335" t="inlineStr">
        <is>
          <t>Partner Channel</t>
        </is>
      </c>
      <c r="D5335" t="inlineStr">
        <is>
          <t>Competitive Exam Prep</t>
        </is>
      </c>
      <c r="E5335" t="inlineStr">
        <is>
          <t>East Region</t>
        </is>
      </c>
      <c r="F5335" t="inlineStr">
        <is>
          <t>Rep_09</t>
        </is>
      </c>
      <c r="G5335" t="n">
        <v>12.29</v>
      </c>
      <c r="H5335" t="inlineStr">
        <is>
          <t>Closed</t>
        </is>
      </c>
      <c r="I5335" t="inlineStr">
        <is>
          <t>Won</t>
        </is>
      </c>
      <c r="K5335" t="n">
        <v>1148.24</v>
      </c>
      <c r="L5335" t="inlineStr">
        <is>
          <t>2025-09-12 04:30:49.696468</t>
        </is>
      </c>
      <c r="M5335">
        <f>VLOOKUP(H5335,'Stage Order'!$A$2:$B$8,2,FALSE)</f>
        <v/>
      </c>
      <c r="N5335">
        <f>IF(G5335&lt;=1,"1. Under 1 hour",IF(G5335&lt;=24,"2. 1-24 hours",IF(G5335&lt;=72,"3. 1-3 days","4. Over 3 days")))</f>
        <v/>
      </c>
      <c r="O5335">
        <f>TEXT(B5335,"YYYY-MM")</f>
        <v/>
      </c>
    </row>
    <row r="5336">
      <c r="A5336" t="inlineStr">
        <is>
          <t>LD-305334</t>
        </is>
      </c>
      <c r="B5336" t="inlineStr">
        <is>
          <t>2026-04-17 14:54:00</t>
        </is>
      </c>
      <c r="C5336" t="inlineStr">
        <is>
          <t>Organic Search</t>
        </is>
      </c>
      <c r="D5336" t="inlineStr">
        <is>
          <t>Language Learning</t>
        </is>
      </c>
      <c r="E5336" t="inlineStr">
        <is>
          <t>North Region</t>
        </is>
      </c>
      <c r="F5336" t="inlineStr">
        <is>
          <t>Rep_06</t>
        </is>
      </c>
      <c r="G5336" t="n">
        <v>4.01</v>
      </c>
      <c r="H5336" t="inlineStr">
        <is>
          <t>Contacted</t>
        </is>
      </c>
      <c r="I5336" t="inlineStr">
        <is>
          <t>Open</t>
        </is>
      </c>
      <c r="M5336">
        <f>VLOOKUP(H5336,'Stage Order'!$A$2:$B$8,2,FALSE)</f>
        <v/>
      </c>
      <c r="N5336">
        <f>IF(G5336&lt;=1,"1. Under 1 hour",IF(G5336&lt;=24,"2. 1-24 hours",IF(G5336&lt;=72,"3. 1-3 days","4. Over 3 days")))</f>
        <v/>
      </c>
      <c r="O5336">
        <f>TEXT(B5336,"YYYY-MM")</f>
        <v/>
      </c>
    </row>
    <row r="5337">
      <c r="A5337" t="inlineStr">
        <is>
          <t>LD-305335</t>
        </is>
      </c>
      <c r="B5337" t="inlineStr">
        <is>
          <t>2025-09-05 20:43:00</t>
        </is>
      </c>
      <c r="C5337" t="inlineStr">
        <is>
          <t>Referral</t>
        </is>
      </c>
      <c r="D5337" t="inlineStr">
        <is>
          <t>K-12 Math</t>
        </is>
      </c>
      <c r="E5337" t="inlineStr">
        <is>
          <t>East Region</t>
        </is>
      </c>
      <c r="F5337" t="inlineStr">
        <is>
          <t>Rep_09</t>
        </is>
      </c>
      <c r="G5337" t="n">
        <v>1.15</v>
      </c>
      <c r="H5337" t="inlineStr">
        <is>
          <t>Demo Completed</t>
        </is>
      </c>
      <c r="I5337" t="inlineStr">
        <is>
          <t>Lost</t>
        </is>
      </c>
      <c r="J5337" t="inlineStr">
        <is>
          <t>No Response / Ghosted</t>
        </is>
      </c>
      <c r="K5337" t="n">
        <v>590.95</v>
      </c>
      <c r="L5337" t="inlineStr">
        <is>
          <t>2025-10-12 08:12:32.492127</t>
        </is>
      </c>
      <c r="M5337">
        <f>VLOOKUP(H5337,'Stage Order'!$A$2:$B$8,2,FALSE)</f>
        <v/>
      </c>
      <c r="N5337">
        <f>IF(G5337&lt;=1,"1. Under 1 hour",IF(G5337&lt;=24,"2. 1-24 hours",IF(G5337&lt;=72,"3. 1-3 days","4. Over 3 days")))</f>
        <v/>
      </c>
      <c r="O5337">
        <f>TEXT(B5337,"YYYY-MM")</f>
        <v/>
      </c>
    </row>
    <row r="5338">
      <c r="A5338" t="inlineStr">
        <is>
          <t>LD-305336</t>
        </is>
      </c>
      <c r="B5338" t="inlineStr">
        <is>
          <t>2026-01-01 16:37:00</t>
        </is>
      </c>
      <c r="C5338" t="inlineStr">
        <is>
          <t>Organic Search</t>
        </is>
      </c>
      <c r="D5338" t="inlineStr">
        <is>
          <t>K-12 Math</t>
        </is>
      </c>
      <c r="E5338" t="inlineStr">
        <is>
          <t>International</t>
        </is>
      </c>
      <c r="F5338" t="inlineStr">
        <is>
          <t>Rep_05</t>
        </is>
      </c>
      <c r="G5338" t="n">
        <v>1.97</v>
      </c>
      <c r="H5338" t="inlineStr">
        <is>
          <t>Contacted</t>
        </is>
      </c>
      <c r="I5338" t="inlineStr">
        <is>
          <t>Open</t>
        </is>
      </c>
      <c r="M5338">
        <f>VLOOKUP(H5338,'Stage Order'!$A$2:$B$8,2,FALSE)</f>
        <v/>
      </c>
      <c r="N5338">
        <f>IF(G5338&lt;=1,"1. Under 1 hour",IF(G5338&lt;=24,"2. 1-24 hours",IF(G5338&lt;=72,"3. 1-3 days","4. Over 3 days")))</f>
        <v/>
      </c>
      <c r="O5338">
        <f>TEXT(B5338,"YYYY-MM")</f>
        <v/>
      </c>
    </row>
    <row r="5339">
      <c r="A5339" t="inlineStr">
        <is>
          <t>LD-305337</t>
        </is>
      </c>
      <c r="B5339" t="inlineStr">
        <is>
          <t>2025-10-15 08:13:00</t>
        </is>
      </c>
      <c r="C5339" t="inlineStr">
        <is>
          <t>Paid Search</t>
        </is>
      </c>
      <c r="D5339" t="inlineStr">
        <is>
          <t>Competitive Exam Prep</t>
        </is>
      </c>
      <c r="E5339" t="inlineStr">
        <is>
          <t>International</t>
        </is>
      </c>
      <c r="F5339" t="inlineStr">
        <is>
          <t>Rep_10</t>
        </is>
      </c>
      <c r="G5339" t="n">
        <v>1.66</v>
      </c>
      <c r="H5339" t="inlineStr">
        <is>
          <t>Contacted</t>
        </is>
      </c>
      <c r="I5339" t="inlineStr">
        <is>
          <t>Open</t>
        </is>
      </c>
      <c r="M5339">
        <f>VLOOKUP(H5339,'Stage Order'!$A$2:$B$8,2,FALSE)</f>
        <v/>
      </c>
      <c r="N5339">
        <f>IF(G5339&lt;=1,"1. Under 1 hour",IF(G5339&lt;=24,"2. 1-24 hours",IF(G5339&lt;=72,"3. 1-3 days","4. Over 3 days")))</f>
        <v/>
      </c>
      <c r="O5339">
        <f>TEXT(B5339,"YYYY-MM")</f>
        <v/>
      </c>
    </row>
    <row r="5340">
      <c r="A5340" t="inlineStr">
        <is>
          <t>LD-305338</t>
        </is>
      </c>
      <c r="B5340" t="inlineStr">
        <is>
          <t>2025-07-10 17:46:00</t>
        </is>
      </c>
      <c r="C5340" t="inlineStr">
        <is>
          <t>Cold Outreach</t>
        </is>
      </c>
      <c r="D5340" t="inlineStr">
        <is>
          <t>Competitive Exam Prep</t>
        </is>
      </c>
      <c r="E5340" t="inlineStr">
        <is>
          <t>South Region</t>
        </is>
      </c>
      <c r="F5340" t="inlineStr">
        <is>
          <t>Rep_02</t>
        </is>
      </c>
      <c r="G5340" t="n">
        <v>1.33</v>
      </c>
      <c r="H5340" t="inlineStr">
        <is>
          <t>Proposal Sent</t>
        </is>
      </c>
      <c r="I5340" t="inlineStr">
        <is>
          <t>Lost</t>
        </is>
      </c>
      <c r="J5340" t="inlineStr">
        <is>
          <t>Bad Timing</t>
        </is>
      </c>
      <c r="K5340" t="n">
        <v>928.73</v>
      </c>
      <c r="L5340" t="inlineStr">
        <is>
          <t>2025-08-20 21:54:58.701925</t>
        </is>
      </c>
      <c r="M5340">
        <f>VLOOKUP(H5340,'Stage Order'!$A$2:$B$8,2,FALSE)</f>
        <v/>
      </c>
      <c r="N5340">
        <f>IF(G5340&lt;=1,"1. Under 1 hour",IF(G5340&lt;=24,"2. 1-24 hours",IF(G5340&lt;=72,"3. 1-3 days","4. Over 3 days")))</f>
        <v/>
      </c>
      <c r="O5340">
        <f>TEXT(B5340,"YYYY-MM")</f>
        <v/>
      </c>
    </row>
    <row r="5341">
      <c r="A5341" t="inlineStr">
        <is>
          <t>LD-305339</t>
        </is>
      </c>
      <c r="B5341" t="inlineStr">
        <is>
          <t>2025-08-29 13:28:00</t>
        </is>
      </c>
      <c r="C5341" t="inlineStr">
        <is>
          <t>Social Media</t>
        </is>
      </c>
      <c r="D5341" t="inlineStr">
        <is>
          <t>Competitive Exam Prep</t>
        </is>
      </c>
      <c r="E5341" t="inlineStr">
        <is>
          <t>North Region</t>
        </is>
      </c>
      <c r="F5341" t="inlineStr">
        <is>
          <t>Rep_01</t>
        </is>
      </c>
      <c r="G5341" t="n">
        <v>3.28</v>
      </c>
      <c r="H5341" t="inlineStr">
        <is>
          <t>Demo Completed</t>
        </is>
      </c>
      <c r="I5341" t="inlineStr">
        <is>
          <t>Lost</t>
        </is>
      </c>
      <c r="J5341" t="inlineStr">
        <is>
          <t>Price Objection</t>
        </is>
      </c>
      <c r="K5341" t="n">
        <v>828.63</v>
      </c>
      <c r="L5341" t="inlineStr">
        <is>
          <t>2025-09-22 15:19:10.505343</t>
        </is>
      </c>
      <c r="M5341">
        <f>VLOOKUP(H5341,'Stage Order'!$A$2:$B$8,2,FALSE)</f>
        <v/>
      </c>
      <c r="N5341">
        <f>IF(G5341&lt;=1,"1. Under 1 hour",IF(G5341&lt;=24,"2. 1-24 hours",IF(G5341&lt;=72,"3. 1-3 days","4. Over 3 days")))</f>
        <v/>
      </c>
      <c r="O5341">
        <f>TEXT(B5341,"YYYY-MM")</f>
        <v/>
      </c>
    </row>
    <row r="5342">
      <c r="A5342" t="inlineStr">
        <is>
          <t>LD-305340</t>
        </is>
      </c>
      <c r="B5342" t="inlineStr">
        <is>
          <t>2026-01-30 13:29:00</t>
        </is>
      </c>
      <c r="C5342" t="inlineStr">
        <is>
          <t>Cold Outreach</t>
        </is>
      </c>
      <c r="D5342" t="inlineStr">
        <is>
          <t>Competitive Exam Prep</t>
        </is>
      </c>
      <c r="E5342" t="inlineStr">
        <is>
          <t>North Region</t>
        </is>
      </c>
      <c r="F5342" t="inlineStr">
        <is>
          <t>Rep_06</t>
        </is>
      </c>
      <c r="G5342" t="n">
        <v>1.27</v>
      </c>
      <c r="H5342" t="inlineStr">
        <is>
          <t>Contacted</t>
        </is>
      </c>
      <c r="I5342" t="inlineStr">
        <is>
          <t>Open</t>
        </is>
      </c>
      <c r="M5342">
        <f>VLOOKUP(H5342,'Stage Order'!$A$2:$B$8,2,FALSE)</f>
        <v/>
      </c>
      <c r="N5342">
        <f>IF(G5342&lt;=1,"1. Under 1 hour",IF(G5342&lt;=24,"2. 1-24 hours",IF(G5342&lt;=72,"3. 1-3 days","4. Over 3 days")))</f>
        <v/>
      </c>
      <c r="O5342">
        <f>TEXT(B5342,"YYYY-MM")</f>
        <v/>
      </c>
    </row>
    <row r="5343">
      <c r="A5343" t="inlineStr">
        <is>
          <t>LD-305341</t>
        </is>
      </c>
      <c r="B5343" t="inlineStr">
        <is>
          <t>2025-03-28 16:25:00</t>
        </is>
      </c>
      <c r="C5343" t="inlineStr">
        <is>
          <t>Referral</t>
        </is>
      </c>
      <c r="D5343" t="inlineStr">
        <is>
          <t>Coding for Kids</t>
        </is>
      </c>
      <c r="E5343" t="inlineStr">
        <is>
          <t>North Region</t>
        </is>
      </c>
      <c r="F5343" t="inlineStr">
        <is>
          <t>Rep_06</t>
        </is>
      </c>
      <c r="G5343" t="n">
        <v>6.98</v>
      </c>
      <c r="H5343" t="inlineStr">
        <is>
          <t>Contacted</t>
        </is>
      </c>
      <c r="I5343" t="inlineStr">
        <is>
          <t>Open</t>
        </is>
      </c>
      <c r="M5343">
        <f>VLOOKUP(H5343,'Stage Order'!$A$2:$B$8,2,FALSE)</f>
        <v/>
      </c>
      <c r="N5343">
        <f>IF(G5343&lt;=1,"1. Under 1 hour",IF(G5343&lt;=24,"2. 1-24 hours",IF(G5343&lt;=72,"3. 1-3 days","4. Over 3 days")))</f>
        <v/>
      </c>
      <c r="O5343">
        <f>TEXT(B5343,"YYYY-MM")</f>
        <v/>
      </c>
    </row>
    <row r="5344">
      <c r="A5344" t="inlineStr">
        <is>
          <t>LD-305342</t>
        </is>
      </c>
      <c r="B5344" t="inlineStr">
        <is>
          <t>2025-01-06 10:44:00</t>
        </is>
      </c>
      <c r="C5344" t="inlineStr">
        <is>
          <t>Social Media</t>
        </is>
      </c>
      <c r="D5344" t="inlineStr">
        <is>
          <t>K-12 Math</t>
        </is>
      </c>
      <c r="E5344" t="inlineStr">
        <is>
          <t>West Region</t>
        </is>
      </c>
      <c r="F5344" t="inlineStr">
        <is>
          <t>Rep_08</t>
        </is>
      </c>
      <c r="G5344" t="n">
        <v>5.06</v>
      </c>
      <c r="H5344" t="inlineStr">
        <is>
          <t>Lead</t>
        </is>
      </c>
      <c r="I5344" t="inlineStr">
        <is>
          <t>Open</t>
        </is>
      </c>
      <c r="M5344">
        <f>VLOOKUP(H5344,'Stage Order'!$A$2:$B$8,2,FALSE)</f>
        <v/>
      </c>
      <c r="N5344">
        <f>IF(G5344&lt;=1,"1. Under 1 hour",IF(G5344&lt;=24,"2. 1-24 hours",IF(G5344&lt;=72,"3. 1-3 days","4. Over 3 days")))</f>
        <v/>
      </c>
      <c r="O5344">
        <f>TEXT(B5344,"YYYY-MM")</f>
        <v/>
      </c>
    </row>
    <row r="5345">
      <c r="A5345" t="inlineStr">
        <is>
          <t>LD-305343</t>
        </is>
      </c>
      <c r="B5345" t="inlineStr">
        <is>
          <t>2025-08-04 08:21:00</t>
        </is>
      </c>
      <c r="C5345" t="inlineStr">
        <is>
          <t>Paid Search</t>
        </is>
      </c>
      <c r="D5345" t="inlineStr">
        <is>
          <t>Coding for Kids</t>
        </is>
      </c>
      <c r="E5345" t="inlineStr">
        <is>
          <t>North Region</t>
        </is>
      </c>
      <c r="F5345" t="inlineStr">
        <is>
          <t>Rep_11</t>
        </is>
      </c>
      <c r="G5345" t="n">
        <v>0.76</v>
      </c>
      <c r="H5345" t="inlineStr">
        <is>
          <t>Negotiation</t>
        </is>
      </c>
      <c r="I5345" t="inlineStr">
        <is>
          <t>Lost</t>
        </is>
      </c>
      <c r="J5345" t="inlineStr">
        <is>
          <t>No Response / Ghosted</t>
        </is>
      </c>
      <c r="K5345" t="n">
        <v>614.9400000000001</v>
      </c>
      <c r="L5345" t="inlineStr">
        <is>
          <t>2025-09-26 23:21:27.253467</t>
        </is>
      </c>
      <c r="M5345">
        <f>VLOOKUP(H5345,'Stage Order'!$A$2:$B$8,2,FALSE)</f>
        <v/>
      </c>
      <c r="N5345">
        <f>IF(G5345&lt;=1,"1. Under 1 hour",IF(G5345&lt;=24,"2. 1-24 hours",IF(G5345&lt;=72,"3. 1-3 days","4. Over 3 days")))</f>
        <v/>
      </c>
      <c r="O5345">
        <f>TEXT(B5345,"YYYY-MM")</f>
        <v/>
      </c>
    </row>
    <row r="5346">
      <c r="A5346" t="inlineStr">
        <is>
          <t>LD-305344</t>
        </is>
      </c>
      <c r="B5346" t="inlineStr">
        <is>
          <t>2026-05-25 10:47:00</t>
        </is>
      </c>
      <c r="C5346" t="inlineStr">
        <is>
          <t>Webinar</t>
        </is>
      </c>
      <c r="D5346" t="inlineStr">
        <is>
          <t>Coding for Kids</t>
        </is>
      </c>
      <c r="E5346" t="inlineStr">
        <is>
          <t>North Region</t>
        </is>
      </c>
      <c r="F5346" t="inlineStr">
        <is>
          <t>Rep_11</t>
        </is>
      </c>
      <c r="G5346" t="n">
        <v>9.68</v>
      </c>
      <c r="H5346" t="inlineStr">
        <is>
          <t>Negotiation</t>
        </is>
      </c>
      <c r="I5346" t="inlineStr">
        <is>
          <t>Lost</t>
        </is>
      </c>
      <c r="J5346" t="inlineStr">
        <is>
          <t>Price Objection</t>
        </is>
      </c>
      <c r="K5346" t="n">
        <v>577.5700000000001</v>
      </c>
      <c r="L5346" t="inlineStr">
        <is>
          <t>2026-07-06 06:20:25.993103</t>
        </is>
      </c>
      <c r="M5346">
        <f>VLOOKUP(H5346,'Stage Order'!$A$2:$B$8,2,FALSE)</f>
        <v/>
      </c>
      <c r="N5346">
        <f>IF(G5346&lt;=1,"1. Under 1 hour",IF(G5346&lt;=24,"2. 1-24 hours",IF(G5346&lt;=72,"3. 1-3 days","4. Over 3 days")))</f>
        <v/>
      </c>
      <c r="O5346">
        <f>TEXT(B5346,"YYYY-MM")</f>
        <v/>
      </c>
    </row>
    <row r="5347">
      <c r="A5347" t="inlineStr">
        <is>
          <t>LD-305345</t>
        </is>
      </c>
      <c r="B5347" t="inlineStr">
        <is>
          <t>2025-11-01 08:08:00</t>
        </is>
      </c>
      <c r="C5347" t="inlineStr">
        <is>
          <t>Organic Search</t>
        </is>
      </c>
      <c r="D5347" t="inlineStr">
        <is>
          <t>K-12 Math</t>
        </is>
      </c>
      <c r="E5347" t="inlineStr">
        <is>
          <t>West Region</t>
        </is>
      </c>
      <c r="F5347" t="inlineStr">
        <is>
          <t>Rep_03</t>
        </is>
      </c>
      <c r="G5347" t="n">
        <v>3.75</v>
      </c>
      <c r="H5347" t="inlineStr">
        <is>
          <t>Contacted</t>
        </is>
      </c>
      <c r="I5347" t="inlineStr">
        <is>
          <t>Open</t>
        </is>
      </c>
      <c r="M5347">
        <f>VLOOKUP(H5347,'Stage Order'!$A$2:$B$8,2,FALSE)</f>
        <v/>
      </c>
      <c r="N5347">
        <f>IF(G5347&lt;=1,"1. Under 1 hour",IF(G5347&lt;=24,"2. 1-24 hours",IF(G5347&lt;=72,"3. 1-3 days","4. Over 3 days")))</f>
        <v/>
      </c>
      <c r="O5347">
        <f>TEXT(B5347,"YYYY-MM")</f>
        <v/>
      </c>
    </row>
    <row r="5348">
      <c r="A5348" t="inlineStr">
        <is>
          <t>LD-305346</t>
        </is>
      </c>
      <c r="B5348" t="inlineStr">
        <is>
          <t>2026-02-11 13:22:00</t>
        </is>
      </c>
      <c r="C5348" t="inlineStr">
        <is>
          <t>Partner Channel</t>
        </is>
      </c>
      <c r="D5348" t="inlineStr">
        <is>
          <t>Competitive Exam Prep</t>
        </is>
      </c>
      <c r="E5348" t="inlineStr">
        <is>
          <t>West Region</t>
        </is>
      </c>
      <c r="F5348" t="inlineStr">
        <is>
          <t>Rep_03</t>
        </is>
      </c>
      <c r="G5348" t="n">
        <v>7.9</v>
      </c>
      <c r="H5348" t="inlineStr">
        <is>
          <t>Demo Completed</t>
        </is>
      </c>
      <c r="I5348" t="inlineStr">
        <is>
          <t>Lost</t>
        </is>
      </c>
      <c r="J5348" t="inlineStr">
        <is>
          <t>Bad Timing</t>
        </is>
      </c>
      <c r="K5348" t="n">
        <v>872.08</v>
      </c>
      <c r="L5348" t="inlineStr">
        <is>
          <t>2026-03-12 19:21:12.928602</t>
        </is>
      </c>
      <c r="M5348">
        <f>VLOOKUP(H5348,'Stage Order'!$A$2:$B$8,2,FALSE)</f>
        <v/>
      </c>
      <c r="N5348">
        <f>IF(G5348&lt;=1,"1. Under 1 hour",IF(G5348&lt;=24,"2. 1-24 hours",IF(G5348&lt;=72,"3. 1-3 days","4. Over 3 days")))</f>
        <v/>
      </c>
      <c r="O5348">
        <f>TEXT(B5348,"YYYY-MM")</f>
        <v/>
      </c>
    </row>
    <row r="5349">
      <c r="A5349" t="inlineStr">
        <is>
          <t>LD-305347</t>
        </is>
      </c>
      <c r="B5349" t="inlineStr">
        <is>
          <t>2025-01-27 17:33:00</t>
        </is>
      </c>
      <c r="C5349" t="inlineStr">
        <is>
          <t>Paid Search</t>
        </is>
      </c>
      <c r="D5349" t="inlineStr">
        <is>
          <t>Coding for Kids</t>
        </is>
      </c>
      <c r="E5349" t="inlineStr">
        <is>
          <t>South Region</t>
        </is>
      </c>
      <c r="F5349" t="inlineStr">
        <is>
          <t>Rep_07</t>
        </is>
      </c>
      <c r="G5349" t="n">
        <v>2.96</v>
      </c>
      <c r="H5349" t="inlineStr">
        <is>
          <t>Contacted</t>
        </is>
      </c>
      <c r="I5349" t="inlineStr">
        <is>
          <t>Open</t>
        </is>
      </c>
      <c r="M5349">
        <f>VLOOKUP(H5349,'Stage Order'!$A$2:$B$8,2,FALSE)</f>
        <v/>
      </c>
      <c r="N5349">
        <f>IF(G5349&lt;=1,"1. Under 1 hour",IF(G5349&lt;=24,"2. 1-24 hours",IF(G5349&lt;=72,"3. 1-3 days","4. Over 3 days")))</f>
        <v/>
      </c>
      <c r="O5349">
        <f>TEXT(B5349,"YYYY-MM")</f>
        <v/>
      </c>
    </row>
    <row r="5350">
      <c r="A5350" t="inlineStr">
        <is>
          <t>LD-305348</t>
        </is>
      </c>
      <c r="B5350" t="inlineStr">
        <is>
          <t>2025-10-17 19:07:00</t>
        </is>
      </c>
      <c r="C5350" t="inlineStr">
        <is>
          <t>Referral</t>
        </is>
      </c>
      <c r="D5350" t="inlineStr">
        <is>
          <t>Study Abroad Prep</t>
        </is>
      </c>
      <c r="E5350" t="inlineStr">
        <is>
          <t>South Region</t>
        </is>
      </c>
      <c r="F5350" t="inlineStr">
        <is>
          <t>Rep_07</t>
        </is>
      </c>
      <c r="G5350" t="n">
        <v>1.45</v>
      </c>
      <c r="H5350" t="inlineStr">
        <is>
          <t>Contacted</t>
        </is>
      </c>
      <c r="I5350" t="inlineStr">
        <is>
          <t>Open</t>
        </is>
      </c>
      <c r="M5350">
        <f>VLOOKUP(H5350,'Stage Order'!$A$2:$B$8,2,FALSE)</f>
        <v/>
      </c>
      <c r="N5350">
        <f>IF(G5350&lt;=1,"1. Under 1 hour",IF(G5350&lt;=24,"2. 1-24 hours",IF(G5350&lt;=72,"3. 1-3 days","4. Over 3 days")))</f>
        <v/>
      </c>
      <c r="O5350">
        <f>TEXT(B5350,"YYYY-MM")</f>
        <v/>
      </c>
    </row>
    <row r="5351">
      <c r="A5351" t="inlineStr">
        <is>
          <t>LD-305349</t>
        </is>
      </c>
      <c r="B5351" t="inlineStr">
        <is>
          <t>2025-06-07 14:53:00</t>
        </is>
      </c>
      <c r="C5351" t="inlineStr">
        <is>
          <t>Paid Search</t>
        </is>
      </c>
      <c r="D5351" t="inlineStr">
        <is>
          <t>Study Abroad Prep</t>
        </is>
      </c>
      <c r="E5351" t="inlineStr">
        <is>
          <t>West Region</t>
        </is>
      </c>
      <c r="F5351" t="inlineStr">
        <is>
          <t>Rep_08</t>
        </is>
      </c>
      <c r="G5351" t="n">
        <v>2.34</v>
      </c>
      <c r="H5351" t="inlineStr">
        <is>
          <t>Demo Completed</t>
        </is>
      </c>
      <c r="I5351" t="inlineStr">
        <is>
          <t>Lost</t>
        </is>
      </c>
      <c r="J5351" t="inlineStr">
        <is>
          <t>Bad Timing</t>
        </is>
      </c>
      <c r="K5351" t="n">
        <v>1617.41</v>
      </c>
      <c r="L5351" t="inlineStr">
        <is>
          <t>2025-07-06 17:10:46.452230</t>
        </is>
      </c>
      <c r="M5351">
        <f>VLOOKUP(H5351,'Stage Order'!$A$2:$B$8,2,FALSE)</f>
        <v/>
      </c>
      <c r="N5351">
        <f>IF(G5351&lt;=1,"1. Under 1 hour",IF(G5351&lt;=24,"2. 1-24 hours",IF(G5351&lt;=72,"3. 1-3 days","4. Over 3 days")))</f>
        <v/>
      </c>
      <c r="O5351">
        <f>TEXT(B5351,"YYYY-MM")</f>
        <v/>
      </c>
    </row>
    <row r="5352">
      <c r="A5352" t="inlineStr">
        <is>
          <t>LD-305350</t>
        </is>
      </c>
      <c r="B5352" t="inlineStr">
        <is>
          <t>2025-10-28 10:15:00</t>
        </is>
      </c>
      <c r="C5352" t="inlineStr">
        <is>
          <t>Organic Search</t>
        </is>
      </c>
      <c r="D5352" t="inlineStr">
        <is>
          <t>Competitive Exam Prep</t>
        </is>
      </c>
      <c r="E5352" t="inlineStr">
        <is>
          <t>South Region</t>
        </is>
      </c>
      <c r="F5352" t="inlineStr">
        <is>
          <t>Rep_12</t>
        </is>
      </c>
      <c r="G5352" t="n">
        <v>5.87</v>
      </c>
      <c r="H5352" t="inlineStr">
        <is>
          <t>Demo Completed</t>
        </is>
      </c>
      <c r="I5352" t="inlineStr">
        <is>
          <t>Lost</t>
        </is>
      </c>
      <c r="J5352" t="inlineStr">
        <is>
          <t>No Response / Ghosted</t>
        </is>
      </c>
      <c r="K5352" t="n">
        <v>1128.17</v>
      </c>
      <c r="L5352" t="inlineStr">
        <is>
          <t>2025-12-06 05:02:49.946627</t>
        </is>
      </c>
      <c r="M5352">
        <f>VLOOKUP(H5352,'Stage Order'!$A$2:$B$8,2,FALSE)</f>
        <v/>
      </c>
      <c r="N5352">
        <f>IF(G5352&lt;=1,"1. Under 1 hour",IF(G5352&lt;=24,"2. 1-24 hours",IF(G5352&lt;=72,"3. 1-3 days","4. Over 3 days")))</f>
        <v/>
      </c>
      <c r="O5352">
        <f>TEXT(B5352,"YYYY-MM")</f>
        <v/>
      </c>
    </row>
    <row r="5353">
      <c r="A5353" t="inlineStr">
        <is>
          <t>LD-305351</t>
        </is>
      </c>
      <c r="B5353" t="inlineStr">
        <is>
          <t>2025-10-28 19:37:00</t>
        </is>
      </c>
      <c r="C5353" t="inlineStr">
        <is>
          <t>Social Media</t>
        </is>
      </c>
      <c r="D5353" t="inlineStr">
        <is>
          <t>Competitive Exam Prep</t>
        </is>
      </c>
      <c r="E5353" t="inlineStr">
        <is>
          <t>South Region</t>
        </is>
      </c>
      <c r="F5353" t="inlineStr">
        <is>
          <t>Rep_07</t>
        </is>
      </c>
      <c r="G5353" t="n">
        <v>0.73</v>
      </c>
      <c r="H5353" t="inlineStr">
        <is>
          <t>Contacted</t>
        </is>
      </c>
      <c r="I5353" t="inlineStr">
        <is>
          <t>Open</t>
        </is>
      </c>
      <c r="M5353">
        <f>VLOOKUP(H5353,'Stage Order'!$A$2:$B$8,2,FALSE)</f>
        <v/>
      </c>
      <c r="N5353">
        <f>IF(G5353&lt;=1,"1. Under 1 hour",IF(G5353&lt;=24,"2. 1-24 hours",IF(G5353&lt;=72,"3. 1-3 days","4. Over 3 days")))</f>
        <v/>
      </c>
      <c r="O5353">
        <f>TEXT(B5353,"YYYY-MM")</f>
        <v/>
      </c>
    </row>
    <row r="5354">
      <c r="A5354" t="inlineStr">
        <is>
          <t>LD-305352</t>
        </is>
      </c>
      <c r="B5354" t="inlineStr">
        <is>
          <t>2025-06-30 19:36:00</t>
        </is>
      </c>
      <c r="C5354" t="inlineStr">
        <is>
          <t>Referral</t>
        </is>
      </c>
      <c r="D5354" t="inlineStr">
        <is>
          <t>Competitive Exam Prep</t>
        </is>
      </c>
      <c r="E5354" t="inlineStr">
        <is>
          <t>North Region</t>
        </is>
      </c>
      <c r="F5354" t="inlineStr">
        <is>
          <t>Rep_06</t>
        </is>
      </c>
      <c r="G5354" t="n">
        <v>4.92</v>
      </c>
      <c r="H5354" t="inlineStr">
        <is>
          <t>Lead</t>
        </is>
      </c>
      <c r="I5354" t="inlineStr">
        <is>
          <t>Open</t>
        </is>
      </c>
      <c r="M5354">
        <f>VLOOKUP(H5354,'Stage Order'!$A$2:$B$8,2,FALSE)</f>
        <v/>
      </c>
      <c r="N5354">
        <f>IF(G5354&lt;=1,"1. Under 1 hour",IF(G5354&lt;=24,"2. 1-24 hours",IF(G5354&lt;=72,"3. 1-3 days","4. Over 3 days")))</f>
        <v/>
      </c>
      <c r="O5354">
        <f>TEXT(B5354,"YYYY-MM")</f>
        <v/>
      </c>
    </row>
    <row r="5355">
      <c r="A5355" t="inlineStr">
        <is>
          <t>LD-305353</t>
        </is>
      </c>
      <c r="B5355" t="inlineStr">
        <is>
          <t>2025-03-30 18:29:00</t>
        </is>
      </c>
      <c r="C5355" t="inlineStr">
        <is>
          <t>Organic Search</t>
        </is>
      </c>
      <c r="D5355" t="inlineStr">
        <is>
          <t>K-12 Math</t>
        </is>
      </c>
      <c r="E5355" t="inlineStr">
        <is>
          <t>West Region</t>
        </is>
      </c>
      <c r="F5355" t="inlineStr">
        <is>
          <t>Rep_08</t>
        </is>
      </c>
      <c r="G5355" t="n">
        <v>1.09</v>
      </c>
      <c r="H5355" t="inlineStr">
        <is>
          <t>Contacted</t>
        </is>
      </c>
      <c r="I5355" t="inlineStr">
        <is>
          <t>Open</t>
        </is>
      </c>
      <c r="M5355">
        <f>VLOOKUP(H5355,'Stage Order'!$A$2:$B$8,2,FALSE)</f>
        <v/>
      </c>
      <c r="N5355">
        <f>IF(G5355&lt;=1,"1. Under 1 hour",IF(G5355&lt;=24,"2. 1-24 hours",IF(G5355&lt;=72,"3. 1-3 days","4. Over 3 days")))</f>
        <v/>
      </c>
      <c r="O5355">
        <f>TEXT(B5355,"YYYY-MM")</f>
        <v/>
      </c>
    </row>
    <row r="5356">
      <c r="A5356" t="inlineStr">
        <is>
          <t>LD-305354</t>
        </is>
      </c>
      <c r="B5356" t="inlineStr">
        <is>
          <t>2026-06-26 19:45:00</t>
        </is>
      </c>
      <c r="C5356" t="inlineStr">
        <is>
          <t>Organic Search</t>
        </is>
      </c>
      <c r="D5356" t="inlineStr">
        <is>
          <t>Competitive Exam Prep</t>
        </is>
      </c>
      <c r="E5356" t="inlineStr">
        <is>
          <t>South Region</t>
        </is>
      </c>
      <c r="F5356" t="inlineStr">
        <is>
          <t>Rep_12</t>
        </is>
      </c>
      <c r="G5356" t="n">
        <v>1.06</v>
      </c>
      <c r="H5356" t="inlineStr">
        <is>
          <t>Contacted</t>
        </is>
      </c>
      <c r="I5356" t="inlineStr">
        <is>
          <t>Open</t>
        </is>
      </c>
      <c r="M5356">
        <f>VLOOKUP(H5356,'Stage Order'!$A$2:$B$8,2,FALSE)</f>
        <v/>
      </c>
      <c r="N5356">
        <f>IF(G5356&lt;=1,"1. Under 1 hour",IF(G5356&lt;=24,"2. 1-24 hours",IF(G5356&lt;=72,"3. 1-3 days","4. Over 3 days")))</f>
        <v/>
      </c>
      <c r="O5356">
        <f>TEXT(B5356,"YYYY-MM")</f>
        <v/>
      </c>
    </row>
    <row r="5357">
      <c r="A5357" t="inlineStr">
        <is>
          <t>LD-305355</t>
        </is>
      </c>
      <c r="B5357" t="inlineStr">
        <is>
          <t>2026-06-18 10:12:00</t>
        </is>
      </c>
      <c r="C5357" t="inlineStr">
        <is>
          <t>Paid Search</t>
        </is>
      </c>
      <c r="D5357" t="inlineStr">
        <is>
          <t>Competitive Exam Prep</t>
        </is>
      </c>
      <c r="E5357" t="inlineStr">
        <is>
          <t>East Region</t>
        </is>
      </c>
      <c r="F5357" t="inlineStr">
        <is>
          <t>Rep_14</t>
        </is>
      </c>
      <c r="G5357" t="n">
        <v>10</v>
      </c>
      <c r="H5357" t="inlineStr">
        <is>
          <t>Contacted</t>
        </is>
      </c>
      <c r="I5357" t="inlineStr">
        <is>
          <t>Open</t>
        </is>
      </c>
      <c r="M5357">
        <f>VLOOKUP(H5357,'Stage Order'!$A$2:$B$8,2,FALSE)</f>
        <v/>
      </c>
      <c r="N5357">
        <f>IF(G5357&lt;=1,"1. Under 1 hour",IF(G5357&lt;=24,"2. 1-24 hours",IF(G5357&lt;=72,"3. 1-3 days","4. Over 3 days")))</f>
        <v/>
      </c>
      <c r="O5357">
        <f>TEXT(B5357,"YYYY-MM")</f>
        <v/>
      </c>
    </row>
    <row r="5358">
      <c r="A5358" t="inlineStr">
        <is>
          <t>LD-305356</t>
        </is>
      </c>
      <c r="B5358" t="inlineStr">
        <is>
          <t>2026-05-07 14:39:00</t>
        </is>
      </c>
      <c r="C5358" t="inlineStr">
        <is>
          <t>Partner Channel</t>
        </is>
      </c>
      <c r="D5358" t="inlineStr">
        <is>
          <t>Competitive Exam Prep</t>
        </is>
      </c>
      <c r="E5358" t="inlineStr">
        <is>
          <t>North Region</t>
        </is>
      </c>
      <c r="F5358" t="inlineStr">
        <is>
          <t>Rep_11</t>
        </is>
      </c>
      <c r="G5358" t="n">
        <v>0.7</v>
      </c>
      <c r="H5358" t="inlineStr">
        <is>
          <t>Contacted</t>
        </is>
      </c>
      <c r="I5358" t="inlineStr">
        <is>
          <t>Open</t>
        </is>
      </c>
      <c r="M5358">
        <f>VLOOKUP(H5358,'Stage Order'!$A$2:$B$8,2,FALSE)</f>
        <v/>
      </c>
      <c r="N5358">
        <f>IF(G5358&lt;=1,"1. Under 1 hour",IF(G5358&lt;=24,"2. 1-24 hours",IF(G5358&lt;=72,"3. 1-3 days","4. Over 3 days")))</f>
        <v/>
      </c>
      <c r="O5358">
        <f>TEXT(B5358,"YYYY-MM")</f>
        <v/>
      </c>
    </row>
    <row r="5359">
      <c r="A5359" t="inlineStr">
        <is>
          <t>LD-305357</t>
        </is>
      </c>
      <c r="B5359" t="inlineStr">
        <is>
          <t>2025-09-24 14:14:00</t>
        </is>
      </c>
      <c r="C5359" t="inlineStr">
        <is>
          <t>Organic Search</t>
        </is>
      </c>
      <c r="D5359" t="inlineStr">
        <is>
          <t>Study Abroad Prep</t>
        </is>
      </c>
      <c r="E5359" t="inlineStr">
        <is>
          <t>East Region</t>
        </is>
      </c>
      <c r="F5359" t="inlineStr">
        <is>
          <t>Rep_14</t>
        </is>
      </c>
      <c r="G5359" t="n">
        <v>2.9</v>
      </c>
      <c r="H5359" t="inlineStr">
        <is>
          <t>Contacted</t>
        </is>
      </c>
      <c r="I5359" t="inlineStr">
        <is>
          <t>Open</t>
        </is>
      </c>
      <c r="M5359">
        <f>VLOOKUP(H5359,'Stage Order'!$A$2:$B$8,2,FALSE)</f>
        <v/>
      </c>
      <c r="N5359">
        <f>IF(G5359&lt;=1,"1. Under 1 hour",IF(G5359&lt;=24,"2. 1-24 hours",IF(G5359&lt;=72,"3. 1-3 days","4. Over 3 days")))</f>
        <v/>
      </c>
      <c r="O5359">
        <f>TEXT(B5359,"YYYY-MM")</f>
        <v/>
      </c>
    </row>
    <row r="5360">
      <c r="A5360" t="inlineStr">
        <is>
          <t>LD-305358</t>
        </is>
      </c>
      <c r="B5360" t="inlineStr">
        <is>
          <t>2025-08-09 07:19:00</t>
        </is>
      </c>
      <c r="C5360" t="inlineStr">
        <is>
          <t>Social Media</t>
        </is>
      </c>
      <c r="D5360" t="inlineStr">
        <is>
          <t>K-12 Math</t>
        </is>
      </c>
      <c r="E5360" t="inlineStr">
        <is>
          <t>International</t>
        </is>
      </c>
      <c r="F5360" t="inlineStr">
        <is>
          <t>Rep_05</t>
        </is>
      </c>
      <c r="G5360" t="n">
        <v>3.25</v>
      </c>
      <c r="H5360" t="inlineStr">
        <is>
          <t>Demo Completed</t>
        </is>
      </c>
      <c r="I5360" t="inlineStr">
        <is>
          <t>Lost</t>
        </is>
      </c>
      <c r="J5360" t="inlineStr">
        <is>
          <t>Budget Not Approved</t>
        </is>
      </c>
      <c r="K5360" t="n">
        <v>563.54</v>
      </c>
      <c r="L5360" t="inlineStr">
        <is>
          <t>2025-09-09 15:22:11.203984</t>
        </is>
      </c>
      <c r="M5360">
        <f>VLOOKUP(H5360,'Stage Order'!$A$2:$B$8,2,FALSE)</f>
        <v/>
      </c>
      <c r="N5360">
        <f>IF(G5360&lt;=1,"1. Under 1 hour",IF(G5360&lt;=24,"2. 1-24 hours",IF(G5360&lt;=72,"3. 1-3 days","4. Over 3 days")))</f>
        <v/>
      </c>
      <c r="O5360">
        <f>TEXT(B5360,"YYYY-MM")</f>
        <v/>
      </c>
    </row>
    <row r="5361">
      <c r="A5361" t="inlineStr">
        <is>
          <t>LD-305359</t>
        </is>
      </c>
      <c r="B5361" t="inlineStr">
        <is>
          <t>2026-03-18 11:24:00</t>
        </is>
      </c>
      <c r="C5361" t="inlineStr">
        <is>
          <t>Webinar</t>
        </is>
      </c>
      <c r="D5361" t="inlineStr">
        <is>
          <t>Study Abroad Prep</t>
        </is>
      </c>
      <c r="E5361" t="inlineStr">
        <is>
          <t>South Region</t>
        </is>
      </c>
      <c r="F5361" t="inlineStr">
        <is>
          <t>Rep_12</t>
        </is>
      </c>
      <c r="G5361" t="n">
        <v>7.01</v>
      </c>
      <c r="H5361" t="inlineStr">
        <is>
          <t>Contacted</t>
        </is>
      </c>
      <c r="I5361" t="inlineStr">
        <is>
          <t>Open</t>
        </is>
      </c>
      <c r="M5361">
        <f>VLOOKUP(H5361,'Stage Order'!$A$2:$B$8,2,FALSE)</f>
        <v/>
      </c>
      <c r="N5361">
        <f>IF(G5361&lt;=1,"1. Under 1 hour",IF(G5361&lt;=24,"2. 1-24 hours",IF(G5361&lt;=72,"3. 1-3 days","4. Over 3 days")))</f>
        <v/>
      </c>
      <c r="O5361">
        <f>TEXT(B5361,"YYYY-MM")</f>
        <v/>
      </c>
    </row>
    <row r="5362">
      <c r="A5362" t="inlineStr">
        <is>
          <t>LD-305360</t>
        </is>
      </c>
      <c r="B5362" t="inlineStr">
        <is>
          <t>2025-07-31 12:37:00</t>
        </is>
      </c>
      <c r="C5362" t="inlineStr">
        <is>
          <t>Social Media</t>
        </is>
      </c>
      <c r="D5362" t="inlineStr">
        <is>
          <t>Coding for Kids</t>
        </is>
      </c>
      <c r="E5362" t="inlineStr">
        <is>
          <t>West Region</t>
        </is>
      </c>
      <c r="F5362" t="inlineStr">
        <is>
          <t>Rep_03</t>
        </is>
      </c>
      <c r="G5362" t="n">
        <v>15.39</v>
      </c>
      <c r="H5362" t="inlineStr">
        <is>
          <t>Lead</t>
        </is>
      </c>
      <c r="I5362" t="inlineStr">
        <is>
          <t>Open</t>
        </is>
      </c>
      <c r="M5362">
        <f>VLOOKUP(H5362,'Stage Order'!$A$2:$B$8,2,FALSE)</f>
        <v/>
      </c>
      <c r="N5362">
        <f>IF(G5362&lt;=1,"1. Under 1 hour",IF(G5362&lt;=24,"2. 1-24 hours",IF(G5362&lt;=72,"3. 1-3 days","4. Over 3 days")))</f>
        <v/>
      </c>
      <c r="O5362">
        <f>TEXT(B5362,"YYYY-MM")</f>
        <v/>
      </c>
    </row>
    <row r="5363">
      <c r="A5363" t="inlineStr">
        <is>
          <t>LD-305361</t>
        </is>
      </c>
      <c r="B5363" t="inlineStr">
        <is>
          <t>2026-06-05 15:55:00</t>
        </is>
      </c>
      <c r="C5363" t="inlineStr">
        <is>
          <t>Paid Search</t>
        </is>
      </c>
      <c r="D5363" t="inlineStr">
        <is>
          <t>K-12 Math</t>
        </is>
      </c>
      <c r="E5363" t="inlineStr">
        <is>
          <t>South Region</t>
        </is>
      </c>
      <c r="F5363" t="inlineStr">
        <is>
          <t>Rep_12</t>
        </is>
      </c>
      <c r="G5363" t="n">
        <v>4.69</v>
      </c>
      <c r="H5363" t="inlineStr">
        <is>
          <t>Contacted</t>
        </is>
      </c>
      <c r="I5363" t="inlineStr">
        <is>
          <t>Open</t>
        </is>
      </c>
      <c r="M5363">
        <f>VLOOKUP(H5363,'Stage Order'!$A$2:$B$8,2,FALSE)</f>
        <v/>
      </c>
      <c r="N5363">
        <f>IF(G5363&lt;=1,"1. Under 1 hour",IF(G5363&lt;=24,"2. 1-24 hours",IF(G5363&lt;=72,"3. 1-3 days","4. Over 3 days")))</f>
        <v/>
      </c>
      <c r="O5363">
        <f>TEXT(B5363,"YYYY-MM")</f>
        <v/>
      </c>
    </row>
    <row r="5364">
      <c r="A5364" t="inlineStr">
        <is>
          <t>LD-305362</t>
        </is>
      </c>
      <c r="B5364" t="inlineStr">
        <is>
          <t>2026-05-14 14:27:00</t>
        </is>
      </c>
      <c r="C5364" t="inlineStr">
        <is>
          <t>Organic Search</t>
        </is>
      </c>
      <c r="D5364" t="inlineStr">
        <is>
          <t>K-12 Math</t>
        </is>
      </c>
      <c r="E5364" t="inlineStr">
        <is>
          <t>East Region</t>
        </is>
      </c>
      <c r="F5364" t="inlineStr">
        <is>
          <t>Rep_04</t>
        </is>
      </c>
      <c r="G5364" t="n">
        <v>26.38</v>
      </c>
      <c r="H5364" t="inlineStr">
        <is>
          <t>Lead</t>
        </is>
      </c>
      <c r="I5364" t="inlineStr">
        <is>
          <t>Open</t>
        </is>
      </c>
      <c r="M5364">
        <f>VLOOKUP(H5364,'Stage Order'!$A$2:$B$8,2,FALSE)</f>
        <v/>
      </c>
      <c r="N5364">
        <f>IF(G5364&lt;=1,"1. Under 1 hour",IF(G5364&lt;=24,"2. 1-24 hours",IF(G5364&lt;=72,"3. 1-3 days","4. Over 3 days")))</f>
        <v/>
      </c>
      <c r="O5364">
        <f>TEXT(B5364,"YYYY-MM")</f>
        <v/>
      </c>
    </row>
    <row r="5365">
      <c r="A5365" t="inlineStr">
        <is>
          <t>LD-305363</t>
        </is>
      </c>
      <c r="B5365" t="inlineStr">
        <is>
          <t>2025-02-08 16:34:00</t>
        </is>
      </c>
      <c r="C5365" t="inlineStr">
        <is>
          <t>Paid Search</t>
        </is>
      </c>
      <c r="D5365" t="inlineStr">
        <is>
          <t>Competitive Exam Prep</t>
        </is>
      </c>
      <c r="E5365" t="inlineStr">
        <is>
          <t>West Region</t>
        </is>
      </c>
      <c r="F5365" t="inlineStr">
        <is>
          <t>Rep_08</t>
        </is>
      </c>
      <c r="G5365" t="n">
        <v>1.57</v>
      </c>
      <c r="H5365" t="inlineStr">
        <is>
          <t>Lead</t>
        </is>
      </c>
      <c r="I5365" t="inlineStr">
        <is>
          <t>Open</t>
        </is>
      </c>
      <c r="M5365">
        <f>VLOOKUP(H5365,'Stage Order'!$A$2:$B$8,2,FALSE)</f>
        <v/>
      </c>
      <c r="N5365">
        <f>IF(G5365&lt;=1,"1. Under 1 hour",IF(G5365&lt;=24,"2. 1-24 hours",IF(G5365&lt;=72,"3. 1-3 days","4. Over 3 days")))</f>
        <v/>
      </c>
      <c r="O5365">
        <f>TEXT(B5365,"YYYY-MM")</f>
        <v/>
      </c>
    </row>
    <row r="5366">
      <c r="A5366" t="inlineStr">
        <is>
          <t>LD-305364</t>
        </is>
      </c>
      <c r="B5366" t="inlineStr">
        <is>
          <t>2026-04-16 08:38:00</t>
        </is>
      </c>
      <c r="C5366" t="inlineStr">
        <is>
          <t>Partner Channel</t>
        </is>
      </c>
      <c r="D5366" t="inlineStr">
        <is>
          <t>Language Learning</t>
        </is>
      </c>
      <c r="E5366" t="inlineStr">
        <is>
          <t>East Region</t>
        </is>
      </c>
      <c r="F5366" t="inlineStr">
        <is>
          <t>Rep_09</t>
        </is>
      </c>
      <c r="G5366" t="n">
        <v>15.33</v>
      </c>
      <c r="H5366" t="inlineStr">
        <is>
          <t>Closed</t>
        </is>
      </c>
      <c r="I5366" t="inlineStr">
        <is>
          <t>Won</t>
        </is>
      </c>
      <c r="K5366" t="n">
        <v>374.41</v>
      </c>
      <c r="L5366" t="inlineStr">
        <is>
          <t>2026-05-24 11:18:24.772053</t>
        </is>
      </c>
      <c r="M5366">
        <f>VLOOKUP(H5366,'Stage Order'!$A$2:$B$8,2,FALSE)</f>
        <v/>
      </c>
      <c r="N5366">
        <f>IF(G5366&lt;=1,"1. Under 1 hour",IF(G5366&lt;=24,"2. 1-24 hours",IF(G5366&lt;=72,"3. 1-3 days","4. Over 3 days")))</f>
        <v/>
      </c>
      <c r="O5366">
        <f>TEXT(B5366,"YYYY-MM")</f>
        <v/>
      </c>
    </row>
    <row r="5367">
      <c r="A5367" t="inlineStr">
        <is>
          <t>LD-305365</t>
        </is>
      </c>
      <c r="B5367" t="inlineStr">
        <is>
          <t>2025-10-10 12:11:00</t>
        </is>
      </c>
      <c r="C5367" t="inlineStr">
        <is>
          <t>Social Media</t>
        </is>
      </c>
      <c r="D5367" t="inlineStr">
        <is>
          <t>Competitive Exam Prep</t>
        </is>
      </c>
      <c r="E5367" t="inlineStr">
        <is>
          <t>East Region</t>
        </is>
      </c>
      <c r="F5367" t="inlineStr">
        <is>
          <t>Rep_09</t>
        </is>
      </c>
      <c r="G5367" t="n">
        <v>5.7</v>
      </c>
      <c r="H5367" t="inlineStr">
        <is>
          <t>Lead</t>
        </is>
      </c>
      <c r="I5367" t="inlineStr">
        <is>
          <t>Open</t>
        </is>
      </c>
      <c r="M5367">
        <f>VLOOKUP(H5367,'Stage Order'!$A$2:$B$8,2,FALSE)</f>
        <v/>
      </c>
      <c r="N5367">
        <f>IF(G5367&lt;=1,"1. Under 1 hour",IF(G5367&lt;=24,"2. 1-24 hours",IF(G5367&lt;=72,"3. 1-3 days","4. Over 3 days")))</f>
        <v/>
      </c>
      <c r="O5367">
        <f>TEXT(B5367,"YYYY-MM")</f>
        <v/>
      </c>
    </row>
    <row r="5368">
      <c r="A5368" t="inlineStr">
        <is>
          <t>LD-305366</t>
        </is>
      </c>
      <c r="B5368" t="inlineStr">
        <is>
          <t>2025-03-15 19:21:00</t>
        </is>
      </c>
      <c r="C5368" t="inlineStr">
        <is>
          <t>Paid Search</t>
        </is>
      </c>
      <c r="D5368" t="inlineStr">
        <is>
          <t>K-12 Math</t>
        </is>
      </c>
      <c r="E5368" t="inlineStr">
        <is>
          <t>South Region</t>
        </is>
      </c>
      <c r="F5368" t="inlineStr">
        <is>
          <t>Rep_02</t>
        </is>
      </c>
      <c r="G5368" t="n">
        <v>15.47</v>
      </c>
      <c r="H5368" t="inlineStr">
        <is>
          <t>Contacted</t>
        </is>
      </c>
      <c r="I5368" t="inlineStr">
        <is>
          <t>Open</t>
        </is>
      </c>
      <c r="M5368">
        <f>VLOOKUP(H5368,'Stage Order'!$A$2:$B$8,2,FALSE)</f>
        <v/>
      </c>
      <c r="N5368">
        <f>IF(G5368&lt;=1,"1. Under 1 hour",IF(G5368&lt;=24,"2. 1-24 hours",IF(G5368&lt;=72,"3. 1-3 days","4. Over 3 days")))</f>
        <v/>
      </c>
      <c r="O5368">
        <f>TEXT(B5368,"YYYY-MM")</f>
        <v/>
      </c>
    </row>
    <row r="5369">
      <c r="A5369" t="inlineStr">
        <is>
          <t>LD-305367</t>
        </is>
      </c>
      <c r="B5369" t="inlineStr">
        <is>
          <t>2026-02-04 17:14:00</t>
        </is>
      </c>
      <c r="C5369" t="inlineStr">
        <is>
          <t>Paid Search</t>
        </is>
      </c>
      <c r="D5369" t="inlineStr">
        <is>
          <t>Language Learning</t>
        </is>
      </c>
      <c r="E5369" t="inlineStr">
        <is>
          <t>North Region</t>
        </is>
      </c>
      <c r="F5369" t="inlineStr">
        <is>
          <t>Rep_11</t>
        </is>
      </c>
      <c r="G5369" t="n">
        <v>5.75</v>
      </c>
      <c r="H5369" t="inlineStr">
        <is>
          <t>Lead</t>
        </is>
      </c>
      <c r="I5369" t="inlineStr">
        <is>
          <t>Open</t>
        </is>
      </c>
      <c r="M5369">
        <f>VLOOKUP(H5369,'Stage Order'!$A$2:$B$8,2,FALSE)</f>
        <v/>
      </c>
      <c r="N5369">
        <f>IF(G5369&lt;=1,"1. Under 1 hour",IF(G5369&lt;=24,"2. 1-24 hours",IF(G5369&lt;=72,"3. 1-3 days","4. Over 3 days")))</f>
        <v/>
      </c>
      <c r="O5369">
        <f>TEXT(B5369,"YYYY-MM")</f>
        <v/>
      </c>
    </row>
    <row r="5370">
      <c r="A5370" t="inlineStr">
        <is>
          <t>LD-305368</t>
        </is>
      </c>
      <c r="B5370" t="inlineStr">
        <is>
          <t>2026-03-29 08:42:00</t>
        </is>
      </c>
      <c r="C5370" t="inlineStr">
        <is>
          <t>Organic Search</t>
        </is>
      </c>
      <c r="D5370" t="inlineStr">
        <is>
          <t>Language Learning</t>
        </is>
      </c>
      <c r="E5370" t="inlineStr">
        <is>
          <t>South Region</t>
        </is>
      </c>
      <c r="F5370" t="inlineStr">
        <is>
          <t>Rep_12</t>
        </is>
      </c>
      <c r="G5370" t="n">
        <v>0.6</v>
      </c>
      <c r="H5370" t="inlineStr">
        <is>
          <t>Closed</t>
        </is>
      </c>
      <c r="I5370" t="inlineStr">
        <is>
          <t>Won</t>
        </is>
      </c>
      <c r="K5370" t="n">
        <v>303.54</v>
      </c>
      <c r="L5370" t="inlineStr">
        <is>
          <t>2026-05-13 06:30:10.510130</t>
        </is>
      </c>
      <c r="M5370">
        <f>VLOOKUP(H5370,'Stage Order'!$A$2:$B$8,2,FALSE)</f>
        <v/>
      </c>
      <c r="N5370">
        <f>IF(G5370&lt;=1,"1. Under 1 hour",IF(G5370&lt;=24,"2. 1-24 hours",IF(G5370&lt;=72,"3. 1-3 days","4. Over 3 days")))</f>
        <v/>
      </c>
      <c r="O5370">
        <f>TEXT(B5370,"YYYY-MM")</f>
        <v/>
      </c>
    </row>
    <row r="5371">
      <c r="A5371" t="inlineStr">
        <is>
          <t>LD-305369</t>
        </is>
      </c>
      <c r="B5371" t="inlineStr">
        <is>
          <t>2025-06-27 18:59:00</t>
        </is>
      </c>
      <c r="C5371" t="inlineStr">
        <is>
          <t>Cold Outreach</t>
        </is>
      </c>
      <c r="D5371" t="inlineStr">
        <is>
          <t>Coding for Kids</t>
        </is>
      </c>
      <c r="E5371" t="inlineStr">
        <is>
          <t>West Region</t>
        </is>
      </c>
      <c r="F5371" t="inlineStr">
        <is>
          <t>Rep_03</t>
        </is>
      </c>
      <c r="G5371" t="n">
        <v>3.44</v>
      </c>
      <c r="H5371" t="inlineStr">
        <is>
          <t>Contacted</t>
        </is>
      </c>
      <c r="I5371" t="inlineStr">
        <is>
          <t>Open</t>
        </is>
      </c>
      <c r="M5371">
        <f>VLOOKUP(H5371,'Stage Order'!$A$2:$B$8,2,FALSE)</f>
        <v/>
      </c>
      <c r="N5371">
        <f>IF(G5371&lt;=1,"1. Under 1 hour",IF(G5371&lt;=24,"2. 1-24 hours",IF(G5371&lt;=72,"3. 1-3 days","4. Over 3 days")))</f>
        <v/>
      </c>
      <c r="O5371">
        <f>TEXT(B5371,"YYYY-MM")</f>
        <v/>
      </c>
    </row>
    <row r="5372">
      <c r="A5372" t="inlineStr">
        <is>
          <t>LD-305370</t>
        </is>
      </c>
      <c r="B5372" t="inlineStr">
        <is>
          <t>2026-01-09 09:43:00</t>
        </is>
      </c>
      <c r="C5372" t="inlineStr">
        <is>
          <t>Webinar</t>
        </is>
      </c>
      <c r="D5372" t="inlineStr">
        <is>
          <t>K-12 Math</t>
        </is>
      </c>
      <c r="E5372" t="inlineStr">
        <is>
          <t>International</t>
        </is>
      </c>
      <c r="F5372" t="inlineStr">
        <is>
          <t>Rep_05</t>
        </is>
      </c>
      <c r="G5372" t="n">
        <v>2.09</v>
      </c>
      <c r="H5372" t="inlineStr">
        <is>
          <t>Contacted</t>
        </is>
      </c>
      <c r="I5372" t="inlineStr">
        <is>
          <t>Open</t>
        </is>
      </c>
      <c r="M5372">
        <f>VLOOKUP(H5372,'Stage Order'!$A$2:$B$8,2,FALSE)</f>
        <v/>
      </c>
      <c r="N5372">
        <f>IF(G5372&lt;=1,"1. Under 1 hour",IF(G5372&lt;=24,"2. 1-24 hours",IF(G5372&lt;=72,"3. 1-3 days","4. Over 3 days")))</f>
        <v/>
      </c>
      <c r="O5372">
        <f>TEXT(B5372,"YYYY-MM")</f>
        <v/>
      </c>
    </row>
    <row r="5373">
      <c r="A5373" t="inlineStr">
        <is>
          <t>LD-305371</t>
        </is>
      </c>
      <c r="B5373" t="inlineStr">
        <is>
          <t>2026-05-07 20:06:00</t>
        </is>
      </c>
      <c r="C5373" t="inlineStr">
        <is>
          <t>Social Media</t>
        </is>
      </c>
      <c r="D5373" t="inlineStr">
        <is>
          <t>K-12 Math</t>
        </is>
      </c>
      <c r="E5373" t="inlineStr">
        <is>
          <t>South Region</t>
        </is>
      </c>
      <c r="F5373" t="inlineStr">
        <is>
          <t>Rep_12</t>
        </is>
      </c>
      <c r="G5373" t="n">
        <v>1.06</v>
      </c>
      <c r="H5373" t="inlineStr">
        <is>
          <t>Contacted</t>
        </is>
      </c>
      <c r="I5373" t="inlineStr">
        <is>
          <t>Open</t>
        </is>
      </c>
      <c r="M5373">
        <f>VLOOKUP(H5373,'Stage Order'!$A$2:$B$8,2,FALSE)</f>
        <v/>
      </c>
      <c r="N5373">
        <f>IF(G5373&lt;=1,"1. Under 1 hour",IF(G5373&lt;=24,"2. 1-24 hours",IF(G5373&lt;=72,"3. 1-3 days","4. Over 3 days")))</f>
        <v/>
      </c>
      <c r="O5373">
        <f>TEXT(B5373,"YYYY-MM")</f>
        <v/>
      </c>
    </row>
    <row r="5374">
      <c r="A5374" t="inlineStr">
        <is>
          <t>LD-305372</t>
        </is>
      </c>
      <c r="B5374" t="inlineStr">
        <is>
          <t>2025-11-07 10:28:00</t>
        </is>
      </c>
      <c r="C5374" t="inlineStr">
        <is>
          <t>Organic Search</t>
        </is>
      </c>
      <c r="D5374" t="inlineStr">
        <is>
          <t>K-12 Math</t>
        </is>
      </c>
      <c r="E5374" t="inlineStr">
        <is>
          <t>North Region</t>
        </is>
      </c>
      <c r="F5374" t="inlineStr">
        <is>
          <t>Rep_11</t>
        </is>
      </c>
      <c r="G5374" t="n">
        <v>2.58</v>
      </c>
      <c r="H5374" t="inlineStr">
        <is>
          <t>Proposal Sent</t>
        </is>
      </c>
      <c r="I5374" t="inlineStr">
        <is>
          <t>Lost</t>
        </is>
      </c>
      <c r="J5374" t="inlineStr">
        <is>
          <t>No Response / Ghosted</t>
        </is>
      </c>
      <c r="K5374" t="n">
        <v>580.97</v>
      </c>
      <c r="L5374" t="inlineStr">
        <is>
          <t>2025-12-23 10:19:52.972102</t>
        </is>
      </c>
      <c r="M5374">
        <f>VLOOKUP(H5374,'Stage Order'!$A$2:$B$8,2,FALSE)</f>
        <v/>
      </c>
      <c r="N5374">
        <f>IF(G5374&lt;=1,"1. Under 1 hour",IF(G5374&lt;=24,"2. 1-24 hours",IF(G5374&lt;=72,"3. 1-3 days","4. Over 3 days")))</f>
        <v/>
      </c>
      <c r="O5374">
        <f>TEXT(B5374,"YYYY-MM")</f>
        <v/>
      </c>
    </row>
    <row r="5375">
      <c r="A5375" t="inlineStr">
        <is>
          <t>LD-305373</t>
        </is>
      </c>
      <c r="B5375" t="inlineStr">
        <is>
          <t>2025-10-20 08:25:00</t>
        </is>
      </c>
      <c r="C5375" t="inlineStr">
        <is>
          <t>Social Media</t>
        </is>
      </c>
      <c r="D5375" t="inlineStr">
        <is>
          <t>Language Learning</t>
        </is>
      </c>
      <c r="E5375" t="inlineStr">
        <is>
          <t>South Region</t>
        </is>
      </c>
      <c r="F5375" t="inlineStr">
        <is>
          <t>Rep_02</t>
        </is>
      </c>
      <c r="G5375" t="n">
        <v>4.85</v>
      </c>
      <c r="H5375" t="inlineStr">
        <is>
          <t>Contacted</t>
        </is>
      </c>
      <c r="I5375" t="inlineStr">
        <is>
          <t>Open</t>
        </is>
      </c>
      <c r="M5375">
        <f>VLOOKUP(H5375,'Stage Order'!$A$2:$B$8,2,FALSE)</f>
        <v/>
      </c>
      <c r="N5375">
        <f>IF(G5375&lt;=1,"1. Under 1 hour",IF(G5375&lt;=24,"2. 1-24 hours",IF(G5375&lt;=72,"3. 1-3 days","4. Over 3 days")))</f>
        <v/>
      </c>
      <c r="O5375">
        <f>TEXT(B5375,"YYYY-MM")</f>
        <v/>
      </c>
    </row>
    <row r="5376">
      <c r="A5376" t="inlineStr">
        <is>
          <t>LD-305374</t>
        </is>
      </c>
      <c r="B5376" t="inlineStr">
        <is>
          <t>2026-02-15 07:07:00</t>
        </is>
      </c>
      <c r="C5376" t="inlineStr">
        <is>
          <t>Cold Outreach</t>
        </is>
      </c>
      <c r="D5376" t="inlineStr">
        <is>
          <t>Study Abroad Prep</t>
        </is>
      </c>
      <c r="E5376" t="inlineStr">
        <is>
          <t>South Region</t>
        </is>
      </c>
      <c r="F5376" t="inlineStr">
        <is>
          <t>Rep_07</t>
        </is>
      </c>
      <c r="G5376" t="n">
        <v>2.59</v>
      </c>
      <c r="H5376" t="inlineStr">
        <is>
          <t>Lead</t>
        </is>
      </c>
      <c r="I5376" t="inlineStr">
        <is>
          <t>Open</t>
        </is>
      </c>
      <c r="M5376">
        <f>VLOOKUP(H5376,'Stage Order'!$A$2:$B$8,2,FALSE)</f>
        <v/>
      </c>
      <c r="N5376">
        <f>IF(G5376&lt;=1,"1. Under 1 hour",IF(G5376&lt;=24,"2. 1-24 hours",IF(G5376&lt;=72,"3. 1-3 days","4. Over 3 days")))</f>
        <v/>
      </c>
      <c r="O5376">
        <f>TEXT(B5376,"YYYY-MM")</f>
        <v/>
      </c>
    </row>
    <row r="5377">
      <c r="A5377" t="inlineStr">
        <is>
          <t>LD-305375</t>
        </is>
      </c>
      <c r="B5377" t="inlineStr">
        <is>
          <t>2025-03-19 15:29:00</t>
        </is>
      </c>
      <c r="C5377" t="inlineStr">
        <is>
          <t>Paid Search</t>
        </is>
      </c>
      <c r="D5377" t="inlineStr">
        <is>
          <t>K-12 Math</t>
        </is>
      </c>
      <c r="E5377" t="inlineStr">
        <is>
          <t>South Region</t>
        </is>
      </c>
      <c r="F5377" t="inlineStr">
        <is>
          <t>Rep_07</t>
        </is>
      </c>
      <c r="G5377" t="n">
        <v>1.41</v>
      </c>
      <c r="H5377" t="inlineStr">
        <is>
          <t>Contacted</t>
        </is>
      </c>
      <c r="I5377" t="inlineStr">
        <is>
          <t>Open</t>
        </is>
      </c>
      <c r="M5377">
        <f>VLOOKUP(H5377,'Stage Order'!$A$2:$B$8,2,FALSE)</f>
        <v/>
      </c>
      <c r="N5377">
        <f>IF(G5377&lt;=1,"1. Under 1 hour",IF(G5377&lt;=24,"2. 1-24 hours",IF(G5377&lt;=72,"3. 1-3 days","4. Over 3 days")))</f>
        <v/>
      </c>
      <c r="O5377">
        <f>TEXT(B5377,"YYYY-MM")</f>
        <v/>
      </c>
    </row>
    <row r="5378">
      <c r="A5378" t="inlineStr">
        <is>
          <t>LD-305376</t>
        </is>
      </c>
      <c r="B5378" t="inlineStr">
        <is>
          <t>2025-02-21 15:23:00</t>
        </is>
      </c>
      <c r="C5378" t="inlineStr">
        <is>
          <t>Organic Search</t>
        </is>
      </c>
      <c r="D5378" t="inlineStr">
        <is>
          <t>Competitive Exam Prep</t>
        </is>
      </c>
      <c r="E5378" t="inlineStr">
        <is>
          <t>South Region</t>
        </is>
      </c>
      <c r="F5378" t="inlineStr">
        <is>
          <t>Rep_12</t>
        </is>
      </c>
      <c r="G5378" t="n">
        <v>0.22</v>
      </c>
      <c r="H5378" t="inlineStr">
        <is>
          <t>Contacted</t>
        </is>
      </c>
      <c r="I5378" t="inlineStr">
        <is>
          <t>Open</t>
        </is>
      </c>
      <c r="M5378">
        <f>VLOOKUP(H5378,'Stage Order'!$A$2:$B$8,2,FALSE)</f>
        <v/>
      </c>
      <c r="N5378">
        <f>IF(G5378&lt;=1,"1. Under 1 hour",IF(G5378&lt;=24,"2. 1-24 hours",IF(G5378&lt;=72,"3. 1-3 days","4. Over 3 days")))</f>
        <v/>
      </c>
      <c r="O5378">
        <f>TEXT(B5378,"YYYY-MM")</f>
        <v/>
      </c>
    </row>
    <row r="5379">
      <c r="A5379" t="inlineStr">
        <is>
          <t>LD-305377</t>
        </is>
      </c>
      <c r="B5379" t="inlineStr">
        <is>
          <t>2026-04-14 17:12:00</t>
        </is>
      </c>
      <c r="C5379" t="inlineStr">
        <is>
          <t>Organic Search</t>
        </is>
      </c>
      <c r="D5379" t="inlineStr">
        <is>
          <t>Coding for Kids</t>
        </is>
      </c>
      <c r="E5379" t="inlineStr">
        <is>
          <t>East Region</t>
        </is>
      </c>
      <c r="F5379" t="inlineStr">
        <is>
          <t>Rep_04</t>
        </is>
      </c>
      <c r="G5379" t="n">
        <v>2.85</v>
      </c>
      <c r="H5379" t="inlineStr">
        <is>
          <t>Contacted</t>
        </is>
      </c>
      <c r="I5379" t="inlineStr">
        <is>
          <t>Open</t>
        </is>
      </c>
      <c r="M5379">
        <f>VLOOKUP(H5379,'Stage Order'!$A$2:$B$8,2,FALSE)</f>
        <v/>
      </c>
      <c r="N5379">
        <f>IF(G5379&lt;=1,"1. Under 1 hour",IF(G5379&lt;=24,"2. 1-24 hours",IF(G5379&lt;=72,"3. 1-3 days","4. Over 3 days")))</f>
        <v/>
      </c>
      <c r="O5379">
        <f>TEXT(B5379,"YYYY-MM")</f>
        <v/>
      </c>
    </row>
    <row r="5380">
      <c r="A5380" t="inlineStr">
        <is>
          <t>LD-305378</t>
        </is>
      </c>
      <c r="B5380" t="inlineStr">
        <is>
          <t>2025-03-21 07:45:00</t>
        </is>
      </c>
      <c r="C5380" t="inlineStr">
        <is>
          <t>Webinar</t>
        </is>
      </c>
      <c r="D5380" t="inlineStr">
        <is>
          <t>Competitive Exam Prep</t>
        </is>
      </c>
      <c r="E5380" t="inlineStr">
        <is>
          <t>South Region</t>
        </is>
      </c>
      <c r="F5380" t="inlineStr">
        <is>
          <t>Rep_02</t>
        </is>
      </c>
      <c r="G5380" t="n">
        <v>12.99</v>
      </c>
      <c r="H5380" t="inlineStr">
        <is>
          <t>Negotiation</t>
        </is>
      </c>
      <c r="I5380" t="inlineStr">
        <is>
          <t>Lost</t>
        </is>
      </c>
      <c r="J5380" t="inlineStr">
        <is>
          <t>Price Objection</t>
        </is>
      </c>
      <c r="K5380" t="n">
        <v>955.78</v>
      </c>
      <c r="L5380" t="inlineStr">
        <is>
          <t>2025-04-21 14:37:18.356140</t>
        </is>
      </c>
      <c r="M5380">
        <f>VLOOKUP(H5380,'Stage Order'!$A$2:$B$8,2,FALSE)</f>
        <v/>
      </c>
      <c r="N5380">
        <f>IF(G5380&lt;=1,"1. Under 1 hour",IF(G5380&lt;=24,"2. 1-24 hours",IF(G5380&lt;=72,"3. 1-3 days","4. Over 3 days")))</f>
        <v/>
      </c>
      <c r="O5380">
        <f>TEXT(B5380,"YYYY-MM")</f>
        <v/>
      </c>
    </row>
    <row r="5381">
      <c r="A5381" t="inlineStr">
        <is>
          <t>LD-305379</t>
        </is>
      </c>
      <c r="B5381" t="inlineStr">
        <is>
          <t>2025-10-21 19:20:00</t>
        </is>
      </c>
      <c r="C5381" t="inlineStr">
        <is>
          <t>Social Media</t>
        </is>
      </c>
      <c r="D5381" t="inlineStr">
        <is>
          <t>Language Learning</t>
        </is>
      </c>
      <c r="E5381" t="inlineStr">
        <is>
          <t>International</t>
        </is>
      </c>
      <c r="F5381" t="inlineStr">
        <is>
          <t>Rep_10</t>
        </is>
      </c>
      <c r="G5381" t="n">
        <v>0.51</v>
      </c>
      <c r="H5381" t="inlineStr">
        <is>
          <t>Demo Scheduled</t>
        </is>
      </c>
      <c r="I5381" t="inlineStr">
        <is>
          <t>Open</t>
        </is>
      </c>
      <c r="M5381">
        <f>VLOOKUP(H5381,'Stage Order'!$A$2:$B$8,2,FALSE)</f>
        <v/>
      </c>
      <c r="N5381">
        <f>IF(G5381&lt;=1,"1. Under 1 hour",IF(G5381&lt;=24,"2. 1-24 hours",IF(G5381&lt;=72,"3. 1-3 days","4. Over 3 days")))</f>
        <v/>
      </c>
      <c r="O5381">
        <f>TEXT(B5381,"YYYY-MM")</f>
        <v/>
      </c>
    </row>
    <row r="5382">
      <c r="A5382" t="inlineStr">
        <is>
          <t>LD-305380</t>
        </is>
      </c>
      <c r="B5382" t="inlineStr">
        <is>
          <t>2025-08-05 08:20:00</t>
        </is>
      </c>
      <c r="C5382" t="inlineStr">
        <is>
          <t>Organic Search</t>
        </is>
      </c>
      <c r="D5382" t="inlineStr">
        <is>
          <t>K-12 Math</t>
        </is>
      </c>
      <c r="E5382" t="inlineStr">
        <is>
          <t>South Region</t>
        </is>
      </c>
      <c r="F5382" t="inlineStr">
        <is>
          <t>Rep_02</t>
        </is>
      </c>
      <c r="G5382" t="n">
        <v>2.37</v>
      </c>
      <c r="H5382" t="inlineStr">
        <is>
          <t>Negotiation</t>
        </is>
      </c>
      <c r="I5382" t="inlineStr">
        <is>
          <t>Lost</t>
        </is>
      </c>
      <c r="J5382" t="inlineStr">
        <is>
          <t>No Response / Ghosted</t>
        </is>
      </c>
      <c r="K5382" t="n">
        <v>592.11</v>
      </c>
      <c r="L5382" t="inlineStr">
        <is>
          <t>2025-09-06 10:41:10.895803</t>
        </is>
      </c>
      <c r="M5382">
        <f>VLOOKUP(H5382,'Stage Order'!$A$2:$B$8,2,FALSE)</f>
        <v/>
      </c>
      <c r="N5382">
        <f>IF(G5382&lt;=1,"1. Under 1 hour",IF(G5382&lt;=24,"2. 1-24 hours",IF(G5382&lt;=72,"3. 1-3 days","4. Over 3 days")))</f>
        <v/>
      </c>
      <c r="O5382">
        <f>TEXT(B5382,"YYYY-MM")</f>
        <v/>
      </c>
    </row>
    <row r="5383">
      <c r="A5383" t="inlineStr">
        <is>
          <t>LD-305381</t>
        </is>
      </c>
      <c r="B5383" t="inlineStr">
        <is>
          <t>2026-02-25 11:36:00</t>
        </is>
      </c>
      <c r="C5383" t="inlineStr">
        <is>
          <t>Social Media</t>
        </is>
      </c>
      <c r="D5383" t="inlineStr">
        <is>
          <t>K-12 Math</t>
        </is>
      </c>
      <c r="E5383" t="inlineStr">
        <is>
          <t>East Region</t>
        </is>
      </c>
      <c r="F5383" t="inlineStr">
        <is>
          <t>Rep_04</t>
        </is>
      </c>
      <c r="G5383" t="n">
        <v>3.56</v>
      </c>
      <c r="H5383" t="inlineStr">
        <is>
          <t>Lead</t>
        </is>
      </c>
      <c r="I5383" t="inlineStr">
        <is>
          <t>Open</t>
        </is>
      </c>
      <c r="M5383">
        <f>VLOOKUP(H5383,'Stage Order'!$A$2:$B$8,2,FALSE)</f>
        <v/>
      </c>
      <c r="N5383">
        <f>IF(G5383&lt;=1,"1. Under 1 hour",IF(G5383&lt;=24,"2. 1-24 hours",IF(G5383&lt;=72,"3. 1-3 days","4. Over 3 days")))</f>
        <v/>
      </c>
      <c r="O5383">
        <f>TEXT(B5383,"YYYY-MM")</f>
        <v/>
      </c>
    </row>
    <row r="5384">
      <c r="A5384" t="inlineStr">
        <is>
          <t>LD-305382</t>
        </is>
      </c>
      <c r="B5384" t="inlineStr">
        <is>
          <t>2025-10-23 11:59:00</t>
        </is>
      </c>
      <c r="C5384" t="inlineStr">
        <is>
          <t>Social Media</t>
        </is>
      </c>
      <c r="D5384" t="inlineStr">
        <is>
          <t>Study Abroad Prep</t>
        </is>
      </c>
      <c r="E5384" t="inlineStr">
        <is>
          <t>International</t>
        </is>
      </c>
      <c r="F5384" t="inlineStr">
        <is>
          <t>Rep_15</t>
        </is>
      </c>
      <c r="G5384" t="n">
        <v>2.04</v>
      </c>
      <c r="H5384" t="inlineStr">
        <is>
          <t>Lead</t>
        </is>
      </c>
      <c r="I5384" t="inlineStr">
        <is>
          <t>Open</t>
        </is>
      </c>
      <c r="M5384">
        <f>VLOOKUP(H5384,'Stage Order'!$A$2:$B$8,2,FALSE)</f>
        <v/>
      </c>
      <c r="N5384">
        <f>IF(G5384&lt;=1,"1. Under 1 hour",IF(G5384&lt;=24,"2. 1-24 hours",IF(G5384&lt;=72,"3. 1-3 days","4. Over 3 days")))</f>
        <v/>
      </c>
      <c r="O5384">
        <f>TEXT(B5384,"YYYY-MM")</f>
        <v/>
      </c>
    </row>
    <row r="5385">
      <c r="A5385" t="inlineStr">
        <is>
          <t>LD-305383</t>
        </is>
      </c>
      <c r="B5385" t="inlineStr">
        <is>
          <t>2025-08-18 17:57:00</t>
        </is>
      </c>
      <c r="C5385" t="inlineStr">
        <is>
          <t>Paid Search</t>
        </is>
      </c>
      <c r="D5385" t="inlineStr">
        <is>
          <t>Competitive Exam Prep</t>
        </is>
      </c>
      <c r="E5385" t="inlineStr">
        <is>
          <t>East Region</t>
        </is>
      </c>
      <c r="F5385" t="inlineStr">
        <is>
          <t>Rep_14</t>
        </is>
      </c>
      <c r="G5385" t="n">
        <v>2.75</v>
      </c>
      <c r="H5385" t="inlineStr">
        <is>
          <t>Contacted</t>
        </is>
      </c>
      <c r="I5385" t="inlineStr">
        <is>
          <t>Open</t>
        </is>
      </c>
      <c r="M5385">
        <f>VLOOKUP(H5385,'Stage Order'!$A$2:$B$8,2,FALSE)</f>
        <v/>
      </c>
      <c r="N5385">
        <f>IF(G5385&lt;=1,"1. Under 1 hour",IF(G5385&lt;=24,"2. 1-24 hours",IF(G5385&lt;=72,"3. 1-3 days","4. Over 3 days")))</f>
        <v/>
      </c>
      <c r="O5385">
        <f>TEXT(B5385,"YYYY-MM")</f>
        <v/>
      </c>
    </row>
    <row r="5386">
      <c r="A5386" t="inlineStr">
        <is>
          <t>LD-305384</t>
        </is>
      </c>
      <c r="B5386" t="inlineStr">
        <is>
          <t>2026-04-20 16:48:00</t>
        </is>
      </c>
      <c r="C5386" t="inlineStr">
        <is>
          <t>Social Media</t>
        </is>
      </c>
      <c r="D5386" t="inlineStr">
        <is>
          <t>Study Abroad Prep</t>
        </is>
      </c>
      <c r="E5386" t="inlineStr">
        <is>
          <t>South Region</t>
        </is>
      </c>
      <c r="F5386" t="inlineStr">
        <is>
          <t>Rep_12</t>
        </is>
      </c>
      <c r="G5386" t="n">
        <v>3.71</v>
      </c>
      <c r="H5386" t="inlineStr">
        <is>
          <t>Closed</t>
        </is>
      </c>
      <c r="I5386" t="inlineStr">
        <is>
          <t>Won</t>
        </is>
      </c>
      <c r="K5386" t="n">
        <v>1717.38</v>
      </c>
      <c r="L5386" t="inlineStr">
        <is>
          <t>2026-05-30 20:57:00.845950</t>
        </is>
      </c>
      <c r="M5386">
        <f>VLOOKUP(H5386,'Stage Order'!$A$2:$B$8,2,FALSE)</f>
        <v/>
      </c>
      <c r="N5386">
        <f>IF(G5386&lt;=1,"1. Under 1 hour",IF(G5386&lt;=24,"2. 1-24 hours",IF(G5386&lt;=72,"3. 1-3 days","4. Over 3 days")))</f>
        <v/>
      </c>
      <c r="O5386">
        <f>TEXT(B5386,"YYYY-MM")</f>
        <v/>
      </c>
    </row>
    <row r="5387">
      <c r="A5387" t="inlineStr">
        <is>
          <t>LD-305385</t>
        </is>
      </c>
      <c r="B5387" t="inlineStr">
        <is>
          <t>2026-04-29 13:44:00</t>
        </is>
      </c>
      <c r="C5387" t="inlineStr">
        <is>
          <t>Social Media</t>
        </is>
      </c>
      <c r="D5387" t="inlineStr">
        <is>
          <t>K-12 Math</t>
        </is>
      </c>
      <c r="E5387" t="inlineStr">
        <is>
          <t>South Region</t>
        </is>
      </c>
      <c r="F5387" t="inlineStr">
        <is>
          <t>Rep_07</t>
        </is>
      </c>
      <c r="G5387" t="n">
        <v>4.75</v>
      </c>
      <c r="H5387" t="inlineStr">
        <is>
          <t>Demo Completed</t>
        </is>
      </c>
      <c r="I5387" t="inlineStr">
        <is>
          <t>Lost</t>
        </is>
      </c>
      <c r="J5387" t="inlineStr">
        <is>
          <t>Price Objection</t>
        </is>
      </c>
      <c r="K5387" t="n">
        <v>444.25</v>
      </c>
      <c r="L5387" t="inlineStr">
        <is>
          <t>2026-05-23 10:44:56.948787</t>
        </is>
      </c>
      <c r="M5387">
        <f>VLOOKUP(H5387,'Stage Order'!$A$2:$B$8,2,FALSE)</f>
        <v/>
      </c>
      <c r="N5387">
        <f>IF(G5387&lt;=1,"1. Under 1 hour",IF(G5387&lt;=24,"2. 1-24 hours",IF(G5387&lt;=72,"3. 1-3 days","4. Over 3 days")))</f>
        <v/>
      </c>
      <c r="O5387">
        <f>TEXT(B5387,"YYYY-MM")</f>
        <v/>
      </c>
    </row>
    <row r="5388">
      <c r="A5388" t="inlineStr">
        <is>
          <t>LD-305386</t>
        </is>
      </c>
      <c r="B5388" t="inlineStr">
        <is>
          <t>2025-01-24 18:09:00</t>
        </is>
      </c>
      <c r="C5388" t="inlineStr">
        <is>
          <t>Organic Search</t>
        </is>
      </c>
      <c r="D5388" t="inlineStr">
        <is>
          <t>Coding for Kids</t>
        </is>
      </c>
      <c r="E5388" t="inlineStr">
        <is>
          <t>South Region</t>
        </is>
      </c>
      <c r="F5388" t="inlineStr">
        <is>
          <t>Rep_02</t>
        </is>
      </c>
      <c r="G5388" t="n">
        <v>5.09</v>
      </c>
      <c r="H5388" t="inlineStr">
        <is>
          <t>Contacted</t>
        </is>
      </c>
      <c r="I5388" t="inlineStr">
        <is>
          <t>Open</t>
        </is>
      </c>
      <c r="M5388">
        <f>VLOOKUP(H5388,'Stage Order'!$A$2:$B$8,2,FALSE)</f>
        <v/>
      </c>
      <c r="N5388">
        <f>IF(G5388&lt;=1,"1. Under 1 hour",IF(G5388&lt;=24,"2. 1-24 hours",IF(G5388&lt;=72,"3. 1-3 days","4. Over 3 days")))</f>
        <v/>
      </c>
      <c r="O5388">
        <f>TEXT(B5388,"YYYY-MM")</f>
        <v/>
      </c>
    </row>
    <row r="5389">
      <c r="A5389" t="inlineStr">
        <is>
          <t>LD-305387</t>
        </is>
      </c>
      <c r="B5389" t="inlineStr">
        <is>
          <t>2026-05-20 09:37:00</t>
        </is>
      </c>
      <c r="C5389" t="inlineStr">
        <is>
          <t>Cold Outreach</t>
        </is>
      </c>
      <c r="D5389" t="inlineStr">
        <is>
          <t>K-12 Math</t>
        </is>
      </c>
      <c r="E5389" t="inlineStr">
        <is>
          <t>International</t>
        </is>
      </c>
      <c r="F5389" t="inlineStr">
        <is>
          <t>Rep_10</t>
        </is>
      </c>
      <c r="G5389" t="n">
        <v>4.58</v>
      </c>
      <c r="H5389" t="inlineStr">
        <is>
          <t>Lead</t>
        </is>
      </c>
      <c r="I5389" t="inlineStr">
        <is>
          <t>Open</t>
        </is>
      </c>
      <c r="M5389">
        <f>VLOOKUP(H5389,'Stage Order'!$A$2:$B$8,2,FALSE)</f>
        <v/>
      </c>
      <c r="N5389">
        <f>IF(G5389&lt;=1,"1. Under 1 hour",IF(G5389&lt;=24,"2. 1-24 hours",IF(G5389&lt;=72,"3. 1-3 days","4. Over 3 days")))</f>
        <v/>
      </c>
      <c r="O5389">
        <f>TEXT(B5389,"YYYY-MM")</f>
        <v/>
      </c>
    </row>
    <row r="5390">
      <c r="A5390" t="inlineStr">
        <is>
          <t>LD-305388</t>
        </is>
      </c>
      <c r="B5390" t="inlineStr">
        <is>
          <t>2026-01-02 07:18:00</t>
        </is>
      </c>
      <c r="C5390" t="inlineStr">
        <is>
          <t>Social Media</t>
        </is>
      </c>
      <c r="D5390" t="inlineStr">
        <is>
          <t>K-12 Math</t>
        </is>
      </c>
      <c r="E5390" t="inlineStr">
        <is>
          <t>East Region</t>
        </is>
      </c>
      <c r="F5390" t="inlineStr">
        <is>
          <t>Rep_09</t>
        </is>
      </c>
      <c r="G5390" t="n">
        <v>3.99</v>
      </c>
      <c r="H5390" t="inlineStr">
        <is>
          <t>Contacted</t>
        </is>
      </c>
      <c r="I5390" t="inlineStr">
        <is>
          <t>Open</t>
        </is>
      </c>
      <c r="M5390">
        <f>VLOOKUP(H5390,'Stage Order'!$A$2:$B$8,2,FALSE)</f>
        <v/>
      </c>
      <c r="N5390">
        <f>IF(G5390&lt;=1,"1. Under 1 hour",IF(G5390&lt;=24,"2. 1-24 hours",IF(G5390&lt;=72,"3. 1-3 days","4. Over 3 days")))</f>
        <v/>
      </c>
      <c r="O5390">
        <f>TEXT(B5390,"YYYY-MM")</f>
        <v/>
      </c>
    </row>
    <row r="5391">
      <c r="A5391" t="inlineStr">
        <is>
          <t>LD-305389</t>
        </is>
      </c>
      <c r="B5391" t="inlineStr">
        <is>
          <t>2025-10-10 16:48:00</t>
        </is>
      </c>
      <c r="C5391" t="inlineStr">
        <is>
          <t>Referral</t>
        </is>
      </c>
      <c r="D5391" t="inlineStr">
        <is>
          <t>K-12 Math</t>
        </is>
      </c>
      <c r="E5391" t="inlineStr">
        <is>
          <t>East Region</t>
        </is>
      </c>
      <c r="F5391" t="inlineStr">
        <is>
          <t>Rep_09</t>
        </is>
      </c>
      <c r="G5391" t="n">
        <v>5.78</v>
      </c>
      <c r="H5391" t="inlineStr">
        <is>
          <t>Contacted</t>
        </is>
      </c>
      <c r="I5391" t="inlineStr">
        <is>
          <t>Open</t>
        </is>
      </c>
      <c r="M5391">
        <f>VLOOKUP(H5391,'Stage Order'!$A$2:$B$8,2,FALSE)</f>
        <v/>
      </c>
      <c r="N5391">
        <f>IF(G5391&lt;=1,"1. Under 1 hour",IF(G5391&lt;=24,"2. 1-24 hours",IF(G5391&lt;=72,"3. 1-3 days","4. Over 3 days")))</f>
        <v/>
      </c>
      <c r="O5391">
        <f>TEXT(B5391,"YYYY-MM")</f>
        <v/>
      </c>
    </row>
    <row r="5392">
      <c r="A5392" t="inlineStr">
        <is>
          <t>LD-305390</t>
        </is>
      </c>
      <c r="B5392" t="inlineStr">
        <is>
          <t>2026-02-12 08:18:00</t>
        </is>
      </c>
      <c r="C5392" t="inlineStr">
        <is>
          <t>Organic Search</t>
        </is>
      </c>
      <c r="D5392" t="inlineStr">
        <is>
          <t>Coding for Kids</t>
        </is>
      </c>
      <c r="E5392" t="inlineStr">
        <is>
          <t>South Region</t>
        </is>
      </c>
      <c r="F5392" t="inlineStr">
        <is>
          <t>Rep_12</t>
        </is>
      </c>
      <c r="G5392" t="n">
        <v>1.28</v>
      </c>
      <c r="H5392" t="inlineStr">
        <is>
          <t>Demo Completed</t>
        </is>
      </c>
      <c r="I5392" t="inlineStr">
        <is>
          <t>Lost</t>
        </is>
      </c>
      <c r="J5392" t="inlineStr">
        <is>
          <t>Went With Competitor</t>
        </is>
      </c>
      <c r="K5392" t="n">
        <v>736.77</v>
      </c>
      <c r="L5392" t="inlineStr">
        <is>
          <t>2026-03-10 00:08:02.558856</t>
        </is>
      </c>
      <c r="M5392">
        <f>VLOOKUP(H5392,'Stage Order'!$A$2:$B$8,2,FALSE)</f>
        <v/>
      </c>
      <c r="N5392">
        <f>IF(G5392&lt;=1,"1. Under 1 hour",IF(G5392&lt;=24,"2. 1-24 hours",IF(G5392&lt;=72,"3. 1-3 days","4. Over 3 days")))</f>
        <v/>
      </c>
      <c r="O5392">
        <f>TEXT(B5392,"YYYY-MM")</f>
        <v/>
      </c>
    </row>
    <row r="5393">
      <c r="A5393" t="inlineStr">
        <is>
          <t>LD-305391</t>
        </is>
      </c>
      <c r="B5393" t="inlineStr">
        <is>
          <t>2025-07-04 10:59:00</t>
        </is>
      </c>
      <c r="C5393" t="inlineStr">
        <is>
          <t>Cold Outreach</t>
        </is>
      </c>
      <c r="D5393" t="inlineStr">
        <is>
          <t>Competitive Exam Prep</t>
        </is>
      </c>
      <c r="E5393" t="inlineStr">
        <is>
          <t>South Region</t>
        </is>
      </c>
      <c r="F5393" t="inlineStr">
        <is>
          <t>Rep_12</t>
        </is>
      </c>
      <c r="G5393" t="n">
        <v>4.33</v>
      </c>
      <c r="H5393" t="inlineStr">
        <is>
          <t>Contacted</t>
        </is>
      </c>
      <c r="I5393" t="inlineStr">
        <is>
          <t>Open</t>
        </is>
      </c>
      <c r="M5393">
        <f>VLOOKUP(H5393,'Stage Order'!$A$2:$B$8,2,FALSE)</f>
        <v/>
      </c>
      <c r="N5393">
        <f>IF(G5393&lt;=1,"1. Under 1 hour",IF(G5393&lt;=24,"2. 1-24 hours",IF(G5393&lt;=72,"3. 1-3 days","4. Over 3 days")))</f>
        <v/>
      </c>
      <c r="O5393">
        <f>TEXT(B5393,"YYYY-MM")</f>
        <v/>
      </c>
    </row>
    <row r="5394">
      <c r="A5394" t="inlineStr">
        <is>
          <t>LD-305392</t>
        </is>
      </c>
      <c r="B5394" t="inlineStr">
        <is>
          <t>2025-09-19 16:04:00</t>
        </is>
      </c>
      <c r="C5394" t="inlineStr">
        <is>
          <t>Paid Search</t>
        </is>
      </c>
      <c r="D5394" t="inlineStr">
        <is>
          <t>K-12 Math</t>
        </is>
      </c>
      <c r="E5394" t="inlineStr">
        <is>
          <t>South Region</t>
        </is>
      </c>
      <c r="F5394" t="inlineStr">
        <is>
          <t>Rep_12</t>
        </is>
      </c>
      <c r="G5394" t="n">
        <v>0.76</v>
      </c>
      <c r="H5394" t="inlineStr">
        <is>
          <t>Proposal Sent</t>
        </is>
      </c>
      <c r="I5394" t="inlineStr">
        <is>
          <t>Lost</t>
        </is>
      </c>
      <c r="J5394" t="inlineStr">
        <is>
          <t>Price Objection</t>
        </is>
      </c>
      <c r="K5394" t="n">
        <v>469.5</v>
      </c>
      <c r="L5394" t="inlineStr">
        <is>
          <t>2025-10-28 23:34:07.516809</t>
        </is>
      </c>
      <c r="M5394">
        <f>VLOOKUP(H5394,'Stage Order'!$A$2:$B$8,2,FALSE)</f>
        <v/>
      </c>
      <c r="N5394">
        <f>IF(G5394&lt;=1,"1. Under 1 hour",IF(G5394&lt;=24,"2. 1-24 hours",IF(G5394&lt;=72,"3. 1-3 days","4. Over 3 days")))</f>
        <v/>
      </c>
      <c r="O5394">
        <f>TEXT(B5394,"YYYY-MM")</f>
        <v/>
      </c>
    </row>
    <row r="5395">
      <c r="A5395" t="inlineStr">
        <is>
          <t>LD-305393</t>
        </is>
      </c>
      <c r="B5395" t="inlineStr">
        <is>
          <t>2025-09-26 20:04:00</t>
        </is>
      </c>
      <c r="C5395" t="inlineStr">
        <is>
          <t>Organic Search</t>
        </is>
      </c>
      <c r="D5395" t="inlineStr">
        <is>
          <t>Study Abroad Prep</t>
        </is>
      </c>
      <c r="E5395" t="inlineStr">
        <is>
          <t>West Region</t>
        </is>
      </c>
      <c r="F5395" t="inlineStr">
        <is>
          <t>Rep_08</t>
        </is>
      </c>
      <c r="G5395" t="n">
        <v>1.29</v>
      </c>
      <c r="H5395" t="inlineStr">
        <is>
          <t>Contacted</t>
        </is>
      </c>
      <c r="I5395" t="inlineStr">
        <is>
          <t>Open</t>
        </is>
      </c>
      <c r="M5395">
        <f>VLOOKUP(H5395,'Stage Order'!$A$2:$B$8,2,FALSE)</f>
        <v/>
      </c>
      <c r="N5395">
        <f>IF(G5395&lt;=1,"1. Under 1 hour",IF(G5395&lt;=24,"2. 1-24 hours",IF(G5395&lt;=72,"3. 1-3 days","4. Over 3 days")))</f>
        <v/>
      </c>
      <c r="O5395">
        <f>TEXT(B5395,"YYYY-MM")</f>
        <v/>
      </c>
    </row>
    <row r="5396">
      <c r="A5396" t="inlineStr">
        <is>
          <t>LD-305394</t>
        </is>
      </c>
      <c r="B5396" t="inlineStr">
        <is>
          <t>2025-11-14 07:23:00</t>
        </is>
      </c>
      <c r="C5396" t="inlineStr">
        <is>
          <t>Referral</t>
        </is>
      </c>
      <c r="D5396" t="inlineStr">
        <is>
          <t>K-12 Math</t>
        </is>
      </c>
      <c r="E5396" t="inlineStr">
        <is>
          <t>West Region</t>
        </is>
      </c>
      <c r="F5396" t="inlineStr">
        <is>
          <t>Rep_13</t>
        </is>
      </c>
      <c r="G5396" t="n">
        <v>1.01</v>
      </c>
      <c r="H5396" t="inlineStr">
        <is>
          <t>Closed</t>
        </is>
      </c>
      <c r="I5396" t="inlineStr">
        <is>
          <t>Won</t>
        </is>
      </c>
      <c r="K5396" t="n">
        <v>596.04</v>
      </c>
      <c r="L5396" t="inlineStr">
        <is>
          <t>2025-12-22 05:49:03.834063</t>
        </is>
      </c>
      <c r="M5396">
        <f>VLOOKUP(H5396,'Stage Order'!$A$2:$B$8,2,FALSE)</f>
        <v/>
      </c>
      <c r="N5396">
        <f>IF(G5396&lt;=1,"1. Under 1 hour",IF(G5396&lt;=24,"2. 1-24 hours",IF(G5396&lt;=72,"3. 1-3 days","4. Over 3 days")))</f>
        <v/>
      </c>
      <c r="O5396">
        <f>TEXT(B5396,"YYYY-MM")</f>
        <v/>
      </c>
    </row>
    <row r="5397">
      <c r="A5397" t="inlineStr">
        <is>
          <t>LD-305395</t>
        </is>
      </c>
      <c r="B5397" t="inlineStr">
        <is>
          <t>2025-10-10 07:24:00</t>
        </is>
      </c>
      <c r="C5397" t="inlineStr">
        <is>
          <t>Social Media</t>
        </is>
      </c>
      <c r="D5397" t="inlineStr">
        <is>
          <t>K-12 Math</t>
        </is>
      </c>
      <c r="E5397" t="inlineStr">
        <is>
          <t>West Region</t>
        </is>
      </c>
      <c r="F5397" t="inlineStr">
        <is>
          <t>Rep_13</t>
        </is>
      </c>
      <c r="G5397" t="n">
        <v>3.62</v>
      </c>
      <c r="H5397" t="inlineStr">
        <is>
          <t>Demo Scheduled</t>
        </is>
      </c>
      <c r="I5397" t="inlineStr">
        <is>
          <t>Open</t>
        </is>
      </c>
      <c r="M5397">
        <f>VLOOKUP(H5397,'Stage Order'!$A$2:$B$8,2,FALSE)</f>
        <v/>
      </c>
      <c r="N5397">
        <f>IF(G5397&lt;=1,"1. Under 1 hour",IF(G5397&lt;=24,"2. 1-24 hours",IF(G5397&lt;=72,"3. 1-3 days","4. Over 3 days")))</f>
        <v/>
      </c>
      <c r="O5397">
        <f>TEXT(B5397,"YYYY-MM")</f>
        <v/>
      </c>
    </row>
    <row r="5398">
      <c r="A5398" t="inlineStr">
        <is>
          <t>LD-305396</t>
        </is>
      </c>
      <c r="B5398" t="inlineStr">
        <is>
          <t>2026-06-22 14:15:00</t>
        </is>
      </c>
      <c r="C5398" t="inlineStr">
        <is>
          <t>Referral</t>
        </is>
      </c>
      <c r="D5398" t="inlineStr">
        <is>
          <t>Study Abroad Prep</t>
        </is>
      </c>
      <c r="E5398" t="inlineStr">
        <is>
          <t>International</t>
        </is>
      </c>
      <c r="F5398" t="inlineStr">
        <is>
          <t>Rep_10</t>
        </is>
      </c>
      <c r="G5398" t="n">
        <v>1.04</v>
      </c>
      <c r="H5398" t="inlineStr">
        <is>
          <t>Closed</t>
        </is>
      </c>
      <c r="I5398" t="inlineStr">
        <is>
          <t>Won</t>
        </is>
      </c>
      <c r="K5398" t="n">
        <v>1456.6</v>
      </c>
      <c r="L5398" t="inlineStr">
        <is>
          <t>2026-07-15 05:43:40.350256</t>
        </is>
      </c>
      <c r="M5398">
        <f>VLOOKUP(H5398,'Stage Order'!$A$2:$B$8,2,FALSE)</f>
        <v/>
      </c>
      <c r="N5398">
        <f>IF(G5398&lt;=1,"1. Under 1 hour",IF(G5398&lt;=24,"2. 1-24 hours",IF(G5398&lt;=72,"3. 1-3 days","4. Over 3 days")))</f>
        <v/>
      </c>
      <c r="O5398">
        <f>TEXT(B5398,"YYYY-MM")</f>
        <v/>
      </c>
    </row>
    <row r="5399">
      <c r="A5399" t="inlineStr">
        <is>
          <t>LD-305397</t>
        </is>
      </c>
      <c r="B5399" t="inlineStr">
        <is>
          <t>2025-08-06 07:23:00</t>
        </is>
      </c>
      <c r="C5399" t="inlineStr">
        <is>
          <t>Cold Outreach</t>
        </is>
      </c>
      <c r="D5399" t="inlineStr">
        <is>
          <t>K-12 Math</t>
        </is>
      </c>
      <c r="E5399" t="inlineStr">
        <is>
          <t>South Region</t>
        </is>
      </c>
      <c r="F5399" t="inlineStr">
        <is>
          <t>Rep_02</t>
        </is>
      </c>
      <c r="G5399" t="n">
        <v>27.91</v>
      </c>
      <c r="H5399" t="inlineStr">
        <is>
          <t>Demo Scheduled</t>
        </is>
      </c>
      <c r="I5399" t="inlineStr">
        <is>
          <t>Open</t>
        </is>
      </c>
      <c r="M5399">
        <f>VLOOKUP(H5399,'Stage Order'!$A$2:$B$8,2,FALSE)</f>
        <v/>
      </c>
      <c r="N5399">
        <f>IF(G5399&lt;=1,"1. Under 1 hour",IF(G5399&lt;=24,"2. 1-24 hours",IF(G5399&lt;=72,"3. 1-3 days","4. Over 3 days")))</f>
        <v/>
      </c>
      <c r="O5399">
        <f>TEXT(B5399,"YYYY-MM")</f>
        <v/>
      </c>
    </row>
    <row r="5400">
      <c r="A5400" t="inlineStr">
        <is>
          <t>LD-305398</t>
        </is>
      </c>
      <c r="B5400" t="inlineStr">
        <is>
          <t>2026-02-06 16:49:00</t>
        </is>
      </c>
      <c r="C5400" t="inlineStr">
        <is>
          <t>Cold Outreach</t>
        </is>
      </c>
      <c r="D5400" t="inlineStr">
        <is>
          <t>K-12 Math</t>
        </is>
      </c>
      <c r="E5400" t="inlineStr">
        <is>
          <t>South Region</t>
        </is>
      </c>
      <c r="F5400" t="inlineStr">
        <is>
          <t>Rep_07</t>
        </is>
      </c>
      <c r="G5400" t="n">
        <v>1.74</v>
      </c>
      <c r="H5400" t="inlineStr">
        <is>
          <t>Contacted</t>
        </is>
      </c>
      <c r="I5400" t="inlineStr">
        <is>
          <t>Open</t>
        </is>
      </c>
      <c r="M5400">
        <f>VLOOKUP(H5400,'Stage Order'!$A$2:$B$8,2,FALSE)</f>
        <v/>
      </c>
      <c r="N5400">
        <f>IF(G5400&lt;=1,"1. Under 1 hour",IF(G5400&lt;=24,"2. 1-24 hours",IF(G5400&lt;=72,"3. 1-3 days","4. Over 3 days")))</f>
        <v/>
      </c>
      <c r="O5400">
        <f>TEXT(B5400,"YYYY-MM")</f>
        <v/>
      </c>
    </row>
    <row r="5401">
      <c r="A5401" t="inlineStr">
        <is>
          <t>LD-305399</t>
        </is>
      </c>
      <c r="B5401" t="inlineStr">
        <is>
          <t>2025-01-13 16:20:00</t>
        </is>
      </c>
      <c r="C5401" t="inlineStr">
        <is>
          <t>Organic Search</t>
        </is>
      </c>
      <c r="D5401" t="inlineStr">
        <is>
          <t>Study Abroad Prep</t>
        </is>
      </c>
      <c r="E5401" t="inlineStr">
        <is>
          <t>East Region</t>
        </is>
      </c>
      <c r="F5401" t="inlineStr">
        <is>
          <t>Rep_04</t>
        </is>
      </c>
      <c r="G5401" t="n">
        <v>5.34</v>
      </c>
      <c r="H5401" t="inlineStr">
        <is>
          <t>Contacted</t>
        </is>
      </c>
      <c r="I5401" t="inlineStr">
        <is>
          <t>Open</t>
        </is>
      </c>
      <c r="M5401">
        <f>VLOOKUP(H5401,'Stage Order'!$A$2:$B$8,2,FALSE)</f>
        <v/>
      </c>
      <c r="N5401">
        <f>IF(G5401&lt;=1,"1. Under 1 hour",IF(G5401&lt;=24,"2. 1-24 hours",IF(G5401&lt;=72,"3. 1-3 days","4. Over 3 days")))</f>
        <v/>
      </c>
      <c r="O5401">
        <f>TEXT(B5401,"YYYY-MM")</f>
        <v/>
      </c>
    </row>
    <row r="5402">
      <c r="A5402" t="inlineStr">
        <is>
          <t>LD-305400</t>
        </is>
      </c>
      <c r="B5402" t="inlineStr">
        <is>
          <t>2025-03-26 09:49:00</t>
        </is>
      </c>
      <c r="C5402" t="inlineStr">
        <is>
          <t>Organic Search</t>
        </is>
      </c>
      <c r="D5402" t="inlineStr">
        <is>
          <t>Coding for Kids</t>
        </is>
      </c>
      <c r="E5402" t="inlineStr">
        <is>
          <t>North Region</t>
        </is>
      </c>
      <c r="F5402" t="inlineStr">
        <is>
          <t>Rep_01</t>
        </is>
      </c>
      <c r="G5402" t="n">
        <v>1.25</v>
      </c>
      <c r="H5402" t="inlineStr">
        <is>
          <t>Demo Completed</t>
        </is>
      </c>
      <c r="I5402" t="inlineStr">
        <is>
          <t>Lost</t>
        </is>
      </c>
      <c r="J5402" t="inlineStr">
        <is>
          <t>No Response / Ghosted</t>
        </is>
      </c>
      <c r="K5402" t="n">
        <v>638.37</v>
      </c>
      <c r="L5402" t="inlineStr">
        <is>
          <t>2025-05-06 14:25:10.796069</t>
        </is>
      </c>
      <c r="M5402">
        <f>VLOOKUP(H5402,'Stage Order'!$A$2:$B$8,2,FALSE)</f>
        <v/>
      </c>
      <c r="N5402">
        <f>IF(G5402&lt;=1,"1. Under 1 hour",IF(G5402&lt;=24,"2. 1-24 hours",IF(G5402&lt;=72,"3. 1-3 days","4. Over 3 days")))</f>
        <v/>
      </c>
      <c r="O5402">
        <f>TEXT(B5402,"YYYY-MM")</f>
        <v/>
      </c>
    </row>
    <row r="5403">
      <c r="A5403" t="inlineStr">
        <is>
          <t>LD-305401</t>
        </is>
      </c>
      <c r="B5403" t="inlineStr">
        <is>
          <t>2025-07-27 10:29:00</t>
        </is>
      </c>
      <c r="C5403" t="inlineStr">
        <is>
          <t>Referral</t>
        </is>
      </c>
      <c r="D5403" t="inlineStr">
        <is>
          <t>K-12 Math</t>
        </is>
      </c>
      <c r="E5403" t="inlineStr">
        <is>
          <t>South Region</t>
        </is>
      </c>
      <c r="F5403" t="inlineStr">
        <is>
          <t>Rep_12</t>
        </is>
      </c>
      <c r="G5403" t="n">
        <v>2.72</v>
      </c>
      <c r="H5403" t="inlineStr">
        <is>
          <t>Closed</t>
        </is>
      </c>
      <c r="I5403" t="inlineStr">
        <is>
          <t>Won</t>
        </is>
      </c>
      <c r="K5403" t="n">
        <v>412.63</v>
      </c>
      <c r="L5403" t="inlineStr">
        <is>
          <t>2025-09-07 15:26:26.263000</t>
        </is>
      </c>
      <c r="M5403">
        <f>VLOOKUP(H5403,'Stage Order'!$A$2:$B$8,2,FALSE)</f>
        <v/>
      </c>
      <c r="N5403">
        <f>IF(G5403&lt;=1,"1. Under 1 hour",IF(G5403&lt;=24,"2. 1-24 hours",IF(G5403&lt;=72,"3. 1-3 days","4. Over 3 days")))</f>
        <v/>
      </c>
      <c r="O5403">
        <f>TEXT(B5403,"YYYY-MM")</f>
        <v/>
      </c>
    </row>
    <row r="5404">
      <c r="A5404" t="inlineStr">
        <is>
          <t>LD-305402</t>
        </is>
      </c>
      <c r="B5404" t="inlineStr">
        <is>
          <t>2025-07-03 12:13:00</t>
        </is>
      </c>
      <c r="C5404" t="inlineStr">
        <is>
          <t>Social Media</t>
        </is>
      </c>
      <c r="D5404" t="inlineStr">
        <is>
          <t>Competitive Exam Prep</t>
        </is>
      </c>
      <c r="E5404" t="inlineStr">
        <is>
          <t>South Region</t>
        </is>
      </c>
      <c r="F5404" t="inlineStr">
        <is>
          <t>Rep_02</t>
        </is>
      </c>
      <c r="G5404" t="n">
        <v>4.76</v>
      </c>
      <c r="H5404" t="inlineStr">
        <is>
          <t>Contacted</t>
        </is>
      </c>
      <c r="I5404" t="inlineStr">
        <is>
          <t>Open</t>
        </is>
      </c>
      <c r="M5404">
        <f>VLOOKUP(H5404,'Stage Order'!$A$2:$B$8,2,FALSE)</f>
        <v/>
      </c>
      <c r="N5404">
        <f>IF(G5404&lt;=1,"1. Under 1 hour",IF(G5404&lt;=24,"2. 1-24 hours",IF(G5404&lt;=72,"3. 1-3 days","4. Over 3 days")))</f>
        <v/>
      </c>
      <c r="O5404">
        <f>TEXT(B5404,"YYYY-MM")</f>
        <v/>
      </c>
    </row>
    <row r="5405">
      <c r="A5405" t="inlineStr">
        <is>
          <t>LD-305403</t>
        </is>
      </c>
      <c r="B5405" t="inlineStr">
        <is>
          <t>2025-03-28 13:39:00</t>
        </is>
      </c>
      <c r="C5405" t="inlineStr">
        <is>
          <t>Organic Search</t>
        </is>
      </c>
      <c r="D5405" t="inlineStr">
        <is>
          <t>Coding for Kids</t>
        </is>
      </c>
      <c r="E5405" t="inlineStr">
        <is>
          <t>East Region</t>
        </is>
      </c>
      <c r="F5405" t="inlineStr">
        <is>
          <t>Rep_14</t>
        </is>
      </c>
      <c r="G5405" t="n">
        <v>0.95</v>
      </c>
      <c r="H5405" t="inlineStr">
        <is>
          <t>Closed</t>
        </is>
      </c>
      <c r="I5405" t="inlineStr">
        <is>
          <t>Won</t>
        </is>
      </c>
      <c r="K5405" t="n">
        <v>650.9299999999999</v>
      </c>
      <c r="L5405" t="inlineStr">
        <is>
          <t>2025-04-28 06:58:01.794235</t>
        </is>
      </c>
      <c r="M5405">
        <f>VLOOKUP(H5405,'Stage Order'!$A$2:$B$8,2,FALSE)</f>
        <v/>
      </c>
      <c r="N5405">
        <f>IF(G5405&lt;=1,"1. Under 1 hour",IF(G5405&lt;=24,"2. 1-24 hours",IF(G5405&lt;=72,"3. 1-3 days","4. Over 3 days")))</f>
        <v/>
      </c>
      <c r="O5405">
        <f>TEXT(B5405,"YYYY-MM")</f>
        <v/>
      </c>
    </row>
    <row r="5406">
      <c r="A5406" t="inlineStr">
        <is>
          <t>LD-305404</t>
        </is>
      </c>
      <c r="B5406" t="inlineStr">
        <is>
          <t>2026-02-02 15:18:00</t>
        </is>
      </c>
      <c r="C5406" t="inlineStr">
        <is>
          <t>Partner Channel</t>
        </is>
      </c>
      <c r="D5406" t="inlineStr">
        <is>
          <t>Competitive Exam Prep</t>
        </is>
      </c>
      <c r="E5406" t="inlineStr">
        <is>
          <t>South Region</t>
        </is>
      </c>
      <c r="F5406" t="inlineStr">
        <is>
          <t>Rep_12</t>
        </is>
      </c>
      <c r="G5406" t="n">
        <v>2.31</v>
      </c>
      <c r="H5406" t="inlineStr">
        <is>
          <t>Contacted</t>
        </is>
      </c>
      <c r="I5406" t="inlineStr">
        <is>
          <t>Open</t>
        </is>
      </c>
      <c r="M5406">
        <f>VLOOKUP(H5406,'Stage Order'!$A$2:$B$8,2,FALSE)</f>
        <v/>
      </c>
      <c r="N5406">
        <f>IF(G5406&lt;=1,"1. Under 1 hour",IF(G5406&lt;=24,"2. 1-24 hours",IF(G5406&lt;=72,"3. 1-3 days","4. Over 3 days")))</f>
        <v/>
      </c>
      <c r="O5406">
        <f>TEXT(B5406,"YYYY-MM")</f>
        <v/>
      </c>
    </row>
    <row r="5407">
      <c r="A5407" t="inlineStr">
        <is>
          <t>LD-305405</t>
        </is>
      </c>
      <c r="B5407" t="inlineStr">
        <is>
          <t>2025-05-04 17:16:00</t>
        </is>
      </c>
      <c r="C5407" t="inlineStr">
        <is>
          <t>Referral</t>
        </is>
      </c>
      <c r="D5407" t="inlineStr">
        <is>
          <t>Competitive Exam Prep</t>
        </is>
      </c>
      <c r="E5407" t="inlineStr">
        <is>
          <t>South Region</t>
        </is>
      </c>
      <c r="F5407" t="inlineStr">
        <is>
          <t>Rep_07</t>
        </is>
      </c>
      <c r="G5407" t="n">
        <v>12.47</v>
      </c>
      <c r="H5407" t="inlineStr">
        <is>
          <t>Negotiation</t>
        </is>
      </c>
      <c r="I5407" t="inlineStr">
        <is>
          <t>Lost</t>
        </is>
      </c>
      <c r="J5407" t="inlineStr">
        <is>
          <t>Bad Timing</t>
        </is>
      </c>
      <c r="K5407" t="n">
        <v>946.14</v>
      </c>
      <c r="L5407" t="inlineStr">
        <is>
          <t>2025-06-22 15:47:48.702817</t>
        </is>
      </c>
      <c r="M5407">
        <f>VLOOKUP(H5407,'Stage Order'!$A$2:$B$8,2,FALSE)</f>
        <v/>
      </c>
      <c r="N5407">
        <f>IF(G5407&lt;=1,"1. Under 1 hour",IF(G5407&lt;=24,"2. 1-24 hours",IF(G5407&lt;=72,"3. 1-3 days","4. Over 3 days")))</f>
        <v/>
      </c>
      <c r="O5407">
        <f>TEXT(B5407,"YYYY-MM")</f>
        <v/>
      </c>
    </row>
    <row r="5408">
      <c r="A5408" t="inlineStr">
        <is>
          <t>LD-305406</t>
        </is>
      </c>
      <c r="B5408" t="inlineStr">
        <is>
          <t>2025-12-12 19:00:00</t>
        </is>
      </c>
      <c r="C5408" t="inlineStr">
        <is>
          <t>Cold Outreach</t>
        </is>
      </c>
      <c r="D5408" t="inlineStr">
        <is>
          <t>K-12 Math</t>
        </is>
      </c>
      <c r="E5408" t="inlineStr">
        <is>
          <t>South Region</t>
        </is>
      </c>
      <c r="F5408" t="inlineStr">
        <is>
          <t>Rep_02</t>
        </is>
      </c>
      <c r="G5408" t="n">
        <v>2.08</v>
      </c>
      <c r="H5408" t="inlineStr">
        <is>
          <t>Contacted</t>
        </is>
      </c>
      <c r="I5408" t="inlineStr">
        <is>
          <t>Open</t>
        </is>
      </c>
      <c r="M5408">
        <f>VLOOKUP(H5408,'Stage Order'!$A$2:$B$8,2,FALSE)</f>
        <v/>
      </c>
      <c r="N5408">
        <f>IF(G5408&lt;=1,"1. Under 1 hour",IF(G5408&lt;=24,"2. 1-24 hours",IF(G5408&lt;=72,"3. 1-3 days","4. Over 3 days")))</f>
        <v/>
      </c>
      <c r="O5408">
        <f>TEXT(B5408,"YYYY-MM")</f>
        <v/>
      </c>
    </row>
    <row r="5409">
      <c r="A5409" t="inlineStr">
        <is>
          <t>LD-305407</t>
        </is>
      </c>
      <c r="B5409" t="inlineStr">
        <is>
          <t>2025-10-17 19:39:00</t>
        </is>
      </c>
      <c r="C5409" t="inlineStr">
        <is>
          <t>Partner Channel</t>
        </is>
      </c>
      <c r="D5409" t="inlineStr">
        <is>
          <t>Language Learning</t>
        </is>
      </c>
      <c r="E5409" t="inlineStr">
        <is>
          <t>South Region</t>
        </is>
      </c>
      <c r="F5409" t="inlineStr">
        <is>
          <t>Rep_02</t>
        </is>
      </c>
      <c r="G5409" t="n">
        <v>5.35</v>
      </c>
      <c r="H5409" t="inlineStr">
        <is>
          <t>Contacted</t>
        </is>
      </c>
      <c r="I5409" t="inlineStr">
        <is>
          <t>Open</t>
        </is>
      </c>
      <c r="M5409">
        <f>VLOOKUP(H5409,'Stage Order'!$A$2:$B$8,2,FALSE)</f>
        <v/>
      </c>
      <c r="N5409">
        <f>IF(G5409&lt;=1,"1. Under 1 hour",IF(G5409&lt;=24,"2. 1-24 hours",IF(G5409&lt;=72,"3. 1-3 days","4. Over 3 days")))</f>
        <v/>
      </c>
      <c r="O5409">
        <f>TEXT(B5409,"YYYY-MM")</f>
        <v/>
      </c>
    </row>
    <row r="5410">
      <c r="A5410" t="inlineStr">
        <is>
          <t>LD-305408</t>
        </is>
      </c>
      <c r="B5410" t="inlineStr">
        <is>
          <t>2025-10-10 07:21:00</t>
        </is>
      </c>
      <c r="C5410" t="inlineStr">
        <is>
          <t>Organic Search</t>
        </is>
      </c>
      <c r="D5410" t="inlineStr">
        <is>
          <t>Coding for Kids</t>
        </is>
      </c>
      <c r="E5410" t="inlineStr">
        <is>
          <t>North Region</t>
        </is>
      </c>
      <c r="F5410" t="inlineStr">
        <is>
          <t>Rep_01</t>
        </is>
      </c>
      <c r="G5410" t="n">
        <v>1.14</v>
      </c>
      <c r="H5410" t="inlineStr">
        <is>
          <t>Contacted</t>
        </is>
      </c>
      <c r="I5410" t="inlineStr">
        <is>
          <t>Open</t>
        </is>
      </c>
      <c r="M5410">
        <f>VLOOKUP(H5410,'Stage Order'!$A$2:$B$8,2,FALSE)</f>
        <v/>
      </c>
      <c r="N5410">
        <f>IF(G5410&lt;=1,"1. Under 1 hour",IF(G5410&lt;=24,"2. 1-24 hours",IF(G5410&lt;=72,"3. 1-3 days","4. Over 3 days")))</f>
        <v/>
      </c>
      <c r="O5410">
        <f>TEXT(B5410,"YYYY-MM")</f>
        <v/>
      </c>
    </row>
    <row r="5411">
      <c r="A5411" t="inlineStr">
        <is>
          <t>LD-305409</t>
        </is>
      </c>
      <c r="B5411" t="inlineStr">
        <is>
          <t>2025-12-06 11:25:00</t>
        </is>
      </c>
      <c r="C5411" t="inlineStr">
        <is>
          <t>Paid Search</t>
        </is>
      </c>
      <c r="D5411" t="inlineStr">
        <is>
          <t>K-12 Math</t>
        </is>
      </c>
      <c r="E5411" t="inlineStr">
        <is>
          <t>North Region</t>
        </is>
      </c>
      <c r="F5411" t="inlineStr">
        <is>
          <t>Rep_01</t>
        </is>
      </c>
      <c r="G5411" t="n">
        <v>11.95</v>
      </c>
      <c r="H5411" t="inlineStr">
        <is>
          <t>Proposal Sent</t>
        </is>
      </c>
      <c r="I5411" t="inlineStr">
        <is>
          <t>Lost</t>
        </is>
      </c>
      <c r="J5411" t="inlineStr">
        <is>
          <t>No Response / Ghosted</t>
        </is>
      </c>
      <c r="K5411" t="n">
        <v>552.14</v>
      </c>
      <c r="L5411" t="inlineStr">
        <is>
          <t>2026-01-09 19:14:58.137078</t>
        </is>
      </c>
      <c r="M5411">
        <f>VLOOKUP(H5411,'Stage Order'!$A$2:$B$8,2,FALSE)</f>
        <v/>
      </c>
      <c r="N5411">
        <f>IF(G5411&lt;=1,"1. Under 1 hour",IF(G5411&lt;=24,"2. 1-24 hours",IF(G5411&lt;=72,"3. 1-3 days","4. Over 3 days")))</f>
        <v/>
      </c>
      <c r="O5411">
        <f>TEXT(B5411,"YYYY-MM")</f>
        <v/>
      </c>
    </row>
    <row r="5412">
      <c r="A5412" t="inlineStr">
        <is>
          <t>LD-305410</t>
        </is>
      </c>
      <c r="B5412" t="inlineStr">
        <is>
          <t>2025-07-15 18:08:00</t>
        </is>
      </c>
      <c r="C5412" t="inlineStr">
        <is>
          <t>Webinar</t>
        </is>
      </c>
      <c r="D5412" t="inlineStr">
        <is>
          <t>Language Learning</t>
        </is>
      </c>
      <c r="E5412" t="inlineStr">
        <is>
          <t>West Region</t>
        </is>
      </c>
      <c r="F5412" t="inlineStr">
        <is>
          <t>Rep_08</t>
        </is>
      </c>
      <c r="G5412" t="n">
        <v>11</v>
      </c>
      <c r="H5412" t="inlineStr">
        <is>
          <t>Contacted</t>
        </is>
      </c>
      <c r="I5412" t="inlineStr">
        <is>
          <t>Open</t>
        </is>
      </c>
      <c r="M5412">
        <f>VLOOKUP(H5412,'Stage Order'!$A$2:$B$8,2,FALSE)</f>
        <v/>
      </c>
      <c r="N5412">
        <f>IF(G5412&lt;=1,"1. Under 1 hour",IF(G5412&lt;=24,"2. 1-24 hours",IF(G5412&lt;=72,"3. 1-3 days","4. Over 3 days")))</f>
        <v/>
      </c>
      <c r="O5412">
        <f>TEXT(B5412,"YYYY-MM")</f>
        <v/>
      </c>
    </row>
    <row r="5413">
      <c r="A5413" t="inlineStr">
        <is>
          <t>LD-305411</t>
        </is>
      </c>
      <c r="B5413" t="inlineStr">
        <is>
          <t>2026-05-05 10:46:00</t>
        </is>
      </c>
      <c r="C5413" t="inlineStr">
        <is>
          <t>Organic Search</t>
        </is>
      </c>
      <c r="D5413" t="inlineStr">
        <is>
          <t>Study Abroad Prep</t>
        </is>
      </c>
      <c r="E5413" t="inlineStr">
        <is>
          <t>South Region</t>
        </is>
      </c>
      <c r="F5413" t="inlineStr">
        <is>
          <t>Rep_02</t>
        </is>
      </c>
      <c r="G5413" t="n">
        <v>1.73</v>
      </c>
      <c r="H5413" t="inlineStr">
        <is>
          <t>Negotiation</t>
        </is>
      </c>
      <c r="I5413" t="inlineStr">
        <is>
          <t>Lost</t>
        </is>
      </c>
      <c r="J5413" t="inlineStr">
        <is>
          <t>No Response / Ghosted</t>
        </is>
      </c>
      <c r="K5413" t="n">
        <v>1377.54</v>
      </c>
      <c r="L5413" t="inlineStr">
        <is>
          <t>2026-06-07 02:21:09.063473</t>
        </is>
      </c>
      <c r="M5413">
        <f>VLOOKUP(H5413,'Stage Order'!$A$2:$B$8,2,FALSE)</f>
        <v/>
      </c>
      <c r="N5413">
        <f>IF(G5413&lt;=1,"1. Under 1 hour",IF(G5413&lt;=24,"2. 1-24 hours",IF(G5413&lt;=72,"3. 1-3 days","4. Over 3 days")))</f>
        <v/>
      </c>
      <c r="O5413">
        <f>TEXT(B5413,"YYYY-MM")</f>
        <v/>
      </c>
    </row>
    <row r="5414">
      <c r="A5414" t="inlineStr">
        <is>
          <t>LD-305412</t>
        </is>
      </c>
      <c r="B5414" t="inlineStr">
        <is>
          <t>2025-05-16 19:18:00</t>
        </is>
      </c>
      <c r="C5414" t="inlineStr">
        <is>
          <t>Cold Outreach</t>
        </is>
      </c>
      <c r="D5414" t="inlineStr">
        <is>
          <t>Competitive Exam Prep</t>
        </is>
      </c>
      <c r="E5414" t="inlineStr">
        <is>
          <t>West Region</t>
        </is>
      </c>
      <c r="F5414" t="inlineStr">
        <is>
          <t>Rep_08</t>
        </is>
      </c>
      <c r="G5414" t="n">
        <v>2.59</v>
      </c>
      <c r="H5414" t="inlineStr">
        <is>
          <t>Demo Scheduled</t>
        </is>
      </c>
      <c r="I5414" t="inlineStr">
        <is>
          <t>Open</t>
        </is>
      </c>
      <c r="M5414">
        <f>VLOOKUP(H5414,'Stage Order'!$A$2:$B$8,2,FALSE)</f>
        <v/>
      </c>
      <c r="N5414">
        <f>IF(G5414&lt;=1,"1. Under 1 hour",IF(G5414&lt;=24,"2. 1-24 hours",IF(G5414&lt;=72,"3. 1-3 days","4. Over 3 days")))</f>
        <v/>
      </c>
      <c r="O5414">
        <f>TEXT(B5414,"YYYY-MM")</f>
        <v/>
      </c>
    </row>
    <row r="5415">
      <c r="A5415" t="inlineStr">
        <is>
          <t>LD-305413</t>
        </is>
      </c>
      <c r="B5415" t="inlineStr">
        <is>
          <t>2025-01-19 19:21:00</t>
        </is>
      </c>
      <c r="C5415" t="inlineStr">
        <is>
          <t>Cold Outreach</t>
        </is>
      </c>
      <c r="D5415" t="inlineStr">
        <is>
          <t>Coding for Kids</t>
        </is>
      </c>
      <c r="E5415" t="inlineStr">
        <is>
          <t>North Region</t>
        </is>
      </c>
      <c r="F5415" t="inlineStr">
        <is>
          <t>Rep_01</t>
        </is>
      </c>
      <c r="G5415" t="n">
        <v>12.93</v>
      </c>
      <c r="H5415" t="inlineStr">
        <is>
          <t>Contacted</t>
        </is>
      </c>
      <c r="I5415" t="inlineStr">
        <is>
          <t>Open</t>
        </is>
      </c>
      <c r="M5415">
        <f>VLOOKUP(H5415,'Stage Order'!$A$2:$B$8,2,FALSE)</f>
        <v/>
      </c>
      <c r="N5415">
        <f>IF(G5415&lt;=1,"1. Under 1 hour",IF(G5415&lt;=24,"2. 1-24 hours",IF(G5415&lt;=72,"3. 1-3 days","4. Over 3 days")))</f>
        <v/>
      </c>
      <c r="O5415">
        <f>TEXT(B5415,"YYYY-MM")</f>
        <v/>
      </c>
    </row>
    <row r="5416">
      <c r="A5416" t="inlineStr">
        <is>
          <t>LD-305414</t>
        </is>
      </c>
      <c r="B5416" t="inlineStr">
        <is>
          <t>2025-03-28 15:10:00</t>
        </is>
      </c>
      <c r="C5416" t="inlineStr">
        <is>
          <t>Cold Outreach</t>
        </is>
      </c>
      <c r="D5416" t="inlineStr">
        <is>
          <t>K-12 Math</t>
        </is>
      </c>
      <c r="E5416" t="inlineStr">
        <is>
          <t>East Region</t>
        </is>
      </c>
      <c r="F5416" t="inlineStr">
        <is>
          <t>Rep_14</t>
        </is>
      </c>
      <c r="G5416" t="n">
        <v>2.53</v>
      </c>
      <c r="H5416" t="inlineStr">
        <is>
          <t>Lead</t>
        </is>
      </c>
      <c r="I5416" t="inlineStr">
        <is>
          <t>Open</t>
        </is>
      </c>
      <c r="M5416">
        <f>VLOOKUP(H5416,'Stage Order'!$A$2:$B$8,2,FALSE)</f>
        <v/>
      </c>
      <c r="N5416">
        <f>IF(G5416&lt;=1,"1. Under 1 hour",IF(G5416&lt;=24,"2. 1-24 hours",IF(G5416&lt;=72,"3. 1-3 days","4. Over 3 days")))</f>
        <v/>
      </c>
      <c r="O5416">
        <f>TEXT(B5416,"YYYY-MM")</f>
        <v/>
      </c>
    </row>
    <row r="5417">
      <c r="A5417" t="inlineStr">
        <is>
          <t>LD-305415</t>
        </is>
      </c>
      <c r="B5417" t="inlineStr">
        <is>
          <t>2026-06-02 11:37:00</t>
        </is>
      </c>
      <c r="C5417" t="inlineStr">
        <is>
          <t>Webinar</t>
        </is>
      </c>
      <c r="D5417" t="inlineStr">
        <is>
          <t>Coding for Kids</t>
        </is>
      </c>
      <c r="E5417" t="inlineStr">
        <is>
          <t>North Region</t>
        </is>
      </c>
      <c r="F5417" t="inlineStr">
        <is>
          <t>Rep_06</t>
        </is>
      </c>
      <c r="G5417" t="n">
        <v>2.02</v>
      </c>
      <c r="H5417" t="inlineStr">
        <is>
          <t>Lead</t>
        </is>
      </c>
      <c r="I5417" t="inlineStr">
        <is>
          <t>Open</t>
        </is>
      </c>
      <c r="M5417">
        <f>VLOOKUP(H5417,'Stage Order'!$A$2:$B$8,2,FALSE)</f>
        <v/>
      </c>
      <c r="N5417">
        <f>IF(G5417&lt;=1,"1. Under 1 hour",IF(G5417&lt;=24,"2. 1-24 hours",IF(G5417&lt;=72,"3. 1-3 days","4. Over 3 days")))</f>
        <v/>
      </c>
      <c r="O5417">
        <f>TEXT(B5417,"YYYY-MM")</f>
        <v/>
      </c>
    </row>
    <row r="5418">
      <c r="A5418" t="inlineStr">
        <is>
          <t>LD-305416</t>
        </is>
      </c>
      <c r="B5418" t="inlineStr">
        <is>
          <t>2025-10-02 14:07:00</t>
        </is>
      </c>
      <c r="C5418" t="inlineStr">
        <is>
          <t>Social Media</t>
        </is>
      </c>
      <c r="D5418" t="inlineStr">
        <is>
          <t>K-12 Math</t>
        </is>
      </c>
      <c r="E5418" t="inlineStr">
        <is>
          <t>South Region</t>
        </is>
      </c>
      <c r="F5418" t="inlineStr">
        <is>
          <t>Rep_12</t>
        </is>
      </c>
      <c r="G5418" t="n">
        <v>7.76</v>
      </c>
      <c r="H5418" t="inlineStr">
        <is>
          <t>Contacted</t>
        </is>
      </c>
      <c r="I5418" t="inlineStr">
        <is>
          <t>Open</t>
        </is>
      </c>
      <c r="M5418">
        <f>VLOOKUP(H5418,'Stage Order'!$A$2:$B$8,2,FALSE)</f>
        <v/>
      </c>
      <c r="N5418">
        <f>IF(G5418&lt;=1,"1. Under 1 hour",IF(G5418&lt;=24,"2. 1-24 hours",IF(G5418&lt;=72,"3. 1-3 days","4. Over 3 days")))</f>
        <v/>
      </c>
      <c r="O5418">
        <f>TEXT(B5418,"YYYY-MM")</f>
        <v/>
      </c>
    </row>
    <row r="5419">
      <c r="A5419" t="inlineStr">
        <is>
          <t>LD-305417</t>
        </is>
      </c>
      <c r="B5419" t="inlineStr">
        <is>
          <t>2025-11-26 10:26:00</t>
        </is>
      </c>
      <c r="C5419" t="inlineStr">
        <is>
          <t>Social Media</t>
        </is>
      </c>
      <c r="D5419" t="inlineStr">
        <is>
          <t>K-12 Math</t>
        </is>
      </c>
      <c r="E5419" t="inlineStr">
        <is>
          <t>South Region</t>
        </is>
      </c>
      <c r="F5419" t="inlineStr">
        <is>
          <t>Rep_07</t>
        </is>
      </c>
      <c r="G5419" t="n">
        <v>2.15</v>
      </c>
      <c r="H5419" t="inlineStr">
        <is>
          <t>Demo Scheduled</t>
        </is>
      </c>
      <c r="I5419" t="inlineStr">
        <is>
          <t>Open</t>
        </is>
      </c>
      <c r="M5419">
        <f>VLOOKUP(H5419,'Stage Order'!$A$2:$B$8,2,FALSE)</f>
        <v/>
      </c>
      <c r="N5419">
        <f>IF(G5419&lt;=1,"1. Under 1 hour",IF(G5419&lt;=24,"2. 1-24 hours",IF(G5419&lt;=72,"3. 1-3 days","4. Over 3 days")))</f>
        <v/>
      </c>
      <c r="O5419">
        <f>TEXT(B5419,"YYYY-MM")</f>
        <v/>
      </c>
    </row>
    <row r="5420">
      <c r="A5420" t="inlineStr">
        <is>
          <t>LD-305418</t>
        </is>
      </c>
      <c r="B5420" t="inlineStr">
        <is>
          <t>2025-10-10 17:16:00</t>
        </is>
      </c>
      <c r="C5420" t="inlineStr">
        <is>
          <t>Partner Channel</t>
        </is>
      </c>
      <c r="D5420" t="inlineStr">
        <is>
          <t>Language Learning</t>
        </is>
      </c>
      <c r="E5420" t="inlineStr">
        <is>
          <t>North Region</t>
        </is>
      </c>
      <c r="F5420" t="inlineStr">
        <is>
          <t>Rep_11</t>
        </is>
      </c>
      <c r="G5420" t="n">
        <v>17.24</v>
      </c>
      <c r="H5420" t="inlineStr">
        <is>
          <t>Contacted</t>
        </is>
      </c>
      <c r="I5420" t="inlineStr">
        <is>
          <t>Open</t>
        </is>
      </c>
      <c r="M5420">
        <f>VLOOKUP(H5420,'Stage Order'!$A$2:$B$8,2,FALSE)</f>
        <v/>
      </c>
      <c r="N5420">
        <f>IF(G5420&lt;=1,"1. Under 1 hour",IF(G5420&lt;=24,"2. 1-24 hours",IF(G5420&lt;=72,"3. 1-3 days","4. Over 3 days")))</f>
        <v/>
      </c>
      <c r="O5420">
        <f>TEXT(B5420,"YYYY-MM")</f>
        <v/>
      </c>
    </row>
    <row r="5421">
      <c r="A5421" t="inlineStr">
        <is>
          <t>LD-305419</t>
        </is>
      </c>
      <c r="B5421" t="inlineStr">
        <is>
          <t>2026-01-29 07:29:00</t>
        </is>
      </c>
      <c r="C5421" t="inlineStr">
        <is>
          <t>Social Media</t>
        </is>
      </c>
      <c r="D5421" t="inlineStr">
        <is>
          <t>Language Learning</t>
        </is>
      </c>
      <c r="E5421" t="inlineStr">
        <is>
          <t>North Region</t>
        </is>
      </c>
      <c r="F5421" t="inlineStr">
        <is>
          <t>Rep_11</t>
        </is>
      </c>
      <c r="G5421" t="n">
        <v>14.69</v>
      </c>
      <c r="H5421" t="inlineStr">
        <is>
          <t>Contacted</t>
        </is>
      </c>
      <c r="I5421" t="inlineStr">
        <is>
          <t>Open</t>
        </is>
      </c>
      <c r="M5421">
        <f>VLOOKUP(H5421,'Stage Order'!$A$2:$B$8,2,FALSE)</f>
        <v/>
      </c>
      <c r="N5421">
        <f>IF(G5421&lt;=1,"1. Under 1 hour",IF(G5421&lt;=24,"2. 1-24 hours",IF(G5421&lt;=72,"3. 1-3 days","4. Over 3 days")))</f>
        <v/>
      </c>
      <c r="O5421">
        <f>TEXT(B5421,"YYYY-MM")</f>
        <v/>
      </c>
    </row>
    <row r="5422">
      <c r="A5422" t="inlineStr">
        <is>
          <t>LD-305420</t>
        </is>
      </c>
      <c r="B5422" t="inlineStr">
        <is>
          <t>2025-05-23 10:06:00</t>
        </is>
      </c>
      <c r="C5422" t="inlineStr">
        <is>
          <t>Paid Search</t>
        </is>
      </c>
      <c r="D5422" t="inlineStr">
        <is>
          <t>Study Abroad Prep</t>
        </is>
      </c>
      <c r="E5422" t="inlineStr">
        <is>
          <t>South Region</t>
        </is>
      </c>
      <c r="F5422" t="inlineStr">
        <is>
          <t>Rep_12</t>
        </is>
      </c>
      <c r="G5422" t="n">
        <v>4.46</v>
      </c>
      <c r="H5422" t="inlineStr">
        <is>
          <t>Closed</t>
        </is>
      </c>
      <c r="I5422" t="inlineStr">
        <is>
          <t>Won</t>
        </is>
      </c>
      <c r="K5422" t="n">
        <v>1644.77</v>
      </c>
      <c r="L5422" t="inlineStr">
        <is>
          <t>2025-06-22 03:36:59.780940</t>
        </is>
      </c>
      <c r="M5422">
        <f>VLOOKUP(H5422,'Stage Order'!$A$2:$B$8,2,FALSE)</f>
        <v/>
      </c>
      <c r="N5422">
        <f>IF(G5422&lt;=1,"1. Under 1 hour",IF(G5422&lt;=24,"2. 1-24 hours",IF(G5422&lt;=72,"3. 1-3 days","4. Over 3 days")))</f>
        <v/>
      </c>
      <c r="O5422">
        <f>TEXT(B5422,"YYYY-MM")</f>
        <v/>
      </c>
    </row>
    <row r="5423">
      <c r="A5423" t="inlineStr">
        <is>
          <t>LD-305421</t>
        </is>
      </c>
      <c r="B5423" t="inlineStr">
        <is>
          <t>2025-06-12 10:31:00</t>
        </is>
      </c>
      <c r="C5423" t="inlineStr">
        <is>
          <t>Paid Search</t>
        </is>
      </c>
      <c r="D5423" t="inlineStr">
        <is>
          <t>K-12 Math</t>
        </is>
      </c>
      <c r="E5423" t="inlineStr">
        <is>
          <t>North Region</t>
        </is>
      </c>
      <c r="F5423" t="inlineStr">
        <is>
          <t>Rep_06</t>
        </is>
      </c>
      <c r="G5423" t="n">
        <v>6.16</v>
      </c>
      <c r="H5423" t="inlineStr">
        <is>
          <t>Contacted</t>
        </is>
      </c>
      <c r="I5423" t="inlineStr">
        <is>
          <t>Open</t>
        </is>
      </c>
      <c r="M5423">
        <f>VLOOKUP(H5423,'Stage Order'!$A$2:$B$8,2,FALSE)</f>
        <v/>
      </c>
      <c r="N5423">
        <f>IF(G5423&lt;=1,"1. Under 1 hour",IF(G5423&lt;=24,"2. 1-24 hours",IF(G5423&lt;=72,"3. 1-3 days","4. Over 3 days")))</f>
        <v/>
      </c>
      <c r="O5423">
        <f>TEXT(B5423,"YYYY-MM")</f>
        <v/>
      </c>
    </row>
    <row r="5424">
      <c r="A5424" t="inlineStr">
        <is>
          <t>LD-305422</t>
        </is>
      </c>
      <c r="B5424" t="inlineStr">
        <is>
          <t>2026-02-27 15:48:00</t>
        </is>
      </c>
      <c r="C5424" t="inlineStr">
        <is>
          <t>Social Media</t>
        </is>
      </c>
      <c r="D5424" t="inlineStr">
        <is>
          <t>Coding for Kids</t>
        </is>
      </c>
      <c r="E5424" t="inlineStr">
        <is>
          <t>East Region</t>
        </is>
      </c>
      <c r="F5424" t="inlineStr">
        <is>
          <t>Rep_09</t>
        </is>
      </c>
      <c r="G5424" t="n">
        <v>0.3</v>
      </c>
      <c r="H5424" t="inlineStr">
        <is>
          <t>Contacted</t>
        </is>
      </c>
      <c r="I5424" t="inlineStr">
        <is>
          <t>Open</t>
        </is>
      </c>
      <c r="M5424">
        <f>VLOOKUP(H5424,'Stage Order'!$A$2:$B$8,2,FALSE)</f>
        <v/>
      </c>
      <c r="N5424">
        <f>IF(G5424&lt;=1,"1. Under 1 hour",IF(G5424&lt;=24,"2. 1-24 hours",IF(G5424&lt;=72,"3. 1-3 days","4. Over 3 days")))</f>
        <v/>
      </c>
      <c r="O5424">
        <f>TEXT(B5424,"YYYY-MM")</f>
        <v/>
      </c>
    </row>
    <row r="5425">
      <c r="A5425" t="inlineStr">
        <is>
          <t>LD-305423</t>
        </is>
      </c>
      <c r="B5425" t="inlineStr">
        <is>
          <t>2025-01-06 12:36:00</t>
        </is>
      </c>
      <c r="C5425" t="inlineStr">
        <is>
          <t>Paid Search</t>
        </is>
      </c>
      <c r="D5425" t="inlineStr">
        <is>
          <t>K-12 Math</t>
        </is>
      </c>
      <c r="E5425" t="inlineStr">
        <is>
          <t>West Region</t>
        </is>
      </c>
      <c r="F5425" t="inlineStr">
        <is>
          <t>Rep_03</t>
        </is>
      </c>
      <c r="G5425" t="n">
        <v>13.33</v>
      </c>
      <c r="H5425" t="inlineStr">
        <is>
          <t>Contacted</t>
        </is>
      </c>
      <c r="I5425" t="inlineStr">
        <is>
          <t>Open</t>
        </is>
      </c>
      <c r="M5425">
        <f>VLOOKUP(H5425,'Stage Order'!$A$2:$B$8,2,FALSE)</f>
        <v/>
      </c>
      <c r="N5425">
        <f>IF(G5425&lt;=1,"1. Under 1 hour",IF(G5425&lt;=24,"2. 1-24 hours",IF(G5425&lt;=72,"3. 1-3 days","4. Over 3 days")))</f>
        <v/>
      </c>
      <c r="O5425">
        <f>TEXT(B5425,"YYYY-MM")</f>
        <v/>
      </c>
    </row>
    <row r="5426">
      <c r="A5426" t="inlineStr">
        <is>
          <t>LD-305424</t>
        </is>
      </c>
      <c r="B5426" t="inlineStr">
        <is>
          <t>2026-04-07 15:45:00</t>
        </is>
      </c>
      <c r="C5426" t="inlineStr">
        <is>
          <t>Referral</t>
        </is>
      </c>
      <c r="D5426" t="inlineStr">
        <is>
          <t>Study Abroad Prep</t>
        </is>
      </c>
      <c r="E5426" t="inlineStr">
        <is>
          <t>South Region</t>
        </is>
      </c>
      <c r="F5426" t="inlineStr">
        <is>
          <t>Rep_12</t>
        </is>
      </c>
      <c r="G5426" t="n">
        <v>4.6</v>
      </c>
      <c r="H5426" t="inlineStr">
        <is>
          <t>Closed</t>
        </is>
      </c>
      <c r="I5426" t="inlineStr">
        <is>
          <t>Won</t>
        </is>
      </c>
      <c r="K5426" t="n">
        <v>1604.82</v>
      </c>
      <c r="L5426" t="inlineStr">
        <is>
          <t>2026-05-17 22:08:24.161530</t>
        </is>
      </c>
      <c r="M5426">
        <f>VLOOKUP(H5426,'Stage Order'!$A$2:$B$8,2,FALSE)</f>
        <v/>
      </c>
      <c r="N5426">
        <f>IF(G5426&lt;=1,"1. Under 1 hour",IF(G5426&lt;=24,"2. 1-24 hours",IF(G5426&lt;=72,"3. 1-3 days","4. Over 3 days")))</f>
        <v/>
      </c>
      <c r="O5426">
        <f>TEXT(B5426,"YYYY-MM")</f>
        <v/>
      </c>
    </row>
    <row r="5427">
      <c r="A5427" t="inlineStr">
        <is>
          <t>LD-305425</t>
        </is>
      </c>
      <c r="B5427" t="inlineStr">
        <is>
          <t>2026-02-03 20:50:00</t>
        </is>
      </c>
      <c r="C5427" t="inlineStr">
        <is>
          <t>Referral</t>
        </is>
      </c>
      <c r="D5427" t="inlineStr">
        <is>
          <t>Study Abroad Prep</t>
        </is>
      </c>
      <c r="E5427" t="inlineStr">
        <is>
          <t>East Region</t>
        </is>
      </c>
      <c r="F5427" t="inlineStr">
        <is>
          <t>Rep_04</t>
        </is>
      </c>
      <c r="G5427" t="n">
        <v>49.76</v>
      </c>
      <c r="H5427" t="inlineStr">
        <is>
          <t>Contacted</t>
        </is>
      </c>
      <c r="I5427" t="inlineStr">
        <is>
          <t>Open</t>
        </is>
      </c>
      <c r="M5427">
        <f>VLOOKUP(H5427,'Stage Order'!$A$2:$B$8,2,FALSE)</f>
        <v/>
      </c>
      <c r="N5427">
        <f>IF(G5427&lt;=1,"1. Under 1 hour",IF(G5427&lt;=24,"2. 1-24 hours",IF(G5427&lt;=72,"3. 1-3 days","4. Over 3 days")))</f>
        <v/>
      </c>
      <c r="O5427">
        <f>TEXT(B5427,"YYYY-MM")</f>
        <v/>
      </c>
    </row>
    <row r="5428">
      <c r="A5428" t="inlineStr">
        <is>
          <t>LD-305426</t>
        </is>
      </c>
      <c r="B5428" t="inlineStr">
        <is>
          <t>2025-03-07 13:02:00</t>
        </is>
      </c>
      <c r="C5428" t="inlineStr">
        <is>
          <t>Social Media</t>
        </is>
      </c>
      <c r="D5428" t="inlineStr">
        <is>
          <t>Coding for Kids</t>
        </is>
      </c>
      <c r="E5428" t="inlineStr">
        <is>
          <t>South Region</t>
        </is>
      </c>
      <c r="F5428" t="inlineStr">
        <is>
          <t>Rep_07</t>
        </is>
      </c>
      <c r="G5428" t="n">
        <v>2.84</v>
      </c>
      <c r="H5428" t="inlineStr">
        <is>
          <t>Proposal Sent</t>
        </is>
      </c>
      <c r="I5428" t="inlineStr">
        <is>
          <t>Lost</t>
        </is>
      </c>
      <c r="J5428" t="inlineStr">
        <is>
          <t>Budget Not Approved</t>
        </is>
      </c>
      <c r="K5428" t="n">
        <v>756.48</v>
      </c>
      <c r="L5428" t="inlineStr">
        <is>
          <t>2025-04-06 23:41:27.794002</t>
        </is>
      </c>
      <c r="M5428">
        <f>VLOOKUP(H5428,'Stage Order'!$A$2:$B$8,2,FALSE)</f>
        <v/>
      </c>
      <c r="N5428">
        <f>IF(G5428&lt;=1,"1. Under 1 hour",IF(G5428&lt;=24,"2. 1-24 hours",IF(G5428&lt;=72,"3. 1-3 days","4. Over 3 days")))</f>
        <v/>
      </c>
      <c r="O5428">
        <f>TEXT(B5428,"YYYY-MM")</f>
        <v/>
      </c>
    </row>
    <row r="5429">
      <c r="A5429" t="inlineStr">
        <is>
          <t>LD-305427</t>
        </is>
      </c>
      <c r="B5429" t="inlineStr">
        <is>
          <t>2025-09-05 17:36:00</t>
        </is>
      </c>
      <c r="C5429" t="inlineStr">
        <is>
          <t>Paid Search</t>
        </is>
      </c>
      <c r="D5429" t="inlineStr">
        <is>
          <t>Competitive Exam Prep</t>
        </is>
      </c>
      <c r="E5429" t="inlineStr">
        <is>
          <t>West Region</t>
        </is>
      </c>
      <c r="F5429" t="inlineStr">
        <is>
          <t>Rep_03</t>
        </is>
      </c>
      <c r="G5429" t="n">
        <v>1.56</v>
      </c>
      <c r="H5429" t="inlineStr">
        <is>
          <t>Demo Completed</t>
        </is>
      </c>
      <c r="I5429" t="inlineStr">
        <is>
          <t>Lost</t>
        </is>
      </c>
      <c r="J5429" t="inlineStr">
        <is>
          <t>No Response / Ghosted</t>
        </is>
      </c>
      <c r="K5429" t="n">
        <v>961.83</v>
      </c>
      <c r="L5429" t="inlineStr">
        <is>
          <t>2025-09-28 20:33:23.565802</t>
        </is>
      </c>
      <c r="M5429">
        <f>VLOOKUP(H5429,'Stage Order'!$A$2:$B$8,2,FALSE)</f>
        <v/>
      </c>
      <c r="N5429">
        <f>IF(G5429&lt;=1,"1. Under 1 hour",IF(G5429&lt;=24,"2. 1-24 hours",IF(G5429&lt;=72,"3. 1-3 days","4. Over 3 days")))</f>
        <v/>
      </c>
      <c r="O5429">
        <f>TEXT(B5429,"YYYY-MM")</f>
        <v/>
      </c>
    </row>
    <row r="5430">
      <c r="A5430" t="inlineStr">
        <is>
          <t>LD-305428</t>
        </is>
      </c>
      <c r="B5430" t="inlineStr">
        <is>
          <t>2026-04-17 17:52:00</t>
        </is>
      </c>
      <c r="C5430" t="inlineStr">
        <is>
          <t>Paid Search</t>
        </is>
      </c>
      <c r="D5430" t="inlineStr">
        <is>
          <t>K-12 Math</t>
        </is>
      </c>
      <c r="E5430" t="inlineStr">
        <is>
          <t>West Region</t>
        </is>
      </c>
      <c r="F5430" t="inlineStr">
        <is>
          <t>Rep_08</t>
        </is>
      </c>
      <c r="G5430" t="n">
        <v>4.67</v>
      </c>
      <c r="H5430" t="inlineStr">
        <is>
          <t>Contacted</t>
        </is>
      </c>
      <c r="I5430" t="inlineStr">
        <is>
          <t>Open</t>
        </is>
      </c>
      <c r="M5430">
        <f>VLOOKUP(H5430,'Stage Order'!$A$2:$B$8,2,FALSE)</f>
        <v/>
      </c>
      <c r="N5430">
        <f>IF(G5430&lt;=1,"1. Under 1 hour",IF(G5430&lt;=24,"2. 1-24 hours",IF(G5430&lt;=72,"3. 1-3 days","4. Over 3 days")))</f>
        <v/>
      </c>
      <c r="O5430">
        <f>TEXT(B5430,"YYYY-MM")</f>
        <v/>
      </c>
    </row>
    <row r="5431">
      <c r="A5431" t="inlineStr">
        <is>
          <t>LD-305429</t>
        </is>
      </c>
      <c r="B5431" t="inlineStr">
        <is>
          <t>2025-07-16 20:08:00</t>
        </is>
      </c>
      <c r="C5431" t="inlineStr">
        <is>
          <t>Partner Channel</t>
        </is>
      </c>
      <c r="D5431" t="inlineStr">
        <is>
          <t>Competitive Exam Prep</t>
        </is>
      </c>
      <c r="E5431" t="inlineStr">
        <is>
          <t>South Region</t>
        </is>
      </c>
      <c r="F5431" t="inlineStr">
        <is>
          <t>Rep_07</t>
        </is>
      </c>
      <c r="G5431" t="n">
        <v>1.26</v>
      </c>
      <c r="H5431" t="inlineStr">
        <is>
          <t>Negotiation</t>
        </is>
      </c>
      <c r="I5431" t="inlineStr">
        <is>
          <t>Lost</t>
        </is>
      </c>
      <c r="J5431" t="inlineStr">
        <is>
          <t>No Response / Ghosted</t>
        </is>
      </c>
      <c r="K5431" t="n">
        <v>1021.23</v>
      </c>
      <c r="L5431" t="inlineStr">
        <is>
          <t>2025-09-01 00:34:09.790834</t>
        </is>
      </c>
      <c r="M5431">
        <f>VLOOKUP(H5431,'Stage Order'!$A$2:$B$8,2,FALSE)</f>
        <v/>
      </c>
      <c r="N5431">
        <f>IF(G5431&lt;=1,"1. Under 1 hour",IF(G5431&lt;=24,"2. 1-24 hours",IF(G5431&lt;=72,"3. 1-3 days","4. Over 3 days")))</f>
        <v/>
      </c>
      <c r="O5431">
        <f>TEXT(B5431,"YYYY-MM")</f>
        <v/>
      </c>
    </row>
    <row r="5432">
      <c r="A5432" t="inlineStr">
        <is>
          <t>LD-305430</t>
        </is>
      </c>
      <c r="B5432" t="inlineStr">
        <is>
          <t>2025-05-08 10:03:00</t>
        </is>
      </c>
      <c r="C5432" t="inlineStr">
        <is>
          <t>Referral</t>
        </is>
      </c>
      <c r="D5432" t="inlineStr">
        <is>
          <t>K-12 Math</t>
        </is>
      </c>
      <c r="E5432" t="inlineStr">
        <is>
          <t>West Region</t>
        </is>
      </c>
      <c r="F5432" t="inlineStr">
        <is>
          <t>Rep_08</t>
        </is>
      </c>
      <c r="G5432" t="n">
        <v>1.31</v>
      </c>
      <c r="H5432" t="inlineStr">
        <is>
          <t>Closed</t>
        </is>
      </c>
      <c r="I5432" t="inlineStr">
        <is>
          <t>Won</t>
        </is>
      </c>
      <c r="K5432" t="n">
        <v>580.79</v>
      </c>
      <c r="L5432" t="inlineStr">
        <is>
          <t>2025-06-24 03:11:17.660741</t>
        </is>
      </c>
      <c r="M5432">
        <f>VLOOKUP(H5432,'Stage Order'!$A$2:$B$8,2,FALSE)</f>
        <v/>
      </c>
      <c r="N5432">
        <f>IF(G5432&lt;=1,"1. Under 1 hour",IF(G5432&lt;=24,"2. 1-24 hours",IF(G5432&lt;=72,"3. 1-3 days","4. Over 3 days")))</f>
        <v/>
      </c>
      <c r="O5432">
        <f>TEXT(B5432,"YYYY-MM")</f>
        <v/>
      </c>
    </row>
    <row r="5433">
      <c r="A5433" t="inlineStr">
        <is>
          <t>LD-305431</t>
        </is>
      </c>
      <c r="B5433" t="inlineStr">
        <is>
          <t>2025-12-20 13:27:00</t>
        </is>
      </c>
      <c r="C5433" t="inlineStr">
        <is>
          <t>Partner Channel</t>
        </is>
      </c>
      <c r="D5433" t="inlineStr">
        <is>
          <t>Competitive Exam Prep</t>
        </is>
      </c>
      <c r="E5433" t="inlineStr">
        <is>
          <t>South Region</t>
        </is>
      </c>
      <c r="F5433" t="inlineStr">
        <is>
          <t>Rep_02</t>
        </is>
      </c>
      <c r="G5433" t="n">
        <v>4.2</v>
      </c>
      <c r="H5433" t="inlineStr">
        <is>
          <t>Contacted</t>
        </is>
      </c>
      <c r="I5433" t="inlineStr">
        <is>
          <t>Open</t>
        </is>
      </c>
      <c r="M5433">
        <f>VLOOKUP(H5433,'Stage Order'!$A$2:$B$8,2,FALSE)</f>
        <v/>
      </c>
      <c r="N5433">
        <f>IF(G5433&lt;=1,"1. Under 1 hour",IF(G5433&lt;=24,"2. 1-24 hours",IF(G5433&lt;=72,"3. 1-3 days","4. Over 3 days")))</f>
        <v/>
      </c>
      <c r="O5433">
        <f>TEXT(B5433,"YYYY-MM")</f>
        <v/>
      </c>
    </row>
    <row r="5434">
      <c r="A5434" t="inlineStr">
        <is>
          <t>LD-305432</t>
        </is>
      </c>
      <c r="B5434" t="inlineStr">
        <is>
          <t>2026-06-27 07:36:00</t>
        </is>
      </c>
      <c r="C5434" t="inlineStr">
        <is>
          <t>Paid Search</t>
        </is>
      </c>
      <c r="D5434" t="inlineStr">
        <is>
          <t>Coding for Kids</t>
        </is>
      </c>
      <c r="E5434" t="inlineStr">
        <is>
          <t>South Region</t>
        </is>
      </c>
      <c r="F5434" t="inlineStr">
        <is>
          <t>Rep_07</t>
        </is>
      </c>
      <c r="G5434" t="n">
        <v>6.17</v>
      </c>
      <c r="H5434" t="inlineStr">
        <is>
          <t>Contacted</t>
        </is>
      </c>
      <c r="I5434" t="inlineStr">
        <is>
          <t>Open</t>
        </is>
      </c>
      <c r="M5434">
        <f>VLOOKUP(H5434,'Stage Order'!$A$2:$B$8,2,FALSE)</f>
        <v/>
      </c>
      <c r="N5434">
        <f>IF(G5434&lt;=1,"1. Under 1 hour",IF(G5434&lt;=24,"2. 1-24 hours",IF(G5434&lt;=72,"3. 1-3 days","4. Over 3 days")))</f>
        <v/>
      </c>
      <c r="O5434">
        <f>TEXT(B5434,"YYYY-MM")</f>
        <v/>
      </c>
    </row>
    <row r="5435">
      <c r="A5435" t="inlineStr">
        <is>
          <t>LD-305433</t>
        </is>
      </c>
      <c r="B5435" t="inlineStr">
        <is>
          <t>2026-05-02 08:49:00</t>
        </is>
      </c>
      <c r="C5435" t="inlineStr">
        <is>
          <t>Cold Outreach</t>
        </is>
      </c>
      <c r="D5435" t="inlineStr">
        <is>
          <t>K-12 Math</t>
        </is>
      </c>
      <c r="E5435" t="inlineStr">
        <is>
          <t>International</t>
        </is>
      </c>
      <c r="F5435" t="inlineStr">
        <is>
          <t>Rep_15</t>
        </is>
      </c>
      <c r="G5435" t="n">
        <v>2.61</v>
      </c>
      <c r="H5435" t="inlineStr">
        <is>
          <t>Contacted</t>
        </is>
      </c>
      <c r="I5435" t="inlineStr">
        <is>
          <t>Open</t>
        </is>
      </c>
      <c r="M5435">
        <f>VLOOKUP(H5435,'Stage Order'!$A$2:$B$8,2,FALSE)</f>
        <v/>
      </c>
      <c r="N5435">
        <f>IF(G5435&lt;=1,"1. Under 1 hour",IF(G5435&lt;=24,"2. 1-24 hours",IF(G5435&lt;=72,"3. 1-3 days","4. Over 3 days")))</f>
        <v/>
      </c>
      <c r="O5435">
        <f>TEXT(B5435,"YYYY-MM")</f>
        <v/>
      </c>
    </row>
    <row r="5436">
      <c r="A5436" t="inlineStr">
        <is>
          <t>LD-305434</t>
        </is>
      </c>
      <c r="B5436" t="inlineStr">
        <is>
          <t>2025-09-26 08:55:00</t>
        </is>
      </c>
      <c r="C5436" t="inlineStr">
        <is>
          <t>Paid Search</t>
        </is>
      </c>
      <c r="D5436" t="inlineStr">
        <is>
          <t>Coding for Kids</t>
        </is>
      </c>
      <c r="E5436" t="inlineStr">
        <is>
          <t>West Region</t>
        </is>
      </c>
      <c r="F5436" t="inlineStr">
        <is>
          <t>Rep_03</t>
        </is>
      </c>
      <c r="G5436" t="n">
        <v>9.109999999999999</v>
      </c>
      <c r="H5436" t="inlineStr">
        <is>
          <t>Proposal Sent</t>
        </is>
      </c>
      <c r="I5436" t="inlineStr">
        <is>
          <t>Lost</t>
        </is>
      </c>
      <c r="J5436" t="inlineStr">
        <is>
          <t>Price Objection</t>
        </is>
      </c>
      <c r="K5436" t="n">
        <v>698.84</v>
      </c>
      <c r="L5436" t="inlineStr">
        <is>
          <t>2025-11-08 02:43:31.814067</t>
        </is>
      </c>
      <c r="M5436">
        <f>VLOOKUP(H5436,'Stage Order'!$A$2:$B$8,2,FALSE)</f>
        <v/>
      </c>
      <c r="N5436">
        <f>IF(G5436&lt;=1,"1. Under 1 hour",IF(G5436&lt;=24,"2. 1-24 hours",IF(G5436&lt;=72,"3. 1-3 days","4. Over 3 days")))</f>
        <v/>
      </c>
      <c r="O5436">
        <f>TEXT(B5436,"YYYY-MM")</f>
        <v/>
      </c>
    </row>
    <row r="5437">
      <c r="A5437" t="inlineStr">
        <is>
          <t>LD-305435</t>
        </is>
      </c>
      <c r="B5437" t="inlineStr">
        <is>
          <t>2026-04-24 19:38:00</t>
        </is>
      </c>
      <c r="C5437" t="inlineStr">
        <is>
          <t>Organic Search</t>
        </is>
      </c>
      <c r="D5437" t="inlineStr">
        <is>
          <t>Language Learning</t>
        </is>
      </c>
      <c r="E5437" t="inlineStr">
        <is>
          <t>South Region</t>
        </is>
      </c>
      <c r="F5437" t="inlineStr">
        <is>
          <t>Rep_12</t>
        </is>
      </c>
      <c r="G5437" t="n">
        <v>7.68</v>
      </c>
      <c r="H5437" t="inlineStr">
        <is>
          <t>Proposal Sent</t>
        </is>
      </c>
      <c r="I5437" t="inlineStr">
        <is>
          <t>Lost</t>
        </is>
      </c>
      <c r="J5437" t="inlineStr">
        <is>
          <t>Budget Not Approved</t>
        </is>
      </c>
      <c r="K5437" t="n">
        <v>327.91</v>
      </c>
      <c r="L5437" t="inlineStr">
        <is>
          <t>2026-05-30 02:35:32.659308</t>
        </is>
      </c>
      <c r="M5437">
        <f>VLOOKUP(H5437,'Stage Order'!$A$2:$B$8,2,FALSE)</f>
        <v/>
      </c>
      <c r="N5437">
        <f>IF(G5437&lt;=1,"1. Under 1 hour",IF(G5437&lt;=24,"2. 1-24 hours",IF(G5437&lt;=72,"3. 1-3 days","4. Over 3 days")))</f>
        <v/>
      </c>
      <c r="O5437">
        <f>TEXT(B5437,"YYYY-MM")</f>
        <v/>
      </c>
    </row>
    <row r="5438">
      <c r="A5438" t="inlineStr">
        <is>
          <t>LD-305436</t>
        </is>
      </c>
      <c r="B5438" t="inlineStr">
        <is>
          <t>2026-01-18 17:48:00</t>
        </is>
      </c>
      <c r="C5438" t="inlineStr">
        <is>
          <t>Social Media</t>
        </is>
      </c>
      <c r="D5438" t="inlineStr">
        <is>
          <t>Competitive Exam Prep</t>
        </is>
      </c>
      <c r="E5438" t="inlineStr">
        <is>
          <t>North Region</t>
        </is>
      </c>
      <c r="F5438" t="inlineStr">
        <is>
          <t>Rep_01</t>
        </is>
      </c>
      <c r="G5438" t="n">
        <v>0.76</v>
      </c>
      <c r="H5438" t="inlineStr">
        <is>
          <t>Proposal Sent</t>
        </is>
      </c>
      <c r="I5438" t="inlineStr">
        <is>
          <t>Lost</t>
        </is>
      </c>
      <c r="J5438" t="inlineStr">
        <is>
          <t>Bad Timing</t>
        </is>
      </c>
      <c r="K5438" t="n">
        <v>1066.43</v>
      </c>
      <c r="L5438" t="inlineStr">
        <is>
          <t>2026-02-18 07:53:06.843750</t>
        </is>
      </c>
      <c r="M5438">
        <f>VLOOKUP(H5438,'Stage Order'!$A$2:$B$8,2,FALSE)</f>
        <v/>
      </c>
      <c r="N5438">
        <f>IF(G5438&lt;=1,"1. Under 1 hour",IF(G5438&lt;=24,"2. 1-24 hours",IF(G5438&lt;=72,"3. 1-3 days","4. Over 3 days")))</f>
        <v/>
      </c>
      <c r="O5438">
        <f>TEXT(B5438,"YYYY-MM")</f>
        <v/>
      </c>
    </row>
    <row r="5439">
      <c r="A5439" t="inlineStr">
        <is>
          <t>LD-305437</t>
        </is>
      </c>
      <c r="B5439" t="inlineStr">
        <is>
          <t>2026-02-24 14:03:00</t>
        </is>
      </c>
      <c r="C5439" t="inlineStr">
        <is>
          <t>Referral</t>
        </is>
      </c>
      <c r="D5439" t="inlineStr">
        <is>
          <t>Competitive Exam Prep</t>
        </is>
      </c>
      <c r="E5439" t="inlineStr">
        <is>
          <t>South Region</t>
        </is>
      </c>
      <c r="F5439" t="inlineStr">
        <is>
          <t>Rep_12</t>
        </is>
      </c>
      <c r="G5439" t="n">
        <v>0.16</v>
      </c>
      <c r="H5439" t="inlineStr">
        <is>
          <t>Closed</t>
        </is>
      </c>
      <c r="I5439" t="inlineStr">
        <is>
          <t>Won</t>
        </is>
      </c>
      <c r="K5439" t="n">
        <v>959.28</v>
      </c>
      <c r="L5439" t="inlineStr">
        <is>
          <t>2026-03-30 10:53:51.494186</t>
        </is>
      </c>
      <c r="M5439">
        <f>VLOOKUP(H5439,'Stage Order'!$A$2:$B$8,2,FALSE)</f>
        <v/>
      </c>
      <c r="N5439">
        <f>IF(G5439&lt;=1,"1. Under 1 hour",IF(G5439&lt;=24,"2. 1-24 hours",IF(G5439&lt;=72,"3. 1-3 days","4. Over 3 days")))</f>
        <v/>
      </c>
      <c r="O5439">
        <f>TEXT(B5439,"YYYY-MM")</f>
        <v/>
      </c>
    </row>
    <row r="5440">
      <c r="A5440" t="inlineStr">
        <is>
          <t>LD-305438</t>
        </is>
      </c>
      <c r="B5440" t="inlineStr">
        <is>
          <t>2026-06-18 13:01:00</t>
        </is>
      </c>
      <c r="C5440" t="inlineStr">
        <is>
          <t>Paid Search</t>
        </is>
      </c>
      <c r="D5440" t="inlineStr">
        <is>
          <t>Competitive Exam Prep</t>
        </is>
      </c>
      <c r="E5440" t="inlineStr">
        <is>
          <t>South Region</t>
        </is>
      </c>
      <c r="F5440" t="inlineStr">
        <is>
          <t>Rep_02</t>
        </is>
      </c>
      <c r="G5440" t="n">
        <v>3.96</v>
      </c>
      <c r="H5440" t="inlineStr">
        <is>
          <t>Contacted</t>
        </is>
      </c>
      <c r="I5440" t="inlineStr">
        <is>
          <t>Open</t>
        </is>
      </c>
      <c r="M5440">
        <f>VLOOKUP(H5440,'Stage Order'!$A$2:$B$8,2,FALSE)</f>
        <v/>
      </c>
      <c r="N5440">
        <f>IF(G5440&lt;=1,"1. Under 1 hour",IF(G5440&lt;=24,"2. 1-24 hours",IF(G5440&lt;=72,"3. 1-3 days","4. Over 3 days")))</f>
        <v/>
      </c>
      <c r="O5440">
        <f>TEXT(B5440,"YYYY-MM")</f>
        <v/>
      </c>
    </row>
    <row r="5441">
      <c r="A5441" t="inlineStr">
        <is>
          <t>LD-305439</t>
        </is>
      </c>
      <c r="B5441" t="inlineStr">
        <is>
          <t>2025-12-03 16:24:00</t>
        </is>
      </c>
      <c r="C5441" t="inlineStr">
        <is>
          <t>Social Media</t>
        </is>
      </c>
      <c r="D5441" t="inlineStr">
        <is>
          <t>Competitive Exam Prep</t>
        </is>
      </c>
      <c r="E5441" t="inlineStr">
        <is>
          <t>South Region</t>
        </is>
      </c>
      <c r="F5441" t="inlineStr">
        <is>
          <t>Rep_12</t>
        </is>
      </c>
      <c r="G5441" t="n">
        <v>4.57</v>
      </c>
      <c r="H5441" t="inlineStr">
        <is>
          <t>Contacted</t>
        </is>
      </c>
      <c r="I5441" t="inlineStr">
        <is>
          <t>Open</t>
        </is>
      </c>
      <c r="M5441">
        <f>VLOOKUP(H5441,'Stage Order'!$A$2:$B$8,2,FALSE)</f>
        <v/>
      </c>
      <c r="N5441">
        <f>IF(G5441&lt;=1,"1. Under 1 hour",IF(G5441&lt;=24,"2. 1-24 hours",IF(G5441&lt;=72,"3. 1-3 days","4. Over 3 days")))</f>
        <v/>
      </c>
      <c r="O5441">
        <f>TEXT(B5441,"YYYY-MM")</f>
        <v/>
      </c>
    </row>
    <row r="5442">
      <c r="A5442" t="inlineStr">
        <is>
          <t>LD-305440</t>
        </is>
      </c>
      <c r="B5442" t="inlineStr">
        <is>
          <t>2026-04-16 10:42:00</t>
        </is>
      </c>
      <c r="C5442" t="inlineStr">
        <is>
          <t>Partner Channel</t>
        </is>
      </c>
      <c r="D5442" t="inlineStr">
        <is>
          <t>Language Learning</t>
        </is>
      </c>
      <c r="E5442" t="inlineStr">
        <is>
          <t>East Region</t>
        </is>
      </c>
      <c r="F5442" t="inlineStr">
        <is>
          <t>Rep_09</t>
        </is>
      </c>
      <c r="G5442" t="n">
        <v>1.5</v>
      </c>
      <c r="H5442" t="inlineStr">
        <is>
          <t>Contacted</t>
        </is>
      </c>
      <c r="I5442" t="inlineStr">
        <is>
          <t>Open</t>
        </is>
      </c>
      <c r="M5442">
        <f>VLOOKUP(H5442,'Stage Order'!$A$2:$B$8,2,FALSE)</f>
        <v/>
      </c>
      <c r="N5442">
        <f>IF(G5442&lt;=1,"1. Under 1 hour",IF(G5442&lt;=24,"2. 1-24 hours",IF(G5442&lt;=72,"3. 1-3 days","4. Over 3 days")))</f>
        <v/>
      </c>
      <c r="O5442">
        <f>TEXT(B5442,"YYYY-MM")</f>
        <v/>
      </c>
    </row>
    <row r="5443">
      <c r="A5443" t="inlineStr">
        <is>
          <t>LD-305441</t>
        </is>
      </c>
      <c r="B5443" t="inlineStr">
        <is>
          <t>2025-08-21 12:56:00</t>
        </is>
      </c>
      <c r="C5443" t="inlineStr">
        <is>
          <t>Paid Search</t>
        </is>
      </c>
      <c r="D5443" t="inlineStr">
        <is>
          <t>Language Learning</t>
        </is>
      </c>
      <c r="E5443" t="inlineStr">
        <is>
          <t>South Region</t>
        </is>
      </c>
      <c r="F5443" t="inlineStr">
        <is>
          <t>Rep_07</t>
        </is>
      </c>
      <c r="G5443" t="n">
        <v>10.21</v>
      </c>
      <c r="H5443" t="inlineStr">
        <is>
          <t>Contacted</t>
        </is>
      </c>
      <c r="I5443" t="inlineStr">
        <is>
          <t>Open</t>
        </is>
      </c>
      <c r="M5443">
        <f>VLOOKUP(H5443,'Stage Order'!$A$2:$B$8,2,FALSE)</f>
        <v/>
      </c>
      <c r="N5443">
        <f>IF(G5443&lt;=1,"1. Under 1 hour",IF(G5443&lt;=24,"2. 1-24 hours",IF(G5443&lt;=72,"3. 1-3 days","4. Over 3 days")))</f>
        <v/>
      </c>
      <c r="O5443">
        <f>TEXT(B5443,"YYYY-MM")</f>
        <v/>
      </c>
    </row>
    <row r="5444">
      <c r="A5444" t="inlineStr">
        <is>
          <t>LD-305442</t>
        </is>
      </c>
      <c r="B5444" t="inlineStr">
        <is>
          <t>2026-06-03 11:40:00</t>
        </is>
      </c>
      <c r="C5444" t="inlineStr">
        <is>
          <t>Organic Search</t>
        </is>
      </c>
      <c r="D5444" t="inlineStr">
        <is>
          <t>Coding for Kids</t>
        </is>
      </c>
      <c r="E5444" t="inlineStr">
        <is>
          <t>North Region</t>
        </is>
      </c>
      <c r="F5444" t="inlineStr">
        <is>
          <t>Rep_06</t>
        </is>
      </c>
      <c r="G5444" t="n">
        <v>6.68</v>
      </c>
      <c r="H5444" t="inlineStr">
        <is>
          <t>Contacted</t>
        </is>
      </c>
      <c r="I5444" t="inlineStr">
        <is>
          <t>Open</t>
        </is>
      </c>
      <c r="M5444">
        <f>VLOOKUP(H5444,'Stage Order'!$A$2:$B$8,2,FALSE)</f>
        <v/>
      </c>
      <c r="N5444">
        <f>IF(G5444&lt;=1,"1. Under 1 hour",IF(G5444&lt;=24,"2. 1-24 hours",IF(G5444&lt;=72,"3. 1-3 days","4. Over 3 days")))</f>
        <v/>
      </c>
      <c r="O5444">
        <f>TEXT(B5444,"YYYY-MM")</f>
        <v/>
      </c>
    </row>
    <row r="5445">
      <c r="A5445" t="inlineStr">
        <is>
          <t>LD-305443</t>
        </is>
      </c>
      <c r="B5445" t="inlineStr">
        <is>
          <t>2025-05-13 15:03:00</t>
        </is>
      </c>
      <c r="C5445" t="inlineStr">
        <is>
          <t>Organic Search</t>
        </is>
      </c>
      <c r="D5445" t="inlineStr">
        <is>
          <t>Competitive Exam Prep</t>
        </is>
      </c>
      <c r="E5445" t="inlineStr">
        <is>
          <t>North Region</t>
        </is>
      </c>
      <c r="F5445" t="inlineStr">
        <is>
          <t>Rep_01</t>
        </is>
      </c>
      <c r="G5445" t="n">
        <v>1.76</v>
      </c>
      <c r="H5445" t="inlineStr">
        <is>
          <t>Contacted</t>
        </is>
      </c>
      <c r="I5445" t="inlineStr">
        <is>
          <t>Open</t>
        </is>
      </c>
      <c r="M5445">
        <f>VLOOKUP(H5445,'Stage Order'!$A$2:$B$8,2,FALSE)</f>
        <v/>
      </c>
      <c r="N5445">
        <f>IF(G5445&lt;=1,"1. Under 1 hour",IF(G5445&lt;=24,"2. 1-24 hours",IF(G5445&lt;=72,"3. 1-3 days","4. Over 3 days")))</f>
        <v/>
      </c>
      <c r="O5445">
        <f>TEXT(B5445,"YYYY-MM")</f>
        <v/>
      </c>
    </row>
    <row r="5446">
      <c r="A5446" t="inlineStr">
        <is>
          <t>LD-305444</t>
        </is>
      </c>
      <c r="B5446" t="inlineStr">
        <is>
          <t>2026-06-24 07:55:00</t>
        </is>
      </c>
      <c r="C5446" t="inlineStr">
        <is>
          <t>Webinar</t>
        </is>
      </c>
      <c r="D5446" t="inlineStr">
        <is>
          <t>Language Learning</t>
        </is>
      </c>
      <c r="E5446" t="inlineStr">
        <is>
          <t>West Region</t>
        </is>
      </c>
      <c r="F5446" t="inlineStr">
        <is>
          <t>Rep_03</t>
        </is>
      </c>
      <c r="G5446" t="n">
        <v>1.77</v>
      </c>
      <c r="H5446" t="inlineStr">
        <is>
          <t>Contacted</t>
        </is>
      </c>
      <c r="I5446" t="inlineStr">
        <is>
          <t>Open</t>
        </is>
      </c>
      <c r="M5446">
        <f>VLOOKUP(H5446,'Stage Order'!$A$2:$B$8,2,FALSE)</f>
        <v/>
      </c>
      <c r="N5446">
        <f>IF(G5446&lt;=1,"1. Under 1 hour",IF(G5446&lt;=24,"2. 1-24 hours",IF(G5446&lt;=72,"3. 1-3 days","4. Over 3 days")))</f>
        <v/>
      </c>
      <c r="O5446">
        <f>TEXT(B5446,"YYYY-MM")</f>
        <v/>
      </c>
    </row>
    <row r="5447">
      <c r="A5447" t="inlineStr">
        <is>
          <t>LD-305445</t>
        </is>
      </c>
      <c r="B5447" t="inlineStr">
        <is>
          <t>2026-06-11 15:10:00</t>
        </is>
      </c>
      <c r="C5447" t="inlineStr">
        <is>
          <t>Paid Search</t>
        </is>
      </c>
      <c r="D5447" t="inlineStr">
        <is>
          <t>Coding for Kids</t>
        </is>
      </c>
      <c r="E5447" t="inlineStr">
        <is>
          <t>West Region</t>
        </is>
      </c>
      <c r="F5447" t="inlineStr">
        <is>
          <t>Rep_13</t>
        </is>
      </c>
      <c r="G5447" t="n">
        <v>3.59</v>
      </c>
      <c r="H5447" t="inlineStr">
        <is>
          <t>Proposal Sent</t>
        </is>
      </c>
      <c r="I5447" t="inlineStr">
        <is>
          <t>Lost</t>
        </is>
      </c>
      <c r="J5447" t="inlineStr">
        <is>
          <t>Price Objection</t>
        </is>
      </c>
      <c r="K5447" t="n">
        <v>560.66</v>
      </c>
      <c r="L5447" t="inlineStr">
        <is>
          <t>2026-07-16 23:22:06.843089</t>
        </is>
      </c>
      <c r="M5447">
        <f>VLOOKUP(H5447,'Stage Order'!$A$2:$B$8,2,FALSE)</f>
        <v/>
      </c>
      <c r="N5447">
        <f>IF(G5447&lt;=1,"1. Under 1 hour",IF(G5447&lt;=24,"2. 1-24 hours",IF(G5447&lt;=72,"3. 1-3 days","4. Over 3 days")))</f>
        <v/>
      </c>
      <c r="O5447">
        <f>TEXT(B5447,"YYYY-MM")</f>
        <v/>
      </c>
    </row>
    <row r="5448">
      <c r="A5448" t="inlineStr">
        <is>
          <t>LD-305446</t>
        </is>
      </c>
      <c r="B5448" t="inlineStr">
        <is>
          <t>2026-01-06 20:07:00</t>
        </is>
      </c>
      <c r="C5448" t="inlineStr">
        <is>
          <t>Paid Search</t>
        </is>
      </c>
      <c r="D5448" t="inlineStr">
        <is>
          <t>Competitive Exam Prep</t>
        </is>
      </c>
      <c r="E5448" t="inlineStr">
        <is>
          <t>International</t>
        </is>
      </c>
      <c r="F5448" t="inlineStr">
        <is>
          <t>Rep_15</t>
        </is>
      </c>
      <c r="G5448" t="n">
        <v>1.18</v>
      </c>
      <c r="H5448" t="inlineStr">
        <is>
          <t>Contacted</t>
        </is>
      </c>
      <c r="I5448" t="inlineStr">
        <is>
          <t>Open</t>
        </is>
      </c>
      <c r="M5448">
        <f>VLOOKUP(H5448,'Stage Order'!$A$2:$B$8,2,FALSE)</f>
        <v/>
      </c>
      <c r="N5448">
        <f>IF(G5448&lt;=1,"1. Under 1 hour",IF(G5448&lt;=24,"2. 1-24 hours",IF(G5448&lt;=72,"3. 1-3 days","4. Over 3 days")))</f>
        <v/>
      </c>
      <c r="O5448">
        <f>TEXT(B5448,"YYYY-MM")</f>
        <v/>
      </c>
    </row>
    <row r="5449">
      <c r="A5449" t="inlineStr">
        <is>
          <t>LD-305447</t>
        </is>
      </c>
      <c r="B5449" t="inlineStr">
        <is>
          <t>2025-11-08 19:07:00</t>
        </is>
      </c>
      <c r="C5449" t="inlineStr">
        <is>
          <t>Organic Search</t>
        </is>
      </c>
      <c r="D5449" t="inlineStr">
        <is>
          <t>Study Abroad Prep</t>
        </is>
      </c>
      <c r="E5449" t="inlineStr">
        <is>
          <t>North Region</t>
        </is>
      </c>
      <c r="F5449" t="inlineStr">
        <is>
          <t>Rep_11</t>
        </is>
      </c>
      <c r="G5449" t="n">
        <v>2.53</v>
      </c>
      <c r="H5449" t="inlineStr">
        <is>
          <t>Negotiation</t>
        </is>
      </c>
      <c r="I5449" t="inlineStr">
        <is>
          <t>Lost</t>
        </is>
      </c>
      <c r="J5449" t="inlineStr">
        <is>
          <t>Price Objection</t>
        </is>
      </c>
      <c r="K5449" t="n">
        <v>1472.86</v>
      </c>
      <c r="L5449" t="inlineStr">
        <is>
          <t>2025-12-23 15:43:42.511637</t>
        </is>
      </c>
      <c r="M5449">
        <f>VLOOKUP(H5449,'Stage Order'!$A$2:$B$8,2,FALSE)</f>
        <v/>
      </c>
      <c r="N5449">
        <f>IF(G5449&lt;=1,"1. Under 1 hour",IF(G5449&lt;=24,"2. 1-24 hours",IF(G5449&lt;=72,"3. 1-3 days","4. Over 3 days")))</f>
        <v/>
      </c>
      <c r="O5449">
        <f>TEXT(B5449,"YYYY-MM")</f>
        <v/>
      </c>
    </row>
    <row r="5450">
      <c r="A5450" t="inlineStr">
        <is>
          <t>LD-305448</t>
        </is>
      </c>
      <c r="B5450" t="inlineStr">
        <is>
          <t>2026-04-23 12:00:00</t>
        </is>
      </c>
      <c r="C5450" t="inlineStr">
        <is>
          <t>Referral</t>
        </is>
      </c>
      <c r="D5450" t="inlineStr">
        <is>
          <t>K-12 Math</t>
        </is>
      </c>
      <c r="E5450" t="inlineStr">
        <is>
          <t>North Region</t>
        </is>
      </c>
      <c r="F5450" t="inlineStr">
        <is>
          <t>Rep_11</t>
        </is>
      </c>
      <c r="G5450" t="n">
        <v>2.88</v>
      </c>
      <c r="H5450" t="inlineStr">
        <is>
          <t>Lead</t>
        </is>
      </c>
      <c r="I5450" t="inlineStr">
        <is>
          <t>Open</t>
        </is>
      </c>
      <c r="M5450">
        <f>VLOOKUP(H5450,'Stage Order'!$A$2:$B$8,2,FALSE)</f>
        <v/>
      </c>
      <c r="N5450">
        <f>IF(G5450&lt;=1,"1. Under 1 hour",IF(G5450&lt;=24,"2. 1-24 hours",IF(G5450&lt;=72,"3. 1-3 days","4. Over 3 days")))</f>
        <v/>
      </c>
      <c r="O5450">
        <f>TEXT(B5450,"YYYY-MM")</f>
        <v/>
      </c>
    </row>
    <row r="5451">
      <c r="A5451" t="inlineStr">
        <is>
          <t>LD-305449</t>
        </is>
      </c>
      <c r="B5451" t="inlineStr">
        <is>
          <t>2025-02-14 11:02:00</t>
        </is>
      </c>
      <c r="C5451" t="inlineStr">
        <is>
          <t>Social Media</t>
        </is>
      </c>
      <c r="D5451" t="inlineStr">
        <is>
          <t>Coding for Kids</t>
        </is>
      </c>
      <c r="E5451" t="inlineStr">
        <is>
          <t>East Region</t>
        </is>
      </c>
      <c r="F5451" t="inlineStr">
        <is>
          <t>Rep_14</t>
        </is>
      </c>
      <c r="G5451" t="n">
        <v>0.66</v>
      </c>
      <c r="H5451" t="inlineStr">
        <is>
          <t>Lead</t>
        </is>
      </c>
      <c r="I5451" t="inlineStr">
        <is>
          <t>Open</t>
        </is>
      </c>
      <c r="M5451">
        <f>VLOOKUP(H5451,'Stage Order'!$A$2:$B$8,2,FALSE)</f>
        <v/>
      </c>
      <c r="N5451">
        <f>IF(G5451&lt;=1,"1. Under 1 hour",IF(G5451&lt;=24,"2. 1-24 hours",IF(G5451&lt;=72,"3. 1-3 days","4. Over 3 days")))</f>
        <v/>
      </c>
      <c r="O5451">
        <f>TEXT(B5451,"YYYY-MM")</f>
        <v/>
      </c>
    </row>
    <row r="5452">
      <c r="A5452" t="inlineStr">
        <is>
          <t>LD-305450</t>
        </is>
      </c>
      <c r="B5452" t="inlineStr">
        <is>
          <t>2026-02-10 17:29:00</t>
        </is>
      </c>
      <c r="C5452" t="inlineStr">
        <is>
          <t>Paid Search</t>
        </is>
      </c>
      <c r="D5452" t="inlineStr">
        <is>
          <t>Coding for Kids</t>
        </is>
      </c>
      <c r="E5452" t="inlineStr">
        <is>
          <t>South Region</t>
        </is>
      </c>
      <c r="F5452" t="inlineStr">
        <is>
          <t>Rep_12</t>
        </is>
      </c>
      <c r="G5452" t="n">
        <v>1.48</v>
      </c>
      <c r="H5452" t="inlineStr">
        <is>
          <t>Closed</t>
        </is>
      </c>
      <c r="I5452" t="inlineStr">
        <is>
          <t>Won</t>
        </is>
      </c>
      <c r="K5452" t="n">
        <v>595.3200000000001</v>
      </c>
      <c r="L5452" t="inlineStr">
        <is>
          <t>2026-03-10 21:53:34.226322</t>
        </is>
      </c>
      <c r="M5452">
        <f>VLOOKUP(H5452,'Stage Order'!$A$2:$B$8,2,FALSE)</f>
        <v/>
      </c>
      <c r="N5452">
        <f>IF(G5452&lt;=1,"1. Under 1 hour",IF(G5452&lt;=24,"2. 1-24 hours",IF(G5452&lt;=72,"3. 1-3 days","4. Over 3 days")))</f>
        <v/>
      </c>
      <c r="O5452">
        <f>TEXT(B5452,"YYYY-MM")</f>
        <v/>
      </c>
    </row>
    <row r="5453">
      <c r="A5453" t="inlineStr">
        <is>
          <t>LD-305451</t>
        </is>
      </c>
      <c r="B5453" t="inlineStr">
        <is>
          <t>2025-12-25 07:32:00</t>
        </is>
      </c>
      <c r="C5453" t="inlineStr">
        <is>
          <t>Webinar</t>
        </is>
      </c>
      <c r="D5453" t="inlineStr">
        <is>
          <t>K-12 Math</t>
        </is>
      </c>
      <c r="E5453" t="inlineStr">
        <is>
          <t>North Region</t>
        </is>
      </c>
      <c r="F5453" t="inlineStr">
        <is>
          <t>Rep_01</t>
        </is>
      </c>
      <c r="G5453" t="n">
        <v>0.83</v>
      </c>
      <c r="H5453" t="inlineStr">
        <is>
          <t>Contacted</t>
        </is>
      </c>
      <c r="I5453" t="inlineStr">
        <is>
          <t>Open</t>
        </is>
      </c>
      <c r="M5453">
        <f>VLOOKUP(H5453,'Stage Order'!$A$2:$B$8,2,FALSE)</f>
        <v/>
      </c>
      <c r="N5453">
        <f>IF(G5453&lt;=1,"1. Under 1 hour",IF(G5453&lt;=24,"2. 1-24 hours",IF(G5453&lt;=72,"3. 1-3 days","4. Over 3 days")))</f>
        <v/>
      </c>
      <c r="O5453">
        <f>TEXT(B5453,"YYYY-MM")</f>
        <v/>
      </c>
    </row>
    <row r="5454">
      <c r="A5454" t="inlineStr">
        <is>
          <t>LD-305452</t>
        </is>
      </c>
      <c r="B5454" t="inlineStr">
        <is>
          <t>2025-02-08 17:32:00</t>
        </is>
      </c>
      <c r="C5454" t="inlineStr">
        <is>
          <t>Webinar</t>
        </is>
      </c>
      <c r="D5454" t="inlineStr">
        <is>
          <t>Coding for Kids</t>
        </is>
      </c>
      <c r="E5454" t="inlineStr">
        <is>
          <t>East Region</t>
        </is>
      </c>
      <c r="F5454" t="inlineStr">
        <is>
          <t>Rep_04</t>
        </is>
      </c>
      <c r="G5454" t="n">
        <v>1.12</v>
      </c>
      <c r="H5454" t="inlineStr">
        <is>
          <t>Demo Completed</t>
        </is>
      </c>
      <c r="I5454" t="inlineStr">
        <is>
          <t>Lost</t>
        </is>
      </c>
      <c r="J5454" t="inlineStr">
        <is>
          <t>Bad Timing</t>
        </is>
      </c>
      <c r="K5454" t="n">
        <v>570.42</v>
      </c>
      <c r="L5454" t="inlineStr">
        <is>
          <t>2025-03-04 01:40:15.016435</t>
        </is>
      </c>
      <c r="M5454">
        <f>VLOOKUP(H5454,'Stage Order'!$A$2:$B$8,2,FALSE)</f>
        <v/>
      </c>
      <c r="N5454">
        <f>IF(G5454&lt;=1,"1. Under 1 hour",IF(G5454&lt;=24,"2. 1-24 hours",IF(G5454&lt;=72,"3. 1-3 days","4. Over 3 days")))</f>
        <v/>
      </c>
      <c r="O5454">
        <f>TEXT(B5454,"YYYY-MM")</f>
        <v/>
      </c>
    </row>
    <row r="5455">
      <c r="A5455" t="inlineStr">
        <is>
          <t>LD-305453</t>
        </is>
      </c>
      <c r="B5455" t="inlineStr">
        <is>
          <t>2026-02-18 10:55:00</t>
        </is>
      </c>
      <c r="C5455" t="inlineStr">
        <is>
          <t>Social Media</t>
        </is>
      </c>
      <c r="D5455" t="inlineStr">
        <is>
          <t>K-12 Math</t>
        </is>
      </c>
      <c r="E5455" t="inlineStr">
        <is>
          <t>South Region</t>
        </is>
      </c>
      <c r="F5455" t="inlineStr">
        <is>
          <t>Rep_02</t>
        </is>
      </c>
      <c r="G5455" t="n">
        <v>1.31</v>
      </c>
      <c r="H5455" t="inlineStr">
        <is>
          <t>Contacted</t>
        </is>
      </c>
      <c r="I5455" t="inlineStr">
        <is>
          <t>Open</t>
        </is>
      </c>
      <c r="M5455">
        <f>VLOOKUP(H5455,'Stage Order'!$A$2:$B$8,2,FALSE)</f>
        <v/>
      </c>
      <c r="N5455">
        <f>IF(G5455&lt;=1,"1. Under 1 hour",IF(G5455&lt;=24,"2. 1-24 hours",IF(G5455&lt;=72,"3. 1-3 days","4. Over 3 days")))</f>
        <v/>
      </c>
      <c r="O5455">
        <f>TEXT(B5455,"YYYY-MM")</f>
        <v/>
      </c>
    </row>
    <row r="5456">
      <c r="A5456" t="inlineStr">
        <is>
          <t>LD-305454</t>
        </is>
      </c>
      <c r="B5456" t="inlineStr">
        <is>
          <t>2026-06-01 15:03:00</t>
        </is>
      </c>
      <c r="C5456" t="inlineStr">
        <is>
          <t>Paid Search</t>
        </is>
      </c>
      <c r="D5456" t="inlineStr">
        <is>
          <t>Study Abroad Prep</t>
        </is>
      </c>
      <c r="E5456" t="inlineStr">
        <is>
          <t>East Region</t>
        </is>
      </c>
      <c r="F5456" t="inlineStr">
        <is>
          <t>Rep_14</t>
        </is>
      </c>
      <c r="G5456" t="n">
        <v>1</v>
      </c>
      <c r="H5456" t="inlineStr">
        <is>
          <t>Contacted</t>
        </is>
      </c>
      <c r="I5456" t="inlineStr">
        <is>
          <t>Open</t>
        </is>
      </c>
      <c r="M5456">
        <f>VLOOKUP(H5456,'Stage Order'!$A$2:$B$8,2,FALSE)</f>
        <v/>
      </c>
      <c r="N5456">
        <f>IF(G5456&lt;=1,"1. Under 1 hour",IF(G5456&lt;=24,"2. 1-24 hours",IF(G5456&lt;=72,"3. 1-3 days","4. Over 3 days")))</f>
        <v/>
      </c>
      <c r="O5456">
        <f>TEXT(B5456,"YYYY-MM")</f>
        <v/>
      </c>
    </row>
    <row r="5457">
      <c r="A5457" t="inlineStr">
        <is>
          <t>LD-305455</t>
        </is>
      </c>
      <c r="B5457" t="inlineStr">
        <is>
          <t>2025-05-30 07:41:00</t>
        </is>
      </c>
      <c r="C5457" t="inlineStr">
        <is>
          <t>Paid Search</t>
        </is>
      </c>
      <c r="D5457" t="inlineStr">
        <is>
          <t>Language Learning</t>
        </is>
      </c>
      <c r="E5457" t="inlineStr">
        <is>
          <t>North Region</t>
        </is>
      </c>
      <c r="F5457" t="inlineStr">
        <is>
          <t>Rep_06</t>
        </is>
      </c>
      <c r="G5457" t="n">
        <v>6.16</v>
      </c>
      <c r="H5457" t="inlineStr">
        <is>
          <t>Lead</t>
        </is>
      </c>
      <c r="I5457" t="inlineStr">
        <is>
          <t>Open</t>
        </is>
      </c>
      <c r="M5457">
        <f>VLOOKUP(H5457,'Stage Order'!$A$2:$B$8,2,FALSE)</f>
        <v/>
      </c>
      <c r="N5457">
        <f>IF(G5457&lt;=1,"1. Under 1 hour",IF(G5457&lt;=24,"2. 1-24 hours",IF(G5457&lt;=72,"3. 1-3 days","4. Over 3 days")))</f>
        <v/>
      </c>
      <c r="O5457">
        <f>TEXT(B5457,"YYYY-MM")</f>
        <v/>
      </c>
    </row>
    <row r="5458">
      <c r="A5458" t="inlineStr">
        <is>
          <t>LD-305456</t>
        </is>
      </c>
      <c r="B5458" t="inlineStr">
        <is>
          <t>2025-05-21 20:46:00</t>
        </is>
      </c>
      <c r="C5458" t="inlineStr">
        <is>
          <t>Social Media</t>
        </is>
      </c>
      <c r="D5458" t="inlineStr">
        <is>
          <t>K-12 Math</t>
        </is>
      </c>
      <c r="E5458" t="inlineStr">
        <is>
          <t>West Region</t>
        </is>
      </c>
      <c r="F5458" t="inlineStr">
        <is>
          <t>Rep_13</t>
        </is>
      </c>
      <c r="G5458" t="n">
        <v>1.81</v>
      </c>
      <c r="H5458" t="inlineStr">
        <is>
          <t>Contacted</t>
        </is>
      </c>
      <c r="I5458" t="inlineStr">
        <is>
          <t>Open</t>
        </is>
      </c>
      <c r="M5458">
        <f>VLOOKUP(H5458,'Stage Order'!$A$2:$B$8,2,FALSE)</f>
        <v/>
      </c>
      <c r="N5458">
        <f>IF(G5458&lt;=1,"1. Under 1 hour",IF(G5458&lt;=24,"2. 1-24 hours",IF(G5458&lt;=72,"3. 1-3 days","4. Over 3 days")))</f>
        <v/>
      </c>
      <c r="O5458">
        <f>TEXT(B5458,"YYYY-MM")</f>
        <v/>
      </c>
    </row>
    <row r="5459">
      <c r="A5459" t="inlineStr">
        <is>
          <t>LD-305457</t>
        </is>
      </c>
      <c r="B5459" t="inlineStr">
        <is>
          <t>2025-07-25 16:11:00</t>
        </is>
      </c>
      <c r="C5459" t="inlineStr">
        <is>
          <t>Organic Search</t>
        </is>
      </c>
      <c r="D5459" t="inlineStr">
        <is>
          <t>K-12 Math</t>
        </is>
      </c>
      <c r="E5459" t="inlineStr">
        <is>
          <t>South Region</t>
        </is>
      </c>
      <c r="F5459" t="inlineStr">
        <is>
          <t>Rep_07</t>
        </is>
      </c>
      <c r="G5459" t="n">
        <v>1.54</v>
      </c>
      <c r="H5459" t="inlineStr">
        <is>
          <t>Demo Completed</t>
        </is>
      </c>
      <c r="I5459" t="inlineStr">
        <is>
          <t>Lost</t>
        </is>
      </c>
      <c r="J5459" t="inlineStr">
        <is>
          <t>Bad Timing</t>
        </is>
      </c>
      <c r="K5459" t="n">
        <v>462.17</v>
      </c>
      <c r="L5459" t="inlineStr">
        <is>
          <t>2025-08-31 14:10:44.643477</t>
        </is>
      </c>
      <c r="M5459">
        <f>VLOOKUP(H5459,'Stage Order'!$A$2:$B$8,2,FALSE)</f>
        <v/>
      </c>
      <c r="N5459">
        <f>IF(G5459&lt;=1,"1. Under 1 hour",IF(G5459&lt;=24,"2. 1-24 hours",IF(G5459&lt;=72,"3. 1-3 days","4. Over 3 days")))</f>
        <v/>
      </c>
      <c r="O5459">
        <f>TEXT(B5459,"YYYY-MM")</f>
        <v/>
      </c>
    </row>
    <row r="5460">
      <c r="A5460" t="inlineStr">
        <is>
          <t>LD-305458</t>
        </is>
      </c>
      <c r="B5460" t="inlineStr">
        <is>
          <t>2025-11-03 11:58:00</t>
        </is>
      </c>
      <c r="C5460" t="inlineStr">
        <is>
          <t>Paid Search</t>
        </is>
      </c>
      <c r="D5460" t="inlineStr">
        <is>
          <t>K-12 Math</t>
        </is>
      </c>
      <c r="E5460" t="inlineStr">
        <is>
          <t>South Region</t>
        </is>
      </c>
      <c r="F5460" t="inlineStr">
        <is>
          <t>Rep_12</t>
        </is>
      </c>
      <c r="G5460" t="n">
        <v>1.19</v>
      </c>
      <c r="H5460" t="inlineStr">
        <is>
          <t>Closed</t>
        </is>
      </c>
      <c r="I5460" t="inlineStr">
        <is>
          <t>Won</t>
        </is>
      </c>
      <c r="K5460" t="n">
        <v>442.74</v>
      </c>
      <c r="L5460" t="inlineStr">
        <is>
          <t>2025-12-11 11:03:00.002238</t>
        </is>
      </c>
      <c r="M5460">
        <f>VLOOKUP(H5460,'Stage Order'!$A$2:$B$8,2,FALSE)</f>
        <v/>
      </c>
      <c r="N5460">
        <f>IF(G5460&lt;=1,"1. Under 1 hour",IF(G5460&lt;=24,"2. 1-24 hours",IF(G5460&lt;=72,"3. 1-3 days","4. Over 3 days")))</f>
        <v/>
      </c>
      <c r="O5460">
        <f>TEXT(B5460,"YYYY-MM")</f>
        <v/>
      </c>
    </row>
    <row r="5461">
      <c r="A5461" t="inlineStr">
        <is>
          <t>LD-305459</t>
        </is>
      </c>
      <c r="B5461" t="inlineStr">
        <is>
          <t>2025-03-28 17:21:00</t>
        </is>
      </c>
      <c r="C5461" t="inlineStr">
        <is>
          <t>Organic Search</t>
        </is>
      </c>
      <c r="D5461" t="inlineStr">
        <is>
          <t>Coding for Kids</t>
        </is>
      </c>
      <c r="E5461" t="inlineStr">
        <is>
          <t>South Region</t>
        </is>
      </c>
      <c r="F5461" t="inlineStr">
        <is>
          <t>Rep_02</t>
        </is>
      </c>
      <c r="G5461" t="n">
        <v>0.82</v>
      </c>
      <c r="H5461" t="inlineStr">
        <is>
          <t>Contacted</t>
        </is>
      </c>
      <c r="I5461" t="inlineStr">
        <is>
          <t>Open</t>
        </is>
      </c>
      <c r="M5461">
        <f>VLOOKUP(H5461,'Stage Order'!$A$2:$B$8,2,FALSE)</f>
        <v/>
      </c>
      <c r="N5461">
        <f>IF(G5461&lt;=1,"1. Under 1 hour",IF(G5461&lt;=24,"2. 1-24 hours",IF(G5461&lt;=72,"3. 1-3 days","4. Over 3 days")))</f>
        <v/>
      </c>
      <c r="O5461">
        <f>TEXT(B5461,"YYYY-MM")</f>
        <v/>
      </c>
    </row>
    <row r="5462">
      <c r="A5462" t="inlineStr">
        <is>
          <t>LD-305460</t>
        </is>
      </c>
      <c r="B5462" t="inlineStr">
        <is>
          <t>2025-07-17 10:47:00</t>
        </is>
      </c>
      <c r="C5462" t="inlineStr">
        <is>
          <t>Partner Channel</t>
        </is>
      </c>
      <c r="D5462" t="inlineStr">
        <is>
          <t>K-12 Math</t>
        </is>
      </c>
      <c r="E5462" t="inlineStr">
        <is>
          <t>West Region</t>
        </is>
      </c>
      <c r="F5462" t="inlineStr">
        <is>
          <t>Rep_03</t>
        </is>
      </c>
      <c r="G5462" t="n">
        <v>7.45</v>
      </c>
      <c r="H5462" t="inlineStr">
        <is>
          <t>Demo Completed</t>
        </is>
      </c>
      <c r="I5462" t="inlineStr">
        <is>
          <t>Lost</t>
        </is>
      </c>
      <c r="J5462" t="inlineStr">
        <is>
          <t>Price Objection</t>
        </is>
      </c>
      <c r="K5462" t="n">
        <v>555.75</v>
      </c>
      <c r="L5462" t="inlineStr">
        <is>
          <t>2025-08-23 00:13:33.426836</t>
        </is>
      </c>
      <c r="M5462">
        <f>VLOOKUP(H5462,'Stage Order'!$A$2:$B$8,2,FALSE)</f>
        <v/>
      </c>
      <c r="N5462">
        <f>IF(G5462&lt;=1,"1. Under 1 hour",IF(G5462&lt;=24,"2. 1-24 hours",IF(G5462&lt;=72,"3. 1-3 days","4. Over 3 days")))</f>
        <v/>
      </c>
      <c r="O5462">
        <f>TEXT(B5462,"YYYY-MM")</f>
        <v/>
      </c>
    </row>
    <row r="5463">
      <c r="A5463" t="inlineStr">
        <is>
          <t>LD-305461</t>
        </is>
      </c>
      <c r="B5463" t="inlineStr">
        <is>
          <t>2025-06-13 13:58:00</t>
        </is>
      </c>
      <c r="C5463" t="inlineStr">
        <is>
          <t>Paid Search</t>
        </is>
      </c>
      <c r="D5463" t="inlineStr">
        <is>
          <t>Language Learning</t>
        </is>
      </c>
      <c r="E5463" t="inlineStr">
        <is>
          <t>International</t>
        </is>
      </c>
      <c r="F5463" t="inlineStr">
        <is>
          <t>Rep_05</t>
        </is>
      </c>
      <c r="G5463" t="n">
        <v>4.36</v>
      </c>
      <c r="H5463" t="inlineStr">
        <is>
          <t>Proposal Sent</t>
        </is>
      </c>
      <c r="I5463" t="inlineStr">
        <is>
          <t>Lost</t>
        </is>
      </c>
      <c r="J5463" t="inlineStr">
        <is>
          <t>Budget Not Approved</t>
        </is>
      </c>
      <c r="K5463" t="n">
        <v>374.16</v>
      </c>
      <c r="L5463" t="inlineStr">
        <is>
          <t>2025-07-16 04:59:38.915439</t>
        </is>
      </c>
      <c r="M5463">
        <f>VLOOKUP(H5463,'Stage Order'!$A$2:$B$8,2,FALSE)</f>
        <v/>
      </c>
      <c r="N5463">
        <f>IF(G5463&lt;=1,"1. Under 1 hour",IF(G5463&lt;=24,"2. 1-24 hours",IF(G5463&lt;=72,"3. 1-3 days","4. Over 3 days")))</f>
        <v/>
      </c>
      <c r="O5463">
        <f>TEXT(B5463,"YYYY-MM")</f>
        <v/>
      </c>
    </row>
    <row r="5464">
      <c r="A5464" t="inlineStr">
        <is>
          <t>LD-305462</t>
        </is>
      </c>
      <c r="B5464" t="inlineStr">
        <is>
          <t>2026-01-23 17:51:00</t>
        </is>
      </c>
      <c r="C5464" t="inlineStr">
        <is>
          <t>Paid Search</t>
        </is>
      </c>
      <c r="D5464" t="inlineStr">
        <is>
          <t>K-12 Math</t>
        </is>
      </c>
      <c r="E5464" t="inlineStr">
        <is>
          <t>East Region</t>
        </is>
      </c>
      <c r="F5464" t="inlineStr">
        <is>
          <t>Rep_04</t>
        </is>
      </c>
      <c r="G5464" t="n">
        <v>4.74</v>
      </c>
      <c r="H5464" t="inlineStr">
        <is>
          <t>Contacted</t>
        </is>
      </c>
      <c r="I5464" t="inlineStr">
        <is>
          <t>Open</t>
        </is>
      </c>
      <c r="M5464">
        <f>VLOOKUP(H5464,'Stage Order'!$A$2:$B$8,2,FALSE)</f>
        <v/>
      </c>
      <c r="N5464">
        <f>IF(G5464&lt;=1,"1. Under 1 hour",IF(G5464&lt;=24,"2. 1-24 hours",IF(G5464&lt;=72,"3. 1-3 days","4. Over 3 days")))</f>
        <v/>
      </c>
      <c r="O5464">
        <f>TEXT(B5464,"YYYY-MM")</f>
        <v/>
      </c>
    </row>
    <row r="5465">
      <c r="A5465" t="inlineStr">
        <is>
          <t>LD-305463</t>
        </is>
      </c>
      <c r="B5465" t="inlineStr">
        <is>
          <t>2026-01-12 13:38:00</t>
        </is>
      </c>
      <c r="C5465" t="inlineStr">
        <is>
          <t>Referral</t>
        </is>
      </c>
      <c r="D5465" t="inlineStr">
        <is>
          <t>Coding for Kids</t>
        </is>
      </c>
      <c r="E5465" t="inlineStr">
        <is>
          <t>South Region</t>
        </is>
      </c>
      <c r="F5465" t="inlineStr">
        <is>
          <t>Rep_12</t>
        </is>
      </c>
      <c r="G5465" t="n">
        <v>1.64</v>
      </c>
      <c r="H5465" t="inlineStr">
        <is>
          <t>Closed</t>
        </is>
      </c>
      <c r="I5465" t="inlineStr">
        <is>
          <t>Won</t>
        </is>
      </c>
      <c r="K5465" t="n">
        <v>703.08</v>
      </c>
      <c r="L5465" t="inlineStr">
        <is>
          <t>2026-02-06 00:01:18.668871</t>
        </is>
      </c>
      <c r="M5465">
        <f>VLOOKUP(H5465,'Stage Order'!$A$2:$B$8,2,FALSE)</f>
        <v/>
      </c>
      <c r="N5465">
        <f>IF(G5465&lt;=1,"1. Under 1 hour",IF(G5465&lt;=24,"2. 1-24 hours",IF(G5465&lt;=72,"3. 1-3 days","4. Over 3 days")))</f>
        <v/>
      </c>
      <c r="O5465">
        <f>TEXT(B5465,"YYYY-MM")</f>
        <v/>
      </c>
    </row>
    <row r="5466">
      <c r="A5466" t="inlineStr">
        <is>
          <t>LD-305464</t>
        </is>
      </c>
      <c r="B5466" t="inlineStr">
        <is>
          <t>2025-10-05 12:38:00</t>
        </is>
      </c>
      <c r="C5466" t="inlineStr">
        <is>
          <t>Paid Search</t>
        </is>
      </c>
      <c r="D5466" t="inlineStr">
        <is>
          <t>Competitive Exam Prep</t>
        </is>
      </c>
      <c r="E5466" t="inlineStr">
        <is>
          <t>South Region</t>
        </is>
      </c>
      <c r="F5466" t="inlineStr">
        <is>
          <t>Rep_12</t>
        </is>
      </c>
      <c r="G5466" t="n">
        <v>3.76</v>
      </c>
      <c r="H5466" t="inlineStr">
        <is>
          <t>Lead</t>
        </is>
      </c>
      <c r="I5466" t="inlineStr">
        <is>
          <t>Open</t>
        </is>
      </c>
      <c r="M5466">
        <f>VLOOKUP(H5466,'Stage Order'!$A$2:$B$8,2,FALSE)</f>
        <v/>
      </c>
      <c r="N5466">
        <f>IF(G5466&lt;=1,"1. Under 1 hour",IF(G5466&lt;=24,"2. 1-24 hours",IF(G5466&lt;=72,"3. 1-3 days","4. Over 3 days")))</f>
        <v/>
      </c>
      <c r="O5466">
        <f>TEXT(B5466,"YYYY-MM")</f>
        <v/>
      </c>
    </row>
    <row r="5467">
      <c r="A5467" t="inlineStr">
        <is>
          <t>LD-305465</t>
        </is>
      </c>
      <c r="B5467" t="inlineStr">
        <is>
          <t>2025-08-24 16:15:00</t>
        </is>
      </c>
      <c r="C5467" t="inlineStr">
        <is>
          <t>Referral</t>
        </is>
      </c>
      <c r="D5467" t="inlineStr">
        <is>
          <t>Competitive Exam Prep</t>
        </is>
      </c>
      <c r="E5467" t="inlineStr">
        <is>
          <t>North Region</t>
        </is>
      </c>
      <c r="F5467" t="inlineStr">
        <is>
          <t>Rep_06</t>
        </is>
      </c>
      <c r="G5467" t="n">
        <v>1.51</v>
      </c>
      <c r="H5467" t="inlineStr">
        <is>
          <t>Negotiation</t>
        </is>
      </c>
      <c r="I5467" t="inlineStr">
        <is>
          <t>Lost</t>
        </is>
      </c>
      <c r="J5467" t="inlineStr">
        <is>
          <t>Price Objection</t>
        </is>
      </c>
      <c r="K5467" t="n">
        <v>914.98</v>
      </c>
      <c r="L5467" t="inlineStr">
        <is>
          <t>2025-10-10 15:02:25.234998</t>
        </is>
      </c>
      <c r="M5467">
        <f>VLOOKUP(H5467,'Stage Order'!$A$2:$B$8,2,FALSE)</f>
        <v/>
      </c>
      <c r="N5467">
        <f>IF(G5467&lt;=1,"1. Under 1 hour",IF(G5467&lt;=24,"2. 1-24 hours",IF(G5467&lt;=72,"3. 1-3 days","4. Over 3 days")))</f>
        <v/>
      </c>
      <c r="O5467">
        <f>TEXT(B5467,"YYYY-MM")</f>
        <v/>
      </c>
    </row>
    <row r="5468">
      <c r="A5468" t="inlineStr">
        <is>
          <t>LD-305466</t>
        </is>
      </c>
      <c r="B5468" t="inlineStr">
        <is>
          <t>2025-03-06 12:15:00</t>
        </is>
      </c>
      <c r="C5468" t="inlineStr">
        <is>
          <t>Partner Channel</t>
        </is>
      </c>
      <c r="D5468" t="inlineStr">
        <is>
          <t>Competitive Exam Prep</t>
        </is>
      </c>
      <c r="E5468" t="inlineStr">
        <is>
          <t>International</t>
        </is>
      </c>
      <c r="F5468" t="inlineStr">
        <is>
          <t>Rep_10</t>
        </is>
      </c>
      <c r="G5468" t="n">
        <v>7.15</v>
      </c>
      <c r="H5468" t="inlineStr">
        <is>
          <t>Contacted</t>
        </is>
      </c>
      <c r="I5468" t="inlineStr">
        <is>
          <t>Open</t>
        </is>
      </c>
      <c r="M5468">
        <f>VLOOKUP(H5468,'Stage Order'!$A$2:$B$8,2,FALSE)</f>
        <v/>
      </c>
      <c r="N5468">
        <f>IF(G5468&lt;=1,"1. Under 1 hour",IF(G5468&lt;=24,"2. 1-24 hours",IF(G5468&lt;=72,"3. 1-3 days","4. Over 3 days")))</f>
        <v/>
      </c>
      <c r="O5468">
        <f>TEXT(B5468,"YYYY-MM")</f>
        <v/>
      </c>
    </row>
    <row r="5469">
      <c r="A5469" t="inlineStr">
        <is>
          <t>LD-305467</t>
        </is>
      </c>
      <c r="B5469" t="inlineStr">
        <is>
          <t>2025-02-01 12:11:00</t>
        </is>
      </c>
      <c r="C5469" t="inlineStr">
        <is>
          <t>Partner Channel</t>
        </is>
      </c>
      <c r="D5469" t="inlineStr">
        <is>
          <t>K-12 Math</t>
        </is>
      </c>
      <c r="E5469" t="inlineStr">
        <is>
          <t>North Region</t>
        </is>
      </c>
      <c r="F5469" t="inlineStr">
        <is>
          <t>Rep_06</t>
        </is>
      </c>
      <c r="G5469" t="n">
        <v>2.92</v>
      </c>
      <c r="H5469" t="inlineStr">
        <is>
          <t>Contacted</t>
        </is>
      </c>
      <c r="I5469" t="inlineStr">
        <is>
          <t>Open</t>
        </is>
      </c>
      <c r="M5469">
        <f>VLOOKUP(H5469,'Stage Order'!$A$2:$B$8,2,FALSE)</f>
        <v/>
      </c>
      <c r="N5469">
        <f>IF(G5469&lt;=1,"1. Under 1 hour",IF(G5469&lt;=24,"2. 1-24 hours",IF(G5469&lt;=72,"3. 1-3 days","4. Over 3 days")))</f>
        <v/>
      </c>
      <c r="O5469">
        <f>TEXT(B5469,"YYYY-MM")</f>
        <v/>
      </c>
    </row>
    <row r="5470">
      <c r="A5470" t="inlineStr">
        <is>
          <t>LD-305468</t>
        </is>
      </c>
      <c r="B5470" t="inlineStr">
        <is>
          <t>2025-05-30 13:23:00</t>
        </is>
      </c>
      <c r="C5470" t="inlineStr">
        <is>
          <t>Paid Search</t>
        </is>
      </c>
      <c r="D5470" t="inlineStr">
        <is>
          <t>K-12 Math</t>
        </is>
      </c>
      <c r="E5470" t="inlineStr">
        <is>
          <t>International</t>
        </is>
      </c>
      <c r="F5470" t="inlineStr">
        <is>
          <t>Rep_15</t>
        </is>
      </c>
      <c r="G5470" t="n">
        <v>0.79</v>
      </c>
      <c r="H5470" t="inlineStr">
        <is>
          <t>Contacted</t>
        </is>
      </c>
      <c r="I5470" t="inlineStr">
        <is>
          <t>Open</t>
        </is>
      </c>
      <c r="M5470">
        <f>VLOOKUP(H5470,'Stage Order'!$A$2:$B$8,2,FALSE)</f>
        <v/>
      </c>
      <c r="N5470">
        <f>IF(G5470&lt;=1,"1. Under 1 hour",IF(G5470&lt;=24,"2. 1-24 hours",IF(G5470&lt;=72,"3. 1-3 days","4. Over 3 days")))</f>
        <v/>
      </c>
      <c r="O5470">
        <f>TEXT(B5470,"YYYY-MM")</f>
        <v/>
      </c>
    </row>
    <row r="5471">
      <c r="A5471" t="inlineStr">
        <is>
          <t>LD-305469</t>
        </is>
      </c>
      <c r="B5471" t="inlineStr">
        <is>
          <t>2025-04-25 07:59:00</t>
        </is>
      </c>
      <c r="C5471" t="inlineStr">
        <is>
          <t>Organic Search</t>
        </is>
      </c>
      <c r="D5471" t="inlineStr">
        <is>
          <t>Study Abroad Prep</t>
        </is>
      </c>
      <c r="E5471" t="inlineStr">
        <is>
          <t>North Region</t>
        </is>
      </c>
      <c r="F5471" t="inlineStr">
        <is>
          <t>Rep_01</t>
        </is>
      </c>
      <c r="G5471" t="n">
        <v>3.6</v>
      </c>
      <c r="H5471" t="inlineStr">
        <is>
          <t>Contacted</t>
        </is>
      </c>
      <c r="I5471" t="inlineStr">
        <is>
          <t>Open</t>
        </is>
      </c>
      <c r="M5471">
        <f>VLOOKUP(H5471,'Stage Order'!$A$2:$B$8,2,FALSE)</f>
        <v/>
      </c>
      <c r="N5471">
        <f>IF(G5471&lt;=1,"1. Under 1 hour",IF(G5471&lt;=24,"2. 1-24 hours",IF(G5471&lt;=72,"3. 1-3 days","4. Over 3 days")))</f>
        <v/>
      </c>
      <c r="O5471">
        <f>TEXT(B5471,"YYYY-MM")</f>
        <v/>
      </c>
    </row>
    <row r="5472">
      <c r="A5472" t="inlineStr">
        <is>
          <t>LD-305470</t>
        </is>
      </c>
      <c r="B5472" t="inlineStr">
        <is>
          <t>2025-11-12 07:30:00</t>
        </is>
      </c>
      <c r="C5472" t="inlineStr">
        <is>
          <t>Partner Channel</t>
        </is>
      </c>
      <c r="D5472" t="inlineStr">
        <is>
          <t>Language Learning</t>
        </is>
      </c>
      <c r="E5472" t="inlineStr">
        <is>
          <t>North Region</t>
        </is>
      </c>
      <c r="F5472" t="inlineStr">
        <is>
          <t>Rep_11</t>
        </is>
      </c>
      <c r="G5472" t="n">
        <v>1.17</v>
      </c>
      <c r="H5472" t="inlineStr">
        <is>
          <t>Negotiation</t>
        </is>
      </c>
      <c r="I5472" t="inlineStr">
        <is>
          <t>Lost</t>
        </is>
      </c>
      <c r="J5472" t="inlineStr">
        <is>
          <t>Price Objection</t>
        </is>
      </c>
      <c r="K5472" t="n">
        <v>380.59</v>
      </c>
      <c r="L5472" t="inlineStr">
        <is>
          <t>2025-12-22 12:23:26.909182</t>
        </is>
      </c>
      <c r="M5472">
        <f>VLOOKUP(H5472,'Stage Order'!$A$2:$B$8,2,FALSE)</f>
        <v/>
      </c>
      <c r="N5472">
        <f>IF(G5472&lt;=1,"1. Under 1 hour",IF(G5472&lt;=24,"2. 1-24 hours",IF(G5472&lt;=72,"3. 1-3 days","4. Over 3 days")))</f>
        <v/>
      </c>
      <c r="O5472">
        <f>TEXT(B5472,"YYYY-MM")</f>
        <v/>
      </c>
    </row>
    <row r="5473">
      <c r="A5473" t="inlineStr">
        <is>
          <t>LD-305471</t>
        </is>
      </c>
      <c r="B5473" t="inlineStr">
        <is>
          <t>2026-02-03 18:02:00</t>
        </is>
      </c>
      <c r="C5473" t="inlineStr">
        <is>
          <t>Referral</t>
        </is>
      </c>
      <c r="D5473" t="inlineStr">
        <is>
          <t>Competitive Exam Prep</t>
        </is>
      </c>
      <c r="E5473" t="inlineStr">
        <is>
          <t>North Region</t>
        </is>
      </c>
      <c r="F5473" t="inlineStr">
        <is>
          <t>Rep_11</t>
        </is>
      </c>
      <c r="G5473" t="n">
        <v>2.38</v>
      </c>
      <c r="H5473" t="inlineStr">
        <is>
          <t>Contacted</t>
        </is>
      </c>
      <c r="I5473" t="inlineStr">
        <is>
          <t>Open</t>
        </is>
      </c>
      <c r="M5473">
        <f>VLOOKUP(H5473,'Stage Order'!$A$2:$B$8,2,FALSE)</f>
        <v/>
      </c>
      <c r="N5473">
        <f>IF(G5473&lt;=1,"1. Under 1 hour",IF(G5473&lt;=24,"2. 1-24 hours",IF(G5473&lt;=72,"3. 1-3 days","4. Over 3 days")))</f>
        <v/>
      </c>
      <c r="O5473">
        <f>TEXT(B5473,"YYYY-MM")</f>
        <v/>
      </c>
    </row>
    <row r="5474">
      <c r="A5474" t="inlineStr">
        <is>
          <t>LD-305472</t>
        </is>
      </c>
      <c r="B5474" t="inlineStr">
        <is>
          <t>2025-09-12 07:01:00</t>
        </is>
      </c>
      <c r="C5474" t="inlineStr">
        <is>
          <t>Referral</t>
        </is>
      </c>
      <c r="D5474" t="inlineStr">
        <is>
          <t>Coding for Kids</t>
        </is>
      </c>
      <c r="E5474" t="inlineStr">
        <is>
          <t>South Region</t>
        </is>
      </c>
      <c r="F5474" t="inlineStr">
        <is>
          <t>Rep_12</t>
        </is>
      </c>
      <c r="G5474" t="n">
        <v>9.140000000000001</v>
      </c>
      <c r="H5474" t="inlineStr">
        <is>
          <t>Proposal Sent</t>
        </is>
      </c>
      <c r="I5474" t="inlineStr">
        <is>
          <t>Lost</t>
        </is>
      </c>
      <c r="J5474" t="inlineStr">
        <is>
          <t>No Response / Ghosted</t>
        </is>
      </c>
      <c r="K5474" t="n">
        <v>731.8200000000001</v>
      </c>
      <c r="L5474" t="inlineStr">
        <is>
          <t>2025-10-19 05:24:23.004466</t>
        </is>
      </c>
      <c r="M5474">
        <f>VLOOKUP(H5474,'Stage Order'!$A$2:$B$8,2,FALSE)</f>
        <v/>
      </c>
      <c r="N5474">
        <f>IF(G5474&lt;=1,"1. Under 1 hour",IF(G5474&lt;=24,"2. 1-24 hours",IF(G5474&lt;=72,"3. 1-3 days","4. Over 3 days")))</f>
        <v/>
      </c>
      <c r="O5474">
        <f>TEXT(B5474,"YYYY-MM")</f>
        <v/>
      </c>
    </row>
    <row r="5475">
      <c r="A5475" t="inlineStr">
        <is>
          <t>LD-305473</t>
        </is>
      </c>
      <c r="B5475" t="inlineStr">
        <is>
          <t>2025-05-16 14:31:00</t>
        </is>
      </c>
      <c r="C5475" t="inlineStr">
        <is>
          <t>Paid Search</t>
        </is>
      </c>
      <c r="D5475" t="inlineStr">
        <is>
          <t>K-12 Math</t>
        </is>
      </c>
      <c r="E5475" t="inlineStr">
        <is>
          <t>West Region</t>
        </is>
      </c>
      <c r="F5475" t="inlineStr">
        <is>
          <t>Rep_13</t>
        </is>
      </c>
      <c r="G5475" t="n">
        <v>1.62</v>
      </c>
      <c r="H5475" t="inlineStr">
        <is>
          <t>Contacted</t>
        </is>
      </c>
      <c r="I5475" t="inlineStr">
        <is>
          <t>Open</t>
        </is>
      </c>
      <c r="M5475">
        <f>VLOOKUP(H5475,'Stage Order'!$A$2:$B$8,2,FALSE)</f>
        <v/>
      </c>
      <c r="N5475">
        <f>IF(G5475&lt;=1,"1. Under 1 hour",IF(G5475&lt;=24,"2. 1-24 hours",IF(G5475&lt;=72,"3. 1-3 days","4. Over 3 days")))</f>
        <v/>
      </c>
      <c r="O5475">
        <f>TEXT(B5475,"YYYY-MM")</f>
        <v/>
      </c>
    </row>
    <row r="5476">
      <c r="A5476" t="inlineStr">
        <is>
          <t>LD-305474</t>
        </is>
      </c>
      <c r="B5476" t="inlineStr">
        <is>
          <t>2025-09-12 10:14:00</t>
        </is>
      </c>
      <c r="C5476" t="inlineStr">
        <is>
          <t>Cold Outreach</t>
        </is>
      </c>
      <c r="D5476" t="inlineStr">
        <is>
          <t>Coding for Kids</t>
        </is>
      </c>
      <c r="E5476" t="inlineStr">
        <is>
          <t>East Region</t>
        </is>
      </c>
      <c r="F5476" t="inlineStr">
        <is>
          <t>Rep_14</t>
        </is>
      </c>
      <c r="G5476" t="n">
        <v>6.68</v>
      </c>
      <c r="H5476" t="inlineStr">
        <is>
          <t>Contacted</t>
        </is>
      </c>
      <c r="I5476" t="inlineStr">
        <is>
          <t>Open</t>
        </is>
      </c>
      <c r="M5476">
        <f>VLOOKUP(H5476,'Stage Order'!$A$2:$B$8,2,FALSE)</f>
        <v/>
      </c>
      <c r="N5476">
        <f>IF(G5476&lt;=1,"1. Under 1 hour",IF(G5476&lt;=24,"2. 1-24 hours",IF(G5476&lt;=72,"3. 1-3 days","4. Over 3 days")))</f>
        <v/>
      </c>
      <c r="O5476">
        <f>TEXT(B5476,"YYYY-MM")</f>
        <v/>
      </c>
    </row>
    <row r="5477">
      <c r="A5477" t="inlineStr">
        <is>
          <t>LD-305475</t>
        </is>
      </c>
      <c r="B5477" t="inlineStr">
        <is>
          <t>2026-02-04 17:06:00</t>
        </is>
      </c>
      <c r="C5477" t="inlineStr">
        <is>
          <t>Webinar</t>
        </is>
      </c>
      <c r="D5477" t="inlineStr">
        <is>
          <t>K-12 Math</t>
        </is>
      </c>
      <c r="E5477" t="inlineStr">
        <is>
          <t>North Region</t>
        </is>
      </c>
      <c r="F5477" t="inlineStr">
        <is>
          <t>Rep_01</t>
        </is>
      </c>
      <c r="G5477" t="n">
        <v>1.1</v>
      </c>
      <c r="H5477" t="inlineStr">
        <is>
          <t>Contacted</t>
        </is>
      </c>
      <c r="I5477" t="inlineStr">
        <is>
          <t>Open</t>
        </is>
      </c>
      <c r="M5477">
        <f>VLOOKUP(H5477,'Stage Order'!$A$2:$B$8,2,FALSE)</f>
        <v/>
      </c>
      <c r="N5477">
        <f>IF(G5477&lt;=1,"1. Under 1 hour",IF(G5477&lt;=24,"2. 1-24 hours",IF(G5477&lt;=72,"3. 1-3 days","4. Over 3 days")))</f>
        <v/>
      </c>
      <c r="O5477">
        <f>TEXT(B5477,"YYYY-MM")</f>
        <v/>
      </c>
    </row>
    <row r="5478">
      <c r="A5478" t="inlineStr">
        <is>
          <t>LD-305476</t>
        </is>
      </c>
      <c r="B5478" t="inlineStr">
        <is>
          <t>2026-03-05 11:12:00</t>
        </is>
      </c>
      <c r="C5478" t="inlineStr">
        <is>
          <t>Referral</t>
        </is>
      </c>
      <c r="D5478" t="inlineStr">
        <is>
          <t>Competitive Exam Prep</t>
        </is>
      </c>
      <c r="E5478" t="inlineStr">
        <is>
          <t>South Region</t>
        </is>
      </c>
      <c r="F5478" t="inlineStr">
        <is>
          <t>Rep_02</t>
        </is>
      </c>
      <c r="G5478" t="n">
        <v>3.14</v>
      </c>
      <c r="H5478" t="inlineStr">
        <is>
          <t>Proposal Sent</t>
        </is>
      </c>
      <c r="I5478" t="inlineStr">
        <is>
          <t>Lost</t>
        </is>
      </c>
      <c r="J5478" t="inlineStr">
        <is>
          <t>Went With Competitor</t>
        </is>
      </c>
      <c r="K5478" t="n">
        <v>1134.67</v>
      </c>
      <c r="L5478" t="inlineStr">
        <is>
          <t>2026-04-05 16:27:56.230556</t>
        </is>
      </c>
      <c r="M5478">
        <f>VLOOKUP(H5478,'Stage Order'!$A$2:$B$8,2,FALSE)</f>
        <v/>
      </c>
      <c r="N5478">
        <f>IF(G5478&lt;=1,"1. Under 1 hour",IF(G5478&lt;=24,"2. 1-24 hours",IF(G5478&lt;=72,"3. 1-3 days","4. Over 3 days")))</f>
        <v/>
      </c>
      <c r="O5478">
        <f>TEXT(B5478,"YYYY-MM")</f>
        <v/>
      </c>
    </row>
    <row r="5479">
      <c r="A5479" t="inlineStr">
        <is>
          <t>LD-305477</t>
        </is>
      </c>
      <c r="B5479" t="inlineStr">
        <is>
          <t>2026-02-13 13:53:00</t>
        </is>
      </c>
      <c r="C5479" t="inlineStr">
        <is>
          <t>Organic Search</t>
        </is>
      </c>
      <c r="D5479" t="inlineStr">
        <is>
          <t>Language Learning</t>
        </is>
      </c>
      <c r="E5479" t="inlineStr">
        <is>
          <t>East Region</t>
        </is>
      </c>
      <c r="F5479" t="inlineStr">
        <is>
          <t>Rep_14</t>
        </is>
      </c>
      <c r="G5479" t="n">
        <v>0.51</v>
      </c>
      <c r="H5479" t="inlineStr">
        <is>
          <t>Lead</t>
        </is>
      </c>
      <c r="I5479" t="inlineStr">
        <is>
          <t>Open</t>
        </is>
      </c>
      <c r="M5479">
        <f>VLOOKUP(H5479,'Stage Order'!$A$2:$B$8,2,FALSE)</f>
        <v/>
      </c>
      <c r="N5479">
        <f>IF(G5479&lt;=1,"1. Under 1 hour",IF(G5479&lt;=24,"2. 1-24 hours",IF(G5479&lt;=72,"3. 1-3 days","4. Over 3 days")))</f>
        <v/>
      </c>
      <c r="O5479">
        <f>TEXT(B5479,"YYYY-MM")</f>
        <v/>
      </c>
    </row>
    <row r="5480">
      <c r="A5480" t="inlineStr">
        <is>
          <t>LD-305478</t>
        </is>
      </c>
      <c r="B5480" t="inlineStr">
        <is>
          <t>2026-04-05 14:38:00</t>
        </is>
      </c>
      <c r="C5480" t="inlineStr">
        <is>
          <t>Social Media</t>
        </is>
      </c>
      <c r="D5480" t="inlineStr">
        <is>
          <t>Coding for Kids</t>
        </is>
      </c>
      <c r="E5480" t="inlineStr">
        <is>
          <t>North Region</t>
        </is>
      </c>
      <c r="F5480" t="inlineStr">
        <is>
          <t>Rep_06</t>
        </is>
      </c>
      <c r="G5480" t="n">
        <v>0.41</v>
      </c>
      <c r="H5480" t="inlineStr">
        <is>
          <t>Contacted</t>
        </is>
      </c>
      <c r="I5480" t="inlineStr">
        <is>
          <t>Open</t>
        </is>
      </c>
      <c r="M5480">
        <f>VLOOKUP(H5480,'Stage Order'!$A$2:$B$8,2,FALSE)</f>
        <v/>
      </c>
      <c r="N5480">
        <f>IF(G5480&lt;=1,"1. Under 1 hour",IF(G5480&lt;=24,"2. 1-24 hours",IF(G5480&lt;=72,"3. 1-3 days","4. Over 3 days")))</f>
        <v/>
      </c>
      <c r="O5480">
        <f>TEXT(B5480,"YYYY-MM")</f>
        <v/>
      </c>
    </row>
    <row r="5481">
      <c r="A5481" t="inlineStr">
        <is>
          <t>LD-305479</t>
        </is>
      </c>
      <c r="B5481" t="inlineStr">
        <is>
          <t>2025-12-25 09:13:00</t>
        </is>
      </c>
      <c r="C5481" t="inlineStr">
        <is>
          <t>Organic Search</t>
        </is>
      </c>
      <c r="D5481" t="inlineStr">
        <is>
          <t>Study Abroad Prep</t>
        </is>
      </c>
      <c r="E5481" t="inlineStr">
        <is>
          <t>East Region</t>
        </is>
      </c>
      <c r="F5481" t="inlineStr">
        <is>
          <t>Rep_14</t>
        </is>
      </c>
      <c r="G5481" t="n">
        <v>6.28</v>
      </c>
      <c r="H5481" t="inlineStr">
        <is>
          <t>Lead</t>
        </is>
      </c>
      <c r="I5481" t="inlineStr">
        <is>
          <t>Open</t>
        </is>
      </c>
      <c r="M5481">
        <f>VLOOKUP(H5481,'Stage Order'!$A$2:$B$8,2,FALSE)</f>
        <v/>
      </c>
      <c r="N5481">
        <f>IF(G5481&lt;=1,"1. Under 1 hour",IF(G5481&lt;=24,"2. 1-24 hours",IF(G5481&lt;=72,"3. 1-3 days","4. Over 3 days")))</f>
        <v/>
      </c>
      <c r="O5481">
        <f>TEXT(B5481,"YYYY-MM")</f>
        <v/>
      </c>
    </row>
    <row r="5482">
      <c r="A5482" t="inlineStr">
        <is>
          <t>LD-305480</t>
        </is>
      </c>
      <c r="B5482" t="inlineStr">
        <is>
          <t>2026-05-07 18:17:00</t>
        </is>
      </c>
      <c r="C5482" t="inlineStr">
        <is>
          <t>Social Media</t>
        </is>
      </c>
      <c r="D5482" t="inlineStr">
        <is>
          <t>Coding for Kids</t>
        </is>
      </c>
      <c r="E5482" t="inlineStr">
        <is>
          <t>West Region</t>
        </is>
      </c>
      <c r="F5482" t="inlineStr">
        <is>
          <t>Rep_08</t>
        </is>
      </c>
      <c r="G5482" t="n">
        <v>5.38</v>
      </c>
      <c r="H5482" t="inlineStr">
        <is>
          <t>Contacted</t>
        </is>
      </c>
      <c r="I5482" t="inlineStr">
        <is>
          <t>Open</t>
        </is>
      </c>
      <c r="M5482">
        <f>VLOOKUP(H5482,'Stage Order'!$A$2:$B$8,2,FALSE)</f>
        <v/>
      </c>
      <c r="N5482">
        <f>IF(G5482&lt;=1,"1. Under 1 hour",IF(G5482&lt;=24,"2. 1-24 hours",IF(G5482&lt;=72,"3. 1-3 days","4. Over 3 days")))</f>
        <v/>
      </c>
      <c r="O5482">
        <f>TEXT(B5482,"YYYY-MM")</f>
        <v/>
      </c>
    </row>
    <row r="5483">
      <c r="A5483" t="inlineStr">
        <is>
          <t>LD-305481</t>
        </is>
      </c>
      <c r="B5483" t="inlineStr">
        <is>
          <t>2025-07-22 09:25:00</t>
        </is>
      </c>
      <c r="C5483" t="inlineStr">
        <is>
          <t>Organic Search</t>
        </is>
      </c>
      <c r="D5483" t="inlineStr">
        <is>
          <t>Coding for Kids</t>
        </is>
      </c>
      <c r="E5483" t="inlineStr">
        <is>
          <t>North Region</t>
        </is>
      </c>
      <c r="F5483" t="inlineStr">
        <is>
          <t>Rep_11</t>
        </is>
      </c>
      <c r="G5483" t="n">
        <v>10.17</v>
      </c>
      <c r="H5483" t="inlineStr">
        <is>
          <t>Proposal Sent</t>
        </is>
      </c>
      <c r="I5483" t="inlineStr">
        <is>
          <t>Lost</t>
        </is>
      </c>
      <c r="J5483" t="inlineStr">
        <is>
          <t>Bad Timing</t>
        </is>
      </c>
      <c r="K5483" t="n">
        <v>689.61</v>
      </c>
      <c r="L5483" t="inlineStr">
        <is>
          <t>2025-08-21 01:09:39.335229</t>
        </is>
      </c>
      <c r="M5483">
        <f>VLOOKUP(H5483,'Stage Order'!$A$2:$B$8,2,FALSE)</f>
        <v/>
      </c>
      <c r="N5483">
        <f>IF(G5483&lt;=1,"1. Under 1 hour",IF(G5483&lt;=24,"2. 1-24 hours",IF(G5483&lt;=72,"3. 1-3 days","4. Over 3 days")))</f>
        <v/>
      </c>
      <c r="O5483">
        <f>TEXT(B5483,"YYYY-MM")</f>
        <v/>
      </c>
    </row>
    <row r="5484">
      <c r="A5484" t="inlineStr">
        <is>
          <t>LD-305482</t>
        </is>
      </c>
      <c r="B5484" t="inlineStr">
        <is>
          <t>2025-11-19 09:15:00</t>
        </is>
      </c>
      <c r="C5484" t="inlineStr">
        <is>
          <t>Referral</t>
        </is>
      </c>
      <c r="D5484" t="inlineStr">
        <is>
          <t>Study Abroad Prep</t>
        </is>
      </c>
      <c r="E5484" t="inlineStr">
        <is>
          <t>North Region</t>
        </is>
      </c>
      <c r="F5484" t="inlineStr">
        <is>
          <t>Rep_11</t>
        </is>
      </c>
      <c r="G5484" t="n">
        <v>1.27</v>
      </c>
      <c r="H5484" t="inlineStr">
        <is>
          <t>Negotiation</t>
        </is>
      </c>
      <c r="I5484" t="inlineStr">
        <is>
          <t>Lost</t>
        </is>
      </c>
      <c r="J5484" t="inlineStr">
        <is>
          <t>Price Objection</t>
        </is>
      </c>
      <c r="K5484" t="n">
        <v>1472.1</v>
      </c>
      <c r="L5484" t="inlineStr">
        <is>
          <t>2025-12-27 21:27:27.465345</t>
        </is>
      </c>
      <c r="M5484">
        <f>VLOOKUP(H5484,'Stage Order'!$A$2:$B$8,2,FALSE)</f>
        <v/>
      </c>
      <c r="N5484">
        <f>IF(G5484&lt;=1,"1. Under 1 hour",IF(G5484&lt;=24,"2. 1-24 hours",IF(G5484&lt;=72,"3. 1-3 days","4. Over 3 days")))</f>
        <v/>
      </c>
      <c r="O5484">
        <f>TEXT(B5484,"YYYY-MM")</f>
        <v/>
      </c>
    </row>
    <row r="5485">
      <c r="A5485" t="inlineStr">
        <is>
          <t>LD-305483</t>
        </is>
      </c>
      <c r="B5485" t="inlineStr">
        <is>
          <t>2025-10-27 20:43:00</t>
        </is>
      </c>
      <c r="C5485" t="inlineStr">
        <is>
          <t>Organic Search</t>
        </is>
      </c>
      <c r="D5485" t="inlineStr">
        <is>
          <t>Competitive Exam Prep</t>
        </is>
      </c>
      <c r="E5485" t="inlineStr">
        <is>
          <t>North Region</t>
        </is>
      </c>
      <c r="F5485" t="inlineStr">
        <is>
          <t>Rep_11</t>
        </is>
      </c>
      <c r="G5485" t="n">
        <v>24.38</v>
      </c>
      <c r="H5485" t="inlineStr">
        <is>
          <t>Contacted</t>
        </is>
      </c>
      <c r="I5485" t="inlineStr">
        <is>
          <t>Open</t>
        </is>
      </c>
      <c r="M5485">
        <f>VLOOKUP(H5485,'Stage Order'!$A$2:$B$8,2,FALSE)</f>
        <v/>
      </c>
      <c r="N5485">
        <f>IF(G5485&lt;=1,"1. Under 1 hour",IF(G5485&lt;=24,"2. 1-24 hours",IF(G5485&lt;=72,"3. 1-3 days","4. Over 3 days")))</f>
        <v/>
      </c>
      <c r="O5485">
        <f>TEXT(B5485,"YYYY-MM")</f>
        <v/>
      </c>
    </row>
    <row r="5486">
      <c r="A5486" t="inlineStr">
        <is>
          <t>LD-305484</t>
        </is>
      </c>
      <c r="B5486" t="inlineStr">
        <is>
          <t>2025-08-16 11:56:00</t>
        </is>
      </c>
      <c r="C5486" t="inlineStr">
        <is>
          <t>Social Media</t>
        </is>
      </c>
      <c r="D5486" t="inlineStr">
        <is>
          <t>Language Learning</t>
        </is>
      </c>
      <c r="E5486" t="inlineStr">
        <is>
          <t>West Region</t>
        </is>
      </c>
      <c r="F5486" t="inlineStr">
        <is>
          <t>Rep_03</t>
        </is>
      </c>
      <c r="G5486" t="n">
        <v>0.9399999999999999</v>
      </c>
      <c r="H5486" t="inlineStr">
        <is>
          <t>Demo Scheduled</t>
        </is>
      </c>
      <c r="I5486" t="inlineStr">
        <is>
          <t>Open</t>
        </is>
      </c>
      <c r="M5486">
        <f>VLOOKUP(H5486,'Stage Order'!$A$2:$B$8,2,FALSE)</f>
        <v/>
      </c>
      <c r="N5486">
        <f>IF(G5486&lt;=1,"1. Under 1 hour",IF(G5486&lt;=24,"2. 1-24 hours",IF(G5486&lt;=72,"3. 1-3 days","4. Over 3 days")))</f>
        <v/>
      </c>
      <c r="O5486">
        <f>TEXT(B5486,"YYYY-MM")</f>
        <v/>
      </c>
    </row>
    <row r="5487">
      <c r="A5487" t="inlineStr">
        <is>
          <t>LD-305485</t>
        </is>
      </c>
      <c r="B5487" t="inlineStr">
        <is>
          <t>2025-07-25 10:13:00</t>
        </is>
      </c>
      <c r="C5487" t="inlineStr">
        <is>
          <t>Partner Channel</t>
        </is>
      </c>
      <c r="D5487" t="inlineStr">
        <is>
          <t>Study Abroad Prep</t>
        </is>
      </c>
      <c r="E5487" t="inlineStr">
        <is>
          <t>South Region</t>
        </is>
      </c>
      <c r="F5487" t="inlineStr">
        <is>
          <t>Rep_02</t>
        </is>
      </c>
      <c r="G5487" t="n">
        <v>6.95</v>
      </c>
      <c r="H5487" t="inlineStr">
        <is>
          <t>Contacted</t>
        </is>
      </c>
      <c r="I5487" t="inlineStr">
        <is>
          <t>Open</t>
        </is>
      </c>
      <c r="M5487">
        <f>VLOOKUP(H5487,'Stage Order'!$A$2:$B$8,2,FALSE)</f>
        <v/>
      </c>
      <c r="N5487">
        <f>IF(G5487&lt;=1,"1. Under 1 hour",IF(G5487&lt;=24,"2. 1-24 hours",IF(G5487&lt;=72,"3. 1-3 days","4. Over 3 days")))</f>
        <v/>
      </c>
      <c r="O5487">
        <f>TEXT(B5487,"YYYY-MM")</f>
        <v/>
      </c>
    </row>
    <row r="5488">
      <c r="A5488" t="inlineStr">
        <is>
          <t>LD-305486</t>
        </is>
      </c>
      <c r="B5488" t="inlineStr">
        <is>
          <t>2025-03-28 07:24:00</t>
        </is>
      </c>
      <c r="C5488" t="inlineStr">
        <is>
          <t>Organic Search</t>
        </is>
      </c>
      <c r="D5488" t="inlineStr">
        <is>
          <t>Study Abroad Prep</t>
        </is>
      </c>
      <c r="E5488" t="inlineStr">
        <is>
          <t>South Region</t>
        </is>
      </c>
      <c r="F5488" t="inlineStr">
        <is>
          <t>Rep_02</t>
        </is>
      </c>
      <c r="G5488" t="n">
        <v>1.66</v>
      </c>
      <c r="H5488" t="inlineStr">
        <is>
          <t>Contacted</t>
        </is>
      </c>
      <c r="I5488" t="inlineStr">
        <is>
          <t>Open</t>
        </is>
      </c>
      <c r="M5488">
        <f>VLOOKUP(H5488,'Stage Order'!$A$2:$B$8,2,FALSE)</f>
        <v/>
      </c>
      <c r="N5488">
        <f>IF(G5488&lt;=1,"1. Under 1 hour",IF(G5488&lt;=24,"2. 1-24 hours",IF(G5488&lt;=72,"3. 1-3 days","4. Over 3 days")))</f>
        <v/>
      </c>
      <c r="O5488">
        <f>TEXT(B5488,"YYYY-MM")</f>
        <v/>
      </c>
    </row>
    <row r="5489">
      <c r="A5489" t="inlineStr">
        <is>
          <t>LD-305487</t>
        </is>
      </c>
      <c r="B5489" t="inlineStr">
        <is>
          <t>2025-03-20 07:43:00</t>
        </is>
      </c>
      <c r="C5489" t="inlineStr">
        <is>
          <t>Paid Search</t>
        </is>
      </c>
      <c r="D5489" t="inlineStr">
        <is>
          <t>Competitive Exam Prep</t>
        </is>
      </c>
      <c r="E5489" t="inlineStr">
        <is>
          <t>International</t>
        </is>
      </c>
      <c r="F5489" t="inlineStr">
        <is>
          <t>Rep_10</t>
        </is>
      </c>
      <c r="G5489" t="n">
        <v>3.86</v>
      </c>
      <c r="H5489" t="inlineStr">
        <is>
          <t>Contacted</t>
        </is>
      </c>
      <c r="I5489" t="inlineStr">
        <is>
          <t>Open</t>
        </is>
      </c>
      <c r="M5489">
        <f>VLOOKUP(H5489,'Stage Order'!$A$2:$B$8,2,FALSE)</f>
        <v/>
      </c>
      <c r="N5489">
        <f>IF(G5489&lt;=1,"1. Under 1 hour",IF(G5489&lt;=24,"2. 1-24 hours",IF(G5489&lt;=72,"3. 1-3 days","4. Over 3 days")))</f>
        <v/>
      </c>
      <c r="O5489">
        <f>TEXT(B5489,"YYYY-MM")</f>
        <v/>
      </c>
    </row>
    <row r="5490">
      <c r="A5490" t="inlineStr">
        <is>
          <t>LD-305488</t>
        </is>
      </c>
      <c r="B5490" t="inlineStr">
        <is>
          <t>2026-04-28 13:48:00</t>
        </is>
      </c>
      <c r="C5490" t="inlineStr">
        <is>
          <t>Webinar</t>
        </is>
      </c>
      <c r="D5490" t="inlineStr">
        <is>
          <t>Study Abroad Prep</t>
        </is>
      </c>
      <c r="E5490" t="inlineStr">
        <is>
          <t>South Region</t>
        </is>
      </c>
      <c r="F5490" t="inlineStr">
        <is>
          <t>Rep_02</t>
        </is>
      </c>
      <c r="G5490" t="n">
        <v>5.53</v>
      </c>
      <c r="H5490" t="inlineStr">
        <is>
          <t>Contacted</t>
        </is>
      </c>
      <c r="I5490" t="inlineStr">
        <is>
          <t>Open</t>
        </is>
      </c>
      <c r="M5490">
        <f>VLOOKUP(H5490,'Stage Order'!$A$2:$B$8,2,FALSE)</f>
        <v/>
      </c>
      <c r="N5490">
        <f>IF(G5490&lt;=1,"1. Under 1 hour",IF(G5490&lt;=24,"2. 1-24 hours",IF(G5490&lt;=72,"3. 1-3 days","4. Over 3 days")))</f>
        <v/>
      </c>
      <c r="O5490">
        <f>TEXT(B5490,"YYYY-MM")</f>
        <v/>
      </c>
    </row>
    <row r="5491">
      <c r="A5491" t="inlineStr">
        <is>
          <t>LD-305489</t>
        </is>
      </c>
      <c r="B5491" t="inlineStr">
        <is>
          <t>2026-04-06 20:56:00</t>
        </is>
      </c>
      <c r="C5491" t="inlineStr">
        <is>
          <t>Paid Search</t>
        </is>
      </c>
      <c r="D5491" t="inlineStr">
        <is>
          <t>K-12 Math</t>
        </is>
      </c>
      <c r="E5491" t="inlineStr">
        <is>
          <t>North Region</t>
        </is>
      </c>
      <c r="F5491" t="inlineStr">
        <is>
          <t>Rep_06</t>
        </is>
      </c>
      <c r="G5491" t="n">
        <v>2.32</v>
      </c>
      <c r="H5491" t="inlineStr">
        <is>
          <t>Contacted</t>
        </is>
      </c>
      <c r="I5491" t="inlineStr">
        <is>
          <t>Open</t>
        </is>
      </c>
      <c r="M5491">
        <f>VLOOKUP(H5491,'Stage Order'!$A$2:$B$8,2,FALSE)</f>
        <v/>
      </c>
      <c r="N5491">
        <f>IF(G5491&lt;=1,"1. Under 1 hour",IF(G5491&lt;=24,"2. 1-24 hours",IF(G5491&lt;=72,"3. 1-3 days","4. Over 3 days")))</f>
        <v/>
      </c>
      <c r="O5491">
        <f>TEXT(B5491,"YYYY-MM")</f>
        <v/>
      </c>
    </row>
    <row r="5492">
      <c r="A5492" t="inlineStr">
        <is>
          <t>LD-305490</t>
        </is>
      </c>
      <c r="B5492" t="inlineStr">
        <is>
          <t>2025-05-29 09:32:00</t>
        </is>
      </c>
      <c r="C5492" t="inlineStr">
        <is>
          <t>Social Media</t>
        </is>
      </c>
      <c r="D5492" t="inlineStr">
        <is>
          <t>Competitive Exam Prep</t>
        </is>
      </c>
      <c r="E5492" t="inlineStr">
        <is>
          <t>International</t>
        </is>
      </c>
      <c r="F5492" t="inlineStr">
        <is>
          <t>Rep_05</t>
        </is>
      </c>
      <c r="G5492" t="n">
        <v>4.55</v>
      </c>
      <c r="H5492" t="inlineStr">
        <is>
          <t>Contacted</t>
        </is>
      </c>
      <c r="I5492" t="inlineStr">
        <is>
          <t>Open</t>
        </is>
      </c>
      <c r="M5492">
        <f>VLOOKUP(H5492,'Stage Order'!$A$2:$B$8,2,FALSE)</f>
        <v/>
      </c>
      <c r="N5492">
        <f>IF(G5492&lt;=1,"1. Under 1 hour",IF(G5492&lt;=24,"2. 1-24 hours",IF(G5492&lt;=72,"3. 1-3 days","4. Over 3 days")))</f>
        <v/>
      </c>
      <c r="O5492">
        <f>TEXT(B5492,"YYYY-MM")</f>
        <v/>
      </c>
    </row>
    <row r="5493">
      <c r="A5493" t="inlineStr">
        <is>
          <t>LD-305491</t>
        </is>
      </c>
      <c r="B5493" t="inlineStr">
        <is>
          <t>2026-03-27 12:53:00</t>
        </is>
      </c>
      <c r="C5493" t="inlineStr">
        <is>
          <t>Partner Channel</t>
        </is>
      </c>
      <c r="D5493" t="inlineStr">
        <is>
          <t>Competitive Exam Prep</t>
        </is>
      </c>
      <c r="E5493" t="inlineStr">
        <is>
          <t>North Region</t>
        </is>
      </c>
      <c r="F5493" t="inlineStr">
        <is>
          <t>Rep_06</t>
        </is>
      </c>
      <c r="G5493" t="n">
        <v>2.51</v>
      </c>
      <c r="H5493" t="inlineStr">
        <is>
          <t>Contacted</t>
        </is>
      </c>
      <c r="I5493" t="inlineStr">
        <is>
          <t>Open</t>
        </is>
      </c>
      <c r="M5493">
        <f>VLOOKUP(H5493,'Stage Order'!$A$2:$B$8,2,FALSE)</f>
        <v/>
      </c>
      <c r="N5493">
        <f>IF(G5493&lt;=1,"1. Under 1 hour",IF(G5493&lt;=24,"2. 1-24 hours",IF(G5493&lt;=72,"3. 1-3 days","4. Over 3 days")))</f>
        <v/>
      </c>
      <c r="O5493">
        <f>TEXT(B5493,"YYYY-MM")</f>
        <v/>
      </c>
    </row>
    <row r="5494">
      <c r="A5494" t="inlineStr">
        <is>
          <t>LD-305492</t>
        </is>
      </c>
      <c r="B5494" t="inlineStr">
        <is>
          <t>2025-01-31 09:40:00</t>
        </is>
      </c>
      <c r="C5494" t="inlineStr">
        <is>
          <t>Cold Outreach</t>
        </is>
      </c>
      <c r="D5494" t="inlineStr">
        <is>
          <t>Study Abroad Prep</t>
        </is>
      </c>
      <c r="E5494" t="inlineStr">
        <is>
          <t>West Region</t>
        </is>
      </c>
      <c r="F5494" t="inlineStr">
        <is>
          <t>Rep_13</t>
        </is>
      </c>
      <c r="G5494" t="n">
        <v>3.53</v>
      </c>
      <c r="H5494" t="inlineStr">
        <is>
          <t>Contacted</t>
        </is>
      </c>
      <c r="I5494" t="inlineStr">
        <is>
          <t>Open</t>
        </is>
      </c>
      <c r="M5494">
        <f>VLOOKUP(H5494,'Stage Order'!$A$2:$B$8,2,FALSE)</f>
        <v/>
      </c>
      <c r="N5494">
        <f>IF(G5494&lt;=1,"1. Under 1 hour",IF(G5494&lt;=24,"2. 1-24 hours",IF(G5494&lt;=72,"3. 1-3 days","4. Over 3 days")))</f>
        <v/>
      </c>
      <c r="O5494">
        <f>TEXT(B5494,"YYYY-MM")</f>
        <v/>
      </c>
    </row>
    <row r="5495">
      <c r="A5495" t="inlineStr">
        <is>
          <t>LD-305493</t>
        </is>
      </c>
      <c r="B5495" t="inlineStr">
        <is>
          <t>2025-10-31 11:39:00</t>
        </is>
      </c>
      <c r="C5495" t="inlineStr">
        <is>
          <t>Webinar</t>
        </is>
      </c>
      <c r="D5495" t="inlineStr">
        <is>
          <t>Coding for Kids</t>
        </is>
      </c>
      <c r="E5495" t="inlineStr">
        <is>
          <t>North Region</t>
        </is>
      </c>
      <c r="F5495" t="inlineStr">
        <is>
          <t>Rep_01</t>
        </is>
      </c>
      <c r="G5495" t="n">
        <v>4.7</v>
      </c>
      <c r="H5495" t="inlineStr">
        <is>
          <t>Closed</t>
        </is>
      </c>
      <c r="I5495" t="inlineStr">
        <is>
          <t>Won</t>
        </is>
      </c>
      <c r="K5495" t="n">
        <v>675.16</v>
      </c>
      <c r="L5495" t="inlineStr">
        <is>
          <t>2025-12-06 11:25:22.818438</t>
        </is>
      </c>
      <c r="M5495">
        <f>VLOOKUP(H5495,'Stage Order'!$A$2:$B$8,2,FALSE)</f>
        <v/>
      </c>
      <c r="N5495">
        <f>IF(G5495&lt;=1,"1. Under 1 hour",IF(G5495&lt;=24,"2. 1-24 hours",IF(G5495&lt;=72,"3. 1-3 days","4. Over 3 days")))</f>
        <v/>
      </c>
      <c r="O5495">
        <f>TEXT(B5495,"YYYY-MM")</f>
        <v/>
      </c>
    </row>
    <row r="5496">
      <c r="A5496" t="inlineStr">
        <is>
          <t>LD-305494</t>
        </is>
      </c>
      <c r="B5496" t="inlineStr">
        <is>
          <t>2025-09-12 12:36:00</t>
        </is>
      </c>
      <c r="C5496" t="inlineStr">
        <is>
          <t>Organic Search</t>
        </is>
      </c>
      <c r="D5496" t="inlineStr">
        <is>
          <t>Coding for Kids</t>
        </is>
      </c>
      <c r="E5496" t="inlineStr">
        <is>
          <t>South Region</t>
        </is>
      </c>
      <c r="F5496" t="inlineStr">
        <is>
          <t>Rep_02</t>
        </is>
      </c>
      <c r="G5496" t="n">
        <v>4.13</v>
      </c>
      <c r="H5496" t="inlineStr">
        <is>
          <t>Contacted</t>
        </is>
      </c>
      <c r="I5496" t="inlineStr">
        <is>
          <t>Open</t>
        </is>
      </c>
      <c r="M5496">
        <f>VLOOKUP(H5496,'Stage Order'!$A$2:$B$8,2,FALSE)</f>
        <v/>
      </c>
      <c r="N5496">
        <f>IF(G5496&lt;=1,"1. Under 1 hour",IF(G5496&lt;=24,"2. 1-24 hours",IF(G5496&lt;=72,"3. 1-3 days","4. Over 3 days")))</f>
        <v/>
      </c>
      <c r="O5496">
        <f>TEXT(B5496,"YYYY-MM")</f>
        <v/>
      </c>
    </row>
    <row r="5497">
      <c r="A5497" t="inlineStr">
        <is>
          <t>LD-305495</t>
        </is>
      </c>
      <c r="B5497" t="inlineStr">
        <is>
          <t>2026-04-08 18:19:00</t>
        </is>
      </c>
      <c r="C5497" t="inlineStr">
        <is>
          <t>Webinar</t>
        </is>
      </c>
      <c r="D5497" t="inlineStr">
        <is>
          <t>Language Learning</t>
        </is>
      </c>
      <c r="E5497" t="inlineStr">
        <is>
          <t>West Region</t>
        </is>
      </c>
      <c r="F5497" t="inlineStr">
        <is>
          <t>Rep_03</t>
        </is>
      </c>
      <c r="G5497" t="n">
        <v>1.19</v>
      </c>
      <c r="H5497" t="inlineStr">
        <is>
          <t>Contacted</t>
        </is>
      </c>
      <c r="I5497" t="inlineStr">
        <is>
          <t>Open</t>
        </is>
      </c>
      <c r="M5497">
        <f>VLOOKUP(H5497,'Stage Order'!$A$2:$B$8,2,FALSE)</f>
        <v/>
      </c>
      <c r="N5497">
        <f>IF(G5497&lt;=1,"1. Under 1 hour",IF(G5497&lt;=24,"2. 1-24 hours",IF(G5497&lt;=72,"3. 1-3 days","4. Over 3 days")))</f>
        <v/>
      </c>
      <c r="O5497">
        <f>TEXT(B5497,"YYYY-MM")</f>
        <v/>
      </c>
    </row>
    <row r="5498">
      <c r="A5498" t="inlineStr">
        <is>
          <t>LD-305496</t>
        </is>
      </c>
      <c r="B5498" t="inlineStr">
        <is>
          <t>2025-02-18 14:21:00</t>
        </is>
      </c>
      <c r="C5498" t="inlineStr">
        <is>
          <t>Organic Search</t>
        </is>
      </c>
      <c r="D5498" t="inlineStr">
        <is>
          <t>K-12 Math</t>
        </is>
      </c>
      <c r="E5498" t="inlineStr">
        <is>
          <t>South Region</t>
        </is>
      </c>
      <c r="F5498" t="inlineStr">
        <is>
          <t>Rep_07</t>
        </is>
      </c>
      <c r="G5498" t="n">
        <v>7.77</v>
      </c>
      <c r="H5498" t="inlineStr">
        <is>
          <t>Closed</t>
        </is>
      </c>
      <c r="I5498" t="inlineStr">
        <is>
          <t>Won</t>
        </is>
      </c>
      <c r="K5498" t="n">
        <v>557.46</v>
      </c>
      <c r="L5498" t="inlineStr">
        <is>
          <t>2025-04-04 05:52:40.746029</t>
        </is>
      </c>
      <c r="M5498">
        <f>VLOOKUP(H5498,'Stage Order'!$A$2:$B$8,2,FALSE)</f>
        <v/>
      </c>
      <c r="N5498">
        <f>IF(G5498&lt;=1,"1. Under 1 hour",IF(G5498&lt;=24,"2. 1-24 hours",IF(G5498&lt;=72,"3. 1-3 days","4. Over 3 days")))</f>
        <v/>
      </c>
      <c r="O5498">
        <f>TEXT(B5498,"YYYY-MM")</f>
        <v/>
      </c>
    </row>
    <row r="5499">
      <c r="A5499" t="inlineStr">
        <is>
          <t>LD-305497</t>
        </is>
      </c>
      <c r="B5499" t="inlineStr">
        <is>
          <t>2026-02-13 13:12:00</t>
        </is>
      </c>
      <c r="C5499" t="inlineStr">
        <is>
          <t>Webinar</t>
        </is>
      </c>
      <c r="D5499" t="inlineStr">
        <is>
          <t>K-12 Math</t>
        </is>
      </c>
      <c r="E5499" t="inlineStr">
        <is>
          <t>International</t>
        </is>
      </c>
      <c r="F5499" t="inlineStr">
        <is>
          <t>Rep_10</t>
        </is>
      </c>
      <c r="G5499" t="n">
        <v>1.64</v>
      </c>
      <c r="H5499" t="inlineStr">
        <is>
          <t>Closed</t>
        </is>
      </c>
      <c r="I5499" t="inlineStr">
        <is>
          <t>Won</t>
        </is>
      </c>
      <c r="K5499" t="n">
        <v>521.7</v>
      </c>
      <c r="L5499" t="inlineStr">
        <is>
          <t>2026-04-05 13:21:44.318694</t>
        </is>
      </c>
      <c r="M5499">
        <f>VLOOKUP(H5499,'Stage Order'!$A$2:$B$8,2,FALSE)</f>
        <v/>
      </c>
      <c r="N5499">
        <f>IF(G5499&lt;=1,"1. Under 1 hour",IF(G5499&lt;=24,"2. 1-24 hours",IF(G5499&lt;=72,"3. 1-3 days","4. Over 3 days")))</f>
        <v/>
      </c>
      <c r="O5499">
        <f>TEXT(B5499,"YYYY-MM")</f>
        <v/>
      </c>
    </row>
    <row r="5500">
      <c r="A5500" t="inlineStr">
        <is>
          <t>LD-305498</t>
        </is>
      </c>
      <c r="B5500" t="inlineStr">
        <is>
          <t>2025-07-25 18:14:00</t>
        </is>
      </c>
      <c r="C5500" t="inlineStr">
        <is>
          <t>Paid Search</t>
        </is>
      </c>
      <c r="D5500" t="inlineStr">
        <is>
          <t>Competitive Exam Prep</t>
        </is>
      </c>
      <c r="E5500" t="inlineStr">
        <is>
          <t>North Region</t>
        </is>
      </c>
      <c r="F5500" t="inlineStr">
        <is>
          <t>Rep_06</t>
        </is>
      </c>
      <c r="G5500" t="n">
        <v>17.95</v>
      </c>
      <c r="H5500" t="inlineStr">
        <is>
          <t>Lead</t>
        </is>
      </c>
      <c r="I5500" t="inlineStr">
        <is>
          <t>Open</t>
        </is>
      </c>
      <c r="M5500">
        <f>VLOOKUP(H5500,'Stage Order'!$A$2:$B$8,2,FALSE)</f>
        <v/>
      </c>
      <c r="N5500">
        <f>IF(G5500&lt;=1,"1. Under 1 hour",IF(G5500&lt;=24,"2. 1-24 hours",IF(G5500&lt;=72,"3. 1-3 days","4. Over 3 days")))</f>
        <v/>
      </c>
      <c r="O5500">
        <f>TEXT(B5500,"YYYY-MM")</f>
        <v/>
      </c>
    </row>
    <row r="5501">
      <c r="A5501" t="inlineStr">
        <is>
          <t>LD-305499</t>
        </is>
      </c>
      <c r="B5501" t="inlineStr">
        <is>
          <t>2026-05-27 10:20:00</t>
        </is>
      </c>
      <c r="C5501" t="inlineStr">
        <is>
          <t>Referral</t>
        </is>
      </c>
      <c r="D5501" t="inlineStr">
        <is>
          <t>Coding for Kids</t>
        </is>
      </c>
      <c r="E5501" t="inlineStr">
        <is>
          <t>North Region</t>
        </is>
      </c>
      <c r="F5501" t="inlineStr">
        <is>
          <t>Rep_06</t>
        </is>
      </c>
      <c r="G5501" t="n">
        <v>0.85</v>
      </c>
      <c r="H5501" t="inlineStr">
        <is>
          <t>Contacted</t>
        </is>
      </c>
      <c r="I5501" t="inlineStr">
        <is>
          <t>Open</t>
        </is>
      </c>
      <c r="M5501">
        <f>VLOOKUP(H5501,'Stage Order'!$A$2:$B$8,2,FALSE)</f>
        <v/>
      </c>
      <c r="N5501">
        <f>IF(G5501&lt;=1,"1. Under 1 hour",IF(G5501&lt;=24,"2. 1-24 hours",IF(G5501&lt;=72,"3. 1-3 days","4. Over 3 days")))</f>
        <v/>
      </c>
      <c r="O5501">
        <f>TEXT(B5501,"YYYY-MM")</f>
        <v/>
      </c>
    </row>
    <row r="5502">
      <c r="A5502" t="inlineStr">
        <is>
          <t>LD-305500</t>
        </is>
      </c>
      <c r="B5502" t="inlineStr">
        <is>
          <t>2026-06-12 13:07:00</t>
        </is>
      </c>
      <c r="C5502" t="inlineStr">
        <is>
          <t>Organic Search</t>
        </is>
      </c>
      <c r="D5502" t="inlineStr">
        <is>
          <t>Coding for Kids</t>
        </is>
      </c>
      <c r="E5502" t="inlineStr">
        <is>
          <t>South Region</t>
        </is>
      </c>
      <c r="F5502" t="inlineStr">
        <is>
          <t>Rep_02</t>
        </is>
      </c>
      <c r="G5502" t="n">
        <v>0.9399999999999999</v>
      </c>
      <c r="H5502" t="inlineStr">
        <is>
          <t>Closed</t>
        </is>
      </c>
      <c r="I5502" t="inlineStr">
        <is>
          <t>Won</t>
        </is>
      </c>
      <c r="K5502" t="n">
        <v>751.72</v>
      </c>
      <c r="L5502" t="inlineStr">
        <is>
          <t>2026-07-24 05:53:09.007110</t>
        </is>
      </c>
      <c r="M5502">
        <f>VLOOKUP(H5502,'Stage Order'!$A$2:$B$8,2,FALSE)</f>
        <v/>
      </c>
      <c r="N5502">
        <f>IF(G5502&lt;=1,"1. Under 1 hour",IF(G5502&lt;=24,"2. 1-24 hours",IF(G5502&lt;=72,"3. 1-3 days","4. Over 3 days")))</f>
        <v/>
      </c>
      <c r="O5502">
        <f>TEXT(B5502,"YYYY-MM")</f>
        <v/>
      </c>
    </row>
    <row r="5503">
      <c r="A5503" t="inlineStr">
        <is>
          <t>LD-305501</t>
        </is>
      </c>
      <c r="B5503" t="inlineStr">
        <is>
          <t>2026-01-31 16:23:00</t>
        </is>
      </c>
      <c r="C5503" t="inlineStr">
        <is>
          <t>Social Media</t>
        </is>
      </c>
      <c r="D5503" t="inlineStr">
        <is>
          <t>Study Abroad Prep</t>
        </is>
      </c>
      <c r="E5503" t="inlineStr">
        <is>
          <t>North Region</t>
        </is>
      </c>
      <c r="F5503" t="inlineStr">
        <is>
          <t>Rep_06</t>
        </is>
      </c>
      <c r="G5503" t="n">
        <v>5.96</v>
      </c>
      <c r="H5503" t="inlineStr">
        <is>
          <t>Lead</t>
        </is>
      </c>
      <c r="I5503" t="inlineStr">
        <is>
          <t>Open</t>
        </is>
      </c>
      <c r="M5503">
        <f>VLOOKUP(H5503,'Stage Order'!$A$2:$B$8,2,FALSE)</f>
        <v/>
      </c>
      <c r="N5503">
        <f>IF(G5503&lt;=1,"1. Under 1 hour",IF(G5503&lt;=24,"2. 1-24 hours",IF(G5503&lt;=72,"3. 1-3 days","4. Over 3 days")))</f>
        <v/>
      </c>
      <c r="O5503">
        <f>TEXT(B5503,"YYYY-MM")</f>
        <v/>
      </c>
    </row>
    <row r="5504">
      <c r="A5504" t="inlineStr">
        <is>
          <t>LD-305502</t>
        </is>
      </c>
      <c r="B5504" t="inlineStr">
        <is>
          <t>2025-11-21 14:26:00</t>
        </is>
      </c>
      <c r="C5504" t="inlineStr">
        <is>
          <t>Referral</t>
        </is>
      </c>
      <c r="D5504" t="inlineStr">
        <is>
          <t>K-12 Math</t>
        </is>
      </c>
      <c r="E5504" t="inlineStr">
        <is>
          <t>South Region</t>
        </is>
      </c>
      <c r="F5504" t="inlineStr">
        <is>
          <t>Rep_07</t>
        </is>
      </c>
      <c r="G5504" t="n">
        <v>3.11</v>
      </c>
      <c r="H5504" t="inlineStr">
        <is>
          <t>Negotiation</t>
        </is>
      </c>
      <c r="I5504" t="inlineStr">
        <is>
          <t>Lost</t>
        </is>
      </c>
      <c r="J5504" t="inlineStr">
        <is>
          <t>No Response / Ghosted</t>
        </is>
      </c>
      <c r="K5504" t="n">
        <v>590.72</v>
      </c>
      <c r="L5504" t="inlineStr">
        <is>
          <t>2026-01-14 11:16:49.625163</t>
        </is>
      </c>
      <c r="M5504">
        <f>VLOOKUP(H5504,'Stage Order'!$A$2:$B$8,2,FALSE)</f>
        <v/>
      </c>
      <c r="N5504">
        <f>IF(G5504&lt;=1,"1. Under 1 hour",IF(G5504&lt;=24,"2. 1-24 hours",IF(G5504&lt;=72,"3. 1-3 days","4. Over 3 days")))</f>
        <v/>
      </c>
      <c r="O5504">
        <f>TEXT(B5504,"YYYY-MM")</f>
        <v/>
      </c>
    </row>
    <row r="5505">
      <c r="A5505" t="inlineStr">
        <is>
          <t>LD-305503</t>
        </is>
      </c>
      <c r="B5505" t="inlineStr">
        <is>
          <t>2025-08-31 17:11:00</t>
        </is>
      </c>
      <c r="C5505" t="inlineStr">
        <is>
          <t>Webinar</t>
        </is>
      </c>
      <c r="D5505" t="inlineStr">
        <is>
          <t>Competitive Exam Prep</t>
        </is>
      </c>
      <c r="E5505" t="inlineStr">
        <is>
          <t>South Region</t>
        </is>
      </c>
      <c r="F5505" t="inlineStr">
        <is>
          <t>Rep_12</t>
        </is>
      </c>
      <c r="G5505" t="n">
        <v>1.7</v>
      </c>
      <c r="H5505" t="inlineStr">
        <is>
          <t>Contacted</t>
        </is>
      </c>
      <c r="I5505" t="inlineStr">
        <is>
          <t>Open</t>
        </is>
      </c>
      <c r="M5505">
        <f>VLOOKUP(H5505,'Stage Order'!$A$2:$B$8,2,FALSE)</f>
        <v/>
      </c>
      <c r="N5505">
        <f>IF(G5505&lt;=1,"1. Under 1 hour",IF(G5505&lt;=24,"2. 1-24 hours",IF(G5505&lt;=72,"3. 1-3 days","4. Over 3 days")))</f>
        <v/>
      </c>
      <c r="O5505">
        <f>TEXT(B5505,"YYYY-MM")</f>
        <v/>
      </c>
    </row>
    <row r="5506">
      <c r="A5506" t="inlineStr">
        <is>
          <t>LD-305504</t>
        </is>
      </c>
      <c r="B5506" t="inlineStr">
        <is>
          <t>2025-09-27 16:09:00</t>
        </is>
      </c>
      <c r="C5506" t="inlineStr">
        <is>
          <t>Paid Search</t>
        </is>
      </c>
      <c r="D5506" t="inlineStr">
        <is>
          <t>Language Learning</t>
        </is>
      </c>
      <c r="E5506" t="inlineStr">
        <is>
          <t>West Region</t>
        </is>
      </c>
      <c r="F5506" t="inlineStr">
        <is>
          <t>Rep_03</t>
        </is>
      </c>
      <c r="G5506" t="n">
        <v>1.08</v>
      </c>
      <c r="H5506" t="inlineStr">
        <is>
          <t>Lead</t>
        </is>
      </c>
      <c r="I5506" t="inlineStr">
        <is>
          <t>Open</t>
        </is>
      </c>
      <c r="M5506">
        <f>VLOOKUP(H5506,'Stage Order'!$A$2:$B$8,2,FALSE)</f>
        <v/>
      </c>
      <c r="N5506">
        <f>IF(G5506&lt;=1,"1. Under 1 hour",IF(G5506&lt;=24,"2. 1-24 hours",IF(G5506&lt;=72,"3. 1-3 days","4. Over 3 days")))</f>
        <v/>
      </c>
      <c r="O5506">
        <f>TEXT(B5506,"YYYY-MM")</f>
        <v/>
      </c>
    </row>
    <row r="5507">
      <c r="A5507" t="inlineStr">
        <is>
          <t>LD-305505</t>
        </is>
      </c>
      <c r="B5507" t="inlineStr">
        <is>
          <t>2025-12-18 12:46:00</t>
        </is>
      </c>
      <c r="C5507" t="inlineStr">
        <is>
          <t>Webinar</t>
        </is>
      </c>
      <c r="D5507" t="inlineStr">
        <is>
          <t>Competitive Exam Prep</t>
        </is>
      </c>
      <c r="E5507" t="inlineStr">
        <is>
          <t>West Region</t>
        </is>
      </c>
      <c r="F5507" t="inlineStr">
        <is>
          <t>Rep_03</t>
        </is>
      </c>
      <c r="G5507" t="n">
        <v>2.52</v>
      </c>
      <c r="H5507" t="inlineStr">
        <is>
          <t>Contacted</t>
        </is>
      </c>
      <c r="I5507" t="inlineStr">
        <is>
          <t>Open</t>
        </is>
      </c>
      <c r="M5507">
        <f>VLOOKUP(H5507,'Stage Order'!$A$2:$B$8,2,FALSE)</f>
        <v/>
      </c>
      <c r="N5507">
        <f>IF(G5507&lt;=1,"1. Under 1 hour",IF(G5507&lt;=24,"2. 1-24 hours",IF(G5507&lt;=72,"3. 1-3 days","4. Over 3 days")))</f>
        <v/>
      </c>
      <c r="O5507">
        <f>TEXT(B5507,"YYYY-MM")</f>
        <v/>
      </c>
    </row>
    <row r="5508">
      <c r="A5508" t="inlineStr">
        <is>
          <t>LD-305506</t>
        </is>
      </c>
      <c r="B5508" t="inlineStr">
        <is>
          <t>2025-12-01 12:36:00</t>
        </is>
      </c>
      <c r="C5508" t="inlineStr">
        <is>
          <t>Paid Search</t>
        </is>
      </c>
      <c r="D5508" t="inlineStr">
        <is>
          <t>Competitive Exam Prep</t>
        </is>
      </c>
      <c r="E5508" t="inlineStr">
        <is>
          <t>East Region</t>
        </is>
      </c>
      <c r="F5508" t="inlineStr">
        <is>
          <t>Rep_14</t>
        </is>
      </c>
      <c r="G5508" t="n">
        <v>3.4</v>
      </c>
      <c r="H5508" t="inlineStr">
        <is>
          <t>Demo Scheduled</t>
        </is>
      </c>
      <c r="I5508" t="inlineStr">
        <is>
          <t>Open</t>
        </is>
      </c>
      <c r="M5508">
        <f>VLOOKUP(H5508,'Stage Order'!$A$2:$B$8,2,FALSE)</f>
        <v/>
      </c>
      <c r="N5508">
        <f>IF(G5508&lt;=1,"1. Under 1 hour",IF(G5508&lt;=24,"2. 1-24 hours",IF(G5508&lt;=72,"3. 1-3 days","4. Over 3 days")))</f>
        <v/>
      </c>
      <c r="O5508">
        <f>TEXT(B5508,"YYYY-MM")</f>
        <v/>
      </c>
    </row>
    <row r="5509">
      <c r="A5509" t="inlineStr">
        <is>
          <t>LD-305507</t>
        </is>
      </c>
      <c r="B5509" t="inlineStr">
        <is>
          <t>2026-06-14 10:20:00</t>
        </is>
      </c>
      <c r="C5509" t="inlineStr">
        <is>
          <t>Referral</t>
        </is>
      </c>
      <c r="D5509" t="inlineStr">
        <is>
          <t>K-12 Math</t>
        </is>
      </c>
      <c r="E5509" t="inlineStr">
        <is>
          <t>South Region</t>
        </is>
      </c>
      <c r="F5509" t="inlineStr">
        <is>
          <t>Rep_02</t>
        </is>
      </c>
      <c r="G5509" t="n">
        <v>4.46</v>
      </c>
      <c r="H5509" t="inlineStr">
        <is>
          <t>Negotiation</t>
        </is>
      </c>
      <c r="I5509" t="inlineStr">
        <is>
          <t>Lost</t>
        </is>
      </c>
      <c r="J5509" t="inlineStr">
        <is>
          <t>Went With Competitor</t>
        </is>
      </c>
      <c r="K5509" t="n">
        <v>586.47</v>
      </c>
      <c r="L5509" t="inlineStr">
        <is>
          <t>2026-07-31 03:53:49.177566</t>
        </is>
      </c>
      <c r="M5509">
        <f>VLOOKUP(H5509,'Stage Order'!$A$2:$B$8,2,FALSE)</f>
        <v/>
      </c>
      <c r="N5509">
        <f>IF(G5509&lt;=1,"1. Under 1 hour",IF(G5509&lt;=24,"2. 1-24 hours",IF(G5509&lt;=72,"3. 1-3 days","4. Over 3 days")))</f>
        <v/>
      </c>
      <c r="O5509">
        <f>TEXT(B5509,"YYYY-MM")</f>
        <v/>
      </c>
    </row>
    <row r="5510">
      <c r="A5510" t="inlineStr">
        <is>
          <t>LD-305508</t>
        </is>
      </c>
      <c r="B5510" t="inlineStr">
        <is>
          <t>2025-05-29 11:55:00</t>
        </is>
      </c>
      <c r="C5510" t="inlineStr">
        <is>
          <t>Partner Channel</t>
        </is>
      </c>
      <c r="D5510" t="inlineStr">
        <is>
          <t>Language Learning</t>
        </is>
      </c>
      <c r="E5510" t="inlineStr">
        <is>
          <t>North Region</t>
        </is>
      </c>
      <c r="F5510" t="inlineStr">
        <is>
          <t>Rep_11</t>
        </is>
      </c>
      <c r="G5510" t="n">
        <v>6.46</v>
      </c>
      <c r="H5510" t="inlineStr">
        <is>
          <t>Demo Completed</t>
        </is>
      </c>
      <c r="I5510" t="inlineStr">
        <is>
          <t>Lost</t>
        </is>
      </c>
      <c r="J5510" t="inlineStr">
        <is>
          <t>Bad Timing</t>
        </is>
      </c>
      <c r="K5510" t="n">
        <v>350.44</v>
      </c>
      <c r="L5510" t="inlineStr">
        <is>
          <t>2025-07-11 15:53:10.901431</t>
        </is>
      </c>
      <c r="M5510">
        <f>VLOOKUP(H5510,'Stage Order'!$A$2:$B$8,2,FALSE)</f>
        <v/>
      </c>
      <c r="N5510">
        <f>IF(G5510&lt;=1,"1. Under 1 hour",IF(G5510&lt;=24,"2. 1-24 hours",IF(G5510&lt;=72,"3. 1-3 days","4. Over 3 days")))</f>
        <v/>
      </c>
      <c r="O5510">
        <f>TEXT(B5510,"YYYY-MM")</f>
        <v/>
      </c>
    </row>
    <row r="5511">
      <c r="A5511" t="inlineStr">
        <is>
          <t>LD-305509</t>
        </is>
      </c>
      <c r="B5511" t="inlineStr">
        <is>
          <t>2025-12-16 12:22:00</t>
        </is>
      </c>
      <c r="C5511" t="inlineStr">
        <is>
          <t>Cold Outreach</t>
        </is>
      </c>
      <c r="D5511" t="inlineStr">
        <is>
          <t>Competitive Exam Prep</t>
        </is>
      </c>
      <c r="E5511" t="inlineStr">
        <is>
          <t>West Region</t>
        </is>
      </c>
      <c r="F5511" t="inlineStr">
        <is>
          <t>Rep_13</t>
        </is>
      </c>
      <c r="G5511" t="n">
        <v>1.93</v>
      </c>
      <c r="H5511" t="inlineStr">
        <is>
          <t>Demo Scheduled</t>
        </is>
      </c>
      <c r="I5511" t="inlineStr">
        <is>
          <t>Open</t>
        </is>
      </c>
      <c r="M5511">
        <f>VLOOKUP(H5511,'Stage Order'!$A$2:$B$8,2,FALSE)</f>
        <v/>
      </c>
      <c r="N5511">
        <f>IF(G5511&lt;=1,"1. Under 1 hour",IF(G5511&lt;=24,"2. 1-24 hours",IF(G5511&lt;=72,"3. 1-3 days","4. Over 3 days")))</f>
        <v/>
      </c>
      <c r="O5511">
        <f>TEXT(B5511,"YYYY-MM")</f>
        <v/>
      </c>
    </row>
    <row r="5512">
      <c r="A5512" t="inlineStr">
        <is>
          <t>LD-305510</t>
        </is>
      </c>
      <c r="B5512" t="inlineStr">
        <is>
          <t>2025-10-30 14:09:00</t>
        </is>
      </c>
      <c r="C5512" t="inlineStr">
        <is>
          <t>Organic Search</t>
        </is>
      </c>
      <c r="D5512" t="inlineStr">
        <is>
          <t>Coding for Kids</t>
        </is>
      </c>
      <c r="E5512" t="inlineStr">
        <is>
          <t>North Region</t>
        </is>
      </c>
      <c r="F5512" t="inlineStr">
        <is>
          <t>Rep_01</t>
        </is>
      </c>
      <c r="G5512" t="n">
        <v>1.09</v>
      </c>
      <c r="H5512" t="inlineStr">
        <is>
          <t>Contacted</t>
        </is>
      </c>
      <c r="I5512" t="inlineStr">
        <is>
          <t>Open</t>
        </is>
      </c>
      <c r="M5512">
        <f>VLOOKUP(H5512,'Stage Order'!$A$2:$B$8,2,FALSE)</f>
        <v/>
      </c>
      <c r="N5512">
        <f>IF(G5512&lt;=1,"1. Under 1 hour",IF(G5512&lt;=24,"2. 1-24 hours",IF(G5512&lt;=72,"3. 1-3 days","4. Over 3 days")))</f>
        <v/>
      </c>
      <c r="O5512">
        <f>TEXT(B5512,"YYYY-MM")</f>
        <v/>
      </c>
    </row>
    <row r="5513">
      <c r="A5513" t="inlineStr">
        <is>
          <t>LD-305511</t>
        </is>
      </c>
      <c r="B5513" t="inlineStr">
        <is>
          <t>2026-05-22 08:56:00</t>
        </is>
      </c>
      <c r="C5513" t="inlineStr">
        <is>
          <t>Organic Search</t>
        </is>
      </c>
      <c r="D5513" t="inlineStr">
        <is>
          <t>Competitive Exam Prep</t>
        </is>
      </c>
      <c r="E5513" t="inlineStr">
        <is>
          <t>South Region</t>
        </is>
      </c>
      <c r="F5513" t="inlineStr">
        <is>
          <t>Rep_02</t>
        </is>
      </c>
      <c r="G5513" t="n">
        <v>4.91</v>
      </c>
      <c r="H5513" t="inlineStr">
        <is>
          <t>Contacted</t>
        </is>
      </c>
      <c r="I5513" t="inlineStr">
        <is>
          <t>Open</t>
        </is>
      </c>
      <c r="M5513">
        <f>VLOOKUP(H5513,'Stage Order'!$A$2:$B$8,2,FALSE)</f>
        <v/>
      </c>
      <c r="N5513">
        <f>IF(G5513&lt;=1,"1. Under 1 hour",IF(G5513&lt;=24,"2. 1-24 hours",IF(G5513&lt;=72,"3. 1-3 days","4. Over 3 days")))</f>
        <v/>
      </c>
      <c r="O5513">
        <f>TEXT(B5513,"YYYY-MM")</f>
        <v/>
      </c>
    </row>
    <row r="5514">
      <c r="A5514" t="inlineStr">
        <is>
          <t>LD-305512</t>
        </is>
      </c>
      <c r="B5514" t="inlineStr">
        <is>
          <t>2025-06-04 17:04:00</t>
        </is>
      </c>
      <c r="C5514" t="inlineStr">
        <is>
          <t>Social Media</t>
        </is>
      </c>
      <c r="D5514" t="inlineStr">
        <is>
          <t>Language Learning</t>
        </is>
      </c>
      <c r="E5514" t="inlineStr">
        <is>
          <t>South Region</t>
        </is>
      </c>
      <c r="F5514" t="inlineStr">
        <is>
          <t>Rep_07</t>
        </is>
      </c>
      <c r="G5514" t="n">
        <v>5.2</v>
      </c>
      <c r="H5514" t="inlineStr">
        <is>
          <t>Demo Completed</t>
        </is>
      </c>
      <c r="I5514" t="inlineStr">
        <is>
          <t>Lost</t>
        </is>
      </c>
      <c r="J5514" t="inlineStr">
        <is>
          <t>Went With Competitor</t>
        </is>
      </c>
      <c r="K5514" t="n">
        <v>408.89</v>
      </c>
      <c r="L5514" t="inlineStr">
        <is>
          <t>2025-07-01 00:07:48.148603</t>
        </is>
      </c>
      <c r="M5514">
        <f>VLOOKUP(H5514,'Stage Order'!$A$2:$B$8,2,FALSE)</f>
        <v/>
      </c>
      <c r="N5514">
        <f>IF(G5514&lt;=1,"1. Under 1 hour",IF(G5514&lt;=24,"2. 1-24 hours",IF(G5514&lt;=72,"3. 1-3 days","4. Over 3 days")))</f>
        <v/>
      </c>
      <c r="O5514">
        <f>TEXT(B5514,"YYYY-MM")</f>
        <v/>
      </c>
    </row>
    <row r="5515">
      <c r="A5515" t="inlineStr">
        <is>
          <t>LD-305513</t>
        </is>
      </c>
      <c r="B5515" t="inlineStr">
        <is>
          <t>2025-01-21 19:02:00</t>
        </is>
      </c>
      <c r="C5515" t="inlineStr">
        <is>
          <t>Social Media</t>
        </is>
      </c>
      <c r="D5515" t="inlineStr">
        <is>
          <t>Competitive Exam Prep</t>
        </is>
      </c>
      <c r="E5515" t="inlineStr">
        <is>
          <t>South Region</t>
        </is>
      </c>
      <c r="F5515" t="inlineStr">
        <is>
          <t>Rep_02</t>
        </is>
      </c>
      <c r="G5515" t="n">
        <v>1.04</v>
      </c>
      <c r="H5515" t="inlineStr">
        <is>
          <t>Contacted</t>
        </is>
      </c>
      <c r="I5515" t="inlineStr">
        <is>
          <t>Open</t>
        </is>
      </c>
      <c r="M5515">
        <f>VLOOKUP(H5515,'Stage Order'!$A$2:$B$8,2,FALSE)</f>
        <v/>
      </c>
      <c r="N5515">
        <f>IF(G5515&lt;=1,"1. Under 1 hour",IF(G5515&lt;=24,"2. 1-24 hours",IF(G5515&lt;=72,"3. 1-3 days","4. Over 3 days")))</f>
        <v/>
      </c>
      <c r="O5515">
        <f>TEXT(B5515,"YYYY-MM")</f>
        <v/>
      </c>
    </row>
    <row r="5516">
      <c r="A5516" t="inlineStr">
        <is>
          <t>LD-305514</t>
        </is>
      </c>
      <c r="B5516" t="inlineStr">
        <is>
          <t>2025-01-29 20:48:00</t>
        </is>
      </c>
      <c r="C5516" t="inlineStr">
        <is>
          <t>Paid Search</t>
        </is>
      </c>
      <c r="D5516" t="inlineStr">
        <is>
          <t>Competitive Exam Prep</t>
        </is>
      </c>
      <c r="E5516" t="inlineStr">
        <is>
          <t>North Region</t>
        </is>
      </c>
      <c r="F5516" t="inlineStr">
        <is>
          <t>Rep_06</t>
        </is>
      </c>
      <c r="G5516" t="n">
        <v>1.19</v>
      </c>
      <c r="H5516" t="inlineStr">
        <is>
          <t>Lead</t>
        </is>
      </c>
      <c r="I5516" t="inlineStr">
        <is>
          <t>Open</t>
        </is>
      </c>
      <c r="M5516">
        <f>VLOOKUP(H5516,'Stage Order'!$A$2:$B$8,2,FALSE)</f>
        <v/>
      </c>
      <c r="N5516">
        <f>IF(G5516&lt;=1,"1. Under 1 hour",IF(G5516&lt;=24,"2. 1-24 hours",IF(G5516&lt;=72,"3. 1-3 days","4. Over 3 days")))</f>
        <v/>
      </c>
      <c r="O5516">
        <f>TEXT(B5516,"YYYY-MM")</f>
        <v/>
      </c>
    </row>
    <row r="5517">
      <c r="A5517" t="inlineStr">
        <is>
          <t>LD-305515</t>
        </is>
      </c>
      <c r="B5517" t="inlineStr">
        <is>
          <t>2025-10-13 20:15:00</t>
        </is>
      </c>
      <c r="C5517" t="inlineStr">
        <is>
          <t>Webinar</t>
        </is>
      </c>
      <c r="D5517" t="inlineStr">
        <is>
          <t>Competitive Exam Prep</t>
        </is>
      </c>
      <c r="E5517" t="inlineStr">
        <is>
          <t>East Region</t>
        </is>
      </c>
      <c r="F5517" t="inlineStr">
        <is>
          <t>Rep_09</t>
        </is>
      </c>
      <c r="G5517" t="n">
        <v>16.52</v>
      </c>
      <c r="H5517" t="inlineStr">
        <is>
          <t>Contacted</t>
        </is>
      </c>
      <c r="I5517" t="inlineStr">
        <is>
          <t>Open</t>
        </is>
      </c>
      <c r="M5517">
        <f>VLOOKUP(H5517,'Stage Order'!$A$2:$B$8,2,FALSE)</f>
        <v/>
      </c>
      <c r="N5517">
        <f>IF(G5517&lt;=1,"1. Under 1 hour",IF(G5517&lt;=24,"2. 1-24 hours",IF(G5517&lt;=72,"3. 1-3 days","4. Over 3 days")))</f>
        <v/>
      </c>
      <c r="O5517">
        <f>TEXT(B5517,"YYYY-MM")</f>
        <v/>
      </c>
    </row>
    <row r="5518">
      <c r="A5518" t="inlineStr">
        <is>
          <t>LD-305516</t>
        </is>
      </c>
      <c r="B5518" t="inlineStr">
        <is>
          <t>2025-12-10 09:17:00</t>
        </is>
      </c>
      <c r="C5518" t="inlineStr">
        <is>
          <t>Webinar</t>
        </is>
      </c>
      <c r="D5518" t="inlineStr">
        <is>
          <t>K-12 Math</t>
        </is>
      </c>
      <c r="E5518" t="inlineStr">
        <is>
          <t>North Region</t>
        </is>
      </c>
      <c r="F5518" t="inlineStr">
        <is>
          <t>Rep_06</t>
        </is>
      </c>
      <c r="G5518" t="n">
        <v>4.12</v>
      </c>
      <c r="H5518" t="inlineStr">
        <is>
          <t>Contacted</t>
        </is>
      </c>
      <c r="I5518" t="inlineStr">
        <is>
          <t>Open</t>
        </is>
      </c>
      <c r="M5518">
        <f>VLOOKUP(H5518,'Stage Order'!$A$2:$B$8,2,FALSE)</f>
        <v/>
      </c>
      <c r="N5518">
        <f>IF(G5518&lt;=1,"1. Under 1 hour",IF(G5518&lt;=24,"2. 1-24 hours",IF(G5518&lt;=72,"3. 1-3 days","4. Over 3 days")))</f>
        <v/>
      </c>
      <c r="O5518">
        <f>TEXT(B5518,"YYYY-MM")</f>
        <v/>
      </c>
    </row>
    <row r="5519">
      <c r="A5519" t="inlineStr">
        <is>
          <t>LD-305517</t>
        </is>
      </c>
      <c r="B5519" t="inlineStr">
        <is>
          <t>2025-06-09 16:42:00</t>
        </is>
      </c>
      <c r="C5519" t="inlineStr">
        <is>
          <t>Organic Search</t>
        </is>
      </c>
      <c r="D5519" t="inlineStr">
        <is>
          <t>Language Learning</t>
        </is>
      </c>
      <c r="E5519" t="inlineStr">
        <is>
          <t>South Region</t>
        </is>
      </c>
      <c r="F5519" t="inlineStr">
        <is>
          <t>Rep_12</t>
        </is>
      </c>
      <c r="G5519" t="n">
        <v>11.9</v>
      </c>
      <c r="H5519" t="inlineStr">
        <is>
          <t>Lead</t>
        </is>
      </c>
      <c r="I5519" t="inlineStr">
        <is>
          <t>Open</t>
        </is>
      </c>
      <c r="M5519">
        <f>VLOOKUP(H5519,'Stage Order'!$A$2:$B$8,2,FALSE)</f>
        <v/>
      </c>
      <c r="N5519">
        <f>IF(G5519&lt;=1,"1. Under 1 hour",IF(G5519&lt;=24,"2. 1-24 hours",IF(G5519&lt;=72,"3. 1-3 days","4. Over 3 days")))</f>
        <v/>
      </c>
      <c r="O5519">
        <f>TEXT(B5519,"YYYY-MM")</f>
        <v/>
      </c>
    </row>
    <row r="5520">
      <c r="A5520" t="inlineStr">
        <is>
          <t>LD-305518</t>
        </is>
      </c>
      <c r="B5520" t="inlineStr">
        <is>
          <t>2026-03-24 15:02:00</t>
        </is>
      </c>
      <c r="C5520" t="inlineStr">
        <is>
          <t>Paid Search</t>
        </is>
      </c>
      <c r="D5520" t="inlineStr">
        <is>
          <t>K-12 Math</t>
        </is>
      </c>
      <c r="E5520" t="inlineStr">
        <is>
          <t>International</t>
        </is>
      </c>
      <c r="F5520" t="inlineStr">
        <is>
          <t>Rep_05</t>
        </is>
      </c>
      <c r="G5520" t="n">
        <v>13.96</v>
      </c>
      <c r="H5520" t="inlineStr">
        <is>
          <t>Lead</t>
        </is>
      </c>
      <c r="I5520" t="inlineStr">
        <is>
          <t>Open</t>
        </is>
      </c>
      <c r="M5520">
        <f>VLOOKUP(H5520,'Stage Order'!$A$2:$B$8,2,FALSE)</f>
        <v/>
      </c>
      <c r="N5520">
        <f>IF(G5520&lt;=1,"1. Under 1 hour",IF(G5520&lt;=24,"2. 1-24 hours",IF(G5520&lt;=72,"3. 1-3 days","4. Over 3 days")))</f>
        <v/>
      </c>
      <c r="O5520">
        <f>TEXT(B5520,"YYYY-MM")</f>
        <v/>
      </c>
    </row>
    <row r="5521">
      <c r="A5521" t="inlineStr">
        <is>
          <t>LD-305519</t>
        </is>
      </c>
      <c r="B5521" t="inlineStr">
        <is>
          <t>2025-06-05 11:03:00</t>
        </is>
      </c>
      <c r="C5521" t="inlineStr">
        <is>
          <t>Paid Search</t>
        </is>
      </c>
      <c r="D5521" t="inlineStr">
        <is>
          <t>Coding for Kids</t>
        </is>
      </c>
      <c r="E5521" t="inlineStr">
        <is>
          <t>South Region</t>
        </is>
      </c>
      <c r="F5521" t="inlineStr">
        <is>
          <t>Rep_02</t>
        </is>
      </c>
      <c r="G5521" t="n">
        <v>10.58</v>
      </c>
      <c r="H5521" t="inlineStr">
        <is>
          <t>Lead</t>
        </is>
      </c>
      <c r="I5521" t="inlineStr">
        <is>
          <t>Open</t>
        </is>
      </c>
      <c r="M5521">
        <f>VLOOKUP(H5521,'Stage Order'!$A$2:$B$8,2,FALSE)</f>
        <v/>
      </c>
      <c r="N5521">
        <f>IF(G5521&lt;=1,"1. Under 1 hour",IF(G5521&lt;=24,"2. 1-24 hours",IF(G5521&lt;=72,"3. 1-3 days","4. Over 3 days")))</f>
        <v/>
      </c>
      <c r="O5521">
        <f>TEXT(B5521,"YYYY-MM")</f>
        <v/>
      </c>
    </row>
    <row r="5522">
      <c r="A5522" t="inlineStr">
        <is>
          <t>LD-305520</t>
        </is>
      </c>
      <c r="B5522" t="inlineStr">
        <is>
          <t>2026-04-17 15:24:00</t>
        </is>
      </c>
      <c r="C5522" t="inlineStr">
        <is>
          <t>Webinar</t>
        </is>
      </c>
      <c r="D5522" t="inlineStr">
        <is>
          <t>Language Learning</t>
        </is>
      </c>
      <c r="E5522" t="inlineStr">
        <is>
          <t>East Region</t>
        </is>
      </c>
      <c r="F5522" t="inlineStr">
        <is>
          <t>Rep_14</t>
        </is>
      </c>
      <c r="G5522" t="n">
        <v>9.029999999999999</v>
      </c>
      <c r="H5522" t="inlineStr">
        <is>
          <t>Contacted</t>
        </is>
      </c>
      <c r="I5522" t="inlineStr">
        <is>
          <t>Open</t>
        </is>
      </c>
      <c r="M5522">
        <f>VLOOKUP(H5522,'Stage Order'!$A$2:$B$8,2,FALSE)</f>
        <v/>
      </c>
      <c r="N5522">
        <f>IF(G5522&lt;=1,"1. Under 1 hour",IF(G5522&lt;=24,"2. 1-24 hours",IF(G5522&lt;=72,"3. 1-3 days","4. Over 3 days")))</f>
        <v/>
      </c>
      <c r="O5522">
        <f>TEXT(B5522,"YYYY-MM")</f>
        <v/>
      </c>
    </row>
    <row r="5523">
      <c r="A5523" t="inlineStr">
        <is>
          <t>LD-305521</t>
        </is>
      </c>
      <c r="B5523" t="inlineStr">
        <is>
          <t>2025-01-03 14:23:00</t>
        </is>
      </c>
      <c r="C5523" t="inlineStr">
        <is>
          <t>Organic Search</t>
        </is>
      </c>
      <c r="D5523" t="inlineStr">
        <is>
          <t>Language Learning</t>
        </is>
      </c>
      <c r="E5523" t="inlineStr">
        <is>
          <t>North Region</t>
        </is>
      </c>
      <c r="F5523" t="inlineStr">
        <is>
          <t>Rep_11</t>
        </is>
      </c>
      <c r="G5523" t="n">
        <v>0.82</v>
      </c>
      <c r="H5523" t="inlineStr">
        <is>
          <t>Closed</t>
        </is>
      </c>
      <c r="I5523" t="inlineStr">
        <is>
          <t>Won</t>
        </is>
      </c>
      <c r="K5523" t="n">
        <v>357.41</v>
      </c>
      <c r="L5523" t="inlineStr">
        <is>
          <t>2025-02-08 08:01:46.888318</t>
        </is>
      </c>
      <c r="M5523">
        <f>VLOOKUP(H5523,'Stage Order'!$A$2:$B$8,2,FALSE)</f>
        <v/>
      </c>
      <c r="N5523">
        <f>IF(G5523&lt;=1,"1. Under 1 hour",IF(G5523&lt;=24,"2. 1-24 hours",IF(G5523&lt;=72,"3. 1-3 days","4. Over 3 days")))</f>
        <v/>
      </c>
      <c r="O5523">
        <f>TEXT(B5523,"YYYY-MM")</f>
        <v/>
      </c>
    </row>
    <row r="5524">
      <c r="A5524" t="inlineStr">
        <is>
          <t>LD-305522</t>
        </is>
      </c>
      <c r="B5524" t="inlineStr">
        <is>
          <t>2026-02-20 16:45:00</t>
        </is>
      </c>
      <c r="C5524" t="inlineStr">
        <is>
          <t>Cold Outreach</t>
        </is>
      </c>
      <c r="D5524" t="inlineStr">
        <is>
          <t>Language Learning</t>
        </is>
      </c>
      <c r="E5524" t="inlineStr">
        <is>
          <t>North Region</t>
        </is>
      </c>
      <c r="F5524" t="inlineStr">
        <is>
          <t>Rep_01</t>
        </is>
      </c>
      <c r="G5524" t="n">
        <v>3.02</v>
      </c>
      <c r="H5524" t="inlineStr">
        <is>
          <t>Lead</t>
        </is>
      </c>
      <c r="I5524" t="inlineStr">
        <is>
          <t>Open</t>
        </is>
      </c>
      <c r="M5524">
        <f>VLOOKUP(H5524,'Stage Order'!$A$2:$B$8,2,FALSE)</f>
        <v/>
      </c>
      <c r="N5524">
        <f>IF(G5524&lt;=1,"1. Under 1 hour",IF(G5524&lt;=24,"2. 1-24 hours",IF(G5524&lt;=72,"3. 1-3 days","4. Over 3 days")))</f>
        <v/>
      </c>
      <c r="O5524">
        <f>TEXT(B5524,"YYYY-MM")</f>
        <v/>
      </c>
    </row>
    <row r="5525">
      <c r="A5525" t="inlineStr">
        <is>
          <t>LD-305523</t>
        </is>
      </c>
      <c r="B5525" t="inlineStr">
        <is>
          <t>2025-04-09 07:50:00</t>
        </is>
      </c>
      <c r="C5525" t="inlineStr">
        <is>
          <t>Referral</t>
        </is>
      </c>
      <c r="D5525" t="inlineStr">
        <is>
          <t>K-12 Math</t>
        </is>
      </c>
      <c r="E5525" t="inlineStr">
        <is>
          <t>North Region</t>
        </is>
      </c>
      <c r="F5525" t="inlineStr">
        <is>
          <t>Rep_01</t>
        </is>
      </c>
      <c r="G5525" t="n">
        <v>4.13</v>
      </c>
      <c r="H5525" t="inlineStr">
        <is>
          <t>Contacted</t>
        </is>
      </c>
      <c r="I5525" t="inlineStr">
        <is>
          <t>Open</t>
        </is>
      </c>
      <c r="M5525">
        <f>VLOOKUP(H5525,'Stage Order'!$A$2:$B$8,2,FALSE)</f>
        <v/>
      </c>
      <c r="N5525">
        <f>IF(G5525&lt;=1,"1. Under 1 hour",IF(G5525&lt;=24,"2. 1-24 hours",IF(G5525&lt;=72,"3. 1-3 days","4. Over 3 days")))</f>
        <v/>
      </c>
      <c r="O5525">
        <f>TEXT(B5525,"YYYY-MM")</f>
        <v/>
      </c>
    </row>
    <row r="5526">
      <c r="A5526" t="inlineStr">
        <is>
          <t>LD-305524</t>
        </is>
      </c>
      <c r="B5526" t="inlineStr">
        <is>
          <t>2025-11-07 07:37:00</t>
        </is>
      </c>
      <c r="C5526" t="inlineStr">
        <is>
          <t>Referral</t>
        </is>
      </c>
      <c r="D5526" t="inlineStr">
        <is>
          <t>K-12 Math</t>
        </is>
      </c>
      <c r="E5526" t="inlineStr">
        <is>
          <t>South Region</t>
        </is>
      </c>
      <c r="F5526" t="inlineStr">
        <is>
          <t>Rep_12</t>
        </is>
      </c>
      <c r="G5526" t="n">
        <v>5.47</v>
      </c>
      <c r="H5526" t="inlineStr">
        <is>
          <t>Closed</t>
        </is>
      </c>
      <c r="I5526" t="inlineStr">
        <is>
          <t>Won</t>
        </is>
      </c>
      <c r="K5526" t="n">
        <v>554.62</v>
      </c>
      <c r="L5526" t="inlineStr">
        <is>
          <t>2025-12-20 12:47:20.756402</t>
        </is>
      </c>
      <c r="M5526">
        <f>VLOOKUP(H5526,'Stage Order'!$A$2:$B$8,2,FALSE)</f>
        <v/>
      </c>
      <c r="N5526">
        <f>IF(G5526&lt;=1,"1. Under 1 hour",IF(G5526&lt;=24,"2. 1-24 hours",IF(G5526&lt;=72,"3. 1-3 days","4. Over 3 days")))</f>
        <v/>
      </c>
      <c r="O5526">
        <f>TEXT(B5526,"YYYY-MM")</f>
        <v/>
      </c>
    </row>
    <row r="5527">
      <c r="A5527" t="inlineStr">
        <is>
          <t>LD-305525</t>
        </is>
      </c>
      <c r="B5527" t="inlineStr">
        <is>
          <t>2025-10-02 15:57:00</t>
        </is>
      </c>
      <c r="C5527" t="inlineStr">
        <is>
          <t>Organic Search</t>
        </is>
      </c>
      <c r="D5527" t="inlineStr">
        <is>
          <t>Competitive Exam Prep</t>
        </is>
      </c>
      <c r="E5527" t="inlineStr">
        <is>
          <t>East Region</t>
        </is>
      </c>
      <c r="F5527" t="inlineStr">
        <is>
          <t>Rep_04</t>
        </is>
      </c>
      <c r="G5527" t="n">
        <v>29.69</v>
      </c>
      <c r="H5527" t="inlineStr">
        <is>
          <t>Demo Completed</t>
        </is>
      </c>
      <c r="I5527" t="inlineStr">
        <is>
          <t>Lost</t>
        </is>
      </c>
      <c r="J5527" t="inlineStr">
        <is>
          <t>No Response / Ghosted</t>
        </is>
      </c>
      <c r="K5527" t="n">
        <v>1055.05</v>
      </c>
      <c r="L5527" t="inlineStr">
        <is>
          <t>2025-10-31 17:16:17.074265</t>
        </is>
      </c>
      <c r="M5527">
        <f>VLOOKUP(H5527,'Stage Order'!$A$2:$B$8,2,FALSE)</f>
        <v/>
      </c>
      <c r="N5527">
        <f>IF(G5527&lt;=1,"1. Under 1 hour",IF(G5527&lt;=24,"2. 1-24 hours",IF(G5527&lt;=72,"3. 1-3 days","4. Over 3 days")))</f>
        <v/>
      </c>
      <c r="O5527">
        <f>TEXT(B5527,"YYYY-MM")</f>
        <v/>
      </c>
    </row>
    <row r="5528">
      <c r="A5528" t="inlineStr">
        <is>
          <t>LD-305526</t>
        </is>
      </c>
      <c r="B5528" t="inlineStr">
        <is>
          <t>2026-04-30 15:19:00</t>
        </is>
      </c>
      <c r="C5528" t="inlineStr">
        <is>
          <t>Paid Search</t>
        </is>
      </c>
      <c r="D5528" t="inlineStr">
        <is>
          <t>Competitive Exam Prep</t>
        </is>
      </c>
      <c r="E5528" t="inlineStr">
        <is>
          <t>South Region</t>
        </is>
      </c>
      <c r="F5528" t="inlineStr">
        <is>
          <t>Rep_02</t>
        </is>
      </c>
      <c r="G5528" t="n">
        <v>1.86</v>
      </c>
      <c r="H5528" t="inlineStr">
        <is>
          <t>Lead</t>
        </is>
      </c>
      <c r="I5528" t="inlineStr">
        <is>
          <t>Open</t>
        </is>
      </c>
      <c r="M5528">
        <f>VLOOKUP(H5528,'Stage Order'!$A$2:$B$8,2,FALSE)</f>
        <v/>
      </c>
      <c r="N5528">
        <f>IF(G5528&lt;=1,"1. Under 1 hour",IF(G5528&lt;=24,"2. 1-24 hours",IF(G5528&lt;=72,"3. 1-3 days","4. Over 3 days")))</f>
        <v/>
      </c>
      <c r="O5528">
        <f>TEXT(B5528,"YYYY-MM")</f>
        <v/>
      </c>
    </row>
    <row r="5529">
      <c r="A5529" t="inlineStr">
        <is>
          <t>LD-305527</t>
        </is>
      </c>
      <c r="B5529" t="inlineStr">
        <is>
          <t>2025-10-27 19:39:00</t>
        </is>
      </c>
      <c r="C5529" t="inlineStr">
        <is>
          <t>Referral</t>
        </is>
      </c>
      <c r="D5529" t="inlineStr">
        <is>
          <t>Coding for Kids</t>
        </is>
      </c>
      <c r="E5529" t="inlineStr">
        <is>
          <t>North Region</t>
        </is>
      </c>
      <c r="F5529" t="inlineStr">
        <is>
          <t>Rep_06</t>
        </is>
      </c>
      <c r="G5529" t="n">
        <v>3.06</v>
      </c>
      <c r="H5529" t="inlineStr">
        <is>
          <t>Closed</t>
        </is>
      </c>
      <c r="I5529" t="inlineStr">
        <is>
          <t>Won</t>
        </is>
      </c>
      <c r="K5529" t="n">
        <v>604.64</v>
      </c>
      <c r="L5529" t="inlineStr">
        <is>
          <t>2025-12-05 12:15:20.832364</t>
        </is>
      </c>
      <c r="M5529">
        <f>VLOOKUP(H5529,'Stage Order'!$A$2:$B$8,2,FALSE)</f>
        <v/>
      </c>
      <c r="N5529">
        <f>IF(G5529&lt;=1,"1. Under 1 hour",IF(G5529&lt;=24,"2. 1-24 hours",IF(G5529&lt;=72,"3. 1-3 days","4. Over 3 days")))</f>
        <v/>
      </c>
      <c r="O5529">
        <f>TEXT(B5529,"YYYY-MM")</f>
        <v/>
      </c>
    </row>
    <row r="5530">
      <c r="A5530" t="inlineStr">
        <is>
          <t>LD-305528</t>
        </is>
      </c>
      <c r="B5530" t="inlineStr">
        <is>
          <t>2025-11-14 19:48:00</t>
        </is>
      </c>
      <c r="C5530" t="inlineStr">
        <is>
          <t>Cold Outreach</t>
        </is>
      </c>
      <c r="D5530" t="inlineStr">
        <is>
          <t>Study Abroad Prep</t>
        </is>
      </c>
      <c r="E5530" t="inlineStr">
        <is>
          <t>International</t>
        </is>
      </c>
      <c r="F5530" t="inlineStr">
        <is>
          <t>Rep_05</t>
        </is>
      </c>
      <c r="G5530" t="n">
        <v>11.11</v>
      </c>
      <c r="H5530" t="inlineStr">
        <is>
          <t>Lead</t>
        </is>
      </c>
      <c r="I5530" t="inlineStr">
        <is>
          <t>Open</t>
        </is>
      </c>
      <c r="M5530">
        <f>VLOOKUP(H5530,'Stage Order'!$A$2:$B$8,2,FALSE)</f>
        <v/>
      </c>
      <c r="N5530">
        <f>IF(G5530&lt;=1,"1. Under 1 hour",IF(G5530&lt;=24,"2. 1-24 hours",IF(G5530&lt;=72,"3. 1-3 days","4. Over 3 days")))</f>
        <v/>
      </c>
      <c r="O5530">
        <f>TEXT(B5530,"YYYY-MM")</f>
        <v/>
      </c>
    </row>
    <row r="5531">
      <c r="A5531" t="inlineStr">
        <is>
          <t>LD-305529</t>
        </is>
      </c>
      <c r="B5531" t="inlineStr">
        <is>
          <t>2025-01-16 10:41:00</t>
        </is>
      </c>
      <c r="C5531" t="inlineStr">
        <is>
          <t>Organic Search</t>
        </is>
      </c>
      <c r="D5531" t="inlineStr">
        <is>
          <t>Study Abroad Prep</t>
        </is>
      </c>
      <c r="E5531" t="inlineStr">
        <is>
          <t>North Region</t>
        </is>
      </c>
      <c r="F5531" t="inlineStr">
        <is>
          <t>Rep_06</t>
        </is>
      </c>
      <c r="G5531" t="n">
        <v>5.14</v>
      </c>
      <c r="H5531" t="inlineStr">
        <is>
          <t>Closed</t>
        </is>
      </c>
      <c r="I5531" t="inlineStr">
        <is>
          <t>Won</t>
        </is>
      </c>
      <c r="K5531" t="n">
        <v>1426.72</v>
      </c>
      <c r="L5531" t="inlineStr">
        <is>
          <t>2025-02-17 23:25:46.219423</t>
        </is>
      </c>
      <c r="M5531">
        <f>VLOOKUP(H5531,'Stage Order'!$A$2:$B$8,2,FALSE)</f>
        <v/>
      </c>
      <c r="N5531">
        <f>IF(G5531&lt;=1,"1. Under 1 hour",IF(G5531&lt;=24,"2. 1-24 hours",IF(G5531&lt;=72,"3. 1-3 days","4. Over 3 days")))</f>
        <v/>
      </c>
      <c r="O5531">
        <f>TEXT(B5531,"YYYY-MM")</f>
        <v/>
      </c>
    </row>
    <row r="5532">
      <c r="A5532" t="inlineStr">
        <is>
          <t>LD-305530</t>
        </is>
      </c>
      <c r="B5532" t="inlineStr">
        <is>
          <t>2025-09-22 19:28:00</t>
        </is>
      </c>
      <c r="C5532" t="inlineStr">
        <is>
          <t>Paid Search</t>
        </is>
      </c>
      <c r="D5532" t="inlineStr">
        <is>
          <t>Competitive Exam Prep</t>
        </is>
      </c>
      <c r="E5532" t="inlineStr">
        <is>
          <t>South Region</t>
        </is>
      </c>
      <c r="F5532" t="inlineStr">
        <is>
          <t>Rep_12</t>
        </is>
      </c>
      <c r="G5532" t="n">
        <v>1.69</v>
      </c>
      <c r="H5532" t="inlineStr">
        <is>
          <t>Lead</t>
        </is>
      </c>
      <c r="I5532" t="inlineStr">
        <is>
          <t>Open</t>
        </is>
      </c>
      <c r="M5532">
        <f>VLOOKUP(H5532,'Stage Order'!$A$2:$B$8,2,FALSE)</f>
        <v/>
      </c>
      <c r="N5532">
        <f>IF(G5532&lt;=1,"1. Under 1 hour",IF(G5532&lt;=24,"2. 1-24 hours",IF(G5532&lt;=72,"3. 1-3 days","4. Over 3 days")))</f>
        <v/>
      </c>
      <c r="O5532">
        <f>TEXT(B5532,"YYYY-MM")</f>
        <v/>
      </c>
    </row>
    <row r="5533">
      <c r="A5533" t="inlineStr">
        <is>
          <t>LD-305531</t>
        </is>
      </c>
      <c r="B5533" t="inlineStr">
        <is>
          <t>2026-05-11 20:09:00</t>
        </is>
      </c>
      <c r="C5533" t="inlineStr">
        <is>
          <t>Social Media</t>
        </is>
      </c>
      <c r="D5533" t="inlineStr">
        <is>
          <t>K-12 Math</t>
        </is>
      </c>
      <c r="E5533" t="inlineStr">
        <is>
          <t>North Region</t>
        </is>
      </c>
      <c r="F5533" t="inlineStr">
        <is>
          <t>Rep_01</t>
        </is>
      </c>
      <c r="G5533" t="n">
        <v>2.52</v>
      </c>
      <c r="H5533" t="inlineStr">
        <is>
          <t>Lead</t>
        </is>
      </c>
      <c r="I5533" t="inlineStr">
        <is>
          <t>Open</t>
        </is>
      </c>
      <c r="M5533">
        <f>VLOOKUP(H5533,'Stage Order'!$A$2:$B$8,2,FALSE)</f>
        <v/>
      </c>
      <c r="N5533">
        <f>IF(G5533&lt;=1,"1. Under 1 hour",IF(G5533&lt;=24,"2. 1-24 hours",IF(G5533&lt;=72,"3. 1-3 days","4. Over 3 days")))</f>
        <v/>
      </c>
      <c r="O5533">
        <f>TEXT(B5533,"YYYY-MM")</f>
        <v/>
      </c>
    </row>
    <row r="5534">
      <c r="A5534" t="inlineStr">
        <is>
          <t>LD-305532</t>
        </is>
      </c>
      <c r="B5534" t="inlineStr">
        <is>
          <t>2026-04-01 07:05:00</t>
        </is>
      </c>
      <c r="C5534" t="inlineStr">
        <is>
          <t>Organic Search</t>
        </is>
      </c>
      <c r="D5534" t="inlineStr">
        <is>
          <t>Study Abroad Prep</t>
        </is>
      </c>
      <c r="E5534" t="inlineStr">
        <is>
          <t>South Region</t>
        </is>
      </c>
      <c r="F5534" t="inlineStr">
        <is>
          <t>Rep_02</t>
        </is>
      </c>
      <c r="G5534" t="n">
        <v>4.25</v>
      </c>
      <c r="H5534" t="inlineStr">
        <is>
          <t>Negotiation</t>
        </is>
      </c>
      <c r="I5534" t="inlineStr">
        <is>
          <t>Lost</t>
        </is>
      </c>
      <c r="J5534" t="inlineStr">
        <is>
          <t>Budget Not Approved</t>
        </is>
      </c>
      <c r="K5534" t="n">
        <v>1376.18</v>
      </c>
      <c r="L5534" t="inlineStr">
        <is>
          <t>2026-05-06 18:58:25.969799</t>
        </is>
      </c>
      <c r="M5534">
        <f>VLOOKUP(H5534,'Stage Order'!$A$2:$B$8,2,FALSE)</f>
        <v/>
      </c>
      <c r="N5534">
        <f>IF(G5534&lt;=1,"1. Under 1 hour",IF(G5534&lt;=24,"2. 1-24 hours",IF(G5534&lt;=72,"3. 1-3 days","4. Over 3 days")))</f>
        <v/>
      </c>
      <c r="O5534">
        <f>TEXT(B5534,"YYYY-MM")</f>
        <v/>
      </c>
    </row>
    <row r="5535">
      <c r="A5535" t="inlineStr">
        <is>
          <t>LD-305533</t>
        </is>
      </c>
      <c r="B5535" t="inlineStr">
        <is>
          <t>2025-11-19 20:04:00</t>
        </is>
      </c>
      <c r="C5535" t="inlineStr">
        <is>
          <t>Referral</t>
        </is>
      </c>
      <c r="D5535" t="inlineStr">
        <is>
          <t>Coding for Kids</t>
        </is>
      </c>
      <c r="E5535" t="inlineStr">
        <is>
          <t>North Region</t>
        </is>
      </c>
      <c r="F5535" t="inlineStr">
        <is>
          <t>Rep_01</t>
        </is>
      </c>
      <c r="G5535" t="n">
        <v>2.26</v>
      </c>
      <c r="H5535" t="inlineStr">
        <is>
          <t>Closed</t>
        </is>
      </c>
      <c r="I5535" t="inlineStr">
        <is>
          <t>Won</t>
        </is>
      </c>
      <c r="K5535" t="n">
        <v>676.22</v>
      </c>
      <c r="L5535" t="inlineStr">
        <is>
          <t>2025-12-29 08:39:08.516426</t>
        </is>
      </c>
      <c r="M5535">
        <f>VLOOKUP(H5535,'Stage Order'!$A$2:$B$8,2,FALSE)</f>
        <v/>
      </c>
      <c r="N5535">
        <f>IF(G5535&lt;=1,"1. Under 1 hour",IF(G5535&lt;=24,"2. 1-24 hours",IF(G5535&lt;=72,"3. 1-3 days","4. Over 3 days")))</f>
        <v/>
      </c>
      <c r="O5535">
        <f>TEXT(B5535,"YYYY-MM")</f>
        <v/>
      </c>
    </row>
    <row r="5536">
      <c r="A5536" t="inlineStr">
        <is>
          <t>LD-305534</t>
        </is>
      </c>
      <c r="B5536" t="inlineStr">
        <is>
          <t>2025-09-19 08:46:00</t>
        </is>
      </c>
      <c r="C5536" t="inlineStr">
        <is>
          <t>Organic Search</t>
        </is>
      </c>
      <c r="D5536" t="inlineStr">
        <is>
          <t>Coding for Kids</t>
        </is>
      </c>
      <c r="E5536" t="inlineStr">
        <is>
          <t>South Region</t>
        </is>
      </c>
      <c r="F5536" t="inlineStr">
        <is>
          <t>Rep_07</t>
        </is>
      </c>
      <c r="G5536" t="n">
        <v>6.58</v>
      </c>
      <c r="H5536" t="inlineStr">
        <is>
          <t>Contacted</t>
        </is>
      </c>
      <c r="I5536" t="inlineStr">
        <is>
          <t>Open</t>
        </is>
      </c>
      <c r="M5536">
        <f>VLOOKUP(H5536,'Stage Order'!$A$2:$B$8,2,FALSE)</f>
        <v/>
      </c>
      <c r="N5536">
        <f>IF(G5536&lt;=1,"1. Under 1 hour",IF(G5536&lt;=24,"2. 1-24 hours",IF(G5536&lt;=72,"3. 1-3 days","4. Over 3 days")))</f>
        <v/>
      </c>
      <c r="O5536">
        <f>TEXT(B5536,"YYYY-MM")</f>
        <v/>
      </c>
    </row>
    <row r="5537">
      <c r="A5537" t="inlineStr">
        <is>
          <t>LD-305535</t>
        </is>
      </c>
      <c r="B5537" t="inlineStr">
        <is>
          <t>2025-03-15 10:43:00</t>
        </is>
      </c>
      <c r="C5537" t="inlineStr">
        <is>
          <t>Referral</t>
        </is>
      </c>
      <c r="D5537" t="inlineStr">
        <is>
          <t>Study Abroad Prep</t>
        </is>
      </c>
      <c r="E5537" t="inlineStr">
        <is>
          <t>South Region</t>
        </is>
      </c>
      <c r="F5537" t="inlineStr">
        <is>
          <t>Rep_12</t>
        </is>
      </c>
      <c r="G5537" t="n">
        <v>0.88</v>
      </c>
      <c r="H5537" t="inlineStr">
        <is>
          <t>Contacted</t>
        </is>
      </c>
      <c r="I5537" t="inlineStr">
        <is>
          <t>Open</t>
        </is>
      </c>
      <c r="M5537">
        <f>VLOOKUP(H5537,'Stage Order'!$A$2:$B$8,2,FALSE)</f>
        <v/>
      </c>
      <c r="N5537">
        <f>IF(G5537&lt;=1,"1. Under 1 hour",IF(G5537&lt;=24,"2. 1-24 hours",IF(G5537&lt;=72,"3. 1-3 days","4. Over 3 days")))</f>
        <v/>
      </c>
      <c r="O5537">
        <f>TEXT(B5537,"YYYY-MM")</f>
        <v/>
      </c>
    </row>
    <row r="5538">
      <c r="A5538" t="inlineStr">
        <is>
          <t>LD-305536</t>
        </is>
      </c>
      <c r="B5538" t="inlineStr">
        <is>
          <t>2025-07-04 08:59:00</t>
        </is>
      </c>
      <c r="C5538" t="inlineStr">
        <is>
          <t>Organic Search</t>
        </is>
      </c>
      <c r="D5538" t="inlineStr">
        <is>
          <t>K-12 Math</t>
        </is>
      </c>
      <c r="E5538" t="inlineStr">
        <is>
          <t>South Region</t>
        </is>
      </c>
      <c r="F5538" t="inlineStr">
        <is>
          <t>Rep_02</t>
        </is>
      </c>
      <c r="G5538" t="n">
        <v>5.09</v>
      </c>
      <c r="H5538" t="inlineStr">
        <is>
          <t>Negotiation</t>
        </is>
      </c>
      <c r="I5538" t="inlineStr">
        <is>
          <t>Lost</t>
        </is>
      </c>
      <c r="J5538" t="inlineStr">
        <is>
          <t>Went With Competitor</t>
        </is>
      </c>
      <c r="K5538" t="n">
        <v>522.53</v>
      </c>
      <c r="L5538" t="inlineStr">
        <is>
          <t>2025-08-20 23:11:13.700080</t>
        </is>
      </c>
      <c r="M5538">
        <f>VLOOKUP(H5538,'Stage Order'!$A$2:$B$8,2,FALSE)</f>
        <v/>
      </c>
      <c r="N5538">
        <f>IF(G5538&lt;=1,"1. Under 1 hour",IF(G5538&lt;=24,"2. 1-24 hours",IF(G5538&lt;=72,"3. 1-3 days","4. Over 3 days")))</f>
        <v/>
      </c>
      <c r="O5538">
        <f>TEXT(B5538,"YYYY-MM")</f>
        <v/>
      </c>
    </row>
    <row r="5539">
      <c r="A5539" t="inlineStr">
        <is>
          <t>LD-305537</t>
        </is>
      </c>
      <c r="B5539" t="inlineStr">
        <is>
          <t>2025-12-29 08:18:00</t>
        </is>
      </c>
      <c r="C5539" t="inlineStr">
        <is>
          <t>Referral</t>
        </is>
      </c>
      <c r="D5539" t="inlineStr">
        <is>
          <t>Language Learning</t>
        </is>
      </c>
      <c r="E5539" t="inlineStr">
        <is>
          <t>South Region</t>
        </is>
      </c>
      <c r="F5539" t="inlineStr">
        <is>
          <t>Rep_02</t>
        </is>
      </c>
      <c r="G5539" t="n">
        <v>0.49</v>
      </c>
      <c r="H5539" t="inlineStr">
        <is>
          <t>Contacted</t>
        </is>
      </c>
      <c r="I5539" t="inlineStr">
        <is>
          <t>Open</t>
        </is>
      </c>
      <c r="M5539">
        <f>VLOOKUP(H5539,'Stage Order'!$A$2:$B$8,2,FALSE)</f>
        <v/>
      </c>
      <c r="N5539">
        <f>IF(G5539&lt;=1,"1. Under 1 hour",IF(G5539&lt;=24,"2. 1-24 hours",IF(G5539&lt;=72,"3. 1-3 days","4. Over 3 days")))</f>
        <v/>
      </c>
      <c r="O5539">
        <f>TEXT(B5539,"YYYY-MM")</f>
        <v/>
      </c>
    </row>
    <row r="5540">
      <c r="A5540" t="inlineStr">
        <is>
          <t>LD-305538</t>
        </is>
      </c>
      <c r="B5540" t="inlineStr">
        <is>
          <t>2025-06-04 08:31:00</t>
        </is>
      </c>
      <c r="C5540" t="inlineStr">
        <is>
          <t>Webinar</t>
        </is>
      </c>
      <c r="D5540" t="inlineStr">
        <is>
          <t>K-12 Math</t>
        </is>
      </c>
      <c r="E5540" t="inlineStr">
        <is>
          <t>North Region</t>
        </is>
      </c>
      <c r="F5540" t="inlineStr">
        <is>
          <t>Rep_06</t>
        </is>
      </c>
      <c r="G5540" t="n">
        <v>1.23</v>
      </c>
      <c r="H5540" t="inlineStr">
        <is>
          <t>Closed</t>
        </is>
      </c>
      <c r="I5540" t="inlineStr">
        <is>
          <t>Won</t>
        </is>
      </c>
      <c r="K5540" t="n">
        <v>492.26</v>
      </c>
      <c r="L5540" t="inlineStr">
        <is>
          <t>2025-07-09 16:13:41.100946</t>
        </is>
      </c>
      <c r="M5540">
        <f>VLOOKUP(H5540,'Stage Order'!$A$2:$B$8,2,FALSE)</f>
        <v/>
      </c>
      <c r="N5540">
        <f>IF(G5540&lt;=1,"1. Under 1 hour",IF(G5540&lt;=24,"2. 1-24 hours",IF(G5540&lt;=72,"3. 1-3 days","4. Over 3 days")))</f>
        <v/>
      </c>
      <c r="O5540">
        <f>TEXT(B5540,"YYYY-MM")</f>
        <v/>
      </c>
    </row>
    <row r="5541">
      <c r="A5541" t="inlineStr">
        <is>
          <t>LD-305539</t>
        </is>
      </c>
      <c r="B5541" t="inlineStr">
        <is>
          <t>2026-03-10 11:24:00</t>
        </is>
      </c>
      <c r="C5541" t="inlineStr">
        <is>
          <t>Cold Outreach</t>
        </is>
      </c>
      <c r="D5541" t="inlineStr">
        <is>
          <t>Competitive Exam Prep</t>
        </is>
      </c>
      <c r="E5541" t="inlineStr">
        <is>
          <t>East Region</t>
        </is>
      </c>
      <c r="F5541" t="inlineStr">
        <is>
          <t>Rep_14</t>
        </is>
      </c>
      <c r="G5541" t="n">
        <v>0.9</v>
      </c>
      <c r="H5541" t="inlineStr">
        <is>
          <t>Lead</t>
        </is>
      </c>
      <c r="I5541" t="inlineStr">
        <is>
          <t>Open</t>
        </is>
      </c>
      <c r="M5541">
        <f>VLOOKUP(H5541,'Stage Order'!$A$2:$B$8,2,FALSE)</f>
        <v/>
      </c>
      <c r="N5541">
        <f>IF(G5541&lt;=1,"1. Under 1 hour",IF(G5541&lt;=24,"2. 1-24 hours",IF(G5541&lt;=72,"3. 1-3 days","4. Over 3 days")))</f>
        <v/>
      </c>
      <c r="O5541">
        <f>TEXT(B5541,"YYYY-MM")</f>
        <v/>
      </c>
    </row>
    <row r="5542">
      <c r="A5542" t="inlineStr">
        <is>
          <t>LD-305540</t>
        </is>
      </c>
      <c r="B5542" t="inlineStr">
        <is>
          <t>2026-01-01 08:18:00</t>
        </is>
      </c>
      <c r="C5542" t="inlineStr">
        <is>
          <t>Referral</t>
        </is>
      </c>
      <c r="D5542" t="inlineStr">
        <is>
          <t>Language Learning</t>
        </is>
      </c>
      <c r="E5542" t="inlineStr">
        <is>
          <t>South Region</t>
        </is>
      </c>
      <c r="F5542" t="inlineStr">
        <is>
          <t>Rep_02</t>
        </is>
      </c>
      <c r="G5542" t="n">
        <v>4.38</v>
      </c>
      <c r="H5542" t="inlineStr">
        <is>
          <t>Negotiation</t>
        </is>
      </c>
      <c r="I5542" t="inlineStr">
        <is>
          <t>Lost</t>
        </is>
      </c>
      <c r="J5542" t="inlineStr">
        <is>
          <t>No Response / Ghosted</t>
        </is>
      </c>
      <c r="K5542" t="n">
        <v>362.7</v>
      </c>
      <c r="L5542" t="inlineStr">
        <is>
          <t>2026-01-27 07:28:07.954317</t>
        </is>
      </c>
      <c r="M5542">
        <f>VLOOKUP(H5542,'Stage Order'!$A$2:$B$8,2,FALSE)</f>
        <v/>
      </c>
      <c r="N5542">
        <f>IF(G5542&lt;=1,"1. Under 1 hour",IF(G5542&lt;=24,"2. 1-24 hours",IF(G5542&lt;=72,"3. 1-3 days","4. Over 3 days")))</f>
        <v/>
      </c>
      <c r="O5542">
        <f>TEXT(B5542,"YYYY-MM")</f>
        <v/>
      </c>
    </row>
    <row r="5543">
      <c r="A5543" t="inlineStr">
        <is>
          <t>LD-305541</t>
        </is>
      </c>
      <c r="B5543" t="inlineStr">
        <is>
          <t>2025-02-14 17:12:00</t>
        </is>
      </c>
      <c r="C5543" t="inlineStr">
        <is>
          <t>Organic Search</t>
        </is>
      </c>
      <c r="D5543" t="inlineStr">
        <is>
          <t>Coding for Kids</t>
        </is>
      </c>
      <c r="E5543" t="inlineStr">
        <is>
          <t>East Region</t>
        </is>
      </c>
      <c r="F5543" t="inlineStr">
        <is>
          <t>Rep_14</t>
        </is>
      </c>
      <c r="G5543" t="n">
        <v>1</v>
      </c>
      <c r="H5543" t="inlineStr">
        <is>
          <t>Demo Completed</t>
        </is>
      </c>
      <c r="I5543" t="inlineStr">
        <is>
          <t>Lost</t>
        </is>
      </c>
      <c r="J5543" t="inlineStr">
        <is>
          <t>Went With Competitor</t>
        </is>
      </c>
      <c r="K5543" t="n">
        <v>756.22</v>
      </c>
      <c r="L5543" t="inlineStr">
        <is>
          <t>2025-03-17 08:39:33.780054</t>
        </is>
      </c>
      <c r="M5543">
        <f>VLOOKUP(H5543,'Stage Order'!$A$2:$B$8,2,FALSE)</f>
        <v/>
      </c>
      <c r="N5543">
        <f>IF(G5543&lt;=1,"1. Under 1 hour",IF(G5543&lt;=24,"2. 1-24 hours",IF(G5543&lt;=72,"3. 1-3 days","4. Over 3 days")))</f>
        <v/>
      </c>
      <c r="O5543">
        <f>TEXT(B5543,"YYYY-MM")</f>
        <v/>
      </c>
    </row>
    <row r="5544">
      <c r="A5544" t="inlineStr">
        <is>
          <t>LD-305542</t>
        </is>
      </c>
      <c r="B5544" t="inlineStr">
        <is>
          <t>2025-04-29 18:38:00</t>
        </is>
      </c>
      <c r="C5544" t="inlineStr">
        <is>
          <t>Referral</t>
        </is>
      </c>
      <c r="D5544" t="inlineStr">
        <is>
          <t>Competitive Exam Prep</t>
        </is>
      </c>
      <c r="E5544" t="inlineStr">
        <is>
          <t>East Region</t>
        </is>
      </c>
      <c r="F5544" t="inlineStr">
        <is>
          <t>Rep_14</t>
        </is>
      </c>
      <c r="G5544" t="n">
        <v>4.14</v>
      </c>
      <c r="H5544" t="inlineStr">
        <is>
          <t>Negotiation</t>
        </is>
      </c>
      <c r="I5544" t="inlineStr">
        <is>
          <t>Lost</t>
        </is>
      </c>
      <c r="J5544" t="inlineStr">
        <is>
          <t>No Response / Ghosted</t>
        </is>
      </c>
      <c r="K5544" t="n">
        <v>907.52</v>
      </c>
      <c r="L5544" t="inlineStr">
        <is>
          <t>2025-06-09 06:23:03.763684</t>
        </is>
      </c>
      <c r="M5544">
        <f>VLOOKUP(H5544,'Stage Order'!$A$2:$B$8,2,FALSE)</f>
        <v/>
      </c>
      <c r="N5544">
        <f>IF(G5544&lt;=1,"1. Under 1 hour",IF(G5544&lt;=24,"2. 1-24 hours",IF(G5544&lt;=72,"3. 1-3 days","4. Over 3 days")))</f>
        <v/>
      </c>
      <c r="O5544">
        <f>TEXT(B5544,"YYYY-MM")</f>
        <v/>
      </c>
    </row>
    <row r="5545">
      <c r="A5545" t="inlineStr">
        <is>
          <t>LD-305543</t>
        </is>
      </c>
      <c r="B5545" t="inlineStr">
        <is>
          <t>2026-01-08 14:16:00</t>
        </is>
      </c>
      <c r="C5545" t="inlineStr">
        <is>
          <t>Webinar</t>
        </is>
      </c>
      <c r="D5545" t="inlineStr">
        <is>
          <t>Competitive Exam Prep</t>
        </is>
      </c>
      <c r="E5545" t="inlineStr">
        <is>
          <t>West Region</t>
        </is>
      </c>
      <c r="F5545" t="inlineStr">
        <is>
          <t>Rep_08</t>
        </is>
      </c>
      <c r="G5545" t="n">
        <v>17.14</v>
      </c>
      <c r="H5545" t="inlineStr">
        <is>
          <t>Contacted</t>
        </is>
      </c>
      <c r="I5545" t="inlineStr">
        <is>
          <t>Open</t>
        </is>
      </c>
      <c r="M5545">
        <f>VLOOKUP(H5545,'Stage Order'!$A$2:$B$8,2,FALSE)</f>
        <v/>
      </c>
      <c r="N5545">
        <f>IF(G5545&lt;=1,"1. Under 1 hour",IF(G5545&lt;=24,"2. 1-24 hours",IF(G5545&lt;=72,"3. 1-3 days","4. Over 3 days")))</f>
        <v/>
      </c>
      <c r="O5545">
        <f>TEXT(B5545,"YYYY-MM")</f>
        <v/>
      </c>
    </row>
    <row r="5546">
      <c r="A5546" t="inlineStr">
        <is>
          <t>LD-305544</t>
        </is>
      </c>
      <c r="B5546" t="inlineStr">
        <is>
          <t>2025-09-09 20:42:00</t>
        </is>
      </c>
      <c r="C5546" t="inlineStr">
        <is>
          <t>Organic Search</t>
        </is>
      </c>
      <c r="D5546" t="inlineStr">
        <is>
          <t>K-12 Math</t>
        </is>
      </c>
      <c r="E5546" t="inlineStr">
        <is>
          <t>International</t>
        </is>
      </c>
      <c r="F5546" t="inlineStr">
        <is>
          <t>Rep_05</t>
        </is>
      </c>
      <c r="G5546" t="n">
        <v>4.45</v>
      </c>
      <c r="H5546" t="inlineStr">
        <is>
          <t>Lead</t>
        </is>
      </c>
      <c r="I5546" t="inlineStr">
        <is>
          <t>Open</t>
        </is>
      </c>
      <c r="M5546">
        <f>VLOOKUP(H5546,'Stage Order'!$A$2:$B$8,2,FALSE)</f>
        <v/>
      </c>
      <c r="N5546">
        <f>IF(G5546&lt;=1,"1. Under 1 hour",IF(G5546&lt;=24,"2. 1-24 hours",IF(G5546&lt;=72,"3. 1-3 days","4. Over 3 days")))</f>
        <v/>
      </c>
      <c r="O5546">
        <f>TEXT(B5546,"YYYY-MM")</f>
        <v/>
      </c>
    </row>
    <row r="5547">
      <c r="A5547" t="inlineStr">
        <is>
          <t>LD-305545</t>
        </is>
      </c>
      <c r="B5547" t="inlineStr">
        <is>
          <t>2025-06-06 08:48:00</t>
        </is>
      </c>
      <c r="C5547" t="inlineStr">
        <is>
          <t>Paid Search</t>
        </is>
      </c>
      <c r="D5547" t="inlineStr">
        <is>
          <t>Language Learning</t>
        </is>
      </c>
      <c r="E5547" t="inlineStr">
        <is>
          <t>South Region</t>
        </is>
      </c>
      <c r="F5547" t="inlineStr">
        <is>
          <t>Rep_07</t>
        </is>
      </c>
      <c r="G5547" t="n">
        <v>0.58</v>
      </c>
      <c r="H5547" t="inlineStr">
        <is>
          <t>Contacted</t>
        </is>
      </c>
      <c r="I5547" t="inlineStr">
        <is>
          <t>Open</t>
        </is>
      </c>
      <c r="M5547">
        <f>VLOOKUP(H5547,'Stage Order'!$A$2:$B$8,2,FALSE)</f>
        <v/>
      </c>
      <c r="N5547">
        <f>IF(G5547&lt;=1,"1. Under 1 hour",IF(G5547&lt;=24,"2. 1-24 hours",IF(G5547&lt;=72,"3. 1-3 days","4. Over 3 days")))</f>
        <v/>
      </c>
      <c r="O5547">
        <f>TEXT(B5547,"YYYY-MM")</f>
        <v/>
      </c>
    </row>
    <row r="5548">
      <c r="A5548" t="inlineStr">
        <is>
          <t>LD-305546</t>
        </is>
      </c>
      <c r="B5548" t="inlineStr">
        <is>
          <t>2026-05-08 19:29:00</t>
        </is>
      </c>
      <c r="C5548" t="inlineStr">
        <is>
          <t>Cold Outreach</t>
        </is>
      </c>
      <c r="D5548" t="inlineStr">
        <is>
          <t>Coding for Kids</t>
        </is>
      </c>
      <c r="E5548" t="inlineStr">
        <is>
          <t>West Region</t>
        </is>
      </c>
      <c r="F5548" t="inlineStr">
        <is>
          <t>Rep_03</t>
        </is>
      </c>
      <c r="G5548" t="n">
        <v>5.18</v>
      </c>
      <c r="H5548" t="inlineStr">
        <is>
          <t>Contacted</t>
        </is>
      </c>
      <c r="I5548" t="inlineStr">
        <is>
          <t>Open</t>
        </is>
      </c>
      <c r="M5548">
        <f>VLOOKUP(H5548,'Stage Order'!$A$2:$B$8,2,FALSE)</f>
        <v/>
      </c>
      <c r="N5548">
        <f>IF(G5548&lt;=1,"1. Under 1 hour",IF(G5548&lt;=24,"2. 1-24 hours",IF(G5548&lt;=72,"3. 1-3 days","4. Over 3 days")))</f>
        <v/>
      </c>
      <c r="O5548">
        <f>TEXT(B5548,"YYYY-MM")</f>
        <v/>
      </c>
    </row>
    <row r="5549">
      <c r="A5549" t="inlineStr">
        <is>
          <t>LD-305547</t>
        </is>
      </c>
      <c r="B5549" t="inlineStr">
        <is>
          <t>2026-03-13 16:14:00</t>
        </is>
      </c>
      <c r="C5549" t="inlineStr">
        <is>
          <t>Cold Outreach</t>
        </is>
      </c>
      <c r="D5549" t="inlineStr">
        <is>
          <t>Coding for Kids</t>
        </is>
      </c>
      <c r="E5549" t="inlineStr">
        <is>
          <t>International</t>
        </is>
      </c>
      <c r="F5549" t="inlineStr">
        <is>
          <t>Rep_05</t>
        </is>
      </c>
      <c r="G5549" t="n">
        <v>3.67</v>
      </c>
      <c r="H5549" t="inlineStr">
        <is>
          <t>Lead</t>
        </is>
      </c>
      <c r="I5549" t="inlineStr">
        <is>
          <t>Open</t>
        </is>
      </c>
      <c r="M5549">
        <f>VLOOKUP(H5549,'Stage Order'!$A$2:$B$8,2,FALSE)</f>
        <v/>
      </c>
      <c r="N5549">
        <f>IF(G5549&lt;=1,"1. Under 1 hour",IF(G5549&lt;=24,"2. 1-24 hours",IF(G5549&lt;=72,"3. 1-3 days","4. Over 3 days")))</f>
        <v/>
      </c>
      <c r="O5549">
        <f>TEXT(B5549,"YYYY-MM")</f>
        <v/>
      </c>
    </row>
    <row r="5550">
      <c r="A5550" t="inlineStr">
        <is>
          <t>LD-305548</t>
        </is>
      </c>
      <c r="B5550" t="inlineStr">
        <is>
          <t>2025-06-26 07:04:00</t>
        </is>
      </c>
      <c r="C5550" t="inlineStr">
        <is>
          <t>Cold Outreach</t>
        </is>
      </c>
      <c r="D5550" t="inlineStr">
        <is>
          <t>Coding for Kids</t>
        </is>
      </c>
      <c r="E5550" t="inlineStr">
        <is>
          <t>International</t>
        </is>
      </c>
      <c r="F5550" t="inlineStr">
        <is>
          <t>Rep_05</t>
        </is>
      </c>
      <c r="G5550" t="n">
        <v>2.13</v>
      </c>
      <c r="H5550" t="inlineStr">
        <is>
          <t>Lead</t>
        </is>
      </c>
      <c r="I5550" t="inlineStr">
        <is>
          <t>Open</t>
        </is>
      </c>
      <c r="M5550">
        <f>VLOOKUP(H5550,'Stage Order'!$A$2:$B$8,2,FALSE)</f>
        <v/>
      </c>
      <c r="N5550">
        <f>IF(G5550&lt;=1,"1. Under 1 hour",IF(G5550&lt;=24,"2. 1-24 hours",IF(G5550&lt;=72,"3. 1-3 days","4. Over 3 days")))</f>
        <v/>
      </c>
      <c r="O5550">
        <f>TEXT(B5550,"YYYY-MM")</f>
        <v/>
      </c>
    </row>
    <row r="5551">
      <c r="A5551" t="inlineStr">
        <is>
          <t>LD-305549</t>
        </is>
      </c>
      <c r="B5551" t="inlineStr">
        <is>
          <t>2025-05-02 07:34:00</t>
        </is>
      </c>
      <c r="C5551" t="inlineStr">
        <is>
          <t>Referral</t>
        </is>
      </c>
      <c r="D5551" t="inlineStr">
        <is>
          <t>Language Learning</t>
        </is>
      </c>
      <c r="E5551" t="inlineStr">
        <is>
          <t>International</t>
        </is>
      </c>
      <c r="F5551" t="inlineStr">
        <is>
          <t>Rep_05</t>
        </is>
      </c>
      <c r="G5551" t="n">
        <v>0.49</v>
      </c>
      <c r="H5551" t="inlineStr">
        <is>
          <t>Contacted</t>
        </is>
      </c>
      <c r="I5551" t="inlineStr">
        <is>
          <t>Open</t>
        </is>
      </c>
      <c r="M5551">
        <f>VLOOKUP(H5551,'Stage Order'!$A$2:$B$8,2,FALSE)</f>
        <v/>
      </c>
      <c r="N5551">
        <f>IF(G5551&lt;=1,"1. Under 1 hour",IF(G5551&lt;=24,"2. 1-24 hours",IF(G5551&lt;=72,"3. 1-3 days","4. Over 3 days")))</f>
        <v/>
      </c>
      <c r="O5551">
        <f>TEXT(B5551,"YYYY-MM")</f>
        <v/>
      </c>
    </row>
    <row r="5552">
      <c r="A5552" t="inlineStr">
        <is>
          <t>LD-305550</t>
        </is>
      </c>
      <c r="B5552" t="inlineStr">
        <is>
          <t>2026-01-22 12:37:00</t>
        </is>
      </c>
      <c r="C5552" t="inlineStr">
        <is>
          <t>Organic Search</t>
        </is>
      </c>
      <c r="D5552" t="inlineStr">
        <is>
          <t>Study Abroad Prep</t>
        </is>
      </c>
      <c r="E5552" t="inlineStr">
        <is>
          <t>South Region</t>
        </is>
      </c>
      <c r="F5552" t="inlineStr">
        <is>
          <t>Rep_12</t>
        </is>
      </c>
      <c r="G5552" t="n">
        <v>9.460000000000001</v>
      </c>
      <c r="H5552" t="inlineStr">
        <is>
          <t>Demo Completed</t>
        </is>
      </c>
      <c r="I5552" t="inlineStr">
        <is>
          <t>Lost</t>
        </is>
      </c>
      <c r="J5552" t="inlineStr">
        <is>
          <t>Price Objection</t>
        </is>
      </c>
      <c r="K5552" t="n">
        <v>1694.58</v>
      </c>
      <c r="L5552" t="inlineStr">
        <is>
          <t>2026-02-14 13:38:27.236133</t>
        </is>
      </c>
      <c r="M5552">
        <f>VLOOKUP(H5552,'Stage Order'!$A$2:$B$8,2,FALSE)</f>
        <v/>
      </c>
      <c r="N5552">
        <f>IF(G5552&lt;=1,"1. Under 1 hour",IF(G5552&lt;=24,"2. 1-24 hours",IF(G5552&lt;=72,"3. 1-3 days","4. Over 3 days")))</f>
        <v/>
      </c>
      <c r="O5552">
        <f>TEXT(B5552,"YYYY-MM")</f>
        <v/>
      </c>
    </row>
    <row r="5553">
      <c r="A5553" t="inlineStr">
        <is>
          <t>LD-305551</t>
        </is>
      </c>
      <c r="B5553" t="inlineStr">
        <is>
          <t>2026-03-09 11:55:00</t>
        </is>
      </c>
      <c r="C5553" t="inlineStr">
        <is>
          <t>Organic Search</t>
        </is>
      </c>
      <c r="D5553" t="inlineStr">
        <is>
          <t>Coding for Kids</t>
        </is>
      </c>
      <c r="E5553" t="inlineStr">
        <is>
          <t>South Region</t>
        </is>
      </c>
      <c r="F5553" t="inlineStr">
        <is>
          <t>Rep_12</t>
        </is>
      </c>
      <c r="G5553" t="n">
        <v>1.6</v>
      </c>
      <c r="H5553" t="inlineStr">
        <is>
          <t>Negotiation</t>
        </is>
      </c>
      <c r="I5553" t="inlineStr">
        <is>
          <t>Lost</t>
        </is>
      </c>
      <c r="J5553" t="inlineStr">
        <is>
          <t>Budget Not Approved</t>
        </is>
      </c>
      <c r="K5553" t="n">
        <v>533.33</v>
      </c>
      <c r="L5553" t="inlineStr">
        <is>
          <t>2026-04-24 07:06:56.150514</t>
        </is>
      </c>
      <c r="M5553">
        <f>VLOOKUP(H5553,'Stage Order'!$A$2:$B$8,2,FALSE)</f>
        <v/>
      </c>
      <c r="N5553">
        <f>IF(G5553&lt;=1,"1. Under 1 hour",IF(G5553&lt;=24,"2. 1-24 hours",IF(G5553&lt;=72,"3. 1-3 days","4. Over 3 days")))</f>
        <v/>
      </c>
      <c r="O5553">
        <f>TEXT(B5553,"YYYY-MM")</f>
        <v/>
      </c>
    </row>
    <row r="5554">
      <c r="A5554" t="inlineStr">
        <is>
          <t>LD-305552</t>
        </is>
      </c>
      <c r="B5554" t="inlineStr">
        <is>
          <t>2026-04-24 17:20:00</t>
        </is>
      </c>
      <c r="C5554" t="inlineStr">
        <is>
          <t>Webinar</t>
        </is>
      </c>
      <c r="D5554" t="inlineStr">
        <is>
          <t>Study Abroad Prep</t>
        </is>
      </c>
      <c r="E5554" t="inlineStr">
        <is>
          <t>North Region</t>
        </is>
      </c>
      <c r="F5554" t="inlineStr">
        <is>
          <t>Rep_11</t>
        </is>
      </c>
      <c r="G5554" t="n">
        <v>1.29</v>
      </c>
      <c r="H5554" t="inlineStr">
        <is>
          <t>Closed</t>
        </is>
      </c>
      <c r="I5554" t="inlineStr">
        <is>
          <t>Won</t>
        </is>
      </c>
      <c r="K5554" t="n">
        <v>1405.08</v>
      </c>
      <c r="L5554" t="inlineStr">
        <is>
          <t>2026-05-30 07:27:53.874895</t>
        </is>
      </c>
      <c r="M5554">
        <f>VLOOKUP(H5554,'Stage Order'!$A$2:$B$8,2,FALSE)</f>
        <v/>
      </c>
      <c r="N5554">
        <f>IF(G5554&lt;=1,"1. Under 1 hour",IF(G5554&lt;=24,"2. 1-24 hours",IF(G5554&lt;=72,"3. 1-3 days","4. Over 3 days")))</f>
        <v/>
      </c>
      <c r="O5554">
        <f>TEXT(B5554,"YYYY-MM")</f>
        <v/>
      </c>
    </row>
    <row r="5555">
      <c r="A5555" t="inlineStr">
        <is>
          <t>LD-305553</t>
        </is>
      </c>
      <c r="B5555" t="inlineStr">
        <is>
          <t>2025-02-14 17:03:00</t>
        </is>
      </c>
      <c r="C5555" t="inlineStr">
        <is>
          <t>Organic Search</t>
        </is>
      </c>
      <c r="D5555" t="inlineStr">
        <is>
          <t>K-12 Math</t>
        </is>
      </c>
      <c r="E5555" t="inlineStr">
        <is>
          <t>International</t>
        </is>
      </c>
      <c r="F5555" t="inlineStr">
        <is>
          <t>Rep_10</t>
        </is>
      </c>
      <c r="G5555" t="n">
        <v>3.66</v>
      </c>
      <c r="H5555" t="inlineStr">
        <is>
          <t>Contacted</t>
        </is>
      </c>
      <c r="I5555" t="inlineStr">
        <is>
          <t>Open</t>
        </is>
      </c>
      <c r="M5555">
        <f>VLOOKUP(H5555,'Stage Order'!$A$2:$B$8,2,FALSE)</f>
        <v/>
      </c>
      <c r="N5555">
        <f>IF(G5555&lt;=1,"1. Under 1 hour",IF(G5555&lt;=24,"2. 1-24 hours",IF(G5555&lt;=72,"3. 1-3 days","4. Over 3 days")))</f>
        <v/>
      </c>
      <c r="O5555">
        <f>TEXT(B5555,"YYYY-MM")</f>
        <v/>
      </c>
    </row>
    <row r="5556">
      <c r="A5556" t="inlineStr">
        <is>
          <t>LD-305554</t>
        </is>
      </c>
      <c r="B5556" t="inlineStr">
        <is>
          <t>2026-02-06 16:04:00</t>
        </is>
      </c>
      <c r="C5556" t="inlineStr">
        <is>
          <t>Webinar</t>
        </is>
      </c>
      <c r="D5556" t="inlineStr">
        <is>
          <t>Competitive Exam Prep</t>
        </is>
      </c>
      <c r="E5556" t="inlineStr">
        <is>
          <t>West Region</t>
        </is>
      </c>
      <c r="F5556" t="inlineStr">
        <is>
          <t>Rep_03</t>
        </is>
      </c>
      <c r="G5556" t="n">
        <v>18.57</v>
      </c>
      <c r="H5556" t="inlineStr">
        <is>
          <t>Contacted</t>
        </is>
      </c>
      <c r="I5556" t="inlineStr">
        <is>
          <t>Open</t>
        </is>
      </c>
      <c r="M5556">
        <f>VLOOKUP(H5556,'Stage Order'!$A$2:$B$8,2,FALSE)</f>
        <v/>
      </c>
      <c r="N5556">
        <f>IF(G5556&lt;=1,"1. Under 1 hour",IF(G5556&lt;=24,"2. 1-24 hours",IF(G5556&lt;=72,"3. 1-3 days","4. Over 3 days")))</f>
        <v/>
      </c>
      <c r="O5556">
        <f>TEXT(B5556,"YYYY-MM")</f>
        <v/>
      </c>
    </row>
    <row r="5557">
      <c r="A5557" t="inlineStr">
        <is>
          <t>LD-305555</t>
        </is>
      </c>
      <c r="B5557" t="inlineStr">
        <is>
          <t>2025-06-16 12:04:00</t>
        </is>
      </c>
      <c r="C5557" t="inlineStr">
        <is>
          <t>Referral</t>
        </is>
      </c>
      <c r="D5557" t="inlineStr">
        <is>
          <t>Competitive Exam Prep</t>
        </is>
      </c>
      <c r="E5557" t="inlineStr">
        <is>
          <t>South Region</t>
        </is>
      </c>
      <c r="F5557" t="inlineStr">
        <is>
          <t>Rep_12</t>
        </is>
      </c>
      <c r="G5557" t="n">
        <v>10.09</v>
      </c>
      <c r="H5557" t="inlineStr">
        <is>
          <t>Closed</t>
        </is>
      </c>
      <c r="I5557" t="inlineStr">
        <is>
          <t>Won</t>
        </is>
      </c>
      <c r="K5557" t="n">
        <v>1010.64</v>
      </c>
      <c r="L5557" t="inlineStr">
        <is>
          <t>2025-07-30 11:48:41.344795</t>
        </is>
      </c>
      <c r="M5557">
        <f>VLOOKUP(H5557,'Stage Order'!$A$2:$B$8,2,FALSE)</f>
        <v/>
      </c>
      <c r="N5557">
        <f>IF(G5557&lt;=1,"1. Under 1 hour",IF(G5557&lt;=24,"2. 1-24 hours",IF(G5557&lt;=72,"3. 1-3 days","4. Over 3 days")))</f>
        <v/>
      </c>
      <c r="O5557">
        <f>TEXT(B5557,"YYYY-MM")</f>
        <v/>
      </c>
    </row>
    <row r="5558">
      <c r="A5558" t="inlineStr">
        <is>
          <t>LD-305556</t>
        </is>
      </c>
      <c r="B5558" t="inlineStr">
        <is>
          <t>2026-06-22 18:07:00</t>
        </is>
      </c>
      <c r="C5558" t="inlineStr">
        <is>
          <t>Organic Search</t>
        </is>
      </c>
      <c r="D5558" t="inlineStr">
        <is>
          <t>Coding for Kids</t>
        </is>
      </c>
      <c r="E5558" t="inlineStr">
        <is>
          <t>North Region</t>
        </is>
      </c>
      <c r="F5558" t="inlineStr">
        <is>
          <t>Rep_06</t>
        </is>
      </c>
      <c r="G5558" t="n">
        <v>2.35</v>
      </c>
      <c r="H5558" t="inlineStr">
        <is>
          <t>Negotiation</t>
        </is>
      </c>
      <c r="I5558" t="inlineStr">
        <is>
          <t>Lost</t>
        </is>
      </c>
      <c r="J5558" t="inlineStr">
        <is>
          <t>Bad Timing</t>
        </is>
      </c>
      <c r="K5558" t="n">
        <v>698.16</v>
      </c>
      <c r="L5558" t="inlineStr">
        <is>
          <t>2026-08-11 05:26:26.275894</t>
        </is>
      </c>
      <c r="M5558">
        <f>VLOOKUP(H5558,'Stage Order'!$A$2:$B$8,2,FALSE)</f>
        <v/>
      </c>
      <c r="N5558">
        <f>IF(G5558&lt;=1,"1. Under 1 hour",IF(G5558&lt;=24,"2. 1-24 hours",IF(G5558&lt;=72,"3. 1-3 days","4. Over 3 days")))</f>
        <v/>
      </c>
      <c r="O5558">
        <f>TEXT(B5558,"YYYY-MM")</f>
        <v/>
      </c>
    </row>
    <row r="5559">
      <c r="A5559" t="inlineStr">
        <is>
          <t>LD-305557</t>
        </is>
      </c>
      <c r="B5559" t="inlineStr">
        <is>
          <t>2025-04-13 09:23:00</t>
        </is>
      </c>
      <c r="C5559" t="inlineStr">
        <is>
          <t>Social Media</t>
        </is>
      </c>
      <c r="D5559" t="inlineStr">
        <is>
          <t>Competitive Exam Prep</t>
        </is>
      </c>
      <c r="E5559" t="inlineStr">
        <is>
          <t>South Region</t>
        </is>
      </c>
      <c r="F5559" t="inlineStr">
        <is>
          <t>Rep_12</t>
        </is>
      </c>
      <c r="G5559" t="n">
        <v>1.04</v>
      </c>
      <c r="H5559" t="inlineStr">
        <is>
          <t>Demo Scheduled</t>
        </is>
      </c>
      <c r="I5559" t="inlineStr">
        <is>
          <t>Open</t>
        </is>
      </c>
      <c r="M5559">
        <f>VLOOKUP(H5559,'Stage Order'!$A$2:$B$8,2,FALSE)</f>
        <v/>
      </c>
      <c r="N5559">
        <f>IF(G5559&lt;=1,"1. Under 1 hour",IF(G5559&lt;=24,"2. 1-24 hours",IF(G5559&lt;=72,"3. 1-3 days","4. Over 3 days")))</f>
        <v/>
      </c>
      <c r="O5559">
        <f>TEXT(B5559,"YYYY-MM")</f>
        <v/>
      </c>
    </row>
    <row r="5560">
      <c r="A5560" t="inlineStr">
        <is>
          <t>LD-305558</t>
        </is>
      </c>
      <c r="B5560" t="inlineStr">
        <is>
          <t>2025-09-30 20:40:00</t>
        </is>
      </c>
      <c r="C5560" t="inlineStr">
        <is>
          <t>Paid Search</t>
        </is>
      </c>
      <c r="D5560" t="inlineStr">
        <is>
          <t>Competitive Exam Prep</t>
        </is>
      </c>
      <c r="E5560" t="inlineStr">
        <is>
          <t>West Region</t>
        </is>
      </c>
      <c r="F5560" t="inlineStr">
        <is>
          <t>Rep_08</t>
        </is>
      </c>
      <c r="G5560" t="n">
        <v>1.25</v>
      </c>
      <c r="H5560" t="inlineStr">
        <is>
          <t>Contacted</t>
        </is>
      </c>
      <c r="I5560" t="inlineStr">
        <is>
          <t>Open</t>
        </is>
      </c>
      <c r="M5560">
        <f>VLOOKUP(H5560,'Stage Order'!$A$2:$B$8,2,FALSE)</f>
        <v/>
      </c>
      <c r="N5560">
        <f>IF(G5560&lt;=1,"1. Under 1 hour",IF(G5560&lt;=24,"2. 1-24 hours",IF(G5560&lt;=72,"3. 1-3 days","4. Over 3 days")))</f>
        <v/>
      </c>
      <c r="O5560">
        <f>TEXT(B5560,"YYYY-MM")</f>
        <v/>
      </c>
    </row>
    <row r="5561">
      <c r="A5561" t="inlineStr">
        <is>
          <t>LD-305559</t>
        </is>
      </c>
      <c r="B5561" t="inlineStr">
        <is>
          <t>2026-04-24 14:10:00</t>
        </is>
      </c>
      <c r="C5561" t="inlineStr">
        <is>
          <t>Referral</t>
        </is>
      </c>
      <c r="D5561" t="inlineStr">
        <is>
          <t>Competitive Exam Prep</t>
        </is>
      </c>
      <c r="E5561" t="inlineStr">
        <is>
          <t>North Region</t>
        </is>
      </c>
      <c r="F5561" t="inlineStr">
        <is>
          <t>Rep_11</t>
        </is>
      </c>
      <c r="G5561" t="n">
        <v>5.84</v>
      </c>
      <c r="H5561" t="inlineStr">
        <is>
          <t>Demo Scheduled</t>
        </is>
      </c>
      <c r="I5561" t="inlineStr">
        <is>
          <t>Open</t>
        </is>
      </c>
      <c r="M5561">
        <f>VLOOKUP(H5561,'Stage Order'!$A$2:$B$8,2,FALSE)</f>
        <v/>
      </c>
      <c r="N5561">
        <f>IF(G5561&lt;=1,"1. Under 1 hour",IF(G5561&lt;=24,"2. 1-24 hours",IF(G5561&lt;=72,"3. 1-3 days","4. Over 3 days")))</f>
        <v/>
      </c>
      <c r="O5561">
        <f>TEXT(B5561,"YYYY-MM")</f>
        <v/>
      </c>
    </row>
    <row r="5562">
      <c r="A5562" t="inlineStr">
        <is>
          <t>LD-305560</t>
        </is>
      </c>
      <c r="B5562" t="inlineStr">
        <is>
          <t>2026-03-09 10:00:00</t>
        </is>
      </c>
      <c r="C5562" t="inlineStr">
        <is>
          <t>Social Media</t>
        </is>
      </c>
      <c r="D5562" t="inlineStr">
        <is>
          <t>Coding for Kids</t>
        </is>
      </c>
      <c r="E5562" t="inlineStr">
        <is>
          <t>International</t>
        </is>
      </c>
      <c r="F5562" t="inlineStr">
        <is>
          <t>Rep_15</t>
        </is>
      </c>
      <c r="G5562" t="n">
        <v>4.59</v>
      </c>
      <c r="H5562" t="inlineStr">
        <is>
          <t>Contacted</t>
        </is>
      </c>
      <c r="I5562" t="inlineStr">
        <is>
          <t>Open</t>
        </is>
      </c>
      <c r="M5562">
        <f>VLOOKUP(H5562,'Stage Order'!$A$2:$B$8,2,FALSE)</f>
        <v/>
      </c>
      <c r="N5562">
        <f>IF(G5562&lt;=1,"1. Under 1 hour",IF(G5562&lt;=24,"2. 1-24 hours",IF(G5562&lt;=72,"3. 1-3 days","4. Over 3 days")))</f>
        <v/>
      </c>
      <c r="O5562">
        <f>TEXT(B5562,"YYYY-MM")</f>
        <v/>
      </c>
    </row>
    <row r="5563">
      <c r="A5563" t="inlineStr">
        <is>
          <t>LD-305561</t>
        </is>
      </c>
      <c r="B5563" t="inlineStr">
        <is>
          <t>2025-07-12 19:58:00</t>
        </is>
      </c>
      <c r="C5563" t="inlineStr">
        <is>
          <t>Cold Outreach</t>
        </is>
      </c>
      <c r="D5563" t="inlineStr">
        <is>
          <t>Competitive Exam Prep</t>
        </is>
      </c>
      <c r="E5563" t="inlineStr">
        <is>
          <t>West Region</t>
        </is>
      </c>
      <c r="F5563" t="inlineStr">
        <is>
          <t>Rep_03</t>
        </is>
      </c>
      <c r="G5563" t="n">
        <v>0.97</v>
      </c>
      <c r="H5563" t="inlineStr">
        <is>
          <t>Contacted</t>
        </is>
      </c>
      <c r="I5563" t="inlineStr">
        <is>
          <t>Open</t>
        </is>
      </c>
      <c r="M5563">
        <f>VLOOKUP(H5563,'Stage Order'!$A$2:$B$8,2,FALSE)</f>
        <v/>
      </c>
      <c r="N5563">
        <f>IF(G5563&lt;=1,"1. Under 1 hour",IF(G5563&lt;=24,"2. 1-24 hours",IF(G5563&lt;=72,"3. 1-3 days","4. Over 3 days")))</f>
        <v/>
      </c>
      <c r="O5563">
        <f>TEXT(B5563,"YYYY-MM")</f>
        <v/>
      </c>
    </row>
    <row r="5564">
      <c r="A5564" t="inlineStr">
        <is>
          <t>LD-305562</t>
        </is>
      </c>
      <c r="B5564" t="inlineStr">
        <is>
          <t>2025-05-05 09:38:00</t>
        </is>
      </c>
      <c r="C5564" t="inlineStr">
        <is>
          <t>Paid Search</t>
        </is>
      </c>
      <c r="D5564" t="inlineStr">
        <is>
          <t>Coding for Kids</t>
        </is>
      </c>
      <c r="E5564" t="inlineStr">
        <is>
          <t>West Region</t>
        </is>
      </c>
      <c r="F5564" t="inlineStr">
        <is>
          <t>Rep_08</t>
        </is>
      </c>
      <c r="G5564" t="n">
        <v>0.76</v>
      </c>
      <c r="H5564" t="inlineStr">
        <is>
          <t>Proposal Sent</t>
        </is>
      </c>
      <c r="I5564" t="inlineStr">
        <is>
          <t>Lost</t>
        </is>
      </c>
      <c r="J5564" t="inlineStr">
        <is>
          <t>Bad Timing</t>
        </is>
      </c>
      <c r="K5564" t="n">
        <v>661.36</v>
      </c>
      <c r="L5564" t="inlineStr">
        <is>
          <t>2025-06-21 22:17:39.887027</t>
        </is>
      </c>
      <c r="M5564">
        <f>VLOOKUP(H5564,'Stage Order'!$A$2:$B$8,2,FALSE)</f>
        <v/>
      </c>
      <c r="N5564">
        <f>IF(G5564&lt;=1,"1. Under 1 hour",IF(G5564&lt;=24,"2. 1-24 hours",IF(G5564&lt;=72,"3. 1-3 days","4. Over 3 days")))</f>
        <v/>
      </c>
      <c r="O5564">
        <f>TEXT(B5564,"YYYY-MM")</f>
        <v/>
      </c>
    </row>
    <row r="5565">
      <c r="A5565" t="inlineStr">
        <is>
          <t>LD-305563</t>
        </is>
      </c>
      <c r="B5565" t="inlineStr">
        <is>
          <t>2025-07-07 15:14:00</t>
        </is>
      </c>
      <c r="C5565" t="inlineStr">
        <is>
          <t>Paid Search</t>
        </is>
      </c>
      <c r="D5565" t="inlineStr">
        <is>
          <t>Language Learning</t>
        </is>
      </c>
      <c r="E5565" t="inlineStr">
        <is>
          <t>North Region</t>
        </is>
      </c>
      <c r="F5565" t="inlineStr">
        <is>
          <t>Rep_01</t>
        </is>
      </c>
      <c r="G5565" t="n">
        <v>5.61</v>
      </c>
      <c r="H5565" t="inlineStr">
        <is>
          <t>Proposal Sent</t>
        </is>
      </c>
      <c r="I5565" t="inlineStr">
        <is>
          <t>Lost</t>
        </is>
      </c>
      <c r="J5565" t="inlineStr">
        <is>
          <t>Bad Timing</t>
        </is>
      </c>
      <c r="K5565" t="n">
        <v>355.88</v>
      </c>
      <c r="L5565" t="inlineStr">
        <is>
          <t>2025-07-27 19:59:59.323968</t>
        </is>
      </c>
      <c r="M5565">
        <f>VLOOKUP(H5565,'Stage Order'!$A$2:$B$8,2,FALSE)</f>
        <v/>
      </c>
      <c r="N5565">
        <f>IF(G5565&lt;=1,"1. Under 1 hour",IF(G5565&lt;=24,"2. 1-24 hours",IF(G5565&lt;=72,"3. 1-3 days","4. Over 3 days")))</f>
        <v/>
      </c>
      <c r="O5565">
        <f>TEXT(B5565,"YYYY-MM")</f>
        <v/>
      </c>
    </row>
    <row r="5566">
      <c r="A5566" t="inlineStr">
        <is>
          <t>LD-305564</t>
        </is>
      </c>
      <c r="B5566" t="inlineStr">
        <is>
          <t>2025-06-14 20:07:00</t>
        </is>
      </c>
      <c r="C5566" t="inlineStr">
        <is>
          <t>Social Media</t>
        </is>
      </c>
      <c r="D5566" t="inlineStr">
        <is>
          <t>Competitive Exam Prep</t>
        </is>
      </c>
      <c r="E5566" t="inlineStr">
        <is>
          <t>North Region</t>
        </is>
      </c>
      <c r="F5566" t="inlineStr">
        <is>
          <t>Rep_11</t>
        </is>
      </c>
      <c r="G5566" t="n">
        <v>3.38</v>
      </c>
      <c r="H5566" t="inlineStr">
        <is>
          <t>Proposal Sent</t>
        </is>
      </c>
      <c r="I5566" t="inlineStr">
        <is>
          <t>Lost</t>
        </is>
      </c>
      <c r="J5566" t="inlineStr">
        <is>
          <t>No Response / Ghosted</t>
        </is>
      </c>
      <c r="K5566" t="n">
        <v>907.51</v>
      </c>
      <c r="L5566" t="inlineStr">
        <is>
          <t>2025-07-29 00:17:46.845173</t>
        </is>
      </c>
      <c r="M5566">
        <f>VLOOKUP(H5566,'Stage Order'!$A$2:$B$8,2,FALSE)</f>
        <v/>
      </c>
      <c r="N5566">
        <f>IF(G5566&lt;=1,"1. Under 1 hour",IF(G5566&lt;=24,"2. 1-24 hours",IF(G5566&lt;=72,"3. 1-3 days","4. Over 3 days")))</f>
        <v/>
      </c>
      <c r="O5566">
        <f>TEXT(B5566,"YYYY-MM")</f>
        <v/>
      </c>
    </row>
    <row r="5567">
      <c r="A5567" t="inlineStr">
        <is>
          <t>LD-305565</t>
        </is>
      </c>
      <c r="B5567" t="inlineStr">
        <is>
          <t>2026-03-21 18:39:00</t>
        </is>
      </c>
      <c r="C5567" t="inlineStr">
        <is>
          <t>Webinar</t>
        </is>
      </c>
      <c r="D5567" t="inlineStr">
        <is>
          <t>Coding for Kids</t>
        </is>
      </c>
      <c r="E5567" t="inlineStr">
        <is>
          <t>West Region</t>
        </is>
      </c>
      <c r="F5567" t="inlineStr">
        <is>
          <t>Rep_03</t>
        </is>
      </c>
      <c r="G5567" t="n">
        <v>0.41</v>
      </c>
      <c r="H5567" t="inlineStr">
        <is>
          <t>Contacted</t>
        </is>
      </c>
      <c r="I5567" t="inlineStr">
        <is>
          <t>Open</t>
        </is>
      </c>
      <c r="M5567">
        <f>VLOOKUP(H5567,'Stage Order'!$A$2:$B$8,2,FALSE)</f>
        <v/>
      </c>
      <c r="N5567">
        <f>IF(G5567&lt;=1,"1. Under 1 hour",IF(G5567&lt;=24,"2. 1-24 hours",IF(G5567&lt;=72,"3. 1-3 days","4. Over 3 days")))</f>
        <v/>
      </c>
      <c r="O5567">
        <f>TEXT(B5567,"YYYY-MM")</f>
        <v/>
      </c>
    </row>
    <row r="5568">
      <c r="A5568" t="inlineStr">
        <is>
          <t>LD-305566</t>
        </is>
      </c>
      <c r="B5568" t="inlineStr">
        <is>
          <t>2025-12-05 09:37:00</t>
        </is>
      </c>
      <c r="C5568" t="inlineStr">
        <is>
          <t>Organic Search</t>
        </is>
      </c>
      <c r="D5568" t="inlineStr">
        <is>
          <t>Language Learning</t>
        </is>
      </c>
      <c r="E5568" t="inlineStr">
        <is>
          <t>International</t>
        </is>
      </c>
      <c r="F5568" t="inlineStr">
        <is>
          <t>Rep_05</t>
        </is>
      </c>
      <c r="G5568" t="n">
        <v>4.58</v>
      </c>
      <c r="H5568" t="inlineStr">
        <is>
          <t>Negotiation</t>
        </is>
      </c>
      <c r="I5568" t="inlineStr">
        <is>
          <t>Lost</t>
        </is>
      </c>
      <c r="J5568" t="inlineStr">
        <is>
          <t>Price Objection</t>
        </is>
      </c>
      <c r="K5568" t="n">
        <v>337.57</v>
      </c>
      <c r="L5568" t="inlineStr">
        <is>
          <t>2026-01-16 22:19:19.335709</t>
        </is>
      </c>
      <c r="M5568">
        <f>VLOOKUP(H5568,'Stage Order'!$A$2:$B$8,2,FALSE)</f>
        <v/>
      </c>
      <c r="N5568">
        <f>IF(G5568&lt;=1,"1. Under 1 hour",IF(G5568&lt;=24,"2. 1-24 hours",IF(G5568&lt;=72,"3. 1-3 days","4. Over 3 days")))</f>
        <v/>
      </c>
      <c r="O5568">
        <f>TEXT(B5568,"YYYY-MM")</f>
        <v/>
      </c>
    </row>
    <row r="5569">
      <c r="A5569" t="inlineStr">
        <is>
          <t>LD-305567</t>
        </is>
      </c>
      <c r="B5569" t="inlineStr">
        <is>
          <t>2025-10-22 20:06:00</t>
        </is>
      </c>
      <c r="C5569" t="inlineStr">
        <is>
          <t>Referral</t>
        </is>
      </c>
      <c r="D5569" t="inlineStr">
        <is>
          <t>Competitive Exam Prep</t>
        </is>
      </c>
      <c r="E5569" t="inlineStr">
        <is>
          <t>West Region</t>
        </is>
      </c>
      <c r="F5569" t="inlineStr">
        <is>
          <t>Rep_03</t>
        </is>
      </c>
      <c r="G5569" t="n">
        <v>1.79</v>
      </c>
      <c r="H5569" t="inlineStr">
        <is>
          <t>Closed</t>
        </is>
      </c>
      <c r="I5569" t="inlineStr">
        <is>
          <t>Won</t>
        </is>
      </c>
      <c r="K5569" t="n">
        <v>823.23</v>
      </c>
      <c r="L5569" t="inlineStr">
        <is>
          <t>2025-11-26 16:31:43.875560</t>
        </is>
      </c>
      <c r="M5569">
        <f>VLOOKUP(H5569,'Stage Order'!$A$2:$B$8,2,FALSE)</f>
        <v/>
      </c>
      <c r="N5569">
        <f>IF(G5569&lt;=1,"1. Under 1 hour",IF(G5569&lt;=24,"2. 1-24 hours",IF(G5569&lt;=72,"3. 1-3 days","4. Over 3 days")))</f>
        <v/>
      </c>
      <c r="O5569">
        <f>TEXT(B5569,"YYYY-MM")</f>
        <v/>
      </c>
    </row>
    <row r="5570">
      <c r="A5570" t="inlineStr">
        <is>
          <t>LD-305568</t>
        </is>
      </c>
      <c r="B5570" t="inlineStr">
        <is>
          <t>2025-06-04 09:48:00</t>
        </is>
      </c>
      <c r="C5570" t="inlineStr">
        <is>
          <t>Webinar</t>
        </is>
      </c>
      <c r="D5570" t="inlineStr">
        <is>
          <t>K-12 Math</t>
        </is>
      </c>
      <c r="E5570" t="inlineStr">
        <is>
          <t>West Region</t>
        </is>
      </c>
      <c r="F5570" t="inlineStr">
        <is>
          <t>Rep_03</t>
        </is>
      </c>
      <c r="G5570" t="n">
        <v>1.21</v>
      </c>
      <c r="H5570" t="inlineStr">
        <is>
          <t>Contacted</t>
        </is>
      </c>
      <c r="I5570" t="inlineStr">
        <is>
          <t>Open</t>
        </is>
      </c>
      <c r="M5570">
        <f>VLOOKUP(H5570,'Stage Order'!$A$2:$B$8,2,FALSE)</f>
        <v/>
      </c>
      <c r="N5570">
        <f>IF(G5570&lt;=1,"1. Under 1 hour",IF(G5570&lt;=24,"2. 1-24 hours",IF(G5570&lt;=72,"3. 1-3 days","4. Over 3 days")))</f>
        <v/>
      </c>
      <c r="O5570">
        <f>TEXT(B5570,"YYYY-MM")</f>
        <v/>
      </c>
    </row>
    <row r="5571">
      <c r="A5571" t="inlineStr">
        <is>
          <t>LD-305569</t>
        </is>
      </c>
      <c r="B5571" t="inlineStr">
        <is>
          <t>2025-09-27 19:49:00</t>
        </is>
      </c>
      <c r="C5571" t="inlineStr">
        <is>
          <t>Cold Outreach</t>
        </is>
      </c>
      <c r="D5571" t="inlineStr">
        <is>
          <t>K-12 Math</t>
        </is>
      </c>
      <c r="E5571" t="inlineStr">
        <is>
          <t>North Region</t>
        </is>
      </c>
      <c r="F5571" t="inlineStr">
        <is>
          <t>Rep_01</t>
        </is>
      </c>
      <c r="G5571" t="n">
        <v>4.06</v>
      </c>
      <c r="H5571" t="inlineStr">
        <is>
          <t>Contacted</t>
        </is>
      </c>
      <c r="I5571" t="inlineStr">
        <is>
          <t>Open</t>
        </is>
      </c>
      <c r="M5571">
        <f>VLOOKUP(H5571,'Stage Order'!$A$2:$B$8,2,FALSE)</f>
        <v/>
      </c>
      <c r="N5571">
        <f>IF(G5571&lt;=1,"1. Under 1 hour",IF(G5571&lt;=24,"2. 1-24 hours",IF(G5571&lt;=72,"3. 1-3 days","4. Over 3 days")))</f>
        <v/>
      </c>
      <c r="O5571">
        <f>TEXT(B5571,"YYYY-MM")</f>
        <v/>
      </c>
    </row>
    <row r="5572">
      <c r="A5572" t="inlineStr">
        <is>
          <t>LD-305570</t>
        </is>
      </c>
      <c r="B5572" t="inlineStr">
        <is>
          <t>2025-10-14 08:06:00</t>
        </is>
      </c>
      <c r="C5572" t="inlineStr">
        <is>
          <t>Organic Search</t>
        </is>
      </c>
      <c r="D5572" t="inlineStr">
        <is>
          <t>K-12 Math</t>
        </is>
      </c>
      <c r="E5572" t="inlineStr">
        <is>
          <t>North Region</t>
        </is>
      </c>
      <c r="F5572" t="inlineStr">
        <is>
          <t>Rep_01</t>
        </is>
      </c>
      <c r="G5572" t="n">
        <v>3.1</v>
      </c>
      <c r="H5572" t="inlineStr">
        <is>
          <t>Demo Completed</t>
        </is>
      </c>
      <c r="I5572" t="inlineStr">
        <is>
          <t>Lost</t>
        </is>
      </c>
      <c r="J5572" t="inlineStr">
        <is>
          <t>Price Objection</t>
        </is>
      </c>
      <c r="K5572" t="n">
        <v>487.38</v>
      </c>
      <c r="L5572" t="inlineStr">
        <is>
          <t>2025-11-17 15:25:18.103366</t>
        </is>
      </c>
      <c r="M5572">
        <f>VLOOKUP(H5572,'Stage Order'!$A$2:$B$8,2,FALSE)</f>
        <v/>
      </c>
      <c r="N5572">
        <f>IF(G5572&lt;=1,"1. Under 1 hour",IF(G5572&lt;=24,"2. 1-24 hours",IF(G5572&lt;=72,"3. 1-3 days","4. Over 3 days")))</f>
        <v/>
      </c>
      <c r="O5572">
        <f>TEXT(B5572,"YYYY-MM")</f>
        <v/>
      </c>
    </row>
    <row r="5573">
      <c r="A5573" t="inlineStr">
        <is>
          <t>LD-305571</t>
        </is>
      </c>
      <c r="B5573" t="inlineStr">
        <is>
          <t>2025-09-29 13:19:00</t>
        </is>
      </c>
      <c r="C5573" t="inlineStr">
        <is>
          <t>Organic Search</t>
        </is>
      </c>
      <c r="D5573" t="inlineStr">
        <is>
          <t>K-12 Math</t>
        </is>
      </c>
      <c r="E5573" t="inlineStr">
        <is>
          <t>West Region</t>
        </is>
      </c>
      <c r="F5573" t="inlineStr">
        <is>
          <t>Rep_13</t>
        </is>
      </c>
      <c r="G5573" t="n">
        <v>3.63</v>
      </c>
      <c r="H5573" t="inlineStr">
        <is>
          <t>Proposal Sent</t>
        </is>
      </c>
      <c r="I5573" t="inlineStr">
        <is>
          <t>Lost</t>
        </is>
      </c>
      <c r="J5573" t="inlineStr">
        <is>
          <t>Bad Timing</t>
        </is>
      </c>
      <c r="K5573" t="n">
        <v>474.15</v>
      </c>
      <c r="L5573" t="inlineStr">
        <is>
          <t>2025-11-01 19:43:47.421126</t>
        </is>
      </c>
      <c r="M5573">
        <f>VLOOKUP(H5573,'Stage Order'!$A$2:$B$8,2,FALSE)</f>
        <v/>
      </c>
      <c r="N5573">
        <f>IF(G5573&lt;=1,"1. Under 1 hour",IF(G5573&lt;=24,"2. 1-24 hours",IF(G5573&lt;=72,"3. 1-3 days","4. Over 3 days")))</f>
        <v/>
      </c>
      <c r="O5573">
        <f>TEXT(B5573,"YYYY-MM")</f>
        <v/>
      </c>
    </row>
    <row r="5574">
      <c r="A5574" t="inlineStr">
        <is>
          <t>LD-305572</t>
        </is>
      </c>
      <c r="B5574" t="inlineStr">
        <is>
          <t>2025-05-12 16:42:00</t>
        </is>
      </c>
      <c r="C5574" t="inlineStr">
        <is>
          <t>Organic Search</t>
        </is>
      </c>
      <c r="D5574" t="inlineStr">
        <is>
          <t>K-12 Math</t>
        </is>
      </c>
      <c r="E5574" t="inlineStr">
        <is>
          <t>South Region</t>
        </is>
      </c>
      <c r="F5574" t="inlineStr">
        <is>
          <t>Rep_02</t>
        </is>
      </c>
      <c r="G5574" t="n">
        <v>2.14</v>
      </c>
      <c r="H5574" t="inlineStr">
        <is>
          <t>Closed</t>
        </is>
      </c>
      <c r="I5574" t="inlineStr">
        <is>
          <t>Won</t>
        </is>
      </c>
      <c r="K5574" t="n">
        <v>497.14</v>
      </c>
      <c r="L5574" t="inlineStr">
        <is>
          <t>2025-06-14 08:34:51.994705</t>
        </is>
      </c>
      <c r="M5574">
        <f>VLOOKUP(H5574,'Stage Order'!$A$2:$B$8,2,FALSE)</f>
        <v/>
      </c>
      <c r="N5574">
        <f>IF(G5574&lt;=1,"1. Under 1 hour",IF(G5574&lt;=24,"2. 1-24 hours",IF(G5574&lt;=72,"3. 1-3 days","4. Over 3 days")))</f>
        <v/>
      </c>
      <c r="O5574">
        <f>TEXT(B5574,"YYYY-MM")</f>
        <v/>
      </c>
    </row>
    <row r="5575">
      <c r="A5575" t="inlineStr">
        <is>
          <t>LD-305573</t>
        </is>
      </c>
      <c r="B5575" t="inlineStr">
        <is>
          <t>2025-07-18 09:18:00</t>
        </is>
      </c>
      <c r="C5575" t="inlineStr">
        <is>
          <t>Social Media</t>
        </is>
      </c>
      <c r="D5575" t="inlineStr">
        <is>
          <t>K-12 Math</t>
        </is>
      </c>
      <c r="E5575" t="inlineStr">
        <is>
          <t>East Region</t>
        </is>
      </c>
      <c r="F5575" t="inlineStr">
        <is>
          <t>Rep_14</t>
        </is>
      </c>
      <c r="G5575" t="n">
        <v>1.67</v>
      </c>
      <c r="H5575" t="inlineStr">
        <is>
          <t>Contacted</t>
        </is>
      </c>
      <c r="I5575" t="inlineStr">
        <is>
          <t>Open</t>
        </is>
      </c>
      <c r="M5575">
        <f>VLOOKUP(H5575,'Stage Order'!$A$2:$B$8,2,FALSE)</f>
        <v/>
      </c>
      <c r="N5575">
        <f>IF(G5575&lt;=1,"1. Under 1 hour",IF(G5575&lt;=24,"2. 1-24 hours",IF(G5575&lt;=72,"3. 1-3 days","4. Over 3 days")))</f>
        <v/>
      </c>
      <c r="O5575">
        <f>TEXT(B5575,"YYYY-MM")</f>
        <v/>
      </c>
    </row>
    <row r="5576">
      <c r="A5576" t="inlineStr">
        <is>
          <t>LD-305574</t>
        </is>
      </c>
      <c r="B5576" t="inlineStr">
        <is>
          <t>2025-06-03 18:03:00</t>
        </is>
      </c>
      <c r="C5576" t="inlineStr">
        <is>
          <t>Paid Search</t>
        </is>
      </c>
      <c r="D5576" t="inlineStr">
        <is>
          <t>Coding for Kids</t>
        </is>
      </c>
      <c r="E5576" t="inlineStr">
        <is>
          <t>South Region</t>
        </is>
      </c>
      <c r="F5576" t="inlineStr">
        <is>
          <t>Rep_02</t>
        </is>
      </c>
      <c r="G5576" t="n">
        <v>7.05</v>
      </c>
      <c r="H5576" t="inlineStr">
        <is>
          <t>Lead</t>
        </is>
      </c>
      <c r="I5576" t="inlineStr">
        <is>
          <t>Open</t>
        </is>
      </c>
      <c r="M5576">
        <f>VLOOKUP(H5576,'Stage Order'!$A$2:$B$8,2,FALSE)</f>
        <v/>
      </c>
      <c r="N5576">
        <f>IF(G5576&lt;=1,"1. Under 1 hour",IF(G5576&lt;=24,"2. 1-24 hours",IF(G5576&lt;=72,"3. 1-3 days","4. Over 3 days")))</f>
        <v/>
      </c>
      <c r="O5576">
        <f>TEXT(B5576,"YYYY-MM")</f>
        <v/>
      </c>
    </row>
    <row r="5577">
      <c r="A5577" t="inlineStr">
        <is>
          <t>LD-305575</t>
        </is>
      </c>
      <c r="B5577" t="inlineStr">
        <is>
          <t>2025-01-09 13:00:00</t>
        </is>
      </c>
      <c r="C5577" t="inlineStr">
        <is>
          <t>Social Media</t>
        </is>
      </c>
      <c r="D5577" t="inlineStr">
        <is>
          <t>Coding for Kids</t>
        </is>
      </c>
      <c r="E5577" t="inlineStr">
        <is>
          <t>East Region</t>
        </is>
      </c>
      <c r="F5577" t="inlineStr">
        <is>
          <t>Rep_14</t>
        </is>
      </c>
      <c r="G5577" t="n">
        <v>3.55</v>
      </c>
      <c r="H5577" t="inlineStr">
        <is>
          <t>Lead</t>
        </is>
      </c>
      <c r="I5577" t="inlineStr">
        <is>
          <t>Open</t>
        </is>
      </c>
      <c r="M5577">
        <f>VLOOKUP(H5577,'Stage Order'!$A$2:$B$8,2,FALSE)</f>
        <v/>
      </c>
      <c r="N5577">
        <f>IF(G5577&lt;=1,"1. Under 1 hour",IF(G5577&lt;=24,"2. 1-24 hours",IF(G5577&lt;=72,"3. 1-3 days","4. Over 3 days")))</f>
        <v/>
      </c>
      <c r="O5577">
        <f>TEXT(B5577,"YYYY-MM")</f>
        <v/>
      </c>
    </row>
    <row r="5578">
      <c r="A5578" t="inlineStr">
        <is>
          <t>LD-305576</t>
        </is>
      </c>
      <c r="B5578" t="inlineStr">
        <is>
          <t>2025-10-06 09:17:00</t>
        </is>
      </c>
      <c r="C5578" t="inlineStr">
        <is>
          <t>Organic Search</t>
        </is>
      </c>
      <c r="D5578" t="inlineStr">
        <is>
          <t>Coding for Kids</t>
        </is>
      </c>
      <c r="E5578" t="inlineStr">
        <is>
          <t>International</t>
        </is>
      </c>
      <c r="F5578" t="inlineStr">
        <is>
          <t>Rep_10</t>
        </is>
      </c>
      <c r="G5578" t="n">
        <v>5.72</v>
      </c>
      <c r="H5578" t="inlineStr">
        <is>
          <t>Contacted</t>
        </is>
      </c>
      <c r="I5578" t="inlineStr">
        <is>
          <t>Open</t>
        </is>
      </c>
      <c r="M5578">
        <f>VLOOKUP(H5578,'Stage Order'!$A$2:$B$8,2,FALSE)</f>
        <v/>
      </c>
      <c r="N5578">
        <f>IF(G5578&lt;=1,"1. Under 1 hour",IF(G5578&lt;=24,"2. 1-24 hours",IF(G5578&lt;=72,"3. 1-3 days","4. Over 3 days")))</f>
        <v/>
      </c>
      <c r="O5578">
        <f>TEXT(B5578,"YYYY-MM")</f>
        <v/>
      </c>
    </row>
    <row r="5579">
      <c r="A5579" t="inlineStr">
        <is>
          <t>LD-305577</t>
        </is>
      </c>
      <c r="B5579" t="inlineStr">
        <is>
          <t>2025-08-18 09:02:00</t>
        </is>
      </c>
      <c r="C5579" t="inlineStr">
        <is>
          <t>Partner Channel</t>
        </is>
      </c>
      <c r="D5579" t="inlineStr">
        <is>
          <t>Coding for Kids</t>
        </is>
      </c>
      <c r="E5579" t="inlineStr">
        <is>
          <t>East Region</t>
        </is>
      </c>
      <c r="F5579" t="inlineStr">
        <is>
          <t>Rep_14</t>
        </is>
      </c>
      <c r="G5579" t="n">
        <v>13.95</v>
      </c>
      <c r="H5579" t="inlineStr">
        <is>
          <t>Proposal Sent</t>
        </is>
      </c>
      <c r="I5579" t="inlineStr">
        <is>
          <t>Lost</t>
        </is>
      </c>
      <c r="J5579" t="inlineStr">
        <is>
          <t>Price Objection</t>
        </is>
      </c>
      <c r="K5579" t="n">
        <v>704.0599999999999</v>
      </c>
      <c r="L5579" t="inlineStr">
        <is>
          <t>2025-09-25 15:59:08.862810</t>
        </is>
      </c>
      <c r="M5579">
        <f>VLOOKUP(H5579,'Stage Order'!$A$2:$B$8,2,FALSE)</f>
        <v/>
      </c>
      <c r="N5579">
        <f>IF(G5579&lt;=1,"1. Under 1 hour",IF(G5579&lt;=24,"2. 1-24 hours",IF(G5579&lt;=72,"3. 1-3 days","4. Over 3 days")))</f>
        <v/>
      </c>
      <c r="O5579">
        <f>TEXT(B5579,"YYYY-MM")</f>
        <v/>
      </c>
    </row>
    <row r="5580">
      <c r="A5580" t="inlineStr">
        <is>
          <t>LD-305578</t>
        </is>
      </c>
      <c r="B5580" t="inlineStr">
        <is>
          <t>2026-04-03 17:03:00</t>
        </is>
      </c>
      <c r="C5580" t="inlineStr">
        <is>
          <t>Social Media</t>
        </is>
      </c>
      <c r="D5580" t="inlineStr">
        <is>
          <t>Study Abroad Prep</t>
        </is>
      </c>
      <c r="E5580" t="inlineStr">
        <is>
          <t>West Region</t>
        </is>
      </c>
      <c r="F5580" t="inlineStr">
        <is>
          <t>Rep_03</t>
        </is>
      </c>
      <c r="G5580" t="n">
        <v>2.78</v>
      </c>
      <c r="H5580" t="inlineStr">
        <is>
          <t>Negotiation</t>
        </is>
      </c>
      <c r="I5580" t="inlineStr">
        <is>
          <t>Lost</t>
        </is>
      </c>
      <c r="J5580" t="inlineStr">
        <is>
          <t>Price Objection</t>
        </is>
      </c>
      <c r="K5580" t="n">
        <v>1749.51</v>
      </c>
      <c r="L5580" t="inlineStr">
        <is>
          <t>2026-05-06 15:26:48.138254</t>
        </is>
      </c>
      <c r="M5580">
        <f>VLOOKUP(H5580,'Stage Order'!$A$2:$B$8,2,FALSE)</f>
        <v/>
      </c>
      <c r="N5580">
        <f>IF(G5580&lt;=1,"1. Under 1 hour",IF(G5580&lt;=24,"2. 1-24 hours",IF(G5580&lt;=72,"3. 1-3 days","4. Over 3 days")))</f>
        <v/>
      </c>
      <c r="O5580">
        <f>TEXT(B5580,"YYYY-MM")</f>
        <v/>
      </c>
    </row>
    <row r="5581">
      <c r="A5581" t="inlineStr">
        <is>
          <t>LD-305579</t>
        </is>
      </c>
      <c r="B5581" t="inlineStr">
        <is>
          <t>2026-04-27 20:30:00</t>
        </is>
      </c>
      <c r="C5581" t="inlineStr">
        <is>
          <t>Organic Search</t>
        </is>
      </c>
      <c r="D5581" t="inlineStr">
        <is>
          <t>Coding for Kids</t>
        </is>
      </c>
      <c r="E5581" t="inlineStr">
        <is>
          <t>South Region</t>
        </is>
      </c>
      <c r="F5581" t="inlineStr">
        <is>
          <t>Rep_07</t>
        </is>
      </c>
      <c r="G5581" t="n">
        <v>1.63</v>
      </c>
      <c r="H5581" t="inlineStr">
        <is>
          <t>Negotiation</t>
        </is>
      </c>
      <c r="I5581" t="inlineStr">
        <is>
          <t>Lost</t>
        </is>
      </c>
      <c r="J5581" t="inlineStr">
        <is>
          <t>Budget Not Approved</t>
        </is>
      </c>
      <c r="K5581" t="n">
        <v>763.4299999999999</v>
      </c>
      <c r="L5581" t="inlineStr">
        <is>
          <t>2026-06-04 03:16:56.961165</t>
        </is>
      </c>
      <c r="M5581">
        <f>VLOOKUP(H5581,'Stage Order'!$A$2:$B$8,2,FALSE)</f>
        <v/>
      </c>
      <c r="N5581">
        <f>IF(G5581&lt;=1,"1. Under 1 hour",IF(G5581&lt;=24,"2. 1-24 hours",IF(G5581&lt;=72,"3. 1-3 days","4. Over 3 days")))</f>
        <v/>
      </c>
      <c r="O5581">
        <f>TEXT(B5581,"YYYY-MM")</f>
        <v/>
      </c>
    </row>
    <row r="5582">
      <c r="A5582" t="inlineStr">
        <is>
          <t>LD-305580</t>
        </is>
      </c>
      <c r="B5582" t="inlineStr">
        <is>
          <t>2025-01-10 08:16:00</t>
        </is>
      </c>
      <c r="C5582" t="inlineStr">
        <is>
          <t>Referral</t>
        </is>
      </c>
      <c r="D5582" t="inlineStr">
        <is>
          <t>K-12 Math</t>
        </is>
      </c>
      <c r="E5582" t="inlineStr">
        <is>
          <t>North Region</t>
        </is>
      </c>
      <c r="F5582" t="inlineStr">
        <is>
          <t>Rep_11</t>
        </is>
      </c>
      <c r="G5582" t="n">
        <v>4.32</v>
      </c>
      <c r="H5582" t="inlineStr">
        <is>
          <t>Contacted</t>
        </is>
      </c>
      <c r="I5582" t="inlineStr">
        <is>
          <t>Open</t>
        </is>
      </c>
      <c r="M5582">
        <f>VLOOKUP(H5582,'Stage Order'!$A$2:$B$8,2,FALSE)</f>
        <v/>
      </c>
      <c r="N5582">
        <f>IF(G5582&lt;=1,"1. Under 1 hour",IF(G5582&lt;=24,"2. 1-24 hours",IF(G5582&lt;=72,"3. 1-3 days","4. Over 3 days")))</f>
        <v/>
      </c>
      <c r="O5582">
        <f>TEXT(B5582,"YYYY-MM")</f>
        <v/>
      </c>
    </row>
    <row r="5583">
      <c r="A5583" t="inlineStr">
        <is>
          <t>LD-305581</t>
        </is>
      </c>
      <c r="B5583" t="inlineStr">
        <is>
          <t>2025-03-30 14:48:00</t>
        </is>
      </c>
      <c r="C5583" t="inlineStr">
        <is>
          <t>Paid Search</t>
        </is>
      </c>
      <c r="D5583" t="inlineStr">
        <is>
          <t>K-12 Math</t>
        </is>
      </c>
      <c r="E5583" t="inlineStr">
        <is>
          <t>East Region</t>
        </is>
      </c>
      <c r="F5583" t="inlineStr">
        <is>
          <t>Rep_04</t>
        </is>
      </c>
      <c r="G5583" t="n">
        <v>1.47</v>
      </c>
      <c r="H5583" t="inlineStr">
        <is>
          <t>Lead</t>
        </is>
      </c>
      <c r="I5583" t="inlineStr">
        <is>
          <t>Open</t>
        </is>
      </c>
      <c r="M5583">
        <f>VLOOKUP(H5583,'Stage Order'!$A$2:$B$8,2,FALSE)</f>
        <v/>
      </c>
      <c r="N5583">
        <f>IF(G5583&lt;=1,"1. Under 1 hour",IF(G5583&lt;=24,"2. 1-24 hours",IF(G5583&lt;=72,"3. 1-3 days","4. Over 3 days")))</f>
        <v/>
      </c>
      <c r="O5583">
        <f>TEXT(B5583,"YYYY-MM")</f>
        <v/>
      </c>
    </row>
    <row r="5584">
      <c r="A5584" t="inlineStr">
        <is>
          <t>LD-305582</t>
        </is>
      </c>
      <c r="B5584" t="inlineStr">
        <is>
          <t>2025-04-16 13:06:00</t>
        </is>
      </c>
      <c r="C5584" t="inlineStr">
        <is>
          <t>Partner Channel</t>
        </is>
      </c>
      <c r="D5584" t="inlineStr">
        <is>
          <t>K-12 Math</t>
        </is>
      </c>
      <c r="E5584" t="inlineStr">
        <is>
          <t>West Region</t>
        </is>
      </c>
      <c r="F5584" t="inlineStr">
        <is>
          <t>Rep_08</t>
        </is>
      </c>
      <c r="G5584" t="n">
        <v>2.46</v>
      </c>
      <c r="H5584" t="inlineStr">
        <is>
          <t>Contacted</t>
        </is>
      </c>
      <c r="I5584" t="inlineStr">
        <is>
          <t>Open</t>
        </is>
      </c>
      <c r="M5584">
        <f>VLOOKUP(H5584,'Stage Order'!$A$2:$B$8,2,FALSE)</f>
        <v/>
      </c>
      <c r="N5584">
        <f>IF(G5584&lt;=1,"1. Under 1 hour",IF(G5584&lt;=24,"2. 1-24 hours",IF(G5584&lt;=72,"3. 1-3 days","4. Over 3 days")))</f>
        <v/>
      </c>
      <c r="O5584">
        <f>TEXT(B5584,"YYYY-MM")</f>
        <v/>
      </c>
    </row>
    <row r="5585">
      <c r="A5585" t="inlineStr">
        <is>
          <t>LD-305583</t>
        </is>
      </c>
      <c r="B5585" t="inlineStr">
        <is>
          <t>2025-12-12 07:04:00</t>
        </is>
      </c>
      <c r="C5585" t="inlineStr">
        <is>
          <t>Paid Search</t>
        </is>
      </c>
      <c r="D5585" t="inlineStr">
        <is>
          <t>Coding for Kids</t>
        </is>
      </c>
      <c r="E5585" t="inlineStr">
        <is>
          <t>East Region</t>
        </is>
      </c>
      <c r="F5585" t="inlineStr">
        <is>
          <t>Rep_09</t>
        </is>
      </c>
      <c r="G5585" t="n">
        <v>15.09</v>
      </c>
      <c r="H5585" t="inlineStr">
        <is>
          <t>Lead</t>
        </is>
      </c>
      <c r="I5585" t="inlineStr">
        <is>
          <t>Open</t>
        </is>
      </c>
      <c r="M5585">
        <f>VLOOKUP(H5585,'Stage Order'!$A$2:$B$8,2,FALSE)</f>
        <v/>
      </c>
      <c r="N5585">
        <f>IF(G5585&lt;=1,"1. Under 1 hour",IF(G5585&lt;=24,"2. 1-24 hours",IF(G5585&lt;=72,"3. 1-3 days","4. Over 3 days")))</f>
        <v/>
      </c>
      <c r="O5585">
        <f>TEXT(B5585,"YYYY-MM")</f>
        <v/>
      </c>
    </row>
    <row r="5586">
      <c r="A5586" t="inlineStr">
        <is>
          <t>LD-305584</t>
        </is>
      </c>
      <c r="B5586" t="inlineStr">
        <is>
          <t>2025-01-10 07:14:00</t>
        </is>
      </c>
      <c r="C5586" t="inlineStr">
        <is>
          <t>Social Media</t>
        </is>
      </c>
      <c r="D5586" t="inlineStr">
        <is>
          <t>Language Learning</t>
        </is>
      </c>
      <c r="E5586" t="inlineStr">
        <is>
          <t>South Region</t>
        </is>
      </c>
      <c r="F5586" t="inlineStr">
        <is>
          <t>Rep_02</t>
        </is>
      </c>
      <c r="G5586" t="n">
        <v>3.36</v>
      </c>
      <c r="H5586" t="inlineStr">
        <is>
          <t>Contacted</t>
        </is>
      </c>
      <c r="I5586" t="inlineStr">
        <is>
          <t>Open</t>
        </is>
      </c>
      <c r="M5586">
        <f>VLOOKUP(H5586,'Stage Order'!$A$2:$B$8,2,FALSE)</f>
        <v/>
      </c>
      <c r="N5586">
        <f>IF(G5586&lt;=1,"1. Under 1 hour",IF(G5586&lt;=24,"2. 1-24 hours",IF(G5586&lt;=72,"3. 1-3 days","4. Over 3 days")))</f>
        <v/>
      </c>
      <c r="O5586">
        <f>TEXT(B5586,"YYYY-MM")</f>
        <v/>
      </c>
    </row>
    <row r="5587">
      <c r="A5587" t="inlineStr">
        <is>
          <t>LD-305585</t>
        </is>
      </c>
      <c r="B5587" t="inlineStr">
        <is>
          <t>2026-01-03 08:47:00</t>
        </is>
      </c>
      <c r="C5587" t="inlineStr">
        <is>
          <t>Webinar</t>
        </is>
      </c>
      <c r="D5587" t="inlineStr">
        <is>
          <t>Language Learning</t>
        </is>
      </c>
      <c r="E5587" t="inlineStr">
        <is>
          <t>North Region</t>
        </is>
      </c>
      <c r="F5587" t="inlineStr">
        <is>
          <t>Rep_11</t>
        </is>
      </c>
      <c r="G5587" t="n">
        <v>2.81</v>
      </c>
      <c r="H5587" t="inlineStr">
        <is>
          <t>Closed</t>
        </is>
      </c>
      <c r="I5587" t="inlineStr">
        <is>
          <t>Won</t>
        </is>
      </c>
      <c r="K5587" t="n">
        <v>400.26</v>
      </c>
      <c r="L5587" t="inlineStr">
        <is>
          <t>2026-02-14 11:41:57.587301</t>
        </is>
      </c>
      <c r="M5587">
        <f>VLOOKUP(H5587,'Stage Order'!$A$2:$B$8,2,FALSE)</f>
        <v/>
      </c>
      <c r="N5587">
        <f>IF(G5587&lt;=1,"1. Under 1 hour",IF(G5587&lt;=24,"2. 1-24 hours",IF(G5587&lt;=72,"3. 1-3 days","4. Over 3 days")))</f>
        <v/>
      </c>
      <c r="O5587">
        <f>TEXT(B5587,"YYYY-MM")</f>
        <v/>
      </c>
    </row>
    <row r="5588">
      <c r="A5588" t="inlineStr">
        <is>
          <t>LD-305586</t>
        </is>
      </c>
      <c r="B5588" t="inlineStr">
        <is>
          <t>2025-10-03 14:14:00</t>
        </is>
      </c>
      <c r="C5588" t="inlineStr">
        <is>
          <t>Paid Search</t>
        </is>
      </c>
      <c r="D5588" t="inlineStr">
        <is>
          <t>Competitive Exam Prep</t>
        </is>
      </c>
      <c r="E5588" t="inlineStr">
        <is>
          <t>West Region</t>
        </is>
      </c>
      <c r="F5588" t="inlineStr">
        <is>
          <t>Rep_08</t>
        </is>
      </c>
      <c r="G5588" t="n">
        <v>3.47</v>
      </c>
      <c r="H5588" t="inlineStr">
        <is>
          <t>Negotiation</t>
        </is>
      </c>
      <c r="I5588" t="inlineStr">
        <is>
          <t>Lost</t>
        </is>
      </c>
      <c r="J5588" t="inlineStr">
        <is>
          <t>Went With Competitor</t>
        </is>
      </c>
      <c r="K5588" t="n">
        <v>1009.26</v>
      </c>
      <c r="L5588" t="inlineStr">
        <is>
          <t>2025-11-08 23:11:46.345787</t>
        </is>
      </c>
      <c r="M5588">
        <f>VLOOKUP(H5588,'Stage Order'!$A$2:$B$8,2,FALSE)</f>
        <v/>
      </c>
      <c r="N5588">
        <f>IF(G5588&lt;=1,"1. Under 1 hour",IF(G5588&lt;=24,"2. 1-24 hours",IF(G5588&lt;=72,"3. 1-3 days","4. Over 3 days")))</f>
        <v/>
      </c>
      <c r="O5588">
        <f>TEXT(B5588,"YYYY-MM")</f>
        <v/>
      </c>
    </row>
    <row r="5589">
      <c r="A5589" t="inlineStr">
        <is>
          <t>LD-305587</t>
        </is>
      </c>
      <c r="B5589" t="inlineStr">
        <is>
          <t>2025-07-01 11:45:00</t>
        </is>
      </c>
      <c r="C5589" t="inlineStr">
        <is>
          <t>Organic Search</t>
        </is>
      </c>
      <c r="D5589" t="inlineStr">
        <is>
          <t>Language Learning</t>
        </is>
      </c>
      <c r="E5589" t="inlineStr">
        <is>
          <t>North Region</t>
        </is>
      </c>
      <c r="F5589" t="inlineStr">
        <is>
          <t>Rep_01</t>
        </is>
      </c>
      <c r="G5589" t="n">
        <v>20.02</v>
      </c>
      <c r="H5589" t="inlineStr">
        <is>
          <t>Demo Completed</t>
        </is>
      </c>
      <c r="I5589" t="inlineStr">
        <is>
          <t>Lost</t>
        </is>
      </c>
      <c r="J5589" t="inlineStr">
        <is>
          <t>Price Objection</t>
        </is>
      </c>
      <c r="K5589" t="n">
        <v>314.72</v>
      </c>
      <c r="L5589" t="inlineStr">
        <is>
          <t>2025-08-09 14:42:18.905087</t>
        </is>
      </c>
      <c r="M5589">
        <f>VLOOKUP(H5589,'Stage Order'!$A$2:$B$8,2,FALSE)</f>
        <v/>
      </c>
      <c r="N5589">
        <f>IF(G5589&lt;=1,"1. Under 1 hour",IF(G5589&lt;=24,"2. 1-24 hours",IF(G5589&lt;=72,"3. 1-3 days","4. Over 3 days")))</f>
        <v/>
      </c>
      <c r="O5589">
        <f>TEXT(B5589,"YYYY-MM")</f>
        <v/>
      </c>
    </row>
    <row r="5590">
      <c r="A5590" t="inlineStr">
        <is>
          <t>LD-305588</t>
        </is>
      </c>
      <c r="B5590" t="inlineStr">
        <is>
          <t>2025-11-28 11:10:00</t>
        </is>
      </c>
      <c r="C5590" t="inlineStr">
        <is>
          <t>Webinar</t>
        </is>
      </c>
      <c r="D5590" t="inlineStr">
        <is>
          <t>Competitive Exam Prep</t>
        </is>
      </c>
      <c r="E5590" t="inlineStr">
        <is>
          <t>South Region</t>
        </is>
      </c>
      <c r="F5590" t="inlineStr">
        <is>
          <t>Rep_02</t>
        </is>
      </c>
      <c r="G5590" t="n">
        <v>1.93</v>
      </c>
      <c r="H5590" t="inlineStr">
        <is>
          <t>Demo Scheduled</t>
        </is>
      </c>
      <c r="I5590" t="inlineStr">
        <is>
          <t>Open</t>
        </is>
      </c>
      <c r="M5590">
        <f>VLOOKUP(H5590,'Stage Order'!$A$2:$B$8,2,FALSE)</f>
        <v/>
      </c>
      <c r="N5590">
        <f>IF(G5590&lt;=1,"1. Under 1 hour",IF(G5590&lt;=24,"2. 1-24 hours",IF(G5590&lt;=72,"3. 1-3 days","4. Over 3 days")))</f>
        <v/>
      </c>
      <c r="O5590">
        <f>TEXT(B5590,"YYYY-MM")</f>
        <v/>
      </c>
    </row>
    <row r="5591">
      <c r="A5591" t="inlineStr">
        <is>
          <t>LD-305589</t>
        </is>
      </c>
      <c r="B5591" t="inlineStr">
        <is>
          <t>2025-05-09 17:50:00</t>
        </is>
      </c>
      <c r="C5591" t="inlineStr">
        <is>
          <t>Social Media</t>
        </is>
      </c>
      <c r="D5591" t="inlineStr">
        <is>
          <t>K-12 Math</t>
        </is>
      </c>
      <c r="E5591" t="inlineStr">
        <is>
          <t>South Region</t>
        </is>
      </c>
      <c r="F5591" t="inlineStr">
        <is>
          <t>Rep_02</t>
        </is>
      </c>
      <c r="G5591" t="n">
        <v>0.35</v>
      </c>
      <c r="H5591" t="inlineStr">
        <is>
          <t>Contacted</t>
        </is>
      </c>
      <c r="I5591" t="inlineStr">
        <is>
          <t>Open</t>
        </is>
      </c>
      <c r="M5591">
        <f>VLOOKUP(H5591,'Stage Order'!$A$2:$B$8,2,FALSE)</f>
        <v/>
      </c>
      <c r="N5591">
        <f>IF(G5591&lt;=1,"1. Under 1 hour",IF(G5591&lt;=24,"2. 1-24 hours",IF(G5591&lt;=72,"3. 1-3 days","4. Over 3 days")))</f>
        <v/>
      </c>
      <c r="O5591">
        <f>TEXT(B5591,"YYYY-MM")</f>
        <v/>
      </c>
    </row>
    <row r="5592">
      <c r="A5592" t="inlineStr">
        <is>
          <t>LD-305590</t>
        </is>
      </c>
      <c r="B5592" t="inlineStr">
        <is>
          <t>2026-02-20 17:19:00</t>
        </is>
      </c>
      <c r="C5592" t="inlineStr">
        <is>
          <t>Social Media</t>
        </is>
      </c>
      <c r="D5592" t="inlineStr">
        <is>
          <t>Competitive Exam Prep</t>
        </is>
      </c>
      <c r="E5592" t="inlineStr">
        <is>
          <t>North Region</t>
        </is>
      </c>
      <c r="F5592" t="inlineStr">
        <is>
          <t>Rep_11</t>
        </is>
      </c>
      <c r="G5592" t="n">
        <v>2.81</v>
      </c>
      <c r="H5592" t="inlineStr">
        <is>
          <t>Contacted</t>
        </is>
      </c>
      <c r="I5592" t="inlineStr">
        <is>
          <t>Open</t>
        </is>
      </c>
      <c r="M5592">
        <f>VLOOKUP(H5592,'Stage Order'!$A$2:$B$8,2,FALSE)</f>
        <v/>
      </c>
      <c r="N5592">
        <f>IF(G5592&lt;=1,"1. Under 1 hour",IF(G5592&lt;=24,"2. 1-24 hours",IF(G5592&lt;=72,"3. 1-3 days","4. Over 3 days")))</f>
        <v/>
      </c>
      <c r="O5592">
        <f>TEXT(B5592,"YYYY-MM")</f>
        <v/>
      </c>
    </row>
    <row r="5593">
      <c r="A5593" t="inlineStr">
        <is>
          <t>LD-305591</t>
        </is>
      </c>
      <c r="B5593" t="inlineStr">
        <is>
          <t>2025-05-08 08:21:00</t>
        </is>
      </c>
      <c r="C5593" t="inlineStr">
        <is>
          <t>Referral</t>
        </is>
      </c>
      <c r="D5593" t="inlineStr">
        <is>
          <t>Language Learning</t>
        </is>
      </c>
      <c r="E5593" t="inlineStr">
        <is>
          <t>South Region</t>
        </is>
      </c>
      <c r="F5593" t="inlineStr">
        <is>
          <t>Rep_02</t>
        </is>
      </c>
      <c r="G5593" t="n">
        <v>0.31</v>
      </c>
      <c r="H5593" t="inlineStr">
        <is>
          <t>Closed</t>
        </is>
      </c>
      <c r="I5593" t="inlineStr">
        <is>
          <t>Won</t>
        </is>
      </c>
      <c r="K5593" t="n">
        <v>385.2</v>
      </c>
      <c r="L5593" t="inlineStr">
        <is>
          <t>2025-06-05 05:07:23.225676</t>
        </is>
      </c>
      <c r="M5593">
        <f>VLOOKUP(H5593,'Stage Order'!$A$2:$B$8,2,FALSE)</f>
        <v/>
      </c>
      <c r="N5593">
        <f>IF(G5593&lt;=1,"1. Under 1 hour",IF(G5593&lt;=24,"2. 1-24 hours",IF(G5593&lt;=72,"3. 1-3 days","4. Over 3 days")))</f>
        <v/>
      </c>
      <c r="O5593">
        <f>TEXT(B5593,"YYYY-MM")</f>
        <v/>
      </c>
    </row>
    <row r="5594">
      <c r="A5594" t="inlineStr">
        <is>
          <t>LD-305592</t>
        </is>
      </c>
      <c r="B5594" t="inlineStr">
        <is>
          <t>2026-06-24 12:25:00</t>
        </is>
      </c>
      <c r="C5594" t="inlineStr">
        <is>
          <t>Organic Search</t>
        </is>
      </c>
      <c r="D5594" t="inlineStr">
        <is>
          <t>Language Learning</t>
        </is>
      </c>
      <c r="E5594" t="inlineStr">
        <is>
          <t>West Region</t>
        </is>
      </c>
      <c r="F5594" t="inlineStr">
        <is>
          <t>Rep_08</t>
        </is>
      </c>
      <c r="G5594" t="n">
        <v>0.52</v>
      </c>
      <c r="H5594" t="inlineStr">
        <is>
          <t>Demo Completed</t>
        </is>
      </c>
      <c r="I5594" t="inlineStr">
        <is>
          <t>Lost</t>
        </is>
      </c>
      <c r="J5594" t="inlineStr">
        <is>
          <t>Went With Competitor</t>
        </is>
      </c>
      <c r="K5594" t="n">
        <v>306.95</v>
      </c>
      <c r="L5594" t="inlineStr">
        <is>
          <t>2026-08-02 05:20:38.676540</t>
        </is>
      </c>
      <c r="M5594">
        <f>VLOOKUP(H5594,'Stage Order'!$A$2:$B$8,2,FALSE)</f>
        <v/>
      </c>
      <c r="N5594">
        <f>IF(G5594&lt;=1,"1. Under 1 hour",IF(G5594&lt;=24,"2. 1-24 hours",IF(G5594&lt;=72,"3. 1-3 days","4. Over 3 days")))</f>
        <v/>
      </c>
      <c r="O5594">
        <f>TEXT(B5594,"YYYY-MM")</f>
        <v/>
      </c>
    </row>
    <row r="5595">
      <c r="A5595" t="inlineStr">
        <is>
          <t>LD-305593</t>
        </is>
      </c>
      <c r="B5595" t="inlineStr">
        <is>
          <t>2026-02-15 17:59:00</t>
        </is>
      </c>
      <c r="C5595" t="inlineStr">
        <is>
          <t>Social Media</t>
        </is>
      </c>
      <c r="D5595" t="inlineStr">
        <is>
          <t>K-12 Math</t>
        </is>
      </c>
      <c r="E5595" t="inlineStr">
        <is>
          <t>South Region</t>
        </is>
      </c>
      <c r="F5595" t="inlineStr">
        <is>
          <t>Rep_07</t>
        </is>
      </c>
      <c r="G5595" t="n">
        <v>7.92</v>
      </c>
      <c r="H5595" t="inlineStr">
        <is>
          <t>Contacted</t>
        </is>
      </c>
      <c r="I5595" t="inlineStr">
        <is>
          <t>Open</t>
        </is>
      </c>
      <c r="M5595">
        <f>VLOOKUP(H5595,'Stage Order'!$A$2:$B$8,2,FALSE)</f>
        <v/>
      </c>
      <c r="N5595">
        <f>IF(G5595&lt;=1,"1. Under 1 hour",IF(G5595&lt;=24,"2. 1-24 hours",IF(G5595&lt;=72,"3. 1-3 days","4. Over 3 days")))</f>
        <v/>
      </c>
      <c r="O5595">
        <f>TEXT(B5595,"YYYY-MM")</f>
        <v/>
      </c>
    </row>
    <row r="5596">
      <c r="A5596" t="inlineStr">
        <is>
          <t>LD-305594</t>
        </is>
      </c>
      <c r="B5596" t="inlineStr">
        <is>
          <t>2025-01-24 12:29:00</t>
        </is>
      </c>
      <c r="C5596" t="inlineStr">
        <is>
          <t>Webinar</t>
        </is>
      </c>
      <c r="D5596" t="inlineStr">
        <is>
          <t>K-12 Math</t>
        </is>
      </c>
      <c r="E5596" t="inlineStr">
        <is>
          <t>North Region</t>
        </is>
      </c>
      <c r="F5596" t="inlineStr">
        <is>
          <t>Rep_01</t>
        </is>
      </c>
      <c r="G5596" t="n">
        <v>2.81</v>
      </c>
      <c r="H5596" t="inlineStr">
        <is>
          <t>Contacted</t>
        </is>
      </c>
      <c r="I5596" t="inlineStr">
        <is>
          <t>Open</t>
        </is>
      </c>
      <c r="M5596">
        <f>VLOOKUP(H5596,'Stage Order'!$A$2:$B$8,2,FALSE)</f>
        <v/>
      </c>
      <c r="N5596">
        <f>IF(G5596&lt;=1,"1. Under 1 hour",IF(G5596&lt;=24,"2. 1-24 hours",IF(G5596&lt;=72,"3. 1-3 days","4. Over 3 days")))</f>
        <v/>
      </c>
      <c r="O5596">
        <f>TEXT(B5596,"YYYY-MM")</f>
        <v/>
      </c>
    </row>
    <row r="5597">
      <c r="A5597" t="inlineStr">
        <is>
          <t>LD-305595</t>
        </is>
      </c>
      <c r="B5597" t="inlineStr">
        <is>
          <t>2026-03-24 10:08:00</t>
        </is>
      </c>
      <c r="C5597" t="inlineStr">
        <is>
          <t>Cold Outreach</t>
        </is>
      </c>
      <c r="D5597" t="inlineStr">
        <is>
          <t>Coding for Kids</t>
        </is>
      </c>
      <c r="E5597" t="inlineStr">
        <is>
          <t>South Region</t>
        </is>
      </c>
      <c r="F5597" t="inlineStr">
        <is>
          <t>Rep_02</t>
        </is>
      </c>
      <c r="G5597" t="n">
        <v>1.42</v>
      </c>
      <c r="H5597" t="inlineStr">
        <is>
          <t>Demo Scheduled</t>
        </is>
      </c>
      <c r="I5597" t="inlineStr">
        <is>
          <t>Open</t>
        </is>
      </c>
      <c r="M5597">
        <f>VLOOKUP(H5597,'Stage Order'!$A$2:$B$8,2,FALSE)</f>
        <v/>
      </c>
      <c r="N5597">
        <f>IF(G5597&lt;=1,"1. Under 1 hour",IF(G5597&lt;=24,"2. 1-24 hours",IF(G5597&lt;=72,"3. 1-3 days","4. Over 3 days")))</f>
        <v/>
      </c>
      <c r="O5597">
        <f>TEXT(B5597,"YYYY-MM")</f>
        <v/>
      </c>
    </row>
    <row r="5598">
      <c r="A5598" t="inlineStr">
        <is>
          <t>LD-305596</t>
        </is>
      </c>
      <c r="B5598" t="inlineStr">
        <is>
          <t>2025-01-20 13:37:00</t>
        </is>
      </c>
      <c r="C5598" t="inlineStr">
        <is>
          <t>Referral</t>
        </is>
      </c>
      <c r="D5598" t="inlineStr">
        <is>
          <t>Study Abroad Prep</t>
        </is>
      </c>
      <c r="E5598" t="inlineStr">
        <is>
          <t>North Region</t>
        </is>
      </c>
      <c r="F5598" t="inlineStr">
        <is>
          <t>Rep_11</t>
        </is>
      </c>
      <c r="G5598" t="n">
        <v>1</v>
      </c>
      <c r="H5598" t="inlineStr">
        <is>
          <t>Negotiation</t>
        </is>
      </c>
      <c r="I5598" t="inlineStr">
        <is>
          <t>Lost</t>
        </is>
      </c>
      <c r="J5598" t="inlineStr">
        <is>
          <t>Went With Competitor</t>
        </is>
      </c>
      <c r="K5598" t="n">
        <v>1288.2</v>
      </c>
      <c r="L5598" t="inlineStr">
        <is>
          <t>2025-03-15 00:14:46.619271</t>
        </is>
      </c>
      <c r="M5598">
        <f>VLOOKUP(H5598,'Stage Order'!$A$2:$B$8,2,FALSE)</f>
        <v/>
      </c>
      <c r="N5598">
        <f>IF(G5598&lt;=1,"1. Under 1 hour",IF(G5598&lt;=24,"2. 1-24 hours",IF(G5598&lt;=72,"3. 1-3 days","4. Over 3 days")))</f>
        <v/>
      </c>
      <c r="O5598">
        <f>TEXT(B5598,"YYYY-MM")</f>
        <v/>
      </c>
    </row>
    <row r="5599">
      <c r="A5599" t="inlineStr">
        <is>
          <t>LD-305597</t>
        </is>
      </c>
      <c r="B5599" t="inlineStr">
        <is>
          <t>2025-02-21 07:22:00</t>
        </is>
      </c>
      <c r="C5599" t="inlineStr">
        <is>
          <t>Organic Search</t>
        </is>
      </c>
      <c r="D5599" t="inlineStr">
        <is>
          <t>Competitive Exam Prep</t>
        </is>
      </c>
      <c r="E5599" t="inlineStr">
        <is>
          <t>South Region</t>
        </is>
      </c>
      <c r="F5599" t="inlineStr">
        <is>
          <t>Rep_02</t>
        </is>
      </c>
      <c r="G5599" t="n">
        <v>6.45</v>
      </c>
      <c r="H5599" t="inlineStr">
        <is>
          <t>Negotiation</t>
        </is>
      </c>
      <c r="I5599" t="inlineStr">
        <is>
          <t>Lost</t>
        </is>
      </c>
      <c r="J5599" t="inlineStr">
        <is>
          <t>Price Objection</t>
        </is>
      </c>
      <c r="K5599" t="n">
        <v>1184.48</v>
      </c>
      <c r="L5599" t="inlineStr">
        <is>
          <t>2025-04-07 19:05:25.417044</t>
        </is>
      </c>
      <c r="M5599">
        <f>VLOOKUP(H5599,'Stage Order'!$A$2:$B$8,2,FALSE)</f>
        <v/>
      </c>
      <c r="N5599">
        <f>IF(G5599&lt;=1,"1. Under 1 hour",IF(G5599&lt;=24,"2. 1-24 hours",IF(G5599&lt;=72,"3. 1-3 days","4. Over 3 days")))</f>
        <v/>
      </c>
      <c r="O5599">
        <f>TEXT(B5599,"YYYY-MM")</f>
        <v/>
      </c>
    </row>
    <row r="5600">
      <c r="A5600" t="inlineStr">
        <is>
          <t>LD-305598</t>
        </is>
      </c>
      <c r="B5600" t="inlineStr">
        <is>
          <t>2025-11-07 10:34:00</t>
        </is>
      </c>
      <c r="C5600" t="inlineStr">
        <is>
          <t>Webinar</t>
        </is>
      </c>
      <c r="D5600" t="inlineStr">
        <is>
          <t>Language Learning</t>
        </is>
      </c>
      <c r="E5600" t="inlineStr">
        <is>
          <t>West Region</t>
        </is>
      </c>
      <c r="F5600" t="inlineStr">
        <is>
          <t>Rep_03</t>
        </is>
      </c>
      <c r="G5600" t="n">
        <v>5.85</v>
      </c>
      <c r="H5600" t="inlineStr">
        <is>
          <t>Negotiation</t>
        </is>
      </c>
      <c r="I5600" t="inlineStr">
        <is>
          <t>Lost</t>
        </is>
      </c>
      <c r="J5600" t="inlineStr">
        <is>
          <t>Went With Competitor</t>
        </is>
      </c>
      <c r="K5600" t="n">
        <v>372.21</v>
      </c>
      <c r="L5600" t="inlineStr">
        <is>
          <t>2025-12-29 16:48:43.174885</t>
        </is>
      </c>
      <c r="M5600">
        <f>VLOOKUP(H5600,'Stage Order'!$A$2:$B$8,2,FALSE)</f>
        <v/>
      </c>
      <c r="N5600">
        <f>IF(G5600&lt;=1,"1. Under 1 hour",IF(G5600&lt;=24,"2. 1-24 hours",IF(G5600&lt;=72,"3. 1-3 days","4. Over 3 days")))</f>
        <v/>
      </c>
      <c r="O5600">
        <f>TEXT(B5600,"YYYY-MM")</f>
        <v/>
      </c>
    </row>
    <row r="5601">
      <c r="A5601" t="inlineStr">
        <is>
          <t>LD-305599</t>
        </is>
      </c>
      <c r="B5601" t="inlineStr">
        <is>
          <t>2025-01-03 17:57:00</t>
        </is>
      </c>
      <c r="C5601" t="inlineStr">
        <is>
          <t>Paid Search</t>
        </is>
      </c>
      <c r="D5601" t="inlineStr">
        <is>
          <t>Language Learning</t>
        </is>
      </c>
      <c r="E5601" t="inlineStr">
        <is>
          <t>East Region</t>
        </is>
      </c>
      <c r="F5601" t="inlineStr">
        <is>
          <t>Rep_09</t>
        </is>
      </c>
      <c r="G5601" t="n">
        <v>1.8</v>
      </c>
      <c r="H5601" t="inlineStr">
        <is>
          <t>Contacted</t>
        </is>
      </c>
      <c r="I5601" t="inlineStr">
        <is>
          <t>Open</t>
        </is>
      </c>
      <c r="M5601">
        <f>VLOOKUP(H5601,'Stage Order'!$A$2:$B$8,2,FALSE)</f>
        <v/>
      </c>
      <c r="N5601">
        <f>IF(G5601&lt;=1,"1. Under 1 hour",IF(G5601&lt;=24,"2. 1-24 hours",IF(G5601&lt;=72,"3. 1-3 days","4. Over 3 days")))</f>
        <v/>
      </c>
      <c r="O5601">
        <f>TEXT(B5601,"YYYY-MM")</f>
        <v/>
      </c>
    </row>
    <row r="5602">
      <c r="A5602" t="inlineStr">
        <is>
          <t>LD-305600</t>
        </is>
      </c>
      <c r="B5602" t="inlineStr">
        <is>
          <t>2026-05-15 19:27:00</t>
        </is>
      </c>
      <c r="C5602" t="inlineStr">
        <is>
          <t>Referral</t>
        </is>
      </c>
      <c r="D5602" t="inlineStr">
        <is>
          <t>K-12 Math</t>
        </is>
      </c>
      <c r="E5602" t="inlineStr">
        <is>
          <t>East Region</t>
        </is>
      </c>
      <c r="F5602" t="inlineStr">
        <is>
          <t>Rep_14</t>
        </is>
      </c>
      <c r="G5602" t="n">
        <v>4.98</v>
      </c>
      <c r="H5602" t="inlineStr">
        <is>
          <t>Contacted</t>
        </is>
      </c>
      <c r="I5602" t="inlineStr">
        <is>
          <t>Open</t>
        </is>
      </c>
      <c r="M5602">
        <f>VLOOKUP(H5602,'Stage Order'!$A$2:$B$8,2,FALSE)</f>
        <v/>
      </c>
      <c r="N5602">
        <f>IF(G5602&lt;=1,"1. Under 1 hour",IF(G5602&lt;=24,"2. 1-24 hours",IF(G5602&lt;=72,"3. 1-3 days","4. Over 3 days")))</f>
        <v/>
      </c>
      <c r="O5602">
        <f>TEXT(B5602,"YYYY-MM")</f>
        <v/>
      </c>
    </row>
    <row r="5603">
      <c r="A5603" t="inlineStr">
        <is>
          <t>LD-305601</t>
        </is>
      </c>
      <c r="B5603" t="inlineStr">
        <is>
          <t>2026-05-13 16:09:00</t>
        </is>
      </c>
      <c r="C5603" t="inlineStr">
        <is>
          <t>Paid Search</t>
        </is>
      </c>
      <c r="D5603" t="inlineStr">
        <is>
          <t>K-12 Math</t>
        </is>
      </c>
      <c r="E5603" t="inlineStr">
        <is>
          <t>North Region</t>
        </is>
      </c>
      <c r="F5603" t="inlineStr">
        <is>
          <t>Rep_06</t>
        </is>
      </c>
      <c r="G5603" t="n">
        <v>1.05</v>
      </c>
      <c r="H5603" t="inlineStr">
        <is>
          <t>Lead</t>
        </is>
      </c>
      <c r="I5603" t="inlineStr">
        <is>
          <t>Open</t>
        </is>
      </c>
      <c r="M5603">
        <f>VLOOKUP(H5603,'Stage Order'!$A$2:$B$8,2,FALSE)</f>
        <v/>
      </c>
      <c r="N5603">
        <f>IF(G5603&lt;=1,"1. Under 1 hour",IF(G5603&lt;=24,"2. 1-24 hours",IF(G5603&lt;=72,"3. 1-3 days","4. Over 3 days")))</f>
        <v/>
      </c>
      <c r="O5603">
        <f>TEXT(B5603,"YYYY-MM")</f>
        <v/>
      </c>
    </row>
    <row r="5604">
      <c r="A5604" t="inlineStr">
        <is>
          <t>LD-305602</t>
        </is>
      </c>
      <c r="B5604" t="inlineStr">
        <is>
          <t>2025-01-12 10:58:00</t>
        </is>
      </c>
      <c r="C5604" t="inlineStr">
        <is>
          <t>Organic Search</t>
        </is>
      </c>
      <c r="D5604" t="inlineStr">
        <is>
          <t>Coding for Kids</t>
        </is>
      </c>
      <c r="E5604" t="inlineStr">
        <is>
          <t>North Region</t>
        </is>
      </c>
      <c r="F5604" t="inlineStr">
        <is>
          <t>Rep_01</t>
        </is>
      </c>
      <c r="G5604" t="n">
        <v>5.69</v>
      </c>
      <c r="H5604" t="inlineStr">
        <is>
          <t>Contacted</t>
        </is>
      </c>
      <c r="I5604" t="inlineStr">
        <is>
          <t>Open</t>
        </is>
      </c>
      <c r="M5604">
        <f>VLOOKUP(H5604,'Stage Order'!$A$2:$B$8,2,FALSE)</f>
        <v/>
      </c>
      <c r="N5604">
        <f>IF(G5604&lt;=1,"1. Under 1 hour",IF(G5604&lt;=24,"2. 1-24 hours",IF(G5604&lt;=72,"3. 1-3 days","4. Over 3 days")))</f>
        <v/>
      </c>
      <c r="O5604">
        <f>TEXT(B5604,"YYYY-MM")</f>
        <v/>
      </c>
    </row>
    <row r="5605">
      <c r="A5605" t="inlineStr">
        <is>
          <t>LD-305603</t>
        </is>
      </c>
      <c r="B5605" t="inlineStr">
        <is>
          <t>2026-06-11 17:55:00</t>
        </is>
      </c>
      <c r="C5605" t="inlineStr">
        <is>
          <t>Social Media</t>
        </is>
      </c>
      <c r="D5605" t="inlineStr">
        <is>
          <t>Competitive Exam Prep</t>
        </is>
      </c>
      <c r="E5605" t="inlineStr">
        <is>
          <t>West Region</t>
        </is>
      </c>
      <c r="F5605" t="inlineStr">
        <is>
          <t>Rep_03</t>
        </is>
      </c>
      <c r="G5605" t="n">
        <v>1.14</v>
      </c>
      <c r="H5605" t="inlineStr">
        <is>
          <t>Negotiation</t>
        </is>
      </c>
      <c r="I5605" t="inlineStr">
        <is>
          <t>Lost</t>
        </is>
      </c>
      <c r="J5605" t="inlineStr">
        <is>
          <t>No Response / Ghosted</t>
        </is>
      </c>
      <c r="K5605" t="n">
        <v>1040.98</v>
      </c>
      <c r="L5605" t="inlineStr">
        <is>
          <t>2026-07-29 22:00:03.531653</t>
        </is>
      </c>
      <c r="M5605">
        <f>VLOOKUP(H5605,'Stage Order'!$A$2:$B$8,2,FALSE)</f>
        <v/>
      </c>
      <c r="N5605">
        <f>IF(G5605&lt;=1,"1. Under 1 hour",IF(G5605&lt;=24,"2. 1-24 hours",IF(G5605&lt;=72,"3. 1-3 days","4. Over 3 days")))</f>
        <v/>
      </c>
      <c r="O5605">
        <f>TEXT(B5605,"YYYY-MM")</f>
        <v/>
      </c>
    </row>
    <row r="5606">
      <c r="A5606" t="inlineStr">
        <is>
          <t>LD-305604</t>
        </is>
      </c>
      <c r="B5606" t="inlineStr">
        <is>
          <t>2025-03-11 07:52:00</t>
        </is>
      </c>
      <c r="C5606" t="inlineStr">
        <is>
          <t>Cold Outreach</t>
        </is>
      </c>
      <c r="D5606" t="inlineStr">
        <is>
          <t>Competitive Exam Prep</t>
        </is>
      </c>
      <c r="E5606" t="inlineStr">
        <is>
          <t>West Region</t>
        </is>
      </c>
      <c r="F5606" t="inlineStr">
        <is>
          <t>Rep_08</t>
        </is>
      </c>
      <c r="G5606" t="n">
        <v>9.81</v>
      </c>
      <c r="H5606" t="inlineStr">
        <is>
          <t>Demo Completed</t>
        </is>
      </c>
      <c r="I5606" t="inlineStr">
        <is>
          <t>Lost</t>
        </is>
      </c>
      <c r="J5606" t="inlineStr">
        <is>
          <t>Price Objection</t>
        </is>
      </c>
      <c r="K5606" t="n">
        <v>808.26</v>
      </c>
      <c r="L5606" t="inlineStr">
        <is>
          <t>2025-04-20 23:23:53.274298</t>
        </is>
      </c>
      <c r="M5606">
        <f>VLOOKUP(H5606,'Stage Order'!$A$2:$B$8,2,FALSE)</f>
        <v/>
      </c>
      <c r="N5606">
        <f>IF(G5606&lt;=1,"1. Under 1 hour",IF(G5606&lt;=24,"2. 1-24 hours",IF(G5606&lt;=72,"3. 1-3 days","4. Over 3 days")))</f>
        <v/>
      </c>
      <c r="O5606">
        <f>TEXT(B5606,"YYYY-MM")</f>
        <v/>
      </c>
    </row>
    <row r="5607">
      <c r="A5607" t="inlineStr">
        <is>
          <t>LD-305605</t>
        </is>
      </c>
      <c r="B5607" t="inlineStr">
        <is>
          <t>2025-10-23 14:41:00</t>
        </is>
      </c>
      <c r="C5607" t="inlineStr">
        <is>
          <t>Partner Channel</t>
        </is>
      </c>
      <c r="D5607" t="inlineStr">
        <is>
          <t>Language Learning</t>
        </is>
      </c>
      <c r="E5607" t="inlineStr">
        <is>
          <t>South Region</t>
        </is>
      </c>
      <c r="F5607" t="inlineStr">
        <is>
          <t>Rep_12</t>
        </is>
      </c>
      <c r="G5607" t="n">
        <v>1.88</v>
      </c>
      <c r="H5607" t="inlineStr">
        <is>
          <t>Contacted</t>
        </is>
      </c>
      <c r="I5607" t="inlineStr">
        <is>
          <t>Open</t>
        </is>
      </c>
      <c r="M5607">
        <f>VLOOKUP(H5607,'Stage Order'!$A$2:$B$8,2,FALSE)</f>
        <v/>
      </c>
      <c r="N5607">
        <f>IF(G5607&lt;=1,"1. Under 1 hour",IF(G5607&lt;=24,"2. 1-24 hours",IF(G5607&lt;=72,"3. 1-3 days","4. Over 3 days")))</f>
        <v/>
      </c>
      <c r="O5607">
        <f>TEXT(B5607,"YYYY-MM")</f>
        <v/>
      </c>
    </row>
    <row r="5608">
      <c r="A5608" t="inlineStr">
        <is>
          <t>LD-305606</t>
        </is>
      </c>
      <c r="B5608" t="inlineStr">
        <is>
          <t>2025-08-12 08:04:00</t>
        </is>
      </c>
      <c r="C5608" t="inlineStr">
        <is>
          <t>Organic Search</t>
        </is>
      </c>
      <c r="D5608" t="inlineStr">
        <is>
          <t>Coding for Kids</t>
        </is>
      </c>
      <c r="E5608" t="inlineStr">
        <is>
          <t>North Region</t>
        </is>
      </c>
      <c r="F5608" t="inlineStr">
        <is>
          <t>Rep_11</t>
        </is>
      </c>
      <c r="G5608" t="n">
        <v>7.66</v>
      </c>
      <c r="H5608" t="inlineStr">
        <is>
          <t>Closed</t>
        </is>
      </c>
      <c r="I5608" t="inlineStr">
        <is>
          <t>Won</t>
        </is>
      </c>
      <c r="K5608" t="n">
        <v>710.1799999999999</v>
      </c>
      <c r="L5608" t="inlineStr">
        <is>
          <t>2025-09-24 22:31:01.463072</t>
        </is>
      </c>
      <c r="M5608">
        <f>VLOOKUP(H5608,'Stage Order'!$A$2:$B$8,2,FALSE)</f>
        <v/>
      </c>
      <c r="N5608">
        <f>IF(G5608&lt;=1,"1. Under 1 hour",IF(G5608&lt;=24,"2. 1-24 hours",IF(G5608&lt;=72,"3. 1-3 days","4. Over 3 days")))</f>
        <v/>
      </c>
      <c r="O5608">
        <f>TEXT(B5608,"YYYY-MM")</f>
        <v/>
      </c>
    </row>
    <row r="5609">
      <c r="A5609" t="inlineStr">
        <is>
          <t>LD-305607</t>
        </is>
      </c>
      <c r="B5609" t="inlineStr">
        <is>
          <t>2026-06-23 12:48:00</t>
        </is>
      </c>
      <c r="C5609" t="inlineStr">
        <is>
          <t>Social Media</t>
        </is>
      </c>
      <c r="D5609" t="inlineStr">
        <is>
          <t>Language Learning</t>
        </is>
      </c>
      <c r="E5609" t="inlineStr">
        <is>
          <t>North Region</t>
        </is>
      </c>
      <c r="F5609" t="inlineStr">
        <is>
          <t>Rep_01</t>
        </is>
      </c>
      <c r="G5609" t="n">
        <v>7.33</v>
      </c>
      <c r="H5609" t="inlineStr">
        <is>
          <t>Contacted</t>
        </is>
      </c>
      <c r="I5609" t="inlineStr">
        <is>
          <t>Open</t>
        </is>
      </c>
      <c r="M5609">
        <f>VLOOKUP(H5609,'Stage Order'!$A$2:$B$8,2,FALSE)</f>
        <v/>
      </c>
      <c r="N5609">
        <f>IF(G5609&lt;=1,"1. Under 1 hour",IF(G5609&lt;=24,"2. 1-24 hours",IF(G5609&lt;=72,"3. 1-3 days","4. Over 3 days")))</f>
        <v/>
      </c>
      <c r="O5609">
        <f>TEXT(B5609,"YYYY-MM")</f>
        <v/>
      </c>
    </row>
    <row r="5610">
      <c r="A5610" t="inlineStr">
        <is>
          <t>LD-305608</t>
        </is>
      </c>
      <c r="B5610" t="inlineStr">
        <is>
          <t>2025-06-06 13:06:00</t>
        </is>
      </c>
      <c r="C5610" t="inlineStr">
        <is>
          <t>Social Media</t>
        </is>
      </c>
      <c r="D5610" t="inlineStr">
        <is>
          <t>Language Learning</t>
        </is>
      </c>
      <c r="E5610" t="inlineStr">
        <is>
          <t>North Region</t>
        </is>
      </c>
      <c r="F5610" t="inlineStr">
        <is>
          <t>Rep_11</t>
        </is>
      </c>
      <c r="G5610" t="n">
        <v>1.27</v>
      </c>
      <c r="H5610" t="inlineStr">
        <is>
          <t>Contacted</t>
        </is>
      </c>
      <c r="I5610" t="inlineStr">
        <is>
          <t>Open</t>
        </is>
      </c>
      <c r="M5610">
        <f>VLOOKUP(H5610,'Stage Order'!$A$2:$B$8,2,FALSE)</f>
        <v/>
      </c>
      <c r="N5610">
        <f>IF(G5610&lt;=1,"1. Under 1 hour",IF(G5610&lt;=24,"2. 1-24 hours",IF(G5610&lt;=72,"3. 1-3 days","4. Over 3 days")))</f>
        <v/>
      </c>
      <c r="O5610">
        <f>TEXT(B5610,"YYYY-MM")</f>
        <v/>
      </c>
    </row>
    <row r="5611">
      <c r="A5611" t="inlineStr">
        <is>
          <t>LD-305609</t>
        </is>
      </c>
      <c r="B5611" t="inlineStr">
        <is>
          <t>2025-11-27 08:00:00</t>
        </is>
      </c>
      <c r="C5611" t="inlineStr">
        <is>
          <t>Webinar</t>
        </is>
      </c>
      <c r="D5611" t="inlineStr">
        <is>
          <t>Competitive Exam Prep</t>
        </is>
      </c>
      <c r="E5611" t="inlineStr">
        <is>
          <t>International</t>
        </is>
      </c>
      <c r="F5611" t="inlineStr">
        <is>
          <t>Rep_15</t>
        </is>
      </c>
      <c r="G5611" t="n">
        <v>0.82</v>
      </c>
      <c r="H5611" t="inlineStr">
        <is>
          <t>Closed</t>
        </is>
      </c>
      <c r="I5611" t="inlineStr">
        <is>
          <t>Won</t>
        </is>
      </c>
      <c r="K5611" t="n">
        <v>1025.14</v>
      </c>
      <c r="L5611" t="inlineStr">
        <is>
          <t>2025-12-29 21:06:32.033363</t>
        </is>
      </c>
      <c r="M5611">
        <f>VLOOKUP(H5611,'Stage Order'!$A$2:$B$8,2,FALSE)</f>
        <v/>
      </c>
      <c r="N5611">
        <f>IF(G5611&lt;=1,"1. Under 1 hour",IF(G5611&lt;=24,"2. 1-24 hours",IF(G5611&lt;=72,"3. 1-3 days","4. Over 3 days")))</f>
        <v/>
      </c>
      <c r="O5611">
        <f>TEXT(B5611,"YYYY-MM")</f>
        <v/>
      </c>
    </row>
    <row r="5612">
      <c r="A5612" t="inlineStr">
        <is>
          <t>LD-305610</t>
        </is>
      </c>
      <c r="B5612" t="inlineStr">
        <is>
          <t>2025-01-13 10:55:00</t>
        </is>
      </c>
      <c r="C5612" t="inlineStr">
        <is>
          <t>Referral</t>
        </is>
      </c>
      <c r="D5612" t="inlineStr">
        <is>
          <t>Study Abroad Prep</t>
        </is>
      </c>
      <c r="E5612" t="inlineStr">
        <is>
          <t>East Region</t>
        </is>
      </c>
      <c r="F5612" t="inlineStr">
        <is>
          <t>Rep_14</t>
        </is>
      </c>
      <c r="G5612" t="n">
        <v>3.1</v>
      </c>
      <c r="H5612" t="inlineStr">
        <is>
          <t>Contacted</t>
        </is>
      </c>
      <c r="I5612" t="inlineStr">
        <is>
          <t>Open</t>
        </is>
      </c>
      <c r="M5612">
        <f>VLOOKUP(H5612,'Stage Order'!$A$2:$B$8,2,FALSE)</f>
        <v/>
      </c>
      <c r="N5612">
        <f>IF(G5612&lt;=1,"1. Under 1 hour",IF(G5612&lt;=24,"2. 1-24 hours",IF(G5612&lt;=72,"3. 1-3 days","4. Over 3 days")))</f>
        <v/>
      </c>
      <c r="O5612">
        <f>TEXT(B5612,"YYYY-MM")</f>
        <v/>
      </c>
    </row>
    <row r="5613">
      <c r="A5613" t="inlineStr">
        <is>
          <t>LD-305611</t>
        </is>
      </c>
      <c r="B5613" t="inlineStr">
        <is>
          <t>2025-10-17 10:22:00</t>
        </is>
      </c>
      <c r="C5613" t="inlineStr">
        <is>
          <t>Social Media</t>
        </is>
      </c>
      <c r="D5613" t="inlineStr">
        <is>
          <t>Coding for Kids</t>
        </is>
      </c>
      <c r="E5613" t="inlineStr">
        <is>
          <t>South Region</t>
        </is>
      </c>
      <c r="F5613" t="inlineStr">
        <is>
          <t>Rep_02</t>
        </is>
      </c>
      <c r="G5613" t="n">
        <v>11.68</v>
      </c>
      <c r="H5613" t="inlineStr">
        <is>
          <t>Contacted</t>
        </is>
      </c>
      <c r="I5613" t="inlineStr">
        <is>
          <t>Open</t>
        </is>
      </c>
      <c r="M5613">
        <f>VLOOKUP(H5613,'Stage Order'!$A$2:$B$8,2,FALSE)</f>
        <v/>
      </c>
      <c r="N5613">
        <f>IF(G5613&lt;=1,"1. Under 1 hour",IF(G5613&lt;=24,"2. 1-24 hours",IF(G5613&lt;=72,"3. 1-3 days","4. Over 3 days")))</f>
        <v/>
      </c>
      <c r="O5613">
        <f>TEXT(B5613,"YYYY-MM")</f>
        <v/>
      </c>
    </row>
    <row r="5614">
      <c r="A5614" t="inlineStr">
        <is>
          <t>LD-305612</t>
        </is>
      </c>
      <c r="B5614" t="inlineStr">
        <is>
          <t>2025-01-17 11:06:00</t>
        </is>
      </c>
      <c r="C5614" t="inlineStr">
        <is>
          <t>Referral</t>
        </is>
      </c>
      <c r="D5614" t="inlineStr">
        <is>
          <t>Coding for Kids</t>
        </is>
      </c>
      <c r="E5614" t="inlineStr">
        <is>
          <t>International</t>
        </is>
      </c>
      <c r="F5614" t="inlineStr">
        <is>
          <t>Rep_15</t>
        </is>
      </c>
      <c r="G5614" t="n">
        <v>2.18</v>
      </c>
      <c r="H5614" t="inlineStr">
        <is>
          <t>Closed</t>
        </is>
      </c>
      <c r="I5614" t="inlineStr">
        <is>
          <t>Won</t>
        </is>
      </c>
      <c r="K5614" t="n">
        <v>769.53</v>
      </c>
      <c r="L5614" t="inlineStr">
        <is>
          <t>2025-03-08 04:05:50.216810</t>
        </is>
      </c>
      <c r="M5614">
        <f>VLOOKUP(H5614,'Stage Order'!$A$2:$B$8,2,FALSE)</f>
        <v/>
      </c>
      <c r="N5614">
        <f>IF(G5614&lt;=1,"1. Under 1 hour",IF(G5614&lt;=24,"2. 1-24 hours",IF(G5614&lt;=72,"3. 1-3 days","4. Over 3 days")))</f>
        <v/>
      </c>
      <c r="O5614">
        <f>TEXT(B5614,"YYYY-MM")</f>
        <v/>
      </c>
    </row>
    <row r="5615">
      <c r="A5615" t="inlineStr">
        <is>
          <t>LD-305613</t>
        </is>
      </c>
      <c r="B5615" t="inlineStr">
        <is>
          <t>2026-02-11 11:24:00</t>
        </is>
      </c>
      <c r="C5615" t="inlineStr">
        <is>
          <t>Organic Search</t>
        </is>
      </c>
      <c r="D5615" t="inlineStr">
        <is>
          <t>K-12 Math</t>
        </is>
      </c>
      <c r="E5615" t="inlineStr">
        <is>
          <t>North Region</t>
        </is>
      </c>
      <c r="F5615" t="inlineStr">
        <is>
          <t>Rep_01</t>
        </is>
      </c>
      <c r="G5615" t="n">
        <v>2.18</v>
      </c>
      <c r="H5615" t="inlineStr">
        <is>
          <t>Contacted</t>
        </is>
      </c>
      <c r="I5615" t="inlineStr">
        <is>
          <t>Open</t>
        </is>
      </c>
      <c r="M5615">
        <f>VLOOKUP(H5615,'Stage Order'!$A$2:$B$8,2,FALSE)</f>
        <v/>
      </c>
      <c r="N5615">
        <f>IF(G5615&lt;=1,"1. Under 1 hour",IF(G5615&lt;=24,"2. 1-24 hours",IF(G5615&lt;=72,"3. 1-3 days","4. Over 3 days")))</f>
        <v/>
      </c>
      <c r="O5615">
        <f>TEXT(B5615,"YYYY-MM")</f>
        <v/>
      </c>
    </row>
    <row r="5616">
      <c r="A5616" t="inlineStr">
        <is>
          <t>LD-305614</t>
        </is>
      </c>
      <c r="B5616" t="inlineStr">
        <is>
          <t>2025-07-09 19:48:00</t>
        </is>
      </c>
      <c r="C5616" t="inlineStr">
        <is>
          <t>Paid Search</t>
        </is>
      </c>
      <c r="D5616" t="inlineStr">
        <is>
          <t>Competitive Exam Prep</t>
        </is>
      </c>
      <c r="E5616" t="inlineStr">
        <is>
          <t>South Region</t>
        </is>
      </c>
      <c r="F5616" t="inlineStr">
        <is>
          <t>Rep_02</t>
        </is>
      </c>
      <c r="G5616" t="n">
        <v>7.42</v>
      </c>
      <c r="H5616" t="inlineStr">
        <is>
          <t>Demo Completed</t>
        </is>
      </c>
      <c r="I5616" t="inlineStr">
        <is>
          <t>Lost</t>
        </is>
      </c>
      <c r="J5616" t="inlineStr">
        <is>
          <t>No Response / Ghosted</t>
        </is>
      </c>
      <c r="K5616" t="n">
        <v>1142.72</v>
      </c>
      <c r="L5616" t="inlineStr">
        <is>
          <t>2025-08-11 15:19:27.070843</t>
        </is>
      </c>
      <c r="M5616">
        <f>VLOOKUP(H5616,'Stage Order'!$A$2:$B$8,2,FALSE)</f>
        <v/>
      </c>
      <c r="N5616">
        <f>IF(G5616&lt;=1,"1. Under 1 hour",IF(G5616&lt;=24,"2. 1-24 hours",IF(G5616&lt;=72,"3. 1-3 days","4. Over 3 days")))</f>
        <v/>
      </c>
      <c r="O5616">
        <f>TEXT(B5616,"YYYY-MM")</f>
        <v/>
      </c>
    </row>
    <row r="5617">
      <c r="A5617" t="inlineStr">
        <is>
          <t>LD-305615</t>
        </is>
      </c>
      <c r="B5617" t="inlineStr">
        <is>
          <t>2025-10-21 12:40:00</t>
        </is>
      </c>
      <c r="C5617" t="inlineStr">
        <is>
          <t>Social Media</t>
        </is>
      </c>
      <c r="D5617" t="inlineStr">
        <is>
          <t>Coding for Kids</t>
        </is>
      </c>
      <c r="E5617" t="inlineStr">
        <is>
          <t>West Region</t>
        </is>
      </c>
      <c r="F5617" t="inlineStr">
        <is>
          <t>Rep_13</t>
        </is>
      </c>
      <c r="G5617" t="n">
        <v>9.880000000000001</v>
      </c>
      <c r="H5617" t="inlineStr">
        <is>
          <t>Negotiation</t>
        </is>
      </c>
      <c r="I5617" t="inlineStr">
        <is>
          <t>Lost</t>
        </is>
      </c>
      <c r="J5617" t="inlineStr">
        <is>
          <t>Went With Competitor</t>
        </is>
      </c>
      <c r="K5617" t="n">
        <v>763.62</v>
      </c>
      <c r="L5617" t="inlineStr">
        <is>
          <t>2025-11-21 17:45:05.696507</t>
        </is>
      </c>
      <c r="M5617">
        <f>VLOOKUP(H5617,'Stage Order'!$A$2:$B$8,2,FALSE)</f>
        <v/>
      </c>
      <c r="N5617">
        <f>IF(G5617&lt;=1,"1. Under 1 hour",IF(G5617&lt;=24,"2. 1-24 hours",IF(G5617&lt;=72,"3. 1-3 days","4. Over 3 days")))</f>
        <v/>
      </c>
      <c r="O5617">
        <f>TEXT(B5617,"YYYY-MM")</f>
        <v/>
      </c>
    </row>
    <row r="5618">
      <c r="A5618" t="inlineStr">
        <is>
          <t>LD-305616</t>
        </is>
      </c>
      <c r="B5618" t="inlineStr">
        <is>
          <t>2025-09-10 09:19:00</t>
        </is>
      </c>
      <c r="C5618" t="inlineStr">
        <is>
          <t>Paid Search</t>
        </is>
      </c>
      <c r="D5618" t="inlineStr">
        <is>
          <t>Competitive Exam Prep</t>
        </is>
      </c>
      <c r="E5618" t="inlineStr">
        <is>
          <t>West Region</t>
        </is>
      </c>
      <c r="F5618" t="inlineStr">
        <is>
          <t>Rep_13</t>
        </is>
      </c>
      <c r="G5618" t="n">
        <v>0.63</v>
      </c>
      <c r="H5618" t="inlineStr">
        <is>
          <t>Closed</t>
        </is>
      </c>
      <c r="I5618" t="inlineStr">
        <is>
          <t>Won</t>
        </is>
      </c>
      <c r="K5618" t="n">
        <v>931.4400000000001</v>
      </c>
      <c r="L5618" t="inlineStr">
        <is>
          <t>2025-10-17 08:23:15.017663</t>
        </is>
      </c>
      <c r="M5618">
        <f>VLOOKUP(H5618,'Stage Order'!$A$2:$B$8,2,FALSE)</f>
        <v/>
      </c>
      <c r="N5618">
        <f>IF(G5618&lt;=1,"1. Under 1 hour",IF(G5618&lt;=24,"2. 1-24 hours",IF(G5618&lt;=72,"3. 1-3 days","4. Over 3 days")))</f>
        <v/>
      </c>
      <c r="O5618">
        <f>TEXT(B5618,"YYYY-MM")</f>
        <v/>
      </c>
    </row>
    <row r="5619">
      <c r="A5619" t="inlineStr">
        <is>
          <t>LD-305617</t>
        </is>
      </c>
      <c r="B5619" t="inlineStr">
        <is>
          <t>2025-10-31 20:51:00</t>
        </is>
      </c>
      <c r="C5619" t="inlineStr">
        <is>
          <t>Organic Search</t>
        </is>
      </c>
      <c r="D5619" t="inlineStr">
        <is>
          <t>K-12 Math</t>
        </is>
      </c>
      <c r="E5619" t="inlineStr">
        <is>
          <t>East Region</t>
        </is>
      </c>
      <c r="F5619" t="inlineStr">
        <is>
          <t>Rep_14</t>
        </is>
      </c>
      <c r="G5619" t="n">
        <v>3.25</v>
      </c>
      <c r="H5619" t="inlineStr">
        <is>
          <t>Contacted</t>
        </is>
      </c>
      <c r="I5619" t="inlineStr">
        <is>
          <t>Open</t>
        </is>
      </c>
      <c r="M5619">
        <f>VLOOKUP(H5619,'Stage Order'!$A$2:$B$8,2,FALSE)</f>
        <v/>
      </c>
      <c r="N5619">
        <f>IF(G5619&lt;=1,"1. Under 1 hour",IF(G5619&lt;=24,"2. 1-24 hours",IF(G5619&lt;=72,"3. 1-3 days","4. Over 3 days")))</f>
        <v/>
      </c>
      <c r="O5619">
        <f>TEXT(B5619,"YYYY-MM")</f>
        <v/>
      </c>
    </row>
    <row r="5620">
      <c r="A5620" t="inlineStr">
        <is>
          <t>LD-305618</t>
        </is>
      </c>
      <c r="B5620" t="inlineStr">
        <is>
          <t>2025-08-12 13:22:00</t>
        </is>
      </c>
      <c r="C5620" t="inlineStr">
        <is>
          <t>Webinar</t>
        </is>
      </c>
      <c r="D5620" t="inlineStr">
        <is>
          <t>Language Learning</t>
        </is>
      </c>
      <c r="E5620" t="inlineStr">
        <is>
          <t>North Region</t>
        </is>
      </c>
      <c r="F5620" t="inlineStr">
        <is>
          <t>Rep_11</t>
        </is>
      </c>
      <c r="G5620" t="n">
        <v>10.81</v>
      </c>
      <c r="H5620" t="inlineStr">
        <is>
          <t>Negotiation</t>
        </is>
      </c>
      <c r="I5620" t="inlineStr">
        <is>
          <t>Lost</t>
        </is>
      </c>
      <c r="J5620" t="inlineStr">
        <is>
          <t>Went With Competitor</t>
        </is>
      </c>
      <c r="K5620" t="n">
        <v>310.28</v>
      </c>
      <c r="L5620" t="inlineStr">
        <is>
          <t>2025-10-05 14:20:17.380079</t>
        </is>
      </c>
      <c r="M5620">
        <f>VLOOKUP(H5620,'Stage Order'!$A$2:$B$8,2,FALSE)</f>
        <v/>
      </c>
      <c r="N5620">
        <f>IF(G5620&lt;=1,"1. Under 1 hour",IF(G5620&lt;=24,"2. 1-24 hours",IF(G5620&lt;=72,"3. 1-3 days","4. Over 3 days")))</f>
        <v/>
      </c>
      <c r="O5620">
        <f>TEXT(B5620,"YYYY-MM")</f>
        <v/>
      </c>
    </row>
    <row r="5621">
      <c r="A5621" t="inlineStr">
        <is>
          <t>LD-305619</t>
        </is>
      </c>
      <c r="B5621" t="inlineStr">
        <is>
          <t>2025-07-07 19:24:00</t>
        </is>
      </c>
      <c r="C5621" t="inlineStr">
        <is>
          <t>Referral</t>
        </is>
      </c>
      <c r="D5621" t="inlineStr">
        <is>
          <t>Coding for Kids</t>
        </is>
      </c>
      <c r="E5621" t="inlineStr">
        <is>
          <t>International</t>
        </is>
      </c>
      <c r="F5621" t="inlineStr">
        <is>
          <t>Rep_10</t>
        </is>
      </c>
      <c r="G5621" t="n">
        <v>5.64</v>
      </c>
      <c r="H5621" t="inlineStr">
        <is>
          <t>Demo Completed</t>
        </is>
      </c>
      <c r="I5621" t="inlineStr">
        <is>
          <t>Lost</t>
        </is>
      </c>
      <c r="J5621" t="inlineStr">
        <is>
          <t>Price Objection</t>
        </is>
      </c>
      <c r="K5621" t="n">
        <v>624.55</v>
      </c>
      <c r="L5621" t="inlineStr">
        <is>
          <t>2025-08-09 02:03:09.657531</t>
        </is>
      </c>
      <c r="M5621">
        <f>VLOOKUP(H5621,'Stage Order'!$A$2:$B$8,2,FALSE)</f>
        <v/>
      </c>
      <c r="N5621">
        <f>IF(G5621&lt;=1,"1. Under 1 hour",IF(G5621&lt;=24,"2. 1-24 hours",IF(G5621&lt;=72,"3. 1-3 days","4. Over 3 days")))</f>
        <v/>
      </c>
      <c r="O5621">
        <f>TEXT(B5621,"YYYY-MM")</f>
        <v/>
      </c>
    </row>
    <row r="5622">
      <c r="A5622" t="inlineStr">
        <is>
          <t>LD-305620</t>
        </is>
      </c>
      <c r="B5622" t="inlineStr">
        <is>
          <t>2026-06-03 08:56:00</t>
        </is>
      </c>
      <c r="C5622" t="inlineStr">
        <is>
          <t>Organic Search</t>
        </is>
      </c>
      <c r="D5622" t="inlineStr">
        <is>
          <t>Coding for Kids</t>
        </is>
      </c>
      <c r="E5622" t="inlineStr">
        <is>
          <t>West Region</t>
        </is>
      </c>
      <c r="F5622" t="inlineStr">
        <is>
          <t>Rep_08</t>
        </is>
      </c>
      <c r="G5622" t="n">
        <v>3.03</v>
      </c>
      <c r="H5622" t="inlineStr">
        <is>
          <t>Closed</t>
        </is>
      </c>
      <c r="I5622" t="inlineStr">
        <is>
          <t>Won</t>
        </is>
      </c>
      <c r="K5622" t="n">
        <v>629.67</v>
      </c>
      <c r="L5622" t="inlineStr">
        <is>
          <t>2026-07-01 07:23:52.183174</t>
        </is>
      </c>
      <c r="M5622">
        <f>VLOOKUP(H5622,'Stage Order'!$A$2:$B$8,2,FALSE)</f>
        <v/>
      </c>
      <c r="N5622">
        <f>IF(G5622&lt;=1,"1. Under 1 hour",IF(G5622&lt;=24,"2. 1-24 hours",IF(G5622&lt;=72,"3. 1-3 days","4. Over 3 days")))</f>
        <v/>
      </c>
      <c r="O5622">
        <f>TEXT(B5622,"YYYY-MM")</f>
        <v/>
      </c>
    </row>
    <row r="5623">
      <c r="A5623" t="inlineStr">
        <is>
          <t>LD-305621</t>
        </is>
      </c>
      <c r="B5623" t="inlineStr">
        <is>
          <t>2026-01-02 17:54:00</t>
        </is>
      </c>
      <c r="C5623" t="inlineStr">
        <is>
          <t>Referral</t>
        </is>
      </c>
      <c r="D5623" t="inlineStr">
        <is>
          <t>Study Abroad Prep</t>
        </is>
      </c>
      <c r="E5623" t="inlineStr">
        <is>
          <t>South Region</t>
        </is>
      </c>
      <c r="F5623" t="inlineStr">
        <is>
          <t>Rep_12</t>
        </is>
      </c>
      <c r="G5623" t="n">
        <v>8.08</v>
      </c>
      <c r="H5623" t="inlineStr">
        <is>
          <t>Closed</t>
        </is>
      </c>
      <c r="I5623" t="inlineStr">
        <is>
          <t>Won</t>
        </is>
      </c>
      <c r="K5623" t="n">
        <v>1619.21</v>
      </c>
      <c r="L5623" t="inlineStr">
        <is>
          <t>2026-02-07 18:51:54.403608</t>
        </is>
      </c>
      <c r="M5623">
        <f>VLOOKUP(H5623,'Stage Order'!$A$2:$B$8,2,FALSE)</f>
        <v/>
      </c>
      <c r="N5623">
        <f>IF(G5623&lt;=1,"1. Under 1 hour",IF(G5623&lt;=24,"2. 1-24 hours",IF(G5623&lt;=72,"3. 1-3 days","4. Over 3 days")))</f>
        <v/>
      </c>
      <c r="O5623">
        <f>TEXT(B5623,"YYYY-MM")</f>
        <v/>
      </c>
    </row>
    <row r="5624">
      <c r="A5624" t="inlineStr">
        <is>
          <t>LD-305622</t>
        </is>
      </c>
      <c r="B5624" t="inlineStr">
        <is>
          <t>2026-05-22 14:12:00</t>
        </is>
      </c>
      <c r="C5624" t="inlineStr">
        <is>
          <t>Referral</t>
        </is>
      </c>
      <c r="D5624" t="inlineStr">
        <is>
          <t>K-12 Math</t>
        </is>
      </c>
      <c r="E5624" t="inlineStr">
        <is>
          <t>South Region</t>
        </is>
      </c>
      <c r="F5624" t="inlineStr">
        <is>
          <t>Rep_12</t>
        </is>
      </c>
      <c r="G5624" t="n">
        <v>2.34</v>
      </c>
      <c r="H5624" t="inlineStr">
        <is>
          <t>Contacted</t>
        </is>
      </c>
      <c r="I5624" t="inlineStr">
        <is>
          <t>Open</t>
        </is>
      </c>
      <c r="M5624">
        <f>VLOOKUP(H5624,'Stage Order'!$A$2:$B$8,2,FALSE)</f>
        <v/>
      </c>
      <c r="N5624">
        <f>IF(G5624&lt;=1,"1. Under 1 hour",IF(G5624&lt;=24,"2. 1-24 hours",IF(G5624&lt;=72,"3. 1-3 days","4. Over 3 days")))</f>
        <v/>
      </c>
      <c r="O5624">
        <f>TEXT(B5624,"YYYY-MM")</f>
        <v/>
      </c>
    </row>
    <row r="5625">
      <c r="A5625" t="inlineStr">
        <is>
          <t>LD-305623</t>
        </is>
      </c>
      <c r="B5625" t="inlineStr">
        <is>
          <t>2025-07-03 17:04:00</t>
        </is>
      </c>
      <c r="C5625" t="inlineStr">
        <is>
          <t>Organic Search</t>
        </is>
      </c>
      <c r="D5625" t="inlineStr">
        <is>
          <t>Language Learning</t>
        </is>
      </c>
      <c r="E5625" t="inlineStr">
        <is>
          <t>East Region</t>
        </is>
      </c>
      <c r="F5625" t="inlineStr">
        <is>
          <t>Rep_09</t>
        </is>
      </c>
      <c r="G5625" t="n">
        <v>3.15</v>
      </c>
      <c r="H5625" t="inlineStr">
        <is>
          <t>Contacted</t>
        </is>
      </c>
      <c r="I5625" t="inlineStr">
        <is>
          <t>Open</t>
        </is>
      </c>
      <c r="M5625">
        <f>VLOOKUP(H5625,'Stage Order'!$A$2:$B$8,2,FALSE)</f>
        <v/>
      </c>
      <c r="N5625">
        <f>IF(G5625&lt;=1,"1. Under 1 hour",IF(G5625&lt;=24,"2. 1-24 hours",IF(G5625&lt;=72,"3. 1-3 days","4. Over 3 days")))</f>
        <v/>
      </c>
      <c r="O5625">
        <f>TEXT(B5625,"YYYY-MM")</f>
        <v/>
      </c>
    </row>
    <row r="5626">
      <c r="A5626" t="inlineStr">
        <is>
          <t>LD-305624</t>
        </is>
      </c>
      <c r="B5626" t="inlineStr">
        <is>
          <t>2025-06-12 08:29:00</t>
        </is>
      </c>
      <c r="C5626" t="inlineStr">
        <is>
          <t>Paid Search</t>
        </is>
      </c>
      <c r="D5626" t="inlineStr">
        <is>
          <t>Language Learning</t>
        </is>
      </c>
      <c r="E5626" t="inlineStr">
        <is>
          <t>West Region</t>
        </is>
      </c>
      <c r="F5626" t="inlineStr">
        <is>
          <t>Rep_03</t>
        </is>
      </c>
      <c r="G5626" t="n">
        <v>2.03</v>
      </c>
      <c r="H5626" t="inlineStr">
        <is>
          <t>Lead</t>
        </is>
      </c>
      <c r="I5626" t="inlineStr">
        <is>
          <t>Open</t>
        </is>
      </c>
      <c r="M5626">
        <f>VLOOKUP(H5626,'Stage Order'!$A$2:$B$8,2,FALSE)</f>
        <v/>
      </c>
      <c r="N5626">
        <f>IF(G5626&lt;=1,"1. Under 1 hour",IF(G5626&lt;=24,"2. 1-24 hours",IF(G5626&lt;=72,"3. 1-3 days","4. Over 3 days")))</f>
        <v/>
      </c>
      <c r="O5626">
        <f>TEXT(B5626,"YYYY-MM")</f>
        <v/>
      </c>
    </row>
    <row r="5627">
      <c r="A5627" t="inlineStr">
        <is>
          <t>LD-305625</t>
        </is>
      </c>
      <c r="B5627" t="inlineStr">
        <is>
          <t>2025-09-11 17:36:00</t>
        </is>
      </c>
      <c r="C5627" t="inlineStr">
        <is>
          <t>Organic Search</t>
        </is>
      </c>
      <c r="D5627" t="inlineStr">
        <is>
          <t>K-12 Math</t>
        </is>
      </c>
      <c r="E5627" t="inlineStr">
        <is>
          <t>North Region</t>
        </is>
      </c>
      <c r="F5627" t="inlineStr">
        <is>
          <t>Rep_06</t>
        </is>
      </c>
      <c r="G5627" t="n">
        <v>4.49</v>
      </c>
      <c r="H5627" t="inlineStr">
        <is>
          <t>Closed</t>
        </is>
      </c>
      <c r="I5627" t="inlineStr">
        <is>
          <t>Won</t>
        </is>
      </c>
      <c r="K5627" t="n">
        <v>457.24</v>
      </c>
      <c r="L5627" t="inlineStr">
        <is>
          <t>2025-10-20 21:07:39.088388</t>
        </is>
      </c>
      <c r="M5627">
        <f>VLOOKUP(H5627,'Stage Order'!$A$2:$B$8,2,FALSE)</f>
        <v/>
      </c>
      <c r="N5627">
        <f>IF(G5627&lt;=1,"1. Under 1 hour",IF(G5627&lt;=24,"2. 1-24 hours",IF(G5627&lt;=72,"3. 1-3 days","4. Over 3 days")))</f>
        <v/>
      </c>
      <c r="O5627">
        <f>TEXT(B5627,"YYYY-MM")</f>
        <v/>
      </c>
    </row>
    <row r="5628">
      <c r="A5628" t="inlineStr">
        <is>
          <t>LD-305626</t>
        </is>
      </c>
      <c r="B5628" t="inlineStr">
        <is>
          <t>2025-02-25 13:30:00</t>
        </is>
      </c>
      <c r="C5628" t="inlineStr">
        <is>
          <t>Referral</t>
        </is>
      </c>
      <c r="D5628" t="inlineStr">
        <is>
          <t>Coding for Kids</t>
        </is>
      </c>
      <c r="E5628" t="inlineStr">
        <is>
          <t>East Region</t>
        </is>
      </c>
      <c r="F5628" t="inlineStr">
        <is>
          <t>Rep_14</t>
        </is>
      </c>
      <c r="G5628" t="n">
        <v>1.59</v>
      </c>
      <c r="H5628" t="inlineStr">
        <is>
          <t>Contacted</t>
        </is>
      </c>
      <c r="I5628" t="inlineStr">
        <is>
          <t>Open</t>
        </is>
      </c>
      <c r="M5628">
        <f>VLOOKUP(H5628,'Stage Order'!$A$2:$B$8,2,FALSE)</f>
        <v/>
      </c>
      <c r="N5628">
        <f>IF(G5628&lt;=1,"1. Under 1 hour",IF(G5628&lt;=24,"2. 1-24 hours",IF(G5628&lt;=72,"3. 1-3 days","4. Over 3 days")))</f>
        <v/>
      </c>
      <c r="O5628">
        <f>TEXT(B5628,"YYYY-MM")</f>
        <v/>
      </c>
    </row>
    <row r="5629">
      <c r="A5629" t="inlineStr">
        <is>
          <t>LD-305627</t>
        </is>
      </c>
      <c r="B5629" t="inlineStr">
        <is>
          <t>2026-04-16 08:16:00</t>
        </is>
      </c>
      <c r="C5629" t="inlineStr">
        <is>
          <t>Webinar</t>
        </is>
      </c>
      <c r="D5629" t="inlineStr">
        <is>
          <t>Language Learning</t>
        </is>
      </c>
      <c r="E5629" t="inlineStr">
        <is>
          <t>East Region</t>
        </is>
      </c>
      <c r="F5629" t="inlineStr">
        <is>
          <t>Rep_04</t>
        </is>
      </c>
      <c r="G5629" t="n">
        <v>3.46</v>
      </c>
      <c r="H5629" t="inlineStr">
        <is>
          <t>Lead</t>
        </is>
      </c>
      <c r="I5629" t="inlineStr">
        <is>
          <t>Open</t>
        </is>
      </c>
      <c r="M5629">
        <f>VLOOKUP(H5629,'Stage Order'!$A$2:$B$8,2,FALSE)</f>
        <v/>
      </c>
      <c r="N5629">
        <f>IF(G5629&lt;=1,"1. Under 1 hour",IF(G5629&lt;=24,"2. 1-24 hours",IF(G5629&lt;=72,"3. 1-3 days","4. Over 3 days")))</f>
        <v/>
      </c>
      <c r="O5629">
        <f>TEXT(B5629,"YYYY-MM")</f>
        <v/>
      </c>
    </row>
    <row r="5630">
      <c r="A5630" t="inlineStr">
        <is>
          <t>LD-305628</t>
        </is>
      </c>
      <c r="B5630" t="inlineStr">
        <is>
          <t>2025-07-24 13:16:00</t>
        </is>
      </c>
      <c r="C5630" t="inlineStr">
        <is>
          <t>Paid Search</t>
        </is>
      </c>
      <c r="D5630" t="inlineStr">
        <is>
          <t>Competitive Exam Prep</t>
        </is>
      </c>
      <c r="E5630" t="inlineStr">
        <is>
          <t>International</t>
        </is>
      </c>
      <c r="F5630" t="inlineStr">
        <is>
          <t>Rep_15</t>
        </is>
      </c>
      <c r="G5630" t="n">
        <v>13.74</v>
      </c>
      <c r="H5630" t="inlineStr">
        <is>
          <t>Contacted</t>
        </is>
      </c>
      <c r="I5630" t="inlineStr">
        <is>
          <t>Open</t>
        </is>
      </c>
      <c r="M5630">
        <f>VLOOKUP(H5630,'Stage Order'!$A$2:$B$8,2,FALSE)</f>
        <v/>
      </c>
      <c r="N5630">
        <f>IF(G5630&lt;=1,"1. Under 1 hour",IF(G5630&lt;=24,"2. 1-24 hours",IF(G5630&lt;=72,"3. 1-3 days","4. Over 3 days")))</f>
        <v/>
      </c>
      <c r="O5630">
        <f>TEXT(B5630,"YYYY-MM")</f>
        <v/>
      </c>
    </row>
    <row r="5631">
      <c r="A5631" t="inlineStr">
        <is>
          <t>LD-305629</t>
        </is>
      </c>
      <c r="B5631" t="inlineStr">
        <is>
          <t>2025-03-01 20:41:00</t>
        </is>
      </c>
      <c r="C5631" t="inlineStr">
        <is>
          <t>Partner Channel</t>
        </is>
      </c>
      <c r="D5631" t="inlineStr">
        <is>
          <t>Competitive Exam Prep</t>
        </is>
      </c>
      <c r="E5631" t="inlineStr">
        <is>
          <t>West Region</t>
        </is>
      </c>
      <c r="F5631" t="inlineStr">
        <is>
          <t>Rep_08</t>
        </is>
      </c>
      <c r="G5631" t="n">
        <v>18.85</v>
      </c>
      <c r="H5631" t="inlineStr">
        <is>
          <t>Closed</t>
        </is>
      </c>
      <c r="I5631" t="inlineStr">
        <is>
          <t>Won</t>
        </is>
      </c>
      <c r="K5631" t="n">
        <v>873.87</v>
      </c>
      <c r="L5631" t="inlineStr">
        <is>
          <t>2025-04-03 19:04:36.349703</t>
        </is>
      </c>
      <c r="M5631">
        <f>VLOOKUP(H5631,'Stage Order'!$A$2:$B$8,2,FALSE)</f>
        <v/>
      </c>
      <c r="N5631">
        <f>IF(G5631&lt;=1,"1. Under 1 hour",IF(G5631&lt;=24,"2. 1-24 hours",IF(G5631&lt;=72,"3. 1-3 days","4. Over 3 days")))</f>
        <v/>
      </c>
      <c r="O5631">
        <f>TEXT(B5631,"YYYY-MM")</f>
        <v/>
      </c>
    </row>
    <row r="5632">
      <c r="A5632" t="inlineStr">
        <is>
          <t>LD-305630</t>
        </is>
      </c>
      <c r="B5632" t="inlineStr">
        <is>
          <t>2025-10-31 20:42:00</t>
        </is>
      </c>
      <c r="C5632" t="inlineStr">
        <is>
          <t>Organic Search</t>
        </is>
      </c>
      <c r="D5632" t="inlineStr">
        <is>
          <t>Competitive Exam Prep</t>
        </is>
      </c>
      <c r="E5632" t="inlineStr">
        <is>
          <t>South Region</t>
        </is>
      </c>
      <c r="F5632" t="inlineStr">
        <is>
          <t>Rep_07</t>
        </is>
      </c>
      <c r="G5632" t="n">
        <v>5.69</v>
      </c>
      <c r="H5632" t="inlineStr">
        <is>
          <t>Demo Completed</t>
        </is>
      </c>
      <c r="I5632" t="inlineStr">
        <is>
          <t>Lost</t>
        </is>
      </c>
      <c r="J5632" t="inlineStr">
        <is>
          <t>Budget Not Approved</t>
        </is>
      </c>
      <c r="K5632" t="n">
        <v>941</v>
      </c>
      <c r="L5632" t="inlineStr">
        <is>
          <t>2025-12-01 15:19:59.062163</t>
        </is>
      </c>
      <c r="M5632">
        <f>VLOOKUP(H5632,'Stage Order'!$A$2:$B$8,2,FALSE)</f>
        <v/>
      </c>
      <c r="N5632">
        <f>IF(G5632&lt;=1,"1. Under 1 hour",IF(G5632&lt;=24,"2. 1-24 hours",IF(G5632&lt;=72,"3. 1-3 days","4. Over 3 days")))</f>
        <v/>
      </c>
      <c r="O5632">
        <f>TEXT(B5632,"YYYY-MM")</f>
        <v/>
      </c>
    </row>
    <row r="5633">
      <c r="A5633" t="inlineStr">
        <is>
          <t>LD-305631</t>
        </is>
      </c>
      <c r="B5633" t="inlineStr">
        <is>
          <t>2025-01-10 07:32:00</t>
        </is>
      </c>
      <c r="C5633" t="inlineStr">
        <is>
          <t>Organic Search</t>
        </is>
      </c>
      <c r="D5633" t="inlineStr">
        <is>
          <t>K-12 Math</t>
        </is>
      </c>
      <c r="E5633" t="inlineStr">
        <is>
          <t>East Region</t>
        </is>
      </c>
      <c r="F5633" t="inlineStr">
        <is>
          <t>Rep_04</t>
        </is>
      </c>
      <c r="G5633" t="n">
        <v>5.95</v>
      </c>
      <c r="H5633" t="inlineStr">
        <is>
          <t>Contacted</t>
        </is>
      </c>
      <c r="I5633" t="inlineStr">
        <is>
          <t>Open</t>
        </is>
      </c>
      <c r="M5633">
        <f>VLOOKUP(H5633,'Stage Order'!$A$2:$B$8,2,FALSE)</f>
        <v/>
      </c>
      <c r="N5633">
        <f>IF(G5633&lt;=1,"1. Under 1 hour",IF(G5633&lt;=24,"2. 1-24 hours",IF(G5633&lt;=72,"3. 1-3 days","4. Over 3 days")))</f>
        <v/>
      </c>
      <c r="O5633">
        <f>TEXT(B5633,"YYYY-MM")</f>
        <v/>
      </c>
    </row>
    <row r="5634">
      <c r="A5634" t="inlineStr">
        <is>
          <t>LD-305632</t>
        </is>
      </c>
      <c r="B5634" t="inlineStr">
        <is>
          <t>2026-02-25 20:56:00</t>
        </is>
      </c>
      <c r="C5634" t="inlineStr">
        <is>
          <t>Organic Search</t>
        </is>
      </c>
      <c r="D5634" t="inlineStr">
        <is>
          <t>Coding for Kids</t>
        </is>
      </c>
      <c r="E5634" t="inlineStr">
        <is>
          <t>South Region</t>
        </is>
      </c>
      <c r="F5634" t="inlineStr">
        <is>
          <t>Rep_12</t>
        </is>
      </c>
      <c r="G5634" t="n">
        <v>7.93</v>
      </c>
      <c r="H5634" t="inlineStr">
        <is>
          <t>Proposal Sent</t>
        </is>
      </c>
      <c r="I5634" t="inlineStr">
        <is>
          <t>Lost</t>
        </is>
      </c>
      <c r="J5634" t="inlineStr">
        <is>
          <t>Bad Timing</t>
        </is>
      </c>
      <c r="K5634" t="n">
        <v>672.4299999999999</v>
      </c>
      <c r="L5634" t="inlineStr">
        <is>
          <t>2026-04-12 00:15:54.340277</t>
        </is>
      </c>
      <c r="M5634">
        <f>VLOOKUP(H5634,'Stage Order'!$A$2:$B$8,2,FALSE)</f>
        <v/>
      </c>
      <c r="N5634">
        <f>IF(G5634&lt;=1,"1. Under 1 hour",IF(G5634&lt;=24,"2. 1-24 hours",IF(G5634&lt;=72,"3. 1-3 days","4. Over 3 days")))</f>
        <v/>
      </c>
      <c r="O5634">
        <f>TEXT(B5634,"YYYY-MM")</f>
        <v/>
      </c>
    </row>
    <row r="5635">
      <c r="A5635" t="inlineStr">
        <is>
          <t>LD-305633</t>
        </is>
      </c>
      <c r="B5635" t="inlineStr">
        <is>
          <t>2026-04-14 14:49:00</t>
        </is>
      </c>
      <c r="C5635" t="inlineStr">
        <is>
          <t>Organic Search</t>
        </is>
      </c>
      <c r="D5635" t="inlineStr">
        <is>
          <t>Language Learning</t>
        </is>
      </c>
      <c r="E5635" t="inlineStr">
        <is>
          <t>South Region</t>
        </is>
      </c>
      <c r="F5635" t="inlineStr">
        <is>
          <t>Rep_07</t>
        </is>
      </c>
      <c r="G5635" t="n">
        <v>0.6</v>
      </c>
      <c r="H5635" t="inlineStr">
        <is>
          <t>Closed</t>
        </is>
      </c>
      <c r="I5635" t="inlineStr">
        <is>
          <t>Won</t>
        </is>
      </c>
      <c r="K5635" t="n">
        <v>409.03</v>
      </c>
      <c r="L5635" t="inlineStr">
        <is>
          <t>2026-06-03 22:35:55.900359</t>
        </is>
      </c>
      <c r="M5635">
        <f>VLOOKUP(H5635,'Stage Order'!$A$2:$B$8,2,FALSE)</f>
        <v/>
      </c>
      <c r="N5635">
        <f>IF(G5635&lt;=1,"1. Under 1 hour",IF(G5635&lt;=24,"2. 1-24 hours",IF(G5635&lt;=72,"3. 1-3 days","4. Over 3 days")))</f>
        <v/>
      </c>
      <c r="O5635">
        <f>TEXT(B5635,"YYYY-MM")</f>
        <v/>
      </c>
    </row>
    <row r="5636">
      <c r="A5636" t="inlineStr">
        <is>
          <t>LD-305634</t>
        </is>
      </c>
      <c r="B5636" t="inlineStr">
        <is>
          <t>2025-10-16 09:48:00</t>
        </is>
      </c>
      <c r="C5636" t="inlineStr">
        <is>
          <t>Organic Search</t>
        </is>
      </c>
      <c r="D5636" t="inlineStr">
        <is>
          <t>Competitive Exam Prep</t>
        </is>
      </c>
      <c r="E5636" t="inlineStr">
        <is>
          <t>East Region</t>
        </is>
      </c>
      <c r="F5636" t="inlineStr">
        <is>
          <t>Rep_14</t>
        </is>
      </c>
      <c r="G5636" t="n">
        <v>30.32</v>
      </c>
      <c r="H5636" t="inlineStr">
        <is>
          <t>Contacted</t>
        </is>
      </c>
      <c r="I5636" t="inlineStr">
        <is>
          <t>Open</t>
        </is>
      </c>
      <c r="M5636">
        <f>VLOOKUP(H5636,'Stage Order'!$A$2:$B$8,2,FALSE)</f>
        <v/>
      </c>
      <c r="N5636">
        <f>IF(G5636&lt;=1,"1. Under 1 hour",IF(G5636&lt;=24,"2. 1-24 hours",IF(G5636&lt;=72,"3. 1-3 days","4. Over 3 days")))</f>
        <v/>
      </c>
      <c r="O5636">
        <f>TEXT(B5636,"YYYY-MM")</f>
        <v/>
      </c>
    </row>
    <row r="5637">
      <c r="A5637" t="inlineStr">
        <is>
          <t>LD-305635</t>
        </is>
      </c>
      <c r="B5637" t="inlineStr">
        <is>
          <t>2025-08-17 12:30:00</t>
        </is>
      </c>
      <c r="C5637" t="inlineStr">
        <is>
          <t>Social Media</t>
        </is>
      </c>
      <c r="D5637" t="inlineStr">
        <is>
          <t>Competitive Exam Prep</t>
        </is>
      </c>
      <c r="E5637" t="inlineStr">
        <is>
          <t>North Region</t>
        </is>
      </c>
      <c r="F5637" t="inlineStr">
        <is>
          <t>Rep_11</t>
        </is>
      </c>
      <c r="G5637" t="n">
        <v>2.23</v>
      </c>
      <c r="H5637" t="inlineStr">
        <is>
          <t>Lead</t>
        </is>
      </c>
      <c r="I5637" t="inlineStr">
        <is>
          <t>Open</t>
        </is>
      </c>
      <c r="M5637">
        <f>VLOOKUP(H5637,'Stage Order'!$A$2:$B$8,2,FALSE)</f>
        <v/>
      </c>
      <c r="N5637">
        <f>IF(G5637&lt;=1,"1. Under 1 hour",IF(G5637&lt;=24,"2. 1-24 hours",IF(G5637&lt;=72,"3. 1-3 days","4. Over 3 days")))</f>
        <v/>
      </c>
      <c r="O5637">
        <f>TEXT(B5637,"YYYY-MM")</f>
        <v/>
      </c>
    </row>
    <row r="5638">
      <c r="A5638" t="inlineStr">
        <is>
          <t>LD-305636</t>
        </is>
      </c>
      <c r="B5638" t="inlineStr">
        <is>
          <t>2026-01-24 11:45:00</t>
        </is>
      </c>
      <c r="C5638" t="inlineStr">
        <is>
          <t>Social Media</t>
        </is>
      </c>
      <c r="D5638" t="inlineStr">
        <is>
          <t>Competitive Exam Prep</t>
        </is>
      </c>
      <c r="E5638" t="inlineStr">
        <is>
          <t>North Region</t>
        </is>
      </c>
      <c r="F5638" t="inlineStr">
        <is>
          <t>Rep_01</t>
        </is>
      </c>
      <c r="G5638" t="n">
        <v>5.17</v>
      </c>
      <c r="H5638" t="inlineStr">
        <is>
          <t>Lead</t>
        </is>
      </c>
      <c r="I5638" t="inlineStr">
        <is>
          <t>Open</t>
        </is>
      </c>
      <c r="M5638">
        <f>VLOOKUP(H5638,'Stage Order'!$A$2:$B$8,2,FALSE)</f>
        <v/>
      </c>
      <c r="N5638">
        <f>IF(G5638&lt;=1,"1. Under 1 hour",IF(G5638&lt;=24,"2. 1-24 hours",IF(G5638&lt;=72,"3. 1-3 days","4. Over 3 days")))</f>
        <v/>
      </c>
      <c r="O5638">
        <f>TEXT(B5638,"YYYY-MM")</f>
        <v/>
      </c>
    </row>
    <row r="5639">
      <c r="A5639" t="inlineStr">
        <is>
          <t>LD-305637</t>
        </is>
      </c>
      <c r="B5639" t="inlineStr">
        <is>
          <t>2026-03-12 16:11:00</t>
        </is>
      </c>
      <c r="C5639" t="inlineStr">
        <is>
          <t>Referral</t>
        </is>
      </c>
      <c r="D5639" t="inlineStr">
        <is>
          <t>Language Learning</t>
        </is>
      </c>
      <c r="E5639" t="inlineStr">
        <is>
          <t>North Region</t>
        </is>
      </c>
      <c r="F5639" t="inlineStr">
        <is>
          <t>Rep_01</t>
        </is>
      </c>
      <c r="G5639" t="n">
        <v>2.36</v>
      </c>
      <c r="H5639" t="inlineStr">
        <is>
          <t>Contacted</t>
        </is>
      </c>
      <c r="I5639" t="inlineStr">
        <is>
          <t>Open</t>
        </is>
      </c>
      <c r="M5639">
        <f>VLOOKUP(H5639,'Stage Order'!$A$2:$B$8,2,FALSE)</f>
        <v/>
      </c>
      <c r="N5639">
        <f>IF(G5639&lt;=1,"1. Under 1 hour",IF(G5639&lt;=24,"2. 1-24 hours",IF(G5639&lt;=72,"3. 1-3 days","4. Over 3 days")))</f>
        <v/>
      </c>
      <c r="O5639">
        <f>TEXT(B5639,"YYYY-MM")</f>
        <v/>
      </c>
    </row>
    <row r="5640">
      <c r="A5640" t="inlineStr">
        <is>
          <t>LD-305638</t>
        </is>
      </c>
      <c r="B5640" t="inlineStr">
        <is>
          <t>2025-09-06 09:14:00</t>
        </is>
      </c>
      <c r="C5640" t="inlineStr">
        <is>
          <t>Social Media</t>
        </is>
      </c>
      <c r="D5640" t="inlineStr">
        <is>
          <t>Competitive Exam Prep</t>
        </is>
      </c>
      <c r="E5640" t="inlineStr">
        <is>
          <t>East Region</t>
        </is>
      </c>
      <c r="F5640" t="inlineStr">
        <is>
          <t>Rep_14</t>
        </is>
      </c>
      <c r="G5640" t="n">
        <v>15.66</v>
      </c>
      <c r="H5640" t="inlineStr">
        <is>
          <t>Contacted</t>
        </is>
      </c>
      <c r="I5640" t="inlineStr">
        <is>
          <t>Open</t>
        </is>
      </c>
      <c r="M5640">
        <f>VLOOKUP(H5640,'Stage Order'!$A$2:$B$8,2,FALSE)</f>
        <v/>
      </c>
      <c r="N5640">
        <f>IF(G5640&lt;=1,"1. Under 1 hour",IF(G5640&lt;=24,"2. 1-24 hours",IF(G5640&lt;=72,"3. 1-3 days","4. Over 3 days")))</f>
        <v/>
      </c>
      <c r="O5640">
        <f>TEXT(B5640,"YYYY-MM")</f>
        <v/>
      </c>
    </row>
    <row r="5641">
      <c r="A5641" t="inlineStr">
        <is>
          <t>LD-305639</t>
        </is>
      </c>
      <c r="B5641" t="inlineStr">
        <is>
          <t>2026-04-29 09:48:00</t>
        </is>
      </c>
      <c r="C5641" t="inlineStr">
        <is>
          <t>Organic Search</t>
        </is>
      </c>
      <c r="D5641" t="inlineStr">
        <is>
          <t>Coding for Kids</t>
        </is>
      </c>
      <c r="E5641" t="inlineStr">
        <is>
          <t>West Region</t>
        </is>
      </c>
      <c r="F5641" t="inlineStr">
        <is>
          <t>Rep_13</t>
        </is>
      </c>
      <c r="G5641" t="n">
        <v>3.69</v>
      </c>
      <c r="H5641" t="inlineStr">
        <is>
          <t>Lead</t>
        </is>
      </c>
      <c r="I5641" t="inlineStr">
        <is>
          <t>Open</t>
        </is>
      </c>
      <c r="M5641">
        <f>VLOOKUP(H5641,'Stage Order'!$A$2:$B$8,2,FALSE)</f>
        <v/>
      </c>
      <c r="N5641">
        <f>IF(G5641&lt;=1,"1. Under 1 hour",IF(G5641&lt;=24,"2. 1-24 hours",IF(G5641&lt;=72,"3. 1-3 days","4. Over 3 days")))</f>
        <v/>
      </c>
      <c r="O5641">
        <f>TEXT(B5641,"YYYY-MM")</f>
        <v/>
      </c>
    </row>
    <row r="5642">
      <c r="A5642" t="inlineStr">
        <is>
          <t>LD-305640</t>
        </is>
      </c>
      <c r="B5642" t="inlineStr">
        <is>
          <t>2025-10-10 18:11:00</t>
        </is>
      </c>
      <c r="C5642" t="inlineStr">
        <is>
          <t>Webinar</t>
        </is>
      </c>
      <c r="D5642" t="inlineStr">
        <is>
          <t>K-12 Math</t>
        </is>
      </c>
      <c r="E5642" t="inlineStr">
        <is>
          <t>West Region</t>
        </is>
      </c>
      <c r="F5642" t="inlineStr">
        <is>
          <t>Rep_03</t>
        </is>
      </c>
      <c r="G5642" t="n">
        <v>0.29</v>
      </c>
      <c r="H5642" t="inlineStr">
        <is>
          <t>Contacted</t>
        </is>
      </c>
      <c r="I5642" t="inlineStr">
        <is>
          <t>Open</t>
        </is>
      </c>
      <c r="M5642">
        <f>VLOOKUP(H5642,'Stage Order'!$A$2:$B$8,2,FALSE)</f>
        <v/>
      </c>
      <c r="N5642">
        <f>IF(G5642&lt;=1,"1. Under 1 hour",IF(G5642&lt;=24,"2. 1-24 hours",IF(G5642&lt;=72,"3. 1-3 days","4. Over 3 days")))</f>
        <v/>
      </c>
      <c r="O5642">
        <f>TEXT(B5642,"YYYY-MM")</f>
        <v/>
      </c>
    </row>
    <row r="5643">
      <c r="A5643" t="inlineStr">
        <is>
          <t>LD-305641</t>
        </is>
      </c>
      <c r="B5643" t="inlineStr">
        <is>
          <t>2025-09-17 19:15:00</t>
        </is>
      </c>
      <c r="C5643" t="inlineStr">
        <is>
          <t>Referral</t>
        </is>
      </c>
      <c r="D5643" t="inlineStr">
        <is>
          <t>K-12 Math</t>
        </is>
      </c>
      <c r="E5643" t="inlineStr">
        <is>
          <t>West Region</t>
        </is>
      </c>
      <c r="F5643" t="inlineStr">
        <is>
          <t>Rep_08</t>
        </is>
      </c>
      <c r="G5643" t="n">
        <v>1.65</v>
      </c>
      <c r="H5643" t="inlineStr">
        <is>
          <t>Closed</t>
        </is>
      </c>
      <c r="I5643" t="inlineStr">
        <is>
          <t>Won</t>
        </is>
      </c>
      <c r="K5643" t="n">
        <v>499.11</v>
      </c>
      <c r="L5643" t="inlineStr">
        <is>
          <t>2025-10-30 10:57:13.034171</t>
        </is>
      </c>
      <c r="M5643">
        <f>VLOOKUP(H5643,'Stage Order'!$A$2:$B$8,2,FALSE)</f>
        <v/>
      </c>
      <c r="N5643">
        <f>IF(G5643&lt;=1,"1. Under 1 hour",IF(G5643&lt;=24,"2. 1-24 hours",IF(G5643&lt;=72,"3. 1-3 days","4. Over 3 days")))</f>
        <v/>
      </c>
      <c r="O5643">
        <f>TEXT(B5643,"YYYY-MM")</f>
        <v/>
      </c>
    </row>
    <row r="5644">
      <c r="A5644" t="inlineStr">
        <is>
          <t>LD-305642</t>
        </is>
      </c>
      <c r="B5644" t="inlineStr">
        <is>
          <t>2026-03-27 07:40:00</t>
        </is>
      </c>
      <c r="C5644" t="inlineStr">
        <is>
          <t>Organic Search</t>
        </is>
      </c>
      <c r="D5644" t="inlineStr">
        <is>
          <t>Language Learning</t>
        </is>
      </c>
      <c r="E5644" t="inlineStr">
        <is>
          <t>West Region</t>
        </is>
      </c>
      <c r="F5644" t="inlineStr">
        <is>
          <t>Rep_13</t>
        </is>
      </c>
      <c r="G5644" t="n">
        <v>4.23</v>
      </c>
      <c r="H5644" t="inlineStr">
        <is>
          <t>Contacted</t>
        </is>
      </c>
      <c r="I5644" t="inlineStr">
        <is>
          <t>Open</t>
        </is>
      </c>
      <c r="M5644">
        <f>VLOOKUP(H5644,'Stage Order'!$A$2:$B$8,2,FALSE)</f>
        <v/>
      </c>
      <c r="N5644">
        <f>IF(G5644&lt;=1,"1. Under 1 hour",IF(G5644&lt;=24,"2. 1-24 hours",IF(G5644&lt;=72,"3. 1-3 days","4. Over 3 days")))</f>
        <v/>
      </c>
      <c r="O5644">
        <f>TEXT(B5644,"YYYY-MM")</f>
        <v/>
      </c>
    </row>
    <row r="5645">
      <c r="A5645" t="inlineStr">
        <is>
          <t>LD-305643</t>
        </is>
      </c>
      <c r="B5645" t="inlineStr">
        <is>
          <t>2025-09-05 09:42:00</t>
        </is>
      </c>
      <c r="C5645" t="inlineStr">
        <is>
          <t>Referral</t>
        </is>
      </c>
      <c r="D5645" t="inlineStr">
        <is>
          <t>Coding for Kids</t>
        </is>
      </c>
      <c r="E5645" t="inlineStr">
        <is>
          <t>South Region</t>
        </is>
      </c>
      <c r="F5645" t="inlineStr">
        <is>
          <t>Rep_07</t>
        </is>
      </c>
      <c r="G5645" t="n">
        <v>3.8</v>
      </c>
      <c r="H5645" t="inlineStr">
        <is>
          <t>Contacted</t>
        </is>
      </c>
      <c r="I5645" t="inlineStr">
        <is>
          <t>Open</t>
        </is>
      </c>
      <c r="M5645">
        <f>VLOOKUP(H5645,'Stage Order'!$A$2:$B$8,2,FALSE)</f>
        <v/>
      </c>
      <c r="N5645">
        <f>IF(G5645&lt;=1,"1. Under 1 hour",IF(G5645&lt;=24,"2. 1-24 hours",IF(G5645&lt;=72,"3. 1-3 days","4. Over 3 days")))</f>
        <v/>
      </c>
      <c r="O5645">
        <f>TEXT(B5645,"YYYY-MM")</f>
        <v/>
      </c>
    </row>
    <row r="5646">
      <c r="A5646" t="inlineStr">
        <is>
          <t>LD-305644</t>
        </is>
      </c>
      <c r="B5646" t="inlineStr">
        <is>
          <t>2026-02-23 12:00:00</t>
        </is>
      </c>
      <c r="C5646" t="inlineStr">
        <is>
          <t>Social Media</t>
        </is>
      </c>
      <c r="D5646" t="inlineStr">
        <is>
          <t>K-12 Math</t>
        </is>
      </c>
      <c r="E5646" t="inlineStr">
        <is>
          <t>South Region</t>
        </is>
      </c>
      <c r="F5646" t="inlineStr">
        <is>
          <t>Rep_07</t>
        </is>
      </c>
      <c r="G5646" t="n">
        <v>0.5</v>
      </c>
      <c r="H5646" t="inlineStr">
        <is>
          <t>Proposal Sent</t>
        </is>
      </c>
      <c r="I5646" t="inlineStr">
        <is>
          <t>Lost</t>
        </is>
      </c>
      <c r="J5646" t="inlineStr">
        <is>
          <t>No Response / Ghosted</t>
        </is>
      </c>
      <c r="K5646" t="n">
        <v>560.22</v>
      </c>
      <c r="L5646" t="inlineStr">
        <is>
          <t>2026-03-19 07:43:56.854349</t>
        </is>
      </c>
      <c r="M5646">
        <f>VLOOKUP(H5646,'Stage Order'!$A$2:$B$8,2,FALSE)</f>
        <v/>
      </c>
      <c r="N5646">
        <f>IF(G5646&lt;=1,"1. Under 1 hour",IF(G5646&lt;=24,"2. 1-24 hours",IF(G5646&lt;=72,"3. 1-3 days","4. Over 3 days")))</f>
        <v/>
      </c>
      <c r="O5646">
        <f>TEXT(B5646,"YYYY-MM")</f>
        <v/>
      </c>
    </row>
    <row r="5647">
      <c r="A5647" t="inlineStr">
        <is>
          <t>LD-305645</t>
        </is>
      </c>
      <c r="B5647" t="inlineStr">
        <is>
          <t>2025-01-24 09:11:00</t>
        </is>
      </c>
      <c r="C5647" t="inlineStr">
        <is>
          <t>Cold Outreach</t>
        </is>
      </c>
      <c r="D5647" t="inlineStr">
        <is>
          <t>K-12 Math</t>
        </is>
      </c>
      <c r="E5647" t="inlineStr">
        <is>
          <t>South Region</t>
        </is>
      </c>
      <c r="F5647" t="inlineStr">
        <is>
          <t>Rep_12</t>
        </is>
      </c>
      <c r="G5647" t="n">
        <v>7.24</v>
      </c>
      <c r="H5647" t="inlineStr">
        <is>
          <t>Contacted</t>
        </is>
      </c>
      <c r="I5647" t="inlineStr">
        <is>
          <t>Open</t>
        </is>
      </c>
      <c r="M5647">
        <f>VLOOKUP(H5647,'Stage Order'!$A$2:$B$8,2,FALSE)</f>
        <v/>
      </c>
      <c r="N5647">
        <f>IF(G5647&lt;=1,"1. Under 1 hour",IF(G5647&lt;=24,"2. 1-24 hours",IF(G5647&lt;=72,"3. 1-3 days","4. Over 3 days")))</f>
        <v/>
      </c>
      <c r="O5647">
        <f>TEXT(B5647,"YYYY-MM")</f>
        <v/>
      </c>
    </row>
    <row r="5648">
      <c r="A5648" t="inlineStr">
        <is>
          <t>LD-305646</t>
        </is>
      </c>
      <c r="B5648" t="inlineStr">
        <is>
          <t>2025-07-24 17:22:00</t>
        </is>
      </c>
      <c r="C5648" t="inlineStr">
        <is>
          <t>Partner Channel</t>
        </is>
      </c>
      <c r="D5648" t="inlineStr">
        <is>
          <t>K-12 Math</t>
        </is>
      </c>
      <c r="E5648" t="inlineStr">
        <is>
          <t>South Region</t>
        </is>
      </c>
      <c r="F5648" t="inlineStr">
        <is>
          <t>Rep_07</t>
        </is>
      </c>
      <c r="G5648" t="n">
        <v>8.779999999999999</v>
      </c>
      <c r="H5648" t="inlineStr">
        <is>
          <t>Negotiation</t>
        </is>
      </c>
      <c r="I5648" t="inlineStr">
        <is>
          <t>Lost</t>
        </is>
      </c>
      <c r="J5648" t="inlineStr">
        <is>
          <t>Bad Timing</t>
        </is>
      </c>
      <c r="K5648" t="n">
        <v>463.86</v>
      </c>
      <c r="L5648" t="inlineStr">
        <is>
          <t>2025-09-13 18:19:07.653987</t>
        </is>
      </c>
      <c r="M5648">
        <f>VLOOKUP(H5648,'Stage Order'!$A$2:$B$8,2,FALSE)</f>
        <v/>
      </c>
      <c r="N5648">
        <f>IF(G5648&lt;=1,"1. Under 1 hour",IF(G5648&lt;=24,"2. 1-24 hours",IF(G5648&lt;=72,"3. 1-3 days","4. Over 3 days")))</f>
        <v/>
      </c>
      <c r="O5648">
        <f>TEXT(B5648,"YYYY-MM")</f>
        <v/>
      </c>
    </row>
    <row r="5649">
      <c r="A5649" t="inlineStr">
        <is>
          <t>LD-305647</t>
        </is>
      </c>
      <c r="B5649" t="inlineStr">
        <is>
          <t>2025-10-31 18:14:00</t>
        </is>
      </c>
      <c r="C5649" t="inlineStr">
        <is>
          <t>Cold Outreach</t>
        </is>
      </c>
      <c r="D5649" t="inlineStr">
        <is>
          <t>K-12 Math</t>
        </is>
      </c>
      <c r="E5649" t="inlineStr">
        <is>
          <t>North Region</t>
        </is>
      </c>
      <c r="F5649" t="inlineStr">
        <is>
          <t>Rep_01</t>
        </is>
      </c>
      <c r="G5649" t="n">
        <v>1.38</v>
      </c>
      <c r="H5649" t="inlineStr">
        <is>
          <t>Demo Scheduled</t>
        </is>
      </c>
      <c r="I5649" t="inlineStr">
        <is>
          <t>Open</t>
        </is>
      </c>
      <c r="M5649">
        <f>VLOOKUP(H5649,'Stage Order'!$A$2:$B$8,2,FALSE)</f>
        <v/>
      </c>
      <c r="N5649">
        <f>IF(G5649&lt;=1,"1. Under 1 hour",IF(G5649&lt;=24,"2. 1-24 hours",IF(G5649&lt;=72,"3. 1-3 days","4. Over 3 days")))</f>
        <v/>
      </c>
      <c r="O5649">
        <f>TEXT(B5649,"YYYY-MM")</f>
        <v/>
      </c>
    </row>
    <row r="5650">
      <c r="A5650" t="inlineStr">
        <is>
          <t>LD-305648</t>
        </is>
      </c>
      <c r="B5650" t="inlineStr">
        <is>
          <t>2025-08-14 20:41:00</t>
        </is>
      </c>
      <c r="C5650" t="inlineStr">
        <is>
          <t>Paid Search</t>
        </is>
      </c>
      <c r="D5650" t="inlineStr">
        <is>
          <t>K-12 Math</t>
        </is>
      </c>
      <c r="E5650" t="inlineStr">
        <is>
          <t>East Region</t>
        </is>
      </c>
      <c r="F5650" t="inlineStr">
        <is>
          <t>Rep_14</t>
        </is>
      </c>
      <c r="G5650" t="n">
        <v>4.95</v>
      </c>
      <c r="H5650" t="inlineStr">
        <is>
          <t>Contacted</t>
        </is>
      </c>
      <c r="I5650" t="inlineStr">
        <is>
          <t>Open</t>
        </is>
      </c>
      <c r="M5650">
        <f>VLOOKUP(H5650,'Stage Order'!$A$2:$B$8,2,FALSE)</f>
        <v/>
      </c>
      <c r="N5650">
        <f>IF(G5650&lt;=1,"1. Under 1 hour",IF(G5650&lt;=24,"2. 1-24 hours",IF(G5650&lt;=72,"3. 1-3 days","4. Over 3 days")))</f>
        <v/>
      </c>
      <c r="O5650">
        <f>TEXT(B5650,"YYYY-MM")</f>
        <v/>
      </c>
    </row>
    <row r="5651">
      <c r="A5651" t="inlineStr">
        <is>
          <t>LD-305649</t>
        </is>
      </c>
      <c r="B5651" t="inlineStr">
        <is>
          <t>2025-11-28 19:04:00</t>
        </is>
      </c>
      <c r="C5651" t="inlineStr">
        <is>
          <t>Webinar</t>
        </is>
      </c>
      <c r="D5651" t="inlineStr">
        <is>
          <t>Language Learning</t>
        </is>
      </c>
      <c r="E5651" t="inlineStr">
        <is>
          <t>South Region</t>
        </is>
      </c>
      <c r="F5651" t="inlineStr">
        <is>
          <t>Rep_02</t>
        </is>
      </c>
      <c r="G5651" t="n">
        <v>7.57</v>
      </c>
      <c r="H5651" t="inlineStr">
        <is>
          <t>Negotiation</t>
        </is>
      </c>
      <c r="I5651" t="inlineStr">
        <is>
          <t>Lost</t>
        </is>
      </c>
      <c r="J5651" t="inlineStr">
        <is>
          <t>No Response / Ghosted</t>
        </is>
      </c>
      <c r="K5651" t="n">
        <v>418.59</v>
      </c>
      <c r="L5651" t="inlineStr">
        <is>
          <t>2026-01-23 07:47:31.054549</t>
        </is>
      </c>
      <c r="M5651">
        <f>VLOOKUP(H5651,'Stage Order'!$A$2:$B$8,2,FALSE)</f>
        <v/>
      </c>
      <c r="N5651">
        <f>IF(G5651&lt;=1,"1. Under 1 hour",IF(G5651&lt;=24,"2. 1-24 hours",IF(G5651&lt;=72,"3. 1-3 days","4. Over 3 days")))</f>
        <v/>
      </c>
      <c r="O5651">
        <f>TEXT(B5651,"YYYY-MM")</f>
        <v/>
      </c>
    </row>
    <row r="5652">
      <c r="A5652" t="inlineStr">
        <is>
          <t>LD-305650</t>
        </is>
      </c>
      <c r="B5652" t="inlineStr">
        <is>
          <t>2025-03-05 12:25:00</t>
        </is>
      </c>
      <c r="C5652" t="inlineStr">
        <is>
          <t>Organic Search</t>
        </is>
      </c>
      <c r="D5652" t="inlineStr">
        <is>
          <t>K-12 Math</t>
        </is>
      </c>
      <c r="E5652" t="inlineStr">
        <is>
          <t>West Region</t>
        </is>
      </c>
      <c r="F5652" t="inlineStr">
        <is>
          <t>Rep_13</t>
        </is>
      </c>
      <c r="G5652" t="n">
        <v>2.78</v>
      </c>
      <c r="H5652" t="inlineStr">
        <is>
          <t>Contacted</t>
        </is>
      </c>
      <c r="I5652" t="inlineStr">
        <is>
          <t>Open</t>
        </is>
      </c>
      <c r="M5652">
        <f>VLOOKUP(H5652,'Stage Order'!$A$2:$B$8,2,FALSE)</f>
        <v/>
      </c>
      <c r="N5652">
        <f>IF(G5652&lt;=1,"1. Under 1 hour",IF(G5652&lt;=24,"2. 1-24 hours",IF(G5652&lt;=72,"3. 1-3 days","4. Over 3 days")))</f>
        <v/>
      </c>
      <c r="O5652">
        <f>TEXT(B5652,"YYYY-MM")</f>
        <v/>
      </c>
    </row>
    <row r="5653">
      <c r="A5653" t="inlineStr">
        <is>
          <t>LD-305651</t>
        </is>
      </c>
      <c r="B5653" t="inlineStr">
        <is>
          <t>2026-06-09 20:16:00</t>
        </is>
      </c>
      <c r="C5653" t="inlineStr">
        <is>
          <t>Organic Search</t>
        </is>
      </c>
      <c r="D5653" t="inlineStr">
        <is>
          <t>K-12 Math</t>
        </is>
      </c>
      <c r="E5653" t="inlineStr">
        <is>
          <t>South Region</t>
        </is>
      </c>
      <c r="F5653" t="inlineStr">
        <is>
          <t>Rep_02</t>
        </is>
      </c>
      <c r="G5653" t="n">
        <v>3.1</v>
      </c>
      <c r="H5653" t="inlineStr">
        <is>
          <t>Contacted</t>
        </is>
      </c>
      <c r="I5653" t="inlineStr">
        <is>
          <t>Open</t>
        </is>
      </c>
      <c r="M5653">
        <f>VLOOKUP(H5653,'Stage Order'!$A$2:$B$8,2,FALSE)</f>
        <v/>
      </c>
      <c r="N5653">
        <f>IF(G5653&lt;=1,"1. Under 1 hour",IF(G5653&lt;=24,"2. 1-24 hours",IF(G5653&lt;=72,"3. 1-3 days","4. Over 3 days")))</f>
        <v/>
      </c>
      <c r="O5653">
        <f>TEXT(B5653,"YYYY-MM")</f>
        <v/>
      </c>
    </row>
    <row r="5654">
      <c r="A5654" t="inlineStr">
        <is>
          <t>LD-305652</t>
        </is>
      </c>
      <c r="B5654" t="inlineStr">
        <is>
          <t>2026-06-02 12:31:00</t>
        </is>
      </c>
      <c r="C5654" t="inlineStr">
        <is>
          <t>Paid Search</t>
        </is>
      </c>
      <c r="D5654" t="inlineStr">
        <is>
          <t>Competitive Exam Prep</t>
        </is>
      </c>
      <c r="E5654" t="inlineStr">
        <is>
          <t>South Region</t>
        </is>
      </c>
      <c r="F5654" t="inlineStr">
        <is>
          <t>Rep_12</t>
        </is>
      </c>
      <c r="G5654" t="n">
        <v>2.86</v>
      </c>
      <c r="H5654" t="inlineStr">
        <is>
          <t>Contacted</t>
        </is>
      </c>
      <c r="I5654" t="inlineStr">
        <is>
          <t>Open</t>
        </is>
      </c>
      <c r="M5654">
        <f>VLOOKUP(H5654,'Stage Order'!$A$2:$B$8,2,FALSE)</f>
        <v/>
      </c>
      <c r="N5654">
        <f>IF(G5654&lt;=1,"1. Under 1 hour",IF(G5654&lt;=24,"2. 1-24 hours",IF(G5654&lt;=72,"3. 1-3 days","4. Over 3 days")))</f>
        <v/>
      </c>
      <c r="O5654">
        <f>TEXT(B5654,"YYYY-MM")</f>
        <v/>
      </c>
    </row>
    <row r="5655">
      <c r="A5655" t="inlineStr">
        <is>
          <t>LD-305653</t>
        </is>
      </c>
      <c r="B5655" t="inlineStr">
        <is>
          <t>2025-01-17 14:25:00</t>
        </is>
      </c>
      <c r="C5655" t="inlineStr">
        <is>
          <t>Webinar</t>
        </is>
      </c>
      <c r="D5655" t="inlineStr">
        <is>
          <t>Coding for Kids</t>
        </is>
      </c>
      <c r="E5655" t="inlineStr">
        <is>
          <t>North Region</t>
        </is>
      </c>
      <c r="F5655" t="inlineStr">
        <is>
          <t>Rep_01</t>
        </is>
      </c>
      <c r="G5655" t="n">
        <v>4.09</v>
      </c>
      <c r="H5655" t="inlineStr">
        <is>
          <t>Closed</t>
        </is>
      </c>
      <c r="I5655" t="inlineStr">
        <is>
          <t>Won</t>
        </is>
      </c>
      <c r="K5655" t="n">
        <v>538.6</v>
      </c>
      <c r="L5655" t="inlineStr">
        <is>
          <t>2025-02-28 18:40:47.665275</t>
        </is>
      </c>
      <c r="M5655">
        <f>VLOOKUP(H5655,'Stage Order'!$A$2:$B$8,2,FALSE)</f>
        <v/>
      </c>
      <c r="N5655">
        <f>IF(G5655&lt;=1,"1. Under 1 hour",IF(G5655&lt;=24,"2. 1-24 hours",IF(G5655&lt;=72,"3. 1-3 days","4. Over 3 days")))</f>
        <v/>
      </c>
      <c r="O5655">
        <f>TEXT(B5655,"YYYY-MM")</f>
        <v/>
      </c>
    </row>
    <row r="5656">
      <c r="A5656" t="inlineStr">
        <is>
          <t>LD-305654</t>
        </is>
      </c>
      <c r="B5656" t="inlineStr">
        <is>
          <t>2025-10-13 14:40:00</t>
        </is>
      </c>
      <c r="C5656" t="inlineStr">
        <is>
          <t>Organic Search</t>
        </is>
      </c>
      <c r="D5656" t="inlineStr">
        <is>
          <t>Coding for Kids</t>
        </is>
      </c>
      <c r="E5656" t="inlineStr">
        <is>
          <t>West Region</t>
        </is>
      </c>
      <c r="F5656" t="inlineStr">
        <is>
          <t>Rep_03</t>
        </is>
      </c>
      <c r="G5656" t="n">
        <v>4.75</v>
      </c>
      <c r="H5656" t="inlineStr">
        <is>
          <t>Contacted</t>
        </is>
      </c>
      <c r="I5656" t="inlineStr">
        <is>
          <t>Open</t>
        </is>
      </c>
      <c r="M5656">
        <f>VLOOKUP(H5656,'Stage Order'!$A$2:$B$8,2,FALSE)</f>
        <v/>
      </c>
      <c r="N5656">
        <f>IF(G5656&lt;=1,"1. Under 1 hour",IF(G5656&lt;=24,"2. 1-24 hours",IF(G5656&lt;=72,"3. 1-3 days","4. Over 3 days")))</f>
        <v/>
      </c>
      <c r="O5656">
        <f>TEXT(B5656,"YYYY-MM")</f>
        <v/>
      </c>
    </row>
    <row r="5657">
      <c r="A5657" t="inlineStr">
        <is>
          <t>LD-305655</t>
        </is>
      </c>
      <c r="B5657" t="inlineStr">
        <is>
          <t>2026-05-09 09:33:00</t>
        </is>
      </c>
      <c r="C5657" t="inlineStr">
        <is>
          <t>Social Media</t>
        </is>
      </c>
      <c r="D5657" t="inlineStr">
        <is>
          <t>Study Abroad Prep</t>
        </is>
      </c>
      <c r="E5657" t="inlineStr">
        <is>
          <t>East Region</t>
        </is>
      </c>
      <c r="F5657" t="inlineStr">
        <is>
          <t>Rep_14</t>
        </is>
      </c>
      <c r="G5657" t="n">
        <v>2.53</v>
      </c>
      <c r="H5657" t="inlineStr">
        <is>
          <t>Contacted</t>
        </is>
      </c>
      <c r="I5657" t="inlineStr">
        <is>
          <t>Open</t>
        </is>
      </c>
      <c r="M5657">
        <f>VLOOKUP(H5657,'Stage Order'!$A$2:$B$8,2,FALSE)</f>
        <v/>
      </c>
      <c r="N5657">
        <f>IF(G5657&lt;=1,"1. Under 1 hour",IF(G5657&lt;=24,"2. 1-24 hours",IF(G5657&lt;=72,"3. 1-3 days","4. Over 3 days")))</f>
        <v/>
      </c>
      <c r="O5657">
        <f>TEXT(B5657,"YYYY-MM")</f>
        <v/>
      </c>
    </row>
    <row r="5658">
      <c r="A5658" t="inlineStr">
        <is>
          <t>LD-305656</t>
        </is>
      </c>
      <c r="B5658" t="inlineStr">
        <is>
          <t>2025-06-04 20:46:00</t>
        </is>
      </c>
      <c r="C5658" t="inlineStr">
        <is>
          <t>Social Media</t>
        </is>
      </c>
      <c r="D5658" t="inlineStr">
        <is>
          <t>Language Learning</t>
        </is>
      </c>
      <c r="E5658" t="inlineStr">
        <is>
          <t>South Region</t>
        </is>
      </c>
      <c r="F5658" t="inlineStr">
        <is>
          <t>Rep_02</t>
        </is>
      </c>
      <c r="G5658" t="n">
        <v>1.51</v>
      </c>
      <c r="H5658" t="inlineStr">
        <is>
          <t>Demo Completed</t>
        </is>
      </c>
      <c r="I5658" t="inlineStr">
        <is>
          <t>Lost</t>
        </is>
      </c>
      <c r="J5658" t="inlineStr">
        <is>
          <t>Bad Timing</t>
        </is>
      </c>
      <c r="K5658" t="n">
        <v>388.26</v>
      </c>
      <c r="L5658" t="inlineStr">
        <is>
          <t>2025-06-27 23:57:49.398685</t>
        </is>
      </c>
      <c r="M5658">
        <f>VLOOKUP(H5658,'Stage Order'!$A$2:$B$8,2,FALSE)</f>
        <v/>
      </c>
      <c r="N5658">
        <f>IF(G5658&lt;=1,"1. Under 1 hour",IF(G5658&lt;=24,"2. 1-24 hours",IF(G5658&lt;=72,"3. 1-3 days","4. Over 3 days")))</f>
        <v/>
      </c>
      <c r="O5658">
        <f>TEXT(B5658,"YYYY-MM")</f>
        <v/>
      </c>
    </row>
    <row r="5659">
      <c r="A5659" t="inlineStr">
        <is>
          <t>LD-305657</t>
        </is>
      </c>
      <c r="B5659" t="inlineStr">
        <is>
          <t>2026-04-11 08:07:00</t>
        </is>
      </c>
      <c r="C5659" t="inlineStr">
        <is>
          <t>Social Media</t>
        </is>
      </c>
      <c r="D5659" t="inlineStr">
        <is>
          <t>K-12 Math</t>
        </is>
      </c>
      <c r="E5659" t="inlineStr">
        <is>
          <t>North Region</t>
        </is>
      </c>
      <c r="F5659" t="inlineStr">
        <is>
          <t>Rep_11</t>
        </is>
      </c>
      <c r="G5659" t="n">
        <v>6.18</v>
      </c>
      <c r="H5659" t="inlineStr">
        <is>
          <t>Contacted</t>
        </is>
      </c>
      <c r="I5659" t="inlineStr">
        <is>
          <t>Open</t>
        </is>
      </c>
      <c r="M5659">
        <f>VLOOKUP(H5659,'Stage Order'!$A$2:$B$8,2,FALSE)</f>
        <v/>
      </c>
      <c r="N5659">
        <f>IF(G5659&lt;=1,"1. Under 1 hour",IF(G5659&lt;=24,"2. 1-24 hours",IF(G5659&lt;=72,"3. 1-3 days","4. Over 3 days")))</f>
        <v/>
      </c>
      <c r="O5659">
        <f>TEXT(B5659,"YYYY-MM")</f>
        <v/>
      </c>
    </row>
    <row r="5660">
      <c r="A5660" t="inlineStr">
        <is>
          <t>LD-305658</t>
        </is>
      </c>
      <c r="B5660" t="inlineStr">
        <is>
          <t>2026-03-15 11:27:00</t>
        </is>
      </c>
      <c r="C5660" t="inlineStr">
        <is>
          <t>Referral</t>
        </is>
      </c>
      <c r="D5660" t="inlineStr">
        <is>
          <t>Study Abroad Prep</t>
        </is>
      </c>
      <c r="E5660" t="inlineStr">
        <is>
          <t>East Region</t>
        </is>
      </c>
      <c r="F5660" t="inlineStr">
        <is>
          <t>Rep_04</t>
        </is>
      </c>
      <c r="G5660" t="n">
        <v>0.78</v>
      </c>
      <c r="H5660" t="inlineStr">
        <is>
          <t>Closed</t>
        </is>
      </c>
      <c r="I5660" t="inlineStr">
        <is>
          <t>Won</t>
        </is>
      </c>
      <c r="K5660" t="n">
        <v>1572.56</v>
      </c>
      <c r="L5660" t="inlineStr">
        <is>
          <t>2026-05-02 08:03:06.534443</t>
        </is>
      </c>
      <c r="M5660">
        <f>VLOOKUP(H5660,'Stage Order'!$A$2:$B$8,2,FALSE)</f>
        <v/>
      </c>
      <c r="N5660">
        <f>IF(G5660&lt;=1,"1. Under 1 hour",IF(G5660&lt;=24,"2. 1-24 hours",IF(G5660&lt;=72,"3. 1-3 days","4. Over 3 days")))</f>
        <v/>
      </c>
      <c r="O5660">
        <f>TEXT(B5660,"YYYY-MM")</f>
        <v/>
      </c>
    </row>
    <row r="5661">
      <c r="A5661" t="inlineStr">
        <is>
          <t>LD-305659</t>
        </is>
      </c>
      <c r="B5661" t="inlineStr">
        <is>
          <t>2025-10-15 09:58:00</t>
        </is>
      </c>
      <c r="C5661" t="inlineStr">
        <is>
          <t>Partner Channel</t>
        </is>
      </c>
      <c r="D5661" t="inlineStr">
        <is>
          <t>Coding for Kids</t>
        </is>
      </c>
      <c r="E5661" t="inlineStr">
        <is>
          <t>West Region</t>
        </is>
      </c>
      <c r="F5661" t="inlineStr">
        <is>
          <t>Rep_08</t>
        </is>
      </c>
      <c r="G5661" t="n">
        <v>2.91</v>
      </c>
      <c r="H5661" t="inlineStr">
        <is>
          <t>Contacted</t>
        </is>
      </c>
      <c r="I5661" t="inlineStr">
        <is>
          <t>Open</t>
        </is>
      </c>
      <c r="M5661">
        <f>VLOOKUP(H5661,'Stage Order'!$A$2:$B$8,2,FALSE)</f>
        <v/>
      </c>
      <c r="N5661">
        <f>IF(G5661&lt;=1,"1. Under 1 hour",IF(G5661&lt;=24,"2. 1-24 hours",IF(G5661&lt;=72,"3. 1-3 days","4. Over 3 days")))</f>
        <v/>
      </c>
      <c r="O5661">
        <f>TEXT(B5661,"YYYY-MM")</f>
        <v/>
      </c>
    </row>
    <row r="5662">
      <c r="A5662" t="inlineStr">
        <is>
          <t>LD-305660</t>
        </is>
      </c>
      <c r="B5662" t="inlineStr">
        <is>
          <t>2026-04-06 13:40:00</t>
        </is>
      </c>
      <c r="C5662" t="inlineStr">
        <is>
          <t>Cold Outreach</t>
        </is>
      </c>
      <c r="D5662" t="inlineStr">
        <is>
          <t>K-12 Math</t>
        </is>
      </c>
      <c r="E5662" t="inlineStr">
        <is>
          <t>International</t>
        </is>
      </c>
      <c r="F5662" t="inlineStr">
        <is>
          <t>Rep_10</t>
        </is>
      </c>
      <c r="G5662" t="n">
        <v>18.4</v>
      </c>
      <c r="H5662" t="inlineStr">
        <is>
          <t>Lead</t>
        </is>
      </c>
      <c r="I5662" t="inlineStr">
        <is>
          <t>Open</t>
        </is>
      </c>
      <c r="M5662">
        <f>VLOOKUP(H5662,'Stage Order'!$A$2:$B$8,2,FALSE)</f>
        <v/>
      </c>
      <c r="N5662">
        <f>IF(G5662&lt;=1,"1. Under 1 hour",IF(G5662&lt;=24,"2. 1-24 hours",IF(G5662&lt;=72,"3. 1-3 days","4. Over 3 days")))</f>
        <v/>
      </c>
      <c r="O5662">
        <f>TEXT(B5662,"YYYY-MM")</f>
        <v/>
      </c>
    </row>
    <row r="5663">
      <c r="A5663" t="inlineStr">
        <is>
          <t>LD-305661</t>
        </is>
      </c>
      <c r="B5663" t="inlineStr">
        <is>
          <t>2026-04-03 16:56:00</t>
        </is>
      </c>
      <c r="C5663" t="inlineStr">
        <is>
          <t>Social Media</t>
        </is>
      </c>
      <c r="D5663" t="inlineStr">
        <is>
          <t>Competitive Exam Prep</t>
        </is>
      </c>
      <c r="E5663" t="inlineStr">
        <is>
          <t>North Region</t>
        </is>
      </c>
      <c r="F5663" t="inlineStr">
        <is>
          <t>Rep_11</t>
        </is>
      </c>
      <c r="G5663" t="n">
        <v>10.71</v>
      </c>
      <c r="H5663" t="inlineStr">
        <is>
          <t>Closed</t>
        </is>
      </c>
      <c r="I5663" t="inlineStr">
        <is>
          <t>Won</t>
        </is>
      </c>
      <c r="K5663" t="n">
        <v>933.63</v>
      </c>
      <c r="L5663" t="inlineStr">
        <is>
          <t>2026-05-19 19:32:10.307001</t>
        </is>
      </c>
      <c r="M5663">
        <f>VLOOKUP(H5663,'Stage Order'!$A$2:$B$8,2,FALSE)</f>
        <v/>
      </c>
      <c r="N5663">
        <f>IF(G5663&lt;=1,"1. Under 1 hour",IF(G5663&lt;=24,"2. 1-24 hours",IF(G5663&lt;=72,"3. 1-3 days","4. Over 3 days")))</f>
        <v/>
      </c>
      <c r="O5663">
        <f>TEXT(B5663,"YYYY-MM")</f>
        <v/>
      </c>
    </row>
    <row r="5664">
      <c r="A5664" t="inlineStr">
        <is>
          <t>LD-305662</t>
        </is>
      </c>
      <c r="B5664" t="inlineStr">
        <is>
          <t>2026-01-13 15:46:00</t>
        </is>
      </c>
      <c r="C5664" t="inlineStr">
        <is>
          <t>Organic Search</t>
        </is>
      </c>
      <c r="D5664" t="inlineStr">
        <is>
          <t>Competitive Exam Prep</t>
        </is>
      </c>
      <c r="E5664" t="inlineStr">
        <is>
          <t>East Region</t>
        </is>
      </c>
      <c r="F5664" t="inlineStr">
        <is>
          <t>Rep_04</t>
        </is>
      </c>
      <c r="G5664" t="n">
        <v>0.41</v>
      </c>
      <c r="H5664" t="inlineStr">
        <is>
          <t>Contacted</t>
        </is>
      </c>
      <c r="I5664" t="inlineStr">
        <is>
          <t>Open</t>
        </is>
      </c>
      <c r="M5664">
        <f>VLOOKUP(H5664,'Stage Order'!$A$2:$B$8,2,FALSE)</f>
        <v/>
      </c>
      <c r="N5664">
        <f>IF(G5664&lt;=1,"1. Under 1 hour",IF(G5664&lt;=24,"2. 1-24 hours",IF(G5664&lt;=72,"3. 1-3 days","4. Over 3 days")))</f>
        <v/>
      </c>
      <c r="O5664">
        <f>TEXT(B5664,"YYYY-MM")</f>
        <v/>
      </c>
    </row>
    <row r="5665">
      <c r="A5665" t="inlineStr">
        <is>
          <t>LD-305663</t>
        </is>
      </c>
      <c r="B5665" t="inlineStr">
        <is>
          <t>2025-10-29 14:52:00</t>
        </is>
      </c>
      <c r="C5665" t="inlineStr">
        <is>
          <t>Partner Channel</t>
        </is>
      </c>
      <c r="D5665" t="inlineStr">
        <is>
          <t>Competitive Exam Prep</t>
        </is>
      </c>
      <c r="E5665" t="inlineStr">
        <is>
          <t>South Region</t>
        </is>
      </c>
      <c r="F5665" t="inlineStr">
        <is>
          <t>Rep_02</t>
        </is>
      </c>
      <c r="G5665" t="n">
        <v>1.65</v>
      </c>
      <c r="H5665" t="inlineStr">
        <is>
          <t>Proposal Sent</t>
        </is>
      </c>
      <c r="I5665" t="inlineStr">
        <is>
          <t>Lost</t>
        </is>
      </c>
      <c r="J5665" t="inlineStr">
        <is>
          <t>Went With Competitor</t>
        </is>
      </c>
      <c r="K5665" t="n">
        <v>1056.43</v>
      </c>
      <c r="L5665" t="inlineStr">
        <is>
          <t>2025-12-03 01:34:14.088085</t>
        </is>
      </c>
      <c r="M5665">
        <f>VLOOKUP(H5665,'Stage Order'!$A$2:$B$8,2,FALSE)</f>
        <v/>
      </c>
      <c r="N5665">
        <f>IF(G5665&lt;=1,"1. Under 1 hour",IF(G5665&lt;=24,"2. 1-24 hours",IF(G5665&lt;=72,"3. 1-3 days","4. Over 3 days")))</f>
        <v/>
      </c>
      <c r="O5665">
        <f>TEXT(B5665,"YYYY-MM")</f>
        <v/>
      </c>
    </row>
    <row r="5666">
      <c r="A5666" t="inlineStr">
        <is>
          <t>LD-305664</t>
        </is>
      </c>
      <c r="B5666" t="inlineStr">
        <is>
          <t>2025-03-25 11:58:00</t>
        </is>
      </c>
      <c r="C5666" t="inlineStr">
        <is>
          <t>Paid Search</t>
        </is>
      </c>
      <c r="D5666" t="inlineStr">
        <is>
          <t>Coding for Kids</t>
        </is>
      </c>
      <c r="E5666" t="inlineStr">
        <is>
          <t>West Region</t>
        </is>
      </c>
      <c r="F5666" t="inlineStr">
        <is>
          <t>Rep_03</t>
        </is>
      </c>
      <c r="G5666" t="n">
        <v>7.76</v>
      </c>
      <c r="H5666" t="inlineStr">
        <is>
          <t>Contacted</t>
        </is>
      </c>
      <c r="I5666" t="inlineStr">
        <is>
          <t>Open</t>
        </is>
      </c>
      <c r="M5666">
        <f>VLOOKUP(H5666,'Stage Order'!$A$2:$B$8,2,FALSE)</f>
        <v/>
      </c>
      <c r="N5666">
        <f>IF(G5666&lt;=1,"1. Under 1 hour",IF(G5666&lt;=24,"2. 1-24 hours",IF(G5666&lt;=72,"3. 1-3 days","4. Over 3 days")))</f>
        <v/>
      </c>
      <c r="O5666">
        <f>TEXT(B5666,"YYYY-MM")</f>
        <v/>
      </c>
    </row>
    <row r="5667">
      <c r="A5667" t="inlineStr">
        <is>
          <t>LD-305665</t>
        </is>
      </c>
      <c r="B5667" t="inlineStr">
        <is>
          <t>2026-06-01 13:40:00</t>
        </is>
      </c>
      <c r="C5667" t="inlineStr">
        <is>
          <t>Organic Search</t>
        </is>
      </c>
      <c r="D5667" t="inlineStr">
        <is>
          <t>Competitive Exam Prep</t>
        </is>
      </c>
      <c r="E5667" t="inlineStr">
        <is>
          <t>South Region</t>
        </is>
      </c>
      <c r="F5667" t="inlineStr">
        <is>
          <t>Rep_07</t>
        </is>
      </c>
      <c r="G5667" t="n">
        <v>4.26</v>
      </c>
      <c r="H5667" t="inlineStr">
        <is>
          <t>Negotiation</t>
        </is>
      </c>
      <c r="I5667" t="inlineStr">
        <is>
          <t>Lost</t>
        </is>
      </c>
      <c r="J5667" t="inlineStr">
        <is>
          <t>No Response / Ghosted</t>
        </is>
      </c>
      <c r="K5667" t="n">
        <v>1100.87</v>
      </c>
      <c r="L5667" t="inlineStr">
        <is>
          <t>2026-07-07 20:43:50.499438</t>
        </is>
      </c>
      <c r="M5667">
        <f>VLOOKUP(H5667,'Stage Order'!$A$2:$B$8,2,FALSE)</f>
        <v/>
      </c>
      <c r="N5667">
        <f>IF(G5667&lt;=1,"1. Under 1 hour",IF(G5667&lt;=24,"2. 1-24 hours",IF(G5667&lt;=72,"3. 1-3 days","4. Over 3 days")))</f>
        <v/>
      </c>
      <c r="O5667">
        <f>TEXT(B5667,"YYYY-MM")</f>
        <v/>
      </c>
    </row>
    <row r="5668">
      <c r="A5668" t="inlineStr">
        <is>
          <t>LD-305666</t>
        </is>
      </c>
      <c r="B5668" t="inlineStr">
        <is>
          <t>2026-05-27 09:15:00</t>
        </is>
      </c>
      <c r="C5668" t="inlineStr">
        <is>
          <t>Social Media</t>
        </is>
      </c>
      <c r="D5668" t="inlineStr">
        <is>
          <t>Study Abroad Prep</t>
        </is>
      </c>
      <c r="E5668" t="inlineStr">
        <is>
          <t>South Region</t>
        </is>
      </c>
      <c r="F5668" t="inlineStr">
        <is>
          <t>Rep_02</t>
        </is>
      </c>
      <c r="G5668" t="n">
        <v>1.67</v>
      </c>
      <c r="H5668" t="inlineStr">
        <is>
          <t>Contacted</t>
        </is>
      </c>
      <c r="I5668" t="inlineStr">
        <is>
          <t>Open</t>
        </is>
      </c>
      <c r="M5668">
        <f>VLOOKUP(H5668,'Stage Order'!$A$2:$B$8,2,FALSE)</f>
        <v/>
      </c>
      <c r="N5668">
        <f>IF(G5668&lt;=1,"1. Under 1 hour",IF(G5668&lt;=24,"2. 1-24 hours",IF(G5668&lt;=72,"3. 1-3 days","4. Over 3 days")))</f>
        <v/>
      </c>
      <c r="O5668">
        <f>TEXT(B5668,"YYYY-MM")</f>
        <v/>
      </c>
    </row>
    <row r="5669">
      <c r="A5669" t="inlineStr">
        <is>
          <t>LD-305667</t>
        </is>
      </c>
      <c r="B5669" t="inlineStr">
        <is>
          <t>2025-03-10 20:34:00</t>
        </is>
      </c>
      <c r="C5669" t="inlineStr">
        <is>
          <t>Referral</t>
        </is>
      </c>
      <c r="D5669" t="inlineStr">
        <is>
          <t>Language Learning</t>
        </is>
      </c>
      <c r="E5669" t="inlineStr">
        <is>
          <t>North Region</t>
        </is>
      </c>
      <c r="F5669" t="inlineStr">
        <is>
          <t>Rep_11</t>
        </is>
      </c>
      <c r="G5669" t="n">
        <v>2.62</v>
      </c>
      <c r="H5669" t="inlineStr">
        <is>
          <t>Demo Completed</t>
        </is>
      </c>
      <c r="I5669" t="inlineStr">
        <is>
          <t>Lost</t>
        </is>
      </c>
      <c r="J5669" t="inlineStr">
        <is>
          <t>Bad Timing</t>
        </is>
      </c>
      <c r="K5669" t="n">
        <v>318.63</v>
      </c>
      <c r="L5669" t="inlineStr">
        <is>
          <t>2025-03-26 03:05:52.425822</t>
        </is>
      </c>
      <c r="M5669">
        <f>VLOOKUP(H5669,'Stage Order'!$A$2:$B$8,2,FALSE)</f>
        <v/>
      </c>
      <c r="N5669">
        <f>IF(G5669&lt;=1,"1. Under 1 hour",IF(G5669&lt;=24,"2. 1-24 hours",IF(G5669&lt;=72,"3. 1-3 days","4. Over 3 days")))</f>
        <v/>
      </c>
      <c r="O5669">
        <f>TEXT(B5669,"YYYY-MM")</f>
        <v/>
      </c>
    </row>
    <row r="5670">
      <c r="A5670" t="inlineStr">
        <is>
          <t>LD-305668</t>
        </is>
      </c>
      <c r="B5670" t="inlineStr">
        <is>
          <t>2025-12-17 15:26:00</t>
        </is>
      </c>
      <c r="C5670" t="inlineStr">
        <is>
          <t>Partner Channel</t>
        </is>
      </c>
      <c r="D5670" t="inlineStr">
        <is>
          <t>K-12 Math</t>
        </is>
      </c>
      <c r="E5670" t="inlineStr">
        <is>
          <t>West Region</t>
        </is>
      </c>
      <c r="F5670" t="inlineStr">
        <is>
          <t>Rep_13</t>
        </is>
      </c>
      <c r="G5670" t="n">
        <v>3.89</v>
      </c>
      <c r="H5670" t="inlineStr">
        <is>
          <t>Contacted</t>
        </is>
      </c>
      <c r="I5670" t="inlineStr">
        <is>
          <t>Open</t>
        </is>
      </c>
      <c r="M5670">
        <f>VLOOKUP(H5670,'Stage Order'!$A$2:$B$8,2,FALSE)</f>
        <v/>
      </c>
      <c r="N5670">
        <f>IF(G5670&lt;=1,"1. Under 1 hour",IF(G5670&lt;=24,"2. 1-24 hours",IF(G5670&lt;=72,"3. 1-3 days","4. Over 3 days")))</f>
        <v/>
      </c>
      <c r="O5670">
        <f>TEXT(B5670,"YYYY-MM")</f>
        <v/>
      </c>
    </row>
    <row r="5671">
      <c r="A5671" t="inlineStr">
        <is>
          <t>LD-305669</t>
        </is>
      </c>
      <c r="B5671" t="inlineStr">
        <is>
          <t>2026-01-08 18:01:00</t>
        </is>
      </c>
      <c r="C5671" t="inlineStr">
        <is>
          <t>Organic Search</t>
        </is>
      </c>
      <c r="D5671" t="inlineStr">
        <is>
          <t>Coding for Kids</t>
        </is>
      </c>
      <c r="E5671" t="inlineStr">
        <is>
          <t>South Region</t>
        </is>
      </c>
      <c r="F5671" t="inlineStr">
        <is>
          <t>Rep_02</t>
        </is>
      </c>
      <c r="G5671" t="n">
        <v>2.44</v>
      </c>
      <c r="H5671" t="inlineStr">
        <is>
          <t>Contacted</t>
        </is>
      </c>
      <c r="I5671" t="inlineStr">
        <is>
          <t>Open</t>
        </is>
      </c>
      <c r="M5671">
        <f>VLOOKUP(H5671,'Stage Order'!$A$2:$B$8,2,FALSE)</f>
        <v/>
      </c>
      <c r="N5671">
        <f>IF(G5671&lt;=1,"1. Under 1 hour",IF(G5671&lt;=24,"2. 1-24 hours",IF(G5671&lt;=72,"3. 1-3 days","4. Over 3 days")))</f>
        <v/>
      </c>
      <c r="O5671">
        <f>TEXT(B5671,"YYYY-MM")</f>
        <v/>
      </c>
    </row>
    <row r="5672">
      <c r="A5672" t="inlineStr">
        <is>
          <t>LD-305670</t>
        </is>
      </c>
      <c r="B5672" t="inlineStr">
        <is>
          <t>2025-04-02 12:06:00</t>
        </is>
      </c>
      <c r="C5672" t="inlineStr">
        <is>
          <t>Organic Search</t>
        </is>
      </c>
      <c r="D5672" t="inlineStr">
        <is>
          <t>Coding for Kids</t>
        </is>
      </c>
      <c r="E5672" t="inlineStr">
        <is>
          <t>South Region</t>
        </is>
      </c>
      <c r="F5672" t="inlineStr">
        <is>
          <t>Rep_07</t>
        </is>
      </c>
      <c r="G5672" t="n">
        <v>1.31</v>
      </c>
      <c r="H5672" t="inlineStr">
        <is>
          <t>Negotiation</t>
        </is>
      </c>
      <c r="I5672" t="inlineStr">
        <is>
          <t>Lost</t>
        </is>
      </c>
      <c r="J5672" t="inlineStr">
        <is>
          <t>Bad Timing</t>
        </is>
      </c>
      <c r="K5672" t="n">
        <v>711.84</v>
      </c>
      <c r="L5672" t="inlineStr">
        <is>
          <t>2025-05-12 17:27:51.155173</t>
        </is>
      </c>
      <c r="M5672">
        <f>VLOOKUP(H5672,'Stage Order'!$A$2:$B$8,2,FALSE)</f>
        <v/>
      </c>
      <c r="N5672">
        <f>IF(G5672&lt;=1,"1. Under 1 hour",IF(G5672&lt;=24,"2. 1-24 hours",IF(G5672&lt;=72,"3. 1-3 days","4. Over 3 days")))</f>
        <v/>
      </c>
      <c r="O5672">
        <f>TEXT(B5672,"YYYY-MM")</f>
        <v/>
      </c>
    </row>
    <row r="5673">
      <c r="A5673" t="inlineStr">
        <is>
          <t>LD-305671</t>
        </is>
      </c>
      <c r="B5673" t="inlineStr">
        <is>
          <t>2025-06-11 11:46:00</t>
        </is>
      </c>
      <c r="C5673" t="inlineStr">
        <is>
          <t>Partner Channel</t>
        </is>
      </c>
      <c r="D5673" t="inlineStr">
        <is>
          <t>Competitive Exam Prep</t>
        </is>
      </c>
      <c r="E5673" t="inlineStr">
        <is>
          <t>West Region</t>
        </is>
      </c>
      <c r="F5673" t="inlineStr">
        <is>
          <t>Rep_08</t>
        </is>
      </c>
      <c r="G5673" t="n">
        <v>12.96</v>
      </c>
      <c r="H5673" t="inlineStr">
        <is>
          <t>Contacted</t>
        </is>
      </c>
      <c r="I5673" t="inlineStr">
        <is>
          <t>Open</t>
        </is>
      </c>
      <c r="M5673">
        <f>VLOOKUP(H5673,'Stage Order'!$A$2:$B$8,2,FALSE)</f>
        <v/>
      </c>
      <c r="N5673">
        <f>IF(G5673&lt;=1,"1. Under 1 hour",IF(G5673&lt;=24,"2. 1-24 hours",IF(G5673&lt;=72,"3. 1-3 days","4. Over 3 days")))</f>
        <v/>
      </c>
      <c r="O5673">
        <f>TEXT(B5673,"YYYY-MM")</f>
        <v/>
      </c>
    </row>
    <row r="5674">
      <c r="A5674" t="inlineStr">
        <is>
          <t>LD-305672</t>
        </is>
      </c>
      <c r="B5674" t="inlineStr">
        <is>
          <t>2025-05-20 13:51:00</t>
        </is>
      </c>
      <c r="C5674" t="inlineStr">
        <is>
          <t>Social Media</t>
        </is>
      </c>
      <c r="D5674" t="inlineStr">
        <is>
          <t>Study Abroad Prep</t>
        </is>
      </c>
      <c r="E5674" t="inlineStr">
        <is>
          <t>South Region</t>
        </is>
      </c>
      <c r="F5674" t="inlineStr">
        <is>
          <t>Rep_12</t>
        </is>
      </c>
      <c r="G5674" t="n">
        <v>1.94</v>
      </c>
      <c r="H5674" t="inlineStr">
        <is>
          <t>Demo Completed</t>
        </is>
      </c>
      <c r="I5674" t="inlineStr">
        <is>
          <t>Lost</t>
        </is>
      </c>
      <c r="J5674" t="inlineStr">
        <is>
          <t>No Response / Ghosted</t>
        </is>
      </c>
      <c r="K5674" t="n">
        <v>1502.19</v>
      </c>
      <c r="L5674" t="inlineStr">
        <is>
          <t>2025-06-15 23:47:09.003062</t>
        </is>
      </c>
      <c r="M5674">
        <f>VLOOKUP(H5674,'Stage Order'!$A$2:$B$8,2,FALSE)</f>
        <v/>
      </c>
      <c r="N5674">
        <f>IF(G5674&lt;=1,"1. Under 1 hour",IF(G5674&lt;=24,"2. 1-24 hours",IF(G5674&lt;=72,"3. 1-3 days","4. Over 3 days")))</f>
        <v/>
      </c>
      <c r="O5674">
        <f>TEXT(B5674,"YYYY-MM")</f>
        <v/>
      </c>
    </row>
    <row r="5675">
      <c r="A5675" t="inlineStr">
        <is>
          <t>LD-305673</t>
        </is>
      </c>
      <c r="B5675" t="inlineStr">
        <is>
          <t>2025-06-16 10:16:00</t>
        </is>
      </c>
      <c r="C5675" t="inlineStr">
        <is>
          <t>Social Media</t>
        </is>
      </c>
      <c r="D5675" t="inlineStr">
        <is>
          <t>Study Abroad Prep</t>
        </is>
      </c>
      <c r="E5675" t="inlineStr">
        <is>
          <t>North Region</t>
        </is>
      </c>
      <c r="F5675" t="inlineStr">
        <is>
          <t>Rep_06</t>
        </is>
      </c>
      <c r="G5675" t="n">
        <v>0.6</v>
      </c>
      <c r="H5675" t="inlineStr">
        <is>
          <t>Contacted</t>
        </is>
      </c>
      <c r="I5675" t="inlineStr">
        <is>
          <t>Open</t>
        </is>
      </c>
      <c r="M5675">
        <f>VLOOKUP(H5675,'Stage Order'!$A$2:$B$8,2,FALSE)</f>
        <v/>
      </c>
      <c r="N5675">
        <f>IF(G5675&lt;=1,"1. Under 1 hour",IF(G5675&lt;=24,"2. 1-24 hours",IF(G5675&lt;=72,"3. 1-3 days","4. Over 3 days")))</f>
        <v/>
      </c>
      <c r="O5675">
        <f>TEXT(B5675,"YYYY-MM")</f>
        <v/>
      </c>
    </row>
    <row r="5676">
      <c r="A5676" t="inlineStr">
        <is>
          <t>LD-305674</t>
        </is>
      </c>
      <c r="B5676" t="inlineStr">
        <is>
          <t>2025-01-01 09:17:00</t>
        </is>
      </c>
      <c r="C5676" t="inlineStr">
        <is>
          <t>Social Media</t>
        </is>
      </c>
      <c r="D5676" t="inlineStr">
        <is>
          <t>Coding for Kids</t>
        </is>
      </c>
      <c r="E5676" t="inlineStr">
        <is>
          <t>North Region</t>
        </is>
      </c>
      <c r="F5676" t="inlineStr">
        <is>
          <t>Rep_11</t>
        </is>
      </c>
      <c r="G5676" t="n">
        <v>3.78</v>
      </c>
      <c r="H5676" t="inlineStr">
        <is>
          <t>Contacted</t>
        </is>
      </c>
      <c r="I5676" t="inlineStr">
        <is>
          <t>Open</t>
        </is>
      </c>
      <c r="M5676">
        <f>VLOOKUP(H5676,'Stage Order'!$A$2:$B$8,2,FALSE)</f>
        <v/>
      </c>
      <c r="N5676">
        <f>IF(G5676&lt;=1,"1. Under 1 hour",IF(G5676&lt;=24,"2. 1-24 hours",IF(G5676&lt;=72,"3. 1-3 days","4. Over 3 days")))</f>
        <v/>
      </c>
      <c r="O5676">
        <f>TEXT(B5676,"YYYY-MM")</f>
        <v/>
      </c>
    </row>
    <row r="5677">
      <c r="A5677" t="inlineStr">
        <is>
          <t>LD-305675</t>
        </is>
      </c>
      <c r="B5677" t="inlineStr">
        <is>
          <t>2025-06-01 08:15:00</t>
        </is>
      </c>
      <c r="C5677" t="inlineStr">
        <is>
          <t>Webinar</t>
        </is>
      </c>
      <c r="D5677" t="inlineStr">
        <is>
          <t>Competitive Exam Prep</t>
        </is>
      </c>
      <c r="E5677" t="inlineStr">
        <is>
          <t>West Region</t>
        </is>
      </c>
      <c r="F5677" t="inlineStr">
        <is>
          <t>Rep_13</t>
        </is>
      </c>
      <c r="G5677" t="n">
        <v>3.67</v>
      </c>
      <c r="H5677" t="inlineStr">
        <is>
          <t>Contacted</t>
        </is>
      </c>
      <c r="I5677" t="inlineStr">
        <is>
          <t>Open</t>
        </is>
      </c>
      <c r="M5677">
        <f>VLOOKUP(H5677,'Stage Order'!$A$2:$B$8,2,FALSE)</f>
        <v/>
      </c>
      <c r="N5677">
        <f>IF(G5677&lt;=1,"1. Under 1 hour",IF(G5677&lt;=24,"2. 1-24 hours",IF(G5677&lt;=72,"3. 1-3 days","4. Over 3 days")))</f>
        <v/>
      </c>
      <c r="O5677">
        <f>TEXT(B5677,"YYYY-MM")</f>
        <v/>
      </c>
    </row>
    <row r="5678">
      <c r="A5678" t="inlineStr">
        <is>
          <t>LD-305676</t>
        </is>
      </c>
      <c r="B5678" t="inlineStr">
        <is>
          <t>2025-09-19 13:03:00</t>
        </is>
      </c>
      <c r="C5678" t="inlineStr">
        <is>
          <t>Referral</t>
        </is>
      </c>
      <c r="D5678" t="inlineStr">
        <is>
          <t>Language Learning</t>
        </is>
      </c>
      <c r="E5678" t="inlineStr">
        <is>
          <t>West Region</t>
        </is>
      </c>
      <c r="F5678" t="inlineStr">
        <is>
          <t>Rep_08</t>
        </is>
      </c>
      <c r="G5678" t="n">
        <v>0.84</v>
      </c>
      <c r="H5678" t="inlineStr">
        <is>
          <t>Contacted</t>
        </is>
      </c>
      <c r="I5678" t="inlineStr">
        <is>
          <t>Open</t>
        </is>
      </c>
      <c r="M5678">
        <f>VLOOKUP(H5678,'Stage Order'!$A$2:$B$8,2,FALSE)</f>
        <v/>
      </c>
      <c r="N5678">
        <f>IF(G5678&lt;=1,"1. Under 1 hour",IF(G5678&lt;=24,"2. 1-24 hours",IF(G5678&lt;=72,"3. 1-3 days","4. Over 3 days")))</f>
        <v/>
      </c>
      <c r="O5678">
        <f>TEXT(B5678,"YYYY-MM")</f>
        <v/>
      </c>
    </row>
    <row r="5679">
      <c r="A5679" t="inlineStr">
        <is>
          <t>LD-305677</t>
        </is>
      </c>
      <c r="B5679" t="inlineStr">
        <is>
          <t>2026-02-28 11:15:00</t>
        </is>
      </c>
      <c r="C5679" t="inlineStr">
        <is>
          <t>Organic Search</t>
        </is>
      </c>
      <c r="D5679" t="inlineStr">
        <is>
          <t>K-12 Math</t>
        </is>
      </c>
      <c r="E5679" t="inlineStr">
        <is>
          <t>East Region</t>
        </is>
      </c>
      <c r="F5679" t="inlineStr">
        <is>
          <t>Rep_04</t>
        </is>
      </c>
      <c r="G5679" t="n">
        <v>7.1</v>
      </c>
      <c r="H5679" t="inlineStr">
        <is>
          <t>Lead</t>
        </is>
      </c>
      <c r="I5679" t="inlineStr">
        <is>
          <t>Open</t>
        </is>
      </c>
      <c r="M5679">
        <f>VLOOKUP(H5679,'Stage Order'!$A$2:$B$8,2,FALSE)</f>
        <v/>
      </c>
      <c r="N5679">
        <f>IF(G5679&lt;=1,"1. Under 1 hour",IF(G5679&lt;=24,"2. 1-24 hours",IF(G5679&lt;=72,"3. 1-3 days","4. Over 3 days")))</f>
        <v/>
      </c>
      <c r="O5679">
        <f>TEXT(B5679,"YYYY-MM")</f>
        <v/>
      </c>
    </row>
    <row r="5680">
      <c r="A5680" t="inlineStr">
        <is>
          <t>LD-305678</t>
        </is>
      </c>
      <c r="B5680" t="inlineStr">
        <is>
          <t>2025-11-27 14:47:00</t>
        </is>
      </c>
      <c r="C5680" t="inlineStr">
        <is>
          <t>Partner Channel</t>
        </is>
      </c>
      <c r="D5680" t="inlineStr">
        <is>
          <t>Language Learning</t>
        </is>
      </c>
      <c r="E5680" t="inlineStr">
        <is>
          <t>West Region</t>
        </is>
      </c>
      <c r="F5680" t="inlineStr">
        <is>
          <t>Rep_13</t>
        </is>
      </c>
      <c r="G5680" t="n">
        <v>16.76</v>
      </c>
      <c r="H5680" t="inlineStr">
        <is>
          <t>Negotiation</t>
        </is>
      </c>
      <c r="I5680" t="inlineStr">
        <is>
          <t>Lost</t>
        </is>
      </c>
      <c r="J5680" t="inlineStr">
        <is>
          <t>Price Objection</t>
        </is>
      </c>
      <c r="K5680" t="n">
        <v>363.47</v>
      </c>
      <c r="L5680" t="inlineStr">
        <is>
          <t>2026-01-24 05:22:52.817008</t>
        </is>
      </c>
      <c r="M5680">
        <f>VLOOKUP(H5680,'Stage Order'!$A$2:$B$8,2,FALSE)</f>
        <v/>
      </c>
      <c r="N5680">
        <f>IF(G5680&lt;=1,"1. Under 1 hour",IF(G5680&lt;=24,"2. 1-24 hours",IF(G5680&lt;=72,"3. 1-3 days","4. Over 3 days")))</f>
        <v/>
      </c>
      <c r="O5680">
        <f>TEXT(B5680,"YYYY-MM")</f>
        <v/>
      </c>
    </row>
    <row r="5681">
      <c r="A5681" t="inlineStr">
        <is>
          <t>LD-305679</t>
        </is>
      </c>
      <c r="B5681" t="inlineStr">
        <is>
          <t>2025-07-18 14:08:00</t>
        </is>
      </c>
      <c r="C5681" t="inlineStr">
        <is>
          <t>Organic Search</t>
        </is>
      </c>
      <c r="D5681" t="inlineStr">
        <is>
          <t>Language Learning</t>
        </is>
      </c>
      <c r="E5681" t="inlineStr">
        <is>
          <t>West Region</t>
        </is>
      </c>
      <c r="F5681" t="inlineStr">
        <is>
          <t>Rep_13</t>
        </is>
      </c>
      <c r="G5681" t="n">
        <v>1.76</v>
      </c>
      <c r="H5681" t="inlineStr">
        <is>
          <t>Demo Scheduled</t>
        </is>
      </c>
      <c r="I5681" t="inlineStr">
        <is>
          <t>Open</t>
        </is>
      </c>
      <c r="M5681">
        <f>VLOOKUP(H5681,'Stage Order'!$A$2:$B$8,2,FALSE)</f>
        <v/>
      </c>
      <c r="N5681">
        <f>IF(G5681&lt;=1,"1. Under 1 hour",IF(G5681&lt;=24,"2. 1-24 hours",IF(G5681&lt;=72,"3. 1-3 days","4. Over 3 days")))</f>
        <v/>
      </c>
      <c r="O5681">
        <f>TEXT(B5681,"YYYY-MM")</f>
        <v/>
      </c>
    </row>
    <row r="5682">
      <c r="A5682" t="inlineStr">
        <is>
          <t>LD-305680</t>
        </is>
      </c>
      <c r="B5682" t="inlineStr">
        <is>
          <t>2025-01-24 10:34:00</t>
        </is>
      </c>
      <c r="C5682" t="inlineStr">
        <is>
          <t>Paid Search</t>
        </is>
      </c>
      <c r="D5682" t="inlineStr">
        <is>
          <t>Competitive Exam Prep</t>
        </is>
      </c>
      <c r="E5682" t="inlineStr">
        <is>
          <t>South Region</t>
        </is>
      </c>
      <c r="F5682" t="inlineStr">
        <is>
          <t>Rep_07</t>
        </is>
      </c>
      <c r="G5682" t="n">
        <v>0.51</v>
      </c>
      <c r="H5682" t="inlineStr">
        <is>
          <t>Contacted</t>
        </is>
      </c>
      <c r="I5682" t="inlineStr">
        <is>
          <t>Open</t>
        </is>
      </c>
      <c r="M5682">
        <f>VLOOKUP(H5682,'Stage Order'!$A$2:$B$8,2,FALSE)</f>
        <v/>
      </c>
      <c r="N5682">
        <f>IF(G5682&lt;=1,"1. Under 1 hour",IF(G5682&lt;=24,"2. 1-24 hours",IF(G5682&lt;=72,"3. 1-3 days","4. Over 3 days")))</f>
        <v/>
      </c>
      <c r="O5682">
        <f>TEXT(B5682,"YYYY-MM")</f>
        <v/>
      </c>
    </row>
    <row r="5683">
      <c r="A5683" t="inlineStr">
        <is>
          <t>LD-305681</t>
        </is>
      </c>
      <c r="B5683" t="inlineStr">
        <is>
          <t>2026-04-24 20:35:00</t>
        </is>
      </c>
      <c r="C5683" t="inlineStr">
        <is>
          <t>Cold Outreach</t>
        </is>
      </c>
      <c r="D5683" t="inlineStr">
        <is>
          <t>Language Learning</t>
        </is>
      </c>
      <c r="E5683" t="inlineStr">
        <is>
          <t>West Region</t>
        </is>
      </c>
      <c r="F5683" t="inlineStr">
        <is>
          <t>Rep_03</t>
        </is>
      </c>
      <c r="G5683" t="n">
        <v>3.06</v>
      </c>
      <c r="H5683" t="inlineStr">
        <is>
          <t>Lead</t>
        </is>
      </c>
      <c r="I5683" t="inlineStr">
        <is>
          <t>Open</t>
        </is>
      </c>
      <c r="M5683">
        <f>VLOOKUP(H5683,'Stage Order'!$A$2:$B$8,2,FALSE)</f>
        <v/>
      </c>
      <c r="N5683">
        <f>IF(G5683&lt;=1,"1. Under 1 hour",IF(G5683&lt;=24,"2. 1-24 hours",IF(G5683&lt;=72,"3. 1-3 days","4. Over 3 days")))</f>
        <v/>
      </c>
      <c r="O5683">
        <f>TEXT(B5683,"YYYY-MM")</f>
        <v/>
      </c>
    </row>
    <row r="5684">
      <c r="A5684" t="inlineStr">
        <is>
          <t>LD-305682</t>
        </is>
      </c>
      <c r="B5684" t="inlineStr">
        <is>
          <t>2025-12-09 10:58:00</t>
        </is>
      </c>
      <c r="C5684" t="inlineStr">
        <is>
          <t>Paid Search</t>
        </is>
      </c>
      <c r="D5684" t="inlineStr">
        <is>
          <t>Competitive Exam Prep</t>
        </is>
      </c>
      <c r="E5684" t="inlineStr">
        <is>
          <t>North Region</t>
        </is>
      </c>
      <c r="F5684" t="inlineStr">
        <is>
          <t>Rep_11</t>
        </is>
      </c>
      <c r="G5684" t="n">
        <v>0.42</v>
      </c>
      <c r="H5684" t="inlineStr">
        <is>
          <t>Proposal Sent</t>
        </is>
      </c>
      <c r="I5684" t="inlineStr">
        <is>
          <t>Lost</t>
        </is>
      </c>
      <c r="J5684" t="inlineStr">
        <is>
          <t>Went With Competitor</t>
        </is>
      </c>
      <c r="K5684" t="n">
        <v>1040.3</v>
      </c>
      <c r="L5684" t="inlineStr">
        <is>
          <t>2026-01-18 02:18:24.785103</t>
        </is>
      </c>
      <c r="M5684">
        <f>VLOOKUP(H5684,'Stage Order'!$A$2:$B$8,2,FALSE)</f>
        <v/>
      </c>
      <c r="N5684">
        <f>IF(G5684&lt;=1,"1. Under 1 hour",IF(G5684&lt;=24,"2. 1-24 hours",IF(G5684&lt;=72,"3. 1-3 days","4. Over 3 days")))</f>
        <v/>
      </c>
      <c r="O5684">
        <f>TEXT(B5684,"YYYY-MM")</f>
        <v/>
      </c>
    </row>
    <row r="5685">
      <c r="A5685" t="inlineStr">
        <is>
          <t>LD-305683</t>
        </is>
      </c>
      <c r="B5685" t="inlineStr">
        <is>
          <t>2025-04-24 10:17:00</t>
        </is>
      </c>
      <c r="C5685" t="inlineStr">
        <is>
          <t>Webinar</t>
        </is>
      </c>
      <c r="D5685" t="inlineStr">
        <is>
          <t>Language Learning</t>
        </is>
      </c>
      <c r="E5685" t="inlineStr">
        <is>
          <t>West Region</t>
        </is>
      </c>
      <c r="F5685" t="inlineStr">
        <is>
          <t>Rep_03</t>
        </is>
      </c>
      <c r="G5685" t="n">
        <v>3.65</v>
      </c>
      <c r="H5685" t="inlineStr">
        <is>
          <t>Negotiation</t>
        </is>
      </c>
      <c r="I5685" t="inlineStr">
        <is>
          <t>Lost</t>
        </is>
      </c>
      <c r="J5685" t="inlineStr">
        <is>
          <t>Went With Competitor</t>
        </is>
      </c>
      <c r="K5685" t="n">
        <v>353.2</v>
      </c>
      <c r="L5685" t="inlineStr">
        <is>
          <t>2025-06-07 13:29:11.317432</t>
        </is>
      </c>
      <c r="M5685">
        <f>VLOOKUP(H5685,'Stage Order'!$A$2:$B$8,2,FALSE)</f>
        <v/>
      </c>
      <c r="N5685">
        <f>IF(G5685&lt;=1,"1. Under 1 hour",IF(G5685&lt;=24,"2. 1-24 hours",IF(G5685&lt;=72,"3. 1-3 days","4. Over 3 days")))</f>
        <v/>
      </c>
      <c r="O5685">
        <f>TEXT(B5685,"YYYY-MM")</f>
        <v/>
      </c>
    </row>
    <row r="5686">
      <c r="A5686" t="inlineStr">
        <is>
          <t>LD-305684</t>
        </is>
      </c>
      <c r="B5686" t="inlineStr">
        <is>
          <t>2026-06-01 13:19:00</t>
        </is>
      </c>
      <c r="C5686" t="inlineStr">
        <is>
          <t>Paid Search</t>
        </is>
      </c>
      <c r="D5686" t="inlineStr">
        <is>
          <t>Competitive Exam Prep</t>
        </is>
      </c>
      <c r="E5686" t="inlineStr">
        <is>
          <t>West Region</t>
        </is>
      </c>
      <c r="F5686" t="inlineStr">
        <is>
          <t>Rep_13</t>
        </is>
      </c>
      <c r="G5686" t="n">
        <v>4.14</v>
      </c>
      <c r="H5686" t="inlineStr">
        <is>
          <t>Contacted</t>
        </is>
      </c>
      <c r="I5686" t="inlineStr">
        <is>
          <t>Open</t>
        </is>
      </c>
      <c r="M5686">
        <f>VLOOKUP(H5686,'Stage Order'!$A$2:$B$8,2,FALSE)</f>
        <v/>
      </c>
      <c r="N5686">
        <f>IF(G5686&lt;=1,"1. Under 1 hour",IF(G5686&lt;=24,"2. 1-24 hours",IF(G5686&lt;=72,"3. 1-3 days","4. Over 3 days")))</f>
        <v/>
      </c>
      <c r="O5686">
        <f>TEXT(B5686,"YYYY-MM")</f>
        <v/>
      </c>
    </row>
    <row r="5687">
      <c r="A5687" t="inlineStr">
        <is>
          <t>LD-305685</t>
        </is>
      </c>
      <c r="B5687" t="inlineStr">
        <is>
          <t>2025-08-22 14:12:00</t>
        </is>
      </c>
      <c r="C5687" t="inlineStr">
        <is>
          <t>Paid Search</t>
        </is>
      </c>
      <c r="D5687" t="inlineStr">
        <is>
          <t>K-12 Math</t>
        </is>
      </c>
      <c r="E5687" t="inlineStr">
        <is>
          <t>West Region</t>
        </is>
      </c>
      <c r="F5687" t="inlineStr">
        <is>
          <t>Rep_08</t>
        </is>
      </c>
      <c r="G5687" t="n">
        <v>6.15</v>
      </c>
      <c r="H5687" t="inlineStr">
        <is>
          <t>Proposal Sent</t>
        </is>
      </c>
      <c r="I5687" t="inlineStr">
        <is>
          <t>Lost</t>
        </is>
      </c>
      <c r="J5687" t="inlineStr">
        <is>
          <t>No Response / Ghosted</t>
        </is>
      </c>
      <c r="K5687" t="n">
        <v>540.83</v>
      </c>
      <c r="L5687" t="inlineStr">
        <is>
          <t>2025-09-26 19:14:02.724307</t>
        </is>
      </c>
      <c r="M5687">
        <f>VLOOKUP(H5687,'Stage Order'!$A$2:$B$8,2,FALSE)</f>
        <v/>
      </c>
      <c r="N5687">
        <f>IF(G5687&lt;=1,"1. Under 1 hour",IF(G5687&lt;=24,"2. 1-24 hours",IF(G5687&lt;=72,"3. 1-3 days","4. Over 3 days")))</f>
        <v/>
      </c>
      <c r="O5687">
        <f>TEXT(B5687,"YYYY-MM")</f>
        <v/>
      </c>
    </row>
    <row r="5688">
      <c r="A5688" t="inlineStr">
        <is>
          <t>LD-305686</t>
        </is>
      </c>
      <c r="B5688" t="inlineStr">
        <is>
          <t>2025-01-17 14:38:00</t>
        </is>
      </c>
      <c r="C5688" t="inlineStr">
        <is>
          <t>Paid Search</t>
        </is>
      </c>
      <c r="D5688" t="inlineStr">
        <is>
          <t>Study Abroad Prep</t>
        </is>
      </c>
      <c r="E5688" t="inlineStr">
        <is>
          <t>West Region</t>
        </is>
      </c>
      <c r="F5688" t="inlineStr">
        <is>
          <t>Rep_03</t>
        </is>
      </c>
      <c r="G5688" t="n">
        <v>2.6</v>
      </c>
      <c r="H5688" t="inlineStr">
        <is>
          <t>Contacted</t>
        </is>
      </c>
      <c r="I5688" t="inlineStr">
        <is>
          <t>Open</t>
        </is>
      </c>
      <c r="M5688">
        <f>VLOOKUP(H5688,'Stage Order'!$A$2:$B$8,2,FALSE)</f>
        <v/>
      </c>
      <c r="N5688">
        <f>IF(G5688&lt;=1,"1. Under 1 hour",IF(G5688&lt;=24,"2. 1-24 hours",IF(G5688&lt;=72,"3. 1-3 days","4. Over 3 days")))</f>
        <v/>
      </c>
      <c r="O5688">
        <f>TEXT(B5688,"YYYY-MM")</f>
        <v/>
      </c>
    </row>
    <row r="5689">
      <c r="A5689" t="inlineStr">
        <is>
          <t>LD-305687</t>
        </is>
      </c>
      <c r="B5689" t="inlineStr">
        <is>
          <t>2025-09-26 11:52:00</t>
        </is>
      </c>
      <c r="C5689" t="inlineStr">
        <is>
          <t>Organic Search</t>
        </is>
      </c>
      <c r="D5689" t="inlineStr">
        <is>
          <t>Language Learning</t>
        </is>
      </c>
      <c r="E5689" t="inlineStr">
        <is>
          <t>International</t>
        </is>
      </c>
      <c r="F5689" t="inlineStr">
        <is>
          <t>Rep_05</t>
        </is>
      </c>
      <c r="G5689" t="n">
        <v>0.78</v>
      </c>
      <c r="H5689" t="inlineStr">
        <is>
          <t>Contacted</t>
        </is>
      </c>
      <c r="I5689" t="inlineStr">
        <is>
          <t>Open</t>
        </is>
      </c>
      <c r="M5689">
        <f>VLOOKUP(H5689,'Stage Order'!$A$2:$B$8,2,FALSE)</f>
        <v/>
      </c>
      <c r="N5689">
        <f>IF(G5689&lt;=1,"1. Under 1 hour",IF(G5689&lt;=24,"2. 1-24 hours",IF(G5689&lt;=72,"3. 1-3 days","4. Over 3 days")))</f>
        <v/>
      </c>
      <c r="O5689">
        <f>TEXT(B5689,"YYYY-MM")</f>
        <v/>
      </c>
    </row>
    <row r="5690">
      <c r="A5690" t="inlineStr">
        <is>
          <t>LD-305688</t>
        </is>
      </c>
      <c r="B5690" t="inlineStr">
        <is>
          <t>2025-11-30 20:15:00</t>
        </is>
      </c>
      <c r="C5690" t="inlineStr">
        <is>
          <t>Referral</t>
        </is>
      </c>
      <c r="D5690" t="inlineStr">
        <is>
          <t>Language Learning</t>
        </is>
      </c>
      <c r="E5690" t="inlineStr">
        <is>
          <t>East Region</t>
        </is>
      </c>
      <c r="F5690" t="inlineStr">
        <is>
          <t>Rep_09</t>
        </is>
      </c>
      <c r="G5690" t="n">
        <v>0.25</v>
      </c>
      <c r="H5690" t="inlineStr">
        <is>
          <t>Contacted</t>
        </is>
      </c>
      <c r="I5690" t="inlineStr">
        <is>
          <t>Open</t>
        </is>
      </c>
      <c r="M5690">
        <f>VLOOKUP(H5690,'Stage Order'!$A$2:$B$8,2,FALSE)</f>
        <v/>
      </c>
      <c r="N5690">
        <f>IF(G5690&lt;=1,"1. Under 1 hour",IF(G5690&lt;=24,"2. 1-24 hours",IF(G5690&lt;=72,"3. 1-3 days","4. Over 3 days")))</f>
        <v/>
      </c>
      <c r="O5690">
        <f>TEXT(B5690,"YYYY-MM")</f>
        <v/>
      </c>
    </row>
    <row r="5691">
      <c r="A5691" t="inlineStr">
        <is>
          <t>LD-305689</t>
        </is>
      </c>
      <c r="B5691" t="inlineStr">
        <is>
          <t>2025-08-18 16:28:00</t>
        </is>
      </c>
      <c r="C5691" t="inlineStr">
        <is>
          <t>Organic Search</t>
        </is>
      </c>
      <c r="D5691" t="inlineStr">
        <is>
          <t>Coding for Kids</t>
        </is>
      </c>
      <c r="E5691" t="inlineStr">
        <is>
          <t>South Region</t>
        </is>
      </c>
      <c r="F5691" t="inlineStr">
        <is>
          <t>Rep_07</t>
        </is>
      </c>
      <c r="G5691" t="n">
        <v>3.17</v>
      </c>
      <c r="H5691" t="inlineStr">
        <is>
          <t>Negotiation</t>
        </is>
      </c>
      <c r="I5691" t="inlineStr">
        <is>
          <t>Lost</t>
        </is>
      </c>
      <c r="J5691" t="inlineStr">
        <is>
          <t>No Response / Ghosted</t>
        </is>
      </c>
      <c r="K5691" t="n">
        <v>604.04</v>
      </c>
      <c r="L5691" t="inlineStr">
        <is>
          <t>2025-10-14 06:38:32.230216</t>
        </is>
      </c>
      <c r="M5691">
        <f>VLOOKUP(H5691,'Stage Order'!$A$2:$B$8,2,FALSE)</f>
        <v/>
      </c>
      <c r="N5691">
        <f>IF(G5691&lt;=1,"1. Under 1 hour",IF(G5691&lt;=24,"2. 1-24 hours",IF(G5691&lt;=72,"3. 1-3 days","4. Over 3 days")))</f>
        <v/>
      </c>
      <c r="O5691">
        <f>TEXT(B5691,"YYYY-MM")</f>
        <v/>
      </c>
    </row>
    <row r="5692">
      <c r="A5692" t="inlineStr">
        <is>
          <t>LD-305690</t>
        </is>
      </c>
      <c r="B5692" t="inlineStr">
        <is>
          <t>2026-02-27 14:28:00</t>
        </is>
      </c>
      <c r="C5692" t="inlineStr">
        <is>
          <t>Organic Search</t>
        </is>
      </c>
      <c r="D5692" t="inlineStr">
        <is>
          <t>Competitive Exam Prep</t>
        </is>
      </c>
      <c r="E5692" t="inlineStr">
        <is>
          <t>East Region</t>
        </is>
      </c>
      <c r="F5692" t="inlineStr">
        <is>
          <t>Rep_04</t>
        </is>
      </c>
      <c r="G5692" t="n">
        <v>11.26</v>
      </c>
      <c r="H5692" t="inlineStr">
        <is>
          <t>Lead</t>
        </is>
      </c>
      <c r="I5692" t="inlineStr">
        <is>
          <t>Open</t>
        </is>
      </c>
      <c r="M5692">
        <f>VLOOKUP(H5692,'Stage Order'!$A$2:$B$8,2,FALSE)</f>
        <v/>
      </c>
      <c r="N5692">
        <f>IF(G5692&lt;=1,"1. Under 1 hour",IF(G5692&lt;=24,"2. 1-24 hours",IF(G5692&lt;=72,"3. 1-3 days","4. Over 3 days")))</f>
        <v/>
      </c>
      <c r="O5692">
        <f>TEXT(B5692,"YYYY-MM")</f>
        <v/>
      </c>
    </row>
    <row r="5693">
      <c r="A5693" t="inlineStr">
        <is>
          <t>LD-305691</t>
        </is>
      </c>
      <c r="B5693" t="inlineStr">
        <is>
          <t>2025-05-08 10:20:00</t>
        </is>
      </c>
      <c r="C5693" t="inlineStr">
        <is>
          <t>Social Media</t>
        </is>
      </c>
      <c r="D5693" t="inlineStr">
        <is>
          <t>Competitive Exam Prep</t>
        </is>
      </c>
      <c r="E5693" t="inlineStr">
        <is>
          <t>South Region</t>
        </is>
      </c>
      <c r="F5693" t="inlineStr">
        <is>
          <t>Rep_07</t>
        </is>
      </c>
      <c r="G5693" t="n">
        <v>1.44</v>
      </c>
      <c r="H5693" t="inlineStr">
        <is>
          <t>Negotiation</t>
        </is>
      </c>
      <c r="I5693" t="inlineStr">
        <is>
          <t>Lost</t>
        </is>
      </c>
      <c r="J5693" t="inlineStr">
        <is>
          <t>No Response / Ghosted</t>
        </is>
      </c>
      <c r="K5693" t="n">
        <v>865.8200000000001</v>
      </c>
      <c r="L5693" t="inlineStr">
        <is>
          <t>2025-06-23 01:48:57.516545</t>
        </is>
      </c>
      <c r="M5693">
        <f>VLOOKUP(H5693,'Stage Order'!$A$2:$B$8,2,FALSE)</f>
        <v/>
      </c>
      <c r="N5693">
        <f>IF(G5693&lt;=1,"1. Under 1 hour",IF(G5693&lt;=24,"2. 1-24 hours",IF(G5693&lt;=72,"3. 1-3 days","4. Over 3 days")))</f>
        <v/>
      </c>
      <c r="O5693">
        <f>TEXT(B5693,"YYYY-MM")</f>
        <v/>
      </c>
    </row>
    <row r="5694">
      <c r="A5694" t="inlineStr">
        <is>
          <t>LD-305692</t>
        </is>
      </c>
      <c r="B5694" t="inlineStr">
        <is>
          <t>2026-05-06 14:06:00</t>
        </is>
      </c>
      <c r="C5694" t="inlineStr">
        <is>
          <t>Webinar</t>
        </is>
      </c>
      <c r="D5694" t="inlineStr">
        <is>
          <t>Coding for Kids</t>
        </is>
      </c>
      <c r="E5694" t="inlineStr">
        <is>
          <t>South Region</t>
        </is>
      </c>
      <c r="F5694" t="inlineStr">
        <is>
          <t>Rep_02</t>
        </is>
      </c>
      <c r="G5694" t="n">
        <v>1.09</v>
      </c>
      <c r="H5694" t="inlineStr">
        <is>
          <t>Contacted</t>
        </is>
      </c>
      <c r="I5694" t="inlineStr">
        <is>
          <t>Open</t>
        </is>
      </c>
      <c r="M5694">
        <f>VLOOKUP(H5694,'Stage Order'!$A$2:$B$8,2,FALSE)</f>
        <v/>
      </c>
      <c r="N5694">
        <f>IF(G5694&lt;=1,"1. Under 1 hour",IF(G5694&lt;=24,"2. 1-24 hours",IF(G5694&lt;=72,"3. 1-3 days","4. Over 3 days")))</f>
        <v/>
      </c>
      <c r="O5694">
        <f>TEXT(B5694,"YYYY-MM")</f>
        <v/>
      </c>
    </row>
    <row r="5695">
      <c r="A5695" t="inlineStr">
        <is>
          <t>LD-305693</t>
        </is>
      </c>
      <c r="B5695" t="inlineStr">
        <is>
          <t>2026-04-24 12:38:00</t>
        </is>
      </c>
      <c r="C5695" t="inlineStr">
        <is>
          <t>Organic Search</t>
        </is>
      </c>
      <c r="D5695" t="inlineStr">
        <is>
          <t>Language Learning</t>
        </is>
      </c>
      <c r="E5695" t="inlineStr">
        <is>
          <t>South Region</t>
        </is>
      </c>
      <c r="F5695" t="inlineStr">
        <is>
          <t>Rep_07</t>
        </is>
      </c>
      <c r="G5695" t="n">
        <v>1.95</v>
      </c>
      <c r="H5695" t="inlineStr">
        <is>
          <t>Closed</t>
        </is>
      </c>
      <c r="I5695" t="inlineStr">
        <is>
          <t>Won</t>
        </is>
      </c>
      <c r="K5695" t="n">
        <v>371.54</v>
      </c>
      <c r="L5695" t="inlineStr">
        <is>
          <t>2026-05-28 20:21:28.516764</t>
        </is>
      </c>
      <c r="M5695">
        <f>VLOOKUP(H5695,'Stage Order'!$A$2:$B$8,2,FALSE)</f>
        <v/>
      </c>
      <c r="N5695">
        <f>IF(G5695&lt;=1,"1. Under 1 hour",IF(G5695&lt;=24,"2. 1-24 hours",IF(G5695&lt;=72,"3. 1-3 days","4. Over 3 days")))</f>
        <v/>
      </c>
      <c r="O5695">
        <f>TEXT(B5695,"YYYY-MM")</f>
        <v/>
      </c>
    </row>
    <row r="5696">
      <c r="A5696" t="inlineStr">
        <is>
          <t>LD-305694</t>
        </is>
      </c>
      <c r="B5696" t="inlineStr">
        <is>
          <t>2026-04-21 10:53:00</t>
        </is>
      </c>
      <c r="C5696" t="inlineStr">
        <is>
          <t>Organic Search</t>
        </is>
      </c>
      <c r="D5696" t="inlineStr">
        <is>
          <t>Coding for Kids</t>
        </is>
      </c>
      <c r="E5696" t="inlineStr">
        <is>
          <t>West Region</t>
        </is>
      </c>
      <c r="F5696" t="inlineStr">
        <is>
          <t>Rep_08</t>
        </is>
      </c>
      <c r="G5696" t="n">
        <v>3.53</v>
      </c>
      <c r="H5696" t="inlineStr">
        <is>
          <t>Closed</t>
        </is>
      </c>
      <c r="I5696" t="inlineStr">
        <is>
          <t>Won</t>
        </is>
      </c>
      <c r="K5696" t="n">
        <v>728.53</v>
      </c>
      <c r="L5696" t="inlineStr">
        <is>
          <t>2026-06-11 06:56:06.625331</t>
        </is>
      </c>
      <c r="M5696">
        <f>VLOOKUP(H5696,'Stage Order'!$A$2:$B$8,2,FALSE)</f>
        <v/>
      </c>
      <c r="N5696">
        <f>IF(G5696&lt;=1,"1. Under 1 hour",IF(G5696&lt;=24,"2. 1-24 hours",IF(G5696&lt;=72,"3. 1-3 days","4. Over 3 days")))</f>
        <v/>
      </c>
      <c r="O5696">
        <f>TEXT(B5696,"YYYY-MM")</f>
        <v/>
      </c>
    </row>
    <row r="5697">
      <c r="A5697" t="inlineStr">
        <is>
          <t>LD-305695</t>
        </is>
      </c>
      <c r="B5697" t="inlineStr">
        <is>
          <t>2026-06-25 19:25:00</t>
        </is>
      </c>
      <c r="C5697" t="inlineStr">
        <is>
          <t>Organic Search</t>
        </is>
      </c>
      <c r="D5697" t="inlineStr">
        <is>
          <t>K-12 Math</t>
        </is>
      </c>
      <c r="E5697" t="inlineStr">
        <is>
          <t>South Region</t>
        </is>
      </c>
      <c r="F5697" t="inlineStr">
        <is>
          <t>Rep_02</t>
        </is>
      </c>
      <c r="G5697" t="n">
        <v>2.88</v>
      </c>
      <c r="H5697" t="inlineStr">
        <is>
          <t>Negotiation</t>
        </is>
      </c>
      <c r="I5697" t="inlineStr">
        <is>
          <t>Lost</t>
        </is>
      </c>
      <c r="J5697" t="inlineStr">
        <is>
          <t>Bad Timing</t>
        </is>
      </c>
      <c r="K5697" t="n">
        <v>582.84</v>
      </c>
      <c r="L5697" t="inlineStr">
        <is>
          <t>2026-08-04 01:09:15.332290</t>
        </is>
      </c>
      <c r="M5697">
        <f>VLOOKUP(H5697,'Stage Order'!$A$2:$B$8,2,FALSE)</f>
        <v/>
      </c>
      <c r="N5697">
        <f>IF(G5697&lt;=1,"1. Under 1 hour",IF(G5697&lt;=24,"2. 1-24 hours",IF(G5697&lt;=72,"3. 1-3 days","4. Over 3 days")))</f>
        <v/>
      </c>
      <c r="O5697">
        <f>TEXT(B5697,"YYYY-MM")</f>
        <v/>
      </c>
    </row>
    <row r="5698">
      <c r="A5698" t="inlineStr">
        <is>
          <t>LD-305696</t>
        </is>
      </c>
      <c r="B5698" t="inlineStr">
        <is>
          <t>2025-04-01 16:02:00</t>
        </is>
      </c>
      <c r="C5698" t="inlineStr">
        <is>
          <t>Paid Search</t>
        </is>
      </c>
      <c r="D5698" t="inlineStr">
        <is>
          <t>Language Learning</t>
        </is>
      </c>
      <c r="E5698" t="inlineStr">
        <is>
          <t>West Region</t>
        </is>
      </c>
      <c r="F5698" t="inlineStr">
        <is>
          <t>Rep_13</t>
        </is>
      </c>
      <c r="G5698" t="n">
        <v>1.62</v>
      </c>
      <c r="H5698" t="inlineStr">
        <is>
          <t>Negotiation</t>
        </is>
      </c>
      <c r="I5698" t="inlineStr">
        <is>
          <t>Lost</t>
        </is>
      </c>
      <c r="J5698" t="inlineStr">
        <is>
          <t>No Response / Ghosted</t>
        </is>
      </c>
      <c r="K5698" t="n">
        <v>368.84</v>
      </c>
      <c r="L5698" t="inlineStr">
        <is>
          <t>2025-05-22 15:48:30.278218</t>
        </is>
      </c>
      <c r="M5698">
        <f>VLOOKUP(H5698,'Stage Order'!$A$2:$B$8,2,FALSE)</f>
        <v/>
      </c>
      <c r="N5698">
        <f>IF(G5698&lt;=1,"1. Under 1 hour",IF(G5698&lt;=24,"2. 1-24 hours",IF(G5698&lt;=72,"3. 1-3 days","4. Over 3 days")))</f>
        <v/>
      </c>
      <c r="O5698">
        <f>TEXT(B5698,"YYYY-MM")</f>
        <v/>
      </c>
    </row>
    <row r="5699">
      <c r="A5699" t="inlineStr">
        <is>
          <t>LD-305697</t>
        </is>
      </c>
      <c r="B5699" t="inlineStr">
        <is>
          <t>2025-12-10 13:04:00</t>
        </is>
      </c>
      <c r="C5699" t="inlineStr">
        <is>
          <t>Organic Search</t>
        </is>
      </c>
      <c r="D5699" t="inlineStr">
        <is>
          <t>K-12 Math</t>
        </is>
      </c>
      <c r="E5699" t="inlineStr">
        <is>
          <t>International</t>
        </is>
      </c>
      <c r="F5699" t="inlineStr">
        <is>
          <t>Rep_10</t>
        </is>
      </c>
      <c r="G5699" t="n">
        <v>1.36</v>
      </c>
      <c r="H5699" t="inlineStr">
        <is>
          <t>Contacted</t>
        </is>
      </c>
      <c r="I5699" t="inlineStr">
        <is>
          <t>Open</t>
        </is>
      </c>
      <c r="M5699">
        <f>VLOOKUP(H5699,'Stage Order'!$A$2:$B$8,2,FALSE)</f>
        <v/>
      </c>
      <c r="N5699">
        <f>IF(G5699&lt;=1,"1. Under 1 hour",IF(G5699&lt;=24,"2. 1-24 hours",IF(G5699&lt;=72,"3. 1-3 days","4. Over 3 days")))</f>
        <v/>
      </c>
      <c r="O5699">
        <f>TEXT(B5699,"YYYY-MM")</f>
        <v/>
      </c>
    </row>
    <row r="5700">
      <c r="A5700" t="inlineStr">
        <is>
          <t>LD-305698</t>
        </is>
      </c>
      <c r="B5700" t="inlineStr">
        <is>
          <t>2025-01-29 11:08:00</t>
        </is>
      </c>
      <c r="C5700" t="inlineStr">
        <is>
          <t>Referral</t>
        </is>
      </c>
      <c r="D5700" t="inlineStr">
        <is>
          <t>K-12 Math</t>
        </is>
      </c>
      <c r="E5700" t="inlineStr">
        <is>
          <t>North Region</t>
        </is>
      </c>
      <c r="F5700" t="inlineStr">
        <is>
          <t>Rep_01</t>
        </is>
      </c>
      <c r="G5700" t="n">
        <v>4.49</v>
      </c>
      <c r="H5700" t="inlineStr">
        <is>
          <t>Contacted</t>
        </is>
      </c>
      <c r="I5700" t="inlineStr">
        <is>
          <t>Open</t>
        </is>
      </c>
      <c r="M5700">
        <f>VLOOKUP(H5700,'Stage Order'!$A$2:$B$8,2,FALSE)</f>
        <v/>
      </c>
      <c r="N5700">
        <f>IF(G5700&lt;=1,"1. Under 1 hour",IF(G5700&lt;=24,"2. 1-24 hours",IF(G5700&lt;=72,"3. 1-3 days","4. Over 3 days")))</f>
        <v/>
      </c>
      <c r="O5700">
        <f>TEXT(B5700,"YYYY-MM")</f>
        <v/>
      </c>
    </row>
    <row r="5701">
      <c r="A5701" t="inlineStr">
        <is>
          <t>LD-305699</t>
        </is>
      </c>
      <c r="B5701" t="inlineStr">
        <is>
          <t>2025-01-10 19:34:00</t>
        </is>
      </c>
      <c r="C5701" t="inlineStr">
        <is>
          <t>Paid Search</t>
        </is>
      </c>
      <c r="D5701" t="inlineStr">
        <is>
          <t>Competitive Exam Prep</t>
        </is>
      </c>
      <c r="E5701" t="inlineStr">
        <is>
          <t>West Region</t>
        </is>
      </c>
      <c r="F5701" t="inlineStr">
        <is>
          <t>Rep_13</t>
        </is>
      </c>
      <c r="G5701" t="n">
        <v>4.81</v>
      </c>
      <c r="H5701" t="inlineStr">
        <is>
          <t>Contacted</t>
        </is>
      </c>
      <c r="I5701" t="inlineStr">
        <is>
          <t>Open</t>
        </is>
      </c>
      <c r="M5701">
        <f>VLOOKUP(H5701,'Stage Order'!$A$2:$B$8,2,FALSE)</f>
        <v/>
      </c>
      <c r="N5701">
        <f>IF(G5701&lt;=1,"1. Under 1 hour",IF(G5701&lt;=24,"2. 1-24 hours",IF(G5701&lt;=72,"3. 1-3 days","4. Over 3 days")))</f>
        <v/>
      </c>
      <c r="O5701">
        <f>TEXT(B5701,"YYYY-MM")</f>
        <v/>
      </c>
    </row>
    <row r="5702">
      <c r="A5702" t="inlineStr">
        <is>
          <t>LD-305700</t>
        </is>
      </c>
      <c r="B5702" t="inlineStr">
        <is>
          <t>2026-02-07 07:30:00</t>
        </is>
      </c>
      <c r="C5702" t="inlineStr">
        <is>
          <t>Webinar</t>
        </is>
      </c>
      <c r="D5702" t="inlineStr">
        <is>
          <t>K-12 Math</t>
        </is>
      </c>
      <c r="E5702" t="inlineStr">
        <is>
          <t>South Region</t>
        </is>
      </c>
      <c r="F5702" t="inlineStr">
        <is>
          <t>Rep_12</t>
        </is>
      </c>
      <c r="G5702" t="n">
        <v>1.77</v>
      </c>
      <c r="H5702" t="inlineStr">
        <is>
          <t>Contacted</t>
        </is>
      </c>
      <c r="I5702" t="inlineStr">
        <is>
          <t>Open</t>
        </is>
      </c>
      <c r="M5702">
        <f>VLOOKUP(H5702,'Stage Order'!$A$2:$B$8,2,FALSE)</f>
        <v/>
      </c>
      <c r="N5702">
        <f>IF(G5702&lt;=1,"1. Under 1 hour",IF(G5702&lt;=24,"2. 1-24 hours",IF(G5702&lt;=72,"3. 1-3 days","4. Over 3 days")))</f>
        <v/>
      </c>
      <c r="O5702">
        <f>TEXT(B5702,"YYYY-MM")</f>
        <v/>
      </c>
    </row>
    <row r="5703">
      <c r="A5703" t="inlineStr">
        <is>
          <t>LD-305701</t>
        </is>
      </c>
      <c r="B5703" t="inlineStr">
        <is>
          <t>2025-01-27 10:31:00</t>
        </is>
      </c>
      <c r="C5703" t="inlineStr">
        <is>
          <t>Partner Channel</t>
        </is>
      </c>
      <c r="D5703" t="inlineStr">
        <is>
          <t>Competitive Exam Prep</t>
        </is>
      </c>
      <c r="E5703" t="inlineStr">
        <is>
          <t>West Region</t>
        </is>
      </c>
      <c r="F5703" t="inlineStr">
        <is>
          <t>Rep_13</t>
        </is>
      </c>
      <c r="G5703" t="n">
        <v>2.76</v>
      </c>
      <c r="H5703" t="inlineStr">
        <is>
          <t>Closed</t>
        </is>
      </c>
      <c r="I5703" t="inlineStr">
        <is>
          <t>Won</t>
        </is>
      </c>
      <c r="K5703" t="n">
        <v>1040.26</v>
      </c>
      <c r="L5703" t="inlineStr">
        <is>
          <t>2025-03-08 11:08:55.574051</t>
        </is>
      </c>
      <c r="M5703">
        <f>VLOOKUP(H5703,'Stage Order'!$A$2:$B$8,2,FALSE)</f>
        <v/>
      </c>
      <c r="N5703">
        <f>IF(G5703&lt;=1,"1. Under 1 hour",IF(G5703&lt;=24,"2. 1-24 hours",IF(G5703&lt;=72,"3. 1-3 days","4. Over 3 days")))</f>
        <v/>
      </c>
      <c r="O5703">
        <f>TEXT(B5703,"YYYY-MM")</f>
        <v/>
      </c>
    </row>
    <row r="5704">
      <c r="A5704" t="inlineStr">
        <is>
          <t>LD-305702</t>
        </is>
      </c>
      <c r="B5704" t="inlineStr">
        <is>
          <t>2025-07-30 11:21:00</t>
        </is>
      </c>
      <c r="C5704" t="inlineStr">
        <is>
          <t>Paid Search</t>
        </is>
      </c>
      <c r="D5704" t="inlineStr">
        <is>
          <t>Competitive Exam Prep</t>
        </is>
      </c>
      <c r="E5704" t="inlineStr">
        <is>
          <t>East Region</t>
        </is>
      </c>
      <c r="F5704" t="inlineStr">
        <is>
          <t>Rep_04</t>
        </is>
      </c>
      <c r="G5704" t="n">
        <v>4.78</v>
      </c>
      <c r="H5704" t="inlineStr">
        <is>
          <t>Contacted</t>
        </is>
      </c>
      <c r="I5704" t="inlineStr">
        <is>
          <t>Open</t>
        </is>
      </c>
      <c r="M5704">
        <f>VLOOKUP(H5704,'Stage Order'!$A$2:$B$8,2,FALSE)</f>
        <v/>
      </c>
      <c r="N5704">
        <f>IF(G5704&lt;=1,"1. Under 1 hour",IF(G5704&lt;=24,"2. 1-24 hours",IF(G5704&lt;=72,"3. 1-3 days","4. Over 3 days")))</f>
        <v/>
      </c>
      <c r="O5704">
        <f>TEXT(B5704,"YYYY-MM")</f>
        <v/>
      </c>
    </row>
    <row r="5705">
      <c r="A5705" t="inlineStr">
        <is>
          <t>LD-305703</t>
        </is>
      </c>
      <c r="B5705" t="inlineStr">
        <is>
          <t>2025-09-15 17:09:00</t>
        </is>
      </c>
      <c r="C5705" t="inlineStr">
        <is>
          <t>Cold Outreach</t>
        </is>
      </c>
      <c r="D5705" t="inlineStr">
        <is>
          <t>Competitive Exam Prep</t>
        </is>
      </c>
      <c r="E5705" t="inlineStr">
        <is>
          <t>South Region</t>
        </is>
      </c>
      <c r="F5705" t="inlineStr">
        <is>
          <t>Rep_02</t>
        </is>
      </c>
      <c r="G5705" t="n">
        <v>3.82</v>
      </c>
      <c r="H5705" t="inlineStr">
        <is>
          <t>Lead</t>
        </is>
      </c>
      <c r="I5705" t="inlineStr">
        <is>
          <t>Open</t>
        </is>
      </c>
      <c r="M5705">
        <f>VLOOKUP(H5705,'Stage Order'!$A$2:$B$8,2,FALSE)</f>
        <v/>
      </c>
      <c r="N5705">
        <f>IF(G5705&lt;=1,"1. Under 1 hour",IF(G5705&lt;=24,"2. 1-24 hours",IF(G5705&lt;=72,"3. 1-3 days","4. Over 3 days")))</f>
        <v/>
      </c>
      <c r="O5705">
        <f>TEXT(B5705,"YYYY-MM")</f>
        <v/>
      </c>
    </row>
    <row r="5706">
      <c r="A5706" t="inlineStr">
        <is>
          <t>LD-305704</t>
        </is>
      </c>
      <c r="B5706" t="inlineStr">
        <is>
          <t>2025-03-30 20:18:00</t>
        </is>
      </c>
      <c r="C5706" t="inlineStr">
        <is>
          <t>Webinar</t>
        </is>
      </c>
      <c r="D5706" t="inlineStr">
        <is>
          <t>Competitive Exam Prep</t>
        </is>
      </c>
      <c r="E5706" t="inlineStr">
        <is>
          <t>North Region</t>
        </is>
      </c>
      <c r="F5706" t="inlineStr">
        <is>
          <t>Rep_06</t>
        </is>
      </c>
      <c r="G5706" t="n">
        <v>3.13</v>
      </c>
      <c r="H5706" t="inlineStr">
        <is>
          <t>Negotiation</t>
        </is>
      </c>
      <c r="I5706" t="inlineStr">
        <is>
          <t>Lost</t>
        </is>
      </c>
      <c r="J5706" t="inlineStr">
        <is>
          <t>Bad Timing</t>
        </is>
      </c>
      <c r="K5706" t="n">
        <v>941.99</v>
      </c>
      <c r="L5706" t="inlineStr">
        <is>
          <t>2025-05-17 16:06:59.448069</t>
        </is>
      </c>
      <c r="M5706">
        <f>VLOOKUP(H5706,'Stage Order'!$A$2:$B$8,2,FALSE)</f>
        <v/>
      </c>
      <c r="N5706">
        <f>IF(G5706&lt;=1,"1. Under 1 hour",IF(G5706&lt;=24,"2. 1-24 hours",IF(G5706&lt;=72,"3. 1-3 days","4. Over 3 days")))</f>
        <v/>
      </c>
      <c r="O5706">
        <f>TEXT(B5706,"YYYY-MM")</f>
        <v/>
      </c>
    </row>
    <row r="5707">
      <c r="A5707" t="inlineStr">
        <is>
          <t>LD-305705</t>
        </is>
      </c>
      <c r="B5707" t="inlineStr">
        <is>
          <t>2026-05-05 11:10:00</t>
        </is>
      </c>
      <c r="C5707" t="inlineStr">
        <is>
          <t>Organic Search</t>
        </is>
      </c>
      <c r="D5707" t="inlineStr">
        <is>
          <t>Language Learning</t>
        </is>
      </c>
      <c r="E5707" t="inlineStr">
        <is>
          <t>North Region</t>
        </is>
      </c>
      <c r="F5707" t="inlineStr">
        <is>
          <t>Rep_11</t>
        </is>
      </c>
      <c r="G5707" t="n">
        <v>4.61</v>
      </c>
      <c r="H5707" t="inlineStr">
        <is>
          <t>Demo Completed</t>
        </is>
      </c>
      <c r="I5707" t="inlineStr">
        <is>
          <t>Lost</t>
        </is>
      </c>
      <c r="J5707" t="inlineStr">
        <is>
          <t>Price Objection</t>
        </is>
      </c>
      <c r="K5707" t="n">
        <v>325.45</v>
      </c>
      <c r="L5707" t="inlineStr">
        <is>
          <t>2026-06-04 00:34:16.602040</t>
        </is>
      </c>
      <c r="M5707">
        <f>VLOOKUP(H5707,'Stage Order'!$A$2:$B$8,2,FALSE)</f>
        <v/>
      </c>
      <c r="N5707">
        <f>IF(G5707&lt;=1,"1. Under 1 hour",IF(G5707&lt;=24,"2. 1-24 hours",IF(G5707&lt;=72,"3. 1-3 days","4. Over 3 days")))</f>
        <v/>
      </c>
      <c r="O5707">
        <f>TEXT(B5707,"YYYY-MM")</f>
        <v/>
      </c>
    </row>
    <row r="5708">
      <c r="A5708" t="inlineStr">
        <is>
          <t>LD-305706</t>
        </is>
      </c>
      <c r="B5708" t="inlineStr">
        <is>
          <t>2026-01-22 14:24:00</t>
        </is>
      </c>
      <c r="C5708" t="inlineStr">
        <is>
          <t>Webinar</t>
        </is>
      </c>
      <c r="D5708" t="inlineStr">
        <is>
          <t>Coding for Kids</t>
        </is>
      </c>
      <c r="E5708" t="inlineStr">
        <is>
          <t>East Region</t>
        </is>
      </c>
      <c r="F5708" t="inlineStr">
        <is>
          <t>Rep_04</t>
        </is>
      </c>
      <c r="G5708" t="n">
        <v>3.1</v>
      </c>
      <c r="H5708" t="inlineStr">
        <is>
          <t>Proposal Sent</t>
        </is>
      </c>
      <c r="I5708" t="inlineStr">
        <is>
          <t>Lost</t>
        </is>
      </c>
      <c r="J5708" t="inlineStr">
        <is>
          <t>No Response / Ghosted</t>
        </is>
      </c>
      <c r="K5708" t="n">
        <v>633.14</v>
      </c>
      <c r="L5708" t="inlineStr">
        <is>
          <t>2026-03-07 11:35:45.478799</t>
        </is>
      </c>
      <c r="M5708">
        <f>VLOOKUP(H5708,'Stage Order'!$A$2:$B$8,2,FALSE)</f>
        <v/>
      </c>
      <c r="N5708">
        <f>IF(G5708&lt;=1,"1. Under 1 hour",IF(G5708&lt;=24,"2. 1-24 hours",IF(G5708&lt;=72,"3. 1-3 days","4. Over 3 days")))</f>
        <v/>
      </c>
      <c r="O5708">
        <f>TEXT(B5708,"YYYY-MM")</f>
        <v/>
      </c>
    </row>
    <row r="5709">
      <c r="A5709" t="inlineStr">
        <is>
          <t>LD-305707</t>
        </is>
      </c>
      <c r="B5709" t="inlineStr">
        <is>
          <t>2025-06-13 10:51:00</t>
        </is>
      </c>
      <c r="C5709" t="inlineStr">
        <is>
          <t>Organic Search</t>
        </is>
      </c>
      <c r="D5709" t="inlineStr">
        <is>
          <t>Competitive Exam Prep</t>
        </is>
      </c>
      <c r="E5709" t="inlineStr">
        <is>
          <t>East Region</t>
        </is>
      </c>
      <c r="F5709" t="inlineStr">
        <is>
          <t>Rep_04</t>
        </is>
      </c>
      <c r="G5709" t="n">
        <v>1.61</v>
      </c>
      <c r="H5709" t="inlineStr">
        <is>
          <t>Negotiation</t>
        </is>
      </c>
      <c r="I5709" t="inlineStr">
        <is>
          <t>Lost</t>
        </is>
      </c>
      <c r="J5709" t="inlineStr">
        <is>
          <t>No Response / Ghosted</t>
        </is>
      </c>
      <c r="K5709" t="n">
        <v>927.83</v>
      </c>
      <c r="L5709" t="inlineStr">
        <is>
          <t>2025-07-10 04:08:32.973127</t>
        </is>
      </c>
      <c r="M5709">
        <f>VLOOKUP(H5709,'Stage Order'!$A$2:$B$8,2,FALSE)</f>
        <v/>
      </c>
      <c r="N5709">
        <f>IF(G5709&lt;=1,"1. Under 1 hour",IF(G5709&lt;=24,"2. 1-24 hours",IF(G5709&lt;=72,"3. 1-3 days","4. Over 3 days")))</f>
        <v/>
      </c>
      <c r="O5709">
        <f>TEXT(B5709,"YYYY-MM")</f>
        <v/>
      </c>
    </row>
    <row r="5710">
      <c r="A5710" t="inlineStr">
        <is>
          <t>LD-305708</t>
        </is>
      </c>
      <c r="B5710" t="inlineStr">
        <is>
          <t>2025-12-08 18:26:00</t>
        </is>
      </c>
      <c r="C5710" t="inlineStr">
        <is>
          <t>Paid Search</t>
        </is>
      </c>
      <c r="D5710" t="inlineStr">
        <is>
          <t>Competitive Exam Prep</t>
        </is>
      </c>
      <c r="E5710" t="inlineStr">
        <is>
          <t>North Region</t>
        </is>
      </c>
      <c r="F5710" t="inlineStr">
        <is>
          <t>Rep_11</t>
        </is>
      </c>
      <c r="G5710" t="n">
        <v>0.58</v>
      </c>
      <c r="H5710" t="inlineStr">
        <is>
          <t>Negotiation</t>
        </is>
      </c>
      <c r="I5710" t="inlineStr">
        <is>
          <t>Lost</t>
        </is>
      </c>
      <c r="J5710" t="inlineStr">
        <is>
          <t>Budget Not Approved</t>
        </is>
      </c>
      <c r="K5710" t="n">
        <v>980.91</v>
      </c>
      <c r="L5710" t="inlineStr">
        <is>
          <t>2026-01-28 08:42:37.110230</t>
        </is>
      </c>
      <c r="M5710">
        <f>VLOOKUP(H5710,'Stage Order'!$A$2:$B$8,2,FALSE)</f>
        <v/>
      </c>
      <c r="N5710">
        <f>IF(G5710&lt;=1,"1. Under 1 hour",IF(G5710&lt;=24,"2. 1-24 hours",IF(G5710&lt;=72,"3. 1-3 days","4. Over 3 days")))</f>
        <v/>
      </c>
      <c r="O5710">
        <f>TEXT(B5710,"YYYY-MM")</f>
        <v/>
      </c>
    </row>
    <row r="5711">
      <c r="A5711" t="inlineStr">
        <is>
          <t>LD-305709</t>
        </is>
      </c>
      <c r="B5711" t="inlineStr">
        <is>
          <t>2025-03-27 14:05:00</t>
        </is>
      </c>
      <c r="C5711" t="inlineStr">
        <is>
          <t>Organic Search</t>
        </is>
      </c>
      <c r="D5711" t="inlineStr">
        <is>
          <t>K-12 Math</t>
        </is>
      </c>
      <c r="E5711" t="inlineStr">
        <is>
          <t>North Region</t>
        </is>
      </c>
      <c r="F5711" t="inlineStr">
        <is>
          <t>Rep_01</t>
        </is>
      </c>
      <c r="G5711" t="n">
        <v>5.58</v>
      </c>
      <c r="H5711" t="inlineStr">
        <is>
          <t>Negotiation</t>
        </is>
      </c>
      <c r="I5711" t="inlineStr">
        <is>
          <t>Lost</t>
        </is>
      </c>
      <c r="J5711" t="inlineStr">
        <is>
          <t>Bad Timing</t>
        </is>
      </c>
      <c r="K5711" t="n">
        <v>462.92</v>
      </c>
      <c r="L5711" t="inlineStr">
        <is>
          <t>2025-05-05 20:21:28.515562</t>
        </is>
      </c>
      <c r="M5711">
        <f>VLOOKUP(H5711,'Stage Order'!$A$2:$B$8,2,FALSE)</f>
        <v/>
      </c>
      <c r="N5711">
        <f>IF(G5711&lt;=1,"1. Under 1 hour",IF(G5711&lt;=24,"2. 1-24 hours",IF(G5711&lt;=72,"3. 1-3 days","4. Over 3 days")))</f>
        <v/>
      </c>
      <c r="O5711">
        <f>TEXT(B5711,"YYYY-MM")</f>
        <v/>
      </c>
    </row>
    <row r="5712">
      <c r="A5712" t="inlineStr">
        <is>
          <t>LD-305710</t>
        </is>
      </c>
      <c r="B5712" t="inlineStr">
        <is>
          <t>2025-01-27 08:23:00</t>
        </is>
      </c>
      <c r="C5712" t="inlineStr">
        <is>
          <t>Referral</t>
        </is>
      </c>
      <c r="D5712" t="inlineStr">
        <is>
          <t>Competitive Exam Prep</t>
        </is>
      </c>
      <c r="E5712" t="inlineStr">
        <is>
          <t>South Region</t>
        </is>
      </c>
      <c r="F5712" t="inlineStr">
        <is>
          <t>Rep_07</t>
        </is>
      </c>
      <c r="G5712" t="n">
        <v>1.58</v>
      </c>
      <c r="H5712" t="inlineStr">
        <is>
          <t>Contacted</t>
        </is>
      </c>
      <c r="I5712" t="inlineStr">
        <is>
          <t>Open</t>
        </is>
      </c>
      <c r="M5712">
        <f>VLOOKUP(H5712,'Stage Order'!$A$2:$B$8,2,FALSE)</f>
        <v/>
      </c>
      <c r="N5712">
        <f>IF(G5712&lt;=1,"1. Under 1 hour",IF(G5712&lt;=24,"2. 1-24 hours",IF(G5712&lt;=72,"3. 1-3 days","4. Over 3 days")))</f>
        <v/>
      </c>
      <c r="O5712">
        <f>TEXT(B5712,"YYYY-MM")</f>
        <v/>
      </c>
    </row>
    <row r="5713">
      <c r="A5713" t="inlineStr">
        <is>
          <t>LD-305711</t>
        </is>
      </c>
      <c r="B5713" t="inlineStr">
        <is>
          <t>2026-01-12 12:55:00</t>
        </is>
      </c>
      <c r="C5713" t="inlineStr">
        <is>
          <t>Paid Search</t>
        </is>
      </c>
      <c r="D5713" t="inlineStr">
        <is>
          <t>Competitive Exam Prep</t>
        </is>
      </c>
      <c r="E5713" t="inlineStr">
        <is>
          <t>West Region</t>
        </is>
      </c>
      <c r="F5713" t="inlineStr">
        <is>
          <t>Rep_13</t>
        </is>
      </c>
      <c r="G5713" t="n">
        <v>1.01</v>
      </c>
      <c r="H5713" t="inlineStr">
        <is>
          <t>Proposal Sent</t>
        </is>
      </c>
      <c r="I5713" t="inlineStr">
        <is>
          <t>Lost</t>
        </is>
      </c>
      <c r="J5713" t="inlineStr">
        <is>
          <t>Bad Timing</t>
        </is>
      </c>
      <c r="K5713" t="n">
        <v>1154.07</v>
      </c>
      <c r="L5713" t="inlineStr">
        <is>
          <t>2026-02-15 08:06:07.318715</t>
        </is>
      </c>
      <c r="M5713">
        <f>VLOOKUP(H5713,'Stage Order'!$A$2:$B$8,2,FALSE)</f>
        <v/>
      </c>
      <c r="N5713">
        <f>IF(G5713&lt;=1,"1. Under 1 hour",IF(G5713&lt;=24,"2. 1-24 hours",IF(G5713&lt;=72,"3. 1-3 days","4. Over 3 days")))</f>
        <v/>
      </c>
      <c r="O5713">
        <f>TEXT(B5713,"YYYY-MM")</f>
        <v/>
      </c>
    </row>
    <row r="5714">
      <c r="A5714" t="inlineStr">
        <is>
          <t>LD-305712</t>
        </is>
      </c>
      <c r="B5714" t="inlineStr">
        <is>
          <t>2025-08-26 11:05:00</t>
        </is>
      </c>
      <c r="C5714" t="inlineStr">
        <is>
          <t>Paid Search</t>
        </is>
      </c>
      <c r="D5714" t="inlineStr">
        <is>
          <t>K-12 Math</t>
        </is>
      </c>
      <c r="E5714" t="inlineStr">
        <is>
          <t>East Region</t>
        </is>
      </c>
      <c r="F5714" t="inlineStr">
        <is>
          <t>Rep_04</t>
        </is>
      </c>
      <c r="G5714" t="n">
        <v>1.08</v>
      </c>
      <c r="H5714" t="inlineStr">
        <is>
          <t>Contacted</t>
        </is>
      </c>
      <c r="I5714" t="inlineStr">
        <is>
          <t>Open</t>
        </is>
      </c>
      <c r="M5714">
        <f>VLOOKUP(H5714,'Stage Order'!$A$2:$B$8,2,FALSE)</f>
        <v/>
      </c>
      <c r="N5714">
        <f>IF(G5714&lt;=1,"1. Under 1 hour",IF(G5714&lt;=24,"2. 1-24 hours",IF(G5714&lt;=72,"3. 1-3 days","4. Over 3 days")))</f>
        <v/>
      </c>
      <c r="O5714">
        <f>TEXT(B5714,"YYYY-MM")</f>
        <v/>
      </c>
    </row>
    <row r="5715">
      <c r="A5715" t="inlineStr">
        <is>
          <t>LD-305713</t>
        </is>
      </c>
      <c r="B5715" t="inlineStr">
        <is>
          <t>2025-10-02 15:19:00</t>
        </is>
      </c>
      <c r="C5715" t="inlineStr">
        <is>
          <t>Organic Search</t>
        </is>
      </c>
      <c r="D5715" t="inlineStr">
        <is>
          <t>K-12 Math</t>
        </is>
      </c>
      <c r="E5715" t="inlineStr">
        <is>
          <t>South Region</t>
        </is>
      </c>
      <c r="F5715" t="inlineStr">
        <is>
          <t>Rep_02</t>
        </is>
      </c>
      <c r="G5715" t="n">
        <v>1.27</v>
      </c>
      <c r="H5715" t="inlineStr">
        <is>
          <t>Closed</t>
        </is>
      </c>
      <c r="I5715" t="inlineStr">
        <is>
          <t>Won</t>
        </is>
      </c>
      <c r="K5715" t="n">
        <v>507.36</v>
      </c>
      <c r="L5715" t="inlineStr">
        <is>
          <t>2025-11-15 12:24:20.205774</t>
        </is>
      </c>
      <c r="M5715">
        <f>VLOOKUP(H5715,'Stage Order'!$A$2:$B$8,2,FALSE)</f>
        <v/>
      </c>
      <c r="N5715">
        <f>IF(G5715&lt;=1,"1. Under 1 hour",IF(G5715&lt;=24,"2. 1-24 hours",IF(G5715&lt;=72,"3. 1-3 days","4. Over 3 days")))</f>
        <v/>
      </c>
      <c r="O5715">
        <f>TEXT(B5715,"YYYY-MM")</f>
        <v/>
      </c>
    </row>
    <row r="5716">
      <c r="A5716" t="inlineStr">
        <is>
          <t>LD-305714</t>
        </is>
      </c>
      <c r="B5716" t="inlineStr">
        <is>
          <t>2026-03-02 09:33:00</t>
        </is>
      </c>
      <c r="C5716" t="inlineStr">
        <is>
          <t>Social Media</t>
        </is>
      </c>
      <c r="D5716" t="inlineStr">
        <is>
          <t>K-12 Math</t>
        </is>
      </c>
      <c r="E5716" t="inlineStr">
        <is>
          <t>East Region</t>
        </is>
      </c>
      <c r="F5716" t="inlineStr">
        <is>
          <t>Rep_09</t>
        </is>
      </c>
      <c r="G5716" t="n">
        <v>5.02</v>
      </c>
      <c r="H5716" t="inlineStr">
        <is>
          <t>Contacted</t>
        </is>
      </c>
      <c r="I5716" t="inlineStr">
        <is>
          <t>Open</t>
        </is>
      </c>
      <c r="M5716">
        <f>VLOOKUP(H5716,'Stage Order'!$A$2:$B$8,2,FALSE)</f>
        <v/>
      </c>
      <c r="N5716">
        <f>IF(G5716&lt;=1,"1. Under 1 hour",IF(G5716&lt;=24,"2. 1-24 hours",IF(G5716&lt;=72,"3. 1-3 days","4. Over 3 days")))</f>
        <v/>
      </c>
      <c r="O5716">
        <f>TEXT(B5716,"YYYY-MM")</f>
        <v/>
      </c>
    </row>
    <row r="5717">
      <c r="A5717" t="inlineStr">
        <is>
          <t>LD-305715</t>
        </is>
      </c>
      <c r="B5717" t="inlineStr">
        <is>
          <t>2025-08-07 19:23:00</t>
        </is>
      </c>
      <c r="C5717" t="inlineStr">
        <is>
          <t>Social Media</t>
        </is>
      </c>
      <c r="D5717" t="inlineStr">
        <is>
          <t>Competitive Exam Prep</t>
        </is>
      </c>
      <c r="E5717" t="inlineStr">
        <is>
          <t>International</t>
        </is>
      </c>
      <c r="F5717" t="inlineStr">
        <is>
          <t>Rep_10</t>
        </is>
      </c>
      <c r="G5717" t="n">
        <v>2.05</v>
      </c>
      <c r="H5717" t="inlineStr">
        <is>
          <t>Proposal Sent</t>
        </is>
      </c>
      <c r="I5717" t="inlineStr">
        <is>
          <t>Lost</t>
        </is>
      </c>
      <c r="J5717" t="inlineStr">
        <is>
          <t>Bad Timing</t>
        </is>
      </c>
      <c r="K5717" t="n">
        <v>840.13</v>
      </c>
      <c r="L5717" t="inlineStr">
        <is>
          <t>2025-09-17 02:11:21.982206</t>
        </is>
      </c>
      <c r="M5717">
        <f>VLOOKUP(H5717,'Stage Order'!$A$2:$B$8,2,FALSE)</f>
        <v/>
      </c>
      <c r="N5717">
        <f>IF(G5717&lt;=1,"1. Under 1 hour",IF(G5717&lt;=24,"2. 1-24 hours",IF(G5717&lt;=72,"3. 1-3 days","4. Over 3 days")))</f>
        <v/>
      </c>
      <c r="O5717">
        <f>TEXT(B5717,"YYYY-MM")</f>
        <v/>
      </c>
    </row>
    <row r="5718">
      <c r="A5718" t="inlineStr">
        <is>
          <t>LD-305716</t>
        </is>
      </c>
      <c r="B5718" t="inlineStr">
        <is>
          <t>2026-03-13 19:03:00</t>
        </is>
      </c>
      <c r="C5718" t="inlineStr">
        <is>
          <t>Organic Search</t>
        </is>
      </c>
      <c r="D5718" t="inlineStr">
        <is>
          <t>K-12 Math</t>
        </is>
      </c>
      <c r="E5718" t="inlineStr">
        <is>
          <t>South Region</t>
        </is>
      </c>
      <c r="F5718" t="inlineStr">
        <is>
          <t>Rep_07</t>
        </is>
      </c>
      <c r="G5718" t="n">
        <v>4.33</v>
      </c>
      <c r="H5718" t="inlineStr">
        <is>
          <t>Contacted</t>
        </is>
      </c>
      <c r="I5718" t="inlineStr">
        <is>
          <t>Open</t>
        </is>
      </c>
      <c r="M5718">
        <f>VLOOKUP(H5718,'Stage Order'!$A$2:$B$8,2,FALSE)</f>
        <v/>
      </c>
      <c r="N5718">
        <f>IF(G5718&lt;=1,"1. Under 1 hour",IF(G5718&lt;=24,"2. 1-24 hours",IF(G5718&lt;=72,"3. 1-3 days","4. Over 3 days")))</f>
        <v/>
      </c>
      <c r="O5718">
        <f>TEXT(B5718,"YYYY-MM")</f>
        <v/>
      </c>
    </row>
    <row r="5719">
      <c r="A5719" t="inlineStr">
        <is>
          <t>LD-305717</t>
        </is>
      </c>
      <c r="B5719" t="inlineStr">
        <is>
          <t>2026-01-02 10:40:00</t>
        </is>
      </c>
      <c r="C5719" t="inlineStr">
        <is>
          <t>Partner Channel</t>
        </is>
      </c>
      <c r="D5719" t="inlineStr">
        <is>
          <t>K-12 Math</t>
        </is>
      </c>
      <c r="E5719" t="inlineStr">
        <is>
          <t>North Region</t>
        </is>
      </c>
      <c r="F5719" t="inlineStr">
        <is>
          <t>Rep_11</t>
        </is>
      </c>
      <c r="G5719" t="n">
        <v>6.79</v>
      </c>
      <c r="H5719" t="inlineStr">
        <is>
          <t>Negotiation</t>
        </is>
      </c>
      <c r="I5719" t="inlineStr">
        <is>
          <t>Lost</t>
        </is>
      </c>
      <c r="J5719" t="inlineStr">
        <is>
          <t>Price Objection</t>
        </is>
      </c>
      <c r="K5719" t="n">
        <v>512.77</v>
      </c>
      <c r="L5719" t="inlineStr">
        <is>
          <t>2026-01-29 22:04:54.565473</t>
        </is>
      </c>
      <c r="M5719">
        <f>VLOOKUP(H5719,'Stage Order'!$A$2:$B$8,2,FALSE)</f>
        <v/>
      </c>
      <c r="N5719">
        <f>IF(G5719&lt;=1,"1. Under 1 hour",IF(G5719&lt;=24,"2. 1-24 hours",IF(G5719&lt;=72,"3. 1-3 days","4. Over 3 days")))</f>
        <v/>
      </c>
      <c r="O5719">
        <f>TEXT(B5719,"YYYY-MM")</f>
        <v/>
      </c>
    </row>
    <row r="5720">
      <c r="A5720" t="inlineStr">
        <is>
          <t>LD-305718</t>
        </is>
      </c>
      <c r="B5720" t="inlineStr">
        <is>
          <t>2025-03-23 17:25:00</t>
        </is>
      </c>
      <c r="C5720" t="inlineStr">
        <is>
          <t>Referral</t>
        </is>
      </c>
      <c r="D5720" t="inlineStr">
        <is>
          <t>Competitive Exam Prep</t>
        </is>
      </c>
      <c r="E5720" t="inlineStr">
        <is>
          <t>International</t>
        </is>
      </c>
      <c r="F5720" t="inlineStr">
        <is>
          <t>Rep_15</t>
        </is>
      </c>
      <c r="G5720" t="n">
        <v>1.81</v>
      </c>
      <c r="H5720" t="inlineStr">
        <is>
          <t>Demo Scheduled</t>
        </is>
      </c>
      <c r="I5720" t="inlineStr">
        <is>
          <t>Open</t>
        </is>
      </c>
      <c r="M5720">
        <f>VLOOKUP(H5720,'Stage Order'!$A$2:$B$8,2,FALSE)</f>
        <v/>
      </c>
      <c r="N5720">
        <f>IF(G5720&lt;=1,"1. Under 1 hour",IF(G5720&lt;=24,"2. 1-24 hours",IF(G5720&lt;=72,"3. 1-3 days","4. Over 3 days")))</f>
        <v/>
      </c>
      <c r="O5720">
        <f>TEXT(B5720,"YYYY-MM")</f>
        <v/>
      </c>
    </row>
    <row r="5721">
      <c r="A5721" t="inlineStr">
        <is>
          <t>LD-305719</t>
        </is>
      </c>
      <c r="B5721" t="inlineStr">
        <is>
          <t>2026-01-29 10:37:00</t>
        </is>
      </c>
      <c r="C5721" t="inlineStr">
        <is>
          <t>Cold Outreach</t>
        </is>
      </c>
      <c r="D5721" t="inlineStr">
        <is>
          <t>K-12 Math</t>
        </is>
      </c>
      <c r="E5721" t="inlineStr">
        <is>
          <t>North Region</t>
        </is>
      </c>
      <c r="F5721" t="inlineStr">
        <is>
          <t>Rep_06</t>
        </is>
      </c>
      <c r="G5721" t="n">
        <v>4.26</v>
      </c>
      <c r="H5721" t="inlineStr">
        <is>
          <t>Contacted</t>
        </is>
      </c>
      <c r="I5721" t="inlineStr">
        <is>
          <t>Open</t>
        </is>
      </c>
      <c r="M5721">
        <f>VLOOKUP(H5721,'Stage Order'!$A$2:$B$8,2,FALSE)</f>
        <v/>
      </c>
      <c r="N5721">
        <f>IF(G5721&lt;=1,"1. Under 1 hour",IF(G5721&lt;=24,"2. 1-24 hours",IF(G5721&lt;=72,"3. 1-3 days","4. Over 3 days")))</f>
        <v/>
      </c>
      <c r="O5721">
        <f>TEXT(B5721,"YYYY-MM")</f>
        <v/>
      </c>
    </row>
    <row r="5722">
      <c r="A5722" t="inlineStr">
        <is>
          <t>LD-305720</t>
        </is>
      </c>
      <c r="B5722" t="inlineStr">
        <is>
          <t>2026-02-20 07:56:00</t>
        </is>
      </c>
      <c r="C5722" t="inlineStr">
        <is>
          <t>Social Media</t>
        </is>
      </c>
      <c r="D5722" t="inlineStr">
        <is>
          <t>Language Learning</t>
        </is>
      </c>
      <c r="E5722" t="inlineStr">
        <is>
          <t>South Region</t>
        </is>
      </c>
      <c r="F5722" t="inlineStr">
        <is>
          <t>Rep_02</t>
        </is>
      </c>
      <c r="G5722" t="n">
        <v>2.07</v>
      </c>
      <c r="H5722" t="inlineStr">
        <is>
          <t>Negotiation</t>
        </is>
      </c>
      <c r="I5722" t="inlineStr">
        <is>
          <t>Lost</t>
        </is>
      </c>
      <c r="J5722" t="inlineStr">
        <is>
          <t>Went With Competitor</t>
        </is>
      </c>
      <c r="K5722" t="n">
        <v>404.2</v>
      </c>
      <c r="L5722" t="inlineStr">
        <is>
          <t>2026-03-27 16:49:50.037725</t>
        </is>
      </c>
      <c r="M5722">
        <f>VLOOKUP(H5722,'Stage Order'!$A$2:$B$8,2,FALSE)</f>
        <v/>
      </c>
      <c r="N5722">
        <f>IF(G5722&lt;=1,"1. Under 1 hour",IF(G5722&lt;=24,"2. 1-24 hours",IF(G5722&lt;=72,"3. 1-3 days","4. Over 3 days")))</f>
        <v/>
      </c>
      <c r="O5722">
        <f>TEXT(B5722,"YYYY-MM")</f>
        <v/>
      </c>
    </row>
    <row r="5723">
      <c r="A5723" t="inlineStr">
        <is>
          <t>LD-305721</t>
        </is>
      </c>
      <c r="B5723" t="inlineStr">
        <is>
          <t>2025-09-22 07:07:00</t>
        </is>
      </c>
      <c r="C5723" t="inlineStr">
        <is>
          <t>Cold Outreach</t>
        </is>
      </c>
      <c r="D5723" t="inlineStr">
        <is>
          <t>Competitive Exam Prep</t>
        </is>
      </c>
      <c r="E5723" t="inlineStr">
        <is>
          <t>South Region</t>
        </is>
      </c>
      <c r="F5723" t="inlineStr">
        <is>
          <t>Rep_07</t>
        </is>
      </c>
      <c r="G5723" t="n">
        <v>6.78</v>
      </c>
      <c r="H5723" t="inlineStr">
        <is>
          <t>Demo Scheduled</t>
        </is>
      </c>
      <c r="I5723" t="inlineStr">
        <is>
          <t>Open</t>
        </is>
      </c>
      <c r="M5723">
        <f>VLOOKUP(H5723,'Stage Order'!$A$2:$B$8,2,FALSE)</f>
        <v/>
      </c>
      <c r="N5723">
        <f>IF(G5723&lt;=1,"1. Under 1 hour",IF(G5723&lt;=24,"2. 1-24 hours",IF(G5723&lt;=72,"3. 1-3 days","4. Over 3 days")))</f>
        <v/>
      </c>
      <c r="O5723">
        <f>TEXT(B5723,"YYYY-MM")</f>
        <v/>
      </c>
    </row>
    <row r="5724">
      <c r="A5724" t="inlineStr">
        <is>
          <t>LD-305722</t>
        </is>
      </c>
      <c r="B5724" t="inlineStr">
        <is>
          <t>2025-11-03 18:17:00</t>
        </is>
      </c>
      <c r="C5724" t="inlineStr">
        <is>
          <t>Cold Outreach</t>
        </is>
      </c>
      <c r="D5724" t="inlineStr">
        <is>
          <t>Language Learning</t>
        </is>
      </c>
      <c r="E5724" t="inlineStr">
        <is>
          <t>North Region</t>
        </is>
      </c>
      <c r="F5724" t="inlineStr">
        <is>
          <t>Rep_11</t>
        </is>
      </c>
      <c r="G5724" t="n">
        <v>5.05</v>
      </c>
      <c r="H5724" t="inlineStr">
        <is>
          <t>Contacted</t>
        </is>
      </c>
      <c r="I5724" t="inlineStr">
        <is>
          <t>Open</t>
        </is>
      </c>
      <c r="M5724">
        <f>VLOOKUP(H5724,'Stage Order'!$A$2:$B$8,2,FALSE)</f>
        <v/>
      </c>
      <c r="N5724">
        <f>IF(G5724&lt;=1,"1. Under 1 hour",IF(G5724&lt;=24,"2. 1-24 hours",IF(G5724&lt;=72,"3. 1-3 days","4. Over 3 days")))</f>
        <v/>
      </c>
      <c r="O5724">
        <f>TEXT(B5724,"YYYY-MM")</f>
        <v/>
      </c>
    </row>
    <row r="5725">
      <c r="A5725" t="inlineStr">
        <is>
          <t>LD-305723</t>
        </is>
      </c>
      <c r="B5725" t="inlineStr">
        <is>
          <t>2025-03-21 18:21:00</t>
        </is>
      </c>
      <c r="C5725" t="inlineStr">
        <is>
          <t>Cold Outreach</t>
        </is>
      </c>
      <c r="D5725" t="inlineStr">
        <is>
          <t>K-12 Math</t>
        </is>
      </c>
      <c r="E5725" t="inlineStr">
        <is>
          <t>East Region</t>
        </is>
      </c>
      <c r="F5725" t="inlineStr">
        <is>
          <t>Rep_09</t>
        </is>
      </c>
      <c r="G5725" t="n">
        <v>5.41</v>
      </c>
      <c r="H5725" t="inlineStr">
        <is>
          <t>Demo Scheduled</t>
        </is>
      </c>
      <c r="I5725" t="inlineStr">
        <is>
          <t>Open</t>
        </is>
      </c>
      <c r="M5725">
        <f>VLOOKUP(H5725,'Stage Order'!$A$2:$B$8,2,FALSE)</f>
        <v/>
      </c>
      <c r="N5725">
        <f>IF(G5725&lt;=1,"1. Under 1 hour",IF(G5725&lt;=24,"2. 1-24 hours",IF(G5725&lt;=72,"3. 1-3 days","4. Over 3 days")))</f>
        <v/>
      </c>
      <c r="O5725">
        <f>TEXT(B5725,"YYYY-MM")</f>
        <v/>
      </c>
    </row>
    <row r="5726">
      <c r="A5726" t="inlineStr">
        <is>
          <t>LD-305724</t>
        </is>
      </c>
      <c r="B5726" t="inlineStr">
        <is>
          <t>2026-05-29 18:50:00</t>
        </is>
      </c>
      <c r="C5726" t="inlineStr">
        <is>
          <t>Referral</t>
        </is>
      </c>
      <c r="D5726" t="inlineStr">
        <is>
          <t>Competitive Exam Prep</t>
        </is>
      </c>
      <c r="E5726" t="inlineStr">
        <is>
          <t>North Region</t>
        </is>
      </c>
      <c r="F5726" t="inlineStr">
        <is>
          <t>Rep_01</t>
        </is>
      </c>
      <c r="G5726" t="n">
        <v>1.76</v>
      </c>
      <c r="H5726" t="inlineStr">
        <is>
          <t>Contacted</t>
        </is>
      </c>
      <c r="I5726" t="inlineStr">
        <is>
          <t>Open</t>
        </is>
      </c>
      <c r="M5726">
        <f>VLOOKUP(H5726,'Stage Order'!$A$2:$B$8,2,FALSE)</f>
        <v/>
      </c>
      <c r="N5726">
        <f>IF(G5726&lt;=1,"1. Under 1 hour",IF(G5726&lt;=24,"2. 1-24 hours",IF(G5726&lt;=72,"3. 1-3 days","4. Over 3 days")))</f>
        <v/>
      </c>
      <c r="O5726">
        <f>TEXT(B5726,"YYYY-MM")</f>
        <v/>
      </c>
    </row>
    <row r="5727">
      <c r="A5727" t="inlineStr">
        <is>
          <t>LD-305725</t>
        </is>
      </c>
      <c r="B5727" t="inlineStr">
        <is>
          <t>2025-09-03 11:52:00</t>
        </is>
      </c>
      <c r="C5727" t="inlineStr">
        <is>
          <t>Referral</t>
        </is>
      </c>
      <c r="D5727" t="inlineStr">
        <is>
          <t>Competitive Exam Prep</t>
        </is>
      </c>
      <c r="E5727" t="inlineStr">
        <is>
          <t>North Region</t>
        </is>
      </c>
      <c r="F5727" t="inlineStr">
        <is>
          <t>Rep_06</t>
        </is>
      </c>
      <c r="G5727" t="n">
        <v>1.15</v>
      </c>
      <c r="H5727" t="inlineStr">
        <is>
          <t>Proposal Sent</t>
        </is>
      </c>
      <c r="I5727" t="inlineStr">
        <is>
          <t>Lost</t>
        </is>
      </c>
      <c r="J5727" t="inlineStr">
        <is>
          <t>Bad Timing</t>
        </is>
      </c>
      <c r="K5727" t="n">
        <v>1154.94</v>
      </c>
      <c r="L5727" t="inlineStr">
        <is>
          <t>2025-10-14 12:18:34.621308</t>
        </is>
      </c>
      <c r="M5727">
        <f>VLOOKUP(H5727,'Stage Order'!$A$2:$B$8,2,FALSE)</f>
        <v/>
      </c>
      <c r="N5727">
        <f>IF(G5727&lt;=1,"1. Under 1 hour",IF(G5727&lt;=24,"2. 1-24 hours",IF(G5727&lt;=72,"3. 1-3 days","4. Over 3 days")))</f>
        <v/>
      </c>
      <c r="O5727">
        <f>TEXT(B5727,"YYYY-MM")</f>
        <v/>
      </c>
    </row>
    <row r="5728">
      <c r="A5728" t="inlineStr">
        <is>
          <t>LD-305726</t>
        </is>
      </c>
      <c r="B5728" t="inlineStr">
        <is>
          <t>2026-03-02 15:49:00</t>
        </is>
      </c>
      <c r="C5728" t="inlineStr">
        <is>
          <t>Referral</t>
        </is>
      </c>
      <c r="D5728" t="inlineStr">
        <is>
          <t>Language Learning</t>
        </is>
      </c>
      <c r="E5728" t="inlineStr">
        <is>
          <t>West Region</t>
        </is>
      </c>
      <c r="F5728" t="inlineStr">
        <is>
          <t>Rep_03</t>
        </is>
      </c>
      <c r="G5728" t="n">
        <v>2.07</v>
      </c>
      <c r="H5728" t="inlineStr">
        <is>
          <t>Contacted</t>
        </is>
      </c>
      <c r="I5728" t="inlineStr">
        <is>
          <t>Open</t>
        </is>
      </c>
      <c r="M5728">
        <f>VLOOKUP(H5728,'Stage Order'!$A$2:$B$8,2,FALSE)</f>
        <v/>
      </c>
      <c r="N5728">
        <f>IF(G5728&lt;=1,"1. Under 1 hour",IF(G5728&lt;=24,"2. 1-24 hours",IF(G5728&lt;=72,"3. 1-3 days","4. Over 3 days")))</f>
        <v/>
      </c>
      <c r="O5728">
        <f>TEXT(B5728,"YYYY-MM")</f>
        <v/>
      </c>
    </row>
    <row r="5729">
      <c r="A5729" t="inlineStr">
        <is>
          <t>LD-305727</t>
        </is>
      </c>
      <c r="B5729" t="inlineStr">
        <is>
          <t>2026-04-17 14:41:00</t>
        </is>
      </c>
      <c r="C5729" t="inlineStr">
        <is>
          <t>Organic Search</t>
        </is>
      </c>
      <c r="D5729" t="inlineStr">
        <is>
          <t>Competitive Exam Prep</t>
        </is>
      </c>
      <c r="E5729" t="inlineStr">
        <is>
          <t>South Region</t>
        </is>
      </c>
      <c r="F5729" t="inlineStr">
        <is>
          <t>Rep_02</t>
        </is>
      </c>
      <c r="G5729" t="n">
        <v>9.82</v>
      </c>
      <c r="H5729" t="inlineStr">
        <is>
          <t>Contacted</t>
        </is>
      </c>
      <c r="I5729" t="inlineStr">
        <is>
          <t>Open</t>
        </is>
      </c>
      <c r="M5729">
        <f>VLOOKUP(H5729,'Stage Order'!$A$2:$B$8,2,FALSE)</f>
        <v/>
      </c>
      <c r="N5729">
        <f>IF(G5729&lt;=1,"1. Under 1 hour",IF(G5729&lt;=24,"2. 1-24 hours",IF(G5729&lt;=72,"3. 1-3 days","4. Over 3 days")))</f>
        <v/>
      </c>
      <c r="O5729">
        <f>TEXT(B5729,"YYYY-MM")</f>
        <v/>
      </c>
    </row>
    <row r="5730">
      <c r="A5730" t="inlineStr">
        <is>
          <t>LD-305728</t>
        </is>
      </c>
      <c r="B5730" t="inlineStr">
        <is>
          <t>2025-01-31 14:37:00</t>
        </is>
      </c>
      <c r="C5730" t="inlineStr">
        <is>
          <t>Partner Channel</t>
        </is>
      </c>
      <c r="D5730" t="inlineStr">
        <is>
          <t>Coding for Kids</t>
        </is>
      </c>
      <c r="E5730" t="inlineStr">
        <is>
          <t>South Region</t>
        </is>
      </c>
      <c r="F5730" t="inlineStr">
        <is>
          <t>Rep_12</t>
        </is>
      </c>
      <c r="G5730" t="n">
        <v>7.09</v>
      </c>
      <c r="H5730" t="inlineStr">
        <is>
          <t>Contacted</t>
        </is>
      </c>
      <c r="I5730" t="inlineStr">
        <is>
          <t>Open</t>
        </is>
      </c>
      <c r="M5730">
        <f>VLOOKUP(H5730,'Stage Order'!$A$2:$B$8,2,FALSE)</f>
        <v/>
      </c>
      <c r="N5730">
        <f>IF(G5730&lt;=1,"1. Under 1 hour",IF(G5730&lt;=24,"2. 1-24 hours",IF(G5730&lt;=72,"3. 1-3 days","4. Over 3 days")))</f>
        <v/>
      </c>
      <c r="O5730">
        <f>TEXT(B5730,"YYYY-MM")</f>
        <v/>
      </c>
    </row>
    <row r="5731">
      <c r="A5731" t="inlineStr">
        <is>
          <t>LD-305729</t>
        </is>
      </c>
      <c r="B5731" t="inlineStr">
        <is>
          <t>2025-07-08 14:05:00</t>
        </is>
      </c>
      <c r="C5731" t="inlineStr">
        <is>
          <t>Social Media</t>
        </is>
      </c>
      <c r="D5731" t="inlineStr">
        <is>
          <t>Coding for Kids</t>
        </is>
      </c>
      <c r="E5731" t="inlineStr">
        <is>
          <t>East Region</t>
        </is>
      </c>
      <c r="F5731" t="inlineStr">
        <is>
          <t>Rep_09</t>
        </is>
      </c>
      <c r="G5731" t="n">
        <v>0.63</v>
      </c>
      <c r="H5731" t="inlineStr">
        <is>
          <t>Contacted</t>
        </is>
      </c>
      <c r="I5731" t="inlineStr">
        <is>
          <t>Open</t>
        </is>
      </c>
      <c r="M5731">
        <f>VLOOKUP(H5731,'Stage Order'!$A$2:$B$8,2,FALSE)</f>
        <v/>
      </c>
      <c r="N5731">
        <f>IF(G5731&lt;=1,"1. Under 1 hour",IF(G5731&lt;=24,"2. 1-24 hours",IF(G5731&lt;=72,"3. 1-3 days","4. Over 3 days")))</f>
        <v/>
      </c>
      <c r="O5731">
        <f>TEXT(B5731,"YYYY-MM")</f>
        <v/>
      </c>
    </row>
    <row r="5732">
      <c r="A5732" t="inlineStr">
        <is>
          <t>LD-305730</t>
        </is>
      </c>
      <c r="B5732" t="inlineStr">
        <is>
          <t>2025-06-03 12:11:00</t>
        </is>
      </c>
      <c r="C5732" t="inlineStr">
        <is>
          <t>Cold Outreach</t>
        </is>
      </c>
      <c r="D5732" t="inlineStr">
        <is>
          <t>K-12 Math</t>
        </is>
      </c>
      <c r="E5732" t="inlineStr">
        <is>
          <t>West Region</t>
        </is>
      </c>
      <c r="F5732" t="inlineStr">
        <is>
          <t>Rep_13</t>
        </is>
      </c>
      <c r="G5732" t="n">
        <v>1.44</v>
      </c>
      <c r="H5732" t="inlineStr">
        <is>
          <t>Lead</t>
        </is>
      </c>
      <c r="I5732" t="inlineStr">
        <is>
          <t>Open</t>
        </is>
      </c>
      <c r="M5732">
        <f>VLOOKUP(H5732,'Stage Order'!$A$2:$B$8,2,FALSE)</f>
        <v/>
      </c>
      <c r="N5732">
        <f>IF(G5732&lt;=1,"1. Under 1 hour",IF(G5732&lt;=24,"2. 1-24 hours",IF(G5732&lt;=72,"3. 1-3 days","4. Over 3 days")))</f>
        <v/>
      </c>
      <c r="O5732">
        <f>TEXT(B5732,"YYYY-MM")</f>
        <v/>
      </c>
    </row>
    <row r="5733">
      <c r="A5733" t="inlineStr">
        <is>
          <t>LD-305731</t>
        </is>
      </c>
      <c r="B5733" t="inlineStr">
        <is>
          <t>2026-02-20 20:26:00</t>
        </is>
      </c>
      <c r="C5733" t="inlineStr">
        <is>
          <t>Organic Search</t>
        </is>
      </c>
      <c r="D5733" t="inlineStr">
        <is>
          <t>Coding for Kids</t>
        </is>
      </c>
      <c r="E5733" t="inlineStr">
        <is>
          <t>South Region</t>
        </is>
      </c>
      <c r="F5733" t="inlineStr">
        <is>
          <t>Rep_07</t>
        </is>
      </c>
      <c r="G5733" t="n">
        <v>5.24</v>
      </c>
      <c r="H5733" t="inlineStr">
        <is>
          <t>Contacted</t>
        </is>
      </c>
      <c r="I5733" t="inlineStr">
        <is>
          <t>Open</t>
        </is>
      </c>
      <c r="M5733">
        <f>VLOOKUP(H5733,'Stage Order'!$A$2:$B$8,2,FALSE)</f>
        <v/>
      </c>
      <c r="N5733">
        <f>IF(G5733&lt;=1,"1. Under 1 hour",IF(G5733&lt;=24,"2. 1-24 hours",IF(G5733&lt;=72,"3. 1-3 days","4. Over 3 days")))</f>
        <v/>
      </c>
      <c r="O5733">
        <f>TEXT(B5733,"YYYY-MM")</f>
        <v/>
      </c>
    </row>
    <row r="5734">
      <c r="A5734" t="inlineStr">
        <is>
          <t>LD-305732</t>
        </is>
      </c>
      <c r="B5734" t="inlineStr">
        <is>
          <t>2026-05-04 16:26:00</t>
        </is>
      </c>
      <c r="C5734" t="inlineStr">
        <is>
          <t>Social Media</t>
        </is>
      </c>
      <c r="D5734" t="inlineStr">
        <is>
          <t>Competitive Exam Prep</t>
        </is>
      </c>
      <c r="E5734" t="inlineStr">
        <is>
          <t>North Region</t>
        </is>
      </c>
      <c r="F5734" t="inlineStr">
        <is>
          <t>Rep_11</t>
        </is>
      </c>
      <c r="G5734" t="n">
        <v>1.31</v>
      </c>
      <c r="H5734" t="inlineStr">
        <is>
          <t>Contacted</t>
        </is>
      </c>
      <c r="I5734" t="inlineStr">
        <is>
          <t>Open</t>
        </is>
      </c>
      <c r="M5734">
        <f>VLOOKUP(H5734,'Stage Order'!$A$2:$B$8,2,FALSE)</f>
        <v/>
      </c>
      <c r="N5734">
        <f>IF(G5734&lt;=1,"1. Under 1 hour",IF(G5734&lt;=24,"2. 1-24 hours",IF(G5734&lt;=72,"3. 1-3 days","4. Over 3 days")))</f>
        <v/>
      </c>
      <c r="O5734">
        <f>TEXT(B5734,"YYYY-MM")</f>
        <v/>
      </c>
    </row>
    <row r="5735">
      <c r="A5735" t="inlineStr">
        <is>
          <t>LD-305733</t>
        </is>
      </c>
      <c r="B5735" t="inlineStr">
        <is>
          <t>2025-06-24 13:10:00</t>
        </is>
      </c>
      <c r="C5735" t="inlineStr">
        <is>
          <t>Organic Search</t>
        </is>
      </c>
      <c r="D5735" t="inlineStr">
        <is>
          <t>K-12 Math</t>
        </is>
      </c>
      <c r="E5735" t="inlineStr">
        <is>
          <t>West Region</t>
        </is>
      </c>
      <c r="F5735" t="inlineStr">
        <is>
          <t>Rep_08</t>
        </is>
      </c>
      <c r="G5735" t="n">
        <v>5.84</v>
      </c>
      <c r="H5735" t="inlineStr">
        <is>
          <t>Contacted</t>
        </is>
      </c>
      <c r="I5735" t="inlineStr">
        <is>
          <t>Open</t>
        </is>
      </c>
      <c r="M5735">
        <f>VLOOKUP(H5735,'Stage Order'!$A$2:$B$8,2,FALSE)</f>
        <v/>
      </c>
      <c r="N5735">
        <f>IF(G5735&lt;=1,"1. Under 1 hour",IF(G5735&lt;=24,"2. 1-24 hours",IF(G5735&lt;=72,"3. 1-3 days","4. Over 3 days")))</f>
        <v/>
      </c>
      <c r="O5735">
        <f>TEXT(B5735,"YYYY-MM")</f>
        <v/>
      </c>
    </row>
    <row r="5736">
      <c r="A5736" t="inlineStr">
        <is>
          <t>LD-305734</t>
        </is>
      </c>
      <c r="B5736" t="inlineStr">
        <is>
          <t>2025-01-28 18:11:00</t>
        </is>
      </c>
      <c r="C5736" t="inlineStr">
        <is>
          <t>Social Media</t>
        </is>
      </c>
      <c r="D5736" t="inlineStr">
        <is>
          <t>Study Abroad Prep</t>
        </is>
      </c>
      <c r="E5736" t="inlineStr">
        <is>
          <t>South Region</t>
        </is>
      </c>
      <c r="F5736" t="inlineStr">
        <is>
          <t>Rep_07</t>
        </is>
      </c>
      <c r="G5736" t="n">
        <v>3.42</v>
      </c>
      <c r="H5736" t="inlineStr">
        <is>
          <t>Contacted</t>
        </is>
      </c>
      <c r="I5736" t="inlineStr">
        <is>
          <t>Open</t>
        </is>
      </c>
      <c r="M5736">
        <f>VLOOKUP(H5736,'Stage Order'!$A$2:$B$8,2,FALSE)</f>
        <v/>
      </c>
      <c r="N5736">
        <f>IF(G5736&lt;=1,"1. Under 1 hour",IF(G5736&lt;=24,"2. 1-24 hours",IF(G5736&lt;=72,"3. 1-3 days","4. Over 3 days")))</f>
        <v/>
      </c>
      <c r="O5736">
        <f>TEXT(B5736,"YYYY-MM")</f>
        <v/>
      </c>
    </row>
    <row r="5737">
      <c r="A5737" t="inlineStr">
        <is>
          <t>LD-305735</t>
        </is>
      </c>
      <c r="B5737" t="inlineStr">
        <is>
          <t>2025-06-27 13:14:00</t>
        </is>
      </c>
      <c r="C5737" t="inlineStr">
        <is>
          <t>Paid Search</t>
        </is>
      </c>
      <c r="D5737" t="inlineStr">
        <is>
          <t>Coding for Kids</t>
        </is>
      </c>
      <c r="E5737" t="inlineStr">
        <is>
          <t>West Region</t>
        </is>
      </c>
      <c r="F5737" t="inlineStr">
        <is>
          <t>Rep_03</t>
        </is>
      </c>
      <c r="G5737" t="n">
        <v>3.1</v>
      </c>
      <c r="H5737" t="inlineStr">
        <is>
          <t>Lead</t>
        </is>
      </c>
      <c r="I5737" t="inlineStr">
        <is>
          <t>Open</t>
        </is>
      </c>
      <c r="M5737">
        <f>VLOOKUP(H5737,'Stage Order'!$A$2:$B$8,2,FALSE)</f>
        <v/>
      </c>
      <c r="N5737">
        <f>IF(G5737&lt;=1,"1. Under 1 hour",IF(G5737&lt;=24,"2. 1-24 hours",IF(G5737&lt;=72,"3. 1-3 days","4. Over 3 days")))</f>
        <v/>
      </c>
      <c r="O5737">
        <f>TEXT(B5737,"YYYY-MM")</f>
        <v/>
      </c>
    </row>
    <row r="5738">
      <c r="A5738" t="inlineStr">
        <is>
          <t>LD-305736</t>
        </is>
      </c>
      <c r="B5738" t="inlineStr">
        <is>
          <t>2025-02-27 08:44:00</t>
        </is>
      </c>
      <c r="C5738" t="inlineStr">
        <is>
          <t>Paid Search</t>
        </is>
      </c>
      <c r="D5738" t="inlineStr">
        <is>
          <t>Competitive Exam Prep</t>
        </is>
      </c>
      <c r="E5738" t="inlineStr">
        <is>
          <t>East Region</t>
        </is>
      </c>
      <c r="F5738" t="inlineStr">
        <is>
          <t>Rep_04</t>
        </is>
      </c>
      <c r="G5738" t="n">
        <v>1.88</v>
      </c>
      <c r="H5738" t="inlineStr">
        <is>
          <t>Contacted</t>
        </is>
      </c>
      <c r="I5738" t="inlineStr">
        <is>
          <t>Open</t>
        </is>
      </c>
      <c r="M5738">
        <f>VLOOKUP(H5738,'Stage Order'!$A$2:$B$8,2,FALSE)</f>
        <v/>
      </c>
      <c r="N5738">
        <f>IF(G5738&lt;=1,"1. Under 1 hour",IF(G5738&lt;=24,"2. 1-24 hours",IF(G5738&lt;=72,"3. 1-3 days","4. Over 3 days")))</f>
        <v/>
      </c>
      <c r="O5738">
        <f>TEXT(B5738,"YYYY-MM")</f>
        <v/>
      </c>
    </row>
    <row r="5739">
      <c r="A5739" t="inlineStr">
        <is>
          <t>LD-305737</t>
        </is>
      </c>
      <c r="B5739" t="inlineStr">
        <is>
          <t>2025-08-26 07:29:00</t>
        </is>
      </c>
      <c r="C5739" t="inlineStr">
        <is>
          <t>Organic Search</t>
        </is>
      </c>
      <c r="D5739" t="inlineStr">
        <is>
          <t>Competitive Exam Prep</t>
        </is>
      </c>
      <c r="E5739" t="inlineStr">
        <is>
          <t>South Region</t>
        </is>
      </c>
      <c r="F5739" t="inlineStr">
        <is>
          <t>Rep_07</t>
        </is>
      </c>
      <c r="G5739" t="n">
        <v>16.58</v>
      </c>
      <c r="H5739" t="inlineStr">
        <is>
          <t>Contacted</t>
        </is>
      </c>
      <c r="I5739" t="inlineStr">
        <is>
          <t>Open</t>
        </is>
      </c>
      <c r="M5739">
        <f>VLOOKUP(H5739,'Stage Order'!$A$2:$B$8,2,FALSE)</f>
        <v/>
      </c>
      <c r="N5739">
        <f>IF(G5739&lt;=1,"1. Under 1 hour",IF(G5739&lt;=24,"2. 1-24 hours",IF(G5739&lt;=72,"3. 1-3 days","4. Over 3 days")))</f>
        <v/>
      </c>
      <c r="O5739">
        <f>TEXT(B5739,"YYYY-MM")</f>
        <v/>
      </c>
    </row>
    <row r="5740">
      <c r="A5740" t="inlineStr">
        <is>
          <t>LD-305738</t>
        </is>
      </c>
      <c r="B5740" t="inlineStr">
        <is>
          <t>2026-03-04 15:48:00</t>
        </is>
      </c>
      <c r="C5740" t="inlineStr">
        <is>
          <t>Referral</t>
        </is>
      </c>
      <c r="D5740" t="inlineStr">
        <is>
          <t>Competitive Exam Prep</t>
        </is>
      </c>
      <c r="E5740" t="inlineStr">
        <is>
          <t>International</t>
        </is>
      </c>
      <c r="F5740" t="inlineStr">
        <is>
          <t>Rep_15</t>
        </is>
      </c>
      <c r="G5740" t="n">
        <v>2.46</v>
      </c>
      <c r="H5740" t="inlineStr">
        <is>
          <t>Closed</t>
        </is>
      </c>
      <c r="I5740" t="inlineStr">
        <is>
          <t>Won</t>
        </is>
      </c>
      <c r="K5740" t="n">
        <v>818.51</v>
      </c>
      <c r="L5740" t="inlineStr">
        <is>
          <t>2026-04-11 03:24:14.073629</t>
        </is>
      </c>
      <c r="M5740">
        <f>VLOOKUP(H5740,'Stage Order'!$A$2:$B$8,2,FALSE)</f>
        <v/>
      </c>
      <c r="N5740">
        <f>IF(G5740&lt;=1,"1. Under 1 hour",IF(G5740&lt;=24,"2. 1-24 hours",IF(G5740&lt;=72,"3. 1-3 days","4. Over 3 days")))</f>
        <v/>
      </c>
      <c r="O5740">
        <f>TEXT(B5740,"YYYY-MM")</f>
        <v/>
      </c>
    </row>
    <row r="5741">
      <c r="A5741" t="inlineStr">
        <is>
          <t>LD-305739</t>
        </is>
      </c>
      <c r="B5741" t="inlineStr">
        <is>
          <t>2025-10-22 20:49:00</t>
        </is>
      </c>
      <c r="C5741" t="inlineStr">
        <is>
          <t>Referral</t>
        </is>
      </c>
      <c r="D5741" t="inlineStr">
        <is>
          <t>K-12 Math</t>
        </is>
      </c>
      <c r="E5741" t="inlineStr">
        <is>
          <t>West Region</t>
        </is>
      </c>
      <c r="F5741" t="inlineStr">
        <is>
          <t>Rep_08</t>
        </is>
      </c>
      <c r="G5741" t="n">
        <v>1.47</v>
      </c>
      <c r="H5741" t="inlineStr">
        <is>
          <t>Closed</t>
        </is>
      </c>
      <c r="I5741" t="inlineStr">
        <is>
          <t>Won</t>
        </is>
      </c>
      <c r="K5741" t="n">
        <v>593.6799999999999</v>
      </c>
      <c r="L5741" t="inlineStr">
        <is>
          <t>2025-12-07 06:05:44.278559</t>
        </is>
      </c>
      <c r="M5741">
        <f>VLOOKUP(H5741,'Stage Order'!$A$2:$B$8,2,FALSE)</f>
        <v/>
      </c>
      <c r="N5741">
        <f>IF(G5741&lt;=1,"1. Under 1 hour",IF(G5741&lt;=24,"2. 1-24 hours",IF(G5741&lt;=72,"3. 1-3 days","4. Over 3 days")))</f>
        <v/>
      </c>
      <c r="O5741">
        <f>TEXT(B5741,"YYYY-MM")</f>
        <v/>
      </c>
    </row>
    <row r="5742">
      <c r="A5742" t="inlineStr">
        <is>
          <t>LD-305740</t>
        </is>
      </c>
      <c r="B5742" t="inlineStr">
        <is>
          <t>2025-05-30 20:49:00</t>
        </is>
      </c>
      <c r="C5742" t="inlineStr">
        <is>
          <t>Organic Search</t>
        </is>
      </c>
      <c r="D5742" t="inlineStr">
        <is>
          <t>Study Abroad Prep</t>
        </is>
      </c>
      <c r="E5742" t="inlineStr">
        <is>
          <t>East Region</t>
        </is>
      </c>
      <c r="F5742" t="inlineStr">
        <is>
          <t>Rep_14</t>
        </is>
      </c>
      <c r="G5742" t="n">
        <v>5.85</v>
      </c>
      <c r="H5742" t="inlineStr">
        <is>
          <t>Contacted</t>
        </is>
      </c>
      <c r="I5742" t="inlineStr">
        <is>
          <t>Open</t>
        </is>
      </c>
      <c r="M5742">
        <f>VLOOKUP(H5742,'Stage Order'!$A$2:$B$8,2,FALSE)</f>
        <v/>
      </c>
      <c r="N5742">
        <f>IF(G5742&lt;=1,"1. Under 1 hour",IF(G5742&lt;=24,"2. 1-24 hours",IF(G5742&lt;=72,"3. 1-3 days","4. Over 3 days")))</f>
        <v/>
      </c>
      <c r="O5742">
        <f>TEXT(B5742,"YYYY-MM")</f>
        <v/>
      </c>
    </row>
    <row r="5743">
      <c r="A5743" t="inlineStr">
        <is>
          <t>LD-305741</t>
        </is>
      </c>
      <c r="B5743" t="inlineStr">
        <is>
          <t>2025-05-01 10:06:00</t>
        </is>
      </c>
      <c r="C5743" t="inlineStr">
        <is>
          <t>Paid Search</t>
        </is>
      </c>
      <c r="D5743" t="inlineStr">
        <is>
          <t>Coding for Kids</t>
        </is>
      </c>
      <c r="E5743" t="inlineStr">
        <is>
          <t>East Region</t>
        </is>
      </c>
      <c r="F5743" t="inlineStr">
        <is>
          <t>Rep_14</t>
        </is>
      </c>
      <c r="G5743" t="n">
        <v>2.55</v>
      </c>
      <c r="H5743" t="inlineStr">
        <is>
          <t>Demo Scheduled</t>
        </is>
      </c>
      <c r="I5743" t="inlineStr">
        <is>
          <t>Open</t>
        </is>
      </c>
      <c r="M5743">
        <f>VLOOKUP(H5743,'Stage Order'!$A$2:$B$8,2,FALSE)</f>
        <v/>
      </c>
      <c r="N5743">
        <f>IF(G5743&lt;=1,"1. Under 1 hour",IF(G5743&lt;=24,"2. 1-24 hours",IF(G5743&lt;=72,"3. 1-3 days","4. Over 3 days")))</f>
        <v/>
      </c>
      <c r="O5743">
        <f>TEXT(B5743,"YYYY-MM")</f>
        <v/>
      </c>
    </row>
    <row r="5744">
      <c r="A5744" t="inlineStr">
        <is>
          <t>LD-305742</t>
        </is>
      </c>
      <c r="B5744" t="inlineStr">
        <is>
          <t>2025-12-12 10:02:00</t>
        </is>
      </c>
      <c r="C5744" t="inlineStr">
        <is>
          <t>Referral</t>
        </is>
      </c>
      <c r="D5744" t="inlineStr">
        <is>
          <t>Competitive Exam Prep</t>
        </is>
      </c>
      <c r="E5744" t="inlineStr">
        <is>
          <t>East Region</t>
        </is>
      </c>
      <c r="F5744" t="inlineStr">
        <is>
          <t>Rep_14</t>
        </is>
      </c>
      <c r="G5744" t="n">
        <v>2.81</v>
      </c>
      <c r="H5744" t="inlineStr">
        <is>
          <t>Contacted</t>
        </is>
      </c>
      <c r="I5744" t="inlineStr">
        <is>
          <t>Open</t>
        </is>
      </c>
      <c r="M5744">
        <f>VLOOKUP(H5744,'Stage Order'!$A$2:$B$8,2,FALSE)</f>
        <v/>
      </c>
      <c r="N5744">
        <f>IF(G5744&lt;=1,"1. Under 1 hour",IF(G5744&lt;=24,"2. 1-24 hours",IF(G5744&lt;=72,"3. 1-3 days","4. Over 3 days")))</f>
        <v/>
      </c>
      <c r="O5744">
        <f>TEXT(B5744,"YYYY-MM")</f>
        <v/>
      </c>
    </row>
    <row r="5745">
      <c r="A5745" t="inlineStr">
        <is>
          <t>LD-305743</t>
        </is>
      </c>
      <c r="B5745" t="inlineStr">
        <is>
          <t>2025-04-29 11:12:00</t>
        </is>
      </c>
      <c r="C5745" t="inlineStr">
        <is>
          <t>Referral</t>
        </is>
      </c>
      <c r="D5745" t="inlineStr">
        <is>
          <t>K-12 Math</t>
        </is>
      </c>
      <c r="E5745" t="inlineStr">
        <is>
          <t>North Region</t>
        </is>
      </c>
      <c r="F5745" t="inlineStr">
        <is>
          <t>Rep_11</t>
        </is>
      </c>
      <c r="G5745" t="n">
        <v>2.54</v>
      </c>
      <c r="H5745" t="inlineStr">
        <is>
          <t>Contacted</t>
        </is>
      </c>
      <c r="I5745" t="inlineStr">
        <is>
          <t>Open</t>
        </is>
      </c>
      <c r="M5745">
        <f>VLOOKUP(H5745,'Stage Order'!$A$2:$B$8,2,FALSE)</f>
        <v/>
      </c>
      <c r="N5745">
        <f>IF(G5745&lt;=1,"1. Under 1 hour",IF(G5745&lt;=24,"2. 1-24 hours",IF(G5745&lt;=72,"3. 1-3 days","4. Over 3 days")))</f>
        <v/>
      </c>
      <c r="O5745">
        <f>TEXT(B5745,"YYYY-MM")</f>
        <v/>
      </c>
    </row>
    <row r="5746">
      <c r="A5746" t="inlineStr">
        <is>
          <t>LD-305744</t>
        </is>
      </c>
      <c r="B5746" t="inlineStr">
        <is>
          <t>2026-03-30 12:51:00</t>
        </is>
      </c>
      <c r="C5746" t="inlineStr">
        <is>
          <t>Paid Search</t>
        </is>
      </c>
      <c r="D5746" t="inlineStr">
        <is>
          <t>K-12 Math</t>
        </is>
      </c>
      <c r="E5746" t="inlineStr">
        <is>
          <t>International</t>
        </is>
      </c>
      <c r="F5746" t="inlineStr">
        <is>
          <t>Rep_10</t>
        </is>
      </c>
      <c r="G5746" t="n">
        <v>2.38</v>
      </c>
      <c r="H5746" t="inlineStr">
        <is>
          <t>Contacted</t>
        </is>
      </c>
      <c r="I5746" t="inlineStr">
        <is>
          <t>Open</t>
        </is>
      </c>
      <c r="M5746">
        <f>VLOOKUP(H5746,'Stage Order'!$A$2:$B$8,2,FALSE)</f>
        <v/>
      </c>
      <c r="N5746">
        <f>IF(G5746&lt;=1,"1. Under 1 hour",IF(G5746&lt;=24,"2. 1-24 hours",IF(G5746&lt;=72,"3. 1-3 days","4. Over 3 days")))</f>
        <v/>
      </c>
      <c r="O5746">
        <f>TEXT(B5746,"YYYY-MM")</f>
        <v/>
      </c>
    </row>
    <row r="5747">
      <c r="A5747" t="inlineStr">
        <is>
          <t>LD-305745</t>
        </is>
      </c>
      <c r="B5747" t="inlineStr">
        <is>
          <t>2025-01-03 07:40:00</t>
        </is>
      </c>
      <c r="C5747" t="inlineStr">
        <is>
          <t>Referral</t>
        </is>
      </c>
      <c r="D5747" t="inlineStr">
        <is>
          <t>Language Learning</t>
        </is>
      </c>
      <c r="E5747" t="inlineStr">
        <is>
          <t>North Region</t>
        </is>
      </c>
      <c r="F5747" t="inlineStr">
        <is>
          <t>Rep_11</t>
        </is>
      </c>
      <c r="G5747" t="n">
        <v>2.45</v>
      </c>
      <c r="H5747" t="inlineStr">
        <is>
          <t>Contacted</t>
        </is>
      </c>
      <c r="I5747" t="inlineStr">
        <is>
          <t>Open</t>
        </is>
      </c>
      <c r="M5747">
        <f>VLOOKUP(H5747,'Stage Order'!$A$2:$B$8,2,FALSE)</f>
        <v/>
      </c>
      <c r="N5747">
        <f>IF(G5747&lt;=1,"1. Under 1 hour",IF(G5747&lt;=24,"2. 1-24 hours",IF(G5747&lt;=72,"3. 1-3 days","4. Over 3 days")))</f>
        <v/>
      </c>
      <c r="O5747">
        <f>TEXT(B5747,"YYYY-MM")</f>
        <v/>
      </c>
    </row>
    <row r="5748">
      <c r="A5748" t="inlineStr">
        <is>
          <t>LD-305746</t>
        </is>
      </c>
      <c r="B5748" t="inlineStr">
        <is>
          <t>2026-03-10 20:47:00</t>
        </is>
      </c>
      <c r="C5748" t="inlineStr">
        <is>
          <t>Webinar</t>
        </is>
      </c>
      <c r="D5748" t="inlineStr">
        <is>
          <t>Coding for Kids</t>
        </is>
      </c>
      <c r="E5748" t="inlineStr">
        <is>
          <t>East Region</t>
        </is>
      </c>
      <c r="F5748" t="inlineStr">
        <is>
          <t>Rep_04</t>
        </is>
      </c>
      <c r="G5748" t="n">
        <v>5.94</v>
      </c>
      <c r="H5748" t="inlineStr">
        <is>
          <t>Contacted</t>
        </is>
      </c>
      <c r="I5748" t="inlineStr">
        <is>
          <t>Open</t>
        </is>
      </c>
      <c r="M5748">
        <f>VLOOKUP(H5748,'Stage Order'!$A$2:$B$8,2,FALSE)</f>
        <v/>
      </c>
      <c r="N5748">
        <f>IF(G5748&lt;=1,"1. Under 1 hour",IF(G5748&lt;=24,"2. 1-24 hours",IF(G5748&lt;=72,"3. 1-3 days","4. Over 3 days")))</f>
        <v/>
      </c>
      <c r="O5748">
        <f>TEXT(B5748,"YYYY-MM")</f>
        <v/>
      </c>
    </row>
    <row r="5749">
      <c r="A5749" t="inlineStr">
        <is>
          <t>LD-305747</t>
        </is>
      </c>
      <c r="B5749" t="inlineStr">
        <is>
          <t>2025-06-02 13:24:00</t>
        </is>
      </c>
      <c r="C5749" t="inlineStr">
        <is>
          <t>Organic Search</t>
        </is>
      </c>
      <c r="D5749" t="inlineStr">
        <is>
          <t>Language Learning</t>
        </is>
      </c>
      <c r="E5749" t="inlineStr">
        <is>
          <t>North Region</t>
        </is>
      </c>
      <c r="F5749" t="inlineStr">
        <is>
          <t>Rep_11</t>
        </is>
      </c>
      <c r="G5749" t="n">
        <v>4.57</v>
      </c>
      <c r="H5749" t="inlineStr">
        <is>
          <t>Contacted</t>
        </is>
      </c>
      <c r="I5749" t="inlineStr">
        <is>
          <t>Open</t>
        </is>
      </c>
      <c r="M5749">
        <f>VLOOKUP(H5749,'Stage Order'!$A$2:$B$8,2,FALSE)</f>
        <v/>
      </c>
      <c r="N5749">
        <f>IF(G5749&lt;=1,"1. Under 1 hour",IF(G5749&lt;=24,"2. 1-24 hours",IF(G5749&lt;=72,"3. 1-3 days","4. Over 3 days")))</f>
        <v/>
      </c>
      <c r="O5749">
        <f>TEXT(B5749,"YYYY-MM")</f>
        <v/>
      </c>
    </row>
    <row r="5750">
      <c r="A5750" t="inlineStr">
        <is>
          <t>LD-305748</t>
        </is>
      </c>
      <c r="B5750" t="inlineStr">
        <is>
          <t>2025-01-10 20:25:00</t>
        </is>
      </c>
      <c r="C5750" t="inlineStr">
        <is>
          <t>Paid Search</t>
        </is>
      </c>
      <c r="D5750" t="inlineStr">
        <is>
          <t>Competitive Exam Prep</t>
        </is>
      </c>
      <c r="E5750" t="inlineStr">
        <is>
          <t>North Region</t>
        </is>
      </c>
      <c r="F5750" t="inlineStr">
        <is>
          <t>Rep_06</t>
        </is>
      </c>
      <c r="G5750" t="n">
        <v>0.98</v>
      </c>
      <c r="H5750" t="inlineStr">
        <is>
          <t>Lead</t>
        </is>
      </c>
      <c r="I5750" t="inlineStr">
        <is>
          <t>Open</t>
        </is>
      </c>
      <c r="M5750">
        <f>VLOOKUP(H5750,'Stage Order'!$A$2:$B$8,2,FALSE)</f>
        <v/>
      </c>
      <c r="N5750">
        <f>IF(G5750&lt;=1,"1. Under 1 hour",IF(G5750&lt;=24,"2. 1-24 hours",IF(G5750&lt;=72,"3. 1-3 days","4. Over 3 days")))</f>
        <v/>
      </c>
      <c r="O5750">
        <f>TEXT(B5750,"YYYY-MM")</f>
        <v/>
      </c>
    </row>
    <row r="5751">
      <c r="A5751" t="inlineStr">
        <is>
          <t>LD-305749</t>
        </is>
      </c>
      <c r="B5751" t="inlineStr">
        <is>
          <t>2025-12-18 20:35:00</t>
        </is>
      </c>
      <c r="C5751" t="inlineStr">
        <is>
          <t>Cold Outreach</t>
        </is>
      </c>
      <c r="D5751" t="inlineStr">
        <is>
          <t>Study Abroad Prep</t>
        </is>
      </c>
      <c r="E5751" t="inlineStr">
        <is>
          <t>South Region</t>
        </is>
      </c>
      <c r="F5751" t="inlineStr">
        <is>
          <t>Rep_02</t>
        </is>
      </c>
      <c r="G5751" t="n">
        <v>5.54</v>
      </c>
      <c r="H5751" t="inlineStr">
        <is>
          <t>Lead</t>
        </is>
      </c>
      <c r="I5751" t="inlineStr">
        <is>
          <t>Open</t>
        </is>
      </c>
      <c r="M5751">
        <f>VLOOKUP(H5751,'Stage Order'!$A$2:$B$8,2,FALSE)</f>
        <v/>
      </c>
      <c r="N5751">
        <f>IF(G5751&lt;=1,"1. Under 1 hour",IF(G5751&lt;=24,"2. 1-24 hours",IF(G5751&lt;=72,"3. 1-3 days","4. Over 3 days")))</f>
        <v/>
      </c>
      <c r="O5751">
        <f>TEXT(B5751,"YYYY-MM")</f>
        <v/>
      </c>
    </row>
    <row r="5752">
      <c r="A5752" t="inlineStr">
        <is>
          <t>LD-305750</t>
        </is>
      </c>
      <c r="B5752" t="inlineStr">
        <is>
          <t>2025-04-15 09:45:00</t>
        </is>
      </c>
      <c r="C5752" t="inlineStr">
        <is>
          <t>Partner Channel</t>
        </is>
      </c>
      <c r="D5752" t="inlineStr">
        <is>
          <t>Study Abroad Prep</t>
        </is>
      </c>
      <c r="E5752" t="inlineStr">
        <is>
          <t>International</t>
        </is>
      </c>
      <c r="F5752" t="inlineStr">
        <is>
          <t>Rep_10</t>
        </is>
      </c>
      <c r="G5752" t="n">
        <v>7.6</v>
      </c>
      <c r="H5752" t="inlineStr">
        <is>
          <t>Proposal Sent</t>
        </is>
      </c>
      <c r="I5752" t="inlineStr">
        <is>
          <t>Lost</t>
        </is>
      </c>
      <c r="J5752" t="inlineStr">
        <is>
          <t>Budget Not Approved</t>
        </is>
      </c>
      <c r="K5752" t="n">
        <v>1385.16</v>
      </c>
      <c r="L5752" t="inlineStr">
        <is>
          <t>2025-06-01 20:27:47.465355</t>
        </is>
      </c>
      <c r="M5752">
        <f>VLOOKUP(H5752,'Stage Order'!$A$2:$B$8,2,FALSE)</f>
        <v/>
      </c>
      <c r="N5752">
        <f>IF(G5752&lt;=1,"1. Under 1 hour",IF(G5752&lt;=24,"2. 1-24 hours",IF(G5752&lt;=72,"3. 1-3 days","4. Over 3 days")))</f>
        <v/>
      </c>
      <c r="O5752">
        <f>TEXT(B5752,"YYYY-MM")</f>
        <v/>
      </c>
    </row>
    <row r="5753">
      <c r="A5753" t="inlineStr">
        <is>
          <t>LD-305751</t>
        </is>
      </c>
      <c r="B5753" t="inlineStr">
        <is>
          <t>2025-05-06 16:09:00</t>
        </is>
      </c>
      <c r="C5753" t="inlineStr">
        <is>
          <t>Organic Search</t>
        </is>
      </c>
      <c r="D5753" t="inlineStr">
        <is>
          <t>Coding for Kids</t>
        </is>
      </c>
      <c r="E5753" t="inlineStr">
        <is>
          <t>East Region</t>
        </is>
      </c>
      <c r="F5753" t="inlineStr">
        <is>
          <t>Rep_09</t>
        </is>
      </c>
      <c r="G5753" t="n">
        <v>2.73</v>
      </c>
      <c r="H5753" t="inlineStr">
        <is>
          <t>Negotiation</t>
        </is>
      </c>
      <c r="I5753" t="inlineStr">
        <is>
          <t>Lost</t>
        </is>
      </c>
      <c r="J5753" t="inlineStr">
        <is>
          <t>Price Objection</t>
        </is>
      </c>
      <c r="K5753" t="n">
        <v>549.6799999999999</v>
      </c>
      <c r="L5753" t="inlineStr">
        <is>
          <t>2025-06-15 01:29:34.028464</t>
        </is>
      </c>
      <c r="M5753">
        <f>VLOOKUP(H5753,'Stage Order'!$A$2:$B$8,2,FALSE)</f>
        <v/>
      </c>
      <c r="N5753">
        <f>IF(G5753&lt;=1,"1. Under 1 hour",IF(G5753&lt;=24,"2. 1-24 hours",IF(G5753&lt;=72,"3. 1-3 days","4. Over 3 days")))</f>
        <v/>
      </c>
      <c r="O5753">
        <f>TEXT(B5753,"YYYY-MM")</f>
        <v/>
      </c>
    </row>
    <row r="5754">
      <c r="A5754" t="inlineStr">
        <is>
          <t>LD-305752</t>
        </is>
      </c>
      <c r="B5754" t="inlineStr">
        <is>
          <t>2026-06-05 16:51:00</t>
        </is>
      </c>
      <c r="C5754" t="inlineStr">
        <is>
          <t>Paid Search</t>
        </is>
      </c>
      <c r="D5754" t="inlineStr">
        <is>
          <t>Competitive Exam Prep</t>
        </is>
      </c>
      <c r="E5754" t="inlineStr">
        <is>
          <t>South Region</t>
        </is>
      </c>
      <c r="F5754" t="inlineStr">
        <is>
          <t>Rep_07</t>
        </is>
      </c>
      <c r="G5754" t="n">
        <v>1.04</v>
      </c>
      <c r="H5754" t="inlineStr">
        <is>
          <t>Contacted</t>
        </is>
      </c>
      <c r="I5754" t="inlineStr">
        <is>
          <t>Open</t>
        </is>
      </c>
      <c r="M5754">
        <f>VLOOKUP(H5754,'Stage Order'!$A$2:$B$8,2,FALSE)</f>
        <v/>
      </c>
      <c r="N5754">
        <f>IF(G5754&lt;=1,"1. Under 1 hour",IF(G5754&lt;=24,"2. 1-24 hours",IF(G5754&lt;=72,"3. 1-3 days","4. Over 3 days")))</f>
        <v/>
      </c>
      <c r="O5754">
        <f>TEXT(B5754,"YYYY-MM")</f>
        <v/>
      </c>
    </row>
    <row r="5755">
      <c r="A5755" t="inlineStr">
        <is>
          <t>LD-305753</t>
        </is>
      </c>
      <c r="B5755" t="inlineStr">
        <is>
          <t>2025-08-21 17:25:00</t>
        </is>
      </c>
      <c r="C5755" t="inlineStr">
        <is>
          <t>Social Media</t>
        </is>
      </c>
      <c r="D5755" t="inlineStr">
        <is>
          <t>Competitive Exam Prep</t>
        </is>
      </c>
      <c r="E5755" t="inlineStr">
        <is>
          <t>International</t>
        </is>
      </c>
      <c r="F5755" t="inlineStr">
        <is>
          <t>Rep_05</t>
        </is>
      </c>
      <c r="G5755" t="n">
        <v>4.05</v>
      </c>
      <c r="H5755" t="inlineStr">
        <is>
          <t>Lead</t>
        </is>
      </c>
      <c r="I5755" t="inlineStr">
        <is>
          <t>Open</t>
        </is>
      </c>
      <c r="M5755">
        <f>VLOOKUP(H5755,'Stage Order'!$A$2:$B$8,2,FALSE)</f>
        <v/>
      </c>
      <c r="N5755">
        <f>IF(G5755&lt;=1,"1. Under 1 hour",IF(G5755&lt;=24,"2. 1-24 hours",IF(G5755&lt;=72,"3. 1-3 days","4. Over 3 days")))</f>
        <v/>
      </c>
      <c r="O5755">
        <f>TEXT(B5755,"YYYY-MM")</f>
        <v/>
      </c>
    </row>
    <row r="5756">
      <c r="A5756" t="inlineStr">
        <is>
          <t>LD-305754</t>
        </is>
      </c>
      <c r="B5756" t="inlineStr">
        <is>
          <t>2025-01-24 15:38:00</t>
        </is>
      </c>
      <c r="C5756" t="inlineStr">
        <is>
          <t>Partner Channel</t>
        </is>
      </c>
      <c r="D5756" t="inlineStr">
        <is>
          <t>Study Abroad Prep</t>
        </is>
      </c>
      <c r="E5756" t="inlineStr">
        <is>
          <t>West Region</t>
        </is>
      </c>
      <c r="F5756" t="inlineStr">
        <is>
          <t>Rep_03</t>
        </is>
      </c>
      <c r="G5756" t="n">
        <v>2.43</v>
      </c>
      <c r="H5756" t="inlineStr">
        <is>
          <t>Contacted</t>
        </is>
      </c>
      <c r="I5756" t="inlineStr">
        <is>
          <t>Open</t>
        </is>
      </c>
      <c r="M5756">
        <f>VLOOKUP(H5756,'Stage Order'!$A$2:$B$8,2,FALSE)</f>
        <v/>
      </c>
      <c r="N5756">
        <f>IF(G5756&lt;=1,"1. Under 1 hour",IF(G5756&lt;=24,"2. 1-24 hours",IF(G5756&lt;=72,"3. 1-3 days","4. Over 3 days")))</f>
        <v/>
      </c>
      <c r="O5756">
        <f>TEXT(B5756,"YYYY-MM")</f>
        <v/>
      </c>
    </row>
    <row r="5757">
      <c r="A5757" t="inlineStr">
        <is>
          <t>LD-305755</t>
        </is>
      </c>
      <c r="B5757" t="inlineStr">
        <is>
          <t>2025-06-28 17:12:00</t>
        </is>
      </c>
      <c r="C5757" t="inlineStr">
        <is>
          <t>Social Media</t>
        </is>
      </c>
      <c r="D5757" t="inlineStr">
        <is>
          <t>K-12 Math</t>
        </is>
      </c>
      <c r="E5757" t="inlineStr">
        <is>
          <t>International</t>
        </is>
      </c>
      <c r="F5757" t="inlineStr">
        <is>
          <t>Rep_15</t>
        </is>
      </c>
      <c r="G5757" t="n">
        <v>4.03</v>
      </c>
      <c r="H5757" t="inlineStr">
        <is>
          <t>Contacted</t>
        </is>
      </c>
      <c r="I5757" t="inlineStr">
        <is>
          <t>Open</t>
        </is>
      </c>
      <c r="M5757">
        <f>VLOOKUP(H5757,'Stage Order'!$A$2:$B$8,2,FALSE)</f>
        <v/>
      </c>
      <c r="N5757">
        <f>IF(G5757&lt;=1,"1. Under 1 hour",IF(G5757&lt;=24,"2. 1-24 hours",IF(G5757&lt;=72,"3. 1-3 days","4. Over 3 days")))</f>
        <v/>
      </c>
      <c r="O5757">
        <f>TEXT(B5757,"YYYY-MM")</f>
        <v/>
      </c>
    </row>
    <row r="5758">
      <c r="A5758" t="inlineStr">
        <is>
          <t>LD-305756</t>
        </is>
      </c>
      <c r="B5758" t="inlineStr">
        <is>
          <t>2025-01-01 16:00:00</t>
        </is>
      </c>
      <c r="C5758" t="inlineStr">
        <is>
          <t>Partner Channel</t>
        </is>
      </c>
      <c r="D5758" t="inlineStr">
        <is>
          <t>K-12 Math</t>
        </is>
      </c>
      <c r="E5758" t="inlineStr">
        <is>
          <t>West Region</t>
        </is>
      </c>
      <c r="F5758" t="inlineStr">
        <is>
          <t>Rep_13</t>
        </is>
      </c>
      <c r="G5758" t="n">
        <v>9.93</v>
      </c>
      <c r="H5758" t="inlineStr">
        <is>
          <t>Contacted</t>
        </is>
      </c>
      <c r="I5758" t="inlineStr">
        <is>
          <t>Open</t>
        </is>
      </c>
      <c r="M5758">
        <f>VLOOKUP(H5758,'Stage Order'!$A$2:$B$8,2,FALSE)</f>
        <v/>
      </c>
      <c r="N5758">
        <f>IF(G5758&lt;=1,"1. Under 1 hour",IF(G5758&lt;=24,"2. 1-24 hours",IF(G5758&lt;=72,"3. 1-3 days","4. Over 3 days")))</f>
        <v/>
      </c>
      <c r="O5758">
        <f>TEXT(B5758,"YYYY-MM")</f>
        <v/>
      </c>
    </row>
    <row r="5759">
      <c r="A5759" t="inlineStr">
        <is>
          <t>LD-305757</t>
        </is>
      </c>
      <c r="B5759" t="inlineStr">
        <is>
          <t>2025-08-15 17:49:00</t>
        </is>
      </c>
      <c r="C5759" t="inlineStr">
        <is>
          <t>Webinar</t>
        </is>
      </c>
      <c r="D5759" t="inlineStr">
        <is>
          <t>Study Abroad Prep</t>
        </is>
      </c>
      <c r="E5759" t="inlineStr">
        <is>
          <t>East Region</t>
        </is>
      </c>
      <c r="F5759" t="inlineStr">
        <is>
          <t>Rep_14</t>
        </is>
      </c>
      <c r="G5759" t="n">
        <v>4.77</v>
      </c>
      <c r="H5759" t="inlineStr">
        <is>
          <t>Contacted</t>
        </is>
      </c>
      <c r="I5759" t="inlineStr">
        <is>
          <t>Open</t>
        </is>
      </c>
      <c r="M5759">
        <f>VLOOKUP(H5759,'Stage Order'!$A$2:$B$8,2,FALSE)</f>
        <v/>
      </c>
      <c r="N5759">
        <f>IF(G5759&lt;=1,"1. Under 1 hour",IF(G5759&lt;=24,"2. 1-24 hours",IF(G5759&lt;=72,"3. 1-3 days","4. Over 3 days")))</f>
        <v/>
      </c>
      <c r="O5759">
        <f>TEXT(B5759,"YYYY-MM")</f>
        <v/>
      </c>
    </row>
    <row r="5760">
      <c r="A5760" t="inlineStr">
        <is>
          <t>LD-305758</t>
        </is>
      </c>
      <c r="B5760" t="inlineStr">
        <is>
          <t>2026-04-10 13:44:00</t>
        </is>
      </c>
      <c r="C5760" t="inlineStr">
        <is>
          <t>Social Media</t>
        </is>
      </c>
      <c r="D5760" t="inlineStr">
        <is>
          <t>K-12 Math</t>
        </is>
      </c>
      <c r="E5760" t="inlineStr">
        <is>
          <t>West Region</t>
        </is>
      </c>
      <c r="F5760" t="inlineStr">
        <is>
          <t>Rep_13</t>
        </is>
      </c>
      <c r="G5760" t="n">
        <v>7.5</v>
      </c>
      <c r="H5760" t="inlineStr">
        <is>
          <t>Lead</t>
        </is>
      </c>
      <c r="I5760" t="inlineStr">
        <is>
          <t>Open</t>
        </is>
      </c>
      <c r="M5760">
        <f>VLOOKUP(H5760,'Stage Order'!$A$2:$B$8,2,FALSE)</f>
        <v/>
      </c>
      <c r="N5760">
        <f>IF(G5760&lt;=1,"1. Under 1 hour",IF(G5760&lt;=24,"2. 1-24 hours",IF(G5760&lt;=72,"3. 1-3 days","4. Over 3 days")))</f>
        <v/>
      </c>
      <c r="O5760">
        <f>TEXT(B5760,"YYYY-MM")</f>
        <v/>
      </c>
    </row>
    <row r="5761">
      <c r="A5761" t="inlineStr">
        <is>
          <t>LD-305759</t>
        </is>
      </c>
      <c r="B5761" t="inlineStr">
        <is>
          <t>2025-06-02 07:59:00</t>
        </is>
      </c>
      <c r="C5761" t="inlineStr">
        <is>
          <t>Webinar</t>
        </is>
      </c>
      <c r="D5761" t="inlineStr">
        <is>
          <t>K-12 Math</t>
        </is>
      </c>
      <c r="E5761" t="inlineStr">
        <is>
          <t>West Region</t>
        </is>
      </c>
      <c r="F5761" t="inlineStr">
        <is>
          <t>Rep_13</t>
        </is>
      </c>
      <c r="G5761" t="n">
        <v>4.52</v>
      </c>
      <c r="H5761" t="inlineStr">
        <is>
          <t>Contacted</t>
        </is>
      </c>
      <c r="I5761" t="inlineStr">
        <is>
          <t>Open</t>
        </is>
      </c>
      <c r="M5761">
        <f>VLOOKUP(H5761,'Stage Order'!$A$2:$B$8,2,FALSE)</f>
        <v/>
      </c>
      <c r="N5761">
        <f>IF(G5761&lt;=1,"1. Under 1 hour",IF(G5761&lt;=24,"2. 1-24 hours",IF(G5761&lt;=72,"3. 1-3 days","4. Over 3 days")))</f>
        <v/>
      </c>
      <c r="O5761">
        <f>TEXT(B5761,"YYYY-MM")</f>
        <v/>
      </c>
    </row>
    <row r="5762">
      <c r="A5762" t="inlineStr">
        <is>
          <t>LD-305760</t>
        </is>
      </c>
      <c r="B5762" t="inlineStr">
        <is>
          <t>2025-03-14 08:21:00</t>
        </is>
      </c>
      <c r="C5762" t="inlineStr">
        <is>
          <t>Referral</t>
        </is>
      </c>
      <c r="D5762" t="inlineStr">
        <is>
          <t>Language Learning</t>
        </is>
      </c>
      <c r="E5762" t="inlineStr">
        <is>
          <t>East Region</t>
        </is>
      </c>
      <c r="F5762" t="inlineStr">
        <is>
          <t>Rep_14</t>
        </is>
      </c>
      <c r="G5762" t="n">
        <v>6.54</v>
      </c>
      <c r="H5762" t="inlineStr">
        <is>
          <t>Proposal Sent</t>
        </is>
      </c>
      <c r="I5762" t="inlineStr">
        <is>
          <t>Lost</t>
        </is>
      </c>
      <c r="J5762" t="inlineStr">
        <is>
          <t>Price Objection</t>
        </is>
      </c>
      <c r="K5762" t="n">
        <v>398.41</v>
      </c>
      <c r="L5762" t="inlineStr">
        <is>
          <t>2025-04-06 21:14:46.589193</t>
        </is>
      </c>
      <c r="M5762">
        <f>VLOOKUP(H5762,'Stage Order'!$A$2:$B$8,2,FALSE)</f>
        <v/>
      </c>
      <c r="N5762">
        <f>IF(G5762&lt;=1,"1. Under 1 hour",IF(G5762&lt;=24,"2. 1-24 hours",IF(G5762&lt;=72,"3. 1-3 days","4. Over 3 days")))</f>
        <v/>
      </c>
      <c r="O5762">
        <f>TEXT(B5762,"YYYY-MM")</f>
        <v/>
      </c>
    </row>
    <row r="5763">
      <c r="A5763" t="inlineStr">
        <is>
          <t>LD-305761</t>
        </is>
      </c>
      <c r="B5763" t="inlineStr">
        <is>
          <t>2026-05-11 19:46:00</t>
        </is>
      </c>
      <c r="C5763" t="inlineStr">
        <is>
          <t>Paid Search</t>
        </is>
      </c>
      <c r="D5763" t="inlineStr">
        <is>
          <t>Study Abroad Prep</t>
        </is>
      </c>
      <c r="E5763" t="inlineStr">
        <is>
          <t>West Region</t>
        </is>
      </c>
      <c r="F5763" t="inlineStr">
        <is>
          <t>Rep_03</t>
        </is>
      </c>
      <c r="G5763" t="n">
        <v>5.55</v>
      </c>
      <c r="H5763" t="inlineStr">
        <is>
          <t>Lead</t>
        </is>
      </c>
      <c r="I5763" t="inlineStr">
        <is>
          <t>Open</t>
        </is>
      </c>
      <c r="M5763">
        <f>VLOOKUP(H5763,'Stage Order'!$A$2:$B$8,2,FALSE)</f>
        <v/>
      </c>
      <c r="N5763">
        <f>IF(G5763&lt;=1,"1. Under 1 hour",IF(G5763&lt;=24,"2. 1-24 hours",IF(G5763&lt;=72,"3. 1-3 days","4. Over 3 days")))</f>
        <v/>
      </c>
      <c r="O5763">
        <f>TEXT(B5763,"YYYY-MM")</f>
        <v/>
      </c>
    </row>
    <row r="5764">
      <c r="A5764" t="inlineStr">
        <is>
          <t>LD-305762</t>
        </is>
      </c>
      <c r="B5764" t="inlineStr">
        <is>
          <t>2025-03-14 19:47:00</t>
        </is>
      </c>
      <c r="C5764" t="inlineStr">
        <is>
          <t>Organic Search</t>
        </is>
      </c>
      <c r="D5764" t="inlineStr">
        <is>
          <t>K-12 Math</t>
        </is>
      </c>
      <c r="E5764" t="inlineStr">
        <is>
          <t>South Region</t>
        </is>
      </c>
      <c r="F5764" t="inlineStr">
        <is>
          <t>Rep_07</t>
        </is>
      </c>
      <c r="G5764" t="n">
        <v>5.96</v>
      </c>
      <c r="H5764" t="inlineStr">
        <is>
          <t>Negotiation</t>
        </is>
      </c>
      <c r="I5764" t="inlineStr">
        <is>
          <t>Lost</t>
        </is>
      </c>
      <c r="J5764" t="inlineStr">
        <is>
          <t>Went With Competitor</t>
        </is>
      </c>
      <c r="K5764" t="n">
        <v>414.58</v>
      </c>
      <c r="L5764" t="inlineStr">
        <is>
          <t>2025-04-20 14:31:30.134084</t>
        </is>
      </c>
      <c r="M5764">
        <f>VLOOKUP(H5764,'Stage Order'!$A$2:$B$8,2,FALSE)</f>
        <v/>
      </c>
      <c r="N5764">
        <f>IF(G5764&lt;=1,"1. Under 1 hour",IF(G5764&lt;=24,"2. 1-24 hours",IF(G5764&lt;=72,"3. 1-3 days","4. Over 3 days")))</f>
        <v/>
      </c>
      <c r="O5764">
        <f>TEXT(B5764,"YYYY-MM")</f>
        <v/>
      </c>
    </row>
    <row r="5765">
      <c r="A5765" t="inlineStr">
        <is>
          <t>LD-305763</t>
        </is>
      </c>
      <c r="B5765" t="inlineStr">
        <is>
          <t>2025-10-29 16:34:00</t>
        </is>
      </c>
      <c r="C5765" t="inlineStr">
        <is>
          <t>Organic Search</t>
        </is>
      </c>
      <c r="D5765" t="inlineStr">
        <is>
          <t>K-12 Math</t>
        </is>
      </c>
      <c r="E5765" t="inlineStr">
        <is>
          <t>East Region</t>
        </is>
      </c>
      <c r="F5765" t="inlineStr">
        <is>
          <t>Rep_14</t>
        </is>
      </c>
      <c r="G5765" t="n">
        <v>8.5</v>
      </c>
      <c r="H5765" t="inlineStr">
        <is>
          <t>Negotiation</t>
        </is>
      </c>
      <c r="I5765" t="inlineStr">
        <is>
          <t>Lost</t>
        </is>
      </c>
      <c r="J5765" t="inlineStr">
        <is>
          <t>Went With Competitor</t>
        </is>
      </c>
      <c r="K5765" t="n">
        <v>513.7</v>
      </c>
      <c r="L5765" t="inlineStr">
        <is>
          <t>2025-12-11 01:29:08.450550</t>
        </is>
      </c>
      <c r="M5765">
        <f>VLOOKUP(H5765,'Stage Order'!$A$2:$B$8,2,FALSE)</f>
        <v/>
      </c>
      <c r="N5765">
        <f>IF(G5765&lt;=1,"1. Under 1 hour",IF(G5765&lt;=24,"2. 1-24 hours",IF(G5765&lt;=72,"3. 1-3 days","4. Over 3 days")))</f>
        <v/>
      </c>
      <c r="O5765">
        <f>TEXT(B5765,"YYYY-MM")</f>
        <v/>
      </c>
    </row>
    <row r="5766">
      <c r="A5766" t="inlineStr">
        <is>
          <t>LD-305764</t>
        </is>
      </c>
      <c r="B5766" t="inlineStr">
        <is>
          <t>2025-07-17 18:01:00</t>
        </is>
      </c>
      <c r="C5766" t="inlineStr">
        <is>
          <t>Cold Outreach</t>
        </is>
      </c>
      <c r="D5766" t="inlineStr">
        <is>
          <t>K-12 Math</t>
        </is>
      </c>
      <c r="E5766" t="inlineStr">
        <is>
          <t>South Region</t>
        </is>
      </c>
      <c r="F5766" t="inlineStr">
        <is>
          <t>Rep_02</t>
        </is>
      </c>
      <c r="G5766" t="n">
        <v>0.26</v>
      </c>
      <c r="H5766" t="inlineStr">
        <is>
          <t>Lead</t>
        </is>
      </c>
      <c r="I5766" t="inlineStr">
        <is>
          <t>Open</t>
        </is>
      </c>
      <c r="M5766">
        <f>VLOOKUP(H5766,'Stage Order'!$A$2:$B$8,2,FALSE)</f>
        <v/>
      </c>
      <c r="N5766">
        <f>IF(G5766&lt;=1,"1. Under 1 hour",IF(G5766&lt;=24,"2. 1-24 hours",IF(G5766&lt;=72,"3. 1-3 days","4. Over 3 days")))</f>
        <v/>
      </c>
      <c r="O5766">
        <f>TEXT(B5766,"YYYY-MM")</f>
        <v/>
      </c>
    </row>
    <row r="5767">
      <c r="A5767" t="inlineStr">
        <is>
          <t>LD-305765</t>
        </is>
      </c>
      <c r="B5767" t="inlineStr">
        <is>
          <t>2026-04-03 18:18:00</t>
        </is>
      </c>
      <c r="C5767" t="inlineStr">
        <is>
          <t>Organic Search</t>
        </is>
      </c>
      <c r="D5767" t="inlineStr">
        <is>
          <t>Coding for Kids</t>
        </is>
      </c>
      <c r="E5767" t="inlineStr">
        <is>
          <t>South Region</t>
        </is>
      </c>
      <c r="F5767" t="inlineStr">
        <is>
          <t>Rep_07</t>
        </is>
      </c>
      <c r="G5767" t="n">
        <v>2.28</v>
      </c>
      <c r="H5767" t="inlineStr">
        <is>
          <t>Closed</t>
        </is>
      </c>
      <c r="I5767" t="inlineStr">
        <is>
          <t>Won</t>
        </is>
      </c>
      <c r="K5767" t="n">
        <v>549.03</v>
      </c>
      <c r="L5767" t="inlineStr">
        <is>
          <t>2026-05-05 13:38:15.593471</t>
        </is>
      </c>
      <c r="M5767">
        <f>VLOOKUP(H5767,'Stage Order'!$A$2:$B$8,2,FALSE)</f>
        <v/>
      </c>
      <c r="N5767">
        <f>IF(G5767&lt;=1,"1. Under 1 hour",IF(G5767&lt;=24,"2. 1-24 hours",IF(G5767&lt;=72,"3. 1-3 days","4. Over 3 days")))</f>
        <v/>
      </c>
      <c r="O5767">
        <f>TEXT(B5767,"YYYY-MM")</f>
        <v/>
      </c>
    </row>
    <row r="5768">
      <c r="A5768" t="inlineStr">
        <is>
          <t>LD-305766</t>
        </is>
      </c>
      <c r="B5768" t="inlineStr">
        <is>
          <t>2026-06-27 13:04:00</t>
        </is>
      </c>
      <c r="C5768" t="inlineStr">
        <is>
          <t>Organic Search</t>
        </is>
      </c>
      <c r="D5768" t="inlineStr">
        <is>
          <t>Study Abroad Prep</t>
        </is>
      </c>
      <c r="E5768" t="inlineStr">
        <is>
          <t>North Region</t>
        </is>
      </c>
      <c r="F5768" t="inlineStr">
        <is>
          <t>Rep_11</t>
        </is>
      </c>
      <c r="G5768" t="n">
        <v>5.05</v>
      </c>
      <c r="H5768" t="inlineStr">
        <is>
          <t>Closed</t>
        </is>
      </c>
      <c r="I5768" t="inlineStr">
        <is>
          <t>Won</t>
        </is>
      </c>
      <c r="K5768" t="n">
        <v>1425.37</v>
      </c>
      <c r="L5768" t="inlineStr">
        <is>
          <t>2026-08-14 21:03:44.222440</t>
        </is>
      </c>
      <c r="M5768">
        <f>VLOOKUP(H5768,'Stage Order'!$A$2:$B$8,2,FALSE)</f>
        <v/>
      </c>
      <c r="N5768">
        <f>IF(G5768&lt;=1,"1. Under 1 hour",IF(G5768&lt;=24,"2. 1-24 hours",IF(G5768&lt;=72,"3. 1-3 days","4. Over 3 days")))</f>
        <v/>
      </c>
      <c r="O5768">
        <f>TEXT(B5768,"YYYY-MM")</f>
        <v/>
      </c>
    </row>
    <row r="5769">
      <c r="A5769" t="inlineStr">
        <is>
          <t>LD-305767</t>
        </is>
      </c>
      <c r="B5769" t="inlineStr">
        <is>
          <t>2025-12-11 20:28:00</t>
        </is>
      </c>
      <c r="C5769" t="inlineStr">
        <is>
          <t>Paid Search</t>
        </is>
      </c>
      <c r="D5769" t="inlineStr">
        <is>
          <t>Language Learning</t>
        </is>
      </c>
      <c r="E5769" t="inlineStr">
        <is>
          <t>South Region</t>
        </is>
      </c>
      <c r="F5769" t="inlineStr">
        <is>
          <t>Rep_07</t>
        </is>
      </c>
      <c r="G5769" t="n">
        <v>2.03</v>
      </c>
      <c r="H5769" t="inlineStr">
        <is>
          <t>Contacted</t>
        </is>
      </c>
      <c r="I5769" t="inlineStr">
        <is>
          <t>Open</t>
        </is>
      </c>
      <c r="M5769">
        <f>VLOOKUP(H5769,'Stage Order'!$A$2:$B$8,2,FALSE)</f>
        <v/>
      </c>
      <c r="N5769">
        <f>IF(G5769&lt;=1,"1. Under 1 hour",IF(G5769&lt;=24,"2. 1-24 hours",IF(G5769&lt;=72,"3. 1-3 days","4. Over 3 days")))</f>
        <v/>
      </c>
      <c r="O5769">
        <f>TEXT(B5769,"YYYY-MM")</f>
        <v/>
      </c>
    </row>
    <row r="5770">
      <c r="A5770" t="inlineStr">
        <is>
          <t>LD-305768</t>
        </is>
      </c>
      <c r="B5770" t="inlineStr">
        <is>
          <t>2025-10-23 11:26:00</t>
        </is>
      </c>
      <c r="C5770" t="inlineStr">
        <is>
          <t>Organic Search</t>
        </is>
      </c>
      <c r="D5770" t="inlineStr">
        <is>
          <t>Competitive Exam Prep</t>
        </is>
      </c>
      <c r="E5770" t="inlineStr">
        <is>
          <t>International</t>
        </is>
      </c>
      <c r="F5770" t="inlineStr">
        <is>
          <t>Rep_05</t>
        </is>
      </c>
      <c r="G5770" t="n">
        <v>12.22</v>
      </c>
      <c r="H5770" t="inlineStr">
        <is>
          <t>Contacted</t>
        </is>
      </c>
      <c r="I5770" t="inlineStr">
        <is>
          <t>Open</t>
        </is>
      </c>
      <c r="M5770">
        <f>VLOOKUP(H5770,'Stage Order'!$A$2:$B$8,2,FALSE)</f>
        <v/>
      </c>
      <c r="N5770">
        <f>IF(G5770&lt;=1,"1. Under 1 hour",IF(G5770&lt;=24,"2. 1-24 hours",IF(G5770&lt;=72,"3. 1-3 days","4. Over 3 days")))</f>
        <v/>
      </c>
      <c r="O5770">
        <f>TEXT(B5770,"YYYY-MM")</f>
        <v/>
      </c>
    </row>
    <row r="5771">
      <c r="A5771" t="inlineStr">
        <is>
          <t>LD-305769</t>
        </is>
      </c>
      <c r="B5771" t="inlineStr">
        <is>
          <t>2025-01-13 10:31:00</t>
        </is>
      </c>
      <c r="C5771" t="inlineStr">
        <is>
          <t>Cold Outreach</t>
        </is>
      </c>
      <c r="D5771" t="inlineStr">
        <is>
          <t>K-12 Math</t>
        </is>
      </c>
      <c r="E5771" t="inlineStr">
        <is>
          <t>South Region</t>
        </is>
      </c>
      <c r="F5771" t="inlineStr">
        <is>
          <t>Rep_07</t>
        </is>
      </c>
      <c r="G5771" t="n">
        <v>0.85</v>
      </c>
      <c r="H5771" t="inlineStr">
        <is>
          <t>Contacted</t>
        </is>
      </c>
      <c r="I5771" t="inlineStr">
        <is>
          <t>Open</t>
        </is>
      </c>
      <c r="M5771">
        <f>VLOOKUP(H5771,'Stage Order'!$A$2:$B$8,2,FALSE)</f>
        <v/>
      </c>
      <c r="N5771">
        <f>IF(G5771&lt;=1,"1. Under 1 hour",IF(G5771&lt;=24,"2. 1-24 hours",IF(G5771&lt;=72,"3. 1-3 days","4. Over 3 days")))</f>
        <v/>
      </c>
      <c r="O5771">
        <f>TEXT(B5771,"YYYY-MM")</f>
        <v/>
      </c>
    </row>
    <row r="5772">
      <c r="A5772" t="inlineStr">
        <is>
          <t>LD-305770</t>
        </is>
      </c>
      <c r="B5772" t="inlineStr">
        <is>
          <t>2026-03-03 12:09:00</t>
        </is>
      </c>
      <c r="C5772" t="inlineStr">
        <is>
          <t>Organic Search</t>
        </is>
      </c>
      <c r="D5772" t="inlineStr">
        <is>
          <t>K-12 Math</t>
        </is>
      </c>
      <c r="E5772" t="inlineStr">
        <is>
          <t>North Region</t>
        </is>
      </c>
      <c r="F5772" t="inlineStr">
        <is>
          <t>Rep_11</t>
        </is>
      </c>
      <c r="G5772" t="n">
        <v>8.06</v>
      </c>
      <c r="H5772" t="inlineStr">
        <is>
          <t>Demo Completed</t>
        </is>
      </c>
      <c r="I5772" t="inlineStr">
        <is>
          <t>Lost</t>
        </is>
      </c>
      <c r="J5772" t="inlineStr">
        <is>
          <t>Price Objection</t>
        </is>
      </c>
      <c r="K5772" t="n">
        <v>537.14</v>
      </c>
      <c r="L5772" t="inlineStr">
        <is>
          <t>2026-04-05 01:02:37.765656</t>
        </is>
      </c>
      <c r="M5772">
        <f>VLOOKUP(H5772,'Stage Order'!$A$2:$B$8,2,FALSE)</f>
        <v/>
      </c>
      <c r="N5772">
        <f>IF(G5772&lt;=1,"1. Under 1 hour",IF(G5772&lt;=24,"2. 1-24 hours",IF(G5772&lt;=72,"3. 1-3 days","4. Over 3 days")))</f>
        <v/>
      </c>
      <c r="O5772">
        <f>TEXT(B5772,"YYYY-MM")</f>
        <v/>
      </c>
    </row>
    <row r="5773">
      <c r="A5773" t="inlineStr">
        <is>
          <t>LD-305771</t>
        </is>
      </c>
      <c r="B5773" t="inlineStr">
        <is>
          <t>2026-04-28 09:04:00</t>
        </is>
      </c>
      <c r="C5773" t="inlineStr">
        <is>
          <t>Webinar</t>
        </is>
      </c>
      <c r="D5773" t="inlineStr">
        <is>
          <t>Competitive Exam Prep</t>
        </is>
      </c>
      <c r="E5773" t="inlineStr">
        <is>
          <t>West Region</t>
        </is>
      </c>
      <c r="F5773" t="inlineStr">
        <is>
          <t>Rep_08</t>
        </is>
      </c>
      <c r="G5773" t="n">
        <v>11.17</v>
      </c>
      <c r="H5773" t="inlineStr">
        <is>
          <t>Negotiation</t>
        </is>
      </c>
      <c r="I5773" t="inlineStr">
        <is>
          <t>Lost</t>
        </is>
      </c>
      <c r="J5773" t="inlineStr">
        <is>
          <t>Went With Competitor</t>
        </is>
      </c>
      <c r="K5773" t="n">
        <v>987</v>
      </c>
      <c r="L5773" t="inlineStr">
        <is>
          <t>2026-06-05 15:50:44.408095</t>
        </is>
      </c>
      <c r="M5773">
        <f>VLOOKUP(H5773,'Stage Order'!$A$2:$B$8,2,FALSE)</f>
        <v/>
      </c>
      <c r="N5773">
        <f>IF(G5773&lt;=1,"1. Under 1 hour",IF(G5773&lt;=24,"2. 1-24 hours",IF(G5773&lt;=72,"3. 1-3 days","4. Over 3 days")))</f>
        <v/>
      </c>
      <c r="O5773">
        <f>TEXT(B5773,"YYYY-MM")</f>
        <v/>
      </c>
    </row>
    <row r="5774">
      <c r="A5774" t="inlineStr">
        <is>
          <t>LD-305772</t>
        </is>
      </c>
      <c r="B5774" t="inlineStr">
        <is>
          <t>2026-01-30 15:13:00</t>
        </is>
      </c>
      <c r="C5774" t="inlineStr">
        <is>
          <t>Paid Search</t>
        </is>
      </c>
      <c r="D5774" t="inlineStr">
        <is>
          <t>Language Learning</t>
        </is>
      </c>
      <c r="E5774" t="inlineStr">
        <is>
          <t>South Region</t>
        </is>
      </c>
      <c r="F5774" t="inlineStr">
        <is>
          <t>Rep_12</t>
        </is>
      </c>
      <c r="G5774" t="n">
        <v>2.12</v>
      </c>
      <c r="H5774" t="inlineStr">
        <is>
          <t>Contacted</t>
        </is>
      </c>
      <c r="I5774" t="inlineStr">
        <is>
          <t>Open</t>
        </is>
      </c>
      <c r="M5774">
        <f>VLOOKUP(H5774,'Stage Order'!$A$2:$B$8,2,FALSE)</f>
        <v/>
      </c>
      <c r="N5774">
        <f>IF(G5774&lt;=1,"1. Under 1 hour",IF(G5774&lt;=24,"2. 1-24 hours",IF(G5774&lt;=72,"3. 1-3 days","4. Over 3 days")))</f>
        <v/>
      </c>
      <c r="O5774">
        <f>TEXT(B5774,"YYYY-MM")</f>
        <v/>
      </c>
    </row>
    <row r="5775">
      <c r="A5775" t="inlineStr">
        <is>
          <t>LD-305773</t>
        </is>
      </c>
      <c r="B5775" t="inlineStr">
        <is>
          <t>2025-10-03 13:07:00</t>
        </is>
      </c>
      <c r="C5775" t="inlineStr">
        <is>
          <t>Webinar</t>
        </is>
      </c>
      <c r="D5775" t="inlineStr">
        <is>
          <t>Language Learning</t>
        </is>
      </c>
      <c r="E5775" t="inlineStr">
        <is>
          <t>West Region</t>
        </is>
      </c>
      <c r="F5775" t="inlineStr">
        <is>
          <t>Rep_03</t>
        </is>
      </c>
      <c r="G5775" t="n">
        <v>10.46</v>
      </c>
      <c r="H5775" t="inlineStr">
        <is>
          <t>Negotiation</t>
        </is>
      </c>
      <c r="I5775" t="inlineStr">
        <is>
          <t>Lost</t>
        </is>
      </c>
      <c r="J5775" t="inlineStr">
        <is>
          <t>No Response / Ghosted</t>
        </is>
      </c>
      <c r="K5775" t="n">
        <v>380.2</v>
      </c>
      <c r="L5775" t="inlineStr">
        <is>
          <t>2025-11-20 04:44:07.495454</t>
        </is>
      </c>
      <c r="M5775">
        <f>VLOOKUP(H5775,'Stage Order'!$A$2:$B$8,2,FALSE)</f>
        <v/>
      </c>
      <c r="N5775">
        <f>IF(G5775&lt;=1,"1. Under 1 hour",IF(G5775&lt;=24,"2. 1-24 hours",IF(G5775&lt;=72,"3. 1-3 days","4. Over 3 days")))</f>
        <v/>
      </c>
      <c r="O5775">
        <f>TEXT(B5775,"YYYY-MM")</f>
        <v/>
      </c>
    </row>
    <row r="5776">
      <c r="A5776" t="inlineStr">
        <is>
          <t>LD-305774</t>
        </is>
      </c>
      <c r="B5776" t="inlineStr">
        <is>
          <t>2026-04-02 14:47:00</t>
        </is>
      </c>
      <c r="C5776" t="inlineStr">
        <is>
          <t>Paid Search</t>
        </is>
      </c>
      <c r="D5776" t="inlineStr">
        <is>
          <t>Competitive Exam Prep</t>
        </is>
      </c>
      <c r="E5776" t="inlineStr">
        <is>
          <t>North Region</t>
        </is>
      </c>
      <c r="F5776" t="inlineStr">
        <is>
          <t>Rep_01</t>
        </is>
      </c>
      <c r="G5776" t="n">
        <v>26.44</v>
      </c>
      <c r="H5776" t="inlineStr">
        <is>
          <t>Contacted</t>
        </is>
      </c>
      <c r="I5776" t="inlineStr">
        <is>
          <t>Open</t>
        </is>
      </c>
      <c r="M5776">
        <f>VLOOKUP(H5776,'Stage Order'!$A$2:$B$8,2,FALSE)</f>
        <v/>
      </c>
      <c r="N5776">
        <f>IF(G5776&lt;=1,"1. Under 1 hour",IF(G5776&lt;=24,"2. 1-24 hours",IF(G5776&lt;=72,"3. 1-3 days","4. Over 3 days")))</f>
        <v/>
      </c>
      <c r="O5776">
        <f>TEXT(B5776,"YYYY-MM")</f>
        <v/>
      </c>
    </row>
    <row r="5777">
      <c r="A5777" t="inlineStr">
        <is>
          <t>LD-305775</t>
        </is>
      </c>
      <c r="B5777" t="inlineStr">
        <is>
          <t>2025-04-25 12:30:00</t>
        </is>
      </c>
      <c r="C5777" t="inlineStr">
        <is>
          <t>Referral</t>
        </is>
      </c>
      <c r="D5777" t="inlineStr">
        <is>
          <t>Competitive Exam Prep</t>
        </is>
      </c>
      <c r="E5777" t="inlineStr">
        <is>
          <t>South Region</t>
        </is>
      </c>
      <c r="F5777" t="inlineStr">
        <is>
          <t>Rep_07</t>
        </is>
      </c>
      <c r="G5777" t="n">
        <v>2.32</v>
      </c>
      <c r="H5777" t="inlineStr">
        <is>
          <t>Proposal Sent</t>
        </is>
      </c>
      <c r="I5777" t="inlineStr">
        <is>
          <t>Lost</t>
        </is>
      </c>
      <c r="J5777" t="inlineStr">
        <is>
          <t>Bad Timing</t>
        </is>
      </c>
      <c r="K5777" t="n">
        <v>1130.56</v>
      </c>
      <c r="L5777" t="inlineStr">
        <is>
          <t>2025-06-14 00:40:25.796959</t>
        </is>
      </c>
      <c r="M5777">
        <f>VLOOKUP(H5777,'Stage Order'!$A$2:$B$8,2,FALSE)</f>
        <v/>
      </c>
      <c r="N5777">
        <f>IF(G5777&lt;=1,"1. Under 1 hour",IF(G5777&lt;=24,"2. 1-24 hours",IF(G5777&lt;=72,"3. 1-3 days","4. Over 3 days")))</f>
        <v/>
      </c>
      <c r="O5777">
        <f>TEXT(B5777,"YYYY-MM")</f>
        <v/>
      </c>
    </row>
    <row r="5778">
      <c r="A5778" t="inlineStr">
        <is>
          <t>LD-305776</t>
        </is>
      </c>
      <c r="B5778" t="inlineStr">
        <is>
          <t>2025-06-01 16:29:00</t>
        </is>
      </c>
      <c r="C5778" t="inlineStr">
        <is>
          <t>Social Media</t>
        </is>
      </c>
      <c r="D5778" t="inlineStr">
        <is>
          <t>Competitive Exam Prep</t>
        </is>
      </c>
      <c r="E5778" t="inlineStr">
        <is>
          <t>North Region</t>
        </is>
      </c>
      <c r="F5778" t="inlineStr">
        <is>
          <t>Rep_11</t>
        </is>
      </c>
      <c r="G5778" t="n">
        <v>0.77</v>
      </c>
      <c r="H5778" t="inlineStr">
        <is>
          <t>Contacted</t>
        </is>
      </c>
      <c r="I5778" t="inlineStr">
        <is>
          <t>Open</t>
        </is>
      </c>
      <c r="M5778">
        <f>VLOOKUP(H5778,'Stage Order'!$A$2:$B$8,2,FALSE)</f>
        <v/>
      </c>
      <c r="N5778">
        <f>IF(G5778&lt;=1,"1. Under 1 hour",IF(G5778&lt;=24,"2. 1-24 hours",IF(G5778&lt;=72,"3. 1-3 days","4. Over 3 days")))</f>
        <v/>
      </c>
      <c r="O5778">
        <f>TEXT(B5778,"YYYY-MM")</f>
        <v/>
      </c>
    </row>
    <row r="5779">
      <c r="A5779" t="inlineStr">
        <is>
          <t>LD-305777</t>
        </is>
      </c>
      <c r="B5779" t="inlineStr">
        <is>
          <t>2026-06-12 15:33:00</t>
        </is>
      </c>
      <c r="C5779" t="inlineStr">
        <is>
          <t>Social Media</t>
        </is>
      </c>
      <c r="D5779" t="inlineStr">
        <is>
          <t>Competitive Exam Prep</t>
        </is>
      </c>
      <c r="E5779" t="inlineStr">
        <is>
          <t>International</t>
        </is>
      </c>
      <c r="F5779" t="inlineStr">
        <is>
          <t>Rep_10</t>
        </is>
      </c>
      <c r="G5779" t="n">
        <v>1.58</v>
      </c>
      <c r="H5779" t="inlineStr">
        <is>
          <t>Contacted</t>
        </is>
      </c>
      <c r="I5779" t="inlineStr">
        <is>
          <t>Open</t>
        </is>
      </c>
      <c r="M5779">
        <f>VLOOKUP(H5779,'Stage Order'!$A$2:$B$8,2,FALSE)</f>
        <v/>
      </c>
      <c r="N5779">
        <f>IF(G5779&lt;=1,"1. Under 1 hour",IF(G5779&lt;=24,"2. 1-24 hours",IF(G5779&lt;=72,"3. 1-3 days","4. Over 3 days")))</f>
        <v/>
      </c>
      <c r="O5779">
        <f>TEXT(B5779,"YYYY-MM")</f>
        <v/>
      </c>
    </row>
    <row r="5780">
      <c r="A5780" t="inlineStr">
        <is>
          <t>LD-305778</t>
        </is>
      </c>
      <c r="B5780" t="inlineStr">
        <is>
          <t>2025-04-08 14:44:00</t>
        </is>
      </c>
      <c r="C5780" t="inlineStr">
        <is>
          <t>Paid Search</t>
        </is>
      </c>
      <c r="D5780" t="inlineStr">
        <is>
          <t>Coding for Kids</t>
        </is>
      </c>
      <c r="E5780" t="inlineStr">
        <is>
          <t>International</t>
        </is>
      </c>
      <c r="F5780" t="inlineStr">
        <is>
          <t>Rep_15</t>
        </is>
      </c>
      <c r="G5780" t="n">
        <v>2.34</v>
      </c>
      <c r="H5780" t="inlineStr">
        <is>
          <t>Contacted</t>
        </is>
      </c>
      <c r="I5780" t="inlineStr">
        <is>
          <t>Open</t>
        </is>
      </c>
      <c r="M5780">
        <f>VLOOKUP(H5780,'Stage Order'!$A$2:$B$8,2,FALSE)</f>
        <v/>
      </c>
      <c r="N5780">
        <f>IF(G5780&lt;=1,"1. Under 1 hour",IF(G5780&lt;=24,"2. 1-24 hours",IF(G5780&lt;=72,"3. 1-3 days","4. Over 3 days")))</f>
        <v/>
      </c>
      <c r="O5780">
        <f>TEXT(B5780,"YYYY-MM")</f>
        <v/>
      </c>
    </row>
    <row r="5781">
      <c r="A5781" t="inlineStr">
        <is>
          <t>LD-305779</t>
        </is>
      </c>
      <c r="B5781" t="inlineStr">
        <is>
          <t>2025-07-23 14:03:00</t>
        </is>
      </c>
      <c r="C5781" t="inlineStr">
        <is>
          <t>Referral</t>
        </is>
      </c>
      <c r="D5781" t="inlineStr">
        <is>
          <t>Language Learning</t>
        </is>
      </c>
      <c r="E5781" t="inlineStr">
        <is>
          <t>East Region</t>
        </is>
      </c>
      <c r="F5781" t="inlineStr">
        <is>
          <t>Rep_14</t>
        </is>
      </c>
      <c r="G5781" t="n">
        <v>3.31</v>
      </c>
      <c r="H5781" t="inlineStr">
        <is>
          <t>Contacted</t>
        </is>
      </c>
      <c r="I5781" t="inlineStr">
        <is>
          <t>Open</t>
        </is>
      </c>
      <c r="M5781">
        <f>VLOOKUP(H5781,'Stage Order'!$A$2:$B$8,2,FALSE)</f>
        <v/>
      </c>
      <c r="N5781">
        <f>IF(G5781&lt;=1,"1. Under 1 hour",IF(G5781&lt;=24,"2. 1-24 hours",IF(G5781&lt;=72,"3. 1-3 days","4. Over 3 days")))</f>
        <v/>
      </c>
      <c r="O5781">
        <f>TEXT(B5781,"YYYY-MM")</f>
        <v/>
      </c>
    </row>
    <row r="5782">
      <c r="A5782" t="inlineStr">
        <is>
          <t>LD-305780</t>
        </is>
      </c>
      <c r="B5782" t="inlineStr">
        <is>
          <t>2025-11-12 10:06:00</t>
        </is>
      </c>
      <c r="C5782" t="inlineStr">
        <is>
          <t>Social Media</t>
        </is>
      </c>
      <c r="D5782" t="inlineStr">
        <is>
          <t>K-12 Math</t>
        </is>
      </c>
      <c r="E5782" t="inlineStr">
        <is>
          <t>South Region</t>
        </is>
      </c>
      <c r="F5782" t="inlineStr">
        <is>
          <t>Rep_07</t>
        </is>
      </c>
      <c r="G5782" t="n">
        <v>2.35</v>
      </c>
      <c r="H5782" t="inlineStr">
        <is>
          <t>Contacted</t>
        </is>
      </c>
      <c r="I5782" t="inlineStr">
        <is>
          <t>Open</t>
        </is>
      </c>
      <c r="M5782">
        <f>VLOOKUP(H5782,'Stage Order'!$A$2:$B$8,2,FALSE)</f>
        <v/>
      </c>
      <c r="N5782">
        <f>IF(G5782&lt;=1,"1. Under 1 hour",IF(G5782&lt;=24,"2. 1-24 hours",IF(G5782&lt;=72,"3. 1-3 days","4. Over 3 days")))</f>
        <v/>
      </c>
      <c r="O5782">
        <f>TEXT(B5782,"YYYY-MM")</f>
        <v/>
      </c>
    </row>
    <row r="5783">
      <c r="A5783" t="inlineStr">
        <is>
          <t>LD-305781</t>
        </is>
      </c>
      <c r="B5783" t="inlineStr">
        <is>
          <t>2026-06-21 16:33:00</t>
        </is>
      </c>
      <c r="C5783" t="inlineStr">
        <is>
          <t>Paid Search</t>
        </is>
      </c>
      <c r="D5783" t="inlineStr">
        <is>
          <t>Study Abroad Prep</t>
        </is>
      </c>
      <c r="E5783" t="inlineStr">
        <is>
          <t>East Region</t>
        </is>
      </c>
      <c r="F5783" t="inlineStr">
        <is>
          <t>Rep_14</t>
        </is>
      </c>
      <c r="G5783" t="n">
        <v>1.67</v>
      </c>
      <c r="H5783" t="inlineStr">
        <is>
          <t>Contacted</t>
        </is>
      </c>
      <c r="I5783" t="inlineStr">
        <is>
          <t>Open</t>
        </is>
      </c>
      <c r="M5783">
        <f>VLOOKUP(H5783,'Stage Order'!$A$2:$B$8,2,FALSE)</f>
        <v/>
      </c>
      <c r="N5783">
        <f>IF(G5783&lt;=1,"1. Under 1 hour",IF(G5783&lt;=24,"2. 1-24 hours",IF(G5783&lt;=72,"3. 1-3 days","4. Over 3 days")))</f>
        <v/>
      </c>
      <c r="O5783">
        <f>TEXT(B5783,"YYYY-MM")</f>
        <v/>
      </c>
    </row>
    <row r="5784">
      <c r="A5784" t="inlineStr">
        <is>
          <t>LD-305782</t>
        </is>
      </c>
      <c r="B5784" t="inlineStr">
        <is>
          <t>2026-03-26 12:27:00</t>
        </is>
      </c>
      <c r="C5784" t="inlineStr">
        <is>
          <t>Organic Search</t>
        </is>
      </c>
      <c r="D5784" t="inlineStr">
        <is>
          <t>Language Learning</t>
        </is>
      </c>
      <c r="E5784" t="inlineStr">
        <is>
          <t>East Region</t>
        </is>
      </c>
      <c r="F5784" t="inlineStr">
        <is>
          <t>Rep_04</t>
        </is>
      </c>
      <c r="G5784" t="n">
        <v>14.24</v>
      </c>
      <c r="H5784" t="inlineStr">
        <is>
          <t>Negotiation</t>
        </is>
      </c>
      <c r="I5784" t="inlineStr">
        <is>
          <t>Lost</t>
        </is>
      </c>
      <c r="J5784" t="inlineStr">
        <is>
          <t>No Response / Ghosted</t>
        </is>
      </c>
      <c r="K5784" t="n">
        <v>322.5</v>
      </c>
      <c r="L5784" t="inlineStr">
        <is>
          <t>2026-05-18 17:25:04.684076</t>
        </is>
      </c>
      <c r="M5784">
        <f>VLOOKUP(H5784,'Stage Order'!$A$2:$B$8,2,FALSE)</f>
        <v/>
      </c>
      <c r="N5784">
        <f>IF(G5784&lt;=1,"1. Under 1 hour",IF(G5784&lt;=24,"2. 1-24 hours",IF(G5784&lt;=72,"3. 1-3 days","4. Over 3 days")))</f>
        <v/>
      </c>
      <c r="O5784">
        <f>TEXT(B5784,"YYYY-MM")</f>
        <v/>
      </c>
    </row>
    <row r="5785">
      <c r="A5785" t="inlineStr">
        <is>
          <t>LD-305783</t>
        </is>
      </c>
      <c r="B5785" t="inlineStr">
        <is>
          <t>2025-07-18 14:40:00</t>
        </is>
      </c>
      <c r="C5785" t="inlineStr">
        <is>
          <t>Social Media</t>
        </is>
      </c>
      <c r="D5785" t="inlineStr">
        <is>
          <t>Coding for Kids</t>
        </is>
      </c>
      <c r="E5785" t="inlineStr">
        <is>
          <t>South Region</t>
        </is>
      </c>
      <c r="F5785" t="inlineStr">
        <is>
          <t>Rep_02</t>
        </is>
      </c>
      <c r="G5785" t="n">
        <v>0.85</v>
      </c>
      <c r="H5785" t="inlineStr">
        <is>
          <t>Contacted</t>
        </is>
      </c>
      <c r="I5785" t="inlineStr">
        <is>
          <t>Open</t>
        </is>
      </c>
      <c r="M5785">
        <f>VLOOKUP(H5785,'Stage Order'!$A$2:$B$8,2,FALSE)</f>
        <v/>
      </c>
      <c r="N5785">
        <f>IF(G5785&lt;=1,"1. Under 1 hour",IF(G5785&lt;=24,"2. 1-24 hours",IF(G5785&lt;=72,"3. 1-3 days","4. Over 3 days")))</f>
        <v/>
      </c>
      <c r="O5785">
        <f>TEXT(B5785,"YYYY-MM")</f>
        <v/>
      </c>
    </row>
    <row r="5786">
      <c r="A5786" t="inlineStr">
        <is>
          <t>LD-305784</t>
        </is>
      </c>
      <c r="B5786" t="inlineStr">
        <is>
          <t>2025-01-30 13:59:00</t>
        </is>
      </c>
      <c r="C5786" t="inlineStr">
        <is>
          <t>Paid Search</t>
        </is>
      </c>
      <c r="D5786" t="inlineStr">
        <is>
          <t>Language Learning</t>
        </is>
      </c>
      <c r="E5786" t="inlineStr">
        <is>
          <t>South Region</t>
        </is>
      </c>
      <c r="F5786" t="inlineStr">
        <is>
          <t>Rep_02</t>
        </is>
      </c>
      <c r="G5786" t="n">
        <v>12.22</v>
      </c>
      <c r="H5786" t="inlineStr">
        <is>
          <t>Contacted</t>
        </is>
      </c>
      <c r="I5786" t="inlineStr">
        <is>
          <t>Open</t>
        </is>
      </c>
      <c r="M5786">
        <f>VLOOKUP(H5786,'Stage Order'!$A$2:$B$8,2,FALSE)</f>
        <v/>
      </c>
      <c r="N5786">
        <f>IF(G5786&lt;=1,"1. Under 1 hour",IF(G5786&lt;=24,"2. 1-24 hours",IF(G5786&lt;=72,"3. 1-3 days","4. Over 3 days")))</f>
        <v/>
      </c>
      <c r="O5786">
        <f>TEXT(B5786,"YYYY-MM")</f>
        <v/>
      </c>
    </row>
    <row r="5787">
      <c r="A5787" t="inlineStr">
        <is>
          <t>LD-305785</t>
        </is>
      </c>
      <c r="B5787" t="inlineStr">
        <is>
          <t>2025-01-28 16:46:00</t>
        </is>
      </c>
      <c r="C5787" t="inlineStr">
        <is>
          <t>Organic Search</t>
        </is>
      </c>
      <c r="D5787" t="inlineStr">
        <is>
          <t>Competitive Exam Prep</t>
        </is>
      </c>
      <c r="E5787" t="inlineStr">
        <is>
          <t>West Region</t>
        </is>
      </c>
      <c r="F5787" t="inlineStr">
        <is>
          <t>Rep_03</t>
        </is>
      </c>
      <c r="G5787" t="n">
        <v>2.64</v>
      </c>
      <c r="H5787" t="inlineStr">
        <is>
          <t>Contacted</t>
        </is>
      </c>
      <c r="I5787" t="inlineStr">
        <is>
          <t>Open</t>
        </is>
      </c>
      <c r="M5787">
        <f>VLOOKUP(H5787,'Stage Order'!$A$2:$B$8,2,FALSE)</f>
        <v/>
      </c>
      <c r="N5787">
        <f>IF(G5787&lt;=1,"1. Under 1 hour",IF(G5787&lt;=24,"2. 1-24 hours",IF(G5787&lt;=72,"3. 1-3 days","4. Over 3 days")))</f>
        <v/>
      </c>
      <c r="O5787">
        <f>TEXT(B5787,"YYYY-MM")</f>
        <v/>
      </c>
    </row>
    <row r="5788">
      <c r="A5788" t="inlineStr">
        <is>
          <t>LD-305786</t>
        </is>
      </c>
      <c r="B5788" t="inlineStr">
        <is>
          <t>2026-04-13 20:15:00</t>
        </is>
      </c>
      <c r="C5788" t="inlineStr">
        <is>
          <t>Referral</t>
        </is>
      </c>
      <c r="D5788" t="inlineStr">
        <is>
          <t>Study Abroad Prep</t>
        </is>
      </c>
      <c r="E5788" t="inlineStr">
        <is>
          <t>North Region</t>
        </is>
      </c>
      <c r="F5788" t="inlineStr">
        <is>
          <t>Rep_11</t>
        </is>
      </c>
      <c r="G5788" t="n">
        <v>22.4</v>
      </c>
      <c r="H5788" t="inlineStr">
        <is>
          <t>Closed</t>
        </is>
      </c>
      <c r="I5788" t="inlineStr">
        <is>
          <t>Won</t>
        </is>
      </c>
      <c r="K5788" t="n">
        <v>1230.55</v>
      </c>
      <c r="L5788" t="inlineStr">
        <is>
          <t>2026-05-26 14:57:17.046855</t>
        </is>
      </c>
      <c r="M5788">
        <f>VLOOKUP(H5788,'Stage Order'!$A$2:$B$8,2,FALSE)</f>
        <v/>
      </c>
      <c r="N5788">
        <f>IF(G5788&lt;=1,"1. Under 1 hour",IF(G5788&lt;=24,"2. 1-24 hours",IF(G5788&lt;=72,"3. 1-3 days","4. Over 3 days")))</f>
        <v/>
      </c>
      <c r="O5788">
        <f>TEXT(B5788,"YYYY-MM")</f>
        <v/>
      </c>
    </row>
    <row r="5789">
      <c r="A5789" t="inlineStr">
        <is>
          <t>LD-305787</t>
        </is>
      </c>
      <c r="B5789" t="inlineStr">
        <is>
          <t>2025-04-09 10:14:00</t>
        </is>
      </c>
      <c r="C5789" t="inlineStr">
        <is>
          <t>Organic Search</t>
        </is>
      </c>
      <c r="D5789" t="inlineStr">
        <is>
          <t>Competitive Exam Prep</t>
        </is>
      </c>
      <c r="E5789" t="inlineStr">
        <is>
          <t>South Region</t>
        </is>
      </c>
      <c r="F5789" t="inlineStr">
        <is>
          <t>Rep_07</t>
        </is>
      </c>
      <c r="G5789" t="n">
        <v>15.66</v>
      </c>
      <c r="H5789" t="inlineStr">
        <is>
          <t>Contacted</t>
        </is>
      </c>
      <c r="I5789" t="inlineStr">
        <is>
          <t>Open</t>
        </is>
      </c>
      <c r="M5789">
        <f>VLOOKUP(H5789,'Stage Order'!$A$2:$B$8,2,FALSE)</f>
        <v/>
      </c>
      <c r="N5789">
        <f>IF(G5789&lt;=1,"1. Under 1 hour",IF(G5789&lt;=24,"2. 1-24 hours",IF(G5789&lt;=72,"3. 1-3 days","4. Over 3 days")))</f>
        <v/>
      </c>
      <c r="O5789">
        <f>TEXT(B5789,"YYYY-MM")</f>
        <v/>
      </c>
    </row>
    <row r="5790">
      <c r="A5790" t="inlineStr">
        <is>
          <t>LD-305788</t>
        </is>
      </c>
      <c r="B5790" t="inlineStr">
        <is>
          <t>2025-04-04 10:29:00</t>
        </is>
      </c>
      <c r="C5790" t="inlineStr">
        <is>
          <t>Cold Outreach</t>
        </is>
      </c>
      <c r="D5790" t="inlineStr">
        <is>
          <t>Competitive Exam Prep</t>
        </is>
      </c>
      <c r="E5790" t="inlineStr">
        <is>
          <t>West Region</t>
        </is>
      </c>
      <c r="F5790" t="inlineStr">
        <is>
          <t>Rep_08</t>
        </is>
      </c>
      <c r="G5790" t="n">
        <v>1.63</v>
      </c>
      <c r="H5790" t="inlineStr">
        <is>
          <t>Lead</t>
        </is>
      </c>
      <c r="I5790" t="inlineStr">
        <is>
          <t>Open</t>
        </is>
      </c>
      <c r="M5790">
        <f>VLOOKUP(H5790,'Stage Order'!$A$2:$B$8,2,FALSE)</f>
        <v/>
      </c>
      <c r="N5790">
        <f>IF(G5790&lt;=1,"1. Under 1 hour",IF(G5790&lt;=24,"2. 1-24 hours",IF(G5790&lt;=72,"3. 1-3 days","4. Over 3 days")))</f>
        <v/>
      </c>
      <c r="O5790">
        <f>TEXT(B5790,"YYYY-MM")</f>
        <v/>
      </c>
    </row>
    <row r="5791">
      <c r="A5791" t="inlineStr">
        <is>
          <t>LD-305789</t>
        </is>
      </c>
      <c r="B5791" t="inlineStr">
        <is>
          <t>2025-06-27 16:43:00</t>
        </is>
      </c>
      <c r="C5791" t="inlineStr">
        <is>
          <t>Paid Search</t>
        </is>
      </c>
      <c r="D5791" t="inlineStr">
        <is>
          <t>Competitive Exam Prep</t>
        </is>
      </c>
      <c r="E5791" t="inlineStr">
        <is>
          <t>North Region</t>
        </is>
      </c>
      <c r="F5791" t="inlineStr">
        <is>
          <t>Rep_11</t>
        </is>
      </c>
      <c r="G5791" t="n">
        <v>1.86</v>
      </c>
      <c r="H5791" t="inlineStr">
        <is>
          <t>Demo Completed</t>
        </is>
      </c>
      <c r="I5791" t="inlineStr">
        <is>
          <t>Lost</t>
        </is>
      </c>
      <c r="J5791" t="inlineStr">
        <is>
          <t>No Response / Ghosted</t>
        </is>
      </c>
      <c r="K5791" t="n">
        <v>1075.05</v>
      </c>
      <c r="L5791" t="inlineStr">
        <is>
          <t>2025-07-12 16:53:54.027287</t>
        </is>
      </c>
      <c r="M5791">
        <f>VLOOKUP(H5791,'Stage Order'!$A$2:$B$8,2,FALSE)</f>
        <v/>
      </c>
      <c r="N5791">
        <f>IF(G5791&lt;=1,"1. Under 1 hour",IF(G5791&lt;=24,"2. 1-24 hours",IF(G5791&lt;=72,"3. 1-3 days","4. Over 3 days")))</f>
        <v/>
      </c>
      <c r="O5791">
        <f>TEXT(B5791,"YYYY-MM")</f>
        <v/>
      </c>
    </row>
    <row r="5792">
      <c r="A5792" t="inlineStr">
        <is>
          <t>LD-305790</t>
        </is>
      </c>
      <c r="B5792" t="inlineStr">
        <is>
          <t>2026-01-15 13:27:00</t>
        </is>
      </c>
      <c r="C5792" t="inlineStr">
        <is>
          <t>Referral</t>
        </is>
      </c>
      <c r="D5792" t="inlineStr">
        <is>
          <t>Study Abroad Prep</t>
        </is>
      </c>
      <c r="E5792" t="inlineStr">
        <is>
          <t>West Region</t>
        </is>
      </c>
      <c r="F5792" t="inlineStr">
        <is>
          <t>Rep_13</t>
        </is>
      </c>
      <c r="G5792" t="n">
        <v>7.51</v>
      </c>
      <c r="H5792" t="inlineStr">
        <is>
          <t>Closed</t>
        </is>
      </c>
      <c r="I5792" t="inlineStr">
        <is>
          <t>Won</t>
        </is>
      </c>
      <c r="K5792" t="n">
        <v>1423.93</v>
      </c>
      <c r="L5792" t="inlineStr">
        <is>
          <t>2026-02-28 15:18:59.320823</t>
        </is>
      </c>
      <c r="M5792">
        <f>VLOOKUP(H5792,'Stage Order'!$A$2:$B$8,2,FALSE)</f>
        <v/>
      </c>
      <c r="N5792">
        <f>IF(G5792&lt;=1,"1. Under 1 hour",IF(G5792&lt;=24,"2. 1-24 hours",IF(G5792&lt;=72,"3. 1-3 days","4. Over 3 days")))</f>
        <v/>
      </c>
      <c r="O5792">
        <f>TEXT(B5792,"YYYY-MM")</f>
        <v/>
      </c>
    </row>
    <row r="5793">
      <c r="A5793" t="inlineStr">
        <is>
          <t>LD-305791</t>
        </is>
      </c>
      <c r="B5793" t="inlineStr">
        <is>
          <t>2025-10-12 18:14:00</t>
        </is>
      </c>
      <c r="C5793" t="inlineStr">
        <is>
          <t>Cold Outreach</t>
        </is>
      </c>
      <c r="D5793" t="inlineStr">
        <is>
          <t>Coding for Kids</t>
        </is>
      </c>
      <c r="E5793" t="inlineStr">
        <is>
          <t>South Region</t>
        </is>
      </c>
      <c r="F5793" t="inlineStr">
        <is>
          <t>Rep_12</t>
        </is>
      </c>
      <c r="G5793" t="n">
        <v>3.76</v>
      </c>
      <c r="H5793" t="inlineStr">
        <is>
          <t>Contacted</t>
        </is>
      </c>
      <c r="I5793" t="inlineStr">
        <is>
          <t>Open</t>
        </is>
      </c>
      <c r="M5793">
        <f>VLOOKUP(H5793,'Stage Order'!$A$2:$B$8,2,FALSE)</f>
        <v/>
      </c>
      <c r="N5793">
        <f>IF(G5793&lt;=1,"1. Under 1 hour",IF(G5793&lt;=24,"2. 1-24 hours",IF(G5793&lt;=72,"3. 1-3 days","4. Over 3 days")))</f>
        <v/>
      </c>
      <c r="O5793">
        <f>TEXT(B5793,"YYYY-MM")</f>
        <v/>
      </c>
    </row>
    <row r="5794">
      <c r="A5794" t="inlineStr">
        <is>
          <t>LD-305792</t>
        </is>
      </c>
      <c r="B5794" t="inlineStr">
        <is>
          <t>2025-09-12 12:45:00</t>
        </is>
      </c>
      <c r="C5794" t="inlineStr">
        <is>
          <t>Organic Search</t>
        </is>
      </c>
      <c r="D5794" t="inlineStr">
        <is>
          <t>Study Abroad Prep</t>
        </is>
      </c>
      <c r="E5794" t="inlineStr">
        <is>
          <t>West Region</t>
        </is>
      </c>
      <c r="F5794" t="inlineStr">
        <is>
          <t>Rep_08</t>
        </is>
      </c>
      <c r="G5794" t="n">
        <v>2.31</v>
      </c>
      <c r="H5794" t="inlineStr">
        <is>
          <t>Closed</t>
        </is>
      </c>
      <c r="I5794" t="inlineStr">
        <is>
          <t>Won</t>
        </is>
      </c>
      <c r="K5794" t="n">
        <v>1551.82</v>
      </c>
      <c r="L5794" t="inlineStr">
        <is>
          <t>2025-10-22 09:58:53.163025</t>
        </is>
      </c>
      <c r="M5794">
        <f>VLOOKUP(H5794,'Stage Order'!$A$2:$B$8,2,FALSE)</f>
        <v/>
      </c>
      <c r="N5794">
        <f>IF(G5794&lt;=1,"1. Under 1 hour",IF(G5794&lt;=24,"2. 1-24 hours",IF(G5794&lt;=72,"3. 1-3 days","4. Over 3 days")))</f>
        <v/>
      </c>
      <c r="O5794">
        <f>TEXT(B5794,"YYYY-MM")</f>
        <v/>
      </c>
    </row>
    <row r="5795">
      <c r="A5795" t="inlineStr">
        <is>
          <t>LD-305793</t>
        </is>
      </c>
      <c r="B5795" t="inlineStr">
        <is>
          <t>2025-03-18 13:11:00</t>
        </is>
      </c>
      <c r="C5795" t="inlineStr">
        <is>
          <t>Organic Search</t>
        </is>
      </c>
      <c r="D5795" t="inlineStr">
        <is>
          <t>K-12 Math</t>
        </is>
      </c>
      <c r="E5795" t="inlineStr">
        <is>
          <t>International</t>
        </is>
      </c>
      <c r="F5795" t="inlineStr">
        <is>
          <t>Rep_05</t>
        </is>
      </c>
      <c r="G5795" t="n">
        <v>1.21</v>
      </c>
      <c r="H5795" t="inlineStr">
        <is>
          <t>Lead</t>
        </is>
      </c>
      <c r="I5795" t="inlineStr">
        <is>
          <t>Open</t>
        </is>
      </c>
      <c r="M5795">
        <f>VLOOKUP(H5795,'Stage Order'!$A$2:$B$8,2,FALSE)</f>
        <v/>
      </c>
      <c r="N5795">
        <f>IF(G5795&lt;=1,"1. Under 1 hour",IF(G5795&lt;=24,"2. 1-24 hours",IF(G5795&lt;=72,"3. 1-3 days","4. Over 3 days")))</f>
        <v/>
      </c>
      <c r="O5795">
        <f>TEXT(B5795,"YYYY-MM")</f>
        <v/>
      </c>
    </row>
    <row r="5796">
      <c r="A5796" t="inlineStr">
        <is>
          <t>LD-305794</t>
        </is>
      </c>
      <c r="B5796" t="inlineStr">
        <is>
          <t>2025-07-18 16:53:00</t>
        </is>
      </c>
      <c r="C5796" t="inlineStr">
        <is>
          <t>Social Media</t>
        </is>
      </c>
      <c r="D5796" t="inlineStr">
        <is>
          <t>Competitive Exam Prep</t>
        </is>
      </c>
      <c r="E5796" t="inlineStr">
        <is>
          <t>International</t>
        </is>
      </c>
      <c r="F5796" t="inlineStr">
        <is>
          <t>Rep_05</t>
        </is>
      </c>
      <c r="G5796" t="n">
        <v>2.41</v>
      </c>
      <c r="H5796" t="inlineStr">
        <is>
          <t>Contacted</t>
        </is>
      </c>
      <c r="I5796" t="inlineStr">
        <is>
          <t>Open</t>
        </is>
      </c>
      <c r="M5796">
        <f>VLOOKUP(H5796,'Stage Order'!$A$2:$B$8,2,FALSE)</f>
        <v/>
      </c>
      <c r="N5796">
        <f>IF(G5796&lt;=1,"1. Under 1 hour",IF(G5796&lt;=24,"2. 1-24 hours",IF(G5796&lt;=72,"3. 1-3 days","4. Over 3 days")))</f>
        <v/>
      </c>
      <c r="O5796">
        <f>TEXT(B5796,"YYYY-MM")</f>
        <v/>
      </c>
    </row>
    <row r="5797">
      <c r="A5797" t="inlineStr">
        <is>
          <t>LD-305795</t>
        </is>
      </c>
      <c r="B5797" t="inlineStr">
        <is>
          <t>2026-04-07 15:16:00</t>
        </is>
      </c>
      <c r="C5797" t="inlineStr">
        <is>
          <t>Cold Outreach</t>
        </is>
      </c>
      <c r="D5797" t="inlineStr">
        <is>
          <t>Competitive Exam Prep</t>
        </is>
      </c>
      <c r="E5797" t="inlineStr">
        <is>
          <t>North Region</t>
        </is>
      </c>
      <c r="F5797" t="inlineStr">
        <is>
          <t>Rep_11</t>
        </is>
      </c>
      <c r="G5797" t="n">
        <v>2.55</v>
      </c>
      <c r="H5797" t="inlineStr">
        <is>
          <t>Lead</t>
        </is>
      </c>
      <c r="I5797" t="inlineStr">
        <is>
          <t>Open</t>
        </is>
      </c>
      <c r="M5797">
        <f>VLOOKUP(H5797,'Stage Order'!$A$2:$B$8,2,FALSE)</f>
        <v/>
      </c>
      <c r="N5797">
        <f>IF(G5797&lt;=1,"1. Under 1 hour",IF(G5797&lt;=24,"2. 1-24 hours",IF(G5797&lt;=72,"3. 1-3 days","4. Over 3 days")))</f>
        <v/>
      </c>
      <c r="O5797">
        <f>TEXT(B5797,"YYYY-MM")</f>
        <v/>
      </c>
    </row>
    <row r="5798">
      <c r="A5798" t="inlineStr">
        <is>
          <t>LD-305796</t>
        </is>
      </c>
      <c r="B5798" t="inlineStr">
        <is>
          <t>2025-04-24 13:49:00</t>
        </is>
      </c>
      <c r="C5798" t="inlineStr">
        <is>
          <t>Organic Search</t>
        </is>
      </c>
      <c r="D5798" t="inlineStr">
        <is>
          <t>Study Abroad Prep</t>
        </is>
      </c>
      <c r="E5798" t="inlineStr">
        <is>
          <t>North Region</t>
        </is>
      </c>
      <c r="F5798" t="inlineStr">
        <is>
          <t>Rep_01</t>
        </is>
      </c>
      <c r="G5798" t="n">
        <v>4.9</v>
      </c>
      <c r="H5798" t="inlineStr">
        <is>
          <t>Lead</t>
        </is>
      </c>
      <c r="I5798" t="inlineStr">
        <is>
          <t>Open</t>
        </is>
      </c>
      <c r="M5798">
        <f>VLOOKUP(H5798,'Stage Order'!$A$2:$B$8,2,FALSE)</f>
        <v/>
      </c>
      <c r="N5798">
        <f>IF(G5798&lt;=1,"1. Under 1 hour",IF(G5798&lt;=24,"2. 1-24 hours",IF(G5798&lt;=72,"3. 1-3 days","4. Over 3 days")))</f>
        <v/>
      </c>
      <c r="O5798">
        <f>TEXT(B5798,"YYYY-MM")</f>
        <v/>
      </c>
    </row>
    <row r="5799">
      <c r="A5799" t="inlineStr">
        <is>
          <t>LD-305797</t>
        </is>
      </c>
      <c r="B5799" t="inlineStr">
        <is>
          <t>2025-11-02 13:37:00</t>
        </is>
      </c>
      <c r="C5799" t="inlineStr">
        <is>
          <t>Cold Outreach</t>
        </is>
      </c>
      <c r="D5799" t="inlineStr">
        <is>
          <t>K-12 Math</t>
        </is>
      </c>
      <c r="E5799" t="inlineStr">
        <is>
          <t>South Region</t>
        </is>
      </c>
      <c r="F5799" t="inlineStr">
        <is>
          <t>Rep_07</t>
        </is>
      </c>
      <c r="G5799" t="n">
        <v>8.4</v>
      </c>
      <c r="H5799" t="inlineStr">
        <is>
          <t>Contacted</t>
        </is>
      </c>
      <c r="I5799" t="inlineStr">
        <is>
          <t>Open</t>
        </is>
      </c>
      <c r="M5799">
        <f>VLOOKUP(H5799,'Stage Order'!$A$2:$B$8,2,FALSE)</f>
        <v/>
      </c>
      <c r="N5799">
        <f>IF(G5799&lt;=1,"1. Under 1 hour",IF(G5799&lt;=24,"2. 1-24 hours",IF(G5799&lt;=72,"3. 1-3 days","4. Over 3 days")))</f>
        <v/>
      </c>
      <c r="O5799">
        <f>TEXT(B5799,"YYYY-MM")</f>
        <v/>
      </c>
    </row>
    <row r="5800">
      <c r="A5800" t="inlineStr">
        <is>
          <t>LD-305798</t>
        </is>
      </c>
      <c r="B5800" t="inlineStr">
        <is>
          <t>2026-06-03 16:16:00</t>
        </is>
      </c>
      <c r="C5800" t="inlineStr">
        <is>
          <t>Organic Search</t>
        </is>
      </c>
      <c r="D5800" t="inlineStr">
        <is>
          <t>Language Learning</t>
        </is>
      </c>
      <c r="E5800" t="inlineStr">
        <is>
          <t>South Region</t>
        </is>
      </c>
      <c r="F5800" t="inlineStr">
        <is>
          <t>Rep_07</t>
        </is>
      </c>
      <c r="G5800" t="n">
        <v>1.14</v>
      </c>
      <c r="H5800" t="inlineStr">
        <is>
          <t>Closed</t>
        </is>
      </c>
      <c r="I5800" t="inlineStr">
        <is>
          <t>Won</t>
        </is>
      </c>
      <c r="K5800" t="n">
        <v>315.68</v>
      </c>
      <c r="L5800" t="inlineStr">
        <is>
          <t>2026-07-11 02:39:37.487799</t>
        </is>
      </c>
      <c r="M5800">
        <f>VLOOKUP(H5800,'Stage Order'!$A$2:$B$8,2,FALSE)</f>
        <v/>
      </c>
      <c r="N5800">
        <f>IF(G5800&lt;=1,"1. Under 1 hour",IF(G5800&lt;=24,"2. 1-24 hours",IF(G5800&lt;=72,"3. 1-3 days","4. Over 3 days")))</f>
        <v/>
      </c>
      <c r="O5800">
        <f>TEXT(B5800,"YYYY-MM")</f>
        <v/>
      </c>
    </row>
    <row r="5801">
      <c r="A5801" t="inlineStr">
        <is>
          <t>LD-305799</t>
        </is>
      </c>
      <c r="B5801" t="inlineStr">
        <is>
          <t>2025-05-16 07:53:00</t>
        </is>
      </c>
      <c r="C5801" t="inlineStr">
        <is>
          <t>Webinar</t>
        </is>
      </c>
      <c r="D5801" t="inlineStr">
        <is>
          <t>Competitive Exam Prep</t>
        </is>
      </c>
      <c r="E5801" t="inlineStr">
        <is>
          <t>North Region</t>
        </is>
      </c>
      <c r="F5801" t="inlineStr">
        <is>
          <t>Rep_06</t>
        </is>
      </c>
      <c r="G5801" t="n">
        <v>3.59</v>
      </c>
      <c r="H5801" t="inlineStr">
        <is>
          <t>Lead</t>
        </is>
      </c>
      <c r="I5801" t="inlineStr">
        <is>
          <t>Open</t>
        </is>
      </c>
      <c r="M5801">
        <f>VLOOKUP(H5801,'Stage Order'!$A$2:$B$8,2,FALSE)</f>
        <v/>
      </c>
      <c r="N5801">
        <f>IF(G5801&lt;=1,"1. Under 1 hour",IF(G5801&lt;=24,"2. 1-24 hours",IF(G5801&lt;=72,"3. 1-3 days","4. Over 3 days")))</f>
        <v/>
      </c>
      <c r="O5801">
        <f>TEXT(B5801,"YYYY-MM")</f>
        <v/>
      </c>
    </row>
    <row r="5802">
      <c r="A5802" t="inlineStr">
        <is>
          <t>LD-305800</t>
        </is>
      </c>
      <c r="B5802" t="inlineStr">
        <is>
          <t>2025-01-08 19:16:00</t>
        </is>
      </c>
      <c r="C5802" t="inlineStr">
        <is>
          <t>Organic Search</t>
        </is>
      </c>
      <c r="D5802" t="inlineStr">
        <is>
          <t>Coding for Kids</t>
        </is>
      </c>
      <c r="E5802" t="inlineStr">
        <is>
          <t>International</t>
        </is>
      </c>
      <c r="F5802" t="inlineStr">
        <is>
          <t>Rep_05</t>
        </is>
      </c>
      <c r="G5802" t="n">
        <v>1.15</v>
      </c>
      <c r="H5802" t="inlineStr">
        <is>
          <t>Proposal Sent</t>
        </is>
      </c>
      <c r="I5802" t="inlineStr">
        <is>
          <t>Lost</t>
        </is>
      </c>
      <c r="J5802" t="inlineStr">
        <is>
          <t>Budget Not Approved</t>
        </is>
      </c>
      <c r="K5802" t="n">
        <v>613.98</v>
      </c>
      <c r="L5802" t="inlineStr">
        <is>
          <t>2025-02-24 09:11:58.176320</t>
        </is>
      </c>
      <c r="M5802">
        <f>VLOOKUP(H5802,'Stage Order'!$A$2:$B$8,2,FALSE)</f>
        <v/>
      </c>
      <c r="N5802">
        <f>IF(G5802&lt;=1,"1. Under 1 hour",IF(G5802&lt;=24,"2. 1-24 hours",IF(G5802&lt;=72,"3. 1-3 days","4. Over 3 days")))</f>
        <v/>
      </c>
      <c r="O5802">
        <f>TEXT(B5802,"YYYY-MM")</f>
        <v/>
      </c>
    </row>
    <row r="5803">
      <c r="A5803" t="inlineStr">
        <is>
          <t>LD-305801</t>
        </is>
      </c>
      <c r="B5803" t="inlineStr">
        <is>
          <t>2026-01-28 12:12:00</t>
        </is>
      </c>
      <c r="C5803" t="inlineStr">
        <is>
          <t>Partner Channel</t>
        </is>
      </c>
      <c r="D5803" t="inlineStr">
        <is>
          <t>K-12 Math</t>
        </is>
      </c>
      <c r="E5803" t="inlineStr">
        <is>
          <t>East Region</t>
        </is>
      </c>
      <c r="F5803" t="inlineStr">
        <is>
          <t>Rep_09</t>
        </is>
      </c>
      <c r="G5803" t="n">
        <v>0.83</v>
      </c>
      <c r="H5803" t="inlineStr">
        <is>
          <t>Contacted</t>
        </is>
      </c>
      <c r="I5803" t="inlineStr">
        <is>
          <t>Open</t>
        </is>
      </c>
      <c r="M5803">
        <f>VLOOKUP(H5803,'Stage Order'!$A$2:$B$8,2,FALSE)</f>
        <v/>
      </c>
      <c r="N5803">
        <f>IF(G5803&lt;=1,"1. Under 1 hour",IF(G5803&lt;=24,"2. 1-24 hours",IF(G5803&lt;=72,"3. 1-3 days","4. Over 3 days")))</f>
        <v/>
      </c>
      <c r="O5803">
        <f>TEXT(B5803,"YYYY-MM")</f>
        <v/>
      </c>
    </row>
    <row r="5804">
      <c r="A5804" t="inlineStr">
        <is>
          <t>LD-305802</t>
        </is>
      </c>
      <c r="B5804" t="inlineStr">
        <is>
          <t>2025-09-12 16:51:00</t>
        </is>
      </c>
      <c r="C5804" t="inlineStr">
        <is>
          <t>Social Media</t>
        </is>
      </c>
      <c r="D5804" t="inlineStr">
        <is>
          <t>K-12 Math</t>
        </is>
      </c>
      <c r="E5804" t="inlineStr">
        <is>
          <t>South Region</t>
        </is>
      </c>
      <c r="F5804" t="inlineStr">
        <is>
          <t>Rep_02</t>
        </is>
      </c>
      <c r="G5804" t="n">
        <v>1.15</v>
      </c>
      <c r="H5804" t="inlineStr">
        <is>
          <t>Contacted</t>
        </is>
      </c>
      <c r="I5804" t="inlineStr">
        <is>
          <t>Open</t>
        </is>
      </c>
      <c r="M5804">
        <f>VLOOKUP(H5804,'Stage Order'!$A$2:$B$8,2,FALSE)</f>
        <v/>
      </c>
      <c r="N5804">
        <f>IF(G5804&lt;=1,"1. Under 1 hour",IF(G5804&lt;=24,"2. 1-24 hours",IF(G5804&lt;=72,"3. 1-3 days","4. Over 3 days")))</f>
        <v/>
      </c>
      <c r="O5804">
        <f>TEXT(B5804,"YYYY-MM")</f>
        <v/>
      </c>
    </row>
    <row r="5805">
      <c r="A5805" t="inlineStr">
        <is>
          <t>LD-305803</t>
        </is>
      </c>
      <c r="B5805" t="inlineStr">
        <is>
          <t>2026-05-28 11:53:00</t>
        </is>
      </c>
      <c r="C5805" t="inlineStr">
        <is>
          <t>Organic Search</t>
        </is>
      </c>
      <c r="D5805" t="inlineStr">
        <is>
          <t>K-12 Math</t>
        </is>
      </c>
      <c r="E5805" t="inlineStr">
        <is>
          <t>North Region</t>
        </is>
      </c>
      <c r="F5805" t="inlineStr">
        <is>
          <t>Rep_01</t>
        </is>
      </c>
      <c r="G5805" t="n">
        <v>9.01</v>
      </c>
      <c r="H5805" t="inlineStr">
        <is>
          <t>Contacted</t>
        </is>
      </c>
      <c r="I5805" t="inlineStr">
        <is>
          <t>Open</t>
        </is>
      </c>
      <c r="M5805">
        <f>VLOOKUP(H5805,'Stage Order'!$A$2:$B$8,2,FALSE)</f>
        <v/>
      </c>
      <c r="N5805">
        <f>IF(G5805&lt;=1,"1. Under 1 hour",IF(G5805&lt;=24,"2. 1-24 hours",IF(G5805&lt;=72,"3. 1-3 days","4. Over 3 days")))</f>
        <v/>
      </c>
      <c r="O5805">
        <f>TEXT(B5805,"YYYY-MM")</f>
        <v/>
      </c>
    </row>
    <row r="5806">
      <c r="A5806" t="inlineStr">
        <is>
          <t>LD-305804</t>
        </is>
      </c>
      <c r="B5806" t="inlineStr">
        <is>
          <t>2025-10-03 11:41:00</t>
        </is>
      </c>
      <c r="C5806" t="inlineStr">
        <is>
          <t>Paid Search</t>
        </is>
      </c>
      <c r="D5806" t="inlineStr">
        <is>
          <t>Coding for Kids</t>
        </is>
      </c>
      <c r="E5806" t="inlineStr">
        <is>
          <t>East Region</t>
        </is>
      </c>
      <c r="F5806" t="inlineStr">
        <is>
          <t>Rep_04</t>
        </is>
      </c>
      <c r="G5806" t="n">
        <v>4.59</v>
      </c>
      <c r="H5806" t="inlineStr">
        <is>
          <t>Lead</t>
        </is>
      </c>
      <c r="I5806" t="inlineStr">
        <is>
          <t>Open</t>
        </is>
      </c>
      <c r="M5806">
        <f>VLOOKUP(H5806,'Stage Order'!$A$2:$B$8,2,FALSE)</f>
        <v/>
      </c>
      <c r="N5806">
        <f>IF(G5806&lt;=1,"1. Under 1 hour",IF(G5806&lt;=24,"2. 1-24 hours",IF(G5806&lt;=72,"3. 1-3 days","4. Over 3 days")))</f>
        <v/>
      </c>
      <c r="O5806">
        <f>TEXT(B5806,"YYYY-MM")</f>
        <v/>
      </c>
    </row>
    <row r="5807">
      <c r="A5807" t="inlineStr">
        <is>
          <t>LD-305805</t>
        </is>
      </c>
      <c r="B5807" t="inlineStr">
        <is>
          <t>2025-08-24 13:17:00</t>
        </is>
      </c>
      <c r="C5807" t="inlineStr">
        <is>
          <t>Webinar</t>
        </is>
      </c>
      <c r="D5807" t="inlineStr">
        <is>
          <t>Coding for Kids</t>
        </is>
      </c>
      <c r="E5807" t="inlineStr">
        <is>
          <t>West Region</t>
        </is>
      </c>
      <c r="F5807" t="inlineStr">
        <is>
          <t>Rep_03</t>
        </is>
      </c>
      <c r="G5807" t="n">
        <v>1.41</v>
      </c>
      <c r="H5807" t="inlineStr">
        <is>
          <t>Negotiation</t>
        </is>
      </c>
      <c r="I5807" t="inlineStr">
        <is>
          <t>Lost</t>
        </is>
      </c>
      <c r="J5807" t="inlineStr">
        <is>
          <t>Price Objection</t>
        </is>
      </c>
      <c r="K5807" t="n">
        <v>711.85</v>
      </c>
      <c r="L5807" t="inlineStr">
        <is>
          <t>2025-09-27 20:25:58.794992</t>
        </is>
      </c>
      <c r="M5807">
        <f>VLOOKUP(H5807,'Stage Order'!$A$2:$B$8,2,FALSE)</f>
        <v/>
      </c>
      <c r="N5807">
        <f>IF(G5807&lt;=1,"1. Under 1 hour",IF(G5807&lt;=24,"2. 1-24 hours",IF(G5807&lt;=72,"3. 1-3 days","4. Over 3 days")))</f>
        <v/>
      </c>
      <c r="O5807">
        <f>TEXT(B5807,"YYYY-MM")</f>
        <v/>
      </c>
    </row>
    <row r="5808">
      <c r="A5808" t="inlineStr">
        <is>
          <t>LD-305806</t>
        </is>
      </c>
      <c r="B5808" t="inlineStr">
        <is>
          <t>2025-11-21 10:56:00</t>
        </is>
      </c>
      <c r="C5808" t="inlineStr">
        <is>
          <t>Referral</t>
        </is>
      </c>
      <c r="D5808" t="inlineStr">
        <is>
          <t>Coding for Kids</t>
        </is>
      </c>
      <c r="E5808" t="inlineStr">
        <is>
          <t>South Region</t>
        </is>
      </c>
      <c r="F5808" t="inlineStr">
        <is>
          <t>Rep_07</t>
        </is>
      </c>
      <c r="G5808" t="n">
        <v>0.79</v>
      </c>
      <c r="H5808" t="inlineStr">
        <is>
          <t>Closed</t>
        </is>
      </c>
      <c r="I5808" t="inlineStr">
        <is>
          <t>Won</t>
        </is>
      </c>
      <c r="K5808" t="n">
        <v>751.9</v>
      </c>
      <c r="L5808" t="inlineStr">
        <is>
          <t>2025-12-31 00:57:25.494658</t>
        </is>
      </c>
      <c r="M5808">
        <f>VLOOKUP(H5808,'Stage Order'!$A$2:$B$8,2,FALSE)</f>
        <v/>
      </c>
      <c r="N5808">
        <f>IF(G5808&lt;=1,"1. Under 1 hour",IF(G5808&lt;=24,"2. 1-24 hours",IF(G5808&lt;=72,"3. 1-3 days","4. Over 3 days")))</f>
        <v/>
      </c>
      <c r="O5808">
        <f>TEXT(B5808,"YYYY-MM")</f>
        <v/>
      </c>
    </row>
    <row r="5809">
      <c r="A5809" t="inlineStr">
        <is>
          <t>LD-305807</t>
        </is>
      </c>
      <c r="B5809" t="inlineStr">
        <is>
          <t>2026-05-27 14:35:00</t>
        </is>
      </c>
      <c r="C5809" t="inlineStr">
        <is>
          <t>Referral</t>
        </is>
      </c>
      <c r="D5809" t="inlineStr">
        <is>
          <t>K-12 Math</t>
        </is>
      </c>
      <c r="E5809" t="inlineStr">
        <is>
          <t>North Region</t>
        </is>
      </c>
      <c r="F5809" t="inlineStr">
        <is>
          <t>Rep_01</t>
        </is>
      </c>
      <c r="G5809" t="n">
        <v>3.64</v>
      </c>
      <c r="H5809" t="inlineStr">
        <is>
          <t>Contacted</t>
        </is>
      </c>
      <c r="I5809" t="inlineStr">
        <is>
          <t>Open</t>
        </is>
      </c>
      <c r="M5809">
        <f>VLOOKUP(H5809,'Stage Order'!$A$2:$B$8,2,FALSE)</f>
        <v/>
      </c>
      <c r="N5809">
        <f>IF(G5809&lt;=1,"1. Under 1 hour",IF(G5809&lt;=24,"2. 1-24 hours",IF(G5809&lt;=72,"3. 1-3 days","4. Over 3 days")))</f>
        <v/>
      </c>
      <c r="O5809">
        <f>TEXT(B5809,"YYYY-MM")</f>
        <v/>
      </c>
    </row>
    <row r="5810">
      <c r="A5810" t="inlineStr">
        <is>
          <t>LD-305808</t>
        </is>
      </c>
      <c r="B5810" t="inlineStr">
        <is>
          <t>2026-01-08 18:32:00</t>
        </is>
      </c>
      <c r="C5810" t="inlineStr">
        <is>
          <t>Cold Outreach</t>
        </is>
      </c>
      <c r="D5810" t="inlineStr">
        <is>
          <t>Language Learning</t>
        </is>
      </c>
      <c r="E5810" t="inlineStr">
        <is>
          <t>South Region</t>
        </is>
      </c>
      <c r="F5810" t="inlineStr">
        <is>
          <t>Rep_02</t>
        </is>
      </c>
      <c r="G5810" t="n">
        <v>4.84</v>
      </c>
      <c r="H5810" t="inlineStr">
        <is>
          <t>Lead</t>
        </is>
      </c>
      <c r="I5810" t="inlineStr">
        <is>
          <t>Open</t>
        </is>
      </c>
      <c r="M5810">
        <f>VLOOKUP(H5810,'Stage Order'!$A$2:$B$8,2,FALSE)</f>
        <v/>
      </c>
      <c r="N5810">
        <f>IF(G5810&lt;=1,"1. Under 1 hour",IF(G5810&lt;=24,"2. 1-24 hours",IF(G5810&lt;=72,"3. 1-3 days","4. Over 3 days")))</f>
        <v/>
      </c>
      <c r="O5810">
        <f>TEXT(B5810,"YYYY-MM")</f>
        <v/>
      </c>
    </row>
    <row r="5811">
      <c r="A5811" t="inlineStr">
        <is>
          <t>LD-305809</t>
        </is>
      </c>
      <c r="B5811" t="inlineStr">
        <is>
          <t>2026-02-13 17:25:00</t>
        </is>
      </c>
      <c r="C5811" t="inlineStr">
        <is>
          <t>Cold Outreach</t>
        </is>
      </c>
      <c r="D5811" t="inlineStr">
        <is>
          <t>Study Abroad Prep</t>
        </is>
      </c>
      <c r="E5811" t="inlineStr">
        <is>
          <t>North Region</t>
        </is>
      </c>
      <c r="F5811" t="inlineStr">
        <is>
          <t>Rep_11</t>
        </is>
      </c>
      <c r="G5811" t="n">
        <v>2.24</v>
      </c>
      <c r="H5811" t="inlineStr">
        <is>
          <t>Contacted</t>
        </is>
      </c>
      <c r="I5811" t="inlineStr">
        <is>
          <t>Open</t>
        </is>
      </c>
      <c r="M5811">
        <f>VLOOKUP(H5811,'Stage Order'!$A$2:$B$8,2,FALSE)</f>
        <v/>
      </c>
      <c r="N5811">
        <f>IF(G5811&lt;=1,"1. Under 1 hour",IF(G5811&lt;=24,"2. 1-24 hours",IF(G5811&lt;=72,"3. 1-3 days","4. Over 3 days")))</f>
        <v/>
      </c>
      <c r="O5811">
        <f>TEXT(B5811,"YYYY-MM")</f>
        <v/>
      </c>
    </row>
    <row r="5812">
      <c r="A5812" t="inlineStr">
        <is>
          <t>LD-305810</t>
        </is>
      </c>
      <c r="B5812" t="inlineStr">
        <is>
          <t>2026-04-11 09:40:00</t>
        </is>
      </c>
      <c r="C5812" t="inlineStr">
        <is>
          <t>Cold Outreach</t>
        </is>
      </c>
      <c r="D5812" t="inlineStr">
        <is>
          <t>Coding for Kids</t>
        </is>
      </c>
      <c r="E5812" t="inlineStr">
        <is>
          <t>North Region</t>
        </is>
      </c>
      <c r="F5812" t="inlineStr">
        <is>
          <t>Rep_01</t>
        </is>
      </c>
      <c r="G5812" t="n">
        <v>4.97</v>
      </c>
      <c r="H5812" t="inlineStr">
        <is>
          <t>Contacted</t>
        </is>
      </c>
      <c r="I5812" t="inlineStr">
        <is>
          <t>Open</t>
        </is>
      </c>
      <c r="M5812">
        <f>VLOOKUP(H5812,'Stage Order'!$A$2:$B$8,2,FALSE)</f>
        <v/>
      </c>
      <c r="N5812">
        <f>IF(G5812&lt;=1,"1. Under 1 hour",IF(G5812&lt;=24,"2. 1-24 hours",IF(G5812&lt;=72,"3. 1-3 days","4. Over 3 days")))</f>
        <v/>
      </c>
      <c r="O5812">
        <f>TEXT(B5812,"YYYY-MM")</f>
        <v/>
      </c>
    </row>
    <row r="5813">
      <c r="A5813" t="inlineStr">
        <is>
          <t>LD-305811</t>
        </is>
      </c>
      <c r="B5813" t="inlineStr">
        <is>
          <t>2025-02-17 20:10:00</t>
        </is>
      </c>
      <c r="C5813" t="inlineStr">
        <is>
          <t>Paid Search</t>
        </is>
      </c>
      <c r="D5813" t="inlineStr">
        <is>
          <t>Coding for Kids</t>
        </is>
      </c>
      <c r="E5813" t="inlineStr">
        <is>
          <t>East Region</t>
        </is>
      </c>
      <c r="F5813" t="inlineStr">
        <is>
          <t>Rep_04</t>
        </is>
      </c>
      <c r="G5813" t="n">
        <v>4.17</v>
      </c>
      <c r="H5813" t="inlineStr">
        <is>
          <t>Demo Completed</t>
        </is>
      </c>
      <c r="I5813" t="inlineStr">
        <is>
          <t>Lost</t>
        </is>
      </c>
      <c r="J5813" t="inlineStr">
        <is>
          <t>Price Objection</t>
        </is>
      </c>
      <c r="K5813" t="n">
        <v>553.1799999999999</v>
      </c>
      <c r="L5813" t="inlineStr">
        <is>
          <t>2025-03-08 13:54:35.317414</t>
        </is>
      </c>
      <c r="M5813">
        <f>VLOOKUP(H5813,'Stage Order'!$A$2:$B$8,2,FALSE)</f>
        <v/>
      </c>
      <c r="N5813">
        <f>IF(G5813&lt;=1,"1. Under 1 hour",IF(G5813&lt;=24,"2. 1-24 hours",IF(G5813&lt;=72,"3. 1-3 days","4. Over 3 days")))</f>
        <v/>
      </c>
      <c r="O5813">
        <f>TEXT(B5813,"YYYY-MM")</f>
        <v/>
      </c>
    </row>
    <row r="5814">
      <c r="A5814" t="inlineStr">
        <is>
          <t>LD-305812</t>
        </is>
      </c>
      <c r="B5814" t="inlineStr">
        <is>
          <t>2025-08-22 13:12:00</t>
        </is>
      </c>
      <c r="C5814" t="inlineStr">
        <is>
          <t>Referral</t>
        </is>
      </c>
      <c r="D5814" t="inlineStr">
        <is>
          <t>Competitive Exam Prep</t>
        </is>
      </c>
      <c r="E5814" t="inlineStr">
        <is>
          <t>South Region</t>
        </is>
      </c>
      <c r="F5814" t="inlineStr">
        <is>
          <t>Rep_07</t>
        </is>
      </c>
      <c r="G5814" t="n">
        <v>2.67</v>
      </c>
      <c r="H5814" t="inlineStr">
        <is>
          <t>Demo Completed</t>
        </is>
      </c>
      <c r="I5814" t="inlineStr">
        <is>
          <t>Lost</t>
        </is>
      </c>
      <c r="J5814" t="inlineStr">
        <is>
          <t>No Response / Ghosted</t>
        </is>
      </c>
      <c r="K5814" t="n">
        <v>815.3200000000001</v>
      </c>
      <c r="L5814" t="inlineStr">
        <is>
          <t>2025-09-05 18:08:49.156812</t>
        </is>
      </c>
      <c r="M5814">
        <f>VLOOKUP(H5814,'Stage Order'!$A$2:$B$8,2,FALSE)</f>
        <v/>
      </c>
      <c r="N5814">
        <f>IF(G5814&lt;=1,"1. Under 1 hour",IF(G5814&lt;=24,"2. 1-24 hours",IF(G5814&lt;=72,"3. 1-3 days","4. Over 3 days")))</f>
        <v/>
      </c>
      <c r="O5814">
        <f>TEXT(B5814,"YYYY-MM")</f>
        <v/>
      </c>
    </row>
    <row r="5815">
      <c r="A5815" t="inlineStr">
        <is>
          <t>LD-305813</t>
        </is>
      </c>
      <c r="B5815" t="inlineStr">
        <is>
          <t>2026-01-06 17:49:00</t>
        </is>
      </c>
      <c r="C5815" t="inlineStr">
        <is>
          <t>Paid Search</t>
        </is>
      </c>
      <c r="D5815" t="inlineStr">
        <is>
          <t>Competitive Exam Prep</t>
        </is>
      </c>
      <c r="E5815" t="inlineStr">
        <is>
          <t>North Region</t>
        </is>
      </c>
      <c r="F5815" t="inlineStr">
        <is>
          <t>Rep_06</t>
        </is>
      </c>
      <c r="G5815" t="n">
        <v>1.21</v>
      </c>
      <c r="H5815" t="inlineStr">
        <is>
          <t>Lead</t>
        </is>
      </c>
      <c r="I5815" t="inlineStr">
        <is>
          <t>Open</t>
        </is>
      </c>
      <c r="M5815">
        <f>VLOOKUP(H5815,'Stage Order'!$A$2:$B$8,2,FALSE)</f>
        <v/>
      </c>
      <c r="N5815">
        <f>IF(G5815&lt;=1,"1. Under 1 hour",IF(G5815&lt;=24,"2. 1-24 hours",IF(G5815&lt;=72,"3. 1-3 days","4. Over 3 days")))</f>
        <v/>
      </c>
      <c r="O5815">
        <f>TEXT(B5815,"YYYY-MM")</f>
        <v/>
      </c>
    </row>
    <row r="5816">
      <c r="A5816" t="inlineStr">
        <is>
          <t>LD-305814</t>
        </is>
      </c>
      <c r="B5816" t="inlineStr">
        <is>
          <t>2026-03-07 19:31:00</t>
        </is>
      </c>
      <c r="C5816" t="inlineStr">
        <is>
          <t>Referral</t>
        </is>
      </c>
      <c r="D5816" t="inlineStr">
        <is>
          <t>Language Learning</t>
        </is>
      </c>
      <c r="E5816" t="inlineStr">
        <is>
          <t>North Region</t>
        </is>
      </c>
      <c r="F5816" t="inlineStr">
        <is>
          <t>Rep_01</t>
        </is>
      </c>
      <c r="G5816" t="n">
        <v>1.47</v>
      </c>
      <c r="H5816" t="inlineStr">
        <is>
          <t>Closed</t>
        </is>
      </c>
      <c r="I5816" t="inlineStr">
        <is>
          <t>Won</t>
        </is>
      </c>
      <c r="K5816" t="n">
        <v>422.05</v>
      </c>
      <c r="L5816" t="inlineStr">
        <is>
          <t>2026-04-08 16:46:22.213503</t>
        </is>
      </c>
      <c r="M5816">
        <f>VLOOKUP(H5816,'Stage Order'!$A$2:$B$8,2,FALSE)</f>
        <v/>
      </c>
      <c r="N5816">
        <f>IF(G5816&lt;=1,"1. Under 1 hour",IF(G5816&lt;=24,"2. 1-24 hours",IF(G5816&lt;=72,"3. 1-3 days","4. Over 3 days")))</f>
        <v/>
      </c>
      <c r="O5816">
        <f>TEXT(B5816,"YYYY-MM")</f>
        <v/>
      </c>
    </row>
    <row r="5817">
      <c r="A5817" t="inlineStr">
        <is>
          <t>LD-305815</t>
        </is>
      </c>
      <c r="B5817" t="inlineStr">
        <is>
          <t>2026-04-22 14:15:00</t>
        </is>
      </c>
      <c r="C5817" t="inlineStr">
        <is>
          <t>Partner Channel</t>
        </is>
      </c>
      <c r="D5817" t="inlineStr">
        <is>
          <t>Competitive Exam Prep</t>
        </is>
      </c>
      <c r="E5817" t="inlineStr">
        <is>
          <t>International</t>
        </is>
      </c>
      <c r="F5817" t="inlineStr">
        <is>
          <t>Rep_10</t>
        </is>
      </c>
      <c r="G5817" t="n">
        <v>0.85</v>
      </c>
      <c r="H5817" t="inlineStr">
        <is>
          <t>Contacted</t>
        </is>
      </c>
      <c r="I5817" t="inlineStr">
        <is>
          <t>Open</t>
        </is>
      </c>
      <c r="M5817">
        <f>VLOOKUP(H5817,'Stage Order'!$A$2:$B$8,2,FALSE)</f>
        <v/>
      </c>
      <c r="N5817">
        <f>IF(G5817&lt;=1,"1. Under 1 hour",IF(G5817&lt;=24,"2. 1-24 hours",IF(G5817&lt;=72,"3. 1-3 days","4. Over 3 days")))</f>
        <v/>
      </c>
      <c r="O5817">
        <f>TEXT(B5817,"YYYY-MM")</f>
        <v/>
      </c>
    </row>
    <row r="5818">
      <c r="A5818" t="inlineStr">
        <is>
          <t>LD-305816</t>
        </is>
      </c>
      <c r="B5818" t="inlineStr">
        <is>
          <t>2025-08-15 14:43:00</t>
        </is>
      </c>
      <c r="C5818" t="inlineStr">
        <is>
          <t>Webinar</t>
        </is>
      </c>
      <c r="D5818" t="inlineStr">
        <is>
          <t>Study Abroad Prep</t>
        </is>
      </c>
      <c r="E5818" t="inlineStr">
        <is>
          <t>East Region</t>
        </is>
      </c>
      <c r="F5818" t="inlineStr">
        <is>
          <t>Rep_09</t>
        </is>
      </c>
      <c r="G5818" t="n">
        <v>2.41</v>
      </c>
      <c r="H5818" t="inlineStr">
        <is>
          <t>Contacted</t>
        </is>
      </c>
      <c r="I5818" t="inlineStr">
        <is>
          <t>Open</t>
        </is>
      </c>
      <c r="M5818">
        <f>VLOOKUP(H5818,'Stage Order'!$A$2:$B$8,2,FALSE)</f>
        <v/>
      </c>
      <c r="N5818">
        <f>IF(G5818&lt;=1,"1. Under 1 hour",IF(G5818&lt;=24,"2. 1-24 hours",IF(G5818&lt;=72,"3. 1-3 days","4. Over 3 days")))</f>
        <v/>
      </c>
      <c r="O5818">
        <f>TEXT(B5818,"YYYY-MM")</f>
        <v/>
      </c>
    </row>
    <row r="5819">
      <c r="A5819" t="inlineStr">
        <is>
          <t>LD-305817</t>
        </is>
      </c>
      <c r="B5819" t="inlineStr">
        <is>
          <t>2025-06-04 07:30:00</t>
        </is>
      </c>
      <c r="C5819" t="inlineStr">
        <is>
          <t>Paid Search</t>
        </is>
      </c>
      <c r="D5819" t="inlineStr">
        <is>
          <t>Study Abroad Prep</t>
        </is>
      </c>
      <c r="E5819" t="inlineStr">
        <is>
          <t>International</t>
        </is>
      </c>
      <c r="F5819" t="inlineStr">
        <is>
          <t>Rep_15</t>
        </is>
      </c>
      <c r="G5819" t="n">
        <v>1.08</v>
      </c>
      <c r="H5819" t="inlineStr">
        <is>
          <t>Closed</t>
        </is>
      </c>
      <c r="I5819" t="inlineStr">
        <is>
          <t>Won</t>
        </is>
      </c>
      <c r="K5819" t="n">
        <v>1519.88</v>
      </c>
      <c r="L5819" t="inlineStr">
        <is>
          <t>2025-07-17 05:11:29.448083</t>
        </is>
      </c>
      <c r="M5819">
        <f>VLOOKUP(H5819,'Stage Order'!$A$2:$B$8,2,FALSE)</f>
        <v/>
      </c>
      <c r="N5819">
        <f>IF(G5819&lt;=1,"1. Under 1 hour",IF(G5819&lt;=24,"2. 1-24 hours",IF(G5819&lt;=72,"3. 1-3 days","4. Over 3 days")))</f>
        <v/>
      </c>
      <c r="O5819">
        <f>TEXT(B5819,"YYYY-MM")</f>
        <v/>
      </c>
    </row>
    <row r="5820">
      <c r="A5820" t="inlineStr">
        <is>
          <t>LD-305818</t>
        </is>
      </c>
      <c r="B5820" t="inlineStr">
        <is>
          <t>2025-12-17 14:26:00</t>
        </is>
      </c>
      <c r="C5820" t="inlineStr">
        <is>
          <t>Webinar</t>
        </is>
      </c>
      <c r="D5820" t="inlineStr">
        <is>
          <t>K-12 Math</t>
        </is>
      </c>
      <c r="E5820" t="inlineStr">
        <is>
          <t>East Region</t>
        </is>
      </c>
      <c r="F5820" t="inlineStr">
        <is>
          <t>Rep_04</t>
        </is>
      </c>
      <c r="G5820" t="n">
        <v>9.9</v>
      </c>
      <c r="H5820" t="inlineStr">
        <is>
          <t>Proposal Sent</t>
        </is>
      </c>
      <c r="I5820" t="inlineStr">
        <is>
          <t>Lost</t>
        </is>
      </c>
      <c r="J5820" t="inlineStr">
        <is>
          <t>Price Objection</t>
        </is>
      </c>
      <c r="K5820" t="n">
        <v>586.72</v>
      </c>
      <c r="L5820" t="inlineStr">
        <is>
          <t>2026-01-31 17:52:17.185479</t>
        </is>
      </c>
      <c r="M5820">
        <f>VLOOKUP(H5820,'Stage Order'!$A$2:$B$8,2,FALSE)</f>
        <v/>
      </c>
      <c r="N5820">
        <f>IF(G5820&lt;=1,"1. Under 1 hour",IF(G5820&lt;=24,"2. 1-24 hours",IF(G5820&lt;=72,"3. 1-3 days","4. Over 3 days")))</f>
        <v/>
      </c>
      <c r="O5820">
        <f>TEXT(B5820,"YYYY-MM")</f>
        <v/>
      </c>
    </row>
    <row r="5821">
      <c r="A5821" t="inlineStr">
        <is>
          <t>LD-305819</t>
        </is>
      </c>
      <c r="B5821" t="inlineStr">
        <is>
          <t>2025-10-10 13:33:00</t>
        </is>
      </c>
      <c r="C5821" t="inlineStr">
        <is>
          <t>Paid Search</t>
        </is>
      </c>
      <c r="D5821" t="inlineStr">
        <is>
          <t>Coding for Kids</t>
        </is>
      </c>
      <c r="E5821" t="inlineStr">
        <is>
          <t>International</t>
        </is>
      </c>
      <c r="F5821" t="inlineStr">
        <is>
          <t>Rep_15</t>
        </is>
      </c>
      <c r="G5821" t="n">
        <v>9.029999999999999</v>
      </c>
      <c r="H5821" t="inlineStr">
        <is>
          <t>Contacted</t>
        </is>
      </c>
      <c r="I5821" t="inlineStr">
        <is>
          <t>Open</t>
        </is>
      </c>
      <c r="M5821">
        <f>VLOOKUP(H5821,'Stage Order'!$A$2:$B$8,2,FALSE)</f>
        <v/>
      </c>
      <c r="N5821">
        <f>IF(G5821&lt;=1,"1. Under 1 hour",IF(G5821&lt;=24,"2. 1-24 hours",IF(G5821&lt;=72,"3. 1-3 days","4. Over 3 days")))</f>
        <v/>
      </c>
      <c r="O5821">
        <f>TEXT(B5821,"YYYY-MM")</f>
        <v/>
      </c>
    </row>
    <row r="5822">
      <c r="A5822" t="inlineStr">
        <is>
          <t>LD-305820</t>
        </is>
      </c>
      <c r="B5822" t="inlineStr">
        <is>
          <t>2026-06-15 11:46:00</t>
        </is>
      </c>
      <c r="C5822" t="inlineStr">
        <is>
          <t>Partner Channel</t>
        </is>
      </c>
      <c r="D5822" t="inlineStr">
        <is>
          <t>Competitive Exam Prep</t>
        </is>
      </c>
      <c r="E5822" t="inlineStr">
        <is>
          <t>South Region</t>
        </is>
      </c>
      <c r="F5822" t="inlineStr">
        <is>
          <t>Rep_07</t>
        </is>
      </c>
      <c r="G5822" t="n">
        <v>21.32</v>
      </c>
      <c r="H5822" t="inlineStr">
        <is>
          <t>Contacted</t>
        </is>
      </c>
      <c r="I5822" t="inlineStr">
        <is>
          <t>Open</t>
        </is>
      </c>
      <c r="M5822">
        <f>VLOOKUP(H5822,'Stage Order'!$A$2:$B$8,2,FALSE)</f>
        <v/>
      </c>
      <c r="N5822">
        <f>IF(G5822&lt;=1,"1. Under 1 hour",IF(G5822&lt;=24,"2. 1-24 hours",IF(G5822&lt;=72,"3. 1-3 days","4. Over 3 days")))</f>
        <v/>
      </c>
      <c r="O5822">
        <f>TEXT(B5822,"YYYY-MM")</f>
        <v/>
      </c>
    </row>
    <row r="5823">
      <c r="A5823" t="inlineStr">
        <is>
          <t>LD-305821</t>
        </is>
      </c>
      <c r="B5823" t="inlineStr">
        <is>
          <t>2025-05-20 07:58:00</t>
        </is>
      </c>
      <c r="C5823" t="inlineStr">
        <is>
          <t>Organic Search</t>
        </is>
      </c>
      <c r="D5823" t="inlineStr">
        <is>
          <t>Competitive Exam Prep</t>
        </is>
      </c>
      <c r="E5823" t="inlineStr">
        <is>
          <t>South Region</t>
        </is>
      </c>
      <c r="F5823" t="inlineStr">
        <is>
          <t>Rep_12</t>
        </is>
      </c>
      <c r="G5823" t="n">
        <v>1.86</v>
      </c>
      <c r="H5823" t="inlineStr">
        <is>
          <t>Contacted</t>
        </is>
      </c>
      <c r="I5823" t="inlineStr">
        <is>
          <t>Open</t>
        </is>
      </c>
      <c r="M5823">
        <f>VLOOKUP(H5823,'Stage Order'!$A$2:$B$8,2,FALSE)</f>
        <v/>
      </c>
      <c r="N5823">
        <f>IF(G5823&lt;=1,"1. Under 1 hour",IF(G5823&lt;=24,"2. 1-24 hours",IF(G5823&lt;=72,"3. 1-3 days","4. Over 3 days")))</f>
        <v/>
      </c>
      <c r="O5823">
        <f>TEXT(B5823,"YYYY-MM")</f>
        <v/>
      </c>
    </row>
    <row r="5824">
      <c r="A5824" t="inlineStr">
        <is>
          <t>LD-305822</t>
        </is>
      </c>
      <c r="B5824" t="inlineStr">
        <is>
          <t>2025-04-13 11:21:00</t>
        </is>
      </c>
      <c r="C5824" t="inlineStr">
        <is>
          <t>Referral</t>
        </is>
      </c>
      <c r="D5824" t="inlineStr">
        <is>
          <t>Language Learning</t>
        </is>
      </c>
      <c r="E5824" t="inlineStr">
        <is>
          <t>West Region</t>
        </is>
      </c>
      <c r="F5824" t="inlineStr">
        <is>
          <t>Rep_08</t>
        </is>
      </c>
      <c r="G5824" t="n">
        <v>2.64</v>
      </c>
      <c r="H5824" t="inlineStr">
        <is>
          <t>Contacted</t>
        </is>
      </c>
      <c r="I5824" t="inlineStr">
        <is>
          <t>Open</t>
        </is>
      </c>
      <c r="M5824">
        <f>VLOOKUP(H5824,'Stage Order'!$A$2:$B$8,2,FALSE)</f>
        <v/>
      </c>
      <c r="N5824">
        <f>IF(G5824&lt;=1,"1. Under 1 hour",IF(G5824&lt;=24,"2. 1-24 hours",IF(G5824&lt;=72,"3. 1-3 days","4. Over 3 days")))</f>
        <v/>
      </c>
      <c r="O5824">
        <f>TEXT(B5824,"YYYY-MM")</f>
        <v/>
      </c>
    </row>
    <row r="5825">
      <c r="A5825" t="inlineStr">
        <is>
          <t>LD-305823</t>
        </is>
      </c>
      <c r="B5825" t="inlineStr">
        <is>
          <t>2025-12-05 19:31:00</t>
        </is>
      </c>
      <c r="C5825" t="inlineStr">
        <is>
          <t>Paid Search</t>
        </is>
      </c>
      <c r="D5825" t="inlineStr">
        <is>
          <t>Competitive Exam Prep</t>
        </is>
      </c>
      <c r="E5825" t="inlineStr">
        <is>
          <t>North Region</t>
        </is>
      </c>
      <c r="F5825" t="inlineStr">
        <is>
          <t>Rep_11</t>
        </is>
      </c>
      <c r="G5825" t="n">
        <v>2.13</v>
      </c>
      <c r="H5825" t="inlineStr">
        <is>
          <t>Proposal Sent</t>
        </is>
      </c>
      <c r="I5825" t="inlineStr">
        <is>
          <t>Lost</t>
        </is>
      </c>
      <c r="J5825" t="inlineStr">
        <is>
          <t>No Response / Ghosted</t>
        </is>
      </c>
      <c r="K5825" t="n">
        <v>916.79</v>
      </c>
      <c r="L5825" t="inlineStr">
        <is>
          <t>2026-01-14 06:41:03.803275</t>
        </is>
      </c>
      <c r="M5825">
        <f>VLOOKUP(H5825,'Stage Order'!$A$2:$B$8,2,FALSE)</f>
        <v/>
      </c>
      <c r="N5825">
        <f>IF(G5825&lt;=1,"1. Under 1 hour",IF(G5825&lt;=24,"2. 1-24 hours",IF(G5825&lt;=72,"3. 1-3 days","4. Over 3 days")))</f>
        <v/>
      </c>
      <c r="O5825">
        <f>TEXT(B5825,"YYYY-MM")</f>
        <v/>
      </c>
    </row>
    <row r="5826">
      <c r="A5826" t="inlineStr">
        <is>
          <t>LD-305824</t>
        </is>
      </c>
      <c r="B5826" t="inlineStr">
        <is>
          <t>2025-04-15 18:17:00</t>
        </is>
      </c>
      <c r="C5826" t="inlineStr">
        <is>
          <t>Social Media</t>
        </is>
      </c>
      <c r="D5826" t="inlineStr">
        <is>
          <t>Competitive Exam Prep</t>
        </is>
      </c>
      <c r="E5826" t="inlineStr">
        <is>
          <t>West Region</t>
        </is>
      </c>
      <c r="F5826" t="inlineStr">
        <is>
          <t>Rep_13</t>
        </is>
      </c>
      <c r="G5826" t="n">
        <v>6.24</v>
      </c>
      <c r="H5826" t="inlineStr">
        <is>
          <t>Lead</t>
        </is>
      </c>
      <c r="I5826" t="inlineStr">
        <is>
          <t>Open</t>
        </is>
      </c>
      <c r="M5826">
        <f>VLOOKUP(H5826,'Stage Order'!$A$2:$B$8,2,FALSE)</f>
        <v/>
      </c>
      <c r="N5826">
        <f>IF(G5826&lt;=1,"1. Under 1 hour",IF(G5826&lt;=24,"2. 1-24 hours",IF(G5826&lt;=72,"3. 1-3 days","4. Over 3 days")))</f>
        <v/>
      </c>
      <c r="O5826">
        <f>TEXT(B5826,"YYYY-MM")</f>
        <v/>
      </c>
    </row>
    <row r="5827">
      <c r="A5827" t="inlineStr">
        <is>
          <t>LD-305825</t>
        </is>
      </c>
      <c r="B5827" t="inlineStr">
        <is>
          <t>2026-06-05 12:05:00</t>
        </is>
      </c>
      <c r="C5827" t="inlineStr">
        <is>
          <t>Organic Search</t>
        </is>
      </c>
      <c r="D5827" t="inlineStr">
        <is>
          <t>Competitive Exam Prep</t>
        </is>
      </c>
      <c r="E5827" t="inlineStr">
        <is>
          <t>East Region</t>
        </is>
      </c>
      <c r="F5827" t="inlineStr">
        <is>
          <t>Rep_09</t>
        </is>
      </c>
      <c r="G5827" t="n">
        <v>0.88</v>
      </c>
      <c r="H5827" t="inlineStr">
        <is>
          <t>Contacted</t>
        </is>
      </c>
      <c r="I5827" t="inlineStr">
        <is>
          <t>Open</t>
        </is>
      </c>
      <c r="M5827">
        <f>VLOOKUP(H5827,'Stage Order'!$A$2:$B$8,2,FALSE)</f>
        <v/>
      </c>
      <c r="N5827">
        <f>IF(G5827&lt;=1,"1. Under 1 hour",IF(G5827&lt;=24,"2. 1-24 hours",IF(G5827&lt;=72,"3. 1-3 days","4. Over 3 days")))</f>
        <v/>
      </c>
      <c r="O5827">
        <f>TEXT(B5827,"YYYY-MM")</f>
        <v/>
      </c>
    </row>
    <row r="5828">
      <c r="A5828" t="inlineStr">
        <is>
          <t>LD-305826</t>
        </is>
      </c>
      <c r="B5828" t="inlineStr">
        <is>
          <t>2026-05-15 14:26:00</t>
        </is>
      </c>
      <c r="C5828" t="inlineStr">
        <is>
          <t>Paid Search</t>
        </is>
      </c>
      <c r="D5828" t="inlineStr">
        <is>
          <t>K-12 Math</t>
        </is>
      </c>
      <c r="E5828" t="inlineStr">
        <is>
          <t>North Region</t>
        </is>
      </c>
      <c r="F5828" t="inlineStr">
        <is>
          <t>Rep_06</t>
        </is>
      </c>
      <c r="G5828" t="n">
        <v>1</v>
      </c>
      <c r="H5828" t="inlineStr">
        <is>
          <t>Contacted</t>
        </is>
      </c>
      <c r="I5828" t="inlineStr">
        <is>
          <t>Open</t>
        </is>
      </c>
      <c r="M5828">
        <f>VLOOKUP(H5828,'Stage Order'!$A$2:$B$8,2,FALSE)</f>
        <v/>
      </c>
      <c r="N5828">
        <f>IF(G5828&lt;=1,"1. Under 1 hour",IF(G5828&lt;=24,"2. 1-24 hours",IF(G5828&lt;=72,"3. 1-3 days","4. Over 3 days")))</f>
        <v/>
      </c>
      <c r="O5828">
        <f>TEXT(B5828,"YYYY-MM")</f>
        <v/>
      </c>
    </row>
    <row r="5829">
      <c r="A5829" t="inlineStr">
        <is>
          <t>LD-305827</t>
        </is>
      </c>
      <c r="B5829" t="inlineStr">
        <is>
          <t>2026-04-17 13:54:00</t>
        </is>
      </c>
      <c r="C5829" t="inlineStr">
        <is>
          <t>Webinar</t>
        </is>
      </c>
      <c r="D5829" t="inlineStr">
        <is>
          <t>K-12 Math</t>
        </is>
      </c>
      <c r="E5829" t="inlineStr">
        <is>
          <t>International</t>
        </is>
      </c>
      <c r="F5829" t="inlineStr">
        <is>
          <t>Rep_15</t>
        </is>
      </c>
      <c r="G5829" t="n">
        <v>1.89</v>
      </c>
      <c r="H5829" t="inlineStr">
        <is>
          <t>Closed</t>
        </is>
      </c>
      <c r="I5829" t="inlineStr">
        <is>
          <t>Won</t>
        </is>
      </c>
      <c r="K5829" t="n">
        <v>416.71</v>
      </c>
      <c r="L5829" t="inlineStr">
        <is>
          <t>2026-06-05 13:56:34.192890</t>
        </is>
      </c>
      <c r="M5829">
        <f>VLOOKUP(H5829,'Stage Order'!$A$2:$B$8,2,FALSE)</f>
        <v/>
      </c>
      <c r="N5829">
        <f>IF(G5829&lt;=1,"1. Under 1 hour",IF(G5829&lt;=24,"2. 1-24 hours",IF(G5829&lt;=72,"3. 1-3 days","4. Over 3 days")))</f>
        <v/>
      </c>
      <c r="O5829">
        <f>TEXT(B5829,"YYYY-MM")</f>
        <v/>
      </c>
    </row>
    <row r="5830">
      <c r="A5830" t="inlineStr">
        <is>
          <t>LD-305828</t>
        </is>
      </c>
      <c r="B5830" t="inlineStr">
        <is>
          <t>2025-10-03 14:49:00</t>
        </is>
      </c>
      <c r="C5830" t="inlineStr">
        <is>
          <t>Organic Search</t>
        </is>
      </c>
      <c r="D5830" t="inlineStr">
        <is>
          <t>K-12 Math</t>
        </is>
      </c>
      <c r="E5830" t="inlineStr">
        <is>
          <t>East Region</t>
        </is>
      </c>
      <c r="F5830" t="inlineStr">
        <is>
          <t>Rep_04</t>
        </is>
      </c>
      <c r="G5830" t="n">
        <v>5.96</v>
      </c>
      <c r="H5830" t="inlineStr">
        <is>
          <t>Demo Completed</t>
        </is>
      </c>
      <c r="I5830" t="inlineStr">
        <is>
          <t>Lost</t>
        </is>
      </c>
      <c r="J5830" t="inlineStr">
        <is>
          <t>Budget Not Approved</t>
        </is>
      </c>
      <c r="K5830" t="n">
        <v>434.6</v>
      </c>
      <c r="L5830" t="inlineStr">
        <is>
          <t>2025-10-24 04:48:56.728698</t>
        </is>
      </c>
      <c r="M5830">
        <f>VLOOKUP(H5830,'Stage Order'!$A$2:$B$8,2,FALSE)</f>
        <v/>
      </c>
      <c r="N5830">
        <f>IF(G5830&lt;=1,"1. Under 1 hour",IF(G5830&lt;=24,"2. 1-24 hours",IF(G5830&lt;=72,"3. 1-3 days","4. Over 3 days")))</f>
        <v/>
      </c>
      <c r="O5830">
        <f>TEXT(B5830,"YYYY-MM")</f>
        <v/>
      </c>
    </row>
    <row r="5831">
      <c r="A5831" t="inlineStr">
        <is>
          <t>LD-305829</t>
        </is>
      </c>
      <c r="B5831" t="inlineStr">
        <is>
          <t>2025-07-24 07:17:00</t>
        </is>
      </c>
      <c r="C5831" t="inlineStr">
        <is>
          <t>Paid Search</t>
        </is>
      </c>
      <c r="D5831" t="inlineStr">
        <is>
          <t>Coding for Kids</t>
        </is>
      </c>
      <c r="E5831" t="inlineStr">
        <is>
          <t>North Region</t>
        </is>
      </c>
      <c r="F5831" t="inlineStr">
        <is>
          <t>Rep_06</t>
        </is>
      </c>
      <c r="G5831" t="n">
        <v>3.97</v>
      </c>
      <c r="H5831" t="inlineStr">
        <is>
          <t>Contacted</t>
        </is>
      </c>
      <c r="I5831" t="inlineStr">
        <is>
          <t>Open</t>
        </is>
      </c>
      <c r="M5831">
        <f>VLOOKUP(H5831,'Stage Order'!$A$2:$B$8,2,FALSE)</f>
        <v/>
      </c>
      <c r="N5831">
        <f>IF(G5831&lt;=1,"1. Under 1 hour",IF(G5831&lt;=24,"2. 1-24 hours",IF(G5831&lt;=72,"3. 1-3 days","4. Over 3 days")))</f>
        <v/>
      </c>
      <c r="O5831">
        <f>TEXT(B5831,"YYYY-MM")</f>
        <v/>
      </c>
    </row>
    <row r="5832">
      <c r="A5832" t="inlineStr">
        <is>
          <t>LD-305830</t>
        </is>
      </c>
      <c r="B5832" t="inlineStr">
        <is>
          <t>2026-04-15 18:08:00</t>
        </is>
      </c>
      <c r="C5832" t="inlineStr">
        <is>
          <t>Referral</t>
        </is>
      </c>
      <c r="D5832" t="inlineStr">
        <is>
          <t>K-12 Math</t>
        </is>
      </c>
      <c r="E5832" t="inlineStr">
        <is>
          <t>International</t>
        </is>
      </c>
      <c r="F5832" t="inlineStr">
        <is>
          <t>Rep_15</t>
        </is>
      </c>
      <c r="G5832" t="n">
        <v>2.41</v>
      </c>
      <c r="H5832" t="inlineStr">
        <is>
          <t>Contacted</t>
        </is>
      </c>
      <c r="I5832" t="inlineStr">
        <is>
          <t>Open</t>
        </is>
      </c>
      <c r="M5832">
        <f>VLOOKUP(H5832,'Stage Order'!$A$2:$B$8,2,FALSE)</f>
        <v/>
      </c>
      <c r="N5832">
        <f>IF(G5832&lt;=1,"1. Under 1 hour",IF(G5832&lt;=24,"2. 1-24 hours",IF(G5832&lt;=72,"3. 1-3 days","4. Over 3 days")))</f>
        <v/>
      </c>
      <c r="O5832">
        <f>TEXT(B5832,"YYYY-MM")</f>
        <v/>
      </c>
    </row>
    <row r="5833">
      <c r="A5833" t="inlineStr">
        <is>
          <t>LD-305831</t>
        </is>
      </c>
      <c r="B5833" t="inlineStr">
        <is>
          <t>2025-12-24 10:48:00</t>
        </is>
      </c>
      <c r="C5833" t="inlineStr">
        <is>
          <t>Paid Search</t>
        </is>
      </c>
      <c r="D5833" t="inlineStr">
        <is>
          <t>K-12 Math</t>
        </is>
      </c>
      <c r="E5833" t="inlineStr">
        <is>
          <t>East Region</t>
        </is>
      </c>
      <c r="F5833" t="inlineStr">
        <is>
          <t>Rep_14</t>
        </is>
      </c>
      <c r="G5833" t="n">
        <v>17.05</v>
      </c>
      <c r="H5833" t="inlineStr">
        <is>
          <t>Contacted</t>
        </is>
      </c>
      <c r="I5833" t="inlineStr">
        <is>
          <t>Open</t>
        </is>
      </c>
      <c r="M5833">
        <f>VLOOKUP(H5833,'Stage Order'!$A$2:$B$8,2,FALSE)</f>
        <v/>
      </c>
      <c r="N5833">
        <f>IF(G5833&lt;=1,"1. Under 1 hour",IF(G5833&lt;=24,"2. 1-24 hours",IF(G5833&lt;=72,"3. 1-3 days","4. Over 3 days")))</f>
        <v/>
      </c>
      <c r="O5833">
        <f>TEXT(B5833,"YYYY-MM")</f>
        <v/>
      </c>
    </row>
    <row r="5834">
      <c r="A5834" t="inlineStr">
        <is>
          <t>LD-305832</t>
        </is>
      </c>
      <c r="B5834" t="inlineStr">
        <is>
          <t>2026-06-26 07:20:00</t>
        </is>
      </c>
      <c r="C5834" t="inlineStr">
        <is>
          <t>Paid Search</t>
        </is>
      </c>
      <c r="D5834" t="inlineStr">
        <is>
          <t>Coding for Kids</t>
        </is>
      </c>
      <c r="E5834" t="inlineStr">
        <is>
          <t>South Region</t>
        </is>
      </c>
      <c r="F5834" t="inlineStr">
        <is>
          <t>Rep_12</t>
        </is>
      </c>
      <c r="G5834" t="n">
        <v>14.27</v>
      </c>
      <c r="H5834" t="inlineStr">
        <is>
          <t>Lead</t>
        </is>
      </c>
      <c r="I5834" t="inlineStr">
        <is>
          <t>Open</t>
        </is>
      </c>
      <c r="M5834">
        <f>VLOOKUP(H5834,'Stage Order'!$A$2:$B$8,2,FALSE)</f>
        <v/>
      </c>
      <c r="N5834">
        <f>IF(G5834&lt;=1,"1. Under 1 hour",IF(G5834&lt;=24,"2. 1-24 hours",IF(G5834&lt;=72,"3. 1-3 days","4. Over 3 days")))</f>
        <v/>
      </c>
      <c r="O5834">
        <f>TEXT(B5834,"YYYY-MM")</f>
        <v/>
      </c>
    </row>
    <row r="5835">
      <c r="A5835" t="inlineStr">
        <is>
          <t>LD-305833</t>
        </is>
      </c>
      <c r="B5835" t="inlineStr">
        <is>
          <t>2026-05-02 10:05:00</t>
        </is>
      </c>
      <c r="C5835" t="inlineStr">
        <is>
          <t>Webinar</t>
        </is>
      </c>
      <c r="D5835" t="inlineStr">
        <is>
          <t>Competitive Exam Prep</t>
        </is>
      </c>
      <c r="E5835" t="inlineStr">
        <is>
          <t>East Region</t>
        </is>
      </c>
      <c r="F5835" t="inlineStr">
        <is>
          <t>Rep_09</t>
        </is>
      </c>
      <c r="G5835" t="n">
        <v>5.29</v>
      </c>
      <c r="H5835" t="inlineStr">
        <is>
          <t>Contacted</t>
        </is>
      </c>
      <c r="I5835" t="inlineStr">
        <is>
          <t>Open</t>
        </is>
      </c>
      <c r="M5835">
        <f>VLOOKUP(H5835,'Stage Order'!$A$2:$B$8,2,FALSE)</f>
        <v/>
      </c>
      <c r="N5835">
        <f>IF(G5835&lt;=1,"1. Under 1 hour",IF(G5835&lt;=24,"2. 1-24 hours",IF(G5835&lt;=72,"3. 1-3 days","4. Over 3 days")))</f>
        <v/>
      </c>
      <c r="O5835">
        <f>TEXT(B5835,"YYYY-MM")</f>
        <v/>
      </c>
    </row>
    <row r="5836">
      <c r="A5836" t="inlineStr">
        <is>
          <t>LD-305834</t>
        </is>
      </c>
      <c r="B5836" t="inlineStr">
        <is>
          <t>2025-02-18 07:49:00</t>
        </is>
      </c>
      <c r="C5836" t="inlineStr">
        <is>
          <t>Webinar</t>
        </is>
      </c>
      <c r="D5836" t="inlineStr">
        <is>
          <t>Language Learning</t>
        </is>
      </c>
      <c r="E5836" t="inlineStr">
        <is>
          <t>North Region</t>
        </is>
      </c>
      <c r="F5836" t="inlineStr">
        <is>
          <t>Rep_01</t>
        </is>
      </c>
      <c r="G5836" t="n">
        <v>3.62</v>
      </c>
      <c r="H5836" t="inlineStr">
        <is>
          <t>Closed</t>
        </is>
      </c>
      <c r="I5836" t="inlineStr">
        <is>
          <t>Won</t>
        </is>
      </c>
      <c r="K5836" t="n">
        <v>291.7</v>
      </c>
      <c r="L5836" t="inlineStr">
        <is>
          <t>2025-03-13 23:12:39.386622</t>
        </is>
      </c>
      <c r="M5836">
        <f>VLOOKUP(H5836,'Stage Order'!$A$2:$B$8,2,FALSE)</f>
        <v/>
      </c>
      <c r="N5836">
        <f>IF(G5836&lt;=1,"1. Under 1 hour",IF(G5836&lt;=24,"2. 1-24 hours",IF(G5836&lt;=72,"3. 1-3 days","4. Over 3 days")))</f>
        <v/>
      </c>
      <c r="O5836">
        <f>TEXT(B5836,"YYYY-MM")</f>
        <v/>
      </c>
    </row>
    <row r="5837">
      <c r="A5837" t="inlineStr">
        <is>
          <t>LD-305835</t>
        </is>
      </c>
      <c r="B5837" t="inlineStr">
        <is>
          <t>2025-09-02 10:55:00</t>
        </is>
      </c>
      <c r="C5837" t="inlineStr">
        <is>
          <t>Social Media</t>
        </is>
      </c>
      <c r="D5837" t="inlineStr">
        <is>
          <t>Language Learning</t>
        </is>
      </c>
      <c r="E5837" t="inlineStr">
        <is>
          <t>South Region</t>
        </is>
      </c>
      <c r="F5837" t="inlineStr">
        <is>
          <t>Rep_02</t>
        </is>
      </c>
      <c r="G5837" t="n">
        <v>39.64</v>
      </c>
      <c r="H5837" t="inlineStr">
        <is>
          <t>Lead</t>
        </is>
      </c>
      <c r="I5837" t="inlineStr">
        <is>
          <t>Open</t>
        </is>
      </c>
      <c r="M5837">
        <f>VLOOKUP(H5837,'Stage Order'!$A$2:$B$8,2,FALSE)</f>
        <v/>
      </c>
      <c r="N5837">
        <f>IF(G5837&lt;=1,"1. Under 1 hour",IF(G5837&lt;=24,"2. 1-24 hours",IF(G5837&lt;=72,"3. 1-3 days","4. Over 3 days")))</f>
        <v/>
      </c>
      <c r="O5837">
        <f>TEXT(B5837,"YYYY-MM")</f>
        <v/>
      </c>
    </row>
    <row r="5838">
      <c r="A5838" t="inlineStr">
        <is>
          <t>LD-305836</t>
        </is>
      </c>
      <c r="B5838" t="inlineStr">
        <is>
          <t>2025-11-14 14:11:00</t>
        </is>
      </c>
      <c r="C5838" t="inlineStr">
        <is>
          <t>Paid Search</t>
        </is>
      </c>
      <c r="D5838" t="inlineStr">
        <is>
          <t>Coding for Kids</t>
        </is>
      </c>
      <c r="E5838" t="inlineStr">
        <is>
          <t>West Region</t>
        </is>
      </c>
      <c r="F5838" t="inlineStr">
        <is>
          <t>Rep_08</t>
        </is>
      </c>
      <c r="G5838" t="n">
        <v>2.63</v>
      </c>
      <c r="H5838" t="inlineStr">
        <is>
          <t>Lead</t>
        </is>
      </c>
      <c r="I5838" t="inlineStr">
        <is>
          <t>Open</t>
        </is>
      </c>
      <c r="M5838">
        <f>VLOOKUP(H5838,'Stage Order'!$A$2:$B$8,2,FALSE)</f>
        <v/>
      </c>
      <c r="N5838">
        <f>IF(G5838&lt;=1,"1. Under 1 hour",IF(G5838&lt;=24,"2. 1-24 hours",IF(G5838&lt;=72,"3. 1-3 days","4. Over 3 days")))</f>
        <v/>
      </c>
      <c r="O5838">
        <f>TEXT(B5838,"YYYY-MM")</f>
        <v/>
      </c>
    </row>
    <row r="5839">
      <c r="A5839" t="inlineStr">
        <is>
          <t>LD-305837</t>
        </is>
      </c>
      <c r="B5839" t="inlineStr">
        <is>
          <t>2026-03-17 18:02:00</t>
        </is>
      </c>
      <c r="C5839" t="inlineStr">
        <is>
          <t>Organic Search</t>
        </is>
      </c>
      <c r="D5839" t="inlineStr">
        <is>
          <t>Language Learning</t>
        </is>
      </c>
      <c r="E5839" t="inlineStr">
        <is>
          <t>North Region</t>
        </is>
      </c>
      <c r="F5839" t="inlineStr">
        <is>
          <t>Rep_01</t>
        </is>
      </c>
      <c r="G5839" t="n">
        <v>2.19</v>
      </c>
      <c r="H5839" t="inlineStr">
        <is>
          <t>Negotiation</t>
        </is>
      </c>
      <c r="I5839" t="inlineStr">
        <is>
          <t>Lost</t>
        </is>
      </c>
      <c r="J5839" t="inlineStr">
        <is>
          <t>No Response / Ghosted</t>
        </is>
      </c>
      <c r="K5839" t="n">
        <v>334.98</v>
      </c>
      <c r="L5839" t="inlineStr">
        <is>
          <t>2026-04-27 08:27:25.006662</t>
        </is>
      </c>
      <c r="M5839">
        <f>VLOOKUP(H5839,'Stage Order'!$A$2:$B$8,2,FALSE)</f>
        <v/>
      </c>
      <c r="N5839">
        <f>IF(G5839&lt;=1,"1. Under 1 hour",IF(G5839&lt;=24,"2. 1-24 hours",IF(G5839&lt;=72,"3. 1-3 days","4. Over 3 days")))</f>
        <v/>
      </c>
      <c r="O5839">
        <f>TEXT(B5839,"YYYY-MM")</f>
        <v/>
      </c>
    </row>
    <row r="5840">
      <c r="A5840" t="inlineStr">
        <is>
          <t>LD-305838</t>
        </is>
      </c>
      <c r="B5840" t="inlineStr">
        <is>
          <t>2025-04-25 12:27:00</t>
        </is>
      </c>
      <c r="C5840" t="inlineStr">
        <is>
          <t>Referral</t>
        </is>
      </c>
      <c r="D5840" t="inlineStr">
        <is>
          <t>K-12 Math</t>
        </is>
      </c>
      <c r="E5840" t="inlineStr">
        <is>
          <t>South Region</t>
        </is>
      </c>
      <c r="F5840" t="inlineStr">
        <is>
          <t>Rep_02</t>
        </is>
      </c>
      <c r="G5840" t="n">
        <v>11.22</v>
      </c>
      <c r="H5840" t="inlineStr">
        <is>
          <t>Contacted</t>
        </is>
      </c>
      <c r="I5840" t="inlineStr">
        <is>
          <t>Open</t>
        </is>
      </c>
      <c r="M5840">
        <f>VLOOKUP(H5840,'Stage Order'!$A$2:$B$8,2,FALSE)</f>
        <v/>
      </c>
      <c r="N5840">
        <f>IF(G5840&lt;=1,"1. Under 1 hour",IF(G5840&lt;=24,"2. 1-24 hours",IF(G5840&lt;=72,"3. 1-3 days","4. Over 3 days")))</f>
        <v/>
      </c>
      <c r="O5840">
        <f>TEXT(B5840,"YYYY-MM")</f>
        <v/>
      </c>
    </row>
    <row r="5841">
      <c r="A5841" t="inlineStr">
        <is>
          <t>LD-305839</t>
        </is>
      </c>
      <c r="B5841" t="inlineStr">
        <is>
          <t>2025-01-11 13:09:00</t>
        </is>
      </c>
      <c r="C5841" t="inlineStr">
        <is>
          <t>Referral</t>
        </is>
      </c>
      <c r="D5841" t="inlineStr">
        <is>
          <t>Competitive Exam Prep</t>
        </is>
      </c>
      <c r="E5841" t="inlineStr">
        <is>
          <t>South Region</t>
        </is>
      </c>
      <c r="F5841" t="inlineStr">
        <is>
          <t>Rep_07</t>
        </is>
      </c>
      <c r="G5841" t="n">
        <v>3.76</v>
      </c>
      <c r="H5841" t="inlineStr">
        <is>
          <t>Closed</t>
        </is>
      </c>
      <c r="I5841" t="inlineStr">
        <is>
          <t>Won</t>
        </is>
      </c>
      <c r="K5841" t="n">
        <v>892.85</v>
      </c>
      <c r="L5841" t="inlineStr">
        <is>
          <t>2025-02-07 02:50:11.929687</t>
        </is>
      </c>
      <c r="M5841">
        <f>VLOOKUP(H5841,'Stage Order'!$A$2:$B$8,2,FALSE)</f>
        <v/>
      </c>
      <c r="N5841">
        <f>IF(G5841&lt;=1,"1. Under 1 hour",IF(G5841&lt;=24,"2. 1-24 hours",IF(G5841&lt;=72,"3. 1-3 days","4. Over 3 days")))</f>
        <v/>
      </c>
      <c r="O5841">
        <f>TEXT(B5841,"YYYY-MM")</f>
        <v/>
      </c>
    </row>
    <row r="5842">
      <c r="A5842" t="inlineStr">
        <is>
          <t>LD-305840</t>
        </is>
      </c>
      <c r="B5842" t="inlineStr">
        <is>
          <t>2025-02-20 19:50:00</t>
        </is>
      </c>
      <c r="C5842" t="inlineStr">
        <is>
          <t>Organic Search</t>
        </is>
      </c>
      <c r="D5842" t="inlineStr">
        <is>
          <t>Study Abroad Prep</t>
        </is>
      </c>
      <c r="E5842" t="inlineStr">
        <is>
          <t>North Region</t>
        </is>
      </c>
      <c r="F5842" t="inlineStr">
        <is>
          <t>Rep_01</t>
        </is>
      </c>
      <c r="G5842" t="n">
        <v>0.53</v>
      </c>
      <c r="H5842" t="inlineStr">
        <is>
          <t>Closed</t>
        </is>
      </c>
      <c r="I5842" t="inlineStr">
        <is>
          <t>Won</t>
        </is>
      </c>
      <c r="K5842" t="n">
        <v>1491.2</v>
      </c>
      <c r="L5842" t="inlineStr">
        <is>
          <t>2025-03-26 23:05:20.529087</t>
        </is>
      </c>
      <c r="M5842">
        <f>VLOOKUP(H5842,'Stage Order'!$A$2:$B$8,2,FALSE)</f>
        <v/>
      </c>
      <c r="N5842">
        <f>IF(G5842&lt;=1,"1. Under 1 hour",IF(G5842&lt;=24,"2. 1-24 hours",IF(G5842&lt;=72,"3. 1-3 days","4. Over 3 days")))</f>
        <v/>
      </c>
      <c r="O5842">
        <f>TEXT(B5842,"YYYY-MM")</f>
        <v/>
      </c>
    </row>
    <row r="5843">
      <c r="A5843" t="inlineStr">
        <is>
          <t>LD-305841</t>
        </is>
      </c>
      <c r="B5843" t="inlineStr">
        <is>
          <t>2025-08-08 07:02:00</t>
        </is>
      </c>
      <c r="C5843" t="inlineStr">
        <is>
          <t>Social Media</t>
        </is>
      </c>
      <c r="D5843" t="inlineStr">
        <is>
          <t>K-12 Math</t>
        </is>
      </c>
      <c r="E5843" t="inlineStr">
        <is>
          <t>South Region</t>
        </is>
      </c>
      <c r="F5843" t="inlineStr">
        <is>
          <t>Rep_07</t>
        </is>
      </c>
      <c r="G5843" t="n">
        <v>1.79</v>
      </c>
      <c r="H5843" t="inlineStr">
        <is>
          <t>Lead</t>
        </is>
      </c>
      <c r="I5843" t="inlineStr">
        <is>
          <t>Open</t>
        </is>
      </c>
      <c r="M5843">
        <f>VLOOKUP(H5843,'Stage Order'!$A$2:$B$8,2,FALSE)</f>
        <v/>
      </c>
      <c r="N5843">
        <f>IF(G5843&lt;=1,"1. Under 1 hour",IF(G5843&lt;=24,"2. 1-24 hours",IF(G5843&lt;=72,"3. 1-3 days","4. Over 3 days")))</f>
        <v/>
      </c>
      <c r="O5843">
        <f>TEXT(B5843,"YYYY-MM")</f>
        <v/>
      </c>
    </row>
    <row r="5844">
      <c r="A5844" t="inlineStr">
        <is>
          <t>LD-305842</t>
        </is>
      </c>
      <c r="B5844" t="inlineStr">
        <is>
          <t>2025-08-14 13:10:00</t>
        </is>
      </c>
      <c r="C5844" t="inlineStr">
        <is>
          <t>Organic Search</t>
        </is>
      </c>
      <c r="D5844" t="inlineStr">
        <is>
          <t>K-12 Math</t>
        </is>
      </c>
      <c r="E5844" t="inlineStr">
        <is>
          <t>West Region</t>
        </is>
      </c>
      <c r="F5844" t="inlineStr">
        <is>
          <t>Rep_13</t>
        </is>
      </c>
      <c r="G5844" t="n">
        <v>3.21</v>
      </c>
      <c r="H5844" t="inlineStr">
        <is>
          <t>Contacted</t>
        </is>
      </c>
      <c r="I5844" t="inlineStr">
        <is>
          <t>Open</t>
        </is>
      </c>
      <c r="M5844">
        <f>VLOOKUP(H5844,'Stage Order'!$A$2:$B$8,2,FALSE)</f>
        <v/>
      </c>
      <c r="N5844">
        <f>IF(G5844&lt;=1,"1. Under 1 hour",IF(G5844&lt;=24,"2. 1-24 hours",IF(G5844&lt;=72,"3. 1-3 days","4. Over 3 days")))</f>
        <v/>
      </c>
      <c r="O5844">
        <f>TEXT(B5844,"YYYY-MM")</f>
        <v/>
      </c>
    </row>
    <row r="5845">
      <c r="A5845" t="inlineStr">
        <is>
          <t>LD-305843</t>
        </is>
      </c>
      <c r="B5845" t="inlineStr">
        <is>
          <t>2025-02-18 19:03:00</t>
        </is>
      </c>
      <c r="C5845" t="inlineStr">
        <is>
          <t>Organic Search</t>
        </is>
      </c>
      <c r="D5845" t="inlineStr">
        <is>
          <t>Study Abroad Prep</t>
        </is>
      </c>
      <c r="E5845" t="inlineStr">
        <is>
          <t>North Region</t>
        </is>
      </c>
      <c r="F5845" t="inlineStr">
        <is>
          <t>Rep_06</t>
        </is>
      </c>
      <c r="G5845" t="n">
        <v>2.16</v>
      </c>
      <c r="H5845" t="inlineStr">
        <is>
          <t>Contacted</t>
        </is>
      </c>
      <c r="I5845" t="inlineStr">
        <is>
          <t>Open</t>
        </is>
      </c>
      <c r="M5845">
        <f>VLOOKUP(H5845,'Stage Order'!$A$2:$B$8,2,FALSE)</f>
        <v/>
      </c>
      <c r="N5845">
        <f>IF(G5845&lt;=1,"1. Under 1 hour",IF(G5845&lt;=24,"2. 1-24 hours",IF(G5845&lt;=72,"3. 1-3 days","4. Over 3 days")))</f>
        <v/>
      </c>
      <c r="O5845">
        <f>TEXT(B5845,"YYYY-MM")</f>
        <v/>
      </c>
    </row>
    <row r="5846">
      <c r="A5846" t="inlineStr">
        <is>
          <t>LD-305844</t>
        </is>
      </c>
      <c r="B5846" t="inlineStr">
        <is>
          <t>2026-02-24 13:36:00</t>
        </is>
      </c>
      <c r="C5846" t="inlineStr">
        <is>
          <t>Cold Outreach</t>
        </is>
      </c>
      <c r="D5846" t="inlineStr">
        <is>
          <t>Coding for Kids</t>
        </is>
      </c>
      <c r="E5846" t="inlineStr">
        <is>
          <t>North Region</t>
        </is>
      </c>
      <c r="F5846" t="inlineStr">
        <is>
          <t>Rep_11</t>
        </is>
      </c>
      <c r="G5846" t="n">
        <v>1.18</v>
      </c>
      <c r="H5846" t="inlineStr">
        <is>
          <t>Contacted</t>
        </is>
      </c>
      <c r="I5846" t="inlineStr">
        <is>
          <t>Open</t>
        </is>
      </c>
      <c r="M5846">
        <f>VLOOKUP(H5846,'Stage Order'!$A$2:$B$8,2,FALSE)</f>
        <v/>
      </c>
      <c r="N5846">
        <f>IF(G5846&lt;=1,"1. Under 1 hour",IF(G5846&lt;=24,"2. 1-24 hours",IF(G5846&lt;=72,"3. 1-3 days","4. Over 3 days")))</f>
        <v/>
      </c>
      <c r="O5846">
        <f>TEXT(B5846,"YYYY-MM")</f>
        <v/>
      </c>
    </row>
    <row r="5847">
      <c r="A5847" t="inlineStr">
        <is>
          <t>LD-305845</t>
        </is>
      </c>
      <c r="B5847" t="inlineStr">
        <is>
          <t>2025-08-26 08:11:00</t>
        </is>
      </c>
      <c r="C5847" t="inlineStr">
        <is>
          <t>Paid Search</t>
        </is>
      </c>
      <c r="D5847" t="inlineStr">
        <is>
          <t>K-12 Math</t>
        </is>
      </c>
      <c r="E5847" t="inlineStr">
        <is>
          <t>International</t>
        </is>
      </c>
      <c r="F5847" t="inlineStr">
        <is>
          <t>Rep_10</t>
        </is>
      </c>
      <c r="G5847" t="n">
        <v>0.79</v>
      </c>
      <c r="H5847" t="inlineStr">
        <is>
          <t>Contacted</t>
        </is>
      </c>
      <c r="I5847" t="inlineStr">
        <is>
          <t>Open</t>
        </is>
      </c>
      <c r="M5847">
        <f>VLOOKUP(H5847,'Stage Order'!$A$2:$B$8,2,FALSE)</f>
        <v/>
      </c>
      <c r="N5847">
        <f>IF(G5847&lt;=1,"1. Under 1 hour",IF(G5847&lt;=24,"2. 1-24 hours",IF(G5847&lt;=72,"3. 1-3 days","4. Over 3 days")))</f>
        <v/>
      </c>
      <c r="O5847">
        <f>TEXT(B5847,"YYYY-MM")</f>
        <v/>
      </c>
    </row>
    <row r="5848">
      <c r="A5848" t="inlineStr">
        <is>
          <t>LD-305846</t>
        </is>
      </c>
      <c r="B5848" t="inlineStr">
        <is>
          <t>2026-01-07 17:52:00</t>
        </is>
      </c>
      <c r="C5848" t="inlineStr">
        <is>
          <t>Cold Outreach</t>
        </is>
      </c>
      <c r="D5848" t="inlineStr">
        <is>
          <t>K-12 Math</t>
        </is>
      </c>
      <c r="E5848" t="inlineStr">
        <is>
          <t>West Region</t>
        </is>
      </c>
      <c r="F5848" t="inlineStr">
        <is>
          <t>Rep_08</t>
        </is>
      </c>
      <c r="G5848" t="n">
        <v>2.66</v>
      </c>
      <c r="H5848" t="inlineStr">
        <is>
          <t>Contacted</t>
        </is>
      </c>
      <c r="I5848" t="inlineStr">
        <is>
          <t>Open</t>
        </is>
      </c>
      <c r="M5848">
        <f>VLOOKUP(H5848,'Stage Order'!$A$2:$B$8,2,FALSE)</f>
        <v/>
      </c>
      <c r="N5848">
        <f>IF(G5848&lt;=1,"1. Under 1 hour",IF(G5848&lt;=24,"2. 1-24 hours",IF(G5848&lt;=72,"3. 1-3 days","4. Over 3 days")))</f>
        <v/>
      </c>
      <c r="O5848">
        <f>TEXT(B5848,"YYYY-MM")</f>
        <v/>
      </c>
    </row>
    <row r="5849">
      <c r="A5849" t="inlineStr">
        <is>
          <t>LD-305847</t>
        </is>
      </c>
      <c r="B5849" t="inlineStr">
        <is>
          <t>2025-12-19 18:44:00</t>
        </is>
      </c>
      <c r="C5849" t="inlineStr">
        <is>
          <t>Social Media</t>
        </is>
      </c>
      <c r="D5849" t="inlineStr">
        <is>
          <t>Language Learning</t>
        </is>
      </c>
      <c r="E5849" t="inlineStr">
        <is>
          <t>West Region</t>
        </is>
      </c>
      <c r="F5849" t="inlineStr">
        <is>
          <t>Rep_03</t>
        </is>
      </c>
      <c r="G5849" t="n">
        <v>10.57</v>
      </c>
      <c r="H5849" t="inlineStr">
        <is>
          <t>Demo Completed</t>
        </is>
      </c>
      <c r="I5849" t="inlineStr">
        <is>
          <t>Lost</t>
        </is>
      </c>
      <c r="J5849" t="inlineStr">
        <is>
          <t>Price Objection</t>
        </is>
      </c>
      <c r="K5849" t="n">
        <v>365.62</v>
      </c>
      <c r="L5849" t="inlineStr">
        <is>
          <t>2026-02-04 07:20:21.510822</t>
        </is>
      </c>
      <c r="M5849">
        <f>VLOOKUP(H5849,'Stage Order'!$A$2:$B$8,2,FALSE)</f>
        <v/>
      </c>
      <c r="N5849">
        <f>IF(G5849&lt;=1,"1. Under 1 hour",IF(G5849&lt;=24,"2. 1-24 hours",IF(G5849&lt;=72,"3. 1-3 days","4. Over 3 days")))</f>
        <v/>
      </c>
      <c r="O5849">
        <f>TEXT(B5849,"YYYY-MM")</f>
        <v/>
      </c>
    </row>
    <row r="5850">
      <c r="A5850" t="inlineStr">
        <is>
          <t>LD-305848</t>
        </is>
      </c>
      <c r="B5850" t="inlineStr">
        <is>
          <t>2025-12-09 07:43:00</t>
        </is>
      </c>
      <c r="C5850" t="inlineStr">
        <is>
          <t>Paid Search</t>
        </is>
      </c>
      <c r="D5850" t="inlineStr">
        <is>
          <t>Study Abroad Prep</t>
        </is>
      </c>
      <c r="E5850" t="inlineStr">
        <is>
          <t>West Region</t>
        </is>
      </c>
      <c r="F5850" t="inlineStr">
        <is>
          <t>Rep_03</t>
        </is>
      </c>
      <c r="G5850" t="n">
        <v>2.25</v>
      </c>
      <c r="H5850" t="inlineStr">
        <is>
          <t>Contacted</t>
        </is>
      </c>
      <c r="I5850" t="inlineStr">
        <is>
          <t>Open</t>
        </is>
      </c>
      <c r="M5850">
        <f>VLOOKUP(H5850,'Stage Order'!$A$2:$B$8,2,FALSE)</f>
        <v/>
      </c>
      <c r="N5850">
        <f>IF(G5850&lt;=1,"1. Under 1 hour",IF(G5850&lt;=24,"2. 1-24 hours",IF(G5850&lt;=72,"3. 1-3 days","4. Over 3 days")))</f>
        <v/>
      </c>
      <c r="O5850">
        <f>TEXT(B5850,"YYYY-MM")</f>
        <v/>
      </c>
    </row>
    <row r="5851">
      <c r="A5851" t="inlineStr">
        <is>
          <t>LD-305849</t>
        </is>
      </c>
      <c r="B5851" t="inlineStr">
        <is>
          <t>2025-08-01 20:53:00</t>
        </is>
      </c>
      <c r="C5851" t="inlineStr">
        <is>
          <t>Paid Search</t>
        </is>
      </c>
      <c r="D5851" t="inlineStr">
        <is>
          <t>Study Abroad Prep</t>
        </is>
      </c>
      <c r="E5851" t="inlineStr">
        <is>
          <t>International</t>
        </is>
      </c>
      <c r="F5851" t="inlineStr">
        <is>
          <t>Rep_10</t>
        </is>
      </c>
      <c r="G5851" t="n">
        <v>1.12</v>
      </c>
      <c r="H5851" t="inlineStr">
        <is>
          <t>Lead</t>
        </is>
      </c>
      <c r="I5851" t="inlineStr">
        <is>
          <t>Open</t>
        </is>
      </c>
      <c r="M5851">
        <f>VLOOKUP(H5851,'Stage Order'!$A$2:$B$8,2,FALSE)</f>
        <v/>
      </c>
      <c r="N5851">
        <f>IF(G5851&lt;=1,"1. Under 1 hour",IF(G5851&lt;=24,"2. 1-24 hours",IF(G5851&lt;=72,"3. 1-3 days","4. Over 3 days")))</f>
        <v/>
      </c>
      <c r="O5851">
        <f>TEXT(B5851,"YYYY-MM")</f>
        <v/>
      </c>
    </row>
    <row r="5852">
      <c r="A5852" t="inlineStr">
        <is>
          <t>LD-305850</t>
        </is>
      </c>
      <c r="B5852" t="inlineStr">
        <is>
          <t>2026-04-16 19:57:00</t>
        </is>
      </c>
      <c r="C5852" t="inlineStr">
        <is>
          <t>Webinar</t>
        </is>
      </c>
      <c r="D5852" t="inlineStr">
        <is>
          <t>Competitive Exam Prep</t>
        </is>
      </c>
      <c r="E5852" t="inlineStr">
        <is>
          <t>North Region</t>
        </is>
      </c>
      <c r="F5852" t="inlineStr">
        <is>
          <t>Rep_11</t>
        </is>
      </c>
      <c r="G5852" t="n">
        <v>15.08</v>
      </c>
      <c r="H5852" t="inlineStr">
        <is>
          <t>Lead</t>
        </is>
      </c>
      <c r="I5852" t="inlineStr">
        <is>
          <t>Open</t>
        </is>
      </c>
      <c r="M5852">
        <f>VLOOKUP(H5852,'Stage Order'!$A$2:$B$8,2,FALSE)</f>
        <v/>
      </c>
      <c r="N5852">
        <f>IF(G5852&lt;=1,"1. Under 1 hour",IF(G5852&lt;=24,"2. 1-24 hours",IF(G5852&lt;=72,"3. 1-3 days","4. Over 3 days")))</f>
        <v/>
      </c>
      <c r="O5852">
        <f>TEXT(B5852,"YYYY-MM")</f>
        <v/>
      </c>
    </row>
    <row r="5853">
      <c r="A5853" t="inlineStr">
        <is>
          <t>LD-305851</t>
        </is>
      </c>
      <c r="B5853" t="inlineStr">
        <is>
          <t>2025-12-17 14:47:00</t>
        </is>
      </c>
      <c r="C5853" t="inlineStr">
        <is>
          <t>Paid Search</t>
        </is>
      </c>
      <c r="D5853" t="inlineStr">
        <is>
          <t>Study Abroad Prep</t>
        </is>
      </c>
      <c r="E5853" t="inlineStr">
        <is>
          <t>South Region</t>
        </is>
      </c>
      <c r="F5853" t="inlineStr">
        <is>
          <t>Rep_07</t>
        </is>
      </c>
      <c r="G5853" t="n">
        <v>2.23</v>
      </c>
      <c r="H5853" t="inlineStr">
        <is>
          <t>Demo Completed</t>
        </is>
      </c>
      <c r="I5853" t="inlineStr">
        <is>
          <t>Lost</t>
        </is>
      </c>
      <c r="J5853" t="inlineStr">
        <is>
          <t>Went With Competitor</t>
        </is>
      </c>
      <c r="K5853" t="n">
        <v>1417.33</v>
      </c>
      <c r="L5853" t="inlineStr">
        <is>
          <t>2026-01-26 02:37:02.359925</t>
        </is>
      </c>
      <c r="M5853">
        <f>VLOOKUP(H5853,'Stage Order'!$A$2:$B$8,2,FALSE)</f>
        <v/>
      </c>
      <c r="N5853">
        <f>IF(G5853&lt;=1,"1. Under 1 hour",IF(G5853&lt;=24,"2. 1-24 hours",IF(G5853&lt;=72,"3. 1-3 days","4. Over 3 days")))</f>
        <v/>
      </c>
      <c r="O5853">
        <f>TEXT(B5853,"YYYY-MM")</f>
        <v/>
      </c>
    </row>
    <row r="5854">
      <c r="A5854" t="inlineStr">
        <is>
          <t>LD-305852</t>
        </is>
      </c>
      <c r="B5854" t="inlineStr">
        <is>
          <t>2025-05-06 15:02:00</t>
        </is>
      </c>
      <c r="C5854" t="inlineStr">
        <is>
          <t>Organic Search</t>
        </is>
      </c>
      <c r="D5854" t="inlineStr">
        <is>
          <t>Language Learning</t>
        </is>
      </c>
      <c r="E5854" t="inlineStr">
        <is>
          <t>North Region</t>
        </is>
      </c>
      <c r="F5854" t="inlineStr">
        <is>
          <t>Rep_11</t>
        </is>
      </c>
      <c r="G5854" t="n">
        <v>4.04</v>
      </c>
      <c r="H5854" t="inlineStr">
        <is>
          <t>Demo Completed</t>
        </is>
      </c>
      <c r="I5854" t="inlineStr">
        <is>
          <t>Lost</t>
        </is>
      </c>
      <c r="J5854" t="inlineStr">
        <is>
          <t>No Response / Ghosted</t>
        </is>
      </c>
      <c r="K5854" t="n">
        <v>296.25</v>
      </c>
      <c r="L5854" t="inlineStr">
        <is>
          <t>2025-05-27 09:32:50.024259</t>
        </is>
      </c>
      <c r="M5854">
        <f>VLOOKUP(H5854,'Stage Order'!$A$2:$B$8,2,FALSE)</f>
        <v/>
      </c>
      <c r="N5854">
        <f>IF(G5854&lt;=1,"1. Under 1 hour",IF(G5854&lt;=24,"2. 1-24 hours",IF(G5854&lt;=72,"3. 1-3 days","4. Over 3 days")))</f>
        <v/>
      </c>
      <c r="O5854">
        <f>TEXT(B5854,"YYYY-MM")</f>
        <v/>
      </c>
    </row>
    <row r="5855">
      <c r="A5855" t="inlineStr">
        <is>
          <t>LD-305853</t>
        </is>
      </c>
      <c r="B5855" t="inlineStr">
        <is>
          <t>2025-08-11 20:04:00</t>
        </is>
      </c>
      <c r="C5855" t="inlineStr">
        <is>
          <t>Referral</t>
        </is>
      </c>
      <c r="D5855" t="inlineStr">
        <is>
          <t>Language Learning</t>
        </is>
      </c>
      <c r="E5855" t="inlineStr">
        <is>
          <t>South Region</t>
        </is>
      </c>
      <c r="F5855" t="inlineStr">
        <is>
          <t>Rep_12</t>
        </is>
      </c>
      <c r="G5855" t="n">
        <v>3.15</v>
      </c>
      <c r="H5855" t="inlineStr">
        <is>
          <t>Closed</t>
        </is>
      </c>
      <c r="I5855" t="inlineStr">
        <is>
          <t>Won</t>
        </is>
      </c>
      <c r="K5855" t="n">
        <v>379.49</v>
      </c>
      <c r="L5855" t="inlineStr">
        <is>
          <t>2025-09-28 06:11:13.057043</t>
        </is>
      </c>
      <c r="M5855">
        <f>VLOOKUP(H5855,'Stage Order'!$A$2:$B$8,2,FALSE)</f>
        <v/>
      </c>
      <c r="N5855">
        <f>IF(G5855&lt;=1,"1. Under 1 hour",IF(G5855&lt;=24,"2. 1-24 hours",IF(G5855&lt;=72,"3. 1-3 days","4. Over 3 days")))</f>
        <v/>
      </c>
      <c r="O5855">
        <f>TEXT(B5855,"YYYY-MM")</f>
        <v/>
      </c>
    </row>
    <row r="5856">
      <c r="A5856" t="inlineStr">
        <is>
          <t>LD-305854</t>
        </is>
      </c>
      <c r="B5856" t="inlineStr">
        <is>
          <t>2025-07-03 14:51:00</t>
        </is>
      </c>
      <c r="C5856" t="inlineStr">
        <is>
          <t>Webinar</t>
        </is>
      </c>
      <c r="D5856" t="inlineStr">
        <is>
          <t>Study Abroad Prep</t>
        </is>
      </c>
      <c r="E5856" t="inlineStr">
        <is>
          <t>South Region</t>
        </is>
      </c>
      <c r="F5856" t="inlineStr">
        <is>
          <t>Rep_07</t>
        </is>
      </c>
      <c r="G5856" t="n">
        <v>1.81</v>
      </c>
      <c r="H5856" t="inlineStr">
        <is>
          <t>Contacted</t>
        </is>
      </c>
      <c r="I5856" t="inlineStr">
        <is>
          <t>Open</t>
        </is>
      </c>
      <c r="M5856">
        <f>VLOOKUP(H5856,'Stage Order'!$A$2:$B$8,2,FALSE)</f>
        <v/>
      </c>
      <c r="N5856">
        <f>IF(G5856&lt;=1,"1. Under 1 hour",IF(G5856&lt;=24,"2. 1-24 hours",IF(G5856&lt;=72,"3. 1-3 days","4. Over 3 days")))</f>
        <v/>
      </c>
      <c r="O5856">
        <f>TEXT(B5856,"YYYY-MM")</f>
        <v/>
      </c>
    </row>
    <row r="5857">
      <c r="A5857" t="inlineStr">
        <is>
          <t>LD-305855</t>
        </is>
      </c>
      <c r="B5857" t="inlineStr">
        <is>
          <t>2026-04-01 17:22:00</t>
        </is>
      </c>
      <c r="C5857" t="inlineStr">
        <is>
          <t>Webinar</t>
        </is>
      </c>
      <c r="D5857" t="inlineStr">
        <is>
          <t>Competitive Exam Prep</t>
        </is>
      </c>
      <c r="E5857" t="inlineStr">
        <is>
          <t>International</t>
        </is>
      </c>
      <c r="F5857" t="inlineStr">
        <is>
          <t>Rep_15</t>
        </is>
      </c>
      <c r="G5857" t="n">
        <v>1.13</v>
      </c>
      <c r="H5857" t="inlineStr">
        <is>
          <t>Closed</t>
        </is>
      </c>
      <c r="I5857" t="inlineStr">
        <is>
          <t>Won</t>
        </is>
      </c>
      <c r="K5857" t="n">
        <v>1117.09</v>
      </c>
      <c r="L5857" t="inlineStr">
        <is>
          <t>2026-04-23 08:56:49.597293</t>
        </is>
      </c>
      <c r="M5857">
        <f>VLOOKUP(H5857,'Stage Order'!$A$2:$B$8,2,FALSE)</f>
        <v/>
      </c>
      <c r="N5857">
        <f>IF(G5857&lt;=1,"1. Under 1 hour",IF(G5857&lt;=24,"2. 1-24 hours",IF(G5857&lt;=72,"3. 1-3 days","4. Over 3 days")))</f>
        <v/>
      </c>
      <c r="O5857">
        <f>TEXT(B5857,"YYYY-MM")</f>
        <v/>
      </c>
    </row>
    <row r="5858">
      <c r="A5858" t="inlineStr">
        <is>
          <t>LD-305856</t>
        </is>
      </c>
      <c r="B5858" t="inlineStr">
        <is>
          <t>2025-04-02 17:11:00</t>
        </is>
      </c>
      <c r="C5858" t="inlineStr">
        <is>
          <t>Webinar</t>
        </is>
      </c>
      <c r="D5858" t="inlineStr">
        <is>
          <t>Competitive Exam Prep</t>
        </is>
      </c>
      <c r="E5858" t="inlineStr">
        <is>
          <t>North Region</t>
        </is>
      </c>
      <c r="F5858" t="inlineStr">
        <is>
          <t>Rep_11</t>
        </is>
      </c>
      <c r="G5858" t="n">
        <v>3.28</v>
      </c>
      <c r="H5858" t="inlineStr">
        <is>
          <t>Contacted</t>
        </is>
      </c>
      <c r="I5858" t="inlineStr">
        <is>
          <t>Open</t>
        </is>
      </c>
      <c r="M5858">
        <f>VLOOKUP(H5858,'Stage Order'!$A$2:$B$8,2,FALSE)</f>
        <v/>
      </c>
      <c r="N5858">
        <f>IF(G5858&lt;=1,"1. Under 1 hour",IF(G5858&lt;=24,"2. 1-24 hours",IF(G5858&lt;=72,"3. 1-3 days","4. Over 3 days")))</f>
        <v/>
      </c>
      <c r="O5858">
        <f>TEXT(B5858,"YYYY-MM")</f>
        <v/>
      </c>
    </row>
    <row r="5859">
      <c r="A5859" t="inlineStr">
        <is>
          <t>LD-305857</t>
        </is>
      </c>
      <c r="B5859" t="inlineStr">
        <is>
          <t>2026-04-18 13:20:00</t>
        </is>
      </c>
      <c r="C5859" t="inlineStr">
        <is>
          <t>Paid Search</t>
        </is>
      </c>
      <c r="D5859" t="inlineStr">
        <is>
          <t>Competitive Exam Prep</t>
        </is>
      </c>
      <c r="E5859" t="inlineStr">
        <is>
          <t>West Region</t>
        </is>
      </c>
      <c r="F5859" t="inlineStr">
        <is>
          <t>Rep_13</t>
        </is>
      </c>
      <c r="G5859" t="n">
        <v>5.22</v>
      </c>
      <c r="H5859" t="inlineStr">
        <is>
          <t>Lead</t>
        </is>
      </c>
      <c r="I5859" t="inlineStr">
        <is>
          <t>Open</t>
        </is>
      </c>
      <c r="M5859">
        <f>VLOOKUP(H5859,'Stage Order'!$A$2:$B$8,2,FALSE)</f>
        <v/>
      </c>
      <c r="N5859">
        <f>IF(G5859&lt;=1,"1. Under 1 hour",IF(G5859&lt;=24,"2. 1-24 hours",IF(G5859&lt;=72,"3. 1-3 days","4. Over 3 days")))</f>
        <v/>
      </c>
      <c r="O5859">
        <f>TEXT(B5859,"YYYY-MM")</f>
        <v/>
      </c>
    </row>
    <row r="5860">
      <c r="A5860" t="inlineStr">
        <is>
          <t>LD-305858</t>
        </is>
      </c>
      <c r="B5860" t="inlineStr">
        <is>
          <t>2025-11-18 18:49:00</t>
        </is>
      </c>
      <c r="C5860" t="inlineStr">
        <is>
          <t>Paid Search</t>
        </is>
      </c>
      <c r="D5860" t="inlineStr">
        <is>
          <t>Language Learning</t>
        </is>
      </c>
      <c r="E5860" t="inlineStr">
        <is>
          <t>West Region</t>
        </is>
      </c>
      <c r="F5860" t="inlineStr">
        <is>
          <t>Rep_13</t>
        </is>
      </c>
      <c r="G5860" t="n">
        <v>11.9</v>
      </c>
      <c r="H5860" t="inlineStr">
        <is>
          <t>Demo Completed</t>
        </is>
      </c>
      <c r="I5860" t="inlineStr">
        <is>
          <t>Lost</t>
        </is>
      </c>
      <c r="J5860" t="inlineStr">
        <is>
          <t>Price Objection</t>
        </is>
      </c>
      <c r="K5860" t="n">
        <v>390.76</v>
      </c>
      <c r="L5860" t="inlineStr">
        <is>
          <t>2025-12-08 02:35:31.537701</t>
        </is>
      </c>
      <c r="M5860">
        <f>VLOOKUP(H5860,'Stage Order'!$A$2:$B$8,2,FALSE)</f>
        <v/>
      </c>
      <c r="N5860">
        <f>IF(G5860&lt;=1,"1. Under 1 hour",IF(G5860&lt;=24,"2. 1-24 hours",IF(G5860&lt;=72,"3. 1-3 days","4. Over 3 days")))</f>
        <v/>
      </c>
      <c r="O5860">
        <f>TEXT(B5860,"YYYY-MM")</f>
        <v/>
      </c>
    </row>
    <row r="5861">
      <c r="A5861" t="inlineStr">
        <is>
          <t>LD-305859</t>
        </is>
      </c>
      <c r="B5861" t="inlineStr">
        <is>
          <t>2025-04-23 08:53:00</t>
        </is>
      </c>
      <c r="C5861" t="inlineStr">
        <is>
          <t>Webinar</t>
        </is>
      </c>
      <c r="D5861" t="inlineStr">
        <is>
          <t>Coding for Kids</t>
        </is>
      </c>
      <c r="E5861" t="inlineStr">
        <is>
          <t>South Region</t>
        </is>
      </c>
      <c r="F5861" t="inlineStr">
        <is>
          <t>Rep_07</t>
        </is>
      </c>
      <c r="G5861" t="n">
        <v>2.55</v>
      </c>
      <c r="H5861" t="inlineStr">
        <is>
          <t>Contacted</t>
        </is>
      </c>
      <c r="I5861" t="inlineStr">
        <is>
          <t>Open</t>
        </is>
      </c>
      <c r="M5861">
        <f>VLOOKUP(H5861,'Stage Order'!$A$2:$B$8,2,FALSE)</f>
        <v/>
      </c>
      <c r="N5861">
        <f>IF(G5861&lt;=1,"1. Under 1 hour",IF(G5861&lt;=24,"2. 1-24 hours",IF(G5861&lt;=72,"3. 1-3 days","4. Over 3 days")))</f>
        <v/>
      </c>
      <c r="O5861">
        <f>TEXT(B5861,"YYYY-MM")</f>
        <v/>
      </c>
    </row>
    <row r="5862">
      <c r="A5862" t="inlineStr">
        <is>
          <t>LD-305860</t>
        </is>
      </c>
      <c r="B5862" t="inlineStr">
        <is>
          <t>2025-10-10 11:25:00</t>
        </is>
      </c>
      <c r="C5862" t="inlineStr">
        <is>
          <t>Social Media</t>
        </is>
      </c>
      <c r="D5862" t="inlineStr">
        <is>
          <t>Language Learning</t>
        </is>
      </c>
      <c r="E5862" t="inlineStr">
        <is>
          <t>North Region</t>
        </is>
      </c>
      <c r="F5862" t="inlineStr">
        <is>
          <t>Rep_06</t>
        </is>
      </c>
      <c r="G5862" t="n">
        <v>3.18</v>
      </c>
      <c r="H5862" t="inlineStr">
        <is>
          <t>Lead</t>
        </is>
      </c>
      <c r="I5862" t="inlineStr">
        <is>
          <t>Open</t>
        </is>
      </c>
      <c r="M5862">
        <f>VLOOKUP(H5862,'Stage Order'!$A$2:$B$8,2,FALSE)</f>
        <v/>
      </c>
      <c r="N5862">
        <f>IF(G5862&lt;=1,"1. Under 1 hour",IF(G5862&lt;=24,"2. 1-24 hours",IF(G5862&lt;=72,"3. 1-3 days","4. Over 3 days")))</f>
        <v/>
      </c>
      <c r="O5862">
        <f>TEXT(B5862,"YYYY-MM")</f>
        <v/>
      </c>
    </row>
    <row r="5863">
      <c r="A5863" t="inlineStr">
        <is>
          <t>LD-305861</t>
        </is>
      </c>
      <c r="B5863" t="inlineStr">
        <is>
          <t>2025-03-31 08:26:00</t>
        </is>
      </c>
      <c r="C5863" t="inlineStr">
        <is>
          <t>Cold Outreach</t>
        </is>
      </c>
      <c r="D5863" t="inlineStr">
        <is>
          <t>K-12 Math</t>
        </is>
      </c>
      <c r="E5863" t="inlineStr">
        <is>
          <t>West Region</t>
        </is>
      </c>
      <c r="F5863" t="inlineStr">
        <is>
          <t>Rep_03</t>
        </is>
      </c>
      <c r="G5863" t="n">
        <v>4.98</v>
      </c>
      <c r="H5863" t="inlineStr">
        <is>
          <t>Lead</t>
        </is>
      </c>
      <c r="I5863" t="inlineStr">
        <is>
          <t>Open</t>
        </is>
      </c>
      <c r="M5863">
        <f>VLOOKUP(H5863,'Stage Order'!$A$2:$B$8,2,FALSE)</f>
        <v/>
      </c>
      <c r="N5863">
        <f>IF(G5863&lt;=1,"1. Under 1 hour",IF(G5863&lt;=24,"2. 1-24 hours",IF(G5863&lt;=72,"3. 1-3 days","4. Over 3 days")))</f>
        <v/>
      </c>
      <c r="O5863">
        <f>TEXT(B5863,"YYYY-MM")</f>
        <v/>
      </c>
    </row>
    <row r="5864">
      <c r="A5864" t="inlineStr">
        <is>
          <t>LD-305862</t>
        </is>
      </c>
      <c r="B5864" t="inlineStr">
        <is>
          <t>2026-04-16 11:54:00</t>
        </is>
      </c>
      <c r="C5864" t="inlineStr">
        <is>
          <t>Paid Search</t>
        </is>
      </c>
      <c r="D5864" t="inlineStr">
        <is>
          <t>K-12 Math</t>
        </is>
      </c>
      <c r="E5864" t="inlineStr">
        <is>
          <t>West Region</t>
        </is>
      </c>
      <c r="F5864" t="inlineStr">
        <is>
          <t>Rep_03</t>
        </is>
      </c>
      <c r="G5864" t="n">
        <v>1.91</v>
      </c>
      <c r="H5864" t="inlineStr">
        <is>
          <t>Demo Completed</t>
        </is>
      </c>
      <c r="I5864" t="inlineStr">
        <is>
          <t>Lost</t>
        </is>
      </c>
      <c r="J5864" t="inlineStr">
        <is>
          <t>Price Objection</t>
        </is>
      </c>
      <c r="K5864" t="n">
        <v>448.17</v>
      </c>
      <c r="L5864" t="inlineStr">
        <is>
          <t>2026-05-22 03:23:49.691727</t>
        </is>
      </c>
      <c r="M5864">
        <f>VLOOKUP(H5864,'Stage Order'!$A$2:$B$8,2,FALSE)</f>
        <v/>
      </c>
      <c r="N5864">
        <f>IF(G5864&lt;=1,"1. Under 1 hour",IF(G5864&lt;=24,"2. 1-24 hours",IF(G5864&lt;=72,"3. 1-3 days","4. Over 3 days")))</f>
        <v/>
      </c>
      <c r="O5864">
        <f>TEXT(B5864,"YYYY-MM")</f>
        <v/>
      </c>
    </row>
    <row r="5865">
      <c r="A5865" t="inlineStr">
        <is>
          <t>LD-305863</t>
        </is>
      </c>
      <c r="B5865" t="inlineStr">
        <is>
          <t>2025-11-28 08:23:00</t>
        </is>
      </c>
      <c r="C5865" t="inlineStr">
        <is>
          <t>Social Media</t>
        </is>
      </c>
      <c r="D5865" t="inlineStr">
        <is>
          <t>K-12 Math</t>
        </is>
      </c>
      <c r="E5865" t="inlineStr">
        <is>
          <t>East Region</t>
        </is>
      </c>
      <c r="F5865" t="inlineStr">
        <is>
          <t>Rep_09</t>
        </is>
      </c>
      <c r="G5865" t="n">
        <v>1.21</v>
      </c>
      <c r="H5865" t="inlineStr">
        <is>
          <t>Contacted</t>
        </is>
      </c>
      <c r="I5865" t="inlineStr">
        <is>
          <t>Open</t>
        </is>
      </c>
      <c r="M5865">
        <f>VLOOKUP(H5865,'Stage Order'!$A$2:$B$8,2,FALSE)</f>
        <v/>
      </c>
      <c r="N5865">
        <f>IF(G5865&lt;=1,"1. Under 1 hour",IF(G5865&lt;=24,"2. 1-24 hours",IF(G5865&lt;=72,"3. 1-3 days","4. Over 3 days")))</f>
        <v/>
      </c>
      <c r="O5865">
        <f>TEXT(B5865,"YYYY-MM")</f>
        <v/>
      </c>
    </row>
    <row r="5866">
      <c r="A5866" t="inlineStr">
        <is>
          <t>LD-305864</t>
        </is>
      </c>
      <c r="B5866" t="inlineStr">
        <is>
          <t>2025-10-31 17:13:00</t>
        </is>
      </c>
      <c r="C5866" t="inlineStr">
        <is>
          <t>Partner Channel</t>
        </is>
      </c>
      <c r="D5866" t="inlineStr">
        <is>
          <t>Language Learning</t>
        </is>
      </c>
      <c r="E5866" t="inlineStr">
        <is>
          <t>North Region</t>
        </is>
      </c>
      <c r="F5866" t="inlineStr">
        <is>
          <t>Rep_11</t>
        </is>
      </c>
      <c r="G5866" t="n">
        <v>4.04</v>
      </c>
      <c r="H5866" t="inlineStr">
        <is>
          <t>Demo Completed</t>
        </is>
      </c>
      <c r="I5866" t="inlineStr">
        <is>
          <t>Lost</t>
        </is>
      </c>
      <c r="J5866" t="inlineStr">
        <is>
          <t>Went With Competitor</t>
        </is>
      </c>
      <c r="K5866" t="n">
        <v>366.82</v>
      </c>
      <c r="L5866" t="inlineStr">
        <is>
          <t>2025-12-07 18:53:32.495052</t>
        </is>
      </c>
      <c r="M5866">
        <f>VLOOKUP(H5866,'Stage Order'!$A$2:$B$8,2,FALSE)</f>
        <v/>
      </c>
      <c r="N5866">
        <f>IF(G5866&lt;=1,"1. Under 1 hour",IF(G5866&lt;=24,"2. 1-24 hours",IF(G5866&lt;=72,"3. 1-3 days","4. Over 3 days")))</f>
        <v/>
      </c>
      <c r="O5866">
        <f>TEXT(B5866,"YYYY-MM")</f>
        <v/>
      </c>
    </row>
    <row r="5867">
      <c r="A5867" t="inlineStr">
        <is>
          <t>LD-305865</t>
        </is>
      </c>
      <c r="B5867" t="inlineStr">
        <is>
          <t>2025-08-15 16:45:00</t>
        </is>
      </c>
      <c r="C5867" t="inlineStr">
        <is>
          <t>Paid Search</t>
        </is>
      </c>
      <c r="D5867" t="inlineStr">
        <is>
          <t>Language Learning</t>
        </is>
      </c>
      <c r="E5867" t="inlineStr">
        <is>
          <t>International</t>
        </is>
      </c>
      <c r="F5867" t="inlineStr">
        <is>
          <t>Rep_15</t>
        </is>
      </c>
      <c r="G5867" t="n">
        <v>3.09</v>
      </c>
      <c r="H5867" t="inlineStr">
        <is>
          <t>Contacted</t>
        </is>
      </c>
      <c r="I5867" t="inlineStr">
        <is>
          <t>Open</t>
        </is>
      </c>
      <c r="M5867">
        <f>VLOOKUP(H5867,'Stage Order'!$A$2:$B$8,2,FALSE)</f>
        <v/>
      </c>
      <c r="N5867">
        <f>IF(G5867&lt;=1,"1. Under 1 hour",IF(G5867&lt;=24,"2. 1-24 hours",IF(G5867&lt;=72,"3. 1-3 days","4. Over 3 days")))</f>
        <v/>
      </c>
      <c r="O5867">
        <f>TEXT(B5867,"YYYY-MM")</f>
        <v/>
      </c>
    </row>
    <row r="5868">
      <c r="A5868" t="inlineStr">
        <is>
          <t>LD-305866</t>
        </is>
      </c>
      <c r="B5868" t="inlineStr">
        <is>
          <t>2026-06-01 12:37:00</t>
        </is>
      </c>
      <c r="C5868" t="inlineStr">
        <is>
          <t>Social Media</t>
        </is>
      </c>
      <c r="D5868" t="inlineStr">
        <is>
          <t>Competitive Exam Prep</t>
        </is>
      </c>
      <c r="E5868" t="inlineStr">
        <is>
          <t>West Region</t>
        </is>
      </c>
      <c r="F5868" t="inlineStr">
        <is>
          <t>Rep_03</t>
        </is>
      </c>
      <c r="G5868" t="n">
        <v>5.48</v>
      </c>
      <c r="H5868" t="inlineStr">
        <is>
          <t>Lead</t>
        </is>
      </c>
      <c r="I5868" t="inlineStr">
        <is>
          <t>Open</t>
        </is>
      </c>
      <c r="M5868">
        <f>VLOOKUP(H5868,'Stage Order'!$A$2:$B$8,2,FALSE)</f>
        <v/>
      </c>
      <c r="N5868">
        <f>IF(G5868&lt;=1,"1. Under 1 hour",IF(G5868&lt;=24,"2. 1-24 hours",IF(G5868&lt;=72,"3. 1-3 days","4. Over 3 days")))</f>
        <v/>
      </c>
      <c r="O5868">
        <f>TEXT(B5868,"YYYY-MM")</f>
        <v/>
      </c>
    </row>
    <row r="5869">
      <c r="A5869" t="inlineStr">
        <is>
          <t>LD-305867</t>
        </is>
      </c>
      <c r="B5869" t="inlineStr">
        <is>
          <t>2025-06-13 16:28:00</t>
        </is>
      </c>
      <c r="C5869" t="inlineStr">
        <is>
          <t>Webinar</t>
        </is>
      </c>
      <c r="D5869" t="inlineStr">
        <is>
          <t>K-12 Math</t>
        </is>
      </c>
      <c r="E5869" t="inlineStr">
        <is>
          <t>South Region</t>
        </is>
      </c>
      <c r="F5869" t="inlineStr">
        <is>
          <t>Rep_02</t>
        </is>
      </c>
      <c r="G5869" t="n">
        <v>8.109999999999999</v>
      </c>
      <c r="H5869" t="inlineStr">
        <is>
          <t>Closed</t>
        </is>
      </c>
      <c r="I5869" t="inlineStr">
        <is>
          <t>Won</t>
        </is>
      </c>
      <c r="K5869" t="n">
        <v>509.77</v>
      </c>
      <c r="L5869" t="inlineStr">
        <is>
          <t>2025-07-23 08:38:48.483002</t>
        </is>
      </c>
      <c r="M5869">
        <f>VLOOKUP(H5869,'Stage Order'!$A$2:$B$8,2,FALSE)</f>
        <v/>
      </c>
      <c r="N5869">
        <f>IF(G5869&lt;=1,"1. Under 1 hour",IF(G5869&lt;=24,"2. 1-24 hours",IF(G5869&lt;=72,"3. 1-3 days","4. Over 3 days")))</f>
        <v/>
      </c>
      <c r="O5869">
        <f>TEXT(B5869,"YYYY-MM")</f>
        <v/>
      </c>
    </row>
    <row r="5870">
      <c r="A5870" t="inlineStr">
        <is>
          <t>LD-305868</t>
        </is>
      </c>
      <c r="B5870" t="inlineStr">
        <is>
          <t>2026-02-22 16:43:00</t>
        </is>
      </c>
      <c r="C5870" t="inlineStr">
        <is>
          <t>Referral</t>
        </is>
      </c>
      <c r="D5870" t="inlineStr">
        <is>
          <t>Competitive Exam Prep</t>
        </is>
      </c>
      <c r="E5870" t="inlineStr">
        <is>
          <t>North Region</t>
        </is>
      </c>
      <c r="F5870" t="inlineStr">
        <is>
          <t>Rep_06</t>
        </is>
      </c>
      <c r="G5870" t="n">
        <v>4.61</v>
      </c>
      <c r="H5870" t="inlineStr">
        <is>
          <t>Closed</t>
        </is>
      </c>
      <c r="I5870" t="inlineStr">
        <is>
          <t>Won</t>
        </is>
      </c>
      <c r="K5870" t="n">
        <v>1152.05</v>
      </c>
      <c r="L5870" t="inlineStr">
        <is>
          <t>2026-03-28 20:16:36.490808</t>
        </is>
      </c>
      <c r="M5870">
        <f>VLOOKUP(H5870,'Stage Order'!$A$2:$B$8,2,FALSE)</f>
        <v/>
      </c>
      <c r="N5870">
        <f>IF(G5870&lt;=1,"1. Under 1 hour",IF(G5870&lt;=24,"2. 1-24 hours",IF(G5870&lt;=72,"3. 1-3 days","4. Over 3 days")))</f>
        <v/>
      </c>
      <c r="O5870">
        <f>TEXT(B5870,"YYYY-MM")</f>
        <v/>
      </c>
    </row>
    <row r="5871">
      <c r="A5871" t="inlineStr">
        <is>
          <t>LD-305869</t>
        </is>
      </c>
      <c r="B5871" t="inlineStr">
        <is>
          <t>2026-05-11 16:55:00</t>
        </is>
      </c>
      <c r="C5871" t="inlineStr">
        <is>
          <t>Partner Channel</t>
        </is>
      </c>
      <c r="D5871" t="inlineStr">
        <is>
          <t>Coding for Kids</t>
        </is>
      </c>
      <c r="E5871" t="inlineStr">
        <is>
          <t>International</t>
        </is>
      </c>
      <c r="F5871" t="inlineStr">
        <is>
          <t>Rep_05</t>
        </is>
      </c>
      <c r="G5871" t="n">
        <v>1.87</v>
      </c>
      <c r="H5871" t="inlineStr">
        <is>
          <t>Demo Completed</t>
        </is>
      </c>
      <c r="I5871" t="inlineStr">
        <is>
          <t>Lost</t>
        </is>
      </c>
      <c r="J5871" t="inlineStr">
        <is>
          <t>No Response / Ghosted</t>
        </is>
      </c>
      <c r="K5871" t="n">
        <v>768.55</v>
      </c>
      <c r="L5871" t="inlineStr">
        <is>
          <t>2026-06-01 14:21:37.198170</t>
        </is>
      </c>
      <c r="M5871">
        <f>VLOOKUP(H5871,'Stage Order'!$A$2:$B$8,2,FALSE)</f>
        <v/>
      </c>
      <c r="N5871">
        <f>IF(G5871&lt;=1,"1. Under 1 hour",IF(G5871&lt;=24,"2. 1-24 hours",IF(G5871&lt;=72,"3. 1-3 days","4. Over 3 days")))</f>
        <v/>
      </c>
      <c r="O5871">
        <f>TEXT(B5871,"YYYY-MM")</f>
        <v/>
      </c>
    </row>
    <row r="5872">
      <c r="A5872" t="inlineStr">
        <is>
          <t>LD-305870</t>
        </is>
      </c>
      <c r="B5872" t="inlineStr">
        <is>
          <t>2026-06-19 10:07:00</t>
        </is>
      </c>
      <c r="C5872" t="inlineStr">
        <is>
          <t>Partner Channel</t>
        </is>
      </c>
      <c r="D5872" t="inlineStr">
        <is>
          <t>Coding for Kids</t>
        </is>
      </c>
      <c r="E5872" t="inlineStr">
        <is>
          <t>West Region</t>
        </is>
      </c>
      <c r="F5872" t="inlineStr">
        <is>
          <t>Rep_03</t>
        </is>
      </c>
      <c r="G5872" t="n">
        <v>3.06</v>
      </c>
      <c r="H5872" t="inlineStr">
        <is>
          <t>Contacted</t>
        </is>
      </c>
      <c r="I5872" t="inlineStr">
        <is>
          <t>Open</t>
        </is>
      </c>
      <c r="M5872">
        <f>VLOOKUP(H5872,'Stage Order'!$A$2:$B$8,2,FALSE)</f>
        <v/>
      </c>
      <c r="N5872">
        <f>IF(G5872&lt;=1,"1. Under 1 hour",IF(G5872&lt;=24,"2. 1-24 hours",IF(G5872&lt;=72,"3. 1-3 days","4. Over 3 days")))</f>
        <v/>
      </c>
      <c r="O5872">
        <f>TEXT(B5872,"YYYY-MM")</f>
        <v/>
      </c>
    </row>
    <row r="5873">
      <c r="A5873" t="inlineStr">
        <is>
          <t>LD-305871</t>
        </is>
      </c>
      <c r="B5873" t="inlineStr">
        <is>
          <t>2026-01-23 15:41:00</t>
        </is>
      </c>
      <c r="C5873" t="inlineStr">
        <is>
          <t>Organic Search</t>
        </is>
      </c>
      <c r="D5873" t="inlineStr">
        <is>
          <t>Study Abroad Prep</t>
        </is>
      </c>
      <c r="E5873" t="inlineStr">
        <is>
          <t>West Region</t>
        </is>
      </c>
      <c r="F5873" t="inlineStr">
        <is>
          <t>Rep_13</t>
        </is>
      </c>
      <c r="G5873" t="n">
        <v>2.86</v>
      </c>
      <c r="H5873" t="inlineStr">
        <is>
          <t>Closed</t>
        </is>
      </c>
      <c r="I5873" t="inlineStr">
        <is>
          <t>Won</t>
        </is>
      </c>
      <c r="K5873" t="n">
        <v>1420.67</v>
      </c>
      <c r="L5873" t="inlineStr">
        <is>
          <t>2026-03-19 11:42:24.685814</t>
        </is>
      </c>
      <c r="M5873">
        <f>VLOOKUP(H5873,'Stage Order'!$A$2:$B$8,2,FALSE)</f>
        <v/>
      </c>
      <c r="N5873">
        <f>IF(G5873&lt;=1,"1. Under 1 hour",IF(G5873&lt;=24,"2. 1-24 hours",IF(G5873&lt;=72,"3. 1-3 days","4. Over 3 days")))</f>
        <v/>
      </c>
      <c r="O5873">
        <f>TEXT(B5873,"YYYY-MM")</f>
        <v/>
      </c>
    </row>
    <row r="5874">
      <c r="A5874" t="inlineStr">
        <is>
          <t>LD-305872</t>
        </is>
      </c>
      <c r="B5874" t="inlineStr">
        <is>
          <t>2025-01-17 12:33:00</t>
        </is>
      </c>
      <c r="C5874" t="inlineStr">
        <is>
          <t>Paid Search</t>
        </is>
      </c>
      <c r="D5874" t="inlineStr">
        <is>
          <t>Language Learning</t>
        </is>
      </c>
      <c r="E5874" t="inlineStr">
        <is>
          <t>South Region</t>
        </is>
      </c>
      <c r="F5874" t="inlineStr">
        <is>
          <t>Rep_07</t>
        </is>
      </c>
      <c r="G5874" t="n">
        <v>2.78</v>
      </c>
      <c r="H5874" t="inlineStr">
        <is>
          <t>Demo Scheduled</t>
        </is>
      </c>
      <c r="I5874" t="inlineStr">
        <is>
          <t>Open</t>
        </is>
      </c>
      <c r="M5874">
        <f>VLOOKUP(H5874,'Stage Order'!$A$2:$B$8,2,FALSE)</f>
        <v/>
      </c>
      <c r="N5874">
        <f>IF(G5874&lt;=1,"1. Under 1 hour",IF(G5874&lt;=24,"2. 1-24 hours",IF(G5874&lt;=72,"3. 1-3 days","4. Over 3 days")))</f>
        <v/>
      </c>
      <c r="O5874">
        <f>TEXT(B5874,"YYYY-MM")</f>
        <v/>
      </c>
    </row>
    <row r="5875">
      <c r="A5875" t="inlineStr">
        <is>
          <t>LD-305873</t>
        </is>
      </c>
      <c r="B5875" t="inlineStr">
        <is>
          <t>2025-11-28 16:13:00</t>
        </is>
      </c>
      <c r="C5875" t="inlineStr">
        <is>
          <t>Partner Channel</t>
        </is>
      </c>
      <c r="D5875" t="inlineStr">
        <is>
          <t>Language Learning</t>
        </is>
      </c>
      <c r="E5875" t="inlineStr">
        <is>
          <t>North Region</t>
        </is>
      </c>
      <c r="F5875" t="inlineStr">
        <is>
          <t>Rep_06</t>
        </is>
      </c>
      <c r="G5875" t="n">
        <v>8.390000000000001</v>
      </c>
      <c r="H5875" t="inlineStr">
        <is>
          <t>Contacted</t>
        </is>
      </c>
      <c r="I5875" t="inlineStr">
        <is>
          <t>Open</t>
        </is>
      </c>
      <c r="M5875">
        <f>VLOOKUP(H5875,'Stage Order'!$A$2:$B$8,2,FALSE)</f>
        <v/>
      </c>
      <c r="N5875">
        <f>IF(G5875&lt;=1,"1. Under 1 hour",IF(G5875&lt;=24,"2. 1-24 hours",IF(G5875&lt;=72,"3. 1-3 days","4. Over 3 days")))</f>
        <v/>
      </c>
      <c r="O5875">
        <f>TEXT(B5875,"YYYY-MM")</f>
        <v/>
      </c>
    </row>
    <row r="5876">
      <c r="A5876" t="inlineStr">
        <is>
          <t>LD-305874</t>
        </is>
      </c>
      <c r="B5876" t="inlineStr">
        <is>
          <t>2026-05-01 12:42:00</t>
        </is>
      </c>
      <c r="C5876" t="inlineStr">
        <is>
          <t>Social Media</t>
        </is>
      </c>
      <c r="D5876" t="inlineStr">
        <is>
          <t>Competitive Exam Prep</t>
        </is>
      </c>
      <c r="E5876" t="inlineStr">
        <is>
          <t>International</t>
        </is>
      </c>
      <c r="F5876" t="inlineStr">
        <is>
          <t>Rep_05</t>
        </is>
      </c>
      <c r="G5876" t="n">
        <v>2.09</v>
      </c>
      <c r="H5876" t="inlineStr">
        <is>
          <t>Contacted</t>
        </is>
      </c>
      <c r="I5876" t="inlineStr">
        <is>
          <t>Open</t>
        </is>
      </c>
      <c r="M5876">
        <f>VLOOKUP(H5876,'Stage Order'!$A$2:$B$8,2,FALSE)</f>
        <v/>
      </c>
      <c r="N5876">
        <f>IF(G5876&lt;=1,"1. Under 1 hour",IF(G5876&lt;=24,"2. 1-24 hours",IF(G5876&lt;=72,"3. 1-3 days","4. Over 3 days")))</f>
        <v/>
      </c>
      <c r="O5876">
        <f>TEXT(B5876,"YYYY-MM")</f>
        <v/>
      </c>
    </row>
    <row r="5877">
      <c r="A5877" t="inlineStr">
        <is>
          <t>LD-305875</t>
        </is>
      </c>
      <c r="B5877" t="inlineStr">
        <is>
          <t>2026-01-08 19:52:00</t>
        </is>
      </c>
      <c r="C5877" t="inlineStr">
        <is>
          <t>Cold Outreach</t>
        </is>
      </c>
      <c r="D5877" t="inlineStr">
        <is>
          <t>K-12 Math</t>
        </is>
      </c>
      <c r="E5877" t="inlineStr">
        <is>
          <t>South Region</t>
        </is>
      </c>
      <c r="F5877" t="inlineStr">
        <is>
          <t>Rep_02</t>
        </is>
      </c>
      <c r="G5877" t="n">
        <v>18.3</v>
      </c>
      <c r="H5877" t="inlineStr">
        <is>
          <t>Contacted</t>
        </is>
      </c>
      <c r="I5877" t="inlineStr">
        <is>
          <t>Open</t>
        </is>
      </c>
      <c r="M5877">
        <f>VLOOKUP(H5877,'Stage Order'!$A$2:$B$8,2,FALSE)</f>
        <v/>
      </c>
      <c r="N5877">
        <f>IF(G5877&lt;=1,"1. Under 1 hour",IF(G5877&lt;=24,"2. 1-24 hours",IF(G5877&lt;=72,"3. 1-3 days","4. Over 3 days")))</f>
        <v/>
      </c>
      <c r="O5877">
        <f>TEXT(B5877,"YYYY-MM")</f>
        <v/>
      </c>
    </row>
    <row r="5878">
      <c r="A5878" t="inlineStr">
        <is>
          <t>LD-305876</t>
        </is>
      </c>
      <c r="B5878" t="inlineStr">
        <is>
          <t>2025-12-25 18:57:00</t>
        </is>
      </c>
      <c r="C5878" t="inlineStr">
        <is>
          <t>Organic Search</t>
        </is>
      </c>
      <c r="D5878" t="inlineStr">
        <is>
          <t>Competitive Exam Prep</t>
        </is>
      </c>
      <c r="E5878" t="inlineStr">
        <is>
          <t>West Region</t>
        </is>
      </c>
      <c r="F5878" t="inlineStr">
        <is>
          <t>Rep_08</t>
        </is>
      </c>
      <c r="G5878" t="n">
        <v>1.8</v>
      </c>
      <c r="H5878" t="inlineStr">
        <is>
          <t>Demo Completed</t>
        </is>
      </c>
      <c r="I5878" t="inlineStr">
        <is>
          <t>Lost</t>
        </is>
      </c>
      <c r="J5878" t="inlineStr">
        <is>
          <t>Price Objection</t>
        </is>
      </c>
      <c r="K5878" t="n">
        <v>947.16</v>
      </c>
      <c r="L5878" t="inlineStr">
        <is>
          <t>2026-02-04 09:37:07.137568</t>
        </is>
      </c>
      <c r="M5878">
        <f>VLOOKUP(H5878,'Stage Order'!$A$2:$B$8,2,FALSE)</f>
        <v/>
      </c>
      <c r="N5878">
        <f>IF(G5878&lt;=1,"1. Under 1 hour",IF(G5878&lt;=24,"2. 1-24 hours",IF(G5878&lt;=72,"3. 1-3 days","4. Over 3 days")))</f>
        <v/>
      </c>
      <c r="O5878">
        <f>TEXT(B5878,"YYYY-MM")</f>
        <v/>
      </c>
    </row>
    <row r="5879">
      <c r="A5879" t="inlineStr">
        <is>
          <t>LD-305877</t>
        </is>
      </c>
      <c r="B5879" t="inlineStr">
        <is>
          <t>2026-03-25 19:46:00</t>
        </is>
      </c>
      <c r="C5879" t="inlineStr">
        <is>
          <t>Organic Search</t>
        </is>
      </c>
      <c r="D5879" t="inlineStr">
        <is>
          <t>K-12 Math</t>
        </is>
      </c>
      <c r="E5879" t="inlineStr">
        <is>
          <t>West Region</t>
        </is>
      </c>
      <c r="F5879" t="inlineStr">
        <is>
          <t>Rep_13</t>
        </is>
      </c>
      <c r="G5879" t="n">
        <v>5.5</v>
      </c>
      <c r="H5879" t="inlineStr">
        <is>
          <t>Closed</t>
        </is>
      </c>
      <c r="I5879" t="inlineStr">
        <is>
          <t>Won</t>
        </is>
      </c>
      <c r="K5879" t="n">
        <v>554.12</v>
      </c>
      <c r="L5879" t="inlineStr">
        <is>
          <t>2026-04-30 02:21:07.532153</t>
        </is>
      </c>
      <c r="M5879">
        <f>VLOOKUP(H5879,'Stage Order'!$A$2:$B$8,2,FALSE)</f>
        <v/>
      </c>
      <c r="N5879">
        <f>IF(G5879&lt;=1,"1. Under 1 hour",IF(G5879&lt;=24,"2. 1-24 hours",IF(G5879&lt;=72,"3. 1-3 days","4. Over 3 days")))</f>
        <v/>
      </c>
      <c r="O5879">
        <f>TEXT(B5879,"YYYY-MM")</f>
        <v/>
      </c>
    </row>
    <row r="5880">
      <c r="A5880" t="inlineStr">
        <is>
          <t>LD-305878</t>
        </is>
      </c>
      <c r="B5880" t="inlineStr">
        <is>
          <t>2025-01-19 19:46:00</t>
        </is>
      </c>
      <c r="C5880" t="inlineStr">
        <is>
          <t>Social Media</t>
        </is>
      </c>
      <c r="D5880" t="inlineStr">
        <is>
          <t>Language Learning</t>
        </is>
      </c>
      <c r="E5880" t="inlineStr">
        <is>
          <t>International</t>
        </is>
      </c>
      <c r="F5880" t="inlineStr">
        <is>
          <t>Rep_10</t>
        </is>
      </c>
      <c r="G5880" t="n">
        <v>1.87</v>
      </c>
      <c r="H5880" t="inlineStr">
        <is>
          <t>Demo Scheduled</t>
        </is>
      </c>
      <c r="I5880" t="inlineStr">
        <is>
          <t>Open</t>
        </is>
      </c>
      <c r="M5880">
        <f>VLOOKUP(H5880,'Stage Order'!$A$2:$B$8,2,FALSE)</f>
        <v/>
      </c>
      <c r="N5880">
        <f>IF(G5880&lt;=1,"1. Under 1 hour",IF(G5880&lt;=24,"2. 1-24 hours",IF(G5880&lt;=72,"3. 1-3 days","4. Over 3 days")))</f>
        <v/>
      </c>
      <c r="O5880">
        <f>TEXT(B5880,"YYYY-MM")</f>
        <v/>
      </c>
    </row>
    <row r="5881">
      <c r="A5881" t="inlineStr">
        <is>
          <t>LD-305879</t>
        </is>
      </c>
      <c r="B5881" t="inlineStr">
        <is>
          <t>2025-03-27 16:27:00</t>
        </is>
      </c>
      <c r="C5881" t="inlineStr">
        <is>
          <t>Partner Channel</t>
        </is>
      </c>
      <c r="D5881" t="inlineStr">
        <is>
          <t>Language Learning</t>
        </is>
      </c>
      <c r="E5881" t="inlineStr">
        <is>
          <t>South Region</t>
        </is>
      </c>
      <c r="F5881" t="inlineStr">
        <is>
          <t>Rep_02</t>
        </is>
      </c>
      <c r="G5881" t="n">
        <v>0.43</v>
      </c>
      <c r="H5881" t="inlineStr">
        <is>
          <t>Contacted</t>
        </is>
      </c>
      <c r="I5881" t="inlineStr">
        <is>
          <t>Open</t>
        </is>
      </c>
      <c r="M5881">
        <f>VLOOKUP(H5881,'Stage Order'!$A$2:$B$8,2,FALSE)</f>
        <v/>
      </c>
      <c r="N5881">
        <f>IF(G5881&lt;=1,"1. Under 1 hour",IF(G5881&lt;=24,"2. 1-24 hours",IF(G5881&lt;=72,"3. 1-3 days","4. Over 3 days")))</f>
        <v/>
      </c>
      <c r="O5881">
        <f>TEXT(B5881,"YYYY-MM")</f>
        <v/>
      </c>
    </row>
    <row r="5882">
      <c r="A5882" t="inlineStr">
        <is>
          <t>LD-305880</t>
        </is>
      </c>
      <c r="B5882" t="inlineStr">
        <is>
          <t>2026-05-05 20:59:00</t>
        </is>
      </c>
      <c r="C5882" t="inlineStr">
        <is>
          <t>Paid Search</t>
        </is>
      </c>
      <c r="D5882" t="inlineStr">
        <is>
          <t>K-12 Math</t>
        </is>
      </c>
      <c r="E5882" t="inlineStr">
        <is>
          <t>East Region</t>
        </is>
      </c>
      <c r="F5882" t="inlineStr">
        <is>
          <t>Rep_14</t>
        </is>
      </c>
      <c r="G5882" t="n">
        <v>1.82</v>
      </c>
      <c r="H5882" t="inlineStr">
        <is>
          <t>Lead</t>
        </is>
      </c>
      <c r="I5882" t="inlineStr">
        <is>
          <t>Open</t>
        </is>
      </c>
      <c r="M5882">
        <f>VLOOKUP(H5882,'Stage Order'!$A$2:$B$8,2,FALSE)</f>
        <v/>
      </c>
      <c r="N5882">
        <f>IF(G5882&lt;=1,"1. Under 1 hour",IF(G5882&lt;=24,"2. 1-24 hours",IF(G5882&lt;=72,"3. 1-3 days","4. Over 3 days")))</f>
        <v/>
      </c>
      <c r="O5882">
        <f>TEXT(B5882,"YYYY-MM")</f>
        <v/>
      </c>
    </row>
    <row r="5883">
      <c r="A5883" t="inlineStr">
        <is>
          <t>LD-305881</t>
        </is>
      </c>
      <c r="B5883" t="inlineStr">
        <is>
          <t>2026-04-10 18:28:00</t>
        </is>
      </c>
      <c r="C5883" t="inlineStr">
        <is>
          <t>Referral</t>
        </is>
      </c>
      <c r="D5883" t="inlineStr">
        <is>
          <t>Coding for Kids</t>
        </is>
      </c>
      <c r="E5883" t="inlineStr">
        <is>
          <t>East Region</t>
        </is>
      </c>
      <c r="F5883" t="inlineStr">
        <is>
          <t>Rep_09</t>
        </is>
      </c>
      <c r="G5883" t="n">
        <v>2.83</v>
      </c>
      <c r="H5883" t="inlineStr">
        <is>
          <t>Contacted</t>
        </is>
      </c>
      <c r="I5883" t="inlineStr">
        <is>
          <t>Open</t>
        </is>
      </c>
      <c r="M5883">
        <f>VLOOKUP(H5883,'Stage Order'!$A$2:$B$8,2,FALSE)</f>
        <v/>
      </c>
      <c r="N5883">
        <f>IF(G5883&lt;=1,"1. Under 1 hour",IF(G5883&lt;=24,"2. 1-24 hours",IF(G5883&lt;=72,"3. 1-3 days","4. Over 3 days")))</f>
        <v/>
      </c>
      <c r="O5883">
        <f>TEXT(B5883,"YYYY-MM")</f>
        <v/>
      </c>
    </row>
    <row r="5884">
      <c r="A5884" t="inlineStr">
        <is>
          <t>LD-305882</t>
        </is>
      </c>
      <c r="B5884" t="inlineStr">
        <is>
          <t>2026-04-03 14:01:00</t>
        </is>
      </c>
      <c r="C5884" t="inlineStr">
        <is>
          <t>Cold Outreach</t>
        </is>
      </c>
      <c r="D5884" t="inlineStr">
        <is>
          <t>K-12 Math</t>
        </is>
      </c>
      <c r="E5884" t="inlineStr">
        <is>
          <t>South Region</t>
        </is>
      </c>
      <c r="F5884" t="inlineStr">
        <is>
          <t>Rep_02</t>
        </is>
      </c>
      <c r="G5884" t="n">
        <v>2.48</v>
      </c>
      <c r="H5884" t="inlineStr">
        <is>
          <t>Contacted</t>
        </is>
      </c>
      <c r="I5884" t="inlineStr">
        <is>
          <t>Open</t>
        </is>
      </c>
      <c r="M5884">
        <f>VLOOKUP(H5884,'Stage Order'!$A$2:$B$8,2,FALSE)</f>
        <v/>
      </c>
      <c r="N5884">
        <f>IF(G5884&lt;=1,"1. Under 1 hour",IF(G5884&lt;=24,"2. 1-24 hours",IF(G5884&lt;=72,"3. 1-3 days","4. Over 3 days")))</f>
        <v/>
      </c>
      <c r="O5884">
        <f>TEXT(B5884,"YYYY-MM")</f>
        <v/>
      </c>
    </row>
    <row r="5885">
      <c r="A5885" t="inlineStr">
        <is>
          <t>LD-305883</t>
        </is>
      </c>
      <c r="B5885" t="inlineStr">
        <is>
          <t>2025-12-24 13:35:00</t>
        </is>
      </c>
      <c r="C5885" t="inlineStr">
        <is>
          <t>Webinar</t>
        </is>
      </c>
      <c r="D5885" t="inlineStr">
        <is>
          <t>Coding for Kids</t>
        </is>
      </c>
      <c r="E5885" t="inlineStr">
        <is>
          <t>East Region</t>
        </is>
      </c>
      <c r="F5885" t="inlineStr">
        <is>
          <t>Rep_14</t>
        </is>
      </c>
      <c r="G5885" t="n">
        <v>7.57</v>
      </c>
      <c r="H5885" t="inlineStr">
        <is>
          <t>Contacted</t>
        </is>
      </c>
      <c r="I5885" t="inlineStr">
        <is>
          <t>Open</t>
        </is>
      </c>
      <c r="M5885">
        <f>VLOOKUP(H5885,'Stage Order'!$A$2:$B$8,2,FALSE)</f>
        <v/>
      </c>
      <c r="N5885">
        <f>IF(G5885&lt;=1,"1. Under 1 hour",IF(G5885&lt;=24,"2. 1-24 hours",IF(G5885&lt;=72,"3. 1-3 days","4. Over 3 days")))</f>
        <v/>
      </c>
      <c r="O5885">
        <f>TEXT(B5885,"YYYY-MM")</f>
        <v/>
      </c>
    </row>
    <row r="5886">
      <c r="A5886" t="inlineStr">
        <is>
          <t>LD-305884</t>
        </is>
      </c>
      <c r="B5886" t="inlineStr">
        <is>
          <t>2026-06-19 09:00:00</t>
        </is>
      </c>
      <c r="C5886" t="inlineStr">
        <is>
          <t>Referral</t>
        </is>
      </c>
      <c r="D5886" t="inlineStr">
        <is>
          <t>Competitive Exam Prep</t>
        </is>
      </c>
      <c r="E5886" t="inlineStr">
        <is>
          <t>West Region</t>
        </is>
      </c>
      <c r="F5886" t="inlineStr">
        <is>
          <t>Rep_08</t>
        </is>
      </c>
      <c r="G5886" t="n">
        <v>32.68</v>
      </c>
      <c r="H5886" t="inlineStr">
        <is>
          <t>Closed</t>
        </is>
      </c>
      <c r="I5886" t="inlineStr">
        <is>
          <t>Won</t>
        </is>
      </c>
      <c r="K5886" t="n">
        <v>1058.51</v>
      </c>
      <c r="L5886" t="inlineStr">
        <is>
          <t>2026-07-25 04:41:12.029271</t>
        </is>
      </c>
      <c r="M5886">
        <f>VLOOKUP(H5886,'Stage Order'!$A$2:$B$8,2,FALSE)</f>
        <v/>
      </c>
      <c r="N5886">
        <f>IF(G5886&lt;=1,"1. Under 1 hour",IF(G5886&lt;=24,"2. 1-24 hours",IF(G5886&lt;=72,"3. 1-3 days","4. Over 3 days")))</f>
        <v/>
      </c>
      <c r="O5886">
        <f>TEXT(B5886,"YYYY-MM")</f>
        <v/>
      </c>
    </row>
    <row r="5887">
      <c r="A5887" t="inlineStr">
        <is>
          <t>LD-305885</t>
        </is>
      </c>
      <c r="B5887" t="inlineStr">
        <is>
          <t>2025-06-13 07:04:00</t>
        </is>
      </c>
      <c r="C5887" t="inlineStr">
        <is>
          <t>Paid Search</t>
        </is>
      </c>
      <c r="D5887" t="inlineStr">
        <is>
          <t>Coding for Kids</t>
        </is>
      </c>
      <c r="E5887" t="inlineStr">
        <is>
          <t>West Region</t>
        </is>
      </c>
      <c r="F5887" t="inlineStr">
        <is>
          <t>Rep_08</t>
        </is>
      </c>
      <c r="G5887" t="n">
        <v>16.56</v>
      </c>
      <c r="H5887" t="inlineStr">
        <is>
          <t>Contacted</t>
        </is>
      </c>
      <c r="I5887" t="inlineStr">
        <is>
          <t>Open</t>
        </is>
      </c>
      <c r="M5887">
        <f>VLOOKUP(H5887,'Stage Order'!$A$2:$B$8,2,FALSE)</f>
        <v/>
      </c>
      <c r="N5887">
        <f>IF(G5887&lt;=1,"1. Under 1 hour",IF(G5887&lt;=24,"2. 1-24 hours",IF(G5887&lt;=72,"3. 1-3 days","4. Over 3 days")))</f>
        <v/>
      </c>
      <c r="O5887">
        <f>TEXT(B5887,"YYYY-MM")</f>
        <v/>
      </c>
    </row>
    <row r="5888">
      <c r="A5888" t="inlineStr">
        <is>
          <t>LD-305886</t>
        </is>
      </c>
      <c r="B5888" t="inlineStr">
        <is>
          <t>2025-01-31 12:20:00</t>
        </is>
      </c>
      <c r="C5888" t="inlineStr">
        <is>
          <t>Paid Search</t>
        </is>
      </c>
      <c r="D5888" t="inlineStr">
        <is>
          <t>Language Learning</t>
        </is>
      </c>
      <c r="E5888" t="inlineStr">
        <is>
          <t>North Region</t>
        </is>
      </c>
      <c r="F5888" t="inlineStr">
        <is>
          <t>Rep_01</t>
        </is>
      </c>
      <c r="G5888" t="n">
        <v>1.42</v>
      </c>
      <c r="H5888" t="inlineStr">
        <is>
          <t>Contacted</t>
        </is>
      </c>
      <c r="I5888" t="inlineStr">
        <is>
          <t>Open</t>
        </is>
      </c>
      <c r="M5888">
        <f>VLOOKUP(H5888,'Stage Order'!$A$2:$B$8,2,FALSE)</f>
        <v/>
      </c>
      <c r="N5888">
        <f>IF(G5888&lt;=1,"1. Under 1 hour",IF(G5888&lt;=24,"2. 1-24 hours",IF(G5888&lt;=72,"3. 1-3 days","4. Over 3 days")))</f>
        <v/>
      </c>
      <c r="O5888">
        <f>TEXT(B5888,"YYYY-MM")</f>
        <v/>
      </c>
    </row>
    <row r="5889">
      <c r="A5889" t="inlineStr">
        <is>
          <t>LD-305887</t>
        </is>
      </c>
      <c r="B5889" t="inlineStr">
        <is>
          <t>2026-02-20 14:26:00</t>
        </is>
      </c>
      <c r="C5889" t="inlineStr">
        <is>
          <t>Organic Search</t>
        </is>
      </c>
      <c r="D5889" t="inlineStr">
        <is>
          <t>Study Abroad Prep</t>
        </is>
      </c>
      <c r="E5889" t="inlineStr">
        <is>
          <t>West Region</t>
        </is>
      </c>
      <c r="F5889" t="inlineStr">
        <is>
          <t>Rep_03</t>
        </is>
      </c>
      <c r="G5889" t="n">
        <v>9.960000000000001</v>
      </c>
      <c r="H5889" t="inlineStr">
        <is>
          <t>Demo Completed</t>
        </is>
      </c>
      <c r="I5889" t="inlineStr">
        <is>
          <t>Lost</t>
        </is>
      </c>
      <c r="J5889" t="inlineStr">
        <is>
          <t>No Response / Ghosted</t>
        </is>
      </c>
      <c r="K5889" t="n">
        <v>1597.72</v>
      </c>
      <c r="L5889" t="inlineStr">
        <is>
          <t>2026-03-24 22:01:20.244744</t>
        </is>
      </c>
      <c r="M5889">
        <f>VLOOKUP(H5889,'Stage Order'!$A$2:$B$8,2,FALSE)</f>
        <v/>
      </c>
      <c r="N5889">
        <f>IF(G5889&lt;=1,"1. Under 1 hour",IF(G5889&lt;=24,"2. 1-24 hours",IF(G5889&lt;=72,"3. 1-3 days","4. Over 3 days")))</f>
        <v/>
      </c>
      <c r="O5889">
        <f>TEXT(B5889,"YYYY-MM")</f>
        <v/>
      </c>
    </row>
    <row r="5890">
      <c r="A5890" t="inlineStr">
        <is>
          <t>LD-305888</t>
        </is>
      </c>
      <c r="B5890" t="inlineStr">
        <is>
          <t>2026-06-14 20:14:00</t>
        </is>
      </c>
      <c r="C5890" t="inlineStr">
        <is>
          <t>Webinar</t>
        </is>
      </c>
      <c r="D5890" t="inlineStr">
        <is>
          <t>Competitive Exam Prep</t>
        </is>
      </c>
      <c r="E5890" t="inlineStr">
        <is>
          <t>East Region</t>
        </is>
      </c>
      <c r="F5890" t="inlineStr">
        <is>
          <t>Rep_14</t>
        </is>
      </c>
      <c r="G5890" t="n">
        <v>2.53</v>
      </c>
      <c r="H5890" t="inlineStr">
        <is>
          <t>Contacted</t>
        </is>
      </c>
      <c r="I5890" t="inlineStr">
        <is>
          <t>Open</t>
        </is>
      </c>
      <c r="M5890">
        <f>VLOOKUP(H5890,'Stage Order'!$A$2:$B$8,2,FALSE)</f>
        <v/>
      </c>
      <c r="N5890">
        <f>IF(G5890&lt;=1,"1. Under 1 hour",IF(G5890&lt;=24,"2. 1-24 hours",IF(G5890&lt;=72,"3. 1-3 days","4. Over 3 days")))</f>
        <v/>
      </c>
      <c r="O5890">
        <f>TEXT(B5890,"YYYY-MM")</f>
        <v/>
      </c>
    </row>
    <row r="5891">
      <c r="A5891" t="inlineStr">
        <is>
          <t>LD-305889</t>
        </is>
      </c>
      <c r="B5891" t="inlineStr">
        <is>
          <t>2025-12-23 15:15:00</t>
        </is>
      </c>
      <c r="C5891" t="inlineStr">
        <is>
          <t>Partner Channel</t>
        </is>
      </c>
      <c r="D5891" t="inlineStr">
        <is>
          <t>K-12 Math</t>
        </is>
      </c>
      <c r="E5891" t="inlineStr">
        <is>
          <t>South Region</t>
        </is>
      </c>
      <c r="F5891" t="inlineStr">
        <is>
          <t>Rep_12</t>
        </is>
      </c>
      <c r="G5891" t="n">
        <v>5</v>
      </c>
      <c r="H5891" t="inlineStr">
        <is>
          <t>Contacted</t>
        </is>
      </c>
      <c r="I5891" t="inlineStr">
        <is>
          <t>Open</t>
        </is>
      </c>
      <c r="M5891">
        <f>VLOOKUP(H5891,'Stage Order'!$A$2:$B$8,2,FALSE)</f>
        <v/>
      </c>
      <c r="N5891">
        <f>IF(G5891&lt;=1,"1. Under 1 hour",IF(G5891&lt;=24,"2. 1-24 hours",IF(G5891&lt;=72,"3. 1-3 days","4. Over 3 days")))</f>
        <v/>
      </c>
      <c r="O5891">
        <f>TEXT(B5891,"YYYY-MM")</f>
        <v/>
      </c>
    </row>
    <row r="5892">
      <c r="A5892" t="inlineStr">
        <is>
          <t>LD-305890</t>
        </is>
      </c>
      <c r="B5892" t="inlineStr">
        <is>
          <t>2025-04-15 11:46:00</t>
        </is>
      </c>
      <c r="C5892" t="inlineStr">
        <is>
          <t>Social Media</t>
        </is>
      </c>
      <c r="D5892" t="inlineStr">
        <is>
          <t>Competitive Exam Prep</t>
        </is>
      </c>
      <c r="E5892" t="inlineStr">
        <is>
          <t>South Region</t>
        </is>
      </c>
      <c r="F5892" t="inlineStr">
        <is>
          <t>Rep_07</t>
        </is>
      </c>
      <c r="G5892" t="n">
        <v>2.36</v>
      </c>
      <c r="H5892" t="inlineStr">
        <is>
          <t>Lead</t>
        </is>
      </c>
      <c r="I5892" t="inlineStr">
        <is>
          <t>Open</t>
        </is>
      </c>
      <c r="M5892">
        <f>VLOOKUP(H5892,'Stage Order'!$A$2:$B$8,2,FALSE)</f>
        <v/>
      </c>
      <c r="N5892">
        <f>IF(G5892&lt;=1,"1. Under 1 hour",IF(G5892&lt;=24,"2. 1-24 hours",IF(G5892&lt;=72,"3. 1-3 days","4. Over 3 days")))</f>
        <v/>
      </c>
      <c r="O5892">
        <f>TEXT(B5892,"YYYY-MM")</f>
        <v/>
      </c>
    </row>
    <row r="5893">
      <c r="A5893" t="inlineStr">
        <is>
          <t>LD-305891</t>
        </is>
      </c>
      <c r="B5893" t="inlineStr">
        <is>
          <t>2025-11-07 10:47:00</t>
        </is>
      </c>
      <c r="C5893" t="inlineStr">
        <is>
          <t>Partner Channel</t>
        </is>
      </c>
      <c r="D5893" t="inlineStr">
        <is>
          <t>Competitive Exam Prep</t>
        </is>
      </c>
      <c r="E5893" t="inlineStr">
        <is>
          <t>West Region</t>
        </is>
      </c>
      <c r="F5893" t="inlineStr">
        <is>
          <t>Rep_13</t>
        </is>
      </c>
      <c r="G5893" t="n">
        <v>7.53</v>
      </c>
      <c r="H5893" t="inlineStr">
        <is>
          <t>Contacted</t>
        </is>
      </c>
      <c r="I5893" t="inlineStr">
        <is>
          <t>Open</t>
        </is>
      </c>
      <c r="M5893">
        <f>VLOOKUP(H5893,'Stage Order'!$A$2:$B$8,2,FALSE)</f>
        <v/>
      </c>
      <c r="N5893">
        <f>IF(G5893&lt;=1,"1. Under 1 hour",IF(G5893&lt;=24,"2. 1-24 hours",IF(G5893&lt;=72,"3. 1-3 days","4. Over 3 days")))</f>
        <v/>
      </c>
      <c r="O5893">
        <f>TEXT(B5893,"YYYY-MM")</f>
        <v/>
      </c>
    </row>
    <row r="5894">
      <c r="A5894" t="inlineStr">
        <is>
          <t>LD-305892</t>
        </is>
      </c>
      <c r="B5894" t="inlineStr">
        <is>
          <t>2025-05-17 19:52:00</t>
        </is>
      </c>
      <c r="C5894" t="inlineStr">
        <is>
          <t>Referral</t>
        </is>
      </c>
      <c r="D5894" t="inlineStr">
        <is>
          <t>Competitive Exam Prep</t>
        </is>
      </c>
      <c r="E5894" t="inlineStr">
        <is>
          <t>North Region</t>
        </is>
      </c>
      <c r="F5894" t="inlineStr">
        <is>
          <t>Rep_01</t>
        </is>
      </c>
      <c r="G5894" t="n">
        <v>5.29</v>
      </c>
      <c r="H5894" t="inlineStr">
        <is>
          <t>Contacted</t>
        </is>
      </c>
      <c r="I5894" t="inlineStr">
        <is>
          <t>Open</t>
        </is>
      </c>
      <c r="M5894">
        <f>VLOOKUP(H5894,'Stage Order'!$A$2:$B$8,2,FALSE)</f>
        <v/>
      </c>
      <c r="N5894">
        <f>IF(G5894&lt;=1,"1. Under 1 hour",IF(G5894&lt;=24,"2. 1-24 hours",IF(G5894&lt;=72,"3. 1-3 days","4. Over 3 days")))</f>
        <v/>
      </c>
      <c r="O5894">
        <f>TEXT(B5894,"YYYY-MM")</f>
        <v/>
      </c>
    </row>
    <row r="5895">
      <c r="A5895" t="inlineStr">
        <is>
          <t>LD-305893</t>
        </is>
      </c>
      <c r="B5895" t="inlineStr">
        <is>
          <t>2025-05-06 17:53:00</t>
        </is>
      </c>
      <c r="C5895" t="inlineStr">
        <is>
          <t>Social Media</t>
        </is>
      </c>
      <c r="D5895" t="inlineStr">
        <is>
          <t>K-12 Math</t>
        </is>
      </c>
      <c r="E5895" t="inlineStr">
        <is>
          <t>International</t>
        </is>
      </c>
      <c r="F5895" t="inlineStr">
        <is>
          <t>Rep_10</t>
        </is>
      </c>
      <c r="G5895" t="n">
        <v>5.44</v>
      </c>
      <c r="H5895" t="inlineStr">
        <is>
          <t>Contacted</t>
        </is>
      </c>
      <c r="I5895" t="inlineStr">
        <is>
          <t>Open</t>
        </is>
      </c>
      <c r="M5895">
        <f>VLOOKUP(H5895,'Stage Order'!$A$2:$B$8,2,FALSE)</f>
        <v/>
      </c>
      <c r="N5895">
        <f>IF(G5895&lt;=1,"1. Under 1 hour",IF(G5895&lt;=24,"2. 1-24 hours",IF(G5895&lt;=72,"3. 1-3 days","4. Over 3 days")))</f>
        <v/>
      </c>
      <c r="O5895">
        <f>TEXT(B5895,"YYYY-MM")</f>
        <v/>
      </c>
    </row>
    <row r="5896">
      <c r="A5896" t="inlineStr">
        <is>
          <t>LD-305894</t>
        </is>
      </c>
      <c r="B5896" t="inlineStr">
        <is>
          <t>2025-05-17 13:42:00</t>
        </is>
      </c>
      <c r="C5896" t="inlineStr">
        <is>
          <t>Referral</t>
        </is>
      </c>
      <c r="D5896" t="inlineStr">
        <is>
          <t>Study Abroad Prep</t>
        </is>
      </c>
      <c r="E5896" t="inlineStr">
        <is>
          <t>East Region</t>
        </is>
      </c>
      <c r="F5896" t="inlineStr">
        <is>
          <t>Rep_09</t>
        </is>
      </c>
      <c r="G5896" t="n">
        <v>5.52</v>
      </c>
      <c r="H5896" t="inlineStr">
        <is>
          <t>Contacted</t>
        </is>
      </c>
      <c r="I5896" t="inlineStr">
        <is>
          <t>Open</t>
        </is>
      </c>
      <c r="M5896">
        <f>VLOOKUP(H5896,'Stage Order'!$A$2:$B$8,2,FALSE)</f>
        <v/>
      </c>
      <c r="N5896">
        <f>IF(G5896&lt;=1,"1. Under 1 hour",IF(G5896&lt;=24,"2. 1-24 hours",IF(G5896&lt;=72,"3. 1-3 days","4. Over 3 days")))</f>
        <v/>
      </c>
      <c r="O5896">
        <f>TEXT(B5896,"YYYY-MM")</f>
        <v/>
      </c>
    </row>
    <row r="5897">
      <c r="A5897" t="inlineStr">
        <is>
          <t>LD-305895</t>
        </is>
      </c>
      <c r="B5897" t="inlineStr">
        <is>
          <t>2025-05-26 10:38:00</t>
        </is>
      </c>
      <c r="C5897" t="inlineStr">
        <is>
          <t>Referral</t>
        </is>
      </c>
      <c r="D5897" t="inlineStr">
        <is>
          <t>K-12 Math</t>
        </is>
      </c>
      <c r="E5897" t="inlineStr">
        <is>
          <t>South Region</t>
        </is>
      </c>
      <c r="F5897" t="inlineStr">
        <is>
          <t>Rep_12</t>
        </is>
      </c>
      <c r="G5897" t="n">
        <v>9.32</v>
      </c>
      <c r="H5897" t="inlineStr">
        <is>
          <t>Closed</t>
        </is>
      </c>
      <c r="I5897" t="inlineStr">
        <is>
          <t>Won</t>
        </is>
      </c>
      <c r="K5897" t="n">
        <v>534.03</v>
      </c>
      <c r="L5897" t="inlineStr">
        <is>
          <t>2025-07-05 19:44:10.317821</t>
        </is>
      </c>
      <c r="M5897">
        <f>VLOOKUP(H5897,'Stage Order'!$A$2:$B$8,2,FALSE)</f>
        <v/>
      </c>
      <c r="N5897">
        <f>IF(G5897&lt;=1,"1. Under 1 hour",IF(G5897&lt;=24,"2. 1-24 hours",IF(G5897&lt;=72,"3. 1-3 days","4. Over 3 days")))</f>
        <v/>
      </c>
      <c r="O5897">
        <f>TEXT(B5897,"YYYY-MM")</f>
        <v/>
      </c>
    </row>
    <row r="5898">
      <c r="A5898" t="inlineStr">
        <is>
          <t>LD-305896</t>
        </is>
      </c>
      <c r="B5898" t="inlineStr">
        <is>
          <t>2026-02-11 20:04:00</t>
        </is>
      </c>
      <c r="C5898" t="inlineStr">
        <is>
          <t>Paid Search</t>
        </is>
      </c>
      <c r="D5898" t="inlineStr">
        <is>
          <t>Language Learning</t>
        </is>
      </c>
      <c r="E5898" t="inlineStr">
        <is>
          <t>West Region</t>
        </is>
      </c>
      <c r="F5898" t="inlineStr">
        <is>
          <t>Rep_13</t>
        </is>
      </c>
      <c r="G5898" t="n">
        <v>1.03</v>
      </c>
      <c r="H5898" t="inlineStr">
        <is>
          <t>Contacted</t>
        </is>
      </c>
      <c r="I5898" t="inlineStr">
        <is>
          <t>Open</t>
        </is>
      </c>
      <c r="M5898">
        <f>VLOOKUP(H5898,'Stage Order'!$A$2:$B$8,2,FALSE)</f>
        <v/>
      </c>
      <c r="N5898">
        <f>IF(G5898&lt;=1,"1. Under 1 hour",IF(G5898&lt;=24,"2. 1-24 hours",IF(G5898&lt;=72,"3. 1-3 days","4. Over 3 days")))</f>
        <v/>
      </c>
      <c r="O5898">
        <f>TEXT(B5898,"YYYY-MM")</f>
        <v/>
      </c>
    </row>
    <row r="5899">
      <c r="A5899" t="inlineStr">
        <is>
          <t>LD-305897</t>
        </is>
      </c>
      <c r="B5899" t="inlineStr">
        <is>
          <t>2026-01-26 13:04:00</t>
        </is>
      </c>
      <c r="C5899" t="inlineStr">
        <is>
          <t>Webinar</t>
        </is>
      </c>
      <c r="D5899" t="inlineStr">
        <is>
          <t>K-12 Math</t>
        </is>
      </c>
      <c r="E5899" t="inlineStr">
        <is>
          <t>West Region</t>
        </is>
      </c>
      <c r="F5899" t="inlineStr">
        <is>
          <t>Rep_03</t>
        </is>
      </c>
      <c r="G5899" t="n">
        <v>6.9</v>
      </c>
      <c r="H5899" t="inlineStr">
        <is>
          <t>Negotiation</t>
        </is>
      </c>
      <c r="I5899" t="inlineStr">
        <is>
          <t>Lost</t>
        </is>
      </c>
      <c r="J5899" t="inlineStr">
        <is>
          <t>Price Objection</t>
        </is>
      </c>
      <c r="K5899" t="n">
        <v>593.27</v>
      </c>
      <c r="L5899" t="inlineStr">
        <is>
          <t>2026-03-14 19:49:26.110612</t>
        </is>
      </c>
      <c r="M5899">
        <f>VLOOKUP(H5899,'Stage Order'!$A$2:$B$8,2,FALSE)</f>
        <v/>
      </c>
      <c r="N5899">
        <f>IF(G5899&lt;=1,"1. Under 1 hour",IF(G5899&lt;=24,"2. 1-24 hours",IF(G5899&lt;=72,"3. 1-3 days","4. Over 3 days")))</f>
        <v/>
      </c>
      <c r="O5899">
        <f>TEXT(B5899,"YYYY-MM")</f>
        <v/>
      </c>
    </row>
    <row r="5900">
      <c r="A5900" t="inlineStr">
        <is>
          <t>LD-305898</t>
        </is>
      </c>
      <c r="B5900" t="inlineStr">
        <is>
          <t>2025-08-19 07:21:00</t>
        </is>
      </c>
      <c r="C5900" t="inlineStr">
        <is>
          <t>Paid Search</t>
        </is>
      </c>
      <c r="D5900" t="inlineStr">
        <is>
          <t>Competitive Exam Prep</t>
        </is>
      </c>
      <c r="E5900" t="inlineStr">
        <is>
          <t>West Region</t>
        </is>
      </c>
      <c r="F5900" t="inlineStr">
        <is>
          <t>Rep_03</t>
        </is>
      </c>
      <c r="G5900" t="n">
        <v>4.16</v>
      </c>
      <c r="H5900" t="inlineStr">
        <is>
          <t>Lead</t>
        </is>
      </c>
      <c r="I5900" t="inlineStr">
        <is>
          <t>Open</t>
        </is>
      </c>
      <c r="M5900">
        <f>VLOOKUP(H5900,'Stage Order'!$A$2:$B$8,2,FALSE)</f>
        <v/>
      </c>
      <c r="N5900">
        <f>IF(G5900&lt;=1,"1. Under 1 hour",IF(G5900&lt;=24,"2. 1-24 hours",IF(G5900&lt;=72,"3. 1-3 days","4. Over 3 days")))</f>
        <v/>
      </c>
      <c r="O5900">
        <f>TEXT(B5900,"YYYY-MM")</f>
        <v/>
      </c>
    </row>
    <row r="5901">
      <c r="A5901" t="inlineStr">
        <is>
          <t>LD-305899</t>
        </is>
      </c>
      <c r="B5901" t="inlineStr">
        <is>
          <t>2025-04-03 17:34:00</t>
        </is>
      </c>
      <c r="C5901" t="inlineStr">
        <is>
          <t>Organic Search</t>
        </is>
      </c>
      <c r="D5901" t="inlineStr">
        <is>
          <t>Coding for Kids</t>
        </is>
      </c>
      <c r="E5901" t="inlineStr">
        <is>
          <t>South Region</t>
        </is>
      </c>
      <c r="F5901" t="inlineStr">
        <is>
          <t>Rep_07</t>
        </is>
      </c>
      <c r="G5901" t="n">
        <v>2.36</v>
      </c>
      <c r="H5901" t="inlineStr">
        <is>
          <t>Contacted</t>
        </is>
      </c>
      <c r="I5901" t="inlineStr">
        <is>
          <t>Open</t>
        </is>
      </c>
      <c r="M5901">
        <f>VLOOKUP(H5901,'Stage Order'!$A$2:$B$8,2,FALSE)</f>
        <v/>
      </c>
      <c r="N5901">
        <f>IF(G5901&lt;=1,"1. Under 1 hour",IF(G5901&lt;=24,"2. 1-24 hours",IF(G5901&lt;=72,"3. 1-3 days","4. Over 3 days")))</f>
        <v/>
      </c>
      <c r="O5901">
        <f>TEXT(B5901,"YYYY-MM")</f>
        <v/>
      </c>
    </row>
    <row r="5902">
      <c r="A5902" t="inlineStr">
        <is>
          <t>LD-305900</t>
        </is>
      </c>
      <c r="B5902" t="inlineStr">
        <is>
          <t>2025-12-13 11:27:00</t>
        </is>
      </c>
      <c r="C5902" t="inlineStr">
        <is>
          <t>Partner Channel</t>
        </is>
      </c>
      <c r="D5902" t="inlineStr">
        <is>
          <t>Coding for Kids</t>
        </is>
      </c>
      <c r="E5902" t="inlineStr">
        <is>
          <t>South Region</t>
        </is>
      </c>
      <c r="F5902" t="inlineStr">
        <is>
          <t>Rep_12</t>
        </is>
      </c>
      <c r="G5902" t="n">
        <v>1.42</v>
      </c>
      <c r="H5902" t="inlineStr">
        <is>
          <t>Contacted</t>
        </is>
      </c>
      <c r="I5902" t="inlineStr">
        <is>
          <t>Open</t>
        </is>
      </c>
      <c r="M5902">
        <f>VLOOKUP(H5902,'Stage Order'!$A$2:$B$8,2,FALSE)</f>
        <v/>
      </c>
      <c r="N5902">
        <f>IF(G5902&lt;=1,"1. Under 1 hour",IF(G5902&lt;=24,"2. 1-24 hours",IF(G5902&lt;=72,"3. 1-3 days","4. Over 3 days")))</f>
        <v/>
      </c>
      <c r="O5902">
        <f>TEXT(B5902,"YYYY-MM")</f>
        <v/>
      </c>
    </row>
    <row r="5903">
      <c r="A5903" t="inlineStr">
        <is>
          <t>LD-305901</t>
        </is>
      </c>
      <c r="B5903" t="inlineStr">
        <is>
          <t>2025-10-24 08:22:00</t>
        </is>
      </c>
      <c r="C5903" t="inlineStr">
        <is>
          <t>Partner Channel</t>
        </is>
      </c>
      <c r="D5903" t="inlineStr">
        <is>
          <t>Language Learning</t>
        </is>
      </c>
      <c r="E5903" t="inlineStr">
        <is>
          <t>West Region</t>
        </is>
      </c>
      <c r="F5903" t="inlineStr">
        <is>
          <t>Rep_08</t>
        </is>
      </c>
      <c r="G5903" t="n">
        <v>1.21</v>
      </c>
      <c r="H5903" t="inlineStr">
        <is>
          <t>Contacted</t>
        </is>
      </c>
      <c r="I5903" t="inlineStr">
        <is>
          <t>Open</t>
        </is>
      </c>
      <c r="M5903">
        <f>VLOOKUP(H5903,'Stage Order'!$A$2:$B$8,2,FALSE)</f>
        <v/>
      </c>
      <c r="N5903">
        <f>IF(G5903&lt;=1,"1. Under 1 hour",IF(G5903&lt;=24,"2. 1-24 hours",IF(G5903&lt;=72,"3. 1-3 days","4. Over 3 days")))</f>
        <v/>
      </c>
      <c r="O5903">
        <f>TEXT(B5903,"YYYY-MM")</f>
        <v/>
      </c>
    </row>
    <row r="5904">
      <c r="A5904" t="inlineStr">
        <is>
          <t>LD-305902</t>
        </is>
      </c>
      <c r="B5904" t="inlineStr">
        <is>
          <t>2025-12-17 09:14:00</t>
        </is>
      </c>
      <c r="C5904" t="inlineStr">
        <is>
          <t>Organic Search</t>
        </is>
      </c>
      <c r="D5904" t="inlineStr">
        <is>
          <t>Coding for Kids</t>
        </is>
      </c>
      <c r="E5904" t="inlineStr">
        <is>
          <t>West Region</t>
        </is>
      </c>
      <c r="F5904" t="inlineStr">
        <is>
          <t>Rep_13</t>
        </is>
      </c>
      <c r="G5904" t="n">
        <v>6.95</v>
      </c>
      <c r="H5904" t="inlineStr">
        <is>
          <t>Proposal Sent</t>
        </is>
      </c>
      <c r="I5904" t="inlineStr">
        <is>
          <t>Lost</t>
        </is>
      </c>
      <c r="J5904" t="inlineStr">
        <is>
          <t>Price Objection</t>
        </is>
      </c>
      <c r="K5904" t="n">
        <v>595.4400000000001</v>
      </c>
      <c r="L5904" t="inlineStr">
        <is>
          <t>2026-01-25 19:23:19.210454</t>
        </is>
      </c>
      <c r="M5904">
        <f>VLOOKUP(H5904,'Stage Order'!$A$2:$B$8,2,FALSE)</f>
        <v/>
      </c>
      <c r="N5904">
        <f>IF(G5904&lt;=1,"1. Under 1 hour",IF(G5904&lt;=24,"2. 1-24 hours",IF(G5904&lt;=72,"3. 1-3 days","4. Over 3 days")))</f>
        <v/>
      </c>
      <c r="O5904">
        <f>TEXT(B5904,"YYYY-MM")</f>
        <v/>
      </c>
    </row>
    <row r="5905">
      <c r="A5905" t="inlineStr">
        <is>
          <t>LD-305903</t>
        </is>
      </c>
      <c r="B5905" t="inlineStr">
        <is>
          <t>2025-11-24 08:35:00</t>
        </is>
      </c>
      <c r="C5905" t="inlineStr">
        <is>
          <t>Webinar</t>
        </is>
      </c>
      <c r="D5905" t="inlineStr">
        <is>
          <t>Coding for Kids</t>
        </is>
      </c>
      <c r="E5905" t="inlineStr">
        <is>
          <t>North Region</t>
        </is>
      </c>
      <c r="F5905" t="inlineStr">
        <is>
          <t>Rep_11</t>
        </is>
      </c>
      <c r="G5905" t="n">
        <v>3.18</v>
      </c>
      <c r="H5905" t="inlineStr">
        <is>
          <t>Closed</t>
        </is>
      </c>
      <c r="I5905" t="inlineStr">
        <is>
          <t>Won</t>
        </is>
      </c>
      <c r="K5905" t="n">
        <v>534.4299999999999</v>
      </c>
      <c r="L5905" t="inlineStr">
        <is>
          <t>2026-01-11 00:35:56.490504</t>
        </is>
      </c>
      <c r="M5905">
        <f>VLOOKUP(H5905,'Stage Order'!$A$2:$B$8,2,FALSE)</f>
        <v/>
      </c>
      <c r="N5905">
        <f>IF(G5905&lt;=1,"1. Under 1 hour",IF(G5905&lt;=24,"2. 1-24 hours",IF(G5905&lt;=72,"3. 1-3 days","4. Over 3 days")))</f>
        <v/>
      </c>
      <c r="O5905">
        <f>TEXT(B5905,"YYYY-MM")</f>
        <v/>
      </c>
    </row>
    <row r="5906">
      <c r="A5906" t="inlineStr">
        <is>
          <t>LD-305904</t>
        </is>
      </c>
      <c r="B5906" t="inlineStr">
        <is>
          <t>2025-12-14 16:10:00</t>
        </is>
      </c>
      <c r="C5906" t="inlineStr">
        <is>
          <t>Partner Channel</t>
        </is>
      </c>
      <c r="D5906" t="inlineStr">
        <is>
          <t>Competitive Exam Prep</t>
        </is>
      </c>
      <c r="E5906" t="inlineStr">
        <is>
          <t>South Region</t>
        </is>
      </c>
      <c r="F5906" t="inlineStr">
        <is>
          <t>Rep_07</t>
        </is>
      </c>
      <c r="G5906" t="n">
        <v>1.05</v>
      </c>
      <c r="H5906" t="inlineStr">
        <is>
          <t>Closed</t>
        </is>
      </c>
      <c r="I5906" t="inlineStr">
        <is>
          <t>Won</t>
        </is>
      </c>
      <c r="K5906" t="n">
        <v>1097.43</v>
      </c>
      <c r="L5906" t="inlineStr">
        <is>
          <t>2026-01-26 05:00:59.547576</t>
        </is>
      </c>
      <c r="M5906">
        <f>VLOOKUP(H5906,'Stage Order'!$A$2:$B$8,2,FALSE)</f>
        <v/>
      </c>
      <c r="N5906">
        <f>IF(G5906&lt;=1,"1. Under 1 hour",IF(G5906&lt;=24,"2. 1-24 hours",IF(G5906&lt;=72,"3. 1-3 days","4. Over 3 days")))</f>
        <v/>
      </c>
      <c r="O5906">
        <f>TEXT(B5906,"YYYY-MM")</f>
        <v/>
      </c>
    </row>
    <row r="5907">
      <c r="A5907" t="inlineStr">
        <is>
          <t>LD-305905</t>
        </is>
      </c>
      <c r="B5907" t="inlineStr">
        <is>
          <t>2025-11-10 10:55:00</t>
        </is>
      </c>
      <c r="C5907" t="inlineStr">
        <is>
          <t>Referral</t>
        </is>
      </c>
      <c r="D5907" t="inlineStr">
        <is>
          <t>Competitive Exam Prep</t>
        </is>
      </c>
      <c r="E5907" t="inlineStr">
        <is>
          <t>International</t>
        </is>
      </c>
      <c r="F5907" t="inlineStr">
        <is>
          <t>Rep_10</t>
        </is>
      </c>
      <c r="G5907" t="n">
        <v>2.83</v>
      </c>
      <c r="H5907" t="inlineStr">
        <is>
          <t>Closed</t>
        </is>
      </c>
      <c r="I5907" t="inlineStr">
        <is>
          <t>Won</t>
        </is>
      </c>
      <c r="K5907" t="n">
        <v>853.6</v>
      </c>
      <c r="L5907" t="inlineStr">
        <is>
          <t>2025-12-26 14:39:17.006449</t>
        </is>
      </c>
      <c r="M5907">
        <f>VLOOKUP(H5907,'Stage Order'!$A$2:$B$8,2,FALSE)</f>
        <v/>
      </c>
      <c r="N5907">
        <f>IF(G5907&lt;=1,"1. Under 1 hour",IF(G5907&lt;=24,"2. 1-24 hours",IF(G5907&lt;=72,"3. 1-3 days","4. Over 3 days")))</f>
        <v/>
      </c>
      <c r="O5907">
        <f>TEXT(B5907,"YYYY-MM")</f>
        <v/>
      </c>
    </row>
    <row r="5908">
      <c r="A5908" t="inlineStr">
        <is>
          <t>LD-305906</t>
        </is>
      </c>
      <c r="B5908" t="inlineStr">
        <is>
          <t>2026-02-14 19:44:00</t>
        </is>
      </c>
      <c r="C5908" t="inlineStr">
        <is>
          <t>Partner Channel</t>
        </is>
      </c>
      <c r="D5908" t="inlineStr">
        <is>
          <t>Competitive Exam Prep</t>
        </is>
      </c>
      <c r="E5908" t="inlineStr">
        <is>
          <t>North Region</t>
        </is>
      </c>
      <c r="F5908" t="inlineStr">
        <is>
          <t>Rep_06</t>
        </is>
      </c>
      <c r="G5908" t="n">
        <v>3.14</v>
      </c>
      <c r="H5908" t="inlineStr">
        <is>
          <t>Contacted</t>
        </is>
      </c>
      <c r="I5908" t="inlineStr">
        <is>
          <t>Open</t>
        </is>
      </c>
      <c r="M5908">
        <f>VLOOKUP(H5908,'Stage Order'!$A$2:$B$8,2,FALSE)</f>
        <v/>
      </c>
      <c r="N5908">
        <f>IF(G5908&lt;=1,"1. Under 1 hour",IF(G5908&lt;=24,"2. 1-24 hours",IF(G5908&lt;=72,"3. 1-3 days","4. Over 3 days")))</f>
        <v/>
      </c>
      <c r="O5908">
        <f>TEXT(B5908,"YYYY-MM")</f>
        <v/>
      </c>
    </row>
    <row r="5909">
      <c r="A5909" t="inlineStr">
        <is>
          <t>LD-305907</t>
        </is>
      </c>
      <c r="B5909" t="inlineStr">
        <is>
          <t>2025-03-28 17:59:00</t>
        </is>
      </c>
      <c r="C5909" t="inlineStr">
        <is>
          <t>Referral</t>
        </is>
      </c>
      <c r="D5909" t="inlineStr">
        <is>
          <t>Coding for Kids</t>
        </is>
      </c>
      <c r="E5909" t="inlineStr">
        <is>
          <t>International</t>
        </is>
      </c>
      <c r="F5909" t="inlineStr">
        <is>
          <t>Rep_15</t>
        </is>
      </c>
      <c r="G5909" t="n">
        <v>2.73</v>
      </c>
      <c r="H5909" t="inlineStr">
        <is>
          <t>Negotiation</t>
        </is>
      </c>
      <c r="I5909" t="inlineStr">
        <is>
          <t>Lost</t>
        </is>
      </c>
      <c r="J5909" t="inlineStr">
        <is>
          <t>No Response / Ghosted</t>
        </is>
      </c>
      <c r="K5909" t="n">
        <v>686.66</v>
      </c>
      <c r="L5909" t="inlineStr">
        <is>
          <t>2025-04-23 18:33:44.536488</t>
        </is>
      </c>
      <c r="M5909">
        <f>VLOOKUP(H5909,'Stage Order'!$A$2:$B$8,2,FALSE)</f>
        <v/>
      </c>
      <c r="N5909">
        <f>IF(G5909&lt;=1,"1. Under 1 hour",IF(G5909&lt;=24,"2. 1-24 hours",IF(G5909&lt;=72,"3. 1-3 days","4. Over 3 days")))</f>
        <v/>
      </c>
      <c r="O5909">
        <f>TEXT(B5909,"YYYY-MM")</f>
        <v/>
      </c>
    </row>
    <row r="5910">
      <c r="A5910" t="inlineStr">
        <is>
          <t>LD-305908</t>
        </is>
      </c>
      <c r="B5910" t="inlineStr">
        <is>
          <t>2026-05-22 11:44:00</t>
        </is>
      </c>
      <c r="C5910" t="inlineStr">
        <is>
          <t>Social Media</t>
        </is>
      </c>
      <c r="D5910" t="inlineStr">
        <is>
          <t>Study Abroad Prep</t>
        </is>
      </c>
      <c r="E5910" t="inlineStr">
        <is>
          <t>South Region</t>
        </is>
      </c>
      <c r="F5910" t="inlineStr">
        <is>
          <t>Rep_07</t>
        </is>
      </c>
      <c r="G5910" t="n">
        <v>2.53</v>
      </c>
      <c r="H5910" t="inlineStr">
        <is>
          <t>Contacted</t>
        </is>
      </c>
      <c r="I5910" t="inlineStr">
        <is>
          <t>Open</t>
        </is>
      </c>
      <c r="M5910">
        <f>VLOOKUP(H5910,'Stage Order'!$A$2:$B$8,2,FALSE)</f>
        <v/>
      </c>
      <c r="N5910">
        <f>IF(G5910&lt;=1,"1. Under 1 hour",IF(G5910&lt;=24,"2. 1-24 hours",IF(G5910&lt;=72,"3. 1-3 days","4. Over 3 days")))</f>
        <v/>
      </c>
      <c r="O5910">
        <f>TEXT(B5910,"YYYY-MM")</f>
        <v/>
      </c>
    </row>
    <row r="5911">
      <c r="A5911" t="inlineStr">
        <is>
          <t>LD-305909</t>
        </is>
      </c>
      <c r="B5911" t="inlineStr">
        <is>
          <t>2025-01-10 17:14:00</t>
        </is>
      </c>
      <c r="C5911" t="inlineStr">
        <is>
          <t>Organic Search</t>
        </is>
      </c>
      <c r="D5911" t="inlineStr">
        <is>
          <t>Competitive Exam Prep</t>
        </is>
      </c>
      <c r="E5911" t="inlineStr">
        <is>
          <t>International</t>
        </is>
      </c>
      <c r="F5911" t="inlineStr">
        <is>
          <t>Rep_05</t>
        </is>
      </c>
      <c r="G5911" t="n">
        <v>7.01</v>
      </c>
      <c r="H5911" t="inlineStr">
        <is>
          <t>Lead</t>
        </is>
      </c>
      <c r="I5911" t="inlineStr">
        <is>
          <t>Open</t>
        </is>
      </c>
      <c r="M5911">
        <f>VLOOKUP(H5911,'Stage Order'!$A$2:$B$8,2,FALSE)</f>
        <v/>
      </c>
      <c r="N5911">
        <f>IF(G5911&lt;=1,"1. Under 1 hour",IF(G5911&lt;=24,"2. 1-24 hours",IF(G5911&lt;=72,"3. 1-3 days","4. Over 3 days")))</f>
        <v/>
      </c>
      <c r="O5911">
        <f>TEXT(B5911,"YYYY-MM")</f>
        <v/>
      </c>
    </row>
    <row r="5912">
      <c r="A5912" t="inlineStr">
        <is>
          <t>LD-305910</t>
        </is>
      </c>
      <c r="B5912" t="inlineStr">
        <is>
          <t>2025-08-25 17:04:00</t>
        </is>
      </c>
      <c r="C5912" t="inlineStr">
        <is>
          <t>Cold Outreach</t>
        </is>
      </c>
      <c r="D5912" t="inlineStr">
        <is>
          <t>K-12 Math</t>
        </is>
      </c>
      <c r="E5912" t="inlineStr">
        <is>
          <t>South Region</t>
        </is>
      </c>
      <c r="F5912" t="inlineStr">
        <is>
          <t>Rep_02</t>
        </is>
      </c>
      <c r="G5912" t="n">
        <v>0.55</v>
      </c>
      <c r="H5912" t="inlineStr">
        <is>
          <t>Contacted</t>
        </is>
      </c>
      <c r="I5912" t="inlineStr">
        <is>
          <t>Open</t>
        </is>
      </c>
      <c r="M5912">
        <f>VLOOKUP(H5912,'Stage Order'!$A$2:$B$8,2,FALSE)</f>
        <v/>
      </c>
      <c r="N5912">
        <f>IF(G5912&lt;=1,"1. Under 1 hour",IF(G5912&lt;=24,"2. 1-24 hours",IF(G5912&lt;=72,"3. 1-3 days","4. Over 3 days")))</f>
        <v/>
      </c>
      <c r="O5912">
        <f>TEXT(B5912,"YYYY-MM")</f>
        <v/>
      </c>
    </row>
    <row r="5913">
      <c r="A5913" t="inlineStr">
        <is>
          <t>LD-305911</t>
        </is>
      </c>
      <c r="B5913" t="inlineStr">
        <is>
          <t>2025-07-18 19:45:00</t>
        </is>
      </c>
      <c r="C5913" t="inlineStr">
        <is>
          <t>Social Media</t>
        </is>
      </c>
      <c r="D5913" t="inlineStr">
        <is>
          <t>Competitive Exam Prep</t>
        </is>
      </c>
      <c r="E5913" t="inlineStr">
        <is>
          <t>West Region</t>
        </is>
      </c>
      <c r="F5913" t="inlineStr">
        <is>
          <t>Rep_13</t>
        </is>
      </c>
      <c r="G5913" t="n">
        <v>8.449999999999999</v>
      </c>
      <c r="H5913" t="inlineStr">
        <is>
          <t>Contacted</t>
        </is>
      </c>
      <c r="I5913" t="inlineStr">
        <is>
          <t>Open</t>
        </is>
      </c>
      <c r="M5913">
        <f>VLOOKUP(H5913,'Stage Order'!$A$2:$B$8,2,FALSE)</f>
        <v/>
      </c>
      <c r="N5913">
        <f>IF(G5913&lt;=1,"1. Under 1 hour",IF(G5913&lt;=24,"2. 1-24 hours",IF(G5913&lt;=72,"3. 1-3 days","4. Over 3 days")))</f>
        <v/>
      </c>
      <c r="O5913">
        <f>TEXT(B5913,"YYYY-MM")</f>
        <v/>
      </c>
    </row>
    <row r="5914">
      <c r="A5914" t="inlineStr">
        <is>
          <t>LD-305912</t>
        </is>
      </c>
      <c r="B5914" t="inlineStr">
        <is>
          <t>2026-05-02 12:58:00</t>
        </is>
      </c>
      <c r="C5914" t="inlineStr">
        <is>
          <t>Referral</t>
        </is>
      </c>
      <c r="D5914" t="inlineStr">
        <is>
          <t>Language Learning</t>
        </is>
      </c>
      <c r="E5914" t="inlineStr">
        <is>
          <t>North Region</t>
        </is>
      </c>
      <c r="F5914" t="inlineStr">
        <is>
          <t>Rep_01</t>
        </is>
      </c>
      <c r="G5914" t="n">
        <v>0.92</v>
      </c>
      <c r="H5914" t="inlineStr">
        <is>
          <t>Contacted</t>
        </is>
      </c>
      <c r="I5914" t="inlineStr">
        <is>
          <t>Open</t>
        </is>
      </c>
      <c r="M5914">
        <f>VLOOKUP(H5914,'Stage Order'!$A$2:$B$8,2,FALSE)</f>
        <v/>
      </c>
      <c r="N5914">
        <f>IF(G5914&lt;=1,"1. Under 1 hour",IF(G5914&lt;=24,"2. 1-24 hours",IF(G5914&lt;=72,"3. 1-3 days","4. Over 3 days")))</f>
        <v/>
      </c>
      <c r="O5914">
        <f>TEXT(B5914,"YYYY-MM")</f>
        <v/>
      </c>
    </row>
    <row r="5915">
      <c r="A5915" t="inlineStr">
        <is>
          <t>LD-305913</t>
        </is>
      </c>
      <c r="B5915" t="inlineStr">
        <is>
          <t>2025-01-07 20:41:00</t>
        </is>
      </c>
      <c r="C5915" t="inlineStr">
        <is>
          <t>Partner Channel</t>
        </is>
      </c>
      <c r="D5915" t="inlineStr">
        <is>
          <t>K-12 Math</t>
        </is>
      </c>
      <c r="E5915" t="inlineStr">
        <is>
          <t>South Region</t>
        </is>
      </c>
      <c r="F5915" t="inlineStr">
        <is>
          <t>Rep_07</t>
        </is>
      </c>
      <c r="G5915" t="n">
        <v>1.09</v>
      </c>
      <c r="H5915" t="inlineStr">
        <is>
          <t>Lead</t>
        </is>
      </c>
      <c r="I5915" t="inlineStr">
        <is>
          <t>Open</t>
        </is>
      </c>
      <c r="M5915">
        <f>VLOOKUP(H5915,'Stage Order'!$A$2:$B$8,2,FALSE)</f>
        <v/>
      </c>
      <c r="N5915">
        <f>IF(G5915&lt;=1,"1. Under 1 hour",IF(G5915&lt;=24,"2. 1-24 hours",IF(G5915&lt;=72,"3. 1-3 days","4. Over 3 days")))</f>
        <v/>
      </c>
      <c r="O5915">
        <f>TEXT(B5915,"YYYY-MM")</f>
        <v/>
      </c>
    </row>
    <row r="5916">
      <c r="A5916" t="inlineStr">
        <is>
          <t>LD-305914</t>
        </is>
      </c>
      <c r="B5916" t="inlineStr">
        <is>
          <t>2026-02-20 07:36:00</t>
        </is>
      </c>
      <c r="C5916" t="inlineStr">
        <is>
          <t>Organic Search</t>
        </is>
      </c>
      <c r="D5916" t="inlineStr">
        <is>
          <t>Competitive Exam Prep</t>
        </is>
      </c>
      <c r="E5916" t="inlineStr">
        <is>
          <t>East Region</t>
        </is>
      </c>
      <c r="F5916" t="inlineStr">
        <is>
          <t>Rep_09</t>
        </is>
      </c>
      <c r="G5916" t="n">
        <v>2.24</v>
      </c>
      <c r="H5916" t="inlineStr">
        <is>
          <t>Contacted</t>
        </is>
      </c>
      <c r="I5916" t="inlineStr">
        <is>
          <t>Open</t>
        </is>
      </c>
      <c r="M5916">
        <f>VLOOKUP(H5916,'Stage Order'!$A$2:$B$8,2,FALSE)</f>
        <v/>
      </c>
      <c r="N5916">
        <f>IF(G5916&lt;=1,"1. Under 1 hour",IF(G5916&lt;=24,"2. 1-24 hours",IF(G5916&lt;=72,"3. 1-3 days","4. Over 3 days")))</f>
        <v/>
      </c>
      <c r="O5916">
        <f>TEXT(B5916,"YYYY-MM")</f>
        <v/>
      </c>
    </row>
    <row r="5917">
      <c r="A5917" t="inlineStr">
        <is>
          <t>LD-305915</t>
        </is>
      </c>
      <c r="B5917" t="inlineStr">
        <is>
          <t>2025-01-03 18:11:00</t>
        </is>
      </c>
      <c r="C5917" t="inlineStr">
        <is>
          <t>Organic Search</t>
        </is>
      </c>
      <c r="D5917" t="inlineStr">
        <is>
          <t>Coding for Kids</t>
        </is>
      </c>
      <c r="E5917" t="inlineStr">
        <is>
          <t>West Region</t>
        </is>
      </c>
      <c r="F5917" t="inlineStr">
        <is>
          <t>Rep_08</t>
        </is>
      </c>
      <c r="G5917" t="n">
        <v>1.75</v>
      </c>
      <c r="H5917" t="inlineStr">
        <is>
          <t>Negotiation</t>
        </is>
      </c>
      <c r="I5917" t="inlineStr">
        <is>
          <t>Lost</t>
        </is>
      </c>
      <c r="J5917" t="inlineStr">
        <is>
          <t>Went With Competitor</t>
        </is>
      </c>
      <c r="K5917" t="n">
        <v>770.2</v>
      </c>
      <c r="L5917" t="inlineStr">
        <is>
          <t>2025-02-22 06:36:44.128326</t>
        </is>
      </c>
      <c r="M5917">
        <f>VLOOKUP(H5917,'Stage Order'!$A$2:$B$8,2,FALSE)</f>
        <v/>
      </c>
      <c r="N5917">
        <f>IF(G5917&lt;=1,"1. Under 1 hour",IF(G5917&lt;=24,"2. 1-24 hours",IF(G5917&lt;=72,"3. 1-3 days","4. Over 3 days")))</f>
        <v/>
      </c>
      <c r="O5917">
        <f>TEXT(B5917,"YYYY-MM")</f>
        <v/>
      </c>
    </row>
    <row r="5918">
      <c r="A5918" t="inlineStr">
        <is>
          <t>LD-305916</t>
        </is>
      </c>
      <c r="B5918" t="inlineStr">
        <is>
          <t>2026-05-29 09:47:00</t>
        </is>
      </c>
      <c r="C5918" t="inlineStr">
        <is>
          <t>Organic Search</t>
        </is>
      </c>
      <c r="D5918" t="inlineStr">
        <is>
          <t>Study Abroad Prep</t>
        </is>
      </c>
      <c r="E5918" t="inlineStr">
        <is>
          <t>North Region</t>
        </is>
      </c>
      <c r="F5918" t="inlineStr">
        <is>
          <t>Rep_01</t>
        </is>
      </c>
      <c r="G5918" t="n">
        <v>0.53</v>
      </c>
      <c r="H5918" t="inlineStr">
        <is>
          <t>Contacted</t>
        </is>
      </c>
      <c r="I5918" t="inlineStr">
        <is>
          <t>Open</t>
        </is>
      </c>
      <c r="M5918">
        <f>VLOOKUP(H5918,'Stage Order'!$A$2:$B$8,2,FALSE)</f>
        <v/>
      </c>
      <c r="N5918">
        <f>IF(G5918&lt;=1,"1. Under 1 hour",IF(G5918&lt;=24,"2. 1-24 hours",IF(G5918&lt;=72,"3. 1-3 days","4. Over 3 days")))</f>
        <v/>
      </c>
      <c r="O5918">
        <f>TEXT(B5918,"YYYY-MM")</f>
        <v/>
      </c>
    </row>
    <row r="5919">
      <c r="A5919" t="inlineStr">
        <is>
          <t>LD-305917</t>
        </is>
      </c>
      <c r="B5919" t="inlineStr">
        <is>
          <t>2026-03-04 15:52:00</t>
        </is>
      </c>
      <c r="C5919" t="inlineStr">
        <is>
          <t>Paid Search</t>
        </is>
      </c>
      <c r="D5919" t="inlineStr">
        <is>
          <t>K-12 Math</t>
        </is>
      </c>
      <c r="E5919" t="inlineStr">
        <is>
          <t>North Region</t>
        </is>
      </c>
      <c r="F5919" t="inlineStr">
        <is>
          <t>Rep_11</t>
        </is>
      </c>
      <c r="G5919" t="n">
        <v>1.03</v>
      </c>
      <c r="H5919" t="inlineStr">
        <is>
          <t>Contacted</t>
        </is>
      </c>
      <c r="I5919" t="inlineStr">
        <is>
          <t>Open</t>
        </is>
      </c>
      <c r="M5919">
        <f>VLOOKUP(H5919,'Stage Order'!$A$2:$B$8,2,FALSE)</f>
        <v/>
      </c>
      <c r="N5919">
        <f>IF(G5919&lt;=1,"1. Under 1 hour",IF(G5919&lt;=24,"2. 1-24 hours",IF(G5919&lt;=72,"3. 1-3 days","4. Over 3 days")))</f>
        <v/>
      </c>
      <c r="O5919">
        <f>TEXT(B5919,"YYYY-MM")</f>
        <v/>
      </c>
    </row>
    <row r="5920">
      <c r="A5920" t="inlineStr">
        <is>
          <t>LD-305918</t>
        </is>
      </c>
      <c r="B5920" t="inlineStr">
        <is>
          <t>2026-04-12 09:17:00</t>
        </is>
      </c>
      <c r="C5920" t="inlineStr">
        <is>
          <t>Organic Search</t>
        </is>
      </c>
      <c r="D5920" t="inlineStr">
        <is>
          <t>K-12 Math</t>
        </is>
      </c>
      <c r="E5920" t="inlineStr">
        <is>
          <t>East Region</t>
        </is>
      </c>
      <c r="F5920" t="inlineStr">
        <is>
          <t>Rep_09</t>
        </is>
      </c>
      <c r="G5920" t="n">
        <v>2.08</v>
      </c>
      <c r="H5920" t="inlineStr">
        <is>
          <t>Contacted</t>
        </is>
      </c>
      <c r="I5920" t="inlineStr">
        <is>
          <t>Open</t>
        </is>
      </c>
      <c r="M5920">
        <f>VLOOKUP(H5920,'Stage Order'!$A$2:$B$8,2,FALSE)</f>
        <v/>
      </c>
      <c r="N5920">
        <f>IF(G5920&lt;=1,"1. Under 1 hour",IF(G5920&lt;=24,"2. 1-24 hours",IF(G5920&lt;=72,"3. 1-3 days","4. Over 3 days")))</f>
        <v/>
      </c>
      <c r="O5920">
        <f>TEXT(B5920,"YYYY-MM")</f>
        <v/>
      </c>
    </row>
    <row r="5921">
      <c r="A5921" t="inlineStr">
        <is>
          <t>LD-305919</t>
        </is>
      </c>
      <c r="B5921" t="inlineStr">
        <is>
          <t>2026-03-12 14:25:00</t>
        </is>
      </c>
      <c r="C5921" t="inlineStr">
        <is>
          <t>Cold Outreach</t>
        </is>
      </c>
      <c r="D5921" t="inlineStr">
        <is>
          <t>Language Learning</t>
        </is>
      </c>
      <c r="E5921" t="inlineStr">
        <is>
          <t>West Region</t>
        </is>
      </c>
      <c r="F5921" t="inlineStr">
        <is>
          <t>Rep_08</t>
        </is>
      </c>
      <c r="G5921" t="n">
        <v>4.33</v>
      </c>
      <c r="H5921" t="inlineStr">
        <is>
          <t>Contacted</t>
        </is>
      </c>
      <c r="I5921" t="inlineStr">
        <is>
          <t>Open</t>
        </is>
      </c>
      <c r="M5921">
        <f>VLOOKUP(H5921,'Stage Order'!$A$2:$B$8,2,FALSE)</f>
        <v/>
      </c>
      <c r="N5921">
        <f>IF(G5921&lt;=1,"1. Under 1 hour",IF(G5921&lt;=24,"2. 1-24 hours",IF(G5921&lt;=72,"3. 1-3 days","4. Over 3 days")))</f>
        <v/>
      </c>
      <c r="O5921">
        <f>TEXT(B5921,"YYYY-MM")</f>
        <v/>
      </c>
    </row>
    <row r="5922">
      <c r="A5922" t="inlineStr">
        <is>
          <t>LD-305920</t>
        </is>
      </c>
      <c r="B5922" t="inlineStr">
        <is>
          <t>2025-01-27 13:42:00</t>
        </is>
      </c>
      <c r="C5922" t="inlineStr">
        <is>
          <t>Social Media</t>
        </is>
      </c>
      <c r="D5922" t="inlineStr">
        <is>
          <t>K-12 Math</t>
        </is>
      </c>
      <c r="E5922" t="inlineStr">
        <is>
          <t>North Region</t>
        </is>
      </c>
      <c r="F5922" t="inlineStr">
        <is>
          <t>Rep_01</t>
        </is>
      </c>
      <c r="G5922" t="n">
        <v>7.51</v>
      </c>
      <c r="H5922" t="inlineStr">
        <is>
          <t>Demo Scheduled</t>
        </is>
      </c>
      <c r="I5922" t="inlineStr">
        <is>
          <t>Open</t>
        </is>
      </c>
      <c r="M5922">
        <f>VLOOKUP(H5922,'Stage Order'!$A$2:$B$8,2,FALSE)</f>
        <v/>
      </c>
      <c r="N5922">
        <f>IF(G5922&lt;=1,"1. Under 1 hour",IF(G5922&lt;=24,"2. 1-24 hours",IF(G5922&lt;=72,"3. 1-3 days","4. Over 3 days")))</f>
        <v/>
      </c>
      <c r="O5922">
        <f>TEXT(B5922,"YYYY-MM")</f>
        <v/>
      </c>
    </row>
    <row r="5923">
      <c r="A5923" t="inlineStr">
        <is>
          <t>LD-305921</t>
        </is>
      </c>
      <c r="B5923" t="inlineStr">
        <is>
          <t>2026-03-09 13:56:00</t>
        </is>
      </c>
      <c r="C5923" t="inlineStr">
        <is>
          <t>Organic Search</t>
        </is>
      </c>
      <c r="D5923" t="inlineStr">
        <is>
          <t>K-12 Math</t>
        </is>
      </c>
      <c r="E5923" t="inlineStr">
        <is>
          <t>North Region</t>
        </is>
      </c>
      <c r="F5923" t="inlineStr">
        <is>
          <t>Rep_06</t>
        </is>
      </c>
      <c r="G5923" t="n">
        <v>7.9</v>
      </c>
      <c r="H5923" t="inlineStr">
        <is>
          <t>Contacted</t>
        </is>
      </c>
      <c r="I5923" t="inlineStr">
        <is>
          <t>Open</t>
        </is>
      </c>
      <c r="M5923">
        <f>VLOOKUP(H5923,'Stage Order'!$A$2:$B$8,2,FALSE)</f>
        <v/>
      </c>
      <c r="N5923">
        <f>IF(G5923&lt;=1,"1. Under 1 hour",IF(G5923&lt;=24,"2. 1-24 hours",IF(G5923&lt;=72,"3. 1-3 days","4. Over 3 days")))</f>
        <v/>
      </c>
      <c r="O5923">
        <f>TEXT(B5923,"YYYY-MM")</f>
        <v/>
      </c>
    </row>
    <row r="5924">
      <c r="A5924" t="inlineStr">
        <is>
          <t>LD-305922</t>
        </is>
      </c>
      <c r="B5924" t="inlineStr">
        <is>
          <t>2025-01-28 20:10:00</t>
        </is>
      </c>
      <c r="C5924" t="inlineStr">
        <is>
          <t>Social Media</t>
        </is>
      </c>
      <c r="D5924" t="inlineStr">
        <is>
          <t>Language Learning</t>
        </is>
      </c>
      <c r="E5924" t="inlineStr">
        <is>
          <t>West Region</t>
        </is>
      </c>
      <c r="F5924" t="inlineStr">
        <is>
          <t>Rep_13</t>
        </is>
      </c>
      <c r="G5924" t="n">
        <v>4.96</v>
      </c>
      <c r="H5924" t="inlineStr">
        <is>
          <t>Lead</t>
        </is>
      </c>
      <c r="I5924" t="inlineStr">
        <is>
          <t>Open</t>
        </is>
      </c>
      <c r="M5924">
        <f>VLOOKUP(H5924,'Stage Order'!$A$2:$B$8,2,FALSE)</f>
        <v/>
      </c>
      <c r="N5924">
        <f>IF(G5924&lt;=1,"1. Under 1 hour",IF(G5924&lt;=24,"2. 1-24 hours",IF(G5924&lt;=72,"3. 1-3 days","4. Over 3 days")))</f>
        <v/>
      </c>
      <c r="O5924">
        <f>TEXT(B5924,"YYYY-MM")</f>
        <v/>
      </c>
    </row>
    <row r="5925">
      <c r="A5925" t="inlineStr">
        <is>
          <t>LD-305923</t>
        </is>
      </c>
      <c r="B5925" t="inlineStr">
        <is>
          <t>2026-04-03 10:17:00</t>
        </is>
      </c>
      <c r="C5925" t="inlineStr">
        <is>
          <t>Cold Outreach</t>
        </is>
      </c>
      <c r="D5925" t="inlineStr">
        <is>
          <t>Language Learning</t>
        </is>
      </c>
      <c r="E5925" t="inlineStr">
        <is>
          <t>North Region</t>
        </is>
      </c>
      <c r="F5925" t="inlineStr">
        <is>
          <t>Rep_06</t>
        </is>
      </c>
      <c r="G5925" t="n">
        <v>1.49</v>
      </c>
      <c r="H5925" t="inlineStr">
        <is>
          <t>Lead</t>
        </is>
      </c>
      <c r="I5925" t="inlineStr">
        <is>
          <t>Open</t>
        </is>
      </c>
      <c r="M5925">
        <f>VLOOKUP(H5925,'Stage Order'!$A$2:$B$8,2,FALSE)</f>
        <v/>
      </c>
      <c r="N5925">
        <f>IF(G5925&lt;=1,"1. Under 1 hour",IF(G5925&lt;=24,"2. 1-24 hours",IF(G5925&lt;=72,"3. 1-3 days","4. Over 3 days")))</f>
        <v/>
      </c>
      <c r="O5925">
        <f>TEXT(B5925,"YYYY-MM")</f>
        <v/>
      </c>
    </row>
    <row r="5926">
      <c r="A5926" t="inlineStr">
        <is>
          <t>LD-305924</t>
        </is>
      </c>
      <c r="B5926" t="inlineStr">
        <is>
          <t>2026-04-24 07:42:00</t>
        </is>
      </c>
      <c r="C5926" t="inlineStr">
        <is>
          <t>Referral</t>
        </is>
      </c>
      <c r="D5926" t="inlineStr">
        <is>
          <t>Study Abroad Prep</t>
        </is>
      </c>
      <c r="E5926" t="inlineStr">
        <is>
          <t>West Region</t>
        </is>
      </c>
      <c r="F5926" t="inlineStr">
        <is>
          <t>Rep_08</t>
        </is>
      </c>
      <c r="G5926" t="n">
        <v>14.28</v>
      </c>
      <c r="H5926" t="inlineStr">
        <is>
          <t>Closed</t>
        </is>
      </c>
      <c r="I5926" t="inlineStr">
        <is>
          <t>Won</t>
        </is>
      </c>
      <c r="K5926" t="n">
        <v>1484.16</v>
      </c>
      <c r="L5926" t="inlineStr">
        <is>
          <t>2026-05-29 07:00:31.126285</t>
        </is>
      </c>
      <c r="M5926">
        <f>VLOOKUP(H5926,'Stage Order'!$A$2:$B$8,2,FALSE)</f>
        <v/>
      </c>
      <c r="N5926">
        <f>IF(G5926&lt;=1,"1. Under 1 hour",IF(G5926&lt;=24,"2. 1-24 hours",IF(G5926&lt;=72,"3. 1-3 days","4. Over 3 days")))</f>
        <v/>
      </c>
      <c r="O5926">
        <f>TEXT(B5926,"YYYY-MM")</f>
        <v/>
      </c>
    </row>
    <row r="5927">
      <c r="A5927" t="inlineStr">
        <is>
          <t>LD-305925</t>
        </is>
      </c>
      <c r="B5927" t="inlineStr">
        <is>
          <t>2026-01-14 12:47:00</t>
        </is>
      </c>
      <c r="C5927" t="inlineStr">
        <is>
          <t>Referral</t>
        </is>
      </c>
      <c r="D5927" t="inlineStr">
        <is>
          <t>Coding for Kids</t>
        </is>
      </c>
      <c r="E5927" t="inlineStr">
        <is>
          <t>South Region</t>
        </is>
      </c>
      <c r="F5927" t="inlineStr">
        <is>
          <t>Rep_12</t>
        </is>
      </c>
      <c r="G5927" t="n">
        <v>0.79</v>
      </c>
      <c r="H5927" t="inlineStr">
        <is>
          <t>Closed</t>
        </is>
      </c>
      <c r="I5927" t="inlineStr">
        <is>
          <t>Won</t>
        </is>
      </c>
      <c r="K5927" t="n">
        <v>582.7</v>
      </c>
      <c r="L5927" t="inlineStr">
        <is>
          <t>2026-03-03 13:01:05.637962</t>
        </is>
      </c>
      <c r="M5927">
        <f>VLOOKUP(H5927,'Stage Order'!$A$2:$B$8,2,FALSE)</f>
        <v/>
      </c>
      <c r="N5927">
        <f>IF(G5927&lt;=1,"1. Under 1 hour",IF(G5927&lt;=24,"2. 1-24 hours",IF(G5927&lt;=72,"3. 1-3 days","4. Over 3 days")))</f>
        <v/>
      </c>
      <c r="O5927">
        <f>TEXT(B5927,"YYYY-MM")</f>
        <v/>
      </c>
    </row>
    <row r="5928">
      <c r="A5928" t="inlineStr">
        <is>
          <t>LD-305926</t>
        </is>
      </c>
      <c r="B5928" t="inlineStr">
        <is>
          <t>2025-02-21 12:52:00</t>
        </is>
      </c>
      <c r="C5928" t="inlineStr">
        <is>
          <t>Webinar</t>
        </is>
      </c>
      <c r="D5928" t="inlineStr">
        <is>
          <t>Language Learning</t>
        </is>
      </c>
      <c r="E5928" t="inlineStr">
        <is>
          <t>East Region</t>
        </is>
      </c>
      <c r="F5928" t="inlineStr">
        <is>
          <t>Rep_04</t>
        </is>
      </c>
      <c r="G5928" t="n">
        <v>9.85</v>
      </c>
      <c r="H5928" t="inlineStr">
        <is>
          <t>Contacted</t>
        </is>
      </c>
      <c r="I5928" t="inlineStr">
        <is>
          <t>Open</t>
        </is>
      </c>
      <c r="M5928">
        <f>VLOOKUP(H5928,'Stage Order'!$A$2:$B$8,2,FALSE)</f>
        <v/>
      </c>
      <c r="N5928">
        <f>IF(G5928&lt;=1,"1. Under 1 hour",IF(G5928&lt;=24,"2. 1-24 hours",IF(G5928&lt;=72,"3. 1-3 days","4. Over 3 days")))</f>
        <v/>
      </c>
      <c r="O5928">
        <f>TEXT(B5928,"YYYY-MM")</f>
        <v/>
      </c>
    </row>
    <row r="5929">
      <c r="A5929" t="inlineStr">
        <is>
          <t>LD-305927</t>
        </is>
      </c>
      <c r="B5929" t="inlineStr">
        <is>
          <t>2025-07-18 08:39:00</t>
        </is>
      </c>
      <c r="C5929" t="inlineStr">
        <is>
          <t>Webinar</t>
        </is>
      </c>
      <c r="D5929" t="inlineStr">
        <is>
          <t>Language Learning</t>
        </is>
      </c>
      <c r="E5929" t="inlineStr">
        <is>
          <t>International</t>
        </is>
      </c>
      <c r="F5929" t="inlineStr">
        <is>
          <t>Rep_10</t>
        </is>
      </c>
      <c r="G5929" t="n">
        <v>0.82</v>
      </c>
      <c r="H5929" t="inlineStr">
        <is>
          <t>Contacted</t>
        </is>
      </c>
      <c r="I5929" t="inlineStr">
        <is>
          <t>Open</t>
        </is>
      </c>
      <c r="M5929">
        <f>VLOOKUP(H5929,'Stage Order'!$A$2:$B$8,2,FALSE)</f>
        <v/>
      </c>
      <c r="N5929">
        <f>IF(G5929&lt;=1,"1. Under 1 hour",IF(G5929&lt;=24,"2. 1-24 hours",IF(G5929&lt;=72,"3. 1-3 days","4. Over 3 days")))</f>
        <v/>
      </c>
      <c r="O5929">
        <f>TEXT(B5929,"YYYY-MM")</f>
        <v/>
      </c>
    </row>
    <row r="5930">
      <c r="A5930" t="inlineStr">
        <is>
          <t>LD-305928</t>
        </is>
      </c>
      <c r="B5930" t="inlineStr">
        <is>
          <t>2026-04-05 11:18:00</t>
        </is>
      </c>
      <c r="C5930" t="inlineStr">
        <is>
          <t>Referral</t>
        </is>
      </c>
      <c r="D5930" t="inlineStr">
        <is>
          <t>Language Learning</t>
        </is>
      </c>
      <c r="E5930" t="inlineStr">
        <is>
          <t>North Region</t>
        </is>
      </c>
      <c r="F5930" t="inlineStr">
        <is>
          <t>Rep_06</t>
        </is>
      </c>
      <c r="G5930" t="n">
        <v>2.35</v>
      </c>
      <c r="H5930" t="inlineStr">
        <is>
          <t>Proposal Sent</t>
        </is>
      </c>
      <c r="I5930" t="inlineStr">
        <is>
          <t>Lost</t>
        </is>
      </c>
      <c r="J5930" t="inlineStr">
        <is>
          <t>Bad Timing</t>
        </is>
      </c>
      <c r="K5930" t="n">
        <v>322.99</v>
      </c>
      <c r="L5930" t="inlineStr">
        <is>
          <t>2026-05-05 15:39:30.038470</t>
        </is>
      </c>
      <c r="M5930">
        <f>VLOOKUP(H5930,'Stage Order'!$A$2:$B$8,2,FALSE)</f>
        <v/>
      </c>
      <c r="N5930">
        <f>IF(G5930&lt;=1,"1. Under 1 hour",IF(G5930&lt;=24,"2. 1-24 hours",IF(G5930&lt;=72,"3. 1-3 days","4. Over 3 days")))</f>
        <v/>
      </c>
      <c r="O5930">
        <f>TEXT(B5930,"YYYY-MM")</f>
        <v/>
      </c>
    </row>
    <row r="5931">
      <c r="A5931" t="inlineStr">
        <is>
          <t>LD-305929</t>
        </is>
      </c>
      <c r="B5931" t="inlineStr">
        <is>
          <t>2025-12-31 16:13:00</t>
        </is>
      </c>
      <c r="C5931" t="inlineStr">
        <is>
          <t>Organic Search</t>
        </is>
      </c>
      <c r="D5931" t="inlineStr">
        <is>
          <t>Coding for Kids</t>
        </is>
      </c>
      <c r="E5931" t="inlineStr">
        <is>
          <t>South Region</t>
        </is>
      </c>
      <c r="F5931" t="inlineStr">
        <is>
          <t>Rep_02</t>
        </is>
      </c>
      <c r="G5931" t="n">
        <v>13.25</v>
      </c>
      <c r="H5931" t="inlineStr">
        <is>
          <t>Negotiation</t>
        </is>
      </c>
      <c r="I5931" t="inlineStr">
        <is>
          <t>Lost</t>
        </is>
      </c>
      <c r="J5931" t="inlineStr">
        <is>
          <t>Price Objection</t>
        </is>
      </c>
      <c r="K5931" t="n">
        <v>529.76</v>
      </c>
      <c r="L5931" t="inlineStr">
        <is>
          <t>2026-02-20 10:21:34.245722</t>
        </is>
      </c>
      <c r="M5931">
        <f>VLOOKUP(H5931,'Stage Order'!$A$2:$B$8,2,FALSE)</f>
        <v/>
      </c>
      <c r="N5931">
        <f>IF(G5931&lt;=1,"1. Under 1 hour",IF(G5931&lt;=24,"2. 1-24 hours",IF(G5931&lt;=72,"3. 1-3 days","4. Over 3 days")))</f>
        <v/>
      </c>
      <c r="O5931">
        <f>TEXT(B5931,"YYYY-MM")</f>
        <v/>
      </c>
    </row>
    <row r="5932">
      <c r="A5932" t="inlineStr">
        <is>
          <t>LD-305930</t>
        </is>
      </c>
      <c r="B5932" t="inlineStr">
        <is>
          <t>2026-01-20 17:01:00</t>
        </is>
      </c>
      <c r="C5932" t="inlineStr">
        <is>
          <t>Referral</t>
        </is>
      </c>
      <c r="D5932" t="inlineStr">
        <is>
          <t>K-12 Math</t>
        </is>
      </c>
      <c r="E5932" t="inlineStr">
        <is>
          <t>North Region</t>
        </is>
      </c>
      <c r="F5932" t="inlineStr">
        <is>
          <t>Rep_06</t>
        </is>
      </c>
      <c r="G5932" t="n">
        <v>7.48</v>
      </c>
      <c r="H5932" t="inlineStr">
        <is>
          <t>Proposal Sent</t>
        </is>
      </c>
      <c r="I5932" t="inlineStr">
        <is>
          <t>Lost</t>
        </is>
      </c>
      <c r="J5932" t="inlineStr">
        <is>
          <t>Price Objection</t>
        </is>
      </c>
      <c r="K5932" t="n">
        <v>496.81</v>
      </c>
      <c r="L5932" t="inlineStr">
        <is>
          <t>2026-03-08 03:24:27.481730</t>
        </is>
      </c>
      <c r="M5932">
        <f>VLOOKUP(H5932,'Stage Order'!$A$2:$B$8,2,FALSE)</f>
        <v/>
      </c>
      <c r="N5932">
        <f>IF(G5932&lt;=1,"1. Under 1 hour",IF(G5932&lt;=24,"2. 1-24 hours",IF(G5932&lt;=72,"3. 1-3 days","4. Over 3 days")))</f>
        <v/>
      </c>
      <c r="O5932">
        <f>TEXT(B5932,"YYYY-MM")</f>
        <v/>
      </c>
    </row>
    <row r="5933">
      <c r="A5933" t="inlineStr">
        <is>
          <t>LD-305931</t>
        </is>
      </c>
      <c r="B5933" t="inlineStr">
        <is>
          <t>2025-08-30 15:12:00</t>
        </is>
      </c>
      <c r="C5933" t="inlineStr">
        <is>
          <t>Organic Search</t>
        </is>
      </c>
      <c r="D5933" t="inlineStr">
        <is>
          <t>Language Learning</t>
        </is>
      </c>
      <c r="E5933" t="inlineStr">
        <is>
          <t>East Region</t>
        </is>
      </c>
      <c r="F5933" t="inlineStr">
        <is>
          <t>Rep_09</t>
        </is>
      </c>
      <c r="G5933" t="n">
        <v>2.87</v>
      </c>
      <c r="H5933" t="inlineStr">
        <is>
          <t>Negotiation</t>
        </is>
      </c>
      <c r="I5933" t="inlineStr">
        <is>
          <t>Lost</t>
        </is>
      </c>
      <c r="J5933" t="inlineStr">
        <is>
          <t>Bad Timing</t>
        </is>
      </c>
      <c r="K5933" t="n">
        <v>305.41</v>
      </c>
      <c r="L5933" t="inlineStr">
        <is>
          <t>2025-10-07 17:44:35.326166</t>
        </is>
      </c>
      <c r="M5933">
        <f>VLOOKUP(H5933,'Stage Order'!$A$2:$B$8,2,FALSE)</f>
        <v/>
      </c>
      <c r="N5933">
        <f>IF(G5933&lt;=1,"1. Under 1 hour",IF(G5933&lt;=24,"2. 1-24 hours",IF(G5933&lt;=72,"3. 1-3 days","4. Over 3 days")))</f>
        <v/>
      </c>
      <c r="O5933">
        <f>TEXT(B5933,"YYYY-MM")</f>
        <v/>
      </c>
    </row>
    <row r="5934">
      <c r="A5934" t="inlineStr">
        <is>
          <t>LD-305932</t>
        </is>
      </c>
      <c r="B5934" t="inlineStr">
        <is>
          <t>2025-05-29 08:01:00</t>
        </is>
      </c>
      <c r="C5934" t="inlineStr">
        <is>
          <t>Referral</t>
        </is>
      </c>
      <c r="D5934" t="inlineStr">
        <is>
          <t>Coding for Kids</t>
        </is>
      </c>
      <c r="E5934" t="inlineStr">
        <is>
          <t>West Region</t>
        </is>
      </c>
      <c r="F5934" t="inlineStr">
        <is>
          <t>Rep_13</t>
        </is>
      </c>
      <c r="G5934" t="n">
        <v>2.4</v>
      </c>
      <c r="H5934" t="inlineStr">
        <is>
          <t>Contacted</t>
        </is>
      </c>
      <c r="I5934" t="inlineStr">
        <is>
          <t>Open</t>
        </is>
      </c>
      <c r="M5934">
        <f>VLOOKUP(H5934,'Stage Order'!$A$2:$B$8,2,FALSE)</f>
        <v/>
      </c>
      <c r="N5934">
        <f>IF(G5934&lt;=1,"1. Under 1 hour",IF(G5934&lt;=24,"2. 1-24 hours",IF(G5934&lt;=72,"3. 1-3 days","4. Over 3 days")))</f>
        <v/>
      </c>
      <c r="O5934">
        <f>TEXT(B5934,"YYYY-MM")</f>
        <v/>
      </c>
    </row>
    <row r="5935">
      <c r="A5935" t="inlineStr">
        <is>
          <t>LD-305933</t>
        </is>
      </c>
      <c r="B5935" t="inlineStr">
        <is>
          <t>2025-10-28 08:25:00</t>
        </is>
      </c>
      <c r="C5935" t="inlineStr">
        <is>
          <t>Organic Search</t>
        </is>
      </c>
      <c r="D5935" t="inlineStr">
        <is>
          <t>Coding for Kids</t>
        </is>
      </c>
      <c r="E5935" t="inlineStr">
        <is>
          <t>South Region</t>
        </is>
      </c>
      <c r="F5935" t="inlineStr">
        <is>
          <t>Rep_07</t>
        </is>
      </c>
      <c r="G5935" t="n">
        <v>4.12</v>
      </c>
      <c r="H5935" t="inlineStr">
        <is>
          <t>Closed</t>
        </is>
      </c>
      <c r="I5935" t="inlineStr">
        <is>
          <t>Won</t>
        </is>
      </c>
      <c r="K5935" t="n">
        <v>584.76</v>
      </c>
      <c r="L5935" t="inlineStr">
        <is>
          <t>2025-12-17 11:15:45.483697</t>
        </is>
      </c>
      <c r="M5935">
        <f>VLOOKUP(H5935,'Stage Order'!$A$2:$B$8,2,FALSE)</f>
        <v/>
      </c>
      <c r="N5935">
        <f>IF(G5935&lt;=1,"1. Under 1 hour",IF(G5935&lt;=24,"2. 1-24 hours",IF(G5935&lt;=72,"3. 1-3 days","4. Over 3 days")))</f>
        <v/>
      </c>
      <c r="O5935">
        <f>TEXT(B5935,"YYYY-MM")</f>
        <v/>
      </c>
    </row>
    <row r="5936">
      <c r="A5936" t="inlineStr">
        <is>
          <t>LD-305934</t>
        </is>
      </c>
      <c r="B5936" t="inlineStr">
        <is>
          <t>2025-02-24 20:41:00</t>
        </is>
      </c>
      <c r="C5936" t="inlineStr">
        <is>
          <t>Organic Search</t>
        </is>
      </c>
      <c r="D5936" t="inlineStr">
        <is>
          <t>K-12 Math</t>
        </is>
      </c>
      <c r="E5936" t="inlineStr">
        <is>
          <t>South Region</t>
        </is>
      </c>
      <c r="F5936" t="inlineStr">
        <is>
          <t>Rep_12</t>
        </is>
      </c>
      <c r="G5936" t="n">
        <v>1.99</v>
      </c>
      <c r="H5936" t="inlineStr">
        <is>
          <t>Negotiation</t>
        </is>
      </c>
      <c r="I5936" t="inlineStr">
        <is>
          <t>Lost</t>
        </is>
      </c>
      <c r="J5936" t="inlineStr">
        <is>
          <t>Price Objection</t>
        </is>
      </c>
      <c r="K5936" t="n">
        <v>577.35</v>
      </c>
      <c r="L5936" t="inlineStr">
        <is>
          <t>2025-04-11 20:25:06.895479</t>
        </is>
      </c>
      <c r="M5936">
        <f>VLOOKUP(H5936,'Stage Order'!$A$2:$B$8,2,FALSE)</f>
        <v/>
      </c>
      <c r="N5936">
        <f>IF(G5936&lt;=1,"1. Under 1 hour",IF(G5936&lt;=24,"2. 1-24 hours",IF(G5936&lt;=72,"3. 1-3 days","4. Over 3 days")))</f>
        <v/>
      </c>
      <c r="O5936">
        <f>TEXT(B5936,"YYYY-MM")</f>
        <v/>
      </c>
    </row>
    <row r="5937">
      <c r="A5937" t="inlineStr">
        <is>
          <t>LD-305935</t>
        </is>
      </c>
      <c r="B5937" t="inlineStr">
        <is>
          <t>2026-04-06 17:44:00</t>
        </is>
      </c>
      <c r="C5937" t="inlineStr">
        <is>
          <t>Referral</t>
        </is>
      </c>
      <c r="D5937" t="inlineStr">
        <is>
          <t>Competitive Exam Prep</t>
        </is>
      </c>
      <c r="E5937" t="inlineStr">
        <is>
          <t>East Region</t>
        </is>
      </c>
      <c r="F5937" t="inlineStr">
        <is>
          <t>Rep_14</t>
        </is>
      </c>
      <c r="G5937" t="n">
        <v>19.44</v>
      </c>
      <c r="H5937" t="inlineStr">
        <is>
          <t>Contacted</t>
        </is>
      </c>
      <c r="I5937" t="inlineStr">
        <is>
          <t>Open</t>
        </is>
      </c>
      <c r="M5937">
        <f>VLOOKUP(H5937,'Stage Order'!$A$2:$B$8,2,FALSE)</f>
        <v/>
      </c>
      <c r="N5937">
        <f>IF(G5937&lt;=1,"1. Under 1 hour",IF(G5937&lt;=24,"2. 1-24 hours",IF(G5937&lt;=72,"3. 1-3 days","4. Over 3 days")))</f>
        <v/>
      </c>
      <c r="O5937">
        <f>TEXT(B5937,"YYYY-MM")</f>
        <v/>
      </c>
    </row>
    <row r="5938">
      <c r="A5938" t="inlineStr">
        <is>
          <t>LD-305936</t>
        </is>
      </c>
      <c r="B5938" t="inlineStr">
        <is>
          <t>2026-02-20 12:54:00</t>
        </is>
      </c>
      <c r="C5938" t="inlineStr">
        <is>
          <t>Paid Search</t>
        </is>
      </c>
      <c r="D5938" t="inlineStr">
        <is>
          <t>K-12 Math</t>
        </is>
      </c>
      <c r="E5938" t="inlineStr">
        <is>
          <t>South Region</t>
        </is>
      </c>
      <c r="F5938" t="inlineStr">
        <is>
          <t>Rep_02</t>
        </is>
      </c>
      <c r="G5938" t="n">
        <v>1.44</v>
      </c>
      <c r="H5938" t="inlineStr">
        <is>
          <t>Lead</t>
        </is>
      </c>
      <c r="I5938" t="inlineStr">
        <is>
          <t>Open</t>
        </is>
      </c>
      <c r="M5938">
        <f>VLOOKUP(H5938,'Stage Order'!$A$2:$B$8,2,FALSE)</f>
        <v/>
      </c>
      <c r="N5938">
        <f>IF(G5938&lt;=1,"1. Under 1 hour",IF(G5938&lt;=24,"2. 1-24 hours",IF(G5938&lt;=72,"3. 1-3 days","4. Over 3 days")))</f>
        <v/>
      </c>
      <c r="O5938">
        <f>TEXT(B5938,"YYYY-MM")</f>
        <v/>
      </c>
    </row>
    <row r="5939">
      <c r="A5939" t="inlineStr">
        <is>
          <t>LD-305937</t>
        </is>
      </c>
      <c r="B5939" t="inlineStr">
        <is>
          <t>2025-09-08 20:09:00</t>
        </is>
      </c>
      <c r="C5939" t="inlineStr">
        <is>
          <t>Social Media</t>
        </is>
      </c>
      <c r="D5939" t="inlineStr">
        <is>
          <t>K-12 Math</t>
        </is>
      </c>
      <c r="E5939" t="inlineStr">
        <is>
          <t>South Region</t>
        </is>
      </c>
      <c r="F5939" t="inlineStr">
        <is>
          <t>Rep_12</t>
        </is>
      </c>
      <c r="G5939" t="n">
        <v>16.52</v>
      </c>
      <c r="H5939" t="inlineStr">
        <is>
          <t>Lead</t>
        </is>
      </c>
      <c r="I5939" t="inlineStr">
        <is>
          <t>Open</t>
        </is>
      </c>
      <c r="M5939">
        <f>VLOOKUP(H5939,'Stage Order'!$A$2:$B$8,2,FALSE)</f>
        <v/>
      </c>
      <c r="N5939">
        <f>IF(G5939&lt;=1,"1. Under 1 hour",IF(G5939&lt;=24,"2. 1-24 hours",IF(G5939&lt;=72,"3. 1-3 days","4. Over 3 days")))</f>
        <v/>
      </c>
      <c r="O5939">
        <f>TEXT(B5939,"YYYY-MM")</f>
        <v/>
      </c>
    </row>
    <row r="5940">
      <c r="A5940" t="inlineStr">
        <is>
          <t>LD-305938</t>
        </is>
      </c>
      <c r="B5940" t="inlineStr">
        <is>
          <t>2026-06-09 10:03:00</t>
        </is>
      </c>
      <c r="C5940" t="inlineStr">
        <is>
          <t>Referral</t>
        </is>
      </c>
      <c r="D5940" t="inlineStr">
        <is>
          <t>Coding for Kids</t>
        </is>
      </c>
      <c r="E5940" t="inlineStr">
        <is>
          <t>South Region</t>
        </is>
      </c>
      <c r="F5940" t="inlineStr">
        <is>
          <t>Rep_07</t>
        </is>
      </c>
      <c r="G5940" t="n">
        <v>10.99</v>
      </c>
      <c r="H5940" t="inlineStr">
        <is>
          <t>Contacted</t>
        </is>
      </c>
      <c r="I5940" t="inlineStr">
        <is>
          <t>Open</t>
        </is>
      </c>
      <c r="M5940">
        <f>VLOOKUP(H5940,'Stage Order'!$A$2:$B$8,2,FALSE)</f>
        <v/>
      </c>
      <c r="N5940">
        <f>IF(G5940&lt;=1,"1. Under 1 hour",IF(G5940&lt;=24,"2. 1-24 hours",IF(G5940&lt;=72,"3. 1-3 days","4. Over 3 days")))</f>
        <v/>
      </c>
      <c r="O5940">
        <f>TEXT(B5940,"YYYY-MM")</f>
        <v/>
      </c>
    </row>
    <row r="5941">
      <c r="A5941" t="inlineStr">
        <is>
          <t>LD-305939</t>
        </is>
      </c>
      <c r="B5941" t="inlineStr">
        <is>
          <t>2025-04-30 07:29:00</t>
        </is>
      </c>
      <c r="C5941" t="inlineStr">
        <is>
          <t>Cold Outreach</t>
        </is>
      </c>
      <c r="D5941" t="inlineStr">
        <is>
          <t>Competitive Exam Prep</t>
        </is>
      </c>
      <c r="E5941" t="inlineStr">
        <is>
          <t>International</t>
        </is>
      </c>
      <c r="F5941" t="inlineStr">
        <is>
          <t>Rep_05</t>
        </is>
      </c>
      <c r="G5941" t="n">
        <v>2.88</v>
      </c>
      <c r="H5941" t="inlineStr">
        <is>
          <t>Lead</t>
        </is>
      </c>
      <c r="I5941" t="inlineStr">
        <is>
          <t>Open</t>
        </is>
      </c>
      <c r="M5941">
        <f>VLOOKUP(H5941,'Stage Order'!$A$2:$B$8,2,FALSE)</f>
        <v/>
      </c>
      <c r="N5941">
        <f>IF(G5941&lt;=1,"1. Under 1 hour",IF(G5941&lt;=24,"2. 1-24 hours",IF(G5941&lt;=72,"3. 1-3 days","4. Over 3 days")))</f>
        <v/>
      </c>
      <c r="O5941">
        <f>TEXT(B5941,"YYYY-MM")</f>
        <v/>
      </c>
    </row>
    <row r="5942">
      <c r="A5942" t="inlineStr">
        <is>
          <t>LD-305940</t>
        </is>
      </c>
      <c r="B5942" t="inlineStr">
        <is>
          <t>2026-04-30 11:29:00</t>
        </is>
      </c>
      <c r="C5942" t="inlineStr">
        <is>
          <t>Organic Search</t>
        </is>
      </c>
      <c r="D5942" t="inlineStr">
        <is>
          <t>Competitive Exam Prep</t>
        </is>
      </c>
      <c r="E5942" t="inlineStr">
        <is>
          <t>International</t>
        </is>
      </c>
      <c r="F5942" t="inlineStr">
        <is>
          <t>Rep_15</t>
        </is>
      </c>
      <c r="G5942" t="n">
        <v>1.09</v>
      </c>
      <c r="H5942" t="inlineStr">
        <is>
          <t>Contacted</t>
        </is>
      </c>
      <c r="I5942" t="inlineStr">
        <is>
          <t>Open</t>
        </is>
      </c>
      <c r="M5942">
        <f>VLOOKUP(H5942,'Stage Order'!$A$2:$B$8,2,FALSE)</f>
        <v/>
      </c>
      <c r="N5942">
        <f>IF(G5942&lt;=1,"1. Under 1 hour",IF(G5942&lt;=24,"2. 1-24 hours",IF(G5942&lt;=72,"3. 1-3 days","4. Over 3 days")))</f>
        <v/>
      </c>
      <c r="O5942">
        <f>TEXT(B5942,"YYYY-MM")</f>
        <v/>
      </c>
    </row>
    <row r="5943">
      <c r="A5943" t="inlineStr">
        <is>
          <t>LD-305941</t>
        </is>
      </c>
      <c r="B5943" t="inlineStr">
        <is>
          <t>2025-04-28 09:21:00</t>
        </is>
      </c>
      <c r="C5943" t="inlineStr">
        <is>
          <t>Organic Search</t>
        </is>
      </c>
      <c r="D5943" t="inlineStr">
        <is>
          <t>Competitive Exam Prep</t>
        </is>
      </c>
      <c r="E5943" t="inlineStr">
        <is>
          <t>West Region</t>
        </is>
      </c>
      <c r="F5943" t="inlineStr">
        <is>
          <t>Rep_08</t>
        </is>
      </c>
      <c r="G5943" t="n">
        <v>1.23</v>
      </c>
      <c r="H5943" t="inlineStr">
        <is>
          <t>Negotiation</t>
        </is>
      </c>
      <c r="I5943" t="inlineStr">
        <is>
          <t>Lost</t>
        </is>
      </c>
      <c r="J5943" t="inlineStr">
        <is>
          <t>Budget Not Approved</t>
        </is>
      </c>
      <c r="K5943" t="n">
        <v>975.4</v>
      </c>
      <c r="L5943" t="inlineStr">
        <is>
          <t>2025-06-10 13:53:40.434787</t>
        </is>
      </c>
      <c r="M5943">
        <f>VLOOKUP(H5943,'Stage Order'!$A$2:$B$8,2,FALSE)</f>
        <v/>
      </c>
      <c r="N5943">
        <f>IF(G5943&lt;=1,"1. Under 1 hour",IF(G5943&lt;=24,"2. 1-24 hours",IF(G5943&lt;=72,"3. 1-3 days","4. Over 3 days")))</f>
        <v/>
      </c>
      <c r="O5943">
        <f>TEXT(B5943,"YYYY-MM")</f>
        <v/>
      </c>
    </row>
    <row r="5944">
      <c r="A5944" t="inlineStr">
        <is>
          <t>LD-305942</t>
        </is>
      </c>
      <c r="B5944" t="inlineStr">
        <is>
          <t>2025-04-16 12:44:00</t>
        </is>
      </c>
      <c r="C5944" t="inlineStr">
        <is>
          <t>Social Media</t>
        </is>
      </c>
      <c r="D5944" t="inlineStr">
        <is>
          <t>Competitive Exam Prep</t>
        </is>
      </c>
      <c r="E5944" t="inlineStr">
        <is>
          <t>North Region</t>
        </is>
      </c>
      <c r="F5944" t="inlineStr">
        <is>
          <t>Rep_01</t>
        </is>
      </c>
      <c r="G5944" t="n">
        <v>3.6</v>
      </c>
      <c r="H5944" t="inlineStr">
        <is>
          <t>Demo Completed</t>
        </is>
      </c>
      <c r="I5944" t="inlineStr">
        <is>
          <t>Lost</t>
        </is>
      </c>
      <c r="J5944" t="inlineStr">
        <is>
          <t>No Response / Ghosted</t>
        </is>
      </c>
      <c r="K5944" t="n">
        <v>914.51</v>
      </c>
      <c r="L5944" t="inlineStr">
        <is>
          <t>2025-05-15 11:49:45.699854</t>
        </is>
      </c>
      <c r="M5944">
        <f>VLOOKUP(H5944,'Stage Order'!$A$2:$B$8,2,FALSE)</f>
        <v/>
      </c>
      <c r="N5944">
        <f>IF(G5944&lt;=1,"1. Under 1 hour",IF(G5944&lt;=24,"2. 1-24 hours",IF(G5944&lt;=72,"3. 1-3 days","4. Over 3 days")))</f>
        <v/>
      </c>
      <c r="O5944">
        <f>TEXT(B5944,"YYYY-MM")</f>
        <v/>
      </c>
    </row>
    <row r="5945">
      <c r="A5945" t="inlineStr">
        <is>
          <t>LD-305943</t>
        </is>
      </c>
      <c r="B5945" t="inlineStr">
        <is>
          <t>2025-10-16 11:38:00</t>
        </is>
      </c>
      <c r="C5945" t="inlineStr">
        <is>
          <t>Referral</t>
        </is>
      </c>
      <c r="D5945" t="inlineStr">
        <is>
          <t>Competitive Exam Prep</t>
        </is>
      </c>
      <c r="E5945" t="inlineStr">
        <is>
          <t>North Region</t>
        </is>
      </c>
      <c r="F5945" t="inlineStr">
        <is>
          <t>Rep_01</t>
        </is>
      </c>
      <c r="G5945" t="n">
        <v>3.46</v>
      </c>
      <c r="H5945" t="inlineStr">
        <is>
          <t>Closed</t>
        </is>
      </c>
      <c r="I5945" t="inlineStr">
        <is>
          <t>Won</t>
        </is>
      </c>
      <c r="K5945" t="n">
        <v>853.8</v>
      </c>
      <c r="L5945" t="inlineStr">
        <is>
          <t>2025-11-19 01:58:29.591562</t>
        </is>
      </c>
      <c r="M5945">
        <f>VLOOKUP(H5945,'Stage Order'!$A$2:$B$8,2,FALSE)</f>
        <v/>
      </c>
      <c r="N5945">
        <f>IF(G5945&lt;=1,"1. Under 1 hour",IF(G5945&lt;=24,"2. 1-24 hours",IF(G5945&lt;=72,"3. 1-3 days","4. Over 3 days")))</f>
        <v/>
      </c>
      <c r="O5945">
        <f>TEXT(B5945,"YYYY-MM")</f>
        <v/>
      </c>
    </row>
    <row r="5946">
      <c r="A5946" t="inlineStr">
        <is>
          <t>LD-305944</t>
        </is>
      </c>
      <c r="B5946" t="inlineStr">
        <is>
          <t>2025-08-14 17:13:00</t>
        </is>
      </c>
      <c r="C5946" t="inlineStr">
        <is>
          <t>Cold Outreach</t>
        </is>
      </c>
      <c r="D5946" t="inlineStr">
        <is>
          <t>Competitive Exam Prep</t>
        </is>
      </c>
      <c r="E5946" t="inlineStr">
        <is>
          <t>International</t>
        </is>
      </c>
      <c r="F5946" t="inlineStr">
        <is>
          <t>Rep_10</t>
        </is>
      </c>
      <c r="G5946" t="n">
        <v>0.75</v>
      </c>
      <c r="H5946" t="inlineStr">
        <is>
          <t>Lead</t>
        </is>
      </c>
      <c r="I5946" t="inlineStr">
        <is>
          <t>Open</t>
        </is>
      </c>
      <c r="M5946">
        <f>VLOOKUP(H5946,'Stage Order'!$A$2:$B$8,2,FALSE)</f>
        <v/>
      </c>
      <c r="N5946">
        <f>IF(G5946&lt;=1,"1. Under 1 hour",IF(G5946&lt;=24,"2. 1-24 hours",IF(G5946&lt;=72,"3. 1-3 days","4. Over 3 days")))</f>
        <v/>
      </c>
      <c r="O5946">
        <f>TEXT(B5946,"YYYY-MM")</f>
        <v/>
      </c>
    </row>
    <row r="5947">
      <c r="A5947" t="inlineStr">
        <is>
          <t>LD-305945</t>
        </is>
      </c>
      <c r="B5947" t="inlineStr">
        <is>
          <t>2025-06-09 18:33:00</t>
        </is>
      </c>
      <c r="C5947" t="inlineStr">
        <is>
          <t>Webinar</t>
        </is>
      </c>
      <c r="D5947" t="inlineStr">
        <is>
          <t>Coding for Kids</t>
        </is>
      </c>
      <c r="E5947" t="inlineStr">
        <is>
          <t>North Region</t>
        </is>
      </c>
      <c r="F5947" t="inlineStr">
        <is>
          <t>Rep_11</t>
        </is>
      </c>
      <c r="G5947" t="n">
        <v>7.84</v>
      </c>
      <c r="H5947" t="inlineStr">
        <is>
          <t>Closed</t>
        </is>
      </c>
      <c r="I5947" t="inlineStr">
        <is>
          <t>Won</t>
        </is>
      </c>
      <c r="K5947" t="n">
        <v>695.4299999999999</v>
      </c>
      <c r="L5947" t="inlineStr">
        <is>
          <t>2025-07-14 11:18:44.674884</t>
        </is>
      </c>
      <c r="M5947">
        <f>VLOOKUP(H5947,'Stage Order'!$A$2:$B$8,2,FALSE)</f>
        <v/>
      </c>
      <c r="N5947">
        <f>IF(G5947&lt;=1,"1. Under 1 hour",IF(G5947&lt;=24,"2. 1-24 hours",IF(G5947&lt;=72,"3. 1-3 days","4. Over 3 days")))</f>
        <v/>
      </c>
      <c r="O5947">
        <f>TEXT(B5947,"YYYY-MM")</f>
        <v/>
      </c>
    </row>
    <row r="5948">
      <c r="A5948" t="inlineStr">
        <is>
          <t>LD-305946</t>
        </is>
      </c>
      <c r="B5948" t="inlineStr">
        <is>
          <t>2025-09-06 14:32:00</t>
        </is>
      </c>
      <c r="C5948" t="inlineStr">
        <is>
          <t>Webinar</t>
        </is>
      </c>
      <c r="D5948" t="inlineStr">
        <is>
          <t>K-12 Math</t>
        </is>
      </c>
      <c r="E5948" t="inlineStr">
        <is>
          <t>West Region</t>
        </is>
      </c>
      <c r="F5948" t="inlineStr">
        <is>
          <t>Rep_13</t>
        </is>
      </c>
      <c r="G5948" t="n">
        <v>0.52</v>
      </c>
      <c r="H5948" t="inlineStr">
        <is>
          <t>Closed</t>
        </is>
      </c>
      <c r="I5948" t="inlineStr">
        <is>
          <t>Won</t>
        </is>
      </c>
      <c r="K5948" t="n">
        <v>584.74</v>
      </c>
      <c r="L5948" t="inlineStr">
        <is>
          <t>2025-10-30 14:37:48.901475</t>
        </is>
      </c>
      <c r="M5948">
        <f>VLOOKUP(H5948,'Stage Order'!$A$2:$B$8,2,FALSE)</f>
        <v/>
      </c>
      <c r="N5948">
        <f>IF(G5948&lt;=1,"1. Under 1 hour",IF(G5948&lt;=24,"2. 1-24 hours",IF(G5948&lt;=72,"3. 1-3 days","4. Over 3 days")))</f>
        <v/>
      </c>
      <c r="O5948">
        <f>TEXT(B5948,"YYYY-MM")</f>
        <v/>
      </c>
    </row>
    <row r="5949">
      <c r="A5949" t="inlineStr">
        <is>
          <t>LD-305947</t>
        </is>
      </c>
      <c r="B5949" t="inlineStr">
        <is>
          <t>2025-12-26 11:31:00</t>
        </is>
      </c>
      <c r="C5949" t="inlineStr">
        <is>
          <t>Organic Search</t>
        </is>
      </c>
      <c r="D5949" t="inlineStr">
        <is>
          <t>Study Abroad Prep</t>
        </is>
      </c>
      <c r="E5949" t="inlineStr">
        <is>
          <t>East Region</t>
        </is>
      </c>
      <c r="F5949" t="inlineStr">
        <is>
          <t>Rep_04</t>
        </is>
      </c>
      <c r="G5949" t="n">
        <v>2.08</v>
      </c>
      <c r="H5949" t="inlineStr">
        <is>
          <t>Lead</t>
        </is>
      </c>
      <c r="I5949" t="inlineStr">
        <is>
          <t>Open</t>
        </is>
      </c>
      <c r="M5949">
        <f>VLOOKUP(H5949,'Stage Order'!$A$2:$B$8,2,FALSE)</f>
        <v/>
      </c>
      <c r="N5949">
        <f>IF(G5949&lt;=1,"1. Under 1 hour",IF(G5949&lt;=24,"2. 1-24 hours",IF(G5949&lt;=72,"3. 1-3 days","4. Over 3 days")))</f>
        <v/>
      </c>
      <c r="O5949">
        <f>TEXT(B5949,"YYYY-MM")</f>
        <v/>
      </c>
    </row>
    <row r="5950">
      <c r="A5950" t="inlineStr">
        <is>
          <t>LD-305948</t>
        </is>
      </c>
      <c r="B5950" t="inlineStr">
        <is>
          <t>2025-07-05 09:03:00</t>
        </is>
      </c>
      <c r="C5950" t="inlineStr">
        <is>
          <t>Organic Search</t>
        </is>
      </c>
      <c r="D5950" t="inlineStr">
        <is>
          <t>K-12 Math</t>
        </is>
      </c>
      <c r="E5950" t="inlineStr">
        <is>
          <t>South Region</t>
        </is>
      </c>
      <c r="F5950" t="inlineStr">
        <is>
          <t>Rep_07</t>
        </is>
      </c>
      <c r="G5950" t="n">
        <v>1.87</v>
      </c>
      <c r="H5950" t="inlineStr">
        <is>
          <t>Closed</t>
        </is>
      </c>
      <c r="I5950" t="inlineStr">
        <is>
          <t>Won</t>
        </is>
      </c>
      <c r="K5950" t="n">
        <v>576.8099999999999</v>
      </c>
      <c r="L5950" t="inlineStr">
        <is>
          <t>2025-08-02 00:07:37.343013</t>
        </is>
      </c>
      <c r="M5950">
        <f>VLOOKUP(H5950,'Stage Order'!$A$2:$B$8,2,FALSE)</f>
        <v/>
      </c>
      <c r="N5950">
        <f>IF(G5950&lt;=1,"1. Under 1 hour",IF(G5950&lt;=24,"2. 1-24 hours",IF(G5950&lt;=72,"3. 1-3 days","4. Over 3 days")))</f>
        <v/>
      </c>
      <c r="O5950">
        <f>TEXT(B5950,"YYYY-MM")</f>
        <v/>
      </c>
    </row>
    <row r="5951">
      <c r="A5951" t="inlineStr">
        <is>
          <t>LD-305949</t>
        </is>
      </c>
      <c r="B5951" t="inlineStr">
        <is>
          <t>2026-06-12 13:44:00</t>
        </is>
      </c>
      <c r="C5951" t="inlineStr">
        <is>
          <t>Webinar</t>
        </is>
      </c>
      <c r="D5951" t="inlineStr">
        <is>
          <t>Competitive Exam Prep</t>
        </is>
      </c>
      <c r="E5951" t="inlineStr">
        <is>
          <t>South Region</t>
        </is>
      </c>
      <c r="F5951" t="inlineStr">
        <is>
          <t>Rep_12</t>
        </is>
      </c>
      <c r="G5951" t="n">
        <v>4.42</v>
      </c>
      <c r="H5951" t="inlineStr">
        <is>
          <t>Contacted</t>
        </is>
      </c>
      <c r="I5951" t="inlineStr">
        <is>
          <t>Open</t>
        </is>
      </c>
      <c r="M5951">
        <f>VLOOKUP(H5951,'Stage Order'!$A$2:$B$8,2,FALSE)</f>
        <v/>
      </c>
      <c r="N5951">
        <f>IF(G5951&lt;=1,"1. Under 1 hour",IF(G5951&lt;=24,"2. 1-24 hours",IF(G5951&lt;=72,"3. 1-3 days","4. Over 3 days")))</f>
        <v/>
      </c>
      <c r="O5951">
        <f>TEXT(B5951,"YYYY-MM")</f>
        <v/>
      </c>
    </row>
    <row r="5952">
      <c r="A5952" t="inlineStr">
        <is>
          <t>LD-305950</t>
        </is>
      </c>
      <c r="B5952" t="inlineStr">
        <is>
          <t>2026-02-03 17:53:00</t>
        </is>
      </c>
      <c r="C5952" t="inlineStr">
        <is>
          <t>Organic Search</t>
        </is>
      </c>
      <c r="D5952" t="inlineStr">
        <is>
          <t>Competitive Exam Prep</t>
        </is>
      </c>
      <c r="E5952" t="inlineStr">
        <is>
          <t>West Region</t>
        </is>
      </c>
      <c r="F5952" t="inlineStr">
        <is>
          <t>Rep_13</t>
        </is>
      </c>
      <c r="G5952" t="n">
        <v>5.83</v>
      </c>
      <c r="H5952" t="inlineStr">
        <is>
          <t>Closed</t>
        </is>
      </c>
      <c r="I5952" t="inlineStr">
        <is>
          <t>Won</t>
        </is>
      </c>
      <c r="K5952" t="n">
        <v>998.13</v>
      </c>
      <c r="L5952" t="inlineStr">
        <is>
          <t>2026-03-18 09:27:15.262240</t>
        </is>
      </c>
      <c r="M5952">
        <f>VLOOKUP(H5952,'Stage Order'!$A$2:$B$8,2,FALSE)</f>
        <v/>
      </c>
      <c r="N5952">
        <f>IF(G5952&lt;=1,"1. Under 1 hour",IF(G5952&lt;=24,"2. 1-24 hours",IF(G5952&lt;=72,"3. 1-3 days","4. Over 3 days")))</f>
        <v/>
      </c>
      <c r="O5952">
        <f>TEXT(B5952,"YYYY-MM")</f>
        <v/>
      </c>
    </row>
    <row r="5953">
      <c r="A5953" t="inlineStr">
        <is>
          <t>LD-305951</t>
        </is>
      </c>
      <c r="B5953" t="inlineStr">
        <is>
          <t>2025-07-11 15:46:00</t>
        </is>
      </c>
      <c r="C5953" t="inlineStr">
        <is>
          <t>Partner Channel</t>
        </is>
      </c>
      <c r="D5953" t="inlineStr">
        <is>
          <t>K-12 Math</t>
        </is>
      </c>
      <c r="E5953" t="inlineStr">
        <is>
          <t>North Region</t>
        </is>
      </c>
      <c r="F5953" t="inlineStr">
        <is>
          <t>Rep_11</t>
        </is>
      </c>
      <c r="G5953" t="n">
        <v>8.4</v>
      </c>
      <c r="H5953" t="inlineStr">
        <is>
          <t>Negotiation</t>
        </is>
      </c>
      <c r="I5953" t="inlineStr">
        <is>
          <t>Lost</t>
        </is>
      </c>
      <c r="J5953" t="inlineStr">
        <is>
          <t>Bad Timing</t>
        </is>
      </c>
      <c r="K5953" t="n">
        <v>458.34</v>
      </c>
      <c r="L5953" t="inlineStr">
        <is>
          <t>2025-08-16 03:43:19.855348</t>
        </is>
      </c>
      <c r="M5953">
        <f>VLOOKUP(H5953,'Stage Order'!$A$2:$B$8,2,FALSE)</f>
        <v/>
      </c>
      <c r="N5953">
        <f>IF(G5953&lt;=1,"1. Under 1 hour",IF(G5953&lt;=24,"2. 1-24 hours",IF(G5953&lt;=72,"3. 1-3 days","4. Over 3 days")))</f>
        <v/>
      </c>
      <c r="O5953">
        <f>TEXT(B5953,"YYYY-MM")</f>
        <v/>
      </c>
    </row>
    <row r="5954">
      <c r="A5954" t="inlineStr">
        <is>
          <t>LD-305952</t>
        </is>
      </c>
      <c r="B5954" t="inlineStr">
        <is>
          <t>2026-04-25 18:37:00</t>
        </is>
      </c>
      <c r="C5954" t="inlineStr">
        <is>
          <t>Social Media</t>
        </is>
      </c>
      <c r="D5954" t="inlineStr">
        <is>
          <t>Coding for Kids</t>
        </is>
      </c>
      <c r="E5954" t="inlineStr">
        <is>
          <t>West Region</t>
        </is>
      </c>
      <c r="F5954" t="inlineStr">
        <is>
          <t>Rep_08</t>
        </is>
      </c>
      <c r="G5954" t="n">
        <v>6.15</v>
      </c>
      <c r="H5954" t="inlineStr">
        <is>
          <t>Contacted</t>
        </is>
      </c>
      <c r="I5954" t="inlineStr">
        <is>
          <t>Open</t>
        </is>
      </c>
      <c r="M5954">
        <f>VLOOKUP(H5954,'Stage Order'!$A$2:$B$8,2,FALSE)</f>
        <v/>
      </c>
      <c r="N5954">
        <f>IF(G5954&lt;=1,"1. Under 1 hour",IF(G5954&lt;=24,"2. 1-24 hours",IF(G5954&lt;=72,"3. 1-3 days","4. Over 3 days")))</f>
        <v/>
      </c>
      <c r="O5954">
        <f>TEXT(B5954,"YYYY-MM")</f>
        <v/>
      </c>
    </row>
    <row r="5955">
      <c r="A5955" t="inlineStr">
        <is>
          <t>LD-305953</t>
        </is>
      </c>
      <c r="B5955" t="inlineStr">
        <is>
          <t>2025-05-28 13:43:00</t>
        </is>
      </c>
      <c r="C5955" t="inlineStr">
        <is>
          <t>Paid Search</t>
        </is>
      </c>
      <c r="D5955" t="inlineStr">
        <is>
          <t>Coding for Kids</t>
        </is>
      </c>
      <c r="E5955" t="inlineStr">
        <is>
          <t>South Region</t>
        </is>
      </c>
      <c r="F5955" t="inlineStr">
        <is>
          <t>Rep_12</t>
        </is>
      </c>
      <c r="G5955" t="n">
        <v>2.04</v>
      </c>
      <c r="H5955" t="inlineStr">
        <is>
          <t>Contacted</t>
        </is>
      </c>
      <c r="I5955" t="inlineStr">
        <is>
          <t>Open</t>
        </is>
      </c>
      <c r="M5955">
        <f>VLOOKUP(H5955,'Stage Order'!$A$2:$B$8,2,FALSE)</f>
        <v/>
      </c>
      <c r="N5955">
        <f>IF(G5955&lt;=1,"1. Under 1 hour",IF(G5955&lt;=24,"2. 1-24 hours",IF(G5955&lt;=72,"3. 1-3 days","4. Over 3 days")))</f>
        <v/>
      </c>
      <c r="O5955">
        <f>TEXT(B5955,"YYYY-MM")</f>
        <v/>
      </c>
    </row>
    <row r="5956">
      <c r="A5956" t="inlineStr">
        <is>
          <t>LD-305954</t>
        </is>
      </c>
      <c r="B5956" t="inlineStr">
        <is>
          <t>2025-02-26 09:19:00</t>
        </is>
      </c>
      <c r="C5956" t="inlineStr">
        <is>
          <t>Organic Search</t>
        </is>
      </c>
      <c r="D5956" t="inlineStr">
        <is>
          <t>Competitive Exam Prep</t>
        </is>
      </c>
      <c r="E5956" t="inlineStr">
        <is>
          <t>North Region</t>
        </is>
      </c>
      <c r="F5956" t="inlineStr">
        <is>
          <t>Rep_11</t>
        </is>
      </c>
      <c r="G5956" t="n">
        <v>3.63</v>
      </c>
      <c r="H5956" t="inlineStr">
        <is>
          <t>Proposal Sent</t>
        </is>
      </c>
      <c r="I5956" t="inlineStr">
        <is>
          <t>Lost</t>
        </is>
      </c>
      <c r="J5956" t="inlineStr">
        <is>
          <t>Went With Competitor</t>
        </is>
      </c>
      <c r="K5956" t="n">
        <v>900.35</v>
      </c>
      <c r="L5956" t="inlineStr">
        <is>
          <t>2025-04-09 08:55:43.963202</t>
        </is>
      </c>
      <c r="M5956">
        <f>VLOOKUP(H5956,'Stage Order'!$A$2:$B$8,2,FALSE)</f>
        <v/>
      </c>
      <c r="N5956">
        <f>IF(G5956&lt;=1,"1. Under 1 hour",IF(G5956&lt;=24,"2. 1-24 hours",IF(G5956&lt;=72,"3. 1-3 days","4. Over 3 days")))</f>
        <v/>
      </c>
      <c r="O5956">
        <f>TEXT(B5956,"YYYY-MM")</f>
        <v/>
      </c>
    </row>
    <row r="5957">
      <c r="A5957" t="inlineStr">
        <is>
          <t>LD-305955</t>
        </is>
      </c>
      <c r="B5957" t="inlineStr">
        <is>
          <t>2025-04-13 19:21:00</t>
        </is>
      </c>
      <c r="C5957" t="inlineStr">
        <is>
          <t>Cold Outreach</t>
        </is>
      </c>
      <c r="D5957" t="inlineStr">
        <is>
          <t>Competitive Exam Prep</t>
        </is>
      </c>
      <c r="E5957" t="inlineStr">
        <is>
          <t>West Region</t>
        </is>
      </c>
      <c r="F5957" t="inlineStr">
        <is>
          <t>Rep_03</t>
        </is>
      </c>
      <c r="G5957" t="n">
        <v>3.15</v>
      </c>
      <c r="H5957" t="inlineStr">
        <is>
          <t>Lead</t>
        </is>
      </c>
      <c r="I5957" t="inlineStr">
        <is>
          <t>Open</t>
        </is>
      </c>
      <c r="M5957">
        <f>VLOOKUP(H5957,'Stage Order'!$A$2:$B$8,2,FALSE)</f>
        <v/>
      </c>
      <c r="N5957">
        <f>IF(G5957&lt;=1,"1. Under 1 hour",IF(G5957&lt;=24,"2. 1-24 hours",IF(G5957&lt;=72,"3. 1-3 days","4. Over 3 days")))</f>
        <v/>
      </c>
      <c r="O5957">
        <f>TEXT(B5957,"YYYY-MM")</f>
        <v/>
      </c>
    </row>
    <row r="5958">
      <c r="A5958" t="inlineStr">
        <is>
          <t>LD-305956</t>
        </is>
      </c>
      <c r="B5958" t="inlineStr">
        <is>
          <t>2025-12-31 14:14:00</t>
        </is>
      </c>
      <c r="C5958" t="inlineStr">
        <is>
          <t>Webinar</t>
        </is>
      </c>
      <c r="D5958" t="inlineStr">
        <is>
          <t>K-12 Math</t>
        </is>
      </c>
      <c r="E5958" t="inlineStr">
        <is>
          <t>South Region</t>
        </is>
      </c>
      <c r="F5958" t="inlineStr">
        <is>
          <t>Rep_02</t>
        </is>
      </c>
      <c r="G5958" t="n">
        <v>6.35</v>
      </c>
      <c r="H5958" t="inlineStr">
        <is>
          <t>Demo Scheduled</t>
        </is>
      </c>
      <c r="I5958" t="inlineStr">
        <is>
          <t>Open</t>
        </is>
      </c>
      <c r="M5958">
        <f>VLOOKUP(H5958,'Stage Order'!$A$2:$B$8,2,FALSE)</f>
        <v/>
      </c>
      <c r="N5958">
        <f>IF(G5958&lt;=1,"1. Under 1 hour",IF(G5958&lt;=24,"2. 1-24 hours",IF(G5958&lt;=72,"3. 1-3 days","4. Over 3 days")))</f>
        <v/>
      </c>
      <c r="O5958">
        <f>TEXT(B5958,"YYYY-MM")</f>
        <v/>
      </c>
    </row>
    <row r="5959">
      <c r="A5959" t="inlineStr">
        <is>
          <t>LD-305957</t>
        </is>
      </c>
      <c r="B5959" t="inlineStr">
        <is>
          <t>2025-05-11 15:09:00</t>
        </is>
      </c>
      <c r="C5959" t="inlineStr">
        <is>
          <t>Paid Search</t>
        </is>
      </c>
      <c r="D5959" t="inlineStr">
        <is>
          <t>K-12 Math</t>
        </is>
      </c>
      <c r="E5959" t="inlineStr">
        <is>
          <t>East Region</t>
        </is>
      </c>
      <c r="F5959" t="inlineStr">
        <is>
          <t>Rep_14</t>
        </is>
      </c>
      <c r="G5959" t="n">
        <v>0.53</v>
      </c>
      <c r="H5959" t="inlineStr">
        <is>
          <t>Contacted</t>
        </is>
      </c>
      <c r="I5959" t="inlineStr">
        <is>
          <t>Open</t>
        </is>
      </c>
      <c r="M5959">
        <f>VLOOKUP(H5959,'Stage Order'!$A$2:$B$8,2,FALSE)</f>
        <v/>
      </c>
      <c r="N5959">
        <f>IF(G5959&lt;=1,"1. Under 1 hour",IF(G5959&lt;=24,"2. 1-24 hours",IF(G5959&lt;=72,"3. 1-3 days","4. Over 3 days")))</f>
        <v/>
      </c>
      <c r="O5959">
        <f>TEXT(B5959,"YYYY-MM")</f>
        <v/>
      </c>
    </row>
    <row r="5960">
      <c r="A5960" t="inlineStr">
        <is>
          <t>LD-305958</t>
        </is>
      </c>
      <c r="B5960" t="inlineStr">
        <is>
          <t>2026-01-27 07:12:00</t>
        </is>
      </c>
      <c r="C5960" t="inlineStr">
        <is>
          <t>Webinar</t>
        </is>
      </c>
      <c r="D5960" t="inlineStr">
        <is>
          <t>Competitive Exam Prep</t>
        </is>
      </c>
      <c r="E5960" t="inlineStr">
        <is>
          <t>South Region</t>
        </is>
      </c>
      <c r="F5960" t="inlineStr">
        <is>
          <t>Rep_12</t>
        </is>
      </c>
      <c r="G5960" t="n">
        <v>5.07</v>
      </c>
      <c r="H5960" t="inlineStr">
        <is>
          <t>Lead</t>
        </is>
      </c>
      <c r="I5960" t="inlineStr">
        <is>
          <t>Open</t>
        </is>
      </c>
      <c r="M5960">
        <f>VLOOKUP(H5960,'Stage Order'!$A$2:$B$8,2,FALSE)</f>
        <v/>
      </c>
      <c r="N5960">
        <f>IF(G5960&lt;=1,"1. Under 1 hour",IF(G5960&lt;=24,"2. 1-24 hours",IF(G5960&lt;=72,"3. 1-3 days","4. Over 3 days")))</f>
        <v/>
      </c>
      <c r="O5960">
        <f>TEXT(B5960,"YYYY-MM")</f>
        <v/>
      </c>
    </row>
    <row r="5961">
      <c r="A5961" t="inlineStr">
        <is>
          <t>LD-305959</t>
        </is>
      </c>
      <c r="B5961" t="inlineStr">
        <is>
          <t>2025-10-15 12:34:00</t>
        </is>
      </c>
      <c r="C5961" t="inlineStr">
        <is>
          <t>Webinar</t>
        </is>
      </c>
      <c r="D5961" t="inlineStr">
        <is>
          <t>Language Learning</t>
        </is>
      </c>
      <c r="E5961" t="inlineStr">
        <is>
          <t>South Region</t>
        </is>
      </c>
      <c r="F5961" t="inlineStr">
        <is>
          <t>Rep_07</t>
        </is>
      </c>
      <c r="G5961" t="n">
        <v>4.23</v>
      </c>
      <c r="H5961" t="inlineStr">
        <is>
          <t>Closed</t>
        </is>
      </c>
      <c r="I5961" t="inlineStr">
        <is>
          <t>Won</t>
        </is>
      </c>
      <c r="K5961" t="n">
        <v>307.61</v>
      </c>
      <c r="L5961" t="inlineStr">
        <is>
          <t>2025-11-20 08:25:17.415792</t>
        </is>
      </c>
      <c r="M5961">
        <f>VLOOKUP(H5961,'Stage Order'!$A$2:$B$8,2,FALSE)</f>
        <v/>
      </c>
      <c r="N5961">
        <f>IF(G5961&lt;=1,"1. Under 1 hour",IF(G5961&lt;=24,"2. 1-24 hours",IF(G5961&lt;=72,"3. 1-3 days","4. Over 3 days")))</f>
        <v/>
      </c>
      <c r="O5961">
        <f>TEXT(B5961,"YYYY-MM")</f>
        <v/>
      </c>
    </row>
    <row r="5962">
      <c r="A5962" t="inlineStr">
        <is>
          <t>LD-305960</t>
        </is>
      </c>
      <c r="B5962" t="inlineStr">
        <is>
          <t>2026-05-04 14:59:00</t>
        </is>
      </c>
      <c r="C5962" t="inlineStr">
        <is>
          <t>Social Media</t>
        </is>
      </c>
      <c r="D5962" t="inlineStr">
        <is>
          <t>K-12 Math</t>
        </is>
      </c>
      <c r="E5962" t="inlineStr">
        <is>
          <t>West Region</t>
        </is>
      </c>
      <c r="F5962" t="inlineStr">
        <is>
          <t>Rep_13</t>
        </is>
      </c>
      <c r="G5962" t="n">
        <v>0.64</v>
      </c>
      <c r="H5962" t="inlineStr">
        <is>
          <t>Lead</t>
        </is>
      </c>
      <c r="I5962" t="inlineStr">
        <is>
          <t>Open</t>
        </is>
      </c>
      <c r="M5962">
        <f>VLOOKUP(H5962,'Stage Order'!$A$2:$B$8,2,FALSE)</f>
        <v/>
      </c>
      <c r="N5962">
        <f>IF(G5962&lt;=1,"1. Under 1 hour",IF(G5962&lt;=24,"2. 1-24 hours",IF(G5962&lt;=72,"3. 1-3 days","4. Over 3 days")))</f>
        <v/>
      </c>
      <c r="O5962">
        <f>TEXT(B5962,"YYYY-MM")</f>
        <v/>
      </c>
    </row>
    <row r="5963">
      <c r="A5963" t="inlineStr">
        <is>
          <t>LD-305961</t>
        </is>
      </c>
      <c r="B5963" t="inlineStr">
        <is>
          <t>2025-08-01 19:35:00</t>
        </is>
      </c>
      <c r="C5963" t="inlineStr">
        <is>
          <t>Paid Search</t>
        </is>
      </c>
      <c r="D5963" t="inlineStr">
        <is>
          <t>K-12 Math</t>
        </is>
      </c>
      <c r="E5963" t="inlineStr">
        <is>
          <t>South Region</t>
        </is>
      </c>
      <c r="F5963" t="inlineStr">
        <is>
          <t>Rep_02</t>
        </is>
      </c>
      <c r="G5963" t="n">
        <v>4.35</v>
      </c>
      <c r="H5963" t="inlineStr">
        <is>
          <t>Contacted</t>
        </is>
      </c>
      <c r="I5963" t="inlineStr">
        <is>
          <t>Open</t>
        </is>
      </c>
      <c r="M5963">
        <f>VLOOKUP(H5963,'Stage Order'!$A$2:$B$8,2,FALSE)</f>
        <v/>
      </c>
      <c r="N5963">
        <f>IF(G5963&lt;=1,"1. Under 1 hour",IF(G5963&lt;=24,"2. 1-24 hours",IF(G5963&lt;=72,"3. 1-3 days","4. Over 3 days")))</f>
        <v/>
      </c>
      <c r="O5963">
        <f>TEXT(B5963,"YYYY-MM")</f>
        <v/>
      </c>
    </row>
    <row r="5964">
      <c r="A5964" t="inlineStr">
        <is>
          <t>LD-305962</t>
        </is>
      </c>
      <c r="B5964" t="inlineStr">
        <is>
          <t>2026-04-16 20:02:00</t>
        </is>
      </c>
      <c r="C5964" t="inlineStr">
        <is>
          <t>Paid Search</t>
        </is>
      </c>
      <c r="D5964" t="inlineStr">
        <is>
          <t>Study Abroad Prep</t>
        </is>
      </c>
      <c r="E5964" t="inlineStr">
        <is>
          <t>South Region</t>
        </is>
      </c>
      <c r="F5964" t="inlineStr">
        <is>
          <t>Rep_07</t>
        </is>
      </c>
      <c r="G5964" t="n">
        <v>0.64</v>
      </c>
      <c r="H5964" t="inlineStr">
        <is>
          <t>Contacted</t>
        </is>
      </c>
      <c r="I5964" t="inlineStr">
        <is>
          <t>Open</t>
        </is>
      </c>
      <c r="M5964">
        <f>VLOOKUP(H5964,'Stage Order'!$A$2:$B$8,2,FALSE)</f>
        <v/>
      </c>
      <c r="N5964">
        <f>IF(G5964&lt;=1,"1. Under 1 hour",IF(G5964&lt;=24,"2. 1-24 hours",IF(G5964&lt;=72,"3. 1-3 days","4. Over 3 days")))</f>
        <v/>
      </c>
      <c r="O5964">
        <f>TEXT(B5964,"YYYY-MM")</f>
        <v/>
      </c>
    </row>
    <row r="5965">
      <c r="A5965" t="inlineStr">
        <is>
          <t>LD-305963</t>
        </is>
      </c>
      <c r="B5965" t="inlineStr">
        <is>
          <t>2025-02-16 19:51:00</t>
        </is>
      </c>
      <c r="C5965" t="inlineStr">
        <is>
          <t>Cold Outreach</t>
        </is>
      </c>
      <c r="D5965" t="inlineStr">
        <is>
          <t>Coding for Kids</t>
        </is>
      </c>
      <c r="E5965" t="inlineStr">
        <is>
          <t>South Region</t>
        </is>
      </c>
      <c r="F5965" t="inlineStr">
        <is>
          <t>Rep_07</t>
        </is>
      </c>
      <c r="G5965" t="n">
        <v>3.31</v>
      </c>
      <c r="H5965" t="inlineStr">
        <is>
          <t>Contacted</t>
        </is>
      </c>
      <c r="I5965" t="inlineStr">
        <is>
          <t>Open</t>
        </is>
      </c>
      <c r="M5965">
        <f>VLOOKUP(H5965,'Stage Order'!$A$2:$B$8,2,FALSE)</f>
        <v/>
      </c>
      <c r="N5965">
        <f>IF(G5965&lt;=1,"1. Under 1 hour",IF(G5965&lt;=24,"2. 1-24 hours",IF(G5965&lt;=72,"3. 1-3 days","4. Over 3 days")))</f>
        <v/>
      </c>
      <c r="O5965">
        <f>TEXT(B5965,"YYYY-MM")</f>
        <v/>
      </c>
    </row>
    <row r="5966">
      <c r="A5966" t="inlineStr">
        <is>
          <t>LD-305964</t>
        </is>
      </c>
      <c r="B5966" t="inlineStr">
        <is>
          <t>2025-12-08 14:09:00</t>
        </is>
      </c>
      <c r="C5966" t="inlineStr">
        <is>
          <t>Referral</t>
        </is>
      </c>
      <c r="D5966" t="inlineStr">
        <is>
          <t>Study Abroad Prep</t>
        </is>
      </c>
      <c r="E5966" t="inlineStr">
        <is>
          <t>North Region</t>
        </is>
      </c>
      <c r="F5966" t="inlineStr">
        <is>
          <t>Rep_11</t>
        </is>
      </c>
      <c r="G5966" t="n">
        <v>4.06</v>
      </c>
      <c r="H5966" t="inlineStr">
        <is>
          <t>Negotiation</t>
        </is>
      </c>
      <c r="I5966" t="inlineStr">
        <is>
          <t>Lost</t>
        </is>
      </c>
      <c r="J5966" t="inlineStr">
        <is>
          <t>Price Objection</t>
        </is>
      </c>
      <c r="K5966" t="n">
        <v>1674.86</v>
      </c>
      <c r="L5966" t="inlineStr">
        <is>
          <t>2026-02-01 06:31:00.390924</t>
        </is>
      </c>
      <c r="M5966">
        <f>VLOOKUP(H5966,'Stage Order'!$A$2:$B$8,2,FALSE)</f>
        <v/>
      </c>
      <c r="N5966">
        <f>IF(G5966&lt;=1,"1. Under 1 hour",IF(G5966&lt;=24,"2. 1-24 hours",IF(G5966&lt;=72,"3. 1-3 days","4. Over 3 days")))</f>
        <v/>
      </c>
      <c r="O5966">
        <f>TEXT(B5966,"YYYY-MM")</f>
        <v/>
      </c>
    </row>
    <row r="5967">
      <c r="A5967" t="inlineStr">
        <is>
          <t>LD-305965</t>
        </is>
      </c>
      <c r="B5967" t="inlineStr">
        <is>
          <t>2026-02-24 14:59:00</t>
        </is>
      </c>
      <c r="C5967" t="inlineStr">
        <is>
          <t>Organic Search</t>
        </is>
      </c>
      <c r="D5967" t="inlineStr">
        <is>
          <t>Language Learning</t>
        </is>
      </c>
      <c r="E5967" t="inlineStr">
        <is>
          <t>South Region</t>
        </is>
      </c>
      <c r="F5967" t="inlineStr">
        <is>
          <t>Rep_07</t>
        </is>
      </c>
      <c r="G5967" t="n">
        <v>2.21</v>
      </c>
      <c r="H5967" t="inlineStr">
        <is>
          <t>Contacted</t>
        </is>
      </c>
      <c r="I5967" t="inlineStr">
        <is>
          <t>Open</t>
        </is>
      </c>
      <c r="M5967">
        <f>VLOOKUP(H5967,'Stage Order'!$A$2:$B$8,2,FALSE)</f>
        <v/>
      </c>
      <c r="N5967">
        <f>IF(G5967&lt;=1,"1. Under 1 hour",IF(G5967&lt;=24,"2. 1-24 hours",IF(G5967&lt;=72,"3. 1-3 days","4. Over 3 days")))</f>
        <v/>
      </c>
      <c r="O5967">
        <f>TEXT(B5967,"YYYY-MM")</f>
        <v/>
      </c>
    </row>
    <row r="5968">
      <c r="A5968" t="inlineStr">
        <is>
          <t>LD-305966</t>
        </is>
      </c>
      <c r="B5968" t="inlineStr">
        <is>
          <t>2025-10-24 11:55:00</t>
        </is>
      </c>
      <c r="C5968" t="inlineStr">
        <is>
          <t>Paid Search</t>
        </is>
      </c>
      <c r="D5968" t="inlineStr">
        <is>
          <t>Language Learning</t>
        </is>
      </c>
      <c r="E5968" t="inlineStr">
        <is>
          <t>South Region</t>
        </is>
      </c>
      <c r="F5968" t="inlineStr">
        <is>
          <t>Rep_12</t>
        </is>
      </c>
      <c r="G5968" t="n">
        <v>4.52</v>
      </c>
      <c r="H5968" t="inlineStr">
        <is>
          <t>Demo Completed</t>
        </is>
      </c>
      <c r="I5968" t="inlineStr">
        <is>
          <t>Lost</t>
        </is>
      </c>
      <c r="J5968" t="inlineStr">
        <is>
          <t>Budget Not Approved</t>
        </is>
      </c>
      <c r="K5968" t="n">
        <v>403</v>
      </c>
      <c r="L5968" t="inlineStr">
        <is>
          <t>2025-11-25 13:53:18.860141</t>
        </is>
      </c>
      <c r="M5968">
        <f>VLOOKUP(H5968,'Stage Order'!$A$2:$B$8,2,FALSE)</f>
        <v/>
      </c>
      <c r="N5968">
        <f>IF(G5968&lt;=1,"1. Under 1 hour",IF(G5968&lt;=24,"2. 1-24 hours",IF(G5968&lt;=72,"3. 1-3 days","4. Over 3 days")))</f>
        <v/>
      </c>
      <c r="O5968">
        <f>TEXT(B5968,"YYYY-MM")</f>
        <v/>
      </c>
    </row>
    <row r="5969">
      <c r="A5969" t="inlineStr">
        <is>
          <t>LD-305967</t>
        </is>
      </c>
      <c r="B5969" t="inlineStr">
        <is>
          <t>2025-01-31 16:04:00</t>
        </is>
      </c>
      <c r="C5969" t="inlineStr">
        <is>
          <t>Cold Outreach</t>
        </is>
      </c>
      <c r="D5969" t="inlineStr">
        <is>
          <t>Language Learning</t>
        </is>
      </c>
      <c r="E5969" t="inlineStr">
        <is>
          <t>East Region</t>
        </is>
      </c>
      <c r="F5969" t="inlineStr">
        <is>
          <t>Rep_14</t>
        </is>
      </c>
      <c r="G5969" t="n">
        <v>2.64</v>
      </c>
      <c r="H5969" t="inlineStr">
        <is>
          <t>Lead</t>
        </is>
      </c>
      <c r="I5969" t="inlineStr">
        <is>
          <t>Open</t>
        </is>
      </c>
      <c r="M5969">
        <f>VLOOKUP(H5969,'Stage Order'!$A$2:$B$8,2,FALSE)</f>
        <v/>
      </c>
      <c r="N5969">
        <f>IF(G5969&lt;=1,"1. Under 1 hour",IF(G5969&lt;=24,"2. 1-24 hours",IF(G5969&lt;=72,"3. 1-3 days","4. Over 3 days")))</f>
        <v/>
      </c>
      <c r="O5969">
        <f>TEXT(B5969,"YYYY-MM")</f>
        <v/>
      </c>
    </row>
    <row r="5970">
      <c r="A5970" t="inlineStr">
        <is>
          <t>LD-305968</t>
        </is>
      </c>
      <c r="B5970" t="inlineStr">
        <is>
          <t>2025-04-02 07:35:00</t>
        </is>
      </c>
      <c r="C5970" t="inlineStr">
        <is>
          <t>Organic Search</t>
        </is>
      </c>
      <c r="D5970" t="inlineStr">
        <is>
          <t>Competitive Exam Prep</t>
        </is>
      </c>
      <c r="E5970" t="inlineStr">
        <is>
          <t>South Region</t>
        </is>
      </c>
      <c r="F5970" t="inlineStr">
        <is>
          <t>Rep_07</t>
        </is>
      </c>
      <c r="G5970" t="n">
        <v>0.52</v>
      </c>
      <c r="H5970" t="inlineStr">
        <is>
          <t>Proposal Sent</t>
        </is>
      </c>
      <c r="I5970" t="inlineStr">
        <is>
          <t>Lost</t>
        </is>
      </c>
      <c r="J5970" t="inlineStr">
        <is>
          <t>Bad Timing</t>
        </is>
      </c>
      <c r="K5970" t="n">
        <v>1139.73</v>
      </c>
      <c r="L5970" t="inlineStr">
        <is>
          <t>2025-05-08 15:11:17.181438</t>
        </is>
      </c>
      <c r="M5970">
        <f>VLOOKUP(H5970,'Stage Order'!$A$2:$B$8,2,FALSE)</f>
        <v/>
      </c>
      <c r="N5970">
        <f>IF(G5970&lt;=1,"1. Under 1 hour",IF(G5970&lt;=24,"2. 1-24 hours",IF(G5970&lt;=72,"3. 1-3 days","4. Over 3 days")))</f>
        <v/>
      </c>
      <c r="O5970">
        <f>TEXT(B5970,"YYYY-MM")</f>
        <v/>
      </c>
    </row>
    <row r="5971">
      <c r="A5971" t="inlineStr">
        <is>
          <t>LD-305969</t>
        </is>
      </c>
      <c r="B5971" t="inlineStr">
        <is>
          <t>2026-01-16 19:21:00</t>
        </is>
      </c>
      <c r="C5971" t="inlineStr">
        <is>
          <t>Paid Search</t>
        </is>
      </c>
      <c r="D5971" t="inlineStr">
        <is>
          <t>K-12 Math</t>
        </is>
      </c>
      <c r="E5971" t="inlineStr">
        <is>
          <t>South Region</t>
        </is>
      </c>
      <c r="F5971" t="inlineStr">
        <is>
          <t>Rep_12</t>
        </is>
      </c>
      <c r="G5971" t="n">
        <v>0.67</v>
      </c>
      <c r="H5971" t="inlineStr">
        <is>
          <t>Negotiation</t>
        </is>
      </c>
      <c r="I5971" t="inlineStr">
        <is>
          <t>Lost</t>
        </is>
      </c>
      <c r="J5971" t="inlineStr">
        <is>
          <t>Price Objection</t>
        </is>
      </c>
      <c r="K5971" t="n">
        <v>596.08</v>
      </c>
      <c r="L5971" t="inlineStr">
        <is>
          <t>2026-03-05 12:13:49.794177</t>
        </is>
      </c>
      <c r="M5971">
        <f>VLOOKUP(H5971,'Stage Order'!$A$2:$B$8,2,FALSE)</f>
        <v/>
      </c>
      <c r="N5971">
        <f>IF(G5971&lt;=1,"1. Under 1 hour",IF(G5971&lt;=24,"2. 1-24 hours",IF(G5971&lt;=72,"3. 1-3 days","4. Over 3 days")))</f>
        <v/>
      </c>
      <c r="O5971">
        <f>TEXT(B5971,"YYYY-MM")</f>
        <v/>
      </c>
    </row>
    <row r="5972">
      <c r="A5972" t="inlineStr">
        <is>
          <t>LD-305970</t>
        </is>
      </c>
      <c r="B5972" t="inlineStr">
        <is>
          <t>2025-12-25 08:29:00</t>
        </is>
      </c>
      <c r="C5972" t="inlineStr">
        <is>
          <t>Social Media</t>
        </is>
      </c>
      <c r="D5972" t="inlineStr">
        <is>
          <t>Language Learning</t>
        </is>
      </c>
      <c r="E5972" t="inlineStr">
        <is>
          <t>West Region</t>
        </is>
      </c>
      <c r="F5972" t="inlineStr">
        <is>
          <t>Rep_13</t>
        </is>
      </c>
      <c r="G5972" t="n">
        <v>1.86</v>
      </c>
      <c r="H5972" t="inlineStr">
        <is>
          <t>Contacted</t>
        </is>
      </c>
      <c r="I5972" t="inlineStr">
        <is>
          <t>Open</t>
        </is>
      </c>
      <c r="M5972">
        <f>VLOOKUP(H5972,'Stage Order'!$A$2:$B$8,2,FALSE)</f>
        <v/>
      </c>
      <c r="N5972">
        <f>IF(G5972&lt;=1,"1. Under 1 hour",IF(G5972&lt;=24,"2. 1-24 hours",IF(G5972&lt;=72,"3. 1-3 days","4. Over 3 days")))</f>
        <v/>
      </c>
      <c r="O5972">
        <f>TEXT(B5972,"YYYY-MM")</f>
        <v/>
      </c>
    </row>
    <row r="5973">
      <c r="A5973" t="inlineStr">
        <is>
          <t>LD-305971</t>
        </is>
      </c>
      <c r="B5973" t="inlineStr">
        <is>
          <t>2026-06-17 19:06:00</t>
        </is>
      </c>
      <c r="C5973" t="inlineStr">
        <is>
          <t>Referral</t>
        </is>
      </c>
      <c r="D5973" t="inlineStr">
        <is>
          <t>Study Abroad Prep</t>
        </is>
      </c>
      <c r="E5973" t="inlineStr">
        <is>
          <t>East Region</t>
        </is>
      </c>
      <c r="F5973" t="inlineStr">
        <is>
          <t>Rep_04</t>
        </is>
      </c>
      <c r="G5973" t="n">
        <v>3.76</v>
      </c>
      <c r="H5973" t="inlineStr">
        <is>
          <t>Proposal Sent</t>
        </is>
      </c>
      <c r="I5973" t="inlineStr">
        <is>
          <t>Lost</t>
        </is>
      </c>
      <c r="J5973" t="inlineStr">
        <is>
          <t>Price Objection</t>
        </is>
      </c>
      <c r="K5973" t="n">
        <v>1218.35</v>
      </c>
      <c r="L5973" t="inlineStr">
        <is>
          <t>2026-07-29 02:45:52.024702</t>
        </is>
      </c>
      <c r="M5973">
        <f>VLOOKUP(H5973,'Stage Order'!$A$2:$B$8,2,FALSE)</f>
        <v/>
      </c>
      <c r="N5973">
        <f>IF(G5973&lt;=1,"1. Under 1 hour",IF(G5973&lt;=24,"2. 1-24 hours",IF(G5973&lt;=72,"3. 1-3 days","4. Over 3 days")))</f>
        <v/>
      </c>
      <c r="O5973">
        <f>TEXT(B5973,"YYYY-MM")</f>
        <v/>
      </c>
    </row>
    <row r="5974">
      <c r="A5974" t="inlineStr">
        <is>
          <t>LD-305972</t>
        </is>
      </c>
      <c r="B5974" t="inlineStr">
        <is>
          <t>2025-04-25 12:31:00</t>
        </is>
      </c>
      <c r="C5974" t="inlineStr">
        <is>
          <t>Social Media</t>
        </is>
      </c>
      <c r="D5974" t="inlineStr">
        <is>
          <t>Study Abroad Prep</t>
        </is>
      </c>
      <c r="E5974" t="inlineStr">
        <is>
          <t>West Region</t>
        </is>
      </c>
      <c r="F5974" t="inlineStr">
        <is>
          <t>Rep_03</t>
        </is>
      </c>
      <c r="G5974" t="n">
        <v>15.54</v>
      </c>
      <c r="H5974" t="inlineStr">
        <is>
          <t>Lead</t>
        </is>
      </c>
      <c r="I5974" t="inlineStr">
        <is>
          <t>Open</t>
        </is>
      </c>
      <c r="M5974">
        <f>VLOOKUP(H5974,'Stage Order'!$A$2:$B$8,2,FALSE)</f>
        <v/>
      </c>
      <c r="N5974">
        <f>IF(G5974&lt;=1,"1. Under 1 hour",IF(G5974&lt;=24,"2. 1-24 hours",IF(G5974&lt;=72,"3. 1-3 days","4. Over 3 days")))</f>
        <v/>
      </c>
      <c r="O5974">
        <f>TEXT(B5974,"YYYY-MM")</f>
        <v/>
      </c>
    </row>
    <row r="5975">
      <c r="A5975" t="inlineStr">
        <is>
          <t>LD-305973</t>
        </is>
      </c>
      <c r="B5975" t="inlineStr">
        <is>
          <t>2025-09-25 08:02:00</t>
        </is>
      </c>
      <c r="C5975" t="inlineStr">
        <is>
          <t>Paid Search</t>
        </is>
      </c>
      <c r="D5975" t="inlineStr">
        <is>
          <t>K-12 Math</t>
        </is>
      </c>
      <c r="E5975" t="inlineStr">
        <is>
          <t>South Region</t>
        </is>
      </c>
      <c r="F5975" t="inlineStr">
        <is>
          <t>Rep_12</t>
        </is>
      </c>
      <c r="G5975" t="n">
        <v>1.39</v>
      </c>
      <c r="H5975" t="inlineStr">
        <is>
          <t>Closed</t>
        </is>
      </c>
      <c r="I5975" t="inlineStr">
        <is>
          <t>Won</t>
        </is>
      </c>
      <c r="K5975" t="n">
        <v>589.73</v>
      </c>
      <c r="L5975" t="inlineStr">
        <is>
          <t>2025-10-31 05:04:58.652733</t>
        </is>
      </c>
      <c r="M5975">
        <f>VLOOKUP(H5975,'Stage Order'!$A$2:$B$8,2,FALSE)</f>
        <v/>
      </c>
      <c r="N5975">
        <f>IF(G5975&lt;=1,"1. Under 1 hour",IF(G5975&lt;=24,"2. 1-24 hours",IF(G5975&lt;=72,"3. 1-3 days","4. Over 3 days")))</f>
        <v/>
      </c>
      <c r="O5975">
        <f>TEXT(B5975,"YYYY-MM")</f>
        <v/>
      </c>
    </row>
    <row r="5976">
      <c r="A5976" t="inlineStr">
        <is>
          <t>LD-305974</t>
        </is>
      </c>
      <c r="B5976" t="inlineStr">
        <is>
          <t>2026-02-13 19:41:00</t>
        </is>
      </c>
      <c r="C5976" t="inlineStr">
        <is>
          <t>Referral</t>
        </is>
      </c>
      <c r="D5976" t="inlineStr">
        <is>
          <t>K-12 Math</t>
        </is>
      </c>
      <c r="E5976" t="inlineStr">
        <is>
          <t>East Region</t>
        </is>
      </c>
      <c r="F5976" t="inlineStr">
        <is>
          <t>Rep_04</t>
        </is>
      </c>
      <c r="G5976" t="n">
        <v>1.89</v>
      </c>
      <c r="H5976" t="inlineStr">
        <is>
          <t>Closed</t>
        </is>
      </c>
      <c r="I5976" t="inlineStr">
        <is>
          <t>Won</t>
        </is>
      </c>
      <c r="K5976" t="n">
        <v>574.04</v>
      </c>
      <c r="L5976" t="inlineStr">
        <is>
          <t>2026-03-02 11:47:52.113590</t>
        </is>
      </c>
      <c r="M5976">
        <f>VLOOKUP(H5976,'Stage Order'!$A$2:$B$8,2,FALSE)</f>
        <v/>
      </c>
      <c r="N5976">
        <f>IF(G5976&lt;=1,"1. Under 1 hour",IF(G5976&lt;=24,"2. 1-24 hours",IF(G5976&lt;=72,"3. 1-3 days","4. Over 3 days")))</f>
        <v/>
      </c>
      <c r="O5976">
        <f>TEXT(B5976,"YYYY-MM")</f>
        <v/>
      </c>
    </row>
    <row r="5977">
      <c r="A5977" t="inlineStr">
        <is>
          <t>LD-305975</t>
        </is>
      </c>
      <c r="B5977" t="inlineStr">
        <is>
          <t>2025-06-13 20:42:00</t>
        </is>
      </c>
      <c r="C5977" t="inlineStr">
        <is>
          <t>Paid Search</t>
        </is>
      </c>
      <c r="D5977" t="inlineStr">
        <is>
          <t>K-12 Math</t>
        </is>
      </c>
      <c r="E5977" t="inlineStr">
        <is>
          <t>East Region</t>
        </is>
      </c>
      <c r="F5977" t="inlineStr">
        <is>
          <t>Rep_04</t>
        </is>
      </c>
      <c r="G5977" t="n">
        <v>0.58</v>
      </c>
      <c r="H5977" t="inlineStr">
        <is>
          <t>Negotiation</t>
        </is>
      </c>
      <c r="I5977" t="inlineStr">
        <is>
          <t>Lost</t>
        </is>
      </c>
      <c r="J5977" t="inlineStr">
        <is>
          <t>No Response / Ghosted</t>
        </is>
      </c>
      <c r="K5977" t="n">
        <v>486.25</v>
      </c>
      <c r="L5977" t="inlineStr">
        <is>
          <t>2025-07-16 17:01:43.921077</t>
        </is>
      </c>
      <c r="M5977">
        <f>VLOOKUP(H5977,'Stage Order'!$A$2:$B$8,2,FALSE)</f>
        <v/>
      </c>
      <c r="N5977">
        <f>IF(G5977&lt;=1,"1. Under 1 hour",IF(G5977&lt;=24,"2. 1-24 hours",IF(G5977&lt;=72,"3. 1-3 days","4. Over 3 days")))</f>
        <v/>
      </c>
      <c r="O5977">
        <f>TEXT(B5977,"YYYY-MM")</f>
        <v/>
      </c>
    </row>
    <row r="5978">
      <c r="A5978" t="inlineStr">
        <is>
          <t>LD-305976</t>
        </is>
      </c>
      <c r="B5978" t="inlineStr">
        <is>
          <t>2026-04-14 14:26:00</t>
        </is>
      </c>
      <c r="C5978" t="inlineStr">
        <is>
          <t>Cold Outreach</t>
        </is>
      </c>
      <c r="D5978" t="inlineStr">
        <is>
          <t>Study Abroad Prep</t>
        </is>
      </c>
      <c r="E5978" t="inlineStr">
        <is>
          <t>International</t>
        </is>
      </c>
      <c r="F5978" t="inlineStr">
        <is>
          <t>Rep_10</t>
        </is>
      </c>
      <c r="G5978" t="n">
        <v>1.84</v>
      </c>
      <c r="H5978" t="inlineStr">
        <is>
          <t>Lead</t>
        </is>
      </c>
      <c r="I5978" t="inlineStr">
        <is>
          <t>Open</t>
        </is>
      </c>
      <c r="M5978">
        <f>VLOOKUP(H5978,'Stage Order'!$A$2:$B$8,2,FALSE)</f>
        <v/>
      </c>
      <c r="N5978">
        <f>IF(G5978&lt;=1,"1. Under 1 hour",IF(G5978&lt;=24,"2. 1-24 hours",IF(G5978&lt;=72,"3. 1-3 days","4. Over 3 days")))</f>
        <v/>
      </c>
      <c r="O5978">
        <f>TEXT(B5978,"YYYY-MM")</f>
        <v/>
      </c>
    </row>
    <row r="5979">
      <c r="A5979" t="inlineStr">
        <is>
          <t>LD-305977</t>
        </is>
      </c>
      <c r="B5979" t="inlineStr">
        <is>
          <t>2025-03-26 14:22:00</t>
        </is>
      </c>
      <c r="C5979" t="inlineStr">
        <is>
          <t>Partner Channel</t>
        </is>
      </c>
      <c r="D5979" t="inlineStr">
        <is>
          <t>K-12 Math</t>
        </is>
      </c>
      <c r="E5979" t="inlineStr">
        <is>
          <t>North Region</t>
        </is>
      </c>
      <c r="F5979" t="inlineStr">
        <is>
          <t>Rep_06</t>
        </is>
      </c>
      <c r="G5979" t="n">
        <v>0.53</v>
      </c>
      <c r="H5979" t="inlineStr">
        <is>
          <t>Closed</t>
        </is>
      </c>
      <c r="I5979" t="inlineStr">
        <is>
          <t>Won</t>
        </is>
      </c>
      <c r="K5979" t="n">
        <v>527.65</v>
      </c>
      <c r="L5979" t="inlineStr">
        <is>
          <t>2025-05-10 12:31:35.945140</t>
        </is>
      </c>
      <c r="M5979">
        <f>VLOOKUP(H5979,'Stage Order'!$A$2:$B$8,2,FALSE)</f>
        <v/>
      </c>
      <c r="N5979">
        <f>IF(G5979&lt;=1,"1. Under 1 hour",IF(G5979&lt;=24,"2. 1-24 hours",IF(G5979&lt;=72,"3. 1-3 days","4. Over 3 days")))</f>
        <v/>
      </c>
      <c r="O5979">
        <f>TEXT(B5979,"YYYY-MM")</f>
        <v/>
      </c>
    </row>
    <row r="5980">
      <c r="A5980" t="inlineStr">
        <is>
          <t>LD-305978</t>
        </is>
      </c>
      <c r="B5980" t="inlineStr">
        <is>
          <t>2026-03-05 18:41:00</t>
        </is>
      </c>
      <c r="C5980" t="inlineStr">
        <is>
          <t>Webinar</t>
        </is>
      </c>
      <c r="D5980" t="inlineStr">
        <is>
          <t>Coding for Kids</t>
        </is>
      </c>
      <c r="E5980" t="inlineStr">
        <is>
          <t>East Region</t>
        </is>
      </c>
      <c r="F5980" t="inlineStr">
        <is>
          <t>Rep_04</t>
        </is>
      </c>
      <c r="G5980" t="n">
        <v>5.12</v>
      </c>
      <c r="H5980" t="inlineStr">
        <is>
          <t>Contacted</t>
        </is>
      </c>
      <c r="I5980" t="inlineStr">
        <is>
          <t>Open</t>
        </is>
      </c>
      <c r="M5980">
        <f>VLOOKUP(H5980,'Stage Order'!$A$2:$B$8,2,FALSE)</f>
        <v/>
      </c>
      <c r="N5980">
        <f>IF(G5980&lt;=1,"1. Under 1 hour",IF(G5980&lt;=24,"2. 1-24 hours",IF(G5980&lt;=72,"3. 1-3 days","4. Over 3 days")))</f>
        <v/>
      </c>
      <c r="O5980">
        <f>TEXT(B5980,"YYYY-MM")</f>
        <v/>
      </c>
    </row>
    <row r="5981">
      <c r="A5981" t="inlineStr">
        <is>
          <t>LD-305979</t>
        </is>
      </c>
      <c r="B5981" t="inlineStr">
        <is>
          <t>2025-07-07 11:29:00</t>
        </is>
      </c>
      <c r="C5981" t="inlineStr">
        <is>
          <t>Organic Search</t>
        </is>
      </c>
      <c r="D5981" t="inlineStr">
        <is>
          <t>Language Learning</t>
        </is>
      </c>
      <c r="E5981" t="inlineStr">
        <is>
          <t>North Region</t>
        </is>
      </c>
      <c r="F5981" t="inlineStr">
        <is>
          <t>Rep_06</t>
        </is>
      </c>
      <c r="G5981" t="n">
        <v>0.82</v>
      </c>
      <c r="H5981" t="inlineStr">
        <is>
          <t>Lead</t>
        </is>
      </c>
      <c r="I5981" t="inlineStr">
        <is>
          <t>Open</t>
        </is>
      </c>
      <c r="M5981">
        <f>VLOOKUP(H5981,'Stage Order'!$A$2:$B$8,2,FALSE)</f>
        <v/>
      </c>
      <c r="N5981">
        <f>IF(G5981&lt;=1,"1. Under 1 hour",IF(G5981&lt;=24,"2. 1-24 hours",IF(G5981&lt;=72,"3. 1-3 days","4. Over 3 days")))</f>
        <v/>
      </c>
      <c r="O5981">
        <f>TEXT(B5981,"YYYY-MM")</f>
        <v/>
      </c>
    </row>
    <row r="5982">
      <c r="A5982" t="inlineStr">
        <is>
          <t>LD-305980</t>
        </is>
      </c>
      <c r="B5982" t="inlineStr">
        <is>
          <t>2026-01-07 12:11:00</t>
        </is>
      </c>
      <c r="C5982" t="inlineStr">
        <is>
          <t>Referral</t>
        </is>
      </c>
      <c r="D5982" t="inlineStr">
        <is>
          <t>Language Learning</t>
        </is>
      </c>
      <c r="E5982" t="inlineStr">
        <is>
          <t>East Region</t>
        </is>
      </c>
      <c r="F5982" t="inlineStr">
        <is>
          <t>Rep_14</t>
        </is>
      </c>
      <c r="G5982" t="n">
        <v>4.71</v>
      </c>
      <c r="H5982" t="inlineStr">
        <is>
          <t>Demo Completed</t>
        </is>
      </c>
      <c r="I5982" t="inlineStr">
        <is>
          <t>Lost</t>
        </is>
      </c>
      <c r="J5982" t="inlineStr">
        <is>
          <t>Price Objection</t>
        </is>
      </c>
      <c r="K5982" t="n">
        <v>400.2</v>
      </c>
      <c r="L5982" t="inlineStr">
        <is>
          <t>2026-01-25 13:15:04.217287</t>
        </is>
      </c>
      <c r="M5982">
        <f>VLOOKUP(H5982,'Stage Order'!$A$2:$B$8,2,FALSE)</f>
        <v/>
      </c>
      <c r="N5982">
        <f>IF(G5982&lt;=1,"1. Under 1 hour",IF(G5982&lt;=24,"2. 1-24 hours",IF(G5982&lt;=72,"3. 1-3 days","4. Over 3 days")))</f>
        <v/>
      </c>
      <c r="O5982">
        <f>TEXT(B5982,"YYYY-MM")</f>
        <v/>
      </c>
    </row>
    <row r="5983">
      <c r="A5983" t="inlineStr">
        <is>
          <t>LD-305981</t>
        </is>
      </c>
      <c r="B5983" t="inlineStr">
        <is>
          <t>2026-03-05 12:59:00</t>
        </is>
      </c>
      <c r="C5983" t="inlineStr">
        <is>
          <t>Paid Search</t>
        </is>
      </c>
      <c r="D5983" t="inlineStr">
        <is>
          <t>K-12 Math</t>
        </is>
      </c>
      <c r="E5983" t="inlineStr">
        <is>
          <t>South Region</t>
        </is>
      </c>
      <c r="F5983" t="inlineStr">
        <is>
          <t>Rep_07</t>
        </is>
      </c>
      <c r="G5983" t="n">
        <v>4.28</v>
      </c>
      <c r="H5983" t="inlineStr">
        <is>
          <t>Contacted</t>
        </is>
      </c>
      <c r="I5983" t="inlineStr">
        <is>
          <t>Open</t>
        </is>
      </c>
      <c r="M5983">
        <f>VLOOKUP(H5983,'Stage Order'!$A$2:$B$8,2,FALSE)</f>
        <v/>
      </c>
      <c r="N5983">
        <f>IF(G5983&lt;=1,"1. Under 1 hour",IF(G5983&lt;=24,"2. 1-24 hours",IF(G5983&lt;=72,"3. 1-3 days","4. Over 3 days")))</f>
        <v/>
      </c>
      <c r="O5983">
        <f>TEXT(B5983,"YYYY-MM")</f>
        <v/>
      </c>
    </row>
    <row r="5984">
      <c r="A5984" t="inlineStr">
        <is>
          <t>LD-305982</t>
        </is>
      </c>
      <c r="B5984" t="inlineStr">
        <is>
          <t>2025-05-02 12:27:00</t>
        </is>
      </c>
      <c r="C5984" t="inlineStr">
        <is>
          <t>Cold Outreach</t>
        </is>
      </c>
      <c r="D5984" t="inlineStr">
        <is>
          <t>Competitive Exam Prep</t>
        </is>
      </c>
      <c r="E5984" t="inlineStr">
        <is>
          <t>West Region</t>
        </is>
      </c>
      <c r="F5984" t="inlineStr">
        <is>
          <t>Rep_03</t>
        </is>
      </c>
      <c r="G5984" t="n">
        <v>5.81</v>
      </c>
      <c r="H5984" t="inlineStr">
        <is>
          <t>Lead</t>
        </is>
      </c>
      <c r="I5984" t="inlineStr">
        <is>
          <t>Open</t>
        </is>
      </c>
      <c r="M5984">
        <f>VLOOKUP(H5984,'Stage Order'!$A$2:$B$8,2,FALSE)</f>
        <v/>
      </c>
      <c r="N5984">
        <f>IF(G5984&lt;=1,"1. Under 1 hour",IF(G5984&lt;=24,"2. 1-24 hours",IF(G5984&lt;=72,"3. 1-3 days","4. Over 3 days")))</f>
        <v/>
      </c>
      <c r="O5984">
        <f>TEXT(B5984,"YYYY-MM")</f>
        <v/>
      </c>
    </row>
    <row r="5985">
      <c r="A5985" t="inlineStr">
        <is>
          <t>LD-305983</t>
        </is>
      </c>
      <c r="B5985" t="inlineStr">
        <is>
          <t>2026-01-16 10:03:00</t>
        </is>
      </c>
      <c r="C5985" t="inlineStr">
        <is>
          <t>Paid Search</t>
        </is>
      </c>
      <c r="D5985" t="inlineStr">
        <is>
          <t>Coding for Kids</t>
        </is>
      </c>
      <c r="E5985" t="inlineStr">
        <is>
          <t>West Region</t>
        </is>
      </c>
      <c r="F5985" t="inlineStr">
        <is>
          <t>Rep_03</t>
        </is>
      </c>
      <c r="G5985" t="n">
        <v>2.47</v>
      </c>
      <c r="H5985" t="inlineStr">
        <is>
          <t>Contacted</t>
        </is>
      </c>
      <c r="I5985" t="inlineStr">
        <is>
          <t>Open</t>
        </is>
      </c>
      <c r="M5985">
        <f>VLOOKUP(H5985,'Stage Order'!$A$2:$B$8,2,FALSE)</f>
        <v/>
      </c>
      <c r="N5985">
        <f>IF(G5985&lt;=1,"1. Under 1 hour",IF(G5985&lt;=24,"2. 1-24 hours",IF(G5985&lt;=72,"3. 1-3 days","4. Over 3 days")))</f>
        <v/>
      </c>
      <c r="O5985">
        <f>TEXT(B5985,"YYYY-MM")</f>
        <v/>
      </c>
    </row>
    <row r="5986">
      <c r="A5986" t="inlineStr">
        <is>
          <t>LD-305984</t>
        </is>
      </c>
      <c r="B5986" t="inlineStr">
        <is>
          <t>2025-01-03 15:38:00</t>
        </is>
      </c>
      <c r="C5986" t="inlineStr">
        <is>
          <t>Paid Search</t>
        </is>
      </c>
      <c r="D5986" t="inlineStr">
        <is>
          <t>K-12 Math</t>
        </is>
      </c>
      <c r="E5986" t="inlineStr">
        <is>
          <t>International</t>
        </is>
      </c>
      <c r="F5986" t="inlineStr">
        <is>
          <t>Rep_15</t>
        </is>
      </c>
      <c r="G5986" t="n">
        <v>1.45</v>
      </c>
      <c r="H5986" t="inlineStr">
        <is>
          <t>Demo Scheduled</t>
        </is>
      </c>
      <c r="I5986" t="inlineStr">
        <is>
          <t>Open</t>
        </is>
      </c>
      <c r="M5986">
        <f>VLOOKUP(H5986,'Stage Order'!$A$2:$B$8,2,FALSE)</f>
        <v/>
      </c>
      <c r="N5986">
        <f>IF(G5986&lt;=1,"1. Under 1 hour",IF(G5986&lt;=24,"2. 1-24 hours",IF(G5986&lt;=72,"3. 1-3 days","4. Over 3 days")))</f>
        <v/>
      </c>
      <c r="O5986">
        <f>TEXT(B5986,"YYYY-MM")</f>
        <v/>
      </c>
    </row>
    <row r="5987">
      <c r="A5987" t="inlineStr">
        <is>
          <t>LD-305985</t>
        </is>
      </c>
      <c r="B5987" t="inlineStr">
        <is>
          <t>2025-08-14 09:41:00</t>
        </is>
      </c>
      <c r="C5987" t="inlineStr">
        <is>
          <t>Organic Search</t>
        </is>
      </c>
      <c r="D5987" t="inlineStr">
        <is>
          <t>Study Abroad Prep</t>
        </is>
      </c>
      <c r="E5987" t="inlineStr">
        <is>
          <t>South Region</t>
        </is>
      </c>
      <c r="F5987" t="inlineStr">
        <is>
          <t>Rep_07</t>
        </is>
      </c>
      <c r="G5987" t="n">
        <v>2.94</v>
      </c>
      <c r="H5987" t="inlineStr">
        <is>
          <t>Closed</t>
        </is>
      </c>
      <c r="I5987" t="inlineStr">
        <is>
          <t>Won</t>
        </is>
      </c>
      <c r="K5987" t="n">
        <v>1363.1</v>
      </c>
      <c r="L5987" t="inlineStr">
        <is>
          <t>2025-09-02 22:08:27.863130</t>
        </is>
      </c>
      <c r="M5987">
        <f>VLOOKUP(H5987,'Stage Order'!$A$2:$B$8,2,FALSE)</f>
        <v/>
      </c>
      <c r="N5987">
        <f>IF(G5987&lt;=1,"1. Under 1 hour",IF(G5987&lt;=24,"2. 1-24 hours",IF(G5987&lt;=72,"3. 1-3 days","4. Over 3 days")))</f>
        <v/>
      </c>
      <c r="O5987">
        <f>TEXT(B5987,"YYYY-MM")</f>
        <v/>
      </c>
    </row>
    <row r="5988">
      <c r="A5988" t="inlineStr">
        <is>
          <t>LD-305986</t>
        </is>
      </c>
      <c r="B5988" t="inlineStr">
        <is>
          <t>2026-02-20 12:18:00</t>
        </is>
      </c>
      <c r="C5988" t="inlineStr">
        <is>
          <t>Paid Search</t>
        </is>
      </c>
      <c r="D5988" t="inlineStr">
        <is>
          <t>Coding for Kids</t>
        </is>
      </c>
      <c r="E5988" t="inlineStr">
        <is>
          <t>International</t>
        </is>
      </c>
      <c r="F5988" t="inlineStr">
        <is>
          <t>Rep_05</t>
        </is>
      </c>
      <c r="G5988" t="n">
        <v>2.38</v>
      </c>
      <c r="H5988" t="inlineStr">
        <is>
          <t>Contacted</t>
        </is>
      </c>
      <c r="I5988" t="inlineStr">
        <is>
          <t>Open</t>
        </is>
      </c>
      <c r="M5988">
        <f>VLOOKUP(H5988,'Stage Order'!$A$2:$B$8,2,FALSE)</f>
        <v/>
      </c>
      <c r="N5988">
        <f>IF(G5988&lt;=1,"1. Under 1 hour",IF(G5988&lt;=24,"2. 1-24 hours",IF(G5988&lt;=72,"3. 1-3 days","4. Over 3 days")))</f>
        <v/>
      </c>
      <c r="O5988">
        <f>TEXT(B5988,"YYYY-MM")</f>
        <v/>
      </c>
    </row>
    <row r="5989">
      <c r="A5989" t="inlineStr">
        <is>
          <t>LD-305987</t>
        </is>
      </c>
      <c r="B5989" t="inlineStr">
        <is>
          <t>2025-04-01 11:12:00</t>
        </is>
      </c>
      <c r="C5989" t="inlineStr">
        <is>
          <t>Webinar</t>
        </is>
      </c>
      <c r="D5989" t="inlineStr">
        <is>
          <t>K-12 Math</t>
        </is>
      </c>
      <c r="E5989" t="inlineStr">
        <is>
          <t>North Region</t>
        </is>
      </c>
      <c r="F5989" t="inlineStr">
        <is>
          <t>Rep_11</t>
        </is>
      </c>
      <c r="G5989" t="n">
        <v>3.2</v>
      </c>
      <c r="H5989" t="inlineStr">
        <is>
          <t>Contacted</t>
        </is>
      </c>
      <c r="I5989" t="inlineStr">
        <is>
          <t>Open</t>
        </is>
      </c>
      <c r="M5989">
        <f>VLOOKUP(H5989,'Stage Order'!$A$2:$B$8,2,FALSE)</f>
        <v/>
      </c>
      <c r="N5989">
        <f>IF(G5989&lt;=1,"1. Under 1 hour",IF(G5989&lt;=24,"2. 1-24 hours",IF(G5989&lt;=72,"3. 1-3 days","4. Over 3 days")))</f>
        <v/>
      </c>
      <c r="O5989">
        <f>TEXT(B5989,"YYYY-MM")</f>
        <v/>
      </c>
    </row>
    <row r="5990">
      <c r="A5990" t="inlineStr">
        <is>
          <t>LD-305988</t>
        </is>
      </c>
      <c r="B5990" t="inlineStr">
        <is>
          <t>2026-03-21 14:36:00</t>
        </is>
      </c>
      <c r="C5990" t="inlineStr">
        <is>
          <t>Paid Search</t>
        </is>
      </c>
      <c r="D5990" t="inlineStr">
        <is>
          <t>K-12 Math</t>
        </is>
      </c>
      <c r="E5990" t="inlineStr">
        <is>
          <t>East Region</t>
        </is>
      </c>
      <c r="F5990" t="inlineStr">
        <is>
          <t>Rep_04</t>
        </is>
      </c>
      <c r="G5990" t="n">
        <v>1.46</v>
      </c>
      <c r="H5990" t="inlineStr">
        <is>
          <t>Lead</t>
        </is>
      </c>
      <c r="I5990" t="inlineStr">
        <is>
          <t>Open</t>
        </is>
      </c>
      <c r="M5990">
        <f>VLOOKUP(H5990,'Stage Order'!$A$2:$B$8,2,FALSE)</f>
        <v/>
      </c>
      <c r="N5990">
        <f>IF(G5990&lt;=1,"1. Under 1 hour",IF(G5990&lt;=24,"2. 1-24 hours",IF(G5990&lt;=72,"3. 1-3 days","4. Over 3 days")))</f>
        <v/>
      </c>
      <c r="O5990">
        <f>TEXT(B5990,"YYYY-MM")</f>
        <v/>
      </c>
    </row>
    <row r="5991">
      <c r="A5991" t="inlineStr">
        <is>
          <t>LD-305989</t>
        </is>
      </c>
      <c r="B5991" t="inlineStr">
        <is>
          <t>2025-03-07 17:29:00</t>
        </is>
      </c>
      <c r="C5991" t="inlineStr">
        <is>
          <t>Paid Search</t>
        </is>
      </c>
      <c r="D5991" t="inlineStr">
        <is>
          <t>Coding for Kids</t>
        </is>
      </c>
      <c r="E5991" t="inlineStr">
        <is>
          <t>South Region</t>
        </is>
      </c>
      <c r="F5991" t="inlineStr">
        <is>
          <t>Rep_02</t>
        </is>
      </c>
      <c r="G5991" t="n">
        <v>4.14</v>
      </c>
      <c r="H5991" t="inlineStr">
        <is>
          <t>Contacted</t>
        </is>
      </c>
      <c r="I5991" t="inlineStr">
        <is>
          <t>Open</t>
        </is>
      </c>
      <c r="M5991">
        <f>VLOOKUP(H5991,'Stage Order'!$A$2:$B$8,2,FALSE)</f>
        <v/>
      </c>
      <c r="N5991">
        <f>IF(G5991&lt;=1,"1. Under 1 hour",IF(G5991&lt;=24,"2. 1-24 hours",IF(G5991&lt;=72,"3. 1-3 days","4. Over 3 days")))</f>
        <v/>
      </c>
      <c r="O5991">
        <f>TEXT(B5991,"YYYY-MM")</f>
        <v/>
      </c>
    </row>
    <row r="5992">
      <c r="A5992" t="inlineStr">
        <is>
          <t>LD-305990</t>
        </is>
      </c>
      <c r="B5992" t="inlineStr">
        <is>
          <t>2025-03-23 09:27:00</t>
        </is>
      </c>
      <c r="C5992" t="inlineStr">
        <is>
          <t>Referral</t>
        </is>
      </c>
      <c r="D5992" t="inlineStr">
        <is>
          <t>K-12 Math</t>
        </is>
      </c>
      <c r="E5992" t="inlineStr">
        <is>
          <t>West Region</t>
        </is>
      </c>
      <c r="F5992" t="inlineStr">
        <is>
          <t>Rep_03</t>
        </is>
      </c>
      <c r="G5992" t="n">
        <v>1.58</v>
      </c>
      <c r="H5992" t="inlineStr">
        <is>
          <t>Negotiation</t>
        </is>
      </c>
      <c r="I5992" t="inlineStr">
        <is>
          <t>Lost</t>
        </is>
      </c>
      <c r="J5992" t="inlineStr">
        <is>
          <t>No Response / Ghosted</t>
        </is>
      </c>
      <c r="K5992" t="n">
        <v>525.99</v>
      </c>
      <c r="L5992" t="inlineStr">
        <is>
          <t>2025-05-11 21:10:23.514503</t>
        </is>
      </c>
      <c r="M5992">
        <f>VLOOKUP(H5992,'Stage Order'!$A$2:$B$8,2,FALSE)</f>
        <v/>
      </c>
      <c r="N5992">
        <f>IF(G5992&lt;=1,"1. Under 1 hour",IF(G5992&lt;=24,"2. 1-24 hours",IF(G5992&lt;=72,"3. 1-3 days","4. Over 3 days")))</f>
        <v/>
      </c>
      <c r="O5992">
        <f>TEXT(B5992,"YYYY-MM")</f>
        <v/>
      </c>
    </row>
    <row r="5993">
      <c r="A5993" t="inlineStr">
        <is>
          <t>LD-305991</t>
        </is>
      </c>
      <c r="B5993" t="inlineStr">
        <is>
          <t>2025-09-14 16:39:00</t>
        </is>
      </c>
      <c r="C5993" t="inlineStr">
        <is>
          <t>Organic Search</t>
        </is>
      </c>
      <c r="D5993" t="inlineStr">
        <is>
          <t>K-12 Math</t>
        </is>
      </c>
      <c r="E5993" t="inlineStr">
        <is>
          <t>North Region</t>
        </is>
      </c>
      <c r="F5993" t="inlineStr">
        <is>
          <t>Rep_01</t>
        </is>
      </c>
      <c r="G5993" t="n">
        <v>8.640000000000001</v>
      </c>
      <c r="H5993" t="inlineStr">
        <is>
          <t>Contacted</t>
        </is>
      </c>
      <c r="I5993" t="inlineStr">
        <is>
          <t>Open</t>
        </is>
      </c>
      <c r="M5993">
        <f>VLOOKUP(H5993,'Stage Order'!$A$2:$B$8,2,FALSE)</f>
        <v/>
      </c>
      <c r="N5993">
        <f>IF(G5993&lt;=1,"1. Under 1 hour",IF(G5993&lt;=24,"2. 1-24 hours",IF(G5993&lt;=72,"3. 1-3 days","4. Over 3 days")))</f>
        <v/>
      </c>
      <c r="O5993">
        <f>TEXT(B5993,"YYYY-MM")</f>
        <v/>
      </c>
    </row>
    <row r="5994">
      <c r="A5994" t="inlineStr">
        <is>
          <t>LD-305992</t>
        </is>
      </c>
      <c r="B5994" t="inlineStr">
        <is>
          <t>2025-09-26 08:49:00</t>
        </is>
      </c>
      <c r="C5994" t="inlineStr">
        <is>
          <t>Referral</t>
        </is>
      </c>
      <c r="D5994" t="inlineStr">
        <is>
          <t>Competitive Exam Prep</t>
        </is>
      </c>
      <c r="E5994" t="inlineStr">
        <is>
          <t>North Region</t>
        </is>
      </c>
      <c r="F5994" t="inlineStr">
        <is>
          <t>Rep_06</t>
        </is>
      </c>
      <c r="G5994" t="n">
        <v>5.63</v>
      </c>
      <c r="H5994" t="inlineStr">
        <is>
          <t>Negotiation</t>
        </is>
      </c>
      <c r="I5994" t="inlineStr">
        <is>
          <t>Lost</t>
        </is>
      </c>
      <c r="J5994" t="inlineStr">
        <is>
          <t>No Response / Ghosted</t>
        </is>
      </c>
      <c r="K5994" t="n">
        <v>1136.68</v>
      </c>
      <c r="L5994" t="inlineStr">
        <is>
          <t>2025-11-17 14:01:32.986140</t>
        </is>
      </c>
      <c r="M5994">
        <f>VLOOKUP(H5994,'Stage Order'!$A$2:$B$8,2,FALSE)</f>
        <v/>
      </c>
      <c r="N5994">
        <f>IF(G5994&lt;=1,"1. Under 1 hour",IF(G5994&lt;=24,"2. 1-24 hours",IF(G5994&lt;=72,"3. 1-3 days","4. Over 3 days")))</f>
        <v/>
      </c>
      <c r="O5994">
        <f>TEXT(B5994,"YYYY-MM")</f>
        <v/>
      </c>
    </row>
    <row r="5995">
      <c r="A5995" t="inlineStr">
        <is>
          <t>LD-305993</t>
        </is>
      </c>
      <c r="B5995" t="inlineStr">
        <is>
          <t>2025-12-03 20:17:00</t>
        </is>
      </c>
      <c r="C5995" t="inlineStr">
        <is>
          <t>Organic Search</t>
        </is>
      </c>
      <c r="D5995" t="inlineStr">
        <is>
          <t>Coding for Kids</t>
        </is>
      </c>
      <c r="E5995" t="inlineStr">
        <is>
          <t>East Region</t>
        </is>
      </c>
      <c r="F5995" t="inlineStr">
        <is>
          <t>Rep_14</t>
        </is>
      </c>
      <c r="G5995" t="n">
        <v>7.68</v>
      </c>
      <c r="H5995" t="inlineStr">
        <is>
          <t>Lead</t>
        </is>
      </c>
      <c r="I5995" t="inlineStr">
        <is>
          <t>Open</t>
        </is>
      </c>
      <c r="M5995">
        <f>VLOOKUP(H5995,'Stage Order'!$A$2:$B$8,2,FALSE)</f>
        <v/>
      </c>
      <c r="N5995">
        <f>IF(G5995&lt;=1,"1. Under 1 hour",IF(G5995&lt;=24,"2. 1-24 hours",IF(G5995&lt;=72,"3. 1-3 days","4. Over 3 days")))</f>
        <v/>
      </c>
      <c r="O5995">
        <f>TEXT(B5995,"YYYY-MM")</f>
        <v/>
      </c>
    </row>
    <row r="5996">
      <c r="A5996" t="inlineStr">
        <is>
          <t>LD-305994</t>
        </is>
      </c>
      <c r="B5996" t="inlineStr">
        <is>
          <t>2026-05-11 13:24:00</t>
        </is>
      </c>
      <c r="C5996" t="inlineStr">
        <is>
          <t>Paid Search</t>
        </is>
      </c>
      <c r="D5996" t="inlineStr">
        <is>
          <t>Coding for Kids</t>
        </is>
      </c>
      <c r="E5996" t="inlineStr">
        <is>
          <t>West Region</t>
        </is>
      </c>
      <c r="F5996" t="inlineStr">
        <is>
          <t>Rep_08</t>
        </is>
      </c>
      <c r="G5996" t="n">
        <v>8.59</v>
      </c>
      <c r="H5996" t="inlineStr">
        <is>
          <t>Negotiation</t>
        </is>
      </c>
      <c r="I5996" t="inlineStr">
        <is>
          <t>Lost</t>
        </is>
      </c>
      <c r="J5996" t="inlineStr">
        <is>
          <t>Price Objection</t>
        </is>
      </c>
      <c r="K5996" t="n">
        <v>735.02</v>
      </c>
      <c r="L5996" t="inlineStr">
        <is>
          <t>2026-06-20 07:50:49.805741</t>
        </is>
      </c>
      <c r="M5996">
        <f>VLOOKUP(H5996,'Stage Order'!$A$2:$B$8,2,FALSE)</f>
        <v/>
      </c>
      <c r="N5996">
        <f>IF(G5996&lt;=1,"1. Under 1 hour",IF(G5996&lt;=24,"2. 1-24 hours",IF(G5996&lt;=72,"3. 1-3 days","4. Over 3 days")))</f>
        <v/>
      </c>
      <c r="O5996">
        <f>TEXT(B5996,"YYYY-MM")</f>
        <v/>
      </c>
    </row>
    <row r="5997">
      <c r="A5997" t="inlineStr">
        <is>
          <t>LD-305995</t>
        </is>
      </c>
      <c r="B5997" t="inlineStr">
        <is>
          <t>2025-11-25 19:03:00</t>
        </is>
      </c>
      <c r="C5997" t="inlineStr">
        <is>
          <t>Webinar</t>
        </is>
      </c>
      <c r="D5997" t="inlineStr">
        <is>
          <t>Study Abroad Prep</t>
        </is>
      </c>
      <c r="E5997" t="inlineStr">
        <is>
          <t>West Region</t>
        </is>
      </c>
      <c r="F5997" t="inlineStr">
        <is>
          <t>Rep_08</t>
        </is>
      </c>
      <c r="G5997" t="n">
        <v>0.51</v>
      </c>
      <c r="H5997" t="inlineStr">
        <is>
          <t>Closed</t>
        </is>
      </c>
      <c r="I5997" t="inlineStr">
        <is>
          <t>Won</t>
        </is>
      </c>
      <c r="K5997" t="n">
        <v>1679.41</v>
      </c>
      <c r="L5997" t="inlineStr">
        <is>
          <t>2025-12-30 12:50:09.315871</t>
        </is>
      </c>
      <c r="M5997">
        <f>VLOOKUP(H5997,'Stage Order'!$A$2:$B$8,2,FALSE)</f>
        <v/>
      </c>
      <c r="N5997">
        <f>IF(G5997&lt;=1,"1. Under 1 hour",IF(G5997&lt;=24,"2. 1-24 hours",IF(G5997&lt;=72,"3. 1-3 days","4. Over 3 days")))</f>
        <v/>
      </c>
      <c r="O5997">
        <f>TEXT(B5997,"YYYY-MM")</f>
        <v/>
      </c>
    </row>
    <row r="5998">
      <c r="A5998" t="inlineStr">
        <is>
          <t>LD-305996</t>
        </is>
      </c>
      <c r="B5998" t="inlineStr">
        <is>
          <t>2025-02-08 16:41:00</t>
        </is>
      </c>
      <c r="C5998" t="inlineStr">
        <is>
          <t>Paid Search</t>
        </is>
      </c>
      <c r="D5998" t="inlineStr">
        <is>
          <t>Language Learning</t>
        </is>
      </c>
      <c r="E5998" t="inlineStr">
        <is>
          <t>West Region</t>
        </is>
      </c>
      <c r="F5998" t="inlineStr">
        <is>
          <t>Rep_13</t>
        </is>
      </c>
      <c r="G5998" t="n">
        <v>1.97</v>
      </c>
      <c r="H5998" t="inlineStr">
        <is>
          <t>Negotiation</t>
        </is>
      </c>
      <c r="I5998" t="inlineStr">
        <is>
          <t>Lost</t>
        </is>
      </c>
      <c r="J5998" t="inlineStr">
        <is>
          <t>Bad Timing</t>
        </is>
      </c>
      <c r="K5998" t="n">
        <v>401.04</v>
      </c>
      <c r="L5998" t="inlineStr">
        <is>
          <t>2025-03-28 10:37:00.156985</t>
        </is>
      </c>
      <c r="M5998">
        <f>VLOOKUP(H5998,'Stage Order'!$A$2:$B$8,2,FALSE)</f>
        <v/>
      </c>
      <c r="N5998">
        <f>IF(G5998&lt;=1,"1. Under 1 hour",IF(G5998&lt;=24,"2. 1-24 hours",IF(G5998&lt;=72,"3. 1-3 days","4. Over 3 days")))</f>
        <v/>
      </c>
      <c r="O5998">
        <f>TEXT(B5998,"YYYY-MM")</f>
        <v/>
      </c>
    </row>
    <row r="5999">
      <c r="A5999" t="inlineStr">
        <is>
          <t>LD-305997</t>
        </is>
      </c>
      <c r="B5999" t="inlineStr">
        <is>
          <t>2026-04-15 08:09:00</t>
        </is>
      </c>
      <c r="C5999" t="inlineStr">
        <is>
          <t>Organic Search</t>
        </is>
      </c>
      <c r="D5999" t="inlineStr">
        <is>
          <t>Coding for Kids</t>
        </is>
      </c>
      <c r="E5999" t="inlineStr">
        <is>
          <t>South Region</t>
        </is>
      </c>
      <c r="F5999" t="inlineStr">
        <is>
          <t>Rep_12</t>
        </is>
      </c>
      <c r="G5999" t="n">
        <v>1.83</v>
      </c>
      <c r="H5999" t="inlineStr">
        <is>
          <t>Contacted</t>
        </is>
      </c>
      <c r="I5999" t="inlineStr">
        <is>
          <t>Open</t>
        </is>
      </c>
      <c r="M5999">
        <f>VLOOKUP(H5999,'Stage Order'!$A$2:$B$8,2,FALSE)</f>
        <v/>
      </c>
      <c r="N5999">
        <f>IF(G5999&lt;=1,"1. Under 1 hour",IF(G5999&lt;=24,"2. 1-24 hours",IF(G5999&lt;=72,"3. 1-3 days","4. Over 3 days")))</f>
        <v/>
      </c>
      <c r="O5999">
        <f>TEXT(B5999,"YYYY-MM")</f>
        <v/>
      </c>
    </row>
    <row r="6000">
      <c r="A6000" t="inlineStr">
        <is>
          <t>LD-305998</t>
        </is>
      </c>
      <c r="B6000" t="inlineStr">
        <is>
          <t>2025-01-13 07:54:00</t>
        </is>
      </c>
      <c r="C6000" t="inlineStr">
        <is>
          <t>Cold Outreach</t>
        </is>
      </c>
      <c r="D6000" t="inlineStr">
        <is>
          <t>K-12 Math</t>
        </is>
      </c>
      <c r="E6000" t="inlineStr">
        <is>
          <t>North Region</t>
        </is>
      </c>
      <c r="F6000" t="inlineStr">
        <is>
          <t>Rep_06</t>
        </is>
      </c>
      <c r="G6000" t="n">
        <v>6.45</v>
      </c>
      <c r="H6000" t="inlineStr">
        <is>
          <t>Contacted</t>
        </is>
      </c>
      <c r="I6000" t="inlineStr">
        <is>
          <t>Open</t>
        </is>
      </c>
      <c r="M6000">
        <f>VLOOKUP(H6000,'Stage Order'!$A$2:$B$8,2,FALSE)</f>
        <v/>
      </c>
      <c r="N6000">
        <f>IF(G6000&lt;=1,"1. Under 1 hour",IF(G6000&lt;=24,"2. 1-24 hours",IF(G6000&lt;=72,"3. 1-3 days","4. Over 3 days")))</f>
        <v/>
      </c>
      <c r="O6000">
        <f>TEXT(B6000,"YYYY-MM")</f>
        <v/>
      </c>
    </row>
    <row r="6001">
      <c r="A6001" t="inlineStr">
        <is>
          <t>LD-305999</t>
        </is>
      </c>
      <c r="B6001" t="inlineStr">
        <is>
          <t>2025-08-30 16:35:00</t>
        </is>
      </c>
      <c r="C6001" t="inlineStr">
        <is>
          <t>Cold Outreach</t>
        </is>
      </c>
      <c r="D6001" t="inlineStr">
        <is>
          <t>K-12 Math</t>
        </is>
      </c>
      <c r="E6001" t="inlineStr">
        <is>
          <t>West Region</t>
        </is>
      </c>
      <c r="F6001" t="inlineStr">
        <is>
          <t>Rep_08</t>
        </is>
      </c>
      <c r="G6001" t="n">
        <v>1.58</v>
      </c>
      <c r="H6001" t="inlineStr">
        <is>
          <t>Lead</t>
        </is>
      </c>
      <c r="I6001" t="inlineStr">
        <is>
          <t>Open</t>
        </is>
      </c>
      <c r="M6001">
        <f>VLOOKUP(H6001,'Stage Order'!$A$2:$B$8,2,FALSE)</f>
        <v/>
      </c>
      <c r="N6001">
        <f>IF(G6001&lt;=1,"1. Under 1 hour",IF(G6001&lt;=24,"2. 1-24 hours",IF(G6001&lt;=72,"3. 1-3 days","4. Over 3 days")))</f>
        <v/>
      </c>
      <c r="O6001">
        <f>TEXT(B6001,"YYYY-MM")</f>
        <v/>
      </c>
    </row>
    <row r="6002">
      <c r="A6002" t="inlineStr">
        <is>
          <t>LD-306000</t>
        </is>
      </c>
      <c r="B6002" t="inlineStr">
        <is>
          <t>2025-07-07 18:41:00</t>
        </is>
      </c>
      <c r="C6002" t="inlineStr">
        <is>
          <t>Partner Channel</t>
        </is>
      </c>
      <c r="D6002" t="inlineStr">
        <is>
          <t>Study Abroad Prep</t>
        </is>
      </c>
      <c r="E6002" t="inlineStr">
        <is>
          <t>East Region</t>
        </is>
      </c>
      <c r="F6002" t="inlineStr">
        <is>
          <t>Rep_09</t>
        </is>
      </c>
      <c r="G6002" t="n">
        <v>5.36</v>
      </c>
      <c r="H6002" t="inlineStr">
        <is>
          <t>Lead</t>
        </is>
      </c>
      <c r="I6002" t="inlineStr">
        <is>
          <t>Open</t>
        </is>
      </c>
      <c r="M6002">
        <f>VLOOKUP(H6002,'Stage Order'!$A$2:$B$8,2,FALSE)</f>
        <v/>
      </c>
      <c r="N6002">
        <f>IF(G6002&lt;=1,"1. Under 1 hour",IF(G6002&lt;=24,"2. 1-24 hours",IF(G6002&lt;=72,"3. 1-3 days","4. Over 3 days")))</f>
        <v/>
      </c>
      <c r="O6002">
        <f>TEXT(B6002,"YYYY-MM")</f>
        <v/>
      </c>
    </row>
    <row r="6003">
      <c r="A6003" t="inlineStr">
        <is>
          <t>LD-306001</t>
        </is>
      </c>
      <c r="B6003" t="inlineStr">
        <is>
          <t>2025-04-27 20:08:00</t>
        </is>
      </c>
      <c r="C6003" t="inlineStr">
        <is>
          <t>Referral</t>
        </is>
      </c>
      <c r="D6003" t="inlineStr">
        <is>
          <t>K-12 Math</t>
        </is>
      </c>
      <c r="E6003" t="inlineStr">
        <is>
          <t>North Region</t>
        </is>
      </c>
      <c r="F6003" t="inlineStr">
        <is>
          <t>Rep_01</t>
        </is>
      </c>
      <c r="G6003" t="n">
        <v>1.26</v>
      </c>
      <c r="H6003" t="inlineStr">
        <is>
          <t>Negotiation</t>
        </is>
      </c>
      <c r="I6003" t="inlineStr">
        <is>
          <t>Lost</t>
        </is>
      </c>
      <c r="J6003" t="inlineStr">
        <is>
          <t>Price Objection</t>
        </is>
      </c>
      <c r="K6003" t="n">
        <v>530.1799999999999</v>
      </c>
      <c r="L6003" t="inlineStr">
        <is>
          <t>2025-06-03 07:02:53.234463</t>
        </is>
      </c>
      <c r="M6003">
        <f>VLOOKUP(H6003,'Stage Order'!$A$2:$B$8,2,FALSE)</f>
        <v/>
      </c>
      <c r="N6003">
        <f>IF(G6003&lt;=1,"1. Under 1 hour",IF(G6003&lt;=24,"2. 1-24 hours",IF(G6003&lt;=72,"3. 1-3 days","4. Over 3 days")))</f>
        <v/>
      </c>
      <c r="O6003">
        <f>TEXT(B6003,"YYYY-MM")</f>
        <v/>
      </c>
    </row>
    <row r="6004">
      <c r="A6004" t="inlineStr">
        <is>
          <t>LD-306002</t>
        </is>
      </c>
      <c r="B6004" t="inlineStr">
        <is>
          <t>2025-05-07 12:33:00</t>
        </is>
      </c>
      <c r="C6004" t="inlineStr">
        <is>
          <t>Paid Search</t>
        </is>
      </c>
      <c r="D6004" t="inlineStr">
        <is>
          <t>Language Learning</t>
        </is>
      </c>
      <c r="E6004" t="inlineStr">
        <is>
          <t>South Region</t>
        </is>
      </c>
      <c r="F6004" t="inlineStr">
        <is>
          <t>Rep_02</t>
        </is>
      </c>
      <c r="G6004" t="n">
        <v>16.96</v>
      </c>
      <c r="H6004" t="inlineStr">
        <is>
          <t>Contacted</t>
        </is>
      </c>
      <c r="I6004" t="inlineStr">
        <is>
          <t>Open</t>
        </is>
      </c>
      <c r="M6004">
        <f>VLOOKUP(H6004,'Stage Order'!$A$2:$B$8,2,FALSE)</f>
        <v/>
      </c>
      <c r="N6004">
        <f>IF(G6004&lt;=1,"1. Under 1 hour",IF(G6004&lt;=24,"2. 1-24 hours",IF(G6004&lt;=72,"3. 1-3 days","4. Over 3 days")))</f>
        <v/>
      </c>
      <c r="O6004">
        <f>TEXT(B6004,"YYYY-MM")</f>
        <v/>
      </c>
    </row>
    <row r="6005">
      <c r="A6005" t="inlineStr">
        <is>
          <t>LD-306003</t>
        </is>
      </c>
      <c r="B6005" t="inlineStr">
        <is>
          <t>2025-04-22 20:55:00</t>
        </is>
      </c>
      <c r="C6005" t="inlineStr">
        <is>
          <t>Organic Search</t>
        </is>
      </c>
      <c r="D6005" t="inlineStr">
        <is>
          <t>K-12 Math</t>
        </is>
      </c>
      <c r="E6005" t="inlineStr">
        <is>
          <t>South Region</t>
        </is>
      </c>
      <c r="F6005" t="inlineStr">
        <is>
          <t>Rep_07</t>
        </is>
      </c>
      <c r="G6005" t="n">
        <v>4.78</v>
      </c>
      <c r="H6005" t="inlineStr">
        <is>
          <t>Contacted</t>
        </is>
      </c>
      <c r="I6005" t="inlineStr">
        <is>
          <t>Open</t>
        </is>
      </c>
      <c r="M6005">
        <f>VLOOKUP(H6005,'Stage Order'!$A$2:$B$8,2,FALSE)</f>
        <v/>
      </c>
      <c r="N6005">
        <f>IF(G6005&lt;=1,"1. Under 1 hour",IF(G6005&lt;=24,"2. 1-24 hours",IF(G6005&lt;=72,"3. 1-3 days","4. Over 3 days")))</f>
        <v/>
      </c>
      <c r="O6005">
        <f>TEXT(B6005,"YYYY-MM")</f>
        <v/>
      </c>
    </row>
    <row r="6006">
      <c r="A6006" t="inlineStr">
        <is>
          <t>LD-306004</t>
        </is>
      </c>
      <c r="B6006" t="inlineStr">
        <is>
          <t>2025-02-21 13:19:00</t>
        </is>
      </c>
      <c r="C6006" t="inlineStr">
        <is>
          <t>Partner Channel</t>
        </is>
      </c>
      <c r="D6006" t="inlineStr">
        <is>
          <t>Competitive Exam Prep</t>
        </is>
      </c>
      <c r="E6006" t="inlineStr">
        <is>
          <t>South Region</t>
        </is>
      </c>
      <c r="F6006" t="inlineStr">
        <is>
          <t>Rep_02</t>
        </is>
      </c>
      <c r="G6006" t="n">
        <v>9.199999999999999</v>
      </c>
      <c r="H6006" t="inlineStr">
        <is>
          <t>Negotiation</t>
        </is>
      </c>
      <c r="I6006" t="inlineStr">
        <is>
          <t>Lost</t>
        </is>
      </c>
      <c r="J6006" t="inlineStr">
        <is>
          <t>Bad Timing</t>
        </is>
      </c>
      <c r="K6006" t="n">
        <v>819.76</v>
      </c>
      <c r="L6006" t="inlineStr">
        <is>
          <t>2025-04-13 04:23:57.581076</t>
        </is>
      </c>
      <c r="M6006">
        <f>VLOOKUP(H6006,'Stage Order'!$A$2:$B$8,2,FALSE)</f>
        <v/>
      </c>
      <c r="N6006">
        <f>IF(G6006&lt;=1,"1. Under 1 hour",IF(G6006&lt;=24,"2. 1-24 hours",IF(G6006&lt;=72,"3. 1-3 days","4. Over 3 days")))</f>
        <v/>
      </c>
      <c r="O6006">
        <f>TEXT(B6006,"YYYY-MM")</f>
        <v/>
      </c>
    </row>
    <row r="6007">
      <c r="A6007" t="inlineStr">
        <is>
          <t>LD-306005</t>
        </is>
      </c>
      <c r="B6007" t="inlineStr">
        <is>
          <t>2025-05-09 10:24:00</t>
        </is>
      </c>
      <c r="C6007" t="inlineStr">
        <is>
          <t>Referral</t>
        </is>
      </c>
      <c r="D6007" t="inlineStr">
        <is>
          <t>Coding for Kids</t>
        </is>
      </c>
      <c r="E6007" t="inlineStr">
        <is>
          <t>West Region</t>
        </is>
      </c>
      <c r="F6007" t="inlineStr">
        <is>
          <t>Rep_08</t>
        </is>
      </c>
      <c r="G6007" t="n">
        <v>2.57</v>
      </c>
      <c r="H6007" t="inlineStr">
        <is>
          <t>Contacted</t>
        </is>
      </c>
      <c r="I6007" t="inlineStr">
        <is>
          <t>Open</t>
        </is>
      </c>
      <c r="M6007">
        <f>VLOOKUP(H6007,'Stage Order'!$A$2:$B$8,2,FALSE)</f>
        <v/>
      </c>
      <c r="N6007">
        <f>IF(G6007&lt;=1,"1. Under 1 hour",IF(G6007&lt;=24,"2. 1-24 hours",IF(G6007&lt;=72,"3. 1-3 days","4. Over 3 days")))</f>
        <v/>
      </c>
      <c r="O6007">
        <f>TEXT(B6007,"YYYY-MM")</f>
        <v/>
      </c>
    </row>
    <row r="6008">
      <c r="A6008" t="inlineStr">
        <is>
          <t>LD-306006</t>
        </is>
      </c>
      <c r="B6008" t="inlineStr">
        <is>
          <t>2025-12-12 12:58:00</t>
        </is>
      </c>
      <c r="C6008" t="inlineStr">
        <is>
          <t>Paid Search</t>
        </is>
      </c>
      <c r="D6008" t="inlineStr">
        <is>
          <t>Competitive Exam Prep</t>
        </is>
      </c>
      <c r="E6008" t="inlineStr">
        <is>
          <t>North Region</t>
        </is>
      </c>
      <c r="F6008" t="inlineStr">
        <is>
          <t>Rep_01</t>
        </is>
      </c>
      <c r="G6008" t="n">
        <v>8.58</v>
      </c>
      <c r="H6008" t="inlineStr">
        <is>
          <t>Proposal Sent</t>
        </is>
      </c>
      <c r="I6008" t="inlineStr">
        <is>
          <t>Lost</t>
        </is>
      </c>
      <c r="J6008" t="inlineStr">
        <is>
          <t>No Response / Ghosted</t>
        </is>
      </c>
      <c r="K6008" t="n">
        <v>1002.78</v>
      </c>
      <c r="L6008" t="inlineStr">
        <is>
          <t>2026-01-17 00:20:03.465761</t>
        </is>
      </c>
      <c r="M6008">
        <f>VLOOKUP(H6008,'Stage Order'!$A$2:$B$8,2,FALSE)</f>
        <v/>
      </c>
      <c r="N6008">
        <f>IF(G6008&lt;=1,"1. Under 1 hour",IF(G6008&lt;=24,"2. 1-24 hours",IF(G6008&lt;=72,"3. 1-3 days","4. Over 3 days")))</f>
        <v/>
      </c>
      <c r="O6008">
        <f>TEXT(B6008,"YYYY-MM")</f>
        <v/>
      </c>
    </row>
    <row r="6009">
      <c r="A6009" t="inlineStr">
        <is>
          <t>LD-306007</t>
        </is>
      </c>
      <c r="B6009" t="inlineStr">
        <is>
          <t>2026-05-08 12:50:00</t>
        </is>
      </c>
      <c r="C6009" t="inlineStr">
        <is>
          <t>Social Media</t>
        </is>
      </c>
      <c r="D6009" t="inlineStr">
        <is>
          <t>Coding for Kids</t>
        </is>
      </c>
      <c r="E6009" t="inlineStr">
        <is>
          <t>North Region</t>
        </is>
      </c>
      <c r="F6009" t="inlineStr">
        <is>
          <t>Rep_11</t>
        </is>
      </c>
      <c r="G6009" t="n">
        <v>9.82</v>
      </c>
      <c r="H6009" t="inlineStr">
        <is>
          <t>Demo Completed</t>
        </is>
      </c>
      <c r="I6009" t="inlineStr">
        <is>
          <t>Lost</t>
        </is>
      </c>
      <c r="J6009" t="inlineStr">
        <is>
          <t>Price Objection</t>
        </is>
      </c>
      <c r="K6009" t="n">
        <v>539.0700000000001</v>
      </c>
      <c r="L6009" t="inlineStr">
        <is>
          <t>2026-06-14 14:04:56.617937</t>
        </is>
      </c>
      <c r="M6009">
        <f>VLOOKUP(H6009,'Stage Order'!$A$2:$B$8,2,FALSE)</f>
        <v/>
      </c>
      <c r="N6009">
        <f>IF(G6009&lt;=1,"1. Under 1 hour",IF(G6009&lt;=24,"2. 1-24 hours",IF(G6009&lt;=72,"3. 1-3 days","4. Over 3 days")))</f>
        <v/>
      </c>
      <c r="O6009">
        <f>TEXT(B6009,"YYYY-MM")</f>
        <v/>
      </c>
    </row>
    <row r="6010">
      <c r="A6010" t="inlineStr">
        <is>
          <t>LD-306008</t>
        </is>
      </c>
      <c r="B6010" t="inlineStr">
        <is>
          <t>2026-05-15 09:41:00</t>
        </is>
      </c>
      <c r="C6010" t="inlineStr">
        <is>
          <t>Paid Search</t>
        </is>
      </c>
      <c r="D6010" t="inlineStr">
        <is>
          <t>Competitive Exam Prep</t>
        </is>
      </c>
      <c r="E6010" t="inlineStr">
        <is>
          <t>South Region</t>
        </is>
      </c>
      <c r="F6010" t="inlineStr">
        <is>
          <t>Rep_02</t>
        </is>
      </c>
      <c r="G6010" t="n">
        <v>11.3</v>
      </c>
      <c r="H6010" t="inlineStr">
        <is>
          <t>Proposal Sent</t>
        </is>
      </c>
      <c r="I6010" t="inlineStr">
        <is>
          <t>Lost</t>
        </is>
      </c>
      <c r="J6010" t="inlineStr">
        <is>
          <t>Budget Not Approved</t>
        </is>
      </c>
      <c r="K6010" t="n">
        <v>864.8</v>
      </c>
      <c r="L6010" t="inlineStr">
        <is>
          <t>2026-06-10 11:28:19.827639</t>
        </is>
      </c>
      <c r="M6010">
        <f>VLOOKUP(H6010,'Stage Order'!$A$2:$B$8,2,FALSE)</f>
        <v/>
      </c>
      <c r="N6010">
        <f>IF(G6010&lt;=1,"1. Under 1 hour",IF(G6010&lt;=24,"2. 1-24 hours",IF(G6010&lt;=72,"3. 1-3 days","4. Over 3 days")))</f>
        <v/>
      </c>
      <c r="O6010">
        <f>TEXT(B6010,"YYYY-MM")</f>
        <v/>
      </c>
    </row>
    <row r="6011">
      <c r="A6011" t="inlineStr">
        <is>
          <t>LD-306009</t>
        </is>
      </c>
      <c r="B6011" t="inlineStr">
        <is>
          <t>2025-06-02 11:26:00</t>
        </is>
      </c>
      <c r="C6011" t="inlineStr">
        <is>
          <t>Paid Search</t>
        </is>
      </c>
      <c r="D6011" t="inlineStr">
        <is>
          <t>Study Abroad Prep</t>
        </is>
      </c>
      <c r="E6011" t="inlineStr">
        <is>
          <t>East Region</t>
        </is>
      </c>
      <c r="F6011" t="inlineStr">
        <is>
          <t>Rep_14</t>
        </is>
      </c>
      <c r="G6011" t="n">
        <v>1.29</v>
      </c>
      <c r="H6011" t="inlineStr">
        <is>
          <t>Contacted</t>
        </is>
      </c>
      <c r="I6011" t="inlineStr">
        <is>
          <t>Open</t>
        </is>
      </c>
      <c r="M6011">
        <f>VLOOKUP(H6011,'Stage Order'!$A$2:$B$8,2,FALSE)</f>
        <v/>
      </c>
      <c r="N6011">
        <f>IF(G6011&lt;=1,"1. Under 1 hour",IF(G6011&lt;=24,"2. 1-24 hours",IF(G6011&lt;=72,"3. 1-3 days","4. Over 3 days")))</f>
        <v/>
      </c>
      <c r="O6011">
        <f>TEXT(B6011,"YYYY-MM")</f>
        <v/>
      </c>
    </row>
    <row r="6012">
      <c r="A6012" t="inlineStr">
        <is>
          <t>LD-306010</t>
        </is>
      </c>
      <c r="B6012" t="inlineStr">
        <is>
          <t>2025-10-22 12:09:00</t>
        </is>
      </c>
      <c r="C6012" t="inlineStr">
        <is>
          <t>Referral</t>
        </is>
      </c>
      <c r="D6012" t="inlineStr">
        <is>
          <t>Coding for Kids</t>
        </is>
      </c>
      <c r="E6012" t="inlineStr">
        <is>
          <t>East Region</t>
        </is>
      </c>
      <c r="F6012" t="inlineStr">
        <is>
          <t>Rep_09</t>
        </is>
      </c>
      <c r="G6012" t="n">
        <v>1.2</v>
      </c>
      <c r="H6012" t="inlineStr">
        <is>
          <t>Closed</t>
        </is>
      </c>
      <c r="I6012" t="inlineStr">
        <is>
          <t>Won</t>
        </is>
      </c>
      <c r="K6012" t="n">
        <v>553.15</v>
      </c>
      <c r="L6012" t="inlineStr">
        <is>
          <t>2025-11-26 19:37:17.386655</t>
        </is>
      </c>
      <c r="M6012">
        <f>VLOOKUP(H6012,'Stage Order'!$A$2:$B$8,2,FALSE)</f>
        <v/>
      </c>
      <c r="N6012">
        <f>IF(G6012&lt;=1,"1. Under 1 hour",IF(G6012&lt;=24,"2. 1-24 hours",IF(G6012&lt;=72,"3. 1-3 days","4. Over 3 days")))</f>
        <v/>
      </c>
      <c r="O6012">
        <f>TEXT(B6012,"YYYY-MM")</f>
        <v/>
      </c>
    </row>
    <row r="6013">
      <c r="A6013" t="inlineStr">
        <is>
          <t>LD-306011</t>
        </is>
      </c>
      <c r="B6013" t="inlineStr">
        <is>
          <t>2025-05-15 20:22:00</t>
        </is>
      </c>
      <c r="C6013" t="inlineStr">
        <is>
          <t>Webinar</t>
        </is>
      </c>
      <c r="D6013" t="inlineStr">
        <is>
          <t>Coding for Kids</t>
        </is>
      </c>
      <c r="E6013" t="inlineStr">
        <is>
          <t>South Region</t>
        </is>
      </c>
      <c r="F6013" t="inlineStr">
        <is>
          <t>Rep_12</t>
        </is>
      </c>
      <c r="G6013" t="n">
        <v>15.75</v>
      </c>
      <c r="H6013" t="inlineStr">
        <is>
          <t>Proposal Sent</t>
        </is>
      </c>
      <c r="I6013" t="inlineStr">
        <is>
          <t>Lost</t>
        </is>
      </c>
      <c r="J6013" t="inlineStr">
        <is>
          <t>No Response / Ghosted</t>
        </is>
      </c>
      <c r="K6013" t="n">
        <v>761.1</v>
      </c>
      <c r="L6013" t="inlineStr">
        <is>
          <t>2025-06-26 19:58:41.249186</t>
        </is>
      </c>
      <c r="M6013">
        <f>VLOOKUP(H6013,'Stage Order'!$A$2:$B$8,2,FALSE)</f>
        <v/>
      </c>
      <c r="N6013">
        <f>IF(G6013&lt;=1,"1. Under 1 hour",IF(G6013&lt;=24,"2. 1-24 hours",IF(G6013&lt;=72,"3. 1-3 days","4. Over 3 days")))</f>
        <v/>
      </c>
      <c r="O6013">
        <f>TEXT(B6013,"YYYY-MM")</f>
        <v/>
      </c>
    </row>
    <row r="6014">
      <c r="A6014" t="inlineStr">
        <is>
          <t>LD-306012</t>
        </is>
      </c>
      <c r="B6014" t="inlineStr">
        <is>
          <t>2026-01-29 12:46:00</t>
        </is>
      </c>
      <c r="C6014" t="inlineStr">
        <is>
          <t>Organic Search</t>
        </is>
      </c>
      <c r="D6014" t="inlineStr">
        <is>
          <t>Study Abroad Prep</t>
        </is>
      </c>
      <c r="E6014" t="inlineStr">
        <is>
          <t>West Region</t>
        </is>
      </c>
      <c r="F6014" t="inlineStr">
        <is>
          <t>Rep_13</t>
        </is>
      </c>
      <c r="G6014" t="n">
        <v>4.26</v>
      </c>
      <c r="H6014" t="inlineStr">
        <is>
          <t>Contacted</t>
        </is>
      </c>
      <c r="I6014" t="inlineStr">
        <is>
          <t>Open</t>
        </is>
      </c>
      <c r="M6014">
        <f>VLOOKUP(H6014,'Stage Order'!$A$2:$B$8,2,FALSE)</f>
        <v/>
      </c>
      <c r="N6014">
        <f>IF(G6014&lt;=1,"1. Under 1 hour",IF(G6014&lt;=24,"2. 1-24 hours",IF(G6014&lt;=72,"3. 1-3 days","4. Over 3 days")))</f>
        <v/>
      </c>
      <c r="O6014">
        <f>TEXT(B6014,"YYYY-MM")</f>
        <v/>
      </c>
    </row>
    <row r="6015">
      <c r="A6015" t="inlineStr">
        <is>
          <t>LD-306013</t>
        </is>
      </c>
      <c r="B6015" t="inlineStr">
        <is>
          <t>2025-05-12 09:24:00</t>
        </is>
      </c>
      <c r="C6015" t="inlineStr">
        <is>
          <t>Webinar</t>
        </is>
      </c>
      <c r="D6015" t="inlineStr">
        <is>
          <t>Coding for Kids</t>
        </is>
      </c>
      <c r="E6015" t="inlineStr">
        <is>
          <t>South Region</t>
        </is>
      </c>
      <c r="F6015" t="inlineStr">
        <is>
          <t>Rep_02</t>
        </is>
      </c>
      <c r="G6015" t="n">
        <v>2.3</v>
      </c>
      <c r="H6015" t="inlineStr">
        <is>
          <t>Contacted</t>
        </is>
      </c>
      <c r="I6015" t="inlineStr">
        <is>
          <t>Open</t>
        </is>
      </c>
      <c r="M6015">
        <f>VLOOKUP(H6015,'Stage Order'!$A$2:$B$8,2,FALSE)</f>
        <v/>
      </c>
      <c r="N6015">
        <f>IF(G6015&lt;=1,"1. Under 1 hour",IF(G6015&lt;=24,"2. 1-24 hours",IF(G6015&lt;=72,"3. 1-3 days","4. Over 3 days")))</f>
        <v/>
      </c>
      <c r="O6015">
        <f>TEXT(B6015,"YYYY-MM")</f>
        <v/>
      </c>
    </row>
    <row r="6016">
      <c r="A6016" t="inlineStr">
        <is>
          <t>LD-306014</t>
        </is>
      </c>
      <c r="B6016" t="inlineStr">
        <is>
          <t>2025-09-12 10:52:00</t>
        </is>
      </c>
      <c r="C6016" t="inlineStr">
        <is>
          <t>Paid Search</t>
        </is>
      </c>
      <c r="D6016" t="inlineStr">
        <is>
          <t>K-12 Math</t>
        </is>
      </c>
      <c r="E6016" t="inlineStr">
        <is>
          <t>East Region</t>
        </is>
      </c>
      <c r="F6016" t="inlineStr">
        <is>
          <t>Rep_14</t>
        </is>
      </c>
      <c r="G6016" t="n">
        <v>4.78</v>
      </c>
      <c r="H6016" t="inlineStr">
        <is>
          <t>Contacted</t>
        </is>
      </c>
      <c r="I6016" t="inlineStr">
        <is>
          <t>Open</t>
        </is>
      </c>
      <c r="M6016">
        <f>VLOOKUP(H6016,'Stage Order'!$A$2:$B$8,2,FALSE)</f>
        <v/>
      </c>
      <c r="N6016">
        <f>IF(G6016&lt;=1,"1. Under 1 hour",IF(G6016&lt;=24,"2. 1-24 hours",IF(G6016&lt;=72,"3. 1-3 days","4. Over 3 days")))</f>
        <v/>
      </c>
      <c r="O6016">
        <f>TEXT(B6016,"YYYY-MM")</f>
        <v/>
      </c>
    </row>
    <row r="6017">
      <c r="A6017" t="inlineStr">
        <is>
          <t>LD-306015</t>
        </is>
      </c>
      <c r="B6017" t="inlineStr">
        <is>
          <t>2025-04-04 09:56:00</t>
        </is>
      </c>
      <c r="C6017" t="inlineStr">
        <is>
          <t>Cold Outreach</t>
        </is>
      </c>
      <c r="D6017" t="inlineStr">
        <is>
          <t>K-12 Math</t>
        </is>
      </c>
      <c r="E6017" t="inlineStr">
        <is>
          <t>East Region</t>
        </is>
      </c>
      <c r="F6017" t="inlineStr">
        <is>
          <t>Rep_09</t>
        </is>
      </c>
      <c r="G6017" t="n">
        <v>0.6899999999999999</v>
      </c>
      <c r="H6017" t="inlineStr">
        <is>
          <t>Contacted</t>
        </is>
      </c>
      <c r="I6017" t="inlineStr">
        <is>
          <t>Open</t>
        </is>
      </c>
      <c r="M6017">
        <f>VLOOKUP(H6017,'Stage Order'!$A$2:$B$8,2,FALSE)</f>
        <v/>
      </c>
      <c r="N6017">
        <f>IF(G6017&lt;=1,"1. Under 1 hour",IF(G6017&lt;=24,"2. 1-24 hours",IF(G6017&lt;=72,"3. 1-3 days","4. Over 3 days")))</f>
        <v/>
      </c>
      <c r="O6017">
        <f>TEXT(B6017,"YYYY-MM")</f>
        <v/>
      </c>
    </row>
    <row r="6018">
      <c r="A6018" t="inlineStr">
        <is>
          <t>LD-306016</t>
        </is>
      </c>
      <c r="B6018" t="inlineStr">
        <is>
          <t>2025-09-03 18:48:00</t>
        </is>
      </c>
      <c r="C6018" t="inlineStr">
        <is>
          <t>Organic Search</t>
        </is>
      </c>
      <c r="D6018" t="inlineStr">
        <is>
          <t>Language Learning</t>
        </is>
      </c>
      <c r="E6018" t="inlineStr">
        <is>
          <t>North Region</t>
        </is>
      </c>
      <c r="F6018" t="inlineStr">
        <is>
          <t>Rep_11</t>
        </is>
      </c>
      <c r="G6018" t="n">
        <v>17.09</v>
      </c>
      <c r="H6018" t="inlineStr">
        <is>
          <t>Negotiation</t>
        </is>
      </c>
      <c r="I6018" t="inlineStr">
        <is>
          <t>Lost</t>
        </is>
      </c>
      <c r="J6018" t="inlineStr">
        <is>
          <t>Went With Competitor</t>
        </is>
      </c>
      <c r="K6018" t="n">
        <v>402.15</v>
      </c>
      <c r="L6018" t="inlineStr">
        <is>
          <t>2025-11-02 04:45:43.302659</t>
        </is>
      </c>
      <c r="M6018">
        <f>VLOOKUP(H6018,'Stage Order'!$A$2:$B$8,2,FALSE)</f>
        <v/>
      </c>
      <c r="N6018">
        <f>IF(G6018&lt;=1,"1. Under 1 hour",IF(G6018&lt;=24,"2. 1-24 hours",IF(G6018&lt;=72,"3. 1-3 days","4. Over 3 days")))</f>
        <v/>
      </c>
      <c r="O6018">
        <f>TEXT(B6018,"YYYY-MM")</f>
        <v/>
      </c>
    </row>
    <row r="6019">
      <c r="A6019" t="inlineStr">
        <is>
          <t>LD-306017</t>
        </is>
      </c>
      <c r="B6019" t="inlineStr">
        <is>
          <t>2025-10-19 12:44:00</t>
        </is>
      </c>
      <c r="C6019" t="inlineStr">
        <is>
          <t>Referral</t>
        </is>
      </c>
      <c r="D6019" t="inlineStr">
        <is>
          <t>Competitive Exam Prep</t>
        </is>
      </c>
      <c r="E6019" t="inlineStr">
        <is>
          <t>South Region</t>
        </is>
      </c>
      <c r="F6019" t="inlineStr">
        <is>
          <t>Rep_12</t>
        </is>
      </c>
      <c r="G6019" t="n">
        <v>2.8</v>
      </c>
      <c r="H6019" t="inlineStr">
        <is>
          <t>Contacted</t>
        </is>
      </c>
      <c r="I6019" t="inlineStr">
        <is>
          <t>Open</t>
        </is>
      </c>
      <c r="M6019">
        <f>VLOOKUP(H6019,'Stage Order'!$A$2:$B$8,2,FALSE)</f>
        <v/>
      </c>
      <c r="N6019">
        <f>IF(G6019&lt;=1,"1. Under 1 hour",IF(G6019&lt;=24,"2. 1-24 hours",IF(G6019&lt;=72,"3. 1-3 days","4. Over 3 days")))</f>
        <v/>
      </c>
      <c r="O6019">
        <f>TEXT(B6019,"YYYY-MM")</f>
        <v/>
      </c>
    </row>
    <row r="6020">
      <c r="A6020" t="inlineStr">
        <is>
          <t>LD-306018</t>
        </is>
      </c>
      <c r="B6020" t="inlineStr">
        <is>
          <t>2025-06-25 10:15:00</t>
        </is>
      </c>
      <c r="C6020" t="inlineStr">
        <is>
          <t>Referral</t>
        </is>
      </c>
      <c r="D6020" t="inlineStr">
        <is>
          <t>Language Learning</t>
        </is>
      </c>
      <c r="E6020" t="inlineStr">
        <is>
          <t>East Region</t>
        </is>
      </c>
      <c r="F6020" t="inlineStr">
        <is>
          <t>Rep_14</t>
        </is>
      </c>
      <c r="G6020" t="n">
        <v>0.41</v>
      </c>
      <c r="H6020" t="inlineStr">
        <is>
          <t>Contacted</t>
        </is>
      </c>
      <c r="I6020" t="inlineStr">
        <is>
          <t>Open</t>
        </is>
      </c>
      <c r="M6020">
        <f>VLOOKUP(H6020,'Stage Order'!$A$2:$B$8,2,FALSE)</f>
        <v/>
      </c>
      <c r="N6020">
        <f>IF(G6020&lt;=1,"1. Under 1 hour",IF(G6020&lt;=24,"2. 1-24 hours",IF(G6020&lt;=72,"3. 1-3 days","4. Over 3 days")))</f>
        <v/>
      </c>
      <c r="O6020">
        <f>TEXT(B6020,"YYYY-MM")</f>
        <v/>
      </c>
    </row>
    <row r="6021">
      <c r="A6021" t="inlineStr">
        <is>
          <t>LD-306019</t>
        </is>
      </c>
      <c r="B6021" t="inlineStr">
        <is>
          <t>2026-01-16 14:18:00</t>
        </is>
      </c>
      <c r="C6021" t="inlineStr">
        <is>
          <t>Paid Search</t>
        </is>
      </c>
      <c r="D6021" t="inlineStr">
        <is>
          <t>Coding for Kids</t>
        </is>
      </c>
      <c r="E6021" t="inlineStr">
        <is>
          <t>East Region</t>
        </is>
      </c>
      <c r="F6021" t="inlineStr">
        <is>
          <t>Rep_04</t>
        </is>
      </c>
      <c r="G6021" t="n">
        <v>0.68</v>
      </c>
      <c r="H6021" t="inlineStr">
        <is>
          <t>Contacted</t>
        </is>
      </c>
      <c r="I6021" t="inlineStr">
        <is>
          <t>Open</t>
        </is>
      </c>
      <c r="M6021">
        <f>VLOOKUP(H6021,'Stage Order'!$A$2:$B$8,2,FALSE)</f>
        <v/>
      </c>
      <c r="N6021">
        <f>IF(G6021&lt;=1,"1. Under 1 hour",IF(G6021&lt;=24,"2. 1-24 hours",IF(G6021&lt;=72,"3. 1-3 days","4. Over 3 days")))</f>
        <v/>
      </c>
      <c r="O6021">
        <f>TEXT(B6021,"YYYY-MM")</f>
        <v/>
      </c>
    </row>
    <row r="6022">
      <c r="A6022" t="inlineStr">
        <is>
          <t>LD-306020</t>
        </is>
      </c>
      <c r="B6022" t="inlineStr">
        <is>
          <t>2025-12-02 10:30:00</t>
        </is>
      </c>
      <c r="C6022" t="inlineStr">
        <is>
          <t>Paid Search</t>
        </is>
      </c>
      <c r="D6022" t="inlineStr">
        <is>
          <t>Competitive Exam Prep</t>
        </is>
      </c>
      <c r="E6022" t="inlineStr">
        <is>
          <t>North Region</t>
        </is>
      </c>
      <c r="F6022" t="inlineStr">
        <is>
          <t>Rep_01</t>
        </is>
      </c>
      <c r="G6022" t="n">
        <v>9.01</v>
      </c>
      <c r="H6022" t="inlineStr">
        <is>
          <t>Contacted</t>
        </is>
      </c>
      <c r="I6022" t="inlineStr">
        <is>
          <t>Open</t>
        </is>
      </c>
      <c r="M6022">
        <f>VLOOKUP(H6022,'Stage Order'!$A$2:$B$8,2,FALSE)</f>
        <v/>
      </c>
      <c r="N6022">
        <f>IF(G6022&lt;=1,"1. Under 1 hour",IF(G6022&lt;=24,"2. 1-24 hours",IF(G6022&lt;=72,"3. 1-3 days","4. Over 3 days")))</f>
        <v/>
      </c>
      <c r="O6022">
        <f>TEXT(B6022,"YYYY-MM")</f>
        <v/>
      </c>
    </row>
    <row r="6023">
      <c r="A6023" t="inlineStr">
        <is>
          <t>LD-306021</t>
        </is>
      </c>
      <c r="B6023" t="inlineStr">
        <is>
          <t>2025-07-21 10:29:00</t>
        </is>
      </c>
      <c r="C6023" t="inlineStr">
        <is>
          <t>Partner Channel</t>
        </is>
      </c>
      <c r="D6023" t="inlineStr">
        <is>
          <t>K-12 Math</t>
        </is>
      </c>
      <c r="E6023" t="inlineStr">
        <is>
          <t>International</t>
        </is>
      </c>
      <c r="F6023" t="inlineStr">
        <is>
          <t>Rep_05</t>
        </is>
      </c>
      <c r="G6023" t="n">
        <v>4.78</v>
      </c>
      <c r="H6023" t="inlineStr">
        <is>
          <t>Demo Scheduled</t>
        </is>
      </c>
      <c r="I6023" t="inlineStr">
        <is>
          <t>Open</t>
        </is>
      </c>
      <c r="M6023">
        <f>VLOOKUP(H6023,'Stage Order'!$A$2:$B$8,2,FALSE)</f>
        <v/>
      </c>
      <c r="N6023">
        <f>IF(G6023&lt;=1,"1. Under 1 hour",IF(G6023&lt;=24,"2. 1-24 hours",IF(G6023&lt;=72,"3. 1-3 days","4. Over 3 days")))</f>
        <v/>
      </c>
      <c r="O6023">
        <f>TEXT(B6023,"YYYY-MM")</f>
        <v/>
      </c>
    </row>
    <row r="6024">
      <c r="A6024" t="inlineStr">
        <is>
          <t>LD-306022</t>
        </is>
      </c>
      <c r="B6024" t="inlineStr">
        <is>
          <t>2026-02-05 14:57:00</t>
        </is>
      </c>
      <c r="C6024" t="inlineStr">
        <is>
          <t>Social Media</t>
        </is>
      </c>
      <c r="D6024" t="inlineStr">
        <is>
          <t>K-12 Math</t>
        </is>
      </c>
      <c r="E6024" t="inlineStr">
        <is>
          <t>West Region</t>
        </is>
      </c>
      <c r="F6024" t="inlineStr">
        <is>
          <t>Rep_03</t>
        </is>
      </c>
      <c r="G6024" t="n">
        <v>2.78</v>
      </c>
      <c r="H6024" t="inlineStr">
        <is>
          <t>Lead</t>
        </is>
      </c>
      <c r="I6024" t="inlineStr">
        <is>
          <t>Open</t>
        </is>
      </c>
      <c r="M6024">
        <f>VLOOKUP(H6024,'Stage Order'!$A$2:$B$8,2,FALSE)</f>
        <v/>
      </c>
      <c r="N6024">
        <f>IF(G6024&lt;=1,"1. Under 1 hour",IF(G6024&lt;=24,"2. 1-24 hours",IF(G6024&lt;=72,"3. 1-3 days","4. Over 3 days")))</f>
        <v/>
      </c>
      <c r="O6024">
        <f>TEXT(B6024,"YYYY-MM")</f>
        <v/>
      </c>
    </row>
    <row r="6025">
      <c r="A6025" t="inlineStr">
        <is>
          <t>LD-306023</t>
        </is>
      </c>
      <c r="B6025" t="inlineStr">
        <is>
          <t>2026-04-17 13:27:00</t>
        </is>
      </c>
      <c r="C6025" t="inlineStr">
        <is>
          <t>Social Media</t>
        </is>
      </c>
      <c r="D6025" t="inlineStr">
        <is>
          <t>Language Learning</t>
        </is>
      </c>
      <c r="E6025" t="inlineStr">
        <is>
          <t>North Region</t>
        </is>
      </c>
      <c r="F6025" t="inlineStr">
        <is>
          <t>Rep_06</t>
        </is>
      </c>
      <c r="G6025" t="n">
        <v>16.7</v>
      </c>
      <c r="H6025" t="inlineStr">
        <is>
          <t>Contacted</t>
        </is>
      </c>
      <c r="I6025" t="inlineStr">
        <is>
          <t>Open</t>
        </is>
      </c>
      <c r="M6025">
        <f>VLOOKUP(H6025,'Stage Order'!$A$2:$B$8,2,FALSE)</f>
        <v/>
      </c>
      <c r="N6025">
        <f>IF(G6025&lt;=1,"1. Under 1 hour",IF(G6025&lt;=24,"2. 1-24 hours",IF(G6025&lt;=72,"3. 1-3 days","4. Over 3 days")))</f>
        <v/>
      </c>
      <c r="O6025">
        <f>TEXT(B6025,"YYYY-MM")</f>
        <v/>
      </c>
    </row>
    <row r="6026">
      <c r="A6026" t="inlineStr">
        <is>
          <t>LD-306024</t>
        </is>
      </c>
      <c r="B6026" t="inlineStr">
        <is>
          <t>2026-03-17 12:01:00</t>
        </is>
      </c>
      <c r="C6026" t="inlineStr">
        <is>
          <t>Paid Search</t>
        </is>
      </c>
      <c r="D6026" t="inlineStr">
        <is>
          <t>Study Abroad Prep</t>
        </is>
      </c>
      <c r="E6026" t="inlineStr">
        <is>
          <t>East Region</t>
        </is>
      </c>
      <c r="F6026" t="inlineStr">
        <is>
          <t>Rep_04</t>
        </is>
      </c>
      <c r="G6026" t="n">
        <v>1.2</v>
      </c>
      <c r="H6026" t="inlineStr">
        <is>
          <t>Contacted</t>
        </is>
      </c>
      <c r="I6026" t="inlineStr">
        <is>
          <t>Open</t>
        </is>
      </c>
      <c r="M6026">
        <f>VLOOKUP(H6026,'Stage Order'!$A$2:$B$8,2,FALSE)</f>
        <v/>
      </c>
      <c r="N6026">
        <f>IF(G6026&lt;=1,"1. Under 1 hour",IF(G6026&lt;=24,"2. 1-24 hours",IF(G6026&lt;=72,"3. 1-3 days","4. Over 3 days")))</f>
        <v/>
      </c>
      <c r="O6026">
        <f>TEXT(B6026,"YYYY-MM")</f>
        <v/>
      </c>
    </row>
    <row r="6027">
      <c r="A6027" t="inlineStr">
        <is>
          <t>LD-306025</t>
        </is>
      </c>
      <c r="B6027" t="inlineStr">
        <is>
          <t>2026-05-08 11:54:00</t>
        </is>
      </c>
      <c r="C6027" t="inlineStr">
        <is>
          <t>Social Media</t>
        </is>
      </c>
      <c r="D6027" t="inlineStr">
        <is>
          <t>K-12 Math</t>
        </is>
      </c>
      <c r="E6027" t="inlineStr">
        <is>
          <t>South Region</t>
        </is>
      </c>
      <c r="F6027" t="inlineStr">
        <is>
          <t>Rep_12</t>
        </is>
      </c>
      <c r="G6027" t="n">
        <v>1.58</v>
      </c>
      <c r="H6027" t="inlineStr">
        <is>
          <t>Contacted</t>
        </is>
      </c>
      <c r="I6027" t="inlineStr">
        <is>
          <t>Open</t>
        </is>
      </c>
      <c r="M6027">
        <f>VLOOKUP(H6027,'Stage Order'!$A$2:$B$8,2,FALSE)</f>
        <v/>
      </c>
      <c r="N6027">
        <f>IF(G6027&lt;=1,"1. Under 1 hour",IF(G6027&lt;=24,"2. 1-24 hours",IF(G6027&lt;=72,"3. 1-3 days","4. Over 3 days")))</f>
        <v/>
      </c>
      <c r="O6027">
        <f>TEXT(B6027,"YYYY-MM")</f>
        <v/>
      </c>
    </row>
    <row r="6028">
      <c r="A6028" t="inlineStr">
        <is>
          <t>LD-306026</t>
        </is>
      </c>
      <c r="B6028" t="inlineStr">
        <is>
          <t>2025-04-16 13:39:00</t>
        </is>
      </c>
      <c r="C6028" t="inlineStr">
        <is>
          <t>Paid Search</t>
        </is>
      </c>
      <c r="D6028" t="inlineStr">
        <is>
          <t>Study Abroad Prep</t>
        </is>
      </c>
      <c r="E6028" t="inlineStr">
        <is>
          <t>South Region</t>
        </is>
      </c>
      <c r="F6028" t="inlineStr">
        <is>
          <t>Rep_12</t>
        </is>
      </c>
      <c r="G6028" t="n">
        <v>4.63</v>
      </c>
      <c r="H6028" t="inlineStr">
        <is>
          <t>Contacted</t>
        </is>
      </c>
      <c r="I6028" t="inlineStr">
        <is>
          <t>Open</t>
        </is>
      </c>
      <c r="M6028">
        <f>VLOOKUP(H6028,'Stage Order'!$A$2:$B$8,2,FALSE)</f>
        <v/>
      </c>
      <c r="N6028">
        <f>IF(G6028&lt;=1,"1. Under 1 hour",IF(G6028&lt;=24,"2. 1-24 hours",IF(G6028&lt;=72,"3. 1-3 days","4. Over 3 days")))</f>
        <v/>
      </c>
      <c r="O6028">
        <f>TEXT(B6028,"YYYY-MM")</f>
        <v/>
      </c>
    </row>
    <row r="6029">
      <c r="A6029" t="inlineStr">
        <is>
          <t>LD-306027</t>
        </is>
      </c>
      <c r="B6029" t="inlineStr">
        <is>
          <t>2026-05-21 10:57:00</t>
        </is>
      </c>
      <c r="C6029" t="inlineStr">
        <is>
          <t>Social Media</t>
        </is>
      </c>
      <c r="D6029" t="inlineStr">
        <is>
          <t>Coding for Kids</t>
        </is>
      </c>
      <c r="E6029" t="inlineStr">
        <is>
          <t>West Region</t>
        </is>
      </c>
      <c r="F6029" t="inlineStr">
        <is>
          <t>Rep_13</t>
        </is>
      </c>
      <c r="G6029" t="n">
        <v>2.49</v>
      </c>
      <c r="H6029" t="inlineStr">
        <is>
          <t>Contacted</t>
        </is>
      </c>
      <c r="I6029" t="inlineStr">
        <is>
          <t>Open</t>
        </is>
      </c>
      <c r="M6029">
        <f>VLOOKUP(H6029,'Stage Order'!$A$2:$B$8,2,FALSE)</f>
        <v/>
      </c>
      <c r="N6029">
        <f>IF(G6029&lt;=1,"1. Under 1 hour",IF(G6029&lt;=24,"2. 1-24 hours",IF(G6029&lt;=72,"3. 1-3 days","4. Over 3 days")))</f>
        <v/>
      </c>
      <c r="O6029">
        <f>TEXT(B6029,"YYYY-MM")</f>
        <v/>
      </c>
    </row>
    <row r="6030">
      <c r="A6030" t="inlineStr">
        <is>
          <t>LD-306028</t>
        </is>
      </c>
      <c r="B6030" t="inlineStr">
        <is>
          <t>2026-01-02 14:45:00</t>
        </is>
      </c>
      <c r="C6030" t="inlineStr">
        <is>
          <t>Webinar</t>
        </is>
      </c>
      <c r="D6030" t="inlineStr">
        <is>
          <t>Study Abroad Prep</t>
        </is>
      </c>
      <c r="E6030" t="inlineStr">
        <is>
          <t>South Region</t>
        </is>
      </c>
      <c r="F6030" t="inlineStr">
        <is>
          <t>Rep_02</t>
        </is>
      </c>
      <c r="G6030" t="n">
        <v>0.57</v>
      </c>
      <c r="H6030" t="inlineStr">
        <is>
          <t>Negotiation</t>
        </is>
      </c>
      <c r="I6030" t="inlineStr">
        <is>
          <t>Lost</t>
        </is>
      </c>
      <c r="J6030" t="inlineStr">
        <is>
          <t>Price Objection</t>
        </is>
      </c>
      <c r="K6030" t="n">
        <v>1546.2</v>
      </c>
      <c r="L6030" t="inlineStr">
        <is>
          <t>2026-02-26 07:05:59.815453</t>
        </is>
      </c>
      <c r="M6030">
        <f>VLOOKUP(H6030,'Stage Order'!$A$2:$B$8,2,FALSE)</f>
        <v/>
      </c>
      <c r="N6030">
        <f>IF(G6030&lt;=1,"1. Under 1 hour",IF(G6030&lt;=24,"2. 1-24 hours",IF(G6030&lt;=72,"3. 1-3 days","4. Over 3 days")))</f>
        <v/>
      </c>
      <c r="O6030">
        <f>TEXT(B6030,"YYYY-MM")</f>
        <v/>
      </c>
    </row>
    <row r="6031">
      <c r="A6031" t="inlineStr">
        <is>
          <t>LD-306029</t>
        </is>
      </c>
      <c r="B6031" t="inlineStr">
        <is>
          <t>2025-08-11 18:58:00</t>
        </is>
      </c>
      <c r="C6031" t="inlineStr">
        <is>
          <t>Referral</t>
        </is>
      </c>
      <c r="D6031" t="inlineStr">
        <is>
          <t>Study Abroad Prep</t>
        </is>
      </c>
      <c r="E6031" t="inlineStr">
        <is>
          <t>South Region</t>
        </is>
      </c>
      <c r="F6031" t="inlineStr">
        <is>
          <t>Rep_12</t>
        </is>
      </c>
      <c r="G6031" t="n">
        <v>10.19</v>
      </c>
      <c r="H6031" t="inlineStr">
        <is>
          <t>Negotiation</t>
        </is>
      </c>
      <c r="I6031" t="inlineStr">
        <is>
          <t>Lost</t>
        </is>
      </c>
      <c r="J6031" t="inlineStr">
        <is>
          <t>Budget Not Approved</t>
        </is>
      </c>
      <c r="K6031" t="n">
        <v>1409.74</v>
      </c>
      <c r="L6031" t="inlineStr">
        <is>
          <t>2025-09-28 18:29:26.365385</t>
        </is>
      </c>
      <c r="M6031">
        <f>VLOOKUP(H6031,'Stage Order'!$A$2:$B$8,2,FALSE)</f>
        <v/>
      </c>
      <c r="N6031">
        <f>IF(G6031&lt;=1,"1. Under 1 hour",IF(G6031&lt;=24,"2. 1-24 hours",IF(G6031&lt;=72,"3. 1-3 days","4. Over 3 days")))</f>
        <v/>
      </c>
      <c r="O6031">
        <f>TEXT(B6031,"YYYY-MM")</f>
        <v/>
      </c>
    </row>
    <row r="6032">
      <c r="A6032" t="inlineStr">
        <is>
          <t>LD-306030</t>
        </is>
      </c>
      <c r="B6032" t="inlineStr">
        <is>
          <t>2025-11-10 19:11:00</t>
        </is>
      </c>
      <c r="C6032" t="inlineStr">
        <is>
          <t>Paid Search</t>
        </is>
      </c>
      <c r="D6032" t="inlineStr">
        <is>
          <t>K-12 Math</t>
        </is>
      </c>
      <c r="E6032" t="inlineStr">
        <is>
          <t>West Region</t>
        </is>
      </c>
      <c r="F6032" t="inlineStr">
        <is>
          <t>Rep_03</t>
        </is>
      </c>
      <c r="G6032" t="n">
        <v>3.24</v>
      </c>
      <c r="H6032" t="inlineStr">
        <is>
          <t>Contacted</t>
        </is>
      </c>
      <c r="I6032" t="inlineStr">
        <is>
          <t>Open</t>
        </is>
      </c>
      <c r="M6032">
        <f>VLOOKUP(H6032,'Stage Order'!$A$2:$B$8,2,FALSE)</f>
        <v/>
      </c>
      <c r="N6032">
        <f>IF(G6032&lt;=1,"1. Under 1 hour",IF(G6032&lt;=24,"2. 1-24 hours",IF(G6032&lt;=72,"3. 1-3 days","4. Over 3 days")))</f>
        <v/>
      </c>
      <c r="O6032">
        <f>TEXT(B6032,"YYYY-MM")</f>
        <v/>
      </c>
    </row>
    <row r="6033">
      <c r="A6033" t="inlineStr">
        <is>
          <t>LD-306031</t>
        </is>
      </c>
      <c r="B6033" t="inlineStr">
        <is>
          <t>2025-12-05 08:41:00</t>
        </is>
      </c>
      <c r="C6033" t="inlineStr">
        <is>
          <t>Paid Search</t>
        </is>
      </c>
      <c r="D6033" t="inlineStr">
        <is>
          <t>K-12 Math</t>
        </is>
      </c>
      <c r="E6033" t="inlineStr">
        <is>
          <t>North Region</t>
        </is>
      </c>
      <c r="F6033" t="inlineStr">
        <is>
          <t>Rep_11</t>
        </is>
      </c>
      <c r="G6033" t="n">
        <v>11.22</v>
      </c>
      <c r="H6033" t="inlineStr">
        <is>
          <t>Contacted</t>
        </is>
      </c>
      <c r="I6033" t="inlineStr">
        <is>
          <t>Open</t>
        </is>
      </c>
      <c r="M6033">
        <f>VLOOKUP(H6033,'Stage Order'!$A$2:$B$8,2,FALSE)</f>
        <v/>
      </c>
      <c r="N6033">
        <f>IF(G6033&lt;=1,"1. Under 1 hour",IF(G6033&lt;=24,"2. 1-24 hours",IF(G6033&lt;=72,"3. 1-3 days","4. Over 3 days")))</f>
        <v/>
      </c>
      <c r="O6033">
        <f>TEXT(B6033,"YYYY-MM")</f>
        <v/>
      </c>
    </row>
    <row r="6034">
      <c r="A6034" t="inlineStr">
        <is>
          <t>LD-306032</t>
        </is>
      </c>
      <c r="B6034" t="inlineStr">
        <is>
          <t>2026-03-27 15:18:00</t>
        </is>
      </c>
      <c r="C6034" t="inlineStr">
        <is>
          <t>Cold Outreach</t>
        </is>
      </c>
      <c r="D6034" t="inlineStr">
        <is>
          <t>Study Abroad Prep</t>
        </is>
      </c>
      <c r="E6034" t="inlineStr">
        <is>
          <t>West Region</t>
        </is>
      </c>
      <c r="F6034" t="inlineStr">
        <is>
          <t>Rep_13</t>
        </is>
      </c>
      <c r="G6034" t="n">
        <v>2.73</v>
      </c>
      <c r="H6034" t="inlineStr">
        <is>
          <t>Contacted</t>
        </is>
      </c>
      <c r="I6034" t="inlineStr">
        <is>
          <t>Open</t>
        </is>
      </c>
      <c r="M6034">
        <f>VLOOKUP(H6034,'Stage Order'!$A$2:$B$8,2,FALSE)</f>
        <v/>
      </c>
      <c r="N6034">
        <f>IF(G6034&lt;=1,"1. Under 1 hour",IF(G6034&lt;=24,"2. 1-24 hours",IF(G6034&lt;=72,"3. 1-3 days","4. Over 3 days")))</f>
        <v/>
      </c>
      <c r="O6034">
        <f>TEXT(B6034,"YYYY-MM")</f>
        <v/>
      </c>
    </row>
    <row r="6035">
      <c r="A6035" t="inlineStr">
        <is>
          <t>LD-306033</t>
        </is>
      </c>
      <c r="B6035" t="inlineStr">
        <is>
          <t>2025-04-18 17:22:00</t>
        </is>
      </c>
      <c r="C6035" t="inlineStr">
        <is>
          <t>Partner Channel</t>
        </is>
      </c>
      <c r="D6035" t="inlineStr">
        <is>
          <t>Language Learning</t>
        </is>
      </c>
      <c r="E6035" t="inlineStr">
        <is>
          <t>South Region</t>
        </is>
      </c>
      <c r="F6035" t="inlineStr">
        <is>
          <t>Rep_07</t>
        </is>
      </c>
      <c r="G6035" t="n">
        <v>1.89</v>
      </c>
      <c r="H6035" t="inlineStr">
        <is>
          <t>Contacted</t>
        </is>
      </c>
      <c r="I6035" t="inlineStr">
        <is>
          <t>Open</t>
        </is>
      </c>
      <c r="M6035">
        <f>VLOOKUP(H6035,'Stage Order'!$A$2:$B$8,2,FALSE)</f>
        <v/>
      </c>
      <c r="N6035">
        <f>IF(G6035&lt;=1,"1. Under 1 hour",IF(G6035&lt;=24,"2. 1-24 hours",IF(G6035&lt;=72,"3. 1-3 days","4. Over 3 days")))</f>
        <v/>
      </c>
      <c r="O6035">
        <f>TEXT(B6035,"YYYY-MM")</f>
        <v/>
      </c>
    </row>
    <row r="6036">
      <c r="A6036" t="inlineStr">
        <is>
          <t>LD-306034</t>
        </is>
      </c>
      <c r="B6036" t="inlineStr">
        <is>
          <t>2025-09-11 07:01:00</t>
        </is>
      </c>
      <c r="C6036" t="inlineStr">
        <is>
          <t>Referral</t>
        </is>
      </c>
      <c r="D6036" t="inlineStr">
        <is>
          <t>Study Abroad Prep</t>
        </is>
      </c>
      <c r="E6036" t="inlineStr">
        <is>
          <t>East Region</t>
        </is>
      </c>
      <c r="F6036" t="inlineStr">
        <is>
          <t>Rep_09</t>
        </is>
      </c>
      <c r="G6036" t="n">
        <v>17.24</v>
      </c>
      <c r="H6036" t="inlineStr">
        <is>
          <t>Closed</t>
        </is>
      </c>
      <c r="I6036" t="inlineStr">
        <is>
          <t>Won</t>
        </is>
      </c>
      <c r="K6036" t="n">
        <v>1459.25</v>
      </c>
      <c r="L6036" t="inlineStr">
        <is>
          <t>2025-10-13 02:16:44.012288</t>
        </is>
      </c>
      <c r="M6036">
        <f>VLOOKUP(H6036,'Stage Order'!$A$2:$B$8,2,FALSE)</f>
        <v/>
      </c>
      <c r="N6036">
        <f>IF(G6036&lt;=1,"1. Under 1 hour",IF(G6036&lt;=24,"2. 1-24 hours",IF(G6036&lt;=72,"3. 1-3 days","4. Over 3 days")))</f>
        <v/>
      </c>
      <c r="O6036">
        <f>TEXT(B6036,"YYYY-MM")</f>
        <v/>
      </c>
    </row>
    <row r="6037">
      <c r="A6037" t="inlineStr">
        <is>
          <t>LD-306035</t>
        </is>
      </c>
      <c r="B6037" t="inlineStr">
        <is>
          <t>2026-01-02 13:35:00</t>
        </is>
      </c>
      <c r="C6037" t="inlineStr">
        <is>
          <t>Organic Search</t>
        </is>
      </c>
      <c r="D6037" t="inlineStr">
        <is>
          <t>Competitive Exam Prep</t>
        </is>
      </c>
      <c r="E6037" t="inlineStr">
        <is>
          <t>North Region</t>
        </is>
      </c>
      <c r="F6037" t="inlineStr">
        <is>
          <t>Rep_11</t>
        </is>
      </c>
      <c r="G6037" t="n">
        <v>4.76</v>
      </c>
      <c r="H6037" t="inlineStr">
        <is>
          <t>Contacted</t>
        </is>
      </c>
      <c r="I6037" t="inlineStr">
        <is>
          <t>Open</t>
        </is>
      </c>
      <c r="M6037">
        <f>VLOOKUP(H6037,'Stage Order'!$A$2:$B$8,2,FALSE)</f>
        <v/>
      </c>
      <c r="N6037">
        <f>IF(G6037&lt;=1,"1. Under 1 hour",IF(G6037&lt;=24,"2. 1-24 hours",IF(G6037&lt;=72,"3. 1-3 days","4. Over 3 days")))</f>
        <v/>
      </c>
      <c r="O6037">
        <f>TEXT(B6037,"YYYY-MM")</f>
        <v/>
      </c>
    </row>
    <row r="6038">
      <c r="A6038" t="inlineStr">
        <is>
          <t>LD-306036</t>
        </is>
      </c>
      <c r="B6038" t="inlineStr">
        <is>
          <t>2026-05-26 16:34:00</t>
        </is>
      </c>
      <c r="C6038" t="inlineStr">
        <is>
          <t>Organic Search</t>
        </is>
      </c>
      <c r="D6038" t="inlineStr">
        <is>
          <t>Language Learning</t>
        </is>
      </c>
      <c r="E6038" t="inlineStr">
        <is>
          <t>North Region</t>
        </is>
      </c>
      <c r="F6038" t="inlineStr">
        <is>
          <t>Rep_11</t>
        </is>
      </c>
      <c r="G6038" t="n">
        <v>21.41</v>
      </c>
      <c r="H6038" t="inlineStr">
        <is>
          <t>Contacted</t>
        </is>
      </c>
      <c r="I6038" t="inlineStr">
        <is>
          <t>Open</t>
        </is>
      </c>
      <c r="M6038">
        <f>VLOOKUP(H6038,'Stage Order'!$A$2:$B$8,2,FALSE)</f>
        <v/>
      </c>
      <c r="N6038">
        <f>IF(G6038&lt;=1,"1. Under 1 hour",IF(G6038&lt;=24,"2. 1-24 hours",IF(G6038&lt;=72,"3. 1-3 days","4. Over 3 days")))</f>
        <v/>
      </c>
      <c r="O6038">
        <f>TEXT(B6038,"YYYY-MM")</f>
        <v/>
      </c>
    </row>
    <row r="6039">
      <c r="A6039" t="inlineStr">
        <is>
          <t>LD-306037</t>
        </is>
      </c>
      <c r="B6039" t="inlineStr">
        <is>
          <t>2025-07-01 07:13:00</t>
        </is>
      </c>
      <c r="C6039" t="inlineStr">
        <is>
          <t>Social Media</t>
        </is>
      </c>
      <c r="D6039" t="inlineStr">
        <is>
          <t>Language Learning</t>
        </is>
      </c>
      <c r="E6039" t="inlineStr">
        <is>
          <t>International</t>
        </is>
      </c>
      <c r="F6039" t="inlineStr">
        <is>
          <t>Rep_05</t>
        </is>
      </c>
      <c r="G6039" t="n">
        <v>3.05</v>
      </c>
      <c r="H6039" t="inlineStr">
        <is>
          <t>Demo Completed</t>
        </is>
      </c>
      <c r="I6039" t="inlineStr">
        <is>
          <t>Lost</t>
        </is>
      </c>
      <c r="J6039" t="inlineStr">
        <is>
          <t>No Response / Ghosted</t>
        </is>
      </c>
      <c r="K6039" t="n">
        <v>377.5</v>
      </c>
      <c r="L6039" t="inlineStr">
        <is>
          <t>2025-08-09 22:06:53.561757</t>
        </is>
      </c>
      <c r="M6039">
        <f>VLOOKUP(H6039,'Stage Order'!$A$2:$B$8,2,FALSE)</f>
        <v/>
      </c>
      <c r="N6039">
        <f>IF(G6039&lt;=1,"1. Under 1 hour",IF(G6039&lt;=24,"2. 1-24 hours",IF(G6039&lt;=72,"3. 1-3 days","4. Over 3 days")))</f>
        <v/>
      </c>
      <c r="O6039">
        <f>TEXT(B6039,"YYYY-MM")</f>
        <v/>
      </c>
    </row>
    <row r="6040">
      <c r="A6040" t="inlineStr">
        <is>
          <t>LD-306038</t>
        </is>
      </c>
      <c r="B6040" t="inlineStr">
        <is>
          <t>2025-10-07 07:22:00</t>
        </is>
      </c>
      <c r="C6040" t="inlineStr">
        <is>
          <t>Paid Search</t>
        </is>
      </c>
      <c r="D6040" t="inlineStr">
        <is>
          <t>Language Learning</t>
        </is>
      </c>
      <c r="E6040" t="inlineStr">
        <is>
          <t>North Region</t>
        </is>
      </c>
      <c r="F6040" t="inlineStr">
        <is>
          <t>Rep_06</t>
        </is>
      </c>
      <c r="G6040" t="n">
        <v>4.06</v>
      </c>
      <c r="H6040" t="inlineStr">
        <is>
          <t>Lead</t>
        </is>
      </c>
      <c r="I6040" t="inlineStr">
        <is>
          <t>Open</t>
        </is>
      </c>
      <c r="M6040">
        <f>VLOOKUP(H6040,'Stage Order'!$A$2:$B$8,2,FALSE)</f>
        <v/>
      </c>
      <c r="N6040">
        <f>IF(G6040&lt;=1,"1. Under 1 hour",IF(G6040&lt;=24,"2. 1-24 hours",IF(G6040&lt;=72,"3. 1-3 days","4. Over 3 days")))</f>
        <v/>
      </c>
      <c r="O6040">
        <f>TEXT(B6040,"YYYY-MM")</f>
        <v/>
      </c>
    </row>
    <row r="6041">
      <c r="A6041" t="inlineStr">
        <is>
          <t>LD-306039</t>
        </is>
      </c>
      <c r="B6041" t="inlineStr">
        <is>
          <t>2025-08-23 14:08:00</t>
        </is>
      </c>
      <c r="C6041" t="inlineStr">
        <is>
          <t>Webinar</t>
        </is>
      </c>
      <c r="D6041" t="inlineStr">
        <is>
          <t>Competitive Exam Prep</t>
        </is>
      </c>
      <c r="E6041" t="inlineStr">
        <is>
          <t>West Region</t>
        </is>
      </c>
      <c r="F6041" t="inlineStr">
        <is>
          <t>Rep_08</t>
        </is>
      </c>
      <c r="G6041" t="n">
        <v>9.5</v>
      </c>
      <c r="H6041" t="inlineStr">
        <is>
          <t>Contacted</t>
        </is>
      </c>
      <c r="I6041" t="inlineStr">
        <is>
          <t>Open</t>
        </is>
      </c>
      <c r="M6041">
        <f>VLOOKUP(H6041,'Stage Order'!$A$2:$B$8,2,FALSE)</f>
        <v/>
      </c>
      <c r="N6041">
        <f>IF(G6041&lt;=1,"1. Under 1 hour",IF(G6041&lt;=24,"2. 1-24 hours",IF(G6041&lt;=72,"3. 1-3 days","4. Over 3 days")))</f>
        <v/>
      </c>
      <c r="O6041">
        <f>TEXT(B6041,"YYYY-MM")</f>
        <v/>
      </c>
    </row>
    <row r="6042">
      <c r="A6042" t="inlineStr">
        <is>
          <t>LD-306040</t>
        </is>
      </c>
      <c r="B6042" t="inlineStr">
        <is>
          <t>2025-11-07 07:25:00</t>
        </is>
      </c>
      <c r="C6042" t="inlineStr">
        <is>
          <t>Referral</t>
        </is>
      </c>
      <c r="D6042" t="inlineStr">
        <is>
          <t>Competitive Exam Prep</t>
        </is>
      </c>
      <c r="E6042" t="inlineStr">
        <is>
          <t>North Region</t>
        </is>
      </c>
      <c r="F6042" t="inlineStr">
        <is>
          <t>Rep_01</t>
        </is>
      </c>
      <c r="G6042" t="n">
        <v>2.13</v>
      </c>
      <c r="H6042" t="inlineStr">
        <is>
          <t>Demo Scheduled</t>
        </is>
      </c>
      <c r="I6042" t="inlineStr">
        <is>
          <t>Open</t>
        </is>
      </c>
      <c r="M6042">
        <f>VLOOKUP(H6042,'Stage Order'!$A$2:$B$8,2,FALSE)</f>
        <v/>
      </c>
      <c r="N6042">
        <f>IF(G6042&lt;=1,"1. Under 1 hour",IF(G6042&lt;=24,"2. 1-24 hours",IF(G6042&lt;=72,"3. 1-3 days","4. Over 3 days")))</f>
        <v/>
      </c>
      <c r="O6042">
        <f>TEXT(B6042,"YYYY-MM")</f>
        <v/>
      </c>
    </row>
    <row r="6043">
      <c r="A6043" t="inlineStr">
        <is>
          <t>LD-306041</t>
        </is>
      </c>
      <c r="B6043" t="inlineStr">
        <is>
          <t>2025-11-07 09:43:00</t>
        </is>
      </c>
      <c r="C6043" t="inlineStr">
        <is>
          <t>Organic Search</t>
        </is>
      </c>
      <c r="D6043" t="inlineStr">
        <is>
          <t>Competitive Exam Prep</t>
        </is>
      </c>
      <c r="E6043" t="inlineStr">
        <is>
          <t>East Region</t>
        </is>
      </c>
      <c r="F6043" t="inlineStr">
        <is>
          <t>Rep_04</t>
        </is>
      </c>
      <c r="G6043" t="n">
        <v>14.58</v>
      </c>
      <c r="H6043" t="inlineStr">
        <is>
          <t>Lead</t>
        </is>
      </c>
      <c r="I6043" t="inlineStr">
        <is>
          <t>Open</t>
        </is>
      </c>
      <c r="M6043">
        <f>VLOOKUP(H6043,'Stage Order'!$A$2:$B$8,2,FALSE)</f>
        <v/>
      </c>
      <c r="N6043">
        <f>IF(G6043&lt;=1,"1. Under 1 hour",IF(G6043&lt;=24,"2. 1-24 hours",IF(G6043&lt;=72,"3. 1-3 days","4. Over 3 days")))</f>
        <v/>
      </c>
      <c r="O6043">
        <f>TEXT(B6043,"YYYY-MM")</f>
        <v/>
      </c>
    </row>
    <row r="6044">
      <c r="A6044" t="inlineStr">
        <is>
          <t>LD-306042</t>
        </is>
      </c>
      <c r="B6044" t="inlineStr">
        <is>
          <t>2025-01-29 17:56:00</t>
        </is>
      </c>
      <c r="C6044" t="inlineStr">
        <is>
          <t>Organic Search</t>
        </is>
      </c>
      <c r="D6044" t="inlineStr">
        <is>
          <t>Study Abroad Prep</t>
        </is>
      </c>
      <c r="E6044" t="inlineStr">
        <is>
          <t>West Region</t>
        </is>
      </c>
      <c r="F6044" t="inlineStr">
        <is>
          <t>Rep_03</t>
        </is>
      </c>
      <c r="G6044" t="n">
        <v>3.66</v>
      </c>
      <c r="H6044" t="inlineStr">
        <is>
          <t>Negotiation</t>
        </is>
      </c>
      <c r="I6044" t="inlineStr">
        <is>
          <t>Lost</t>
        </is>
      </c>
      <c r="J6044" t="inlineStr">
        <is>
          <t>Bad Timing</t>
        </is>
      </c>
      <c r="K6044" t="n">
        <v>1294.92</v>
      </c>
      <c r="L6044" t="inlineStr">
        <is>
          <t>2025-03-14 08:38:40.152857</t>
        </is>
      </c>
      <c r="M6044">
        <f>VLOOKUP(H6044,'Stage Order'!$A$2:$B$8,2,FALSE)</f>
        <v/>
      </c>
      <c r="N6044">
        <f>IF(G6044&lt;=1,"1. Under 1 hour",IF(G6044&lt;=24,"2. 1-24 hours",IF(G6044&lt;=72,"3. 1-3 days","4. Over 3 days")))</f>
        <v/>
      </c>
      <c r="O6044">
        <f>TEXT(B6044,"YYYY-MM")</f>
        <v/>
      </c>
    </row>
    <row r="6045">
      <c r="A6045" t="inlineStr">
        <is>
          <t>LD-306043</t>
        </is>
      </c>
      <c r="B6045" t="inlineStr">
        <is>
          <t>2025-05-16 13:36:00</t>
        </is>
      </c>
      <c r="C6045" t="inlineStr">
        <is>
          <t>Social Media</t>
        </is>
      </c>
      <c r="D6045" t="inlineStr">
        <is>
          <t>Competitive Exam Prep</t>
        </is>
      </c>
      <c r="E6045" t="inlineStr">
        <is>
          <t>West Region</t>
        </is>
      </c>
      <c r="F6045" t="inlineStr">
        <is>
          <t>Rep_03</t>
        </is>
      </c>
      <c r="G6045" t="n">
        <v>0.43</v>
      </c>
      <c r="H6045" t="inlineStr">
        <is>
          <t>Lead</t>
        </is>
      </c>
      <c r="I6045" t="inlineStr">
        <is>
          <t>Open</t>
        </is>
      </c>
      <c r="M6045">
        <f>VLOOKUP(H6045,'Stage Order'!$A$2:$B$8,2,FALSE)</f>
        <v/>
      </c>
      <c r="N6045">
        <f>IF(G6045&lt;=1,"1. Under 1 hour",IF(G6045&lt;=24,"2. 1-24 hours",IF(G6045&lt;=72,"3. 1-3 days","4. Over 3 days")))</f>
        <v/>
      </c>
      <c r="O6045">
        <f>TEXT(B6045,"YYYY-MM")</f>
        <v/>
      </c>
    </row>
    <row r="6046">
      <c r="A6046" t="inlineStr">
        <is>
          <t>LD-306044</t>
        </is>
      </c>
      <c r="B6046" t="inlineStr">
        <is>
          <t>2025-06-06 10:13:00</t>
        </is>
      </c>
      <c r="C6046" t="inlineStr">
        <is>
          <t>Partner Channel</t>
        </is>
      </c>
      <c r="D6046" t="inlineStr">
        <is>
          <t>Coding for Kids</t>
        </is>
      </c>
      <c r="E6046" t="inlineStr">
        <is>
          <t>South Region</t>
        </is>
      </c>
      <c r="F6046" t="inlineStr">
        <is>
          <t>Rep_02</t>
        </is>
      </c>
      <c r="G6046" t="n">
        <v>0.96</v>
      </c>
      <c r="H6046" t="inlineStr">
        <is>
          <t>Contacted</t>
        </is>
      </c>
      <c r="I6046" t="inlineStr">
        <is>
          <t>Open</t>
        </is>
      </c>
      <c r="M6046">
        <f>VLOOKUP(H6046,'Stage Order'!$A$2:$B$8,2,FALSE)</f>
        <v/>
      </c>
      <c r="N6046">
        <f>IF(G6046&lt;=1,"1. Under 1 hour",IF(G6046&lt;=24,"2. 1-24 hours",IF(G6046&lt;=72,"3. 1-3 days","4. Over 3 days")))</f>
        <v/>
      </c>
      <c r="O6046">
        <f>TEXT(B6046,"YYYY-MM")</f>
        <v/>
      </c>
    </row>
    <row r="6047">
      <c r="A6047" t="inlineStr">
        <is>
          <t>LD-306045</t>
        </is>
      </c>
      <c r="B6047" t="inlineStr">
        <is>
          <t>2025-08-04 10:26:00</t>
        </is>
      </c>
      <c r="C6047" t="inlineStr">
        <is>
          <t>Organic Search</t>
        </is>
      </c>
      <c r="D6047" t="inlineStr">
        <is>
          <t>Coding for Kids</t>
        </is>
      </c>
      <c r="E6047" t="inlineStr">
        <is>
          <t>West Region</t>
        </is>
      </c>
      <c r="F6047" t="inlineStr">
        <is>
          <t>Rep_08</t>
        </is>
      </c>
      <c r="G6047" t="n">
        <v>2.89</v>
      </c>
      <c r="H6047" t="inlineStr">
        <is>
          <t>Contacted</t>
        </is>
      </c>
      <c r="I6047" t="inlineStr">
        <is>
          <t>Open</t>
        </is>
      </c>
      <c r="M6047">
        <f>VLOOKUP(H6047,'Stage Order'!$A$2:$B$8,2,FALSE)</f>
        <v/>
      </c>
      <c r="N6047">
        <f>IF(G6047&lt;=1,"1. Under 1 hour",IF(G6047&lt;=24,"2. 1-24 hours",IF(G6047&lt;=72,"3. 1-3 days","4. Over 3 days")))</f>
        <v/>
      </c>
      <c r="O6047">
        <f>TEXT(B6047,"YYYY-MM")</f>
        <v/>
      </c>
    </row>
    <row r="6048">
      <c r="A6048" t="inlineStr">
        <is>
          <t>LD-306046</t>
        </is>
      </c>
      <c r="B6048" t="inlineStr">
        <is>
          <t>2025-07-19 08:52:00</t>
        </is>
      </c>
      <c r="C6048" t="inlineStr">
        <is>
          <t>Partner Channel</t>
        </is>
      </c>
      <c r="D6048" t="inlineStr">
        <is>
          <t>Language Learning</t>
        </is>
      </c>
      <c r="E6048" t="inlineStr">
        <is>
          <t>East Region</t>
        </is>
      </c>
      <c r="F6048" t="inlineStr">
        <is>
          <t>Rep_14</t>
        </is>
      </c>
      <c r="G6048" t="n">
        <v>8.369999999999999</v>
      </c>
      <c r="H6048" t="inlineStr">
        <is>
          <t>Closed</t>
        </is>
      </c>
      <c r="I6048" t="inlineStr">
        <is>
          <t>Won</t>
        </is>
      </c>
      <c r="K6048" t="n">
        <v>399.66</v>
      </c>
      <c r="L6048" t="inlineStr">
        <is>
          <t>2025-08-21 02:32:33.824899</t>
        </is>
      </c>
      <c r="M6048">
        <f>VLOOKUP(H6048,'Stage Order'!$A$2:$B$8,2,FALSE)</f>
        <v/>
      </c>
      <c r="N6048">
        <f>IF(G6048&lt;=1,"1. Under 1 hour",IF(G6048&lt;=24,"2. 1-24 hours",IF(G6048&lt;=72,"3. 1-3 days","4. Over 3 days")))</f>
        <v/>
      </c>
      <c r="O6048">
        <f>TEXT(B6048,"YYYY-MM")</f>
        <v/>
      </c>
    </row>
    <row r="6049">
      <c r="A6049" t="inlineStr">
        <is>
          <t>LD-306047</t>
        </is>
      </c>
      <c r="B6049" t="inlineStr">
        <is>
          <t>2026-05-30 20:54:00</t>
        </is>
      </c>
      <c r="C6049" t="inlineStr">
        <is>
          <t>Referral</t>
        </is>
      </c>
      <c r="D6049" t="inlineStr">
        <is>
          <t>Competitive Exam Prep</t>
        </is>
      </c>
      <c r="E6049" t="inlineStr">
        <is>
          <t>West Region</t>
        </is>
      </c>
      <c r="F6049" t="inlineStr">
        <is>
          <t>Rep_13</t>
        </is>
      </c>
      <c r="G6049" t="n">
        <v>1.06</v>
      </c>
      <c r="H6049" t="inlineStr">
        <is>
          <t>Proposal Sent</t>
        </is>
      </c>
      <c r="I6049" t="inlineStr">
        <is>
          <t>Lost</t>
        </is>
      </c>
      <c r="J6049" t="inlineStr">
        <is>
          <t>Price Objection</t>
        </is>
      </c>
      <c r="K6049" t="n">
        <v>1156.01</v>
      </c>
      <c r="L6049" t="inlineStr">
        <is>
          <t>2026-07-23 16:05:29.716221</t>
        </is>
      </c>
      <c r="M6049">
        <f>VLOOKUP(H6049,'Stage Order'!$A$2:$B$8,2,FALSE)</f>
        <v/>
      </c>
      <c r="N6049">
        <f>IF(G6049&lt;=1,"1. Under 1 hour",IF(G6049&lt;=24,"2. 1-24 hours",IF(G6049&lt;=72,"3. 1-3 days","4. Over 3 days")))</f>
        <v/>
      </c>
      <c r="O6049">
        <f>TEXT(B6049,"YYYY-MM")</f>
        <v/>
      </c>
    </row>
    <row r="6050">
      <c r="A6050" t="inlineStr">
        <is>
          <t>LD-306048</t>
        </is>
      </c>
      <c r="B6050" t="inlineStr">
        <is>
          <t>2026-03-06 14:44:00</t>
        </is>
      </c>
      <c r="C6050" t="inlineStr">
        <is>
          <t>Partner Channel</t>
        </is>
      </c>
      <c r="D6050" t="inlineStr">
        <is>
          <t>Language Learning</t>
        </is>
      </c>
      <c r="E6050" t="inlineStr">
        <is>
          <t>North Region</t>
        </is>
      </c>
      <c r="F6050" t="inlineStr">
        <is>
          <t>Rep_01</t>
        </is>
      </c>
      <c r="G6050" t="n">
        <v>9.720000000000001</v>
      </c>
      <c r="H6050" t="inlineStr">
        <is>
          <t>Contacted</t>
        </is>
      </c>
      <c r="I6050" t="inlineStr">
        <is>
          <t>Open</t>
        </is>
      </c>
      <c r="M6050">
        <f>VLOOKUP(H6050,'Stage Order'!$A$2:$B$8,2,FALSE)</f>
        <v/>
      </c>
      <c r="N6050">
        <f>IF(G6050&lt;=1,"1. Under 1 hour",IF(G6050&lt;=24,"2. 1-24 hours",IF(G6050&lt;=72,"3. 1-3 days","4. Over 3 days")))</f>
        <v/>
      </c>
      <c r="O6050">
        <f>TEXT(B6050,"YYYY-MM")</f>
        <v/>
      </c>
    </row>
    <row r="6051">
      <c r="A6051" t="inlineStr">
        <is>
          <t>LD-306049</t>
        </is>
      </c>
      <c r="B6051" t="inlineStr">
        <is>
          <t>2025-09-10 13:47:00</t>
        </is>
      </c>
      <c r="C6051" t="inlineStr">
        <is>
          <t>Social Media</t>
        </is>
      </c>
      <c r="D6051" t="inlineStr">
        <is>
          <t>K-12 Math</t>
        </is>
      </c>
      <c r="E6051" t="inlineStr">
        <is>
          <t>South Region</t>
        </is>
      </c>
      <c r="F6051" t="inlineStr">
        <is>
          <t>Rep_07</t>
        </is>
      </c>
      <c r="G6051" t="n">
        <v>2.03</v>
      </c>
      <c r="H6051" t="inlineStr">
        <is>
          <t>Contacted</t>
        </is>
      </c>
      <c r="I6051" t="inlineStr">
        <is>
          <t>Open</t>
        </is>
      </c>
      <c r="M6051">
        <f>VLOOKUP(H6051,'Stage Order'!$A$2:$B$8,2,FALSE)</f>
        <v/>
      </c>
      <c r="N6051">
        <f>IF(G6051&lt;=1,"1. Under 1 hour",IF(G6051&lt;=24,"2. 1-24 hours",IF(G6051&lt;=72,"3. 1-3 days","4. Over 3 days")))</f>
        <v/>
      </c>
      <c r="O6051">
        <f>TEXT(B6051,"YYYY-MM")</f>
        <v/>
      </c>
    </row>
    <row r="6052">
      <c r="A6052" t="inlineStr">
        <is>
          <t>LD-306050</t>
        </is>
      </c>
      <c r="B6052" t="inlineStr">
        <is>
          <t>2025-06-06 16:36:00</t>
        </is>
      </c>
      <c r="C6052" t="inlineStr">
        <is>
          <t>Partner Channel</t>
        </is>
      </c>
      <c r="D6052" t="inlineStr">
        <is>
          <t>Competitive Exam Prep</t>
        </is>
      </c>
      <c r="E6052" t="inlineStr">
        <is>
          <t>North Region</t>
        </is>
      </c>
      <c r="F6052" t="inlineStr">
        <is>
          <t>Rep_06</t>
        </is>
      </c>
      <c r="G6052" t="n">
        <v>4.13</v>
      </c>
      <c r="H6052" t="inlineStr">
        <is>
          <t>Closed</t>
        </is>
      </c>
      <c r="I6052" t="inlineStr">
        <is>
          <t>Won</t>
        </is>
      </c>
      <c r="K6052" t="n">
        <v>872.98</v>
      </c>
      <c r="L6052" t="inlineStr">
        <is>
          <t>2025-07-20 15:34:12.928990</t>
        </is>
      </c>
      <c r="M6052">
        <f>VLOOKUP(H6052,'Stage Order'!$A$2:$B$8,2,FALSE)</f>
        <v/>
      </c>
      <c r="N6052">
        <f>IF(G6052&lt;=1,"1. Under 1 hour",IF(G6052&lt;=24,"2. 1-24 hours",IF(G6052&lt;=72,"3. 1-3 days","4. Over 3 days")))</f>
        <v/>
      </c>
      <c r="O6052">
        <f>TEXT(B6052,"YYYY-MM")</f>
        <v/>
      </c>
    </row>
    <row r="6053">
      <c r="A6053" t="inlineStr">
        <is>
          <t>LD-306051</t>
        </is>
      </c>
      <c r="B6053" t="inlineStr">
        <is>
          <t>2025-09-16 08:12:00</t>
        </is>
      </c>
      <c r="C6053" t="inlineStr">
        <is>
          <t>Paid Search</t>
        </is>
      </c>
      <c r="D6053" t="inlineStr">
        <is>
          <t>Language Learning</t>
        </is>
      </c>
      <c r="E6053" t="inlineStr">
        <is>
          <t>South Region</t>
        </is>
      </c>
      <c r="F6053" t="inlineStr">
        <is>
          <t>Rep_02</t>
        </is>
      </c>
      <c r="G6053" t="n">
        <v>1.03</v>
      </c>
      <c r="H6053" t="inlineStr">
        <is>
          <t>Contacted</t>
        </is>
      </c>
      <c r="I6053" t="inlineStr">
        <is>
          <t>Open</t>
        </is>
      </c>
      <c r="M6053">
        <f>VLOOKUP(H6053,'Stage Order'!$A$2:$B$8,2,FALSE)</f>
        <v/>
      </c>
      <c r="N6053">
        <f>IF(G6053&lt;=1,"1. Under 1 hour",IF(G6053&lt;=24,"2. 1-24 hours",IF(G6053&lt;=72,"3. 1-3 days","4. Over 3 days")))</f>
        <v/>
      </c>
      <c r="O6053">
        <f>TEXT(B6053,"YYYY-MM")</f>
        <v/>
      </c>
    </row>
    <row r="6054">
      <c r="A6054" t="inlineStr">
        <is>
          <t>LD-306052</t>
        </is>
      </c>
      <c r="B6054" t="inlineStr">
        <is>
          <t>2025-01-10 15:02:00</t>
        </is>
      </c>
      <c r="C6054" t="inlineStr">
        <is>
          <t>Webinar</t>
        </is>
      </c>
      <c r="D6054" t="inlineStr">
        <is>
          <t>K-12 Math</t>
        </is>
      </c>
      <c r="E6054" t="inlineStr">
        <is>
          <t>North Region</t>
        </is>
      </c>
      <c r="F6054" t="inlineStr">
        <is>
          <t>Rep_06</t>
        </is>
      </c>
      <c r="G6054" t="n">
        <v>0.43</v>
      </c>
      <c r="H6054" t="inlineStr">
        <is>
          <t>Contacted</t>
        </is>
      </c>
      <c r="I6054" t="inlineStr">
        <is>
          <t>Open</t>
        </is>
      </c>
      <c r="M6054">
        <f>VLOOKUP(H6054,'Stage Order'!$A$2:$B$8,2,FALSE)</f>
        <v/>
      </c>
      <c r="N6054">
        <f>IF(G6054&lt;=1,"1. Under 1 hour",IF(G6054&lt;=24,"2. 1-24 hours",IF(G6054&lt;=72,"3. 1-3 days","4. Over 3 days")))</f>
        <v/>
      </c>
      <c r="O6054">
        <f>TEXT(B6054,"YYYY-MM")</f>
        <v/>
      </c>
    </row>
    <row r="6055">
      <c r="A6055" t="inlineStr">
        <is>
          <t>LD-306053</t>
        </is>
      </c>
      <c r="B6055" t="inlineStr">
        <is>
          <t>2025-12-12 11:46:00</t>
        </is>
      </c>
      <c r="C6055" t="inlineStr">
        <is>
          <t>Cold Outreach</t>
        </is>
      </c>
      <c r="D6055" t="inlineStr">
        <is>
          <t>Language Learning</t>
        </is>
      </c>
      <c r="E6055" t="inlineStr">
        <is>
          <t>North Region</t>
        </is>
      </c>
      <c r="F6055" t="inlineStr">
        <is>
          <t>Rep_11</t>
        </is>
      </c>
      <c r="G6055" t="n">
        <v>0.34</v>
      </c>
      <c r="H6055" t="inlineStr">
        <is>
          <t>Demo Scheduled</t>
        </is>
      </c>
      <c r="I6055" t="inlineStr">
        <is>
          <t>Open</t>
        </is>
      </c>
      <c r="M6055">
        <f>VLOOKUP(H6055,'Stage Order'!$A$2:$B$8,2,FALSE)</f>
        <v/>
      </c>
      <c r="N6055">
        <f>IF(G6055&lt;=1,"1. Under 1 hour",IF(G6055&lt;=24,"2. 1-24 hours",IF(G6055&lt;=72,"3. 1-3 days","4. Over 3 days")))</f>
        <v/>
      </c>
      <c r="O6055">
        <f>TEXT(B6055,"YYYY-MM")</f>
        <v/>
      </c>
    </row>
    <row r="6056">
      <c r="A6056" t="inlineStr">
        <is>
          <t>LD-306054</t>
        </is>
      </c>
      <c r="B6056" t="inlineStr">
        <is>
          <t>2025-04-03 16:42:00</t>
        </is>
      </c>
      <c r="C6056" t="inlineStr">
        <is>
          <t>Paid Search</t>
        </is>
      </c>
      <c r="D6056" t="inlineStr">
        <is>
          <t>K-12 Math</t>
        </is>
      </c>
      <c r="E6056" t="inlineStr">
        <is>
          <t>North Region</t>
        </is>
      </c>
      <c r="F6056" t="inlineStr">
        <is>
          <t>Rep_06</t>
        </is>
      </c>
      <c r="G6056" t="n">
        <v>0.38</v>
      </c>
      <c r="H6056" t="inlineStr">
        <is>
          <t>Demo Scheduled</t>
        </is>
      </c>
      <c r="I6056" t="inlineStr">
        <is>
          <t>Open</t>
        </is>
      </c>
      <c r="M6056">
        <f>VLOOKUP(H6056,'Stage Order'!$A$2:$B$8,2,FALSE)</f>
        <v/>
      </c>
      <c r="N6056">
        <f>IF(G6056&lt;=1,"1. Under 1 hour",IF(G6056&lt;=24,"2. 1-24 hours",IF(G6056&lt;=72,"3. 1-3 days","4. Over 3 days")))</f>
        <v/>
      </c>
      <c r="O6056">
        <f>TEXT(B6056,"YYYY-MM")</f>
        <v/>
      </c>
    </row>
    <row r="6057">
      <c r="A6057" t="inlineStr">
        <is>
          <t>LD-306055</t>
        </is>
      </c>
      <c r="B6057" t="inlineStr">
        <is>
          <t>2026-05-13 14:01:00</t>
        </is>
      </c>
      <c r="C6057" t="inlineStr">
        <is>
          <t>Social Media</t>
        </is>
      </c>
      <c r="D6057" t="inlineStr">
        <is>
          <t>Study Abroad Prep</t>
        </is>
      </c>
      <c r="E6057" t="inlineStr">
        <is>
          <t>East Region</t>
        </is>
      </c>
      <c r="F6057" t="inlineStr">
        <is>
          <t>Rep_09</t>
        </is>
      </c>
      <c r="G6057" t="n">
        <v>3.34</v>
      </c>
      <c r="H6057" t="inlineStr">
        <is>
          <t>Contacted</t>
        </is>
      </c>
      <c r="I6057" t="inlineStr">
        <is>
          <t>Open</t>
        </is>
      </c>
      <c r="M6057">
        <f>VLOOKUP(H6057,'Stage Order'!$A$2:$B$8,2,FALSE)</f>
        <v/>
      </c>
      <c r="N6057">
        <f>IF(G6057&lt;=1,"1. Under 1 hour",IF(G6057&lt;=24,"2. 1-24 hours",IF(G6057&lt;=72,"3. 1-3 days","4. Over 3 days")))</f>
        <v/>
      </c>
      <c r="O6057">
        <f>TEXT(B6057,"YYYY-MM")</f>
        <v/>
      </c>
    </row>
    <row r="6058">
      <c r="A6058" t="inlineStr">
        <is>
          <t>LD-306056</t>
        </is>
      </c>
      <c r="B6058" t="inlineStr">
        <is>
          <t>2025-03-31 11:36:00</t>
        </is>
      </c>
      <c r="C6058" t="inlineStr">
        <is>
          <t>Social Media</t>
        </is>
      </c>
      <c r="D6058" t="inlineStr">
        <is>
          <t>Language Learning</t>
        </is>
      </c>
      <c r="E6058" t="inlineStr">
        <is>
          <t>South Region</t>
        </is>
      </c>
      <c r="F6058" t="inlineStr">
        <is>
          <t>Rep_12</t>
        </is>
      </c>
      <c r="G6058" t="n">
        <v>4.1</v>
      </c>
      <c r="H6058" t="inlineStr">
        <is>
          <t>Lead</t>
        </is>
      </c>
      <c r="I6058" t="inlineStr">
        <is>
          <t>Open</t>
        </is>
      </c>
      <c r="M6058">
        <f>VLOOKUP(H6058,'Stage Order'!$A$2:$B$8,2,FALSE)</f>
        <v/>
      </c>
      <c r="N6058">
        <f>IF(G6058&lt;=1,"1. Under 1 hour",IF(G6058&lt;=24,"2. 1-24 hours",IF(G6058&lt;=72,"3. 1-3 days","4. Over 3 days")))</f>
        <v/>
      </c>
      <c r="O6058">
        <f>TEXT(B6058,"YYYY-MM")</f>
        <v/>
      </c>
    </row>
    <row r="6059">
      <c r="A6059" t="inlineStr">
        <is>
          <t>LD-306057</t>
        </is>
      </c>
      <c r="B6059" t="inlineStr">
        <is>
          <t>2025-04-30 13:55:00</t>
        </is>
      </c>
      <c r="C6059" t="inlineStr">
        <is>
          <t>Cold Outreach</t>
        </is>
      </c>
      <c r="D6059" t="inlineStr">
        <is>
          <t>Competitive Exam Prep</t>
        </is>
      </c>
      <c r="E6059" t="inlineStr">
        <is>
          <t>North Region</t>
        </is>
      </c>
      <c r="F6059" t="inlineStr">
        <is>
          <t>Rep_01</t>
        </is>
      </c>
      <c r="G6059" t="n">
        <v>1.14</v>
      </c>
      <c r="H6059" t="inlineStr">
        <is>
          <t>Lead</t>
        </is>
      </c>
      <c r="I6059" t="inlineStr">
        <is>
          <t>Open</t>
        </is>
      </c>
      <c r="M6059">
        <f>VLOOKUP(H6059,'Stage Order'!$A$2:$B$8,2,FALSE)</f>
        <v/>
      </c>
      <c r="N6059">
        <f>IF(G6059&lt;=1,"1. Under 1 hour",IF(G6059&lt;=24,"2. 1-24 hours",IF(G6059&lt;=72,"3. 1-3 days","4. Over 3 days")))</f>
        <v/>
      </c>
      <c r="O6059">
        <f>TEXT(B6059,"YYYY-MM")</f>
        <v/>
      </c>
    </row>
    <row r="6060">
      <c r="A6060" t="inlineStr">
        <is>
          <t>LD-306058</t>
        </is>
      </c>
      <c r="B6060" t="inlineStr">
        <is>
          <t>2025-12-05 07:18:00</t>
        </is>
      </c>
      <c r="C6060" t="inlineStr">
        <is>
          <t>Organic Search</t>
        </is>
      </c>
      <c r="D6060" t="inlineStr">
        <is>
          <t>K-12 Math</t>
        </is>
      </c>
      <c r="E6060" t="inlineStr">
        <is>
          <t>North Region</t>
        </is>
      </c>
      <c r="F6060" t="inlineStr">
        <is>
          <t>Rep_01</t>
        </is>
      </c>
      <c r="G6060" t="n">
        <v>9.15</v>
      </c>
      <c r="H6060" t="inlineStr">
        <is>
          <t>Contacted</t>
        </is>
      </c>
      <c r="I6060" t="inlineStr">
        <is>
          <t>Open</t>
        </is>
      </c>
      <c r="M6060">
        <f>VLOOKUP(H6060,'Stage Order'!$A$2:$B$8,2,FALSE)</f>
        <v/>
      </c>
      <c r="N6060">
        <f>IF(G6060&lt;=1,"1. Under 1 hour",IF(G6060&lt;=24,"2. 1-24 hours",IF(G6060&lt;=72,"3. 1-3 days","4. Over 3 days")))</f>
        <v/>
      </c>
      <c r="O6060">
        <f>TEXT(B6060,"YYYY-MM")</f>
        <v/>
      </c>
    </row>
    <row r="6061">
      <c r="A6061" t="inlineStr">
        <is>
          <t>LD-306059</t>
        </is>
      </c>
      <c r="B6061" t="inlineStr">
        <is>
          <t>2025-11-21 16:56:00</t>
        </is>
      </c>
      <c r="C6061" t="inlineStr">
        <is>
          <t>Organic Search</t>
        </is>
      </c>
      <c r="D6061" t="inlineStr">
        <is>
          <t>K-12 Math</t>
        </is>
      </c>
      <c r="E6061" t="inlineStr">
        <is>
          <t>North Region</t>
        </is>
      </c>
      <c r="F6061" t="inlineStr">
        <is>
          <t>Rep_01</t>
        </is>
      </c>
      <c r="G6061" t="n">
        <v>7.95</v>
      </c>
      <c r="H6061" t="inlineStr">
        <is>
          <t>Demo Completed</t>
        </is>
      </c>
      <c r="I6061" t="inlineStr">
        <is>
          <t>Lost</t>
        </is>
      </c>
      <c r="J6061" t="inlineStr">
        <is>
          <t>Price Objection</t>
        </is>
      </c>
      <c r="K6061" t="n">
        <v>455.51</v>
      </c>
      <c r="L6061" t="inlineStr">
        <is>
          <t>2025-12-26 05:03:41.909147</t>
        </is>
      </c>
      <c r="M6061">
        <f>VLOOKUP(H6061,'Stage Order'!$A$2:$B$8,2,FALSE)</f>
        <v/>
      </c>
      <c r="N6061">
        <f>IF(G6061&lt;=1,"1. Under 1 hour",IF(G6061&lt;=24,"2. 1-24 hours",IF(G6061&lt;=72,"3. 1-3 days","4. Over 3 days")))</f>
        <v/>
      </c>
      <c r="O6061">
        <f>TEXT(B6061,"YYYY-MM")</f>
        <v/>
      </c>
    </row>
    <row r="6062">
      <c r="A6062" t="inlineStr">
        <is>
          <t>LD-306060</t>
        </is>
      </c>
      <c r="B6062" t="inlineStr">
        <is>
          <t>2026-06-19 12:10:00</t>
        </is>
      </c>
      <c r="C6062" t="inlineStr">
        <is>
          <t>Organic Search</t>
        </is>
      </c>
      <c r="D6062" t="inlineStr">
        <is>
          <t>Language Learning</t>
        </is>
      </c>
      <c r="E6062" t="inlineStr">
        <is>
          <t>West Region</t>
        </is>
      </c>
      <c r="F6062" t="inlineStr">
        <is>
          <t>Rep_08</t>
        </is>
      </c>
      <c r="G6062" t="n">
        <v>0.88</v>
      </c>
      <c r="H6062" t="inlineStr">
        <is>
          <t>Closed</t>
        </is>
      </c>
      <c r="I6062" t="inlineStr">
        <is>
          <t>Won</t>
        </is>
      </c>
      <c r="K6062" t="n">
        <v>299.07</v>
      </c>
      <c r="L6062" t="inlineStr">
        <is>
          <t>2026-08-17 09:05:01.875245</t>
        </is>
      </c>
      <c r="M6062">
        <f>VLOOKUP(H6062,'Stage Order'!$A$2:$B$8,2,FALSE)</f>
        <v/>
      </c>
      <c r="N6062">
        <f>IF(G6062&lt;=1,"1. Under 1 hour",IF(G6062&lt;=24,"2. 1-24 hours",IF(G6062&lt;=72,"3. 1-3 days","4. Over 3 days")))</f>
        <v/>
      </c>
      <c r="O6062">
        <f>TEXT(B6062,"YYYY-MM")</f>
        <v/>
      </c>
    </row>
    <row r="6063">
      <c r="A6063" t="inlineStr">
        <is>
          <t>LD-306061</t>
        </is>
      </c>
      <c r="B6063" t="inlineStr">
        <is>
          <t>2025-03-01 15:26:00</t>
        </is>
      </c>
      <c r="C6063" t="inlineStr">
        <is>
          <t>Referral</t>
        </is>
      </c>
      <c r="D6063" t="inlineStr">
        <is>
          <t>K-12 Math</t>
        </is>
      </c>
      <c r="E6063" t="inlineStr">
        <is>
          <t>South Region</t>
        </is>
      </c>
      <c r="F6063" t="inlineStr">
        <is>
          <t>Rep_02</t>
        </is>
      </c>
      <c r="G6063" t="n">
        <v>0.6899999999999999</v>
      </c>
      <c r="H6063" t="inlineStr">
        <is>
          <t>Closed</t>
        </is>
      </c>
      <c r="I6063" t="inlineStr">
        <is>
          <t>Won</t>
        </is>
      </c>
      <c r="K6063" t="n">
        <v>489.51</v>
      </c>
      <c r="L6063" t="inlineStr">
        <is>
          <t>2025-04-05 12:58:14.110343</t>
        </is>
      </c>
      <c r="M6063">
        <f>VLOOKUP(H6063,'Stage Order'!$A$2:$B$8,2,FALSE)</f>
        <v/>
      </c>
      <c r="N6063">
        <f>IF(G6063&lt;=1,"1. Under 1 hour",IF(G6063&lt;=24,"2. 1-24 hours",IF(G6063&lt;=72,"3. 1-3 days","4. Over 3 days")))</f>
        <v/>
      </c>
      <c r="O6063">
        <f>TEXT(B6063,"YYYY-MM")</f>
        <v/>
      </c>
    </row>
    <row r="6064">
      <c r="A6064" t="inlineStr">
        <is>
          <t>LD-306062</t>
        </is>
      </c>
      <c r="B6064" t="inlineStr">
        <is>
          <t>2025-11-14 18:46:00</t>
        </is>
      </c>
      <c r="C6064" t="inlineStr">
        <is>
          <t>Referral</t>
        </is>
      </c>
      <c r="D6064" t="inlineStr">
        <is>
          <t>K-12 Math</t>
        </is>
      </c>
      <c r="E6064" t="inlineStr">
        <is>
          <t>West Region</t>
        </is>
      </c>
      <c r="F6064" t="inlineStr">
        <is>
          <t>Rep_08</t>
        </is>
      </c>
      <c r="G6064" t="n">
        <v>9.83</v>
      </c>
      <c r="H6064" t="inlineStr">
        <is>
          <t>Closed</t>
        </is>
      </c>
      <c r="I6064" t="inlineStr">
        <is>
          <t>Won</t>
        </is>
      </c>
      <c r="K6064" t="n">
        <v>480.05</v>
      </c>
      <c r="L6064" t="inlineStr">
        <is>
          <t>2026-01-09 05:08:06.439310</t>
        </is>
      </c>
      <c r="M6064">
        <f>VLOOKUP(H6064,'Stage Order'!$A$2:$B$8,2,FALSE)</f>
        <v/>
      </c>
      <c r="N6064">
        <f>IF(G6064&lt;=1,"1. Under 1 hour",IF(G6064&lt;=24,"2. 1-24 hours",IF(G6064&lt;=72,"3. 1-3 days","4. Over 3 days")))</f>
        <v/>
      </c>
      <c r="O6064">
        <f>TEXT(B6064,"YYYY-MM")</f>
        <v/>
      </c>
    </row>
    <row r="6065">
      <c r="A6065" t="inlineStr">
        <is>
          <t>LD-306063</t>
        </is>
      </c>
      <c r="B6065" t="inlineStr">
        <is>
          <t>2025-10-18 18:31:00</t>
        </is>
      </c>
      <c r="C6065" t="inlineStr">
        <is>
          <t>Paid Search</t>
        </is>
      </c>
      <c r="D6065" t="inlineStr">
        <is>
          <t>K-12 Math</t>
        </is>
      </c>
      <c r="E6065" t="inlineStr">
        <is>
          <t>West Region</t>
        </is>
      </c>
      <c r="F6065" t="inlineStr">
        <is>
          <t>Rep_08</t>
        </is>
      </c>
      <c r="G6065" t="n">
        <v>10.11</v>
      </c>
      <c r="H6065" t="inlineStr">
        <is>
          <t>Closed</t>
        </is>
      </c>
      <c r="I6065" t="inlineStr">
        <is>
          <t>Won</t>
        </is>
      </c>
      <c r="K6065" t="n">
        <v>482.81</v>
      </c>
      <c r="L6065" t="inlineStr">
        <is>
          <t>2025-11-07 13:52:13.415935</t>
        </is>
      </c>
      <c r="M6065">
        <f>VLOOKUP(H6065,'Stage Order'!$A$2:$B$8,2,FALSE)</f>
        <v/>
      </c>
      <c r="N6065">
        <f>IF(G6065&lt;=1,"1. Under 1 hour",IF(G6065&lt;=24,"2. 1-24 hours",IF(G6065&lt;=72,"3. 1-3 days","4. Over 3 days")))</f>
        <v/>
      </c>
      <c r="O6065">
        <f>TEXT(B6065,"YYYY-MM")</f>
        <v/>
      </c>
    </row>
    <row r="6066">
      <c r="A6066" t="inlineStr">
        <is>
          <t>LD-306064</t>
        </is>
      </c>
      <c r="B6066" t="inlineStr">
        <is>
          <t>2025-12-05 16:50:00</t>
        </is>
      </c>
      <c r="C6066" t="inlineStr">
        <is>
          <t>Organic Search</t>
        </is>
      </c>
      <c r="D6066" t="inlineStr">
        <is>
          <t>Language Learning</t>
        </is>
      </c>
      <c r="E6066" t="inlineStr">
        <is>
          <t>International</t>
        </is>
      </c>
      <c r="F6066" t="inlineStr">
        <is>
          <t>Rep_15</t>
        </is>
      </c>
      <c r="G6066" t="n">
        <v>2.52</v>
      </c>
      <c r="H6066" t="inlineStr">
        <is>
          <t>Demo Completed</t>
        </is>
      </c>
      <c r="I6066" t="inlineStr">
        <is>
          <t>Lost</t>
        </is>
      </c>
      <c r="J6066" t="inlineStr">
        <is>
          <t>No Response / Ghosted</t>
        </is>
      </c>
      <c r="K6066" t="n">
        <v>325.61</v>
      </c>
      <c r="L6066" t="inlineStr">
        <is>
          <t>2026-01-06 11:23:43.528591</t>
        </is>
      </c>
      <c r="M6066">
        <f>VLOOKUP(H6066,'Stage Order'!$A$2:$B$8,2,FALSE)</f>
        <v/>
      </c>
      <c r="N6066">
        <f>IF(G6066&lt;=1,"1. Under 1 hour",IF(G6066&lt;=24,"2. 1-24 hours",IF(G6066&lt;=72,"3. 1-3 days","4. Over 3 days")))</f>
        <v/>
      </c>
      <c r="O6066">
        <f>TEXT(B6066,"YYYY-MM")</f>
        <v/>
      </c>
    </row>
    <row r="6067">
      <c r="A6067" t="inlineStr">
        <is>
          <t>LD-306065</t>
        </is>
      </c>
      <c r="B6067" t="inlineStr">
        <is>
          <t>2025-02-28 16:40:00</t>
        </is>
      </c>
      <c r="C6067" t="inlineStr">
        <is>
          <t>Webinar</t>
        </is>
      </c>
      <c r="D6067" t="inlineStr">
        <is>
          <t>Language Learning</t>
        </is>
      </c>
      <c r="E6067" t="inlineStr">
        <is>
          <t>South Region</t>
        </is>
      </c>
      <c r="F6067" t="inlineStr">
        <is>
          <t>Rep_02</t>
        </is>
      </c>
      <c r="G6067" t="n">
        <v>3.89</v>
      </c>
      <c r="H6067" t="inlineStr">
        <is>
          <t>Closed</t>
        </is>
      </c>
      <c r="I6067" t="inlineStr">
        <is>
          <t>Won</t>
        </is>
      </c>
      <c r="K6067" t="n">
        <v>378.32</v>
      </c>
      <c r="L6067" t="inlineStr">
        <is>
          <t>2025-04-15 01:05:26.309636</t>
        </is>
      </c>
      <c r="M6067">
        <f>VLOOKUP(H6067,'Stage Order'!$A$2:$B$8,2,FALSE)</f>
        <v/>
      </c>
      <c r="N6067">
        <f>IF(G6067&lt;=1,"1. Under 1 hour",IF(G6067&lt;=24,"2. 1-24 hours",IF(G6067&lt;=72,"3. 1-3 days","4. Over 3 days")))</f>
        <v/>
      </c>
      <c r="O6067">
        <f>TEXT(B6067,"YYYY-MM")</f>
        <v/>
      </c>
    </row>
    <row r="6068">
      <c r="A6068" t="inlineStr">
        <is>
          <t>LD-306066</t>
        </is>
      </c>
      <c r="B6068" t="inlineStr">
        <is>
          <t>2025-11-23 07:07:00</t>
        </is>
      </c>
      <c r="C6068" t="inlineStr">
        <is>
          <t>Cold Outreach</t>
        </is>
      </c>
      <c r="D6068" t="inlineStr">
        <is>
          <t>Competitive Exam Prep</t>
        </is>
      </c>
      <c r="E6068" t="inlineStr">
        <is>
          <t>East Region</t>
        </is>
      </c>
      <c r="F6068" t="inlineStr">
        <is>
          <t>Rep_09</t>
        </is>
      </c>
      <c r="G6068" t="n">
        <v>5.07</v>
      </c>
      <c r="H6068" t="inlineStr">
        <is>
          <t>Lead</t>
        </is>
      </c>
      <c r="I6068" t="inlineStr">
        <is>
          <t>Open</t>
        </is>
      </c>
      <c r="M6068">
        <f>VLOOKUP(H6068,'Stage Order'!$A$2:$B$8,2,FALSE)</f>
        <v/>
      </c>
      <c r="N6068">
        <f>IF(G6068&lt;=1,"1. Under 1 hour",IF(G6068&lt;=24,"2. 1-24 hours",IF(G6068&lt;=72,"3. 1-3 days","4. Over 3 days")))</f>
        <v/>
      </c>
      <c r="O6068">
        <f>TEXT(B6068,"YYYY-MM")</f>
        <v/>
      </c>
    </row>
    <row r="6069">
      <c r="A6069" t="inlineStr">
        <is>
          <t>LD-306067</t>
        </is>
      </c>
      <c r="B6069" t="inlineStr">
        <is>
          <t>2026-02-24 18:55:00</t>
        </is>
      </c>
      <c r="C6069" t="inlineStr">
        <is>
          <t>Organic Search</t>
        </is>
      </c>
      <c r="D6069" t="inlineStr">
        <is>
          <t>K-12 Math</t>
        </is>
      </c>
      <c r="E6069" t="inlineStr">
        <is>
          <t>South Region</t>
        </is>
      </c>
      <c r="F6069" t="inlineStr">
        <is>
          <t>Rep_02</t>
        </is>
      </c>
      <c r="G6069" t="n">
        <v>3.78</v>
      </c>
      <c r="H6069" t="inlineStr">
        <is>
          <t>Closed</t>
        </is>
      </c>
      <c r="I6069" t="inlineStr">
        <is>
          <t>Won</t>
        </is>
      </c>
      <c r="K6069" t="n">
        <v>482</v>
      </c>
      <c r="L6069" t="inlineStr">
        <is>
          <t>2026-04-06 16:22:14.543682</t>
        </is>
      </c>
      <c r="M6069">
        <f>VLOOKUP(H6069,'Stage Order'!$A$2:$B$8,2,FALSE)</f>
        <v/>
      </c>
      <c r="N6069">
        <f>IF(G6069&lt;=1,"1. Under 1 hour",IF(G6069&lt;=24,"2. 1-24 hours",IF(G6069&lt;=72,"3. 1-3 days","4. Over 3 days")))</f>
        <v/>
      </c>
      <c r="O6069">
        <f>TEXT(B6069,"YYYY-MM")</f>
        <v/>
      </c>
    </row>
    <row r="6070">
      <c r="A6070" t="inlineStr">
        <is>
          <t>LD-306068</t>
        </is>
      </c>
      <c r="B6070" t="inlineStr">
        <is>
          <t>2025-01-03 09:08:00</t>
        </is>
      </c>
      <c r="C6070" t="inlineStr">
        <is>
          <t>Paid Search</t>
        </is>
      </c>
      <c r="D6070" t="inlineStr">
        <is>
          <t>Competitive Exam Prep</t>
        </is>
      </c>
      <c r="E6070" t="inlineStr">
        <is>
          <t>North Region</t>
        </is>
      </c>
      <c r="F6070" t="inlineStr">
        <is>
          <t>Rep_11</t>
        </is>
      </c>
      <c r="G6070" t="n">
        <v>0.64</v>
      </c>
      <c r="H6070" t="inlineStr">
        <is>
          <t>Contacted</t>
        </is>
      </c>
      <c r="I6070" t="inlineStr">
        <is>
          <t>Open</t>
        </is>
      </c>
      <c r="M6070">
        <f>VLOOKUP(H6070,'Stage Order'!$A$2:$B$8,2,FALSE)</f>
        <v/>
      </c>
      <c r="N6070">
        <f>IF(G6070&lt;=1,"1. Under 1 hour",IF(G6070&lt;=24,"2. 1-24 hours",IF(G6070&lt;=72,"3. 1-3 days","4. Over 3 days")))</f>
        <v/>
      </c>
      <c r="O6070">
        <f>TEXT(B6070,"YYYY-MM")</f>
        <v/>
      </c>
    </row>
    <row r="6071">
      <c r="A6071" t="inlineStr">
        <is>
          <t>LD-306069</t>
        </is>
      </c>
      <c r="B6071" t="inlineStr">
        <is>
          <t>2025-11-26 17:07:00</t>
        </is>
      </c>
      <c r="C6071" t="inlineStr">
        <is>
          <t>Organic Search</t>
        </is>
      </c>
      <c r="D6071" t="inlineStr">
        <is>
          <t>Coding for Kids</t>
        </is>
      </c>
      <c r="E6071" t="inlineStr">
        <is>
          <t>South Region</t>
        </is>
      </c>
      <c r="F6071" t="inlineStr">
        <is>
          <t>Rep_02</t>
        </is>
      </c>
      <c r="G6071" t="n">
        <v>2.23</v>
      </c>
      <c r="H6071" t="inlineStr">
        <is>
          <t>Contacted</t>
        </is>
      </c>
      <c r="I6071" t="inlineStr">
        <is>
          <t>Open</t>
        </is>
      </c>
      <c r="M6071">
        <f>VLOOKUP(H6071,'Stage Order'!$A$2:$B$8,2,FALSE)</f>
        <v/>
      </c>
      <c r="N6071">
        <f>IF(G6071&lt;=1,"1. Under 1 hour",IF(G6071&lt;=24,"2. 1-24 hours",IF(G6071&lt;=72,"3. 1-3 days","4. Over 3 days")))</f>
        <v/>
      </c>
      <c r="O6071">
        <f>TEXT(B6071,"YYYY-MM")</f>
        <v/>
      </c>
    </row>
    <row r="6072">
      <c r="A6072" t="inlineStr">
        <is>
          <t>LD-306070</t>
        </is>
      </c>
      <c r="B6072" t="inlineStr">
        <is>
          <t>2025-01-13 20:55:00</t>
        </is>
      </c>
      <c r="C6072" t="inlineStr">
        <is>
          <t>Organic Search</t>
        </is>
      </c>
      <c r="D6072" t="inlineStr">
        <is>
          <t>Coding for Kids</t>
        </is>
      </c>
      <c r="E6072" t="inlineStr">
        <is>
          <t>South Region</t>
        </is>
      </c>
      <c r="F6072" t="inlineStr">
        <is>
          <t>Rep_07</t>
        </is>
      </c>
      <c r="G6072" t="n">
        <v>1.35</v>
      </c>
      <c r="H6072" t="inlineStr">
        <is>
          <t>Closed</t>
        </is>
      </c>
      <c r="I6072" t="inlineStr">
        <is>
          <t>Won</t>
        </is>
      </c>
      <c r="K6072" t="n">
        <v>597.87</v>
      </c>
      <c r="L6072" t="inlineStr">
        <is>
          <t>2025-03-02 10:27:44.699310</t>
        </is>
      </c>
      <c r="M6072">
        <f>VLOOKUP(H6072,'Stage Order'!$A$2:$B$8,2,FALSE)</f>
        <v/>
      </c>
      <c r="N6072">
        <f>IF(G6072&lt;=1,"1. Under 1 hour",IF(G6072&lt;=24,"2. 1-24 hours",IF(G6072&lt;=72,"3. 1-3 days","4. Over 3 days")))</f>
        <v/>
      </c>
      <c r="O6072">
        <f>TEXT(B6072,"YYYY-MM")</f>
        <v/>
      </c>
    </row>
    <row r="6073">
      <c r="A6073" t="inlineStr">
        <is>
          <t>LD-306071</t>
        </is>
      </c>
      <c r="B6073" t="inlineStr">
        <is>
          <t>2025-09-12 20:00:00</t>
        </is>
      </c>
      <c r="C6073" t="inlineStr">
        <is>
          <t>Paid Search</t>
        </is>
      </c>
      <c r="D6073" t="inlineStr">
        <is>
          <t>Language Learning</t>
        </is>
      </c>
      <c r="E6073" t="inlineStr">
        <is>
          <t>International</t>
        </is>
      </c>
      <c r="F6073" t="inlineStr">
        <is>
          <t>Rep_05</t>
        </is>
      </c>
      <c r="G6073" t="n">
        <v>1.27</v>
      </c>
      <c r="H6073" t="inlineStr">
        <is>
          <t>Contacted</t>
        </is>
      </c>
      <c r="I6073" t="inlineStr">
        <is>
          <t>Open</t>
        </is>
      </c>
      <c r="M6073">
        <f>VLOOKUP(H6073,'Stage Order'!$A$2:$B$8,2,FALSE)</f>
        <v/>
      </c>
      <c r="N6073">
        <f>IF(G6073&lt;=1,"1. Under 1 hour",IF(G6073&lt;=24,"2. 1-24 hours",IF(G6073&lt;=72,"3. 1-3 days","4. Over 3 days")))</f>
        <v/>
      </c>
      <c r="O6073">
        <f>TEXT(B6073,"YYYY-MM")</f>
        <v/>
      </c>
    </row>
    <row r="6074">
      <c r="A6074" t="inlineStr">
        <is>
          <t>LD-306072</t>
        </is>
      </c>
      <c r="B6074" t="inlineStr">
        <is>
          <t>2025-11-25 14:15:00</t>
        </is>
      </c>
      <c r="C6074" t="inlineStr">
        <is>
          <t>Organic Search</t>
        </is>
      </c>
      <c r="D6074" t="inlineStr">
        <is>
          <t>Study Abroad Prep</t>
        </is>
      </c>
      <c r="E6074" t="inlineStr">
        <is>
          <t>West Region</t>
        </is>
      </c>
      <c r="F6074" t="inlineStr">
        <is>
          <t>Rep_13</t>
        </is>
      </c>
      <c r="G6074" t="n">
        <v>15.94</v>
      </c>
      <c r="H6074" t="inlineStr">
        <is>
          <t>Negotiation</t>
        </is>
      </c>
      <c r="I6074" t="inlineStr">
        <is>
          <t>Lost</t>
        </is>
      </c>
      <c r="J6074" t="inlineStr">
        <is>
          <t>Price Objection</t>
        </is>
      </c>
      <c r="K6074" t="n">
        <v>1446.17</v>
      </c>
      <c r="L6074" t="inlineStr">
        <is>
          <t>2025-12-28 02:14:25.339116</t>
        </is>
      </c>
      <c r="M6074">
        <f>VLOOKUP(H6074,'Stage Order'!$A$2:$B$8,2,FALSE)</f>
        <v/>
      </c>
      <c r="N6074">
        <f>IF(G6074&lt;=1,"1. Under 1 hour",IF(G6074&lt;=24,"2. 1-24 hours",IF(G6074&lt;=72,"3. 1-3 days","4. Over 3 days")))</f>
        <v/>
      </c>
      <c r="O6074">
        <f>TEXT(B6074,"YYYY-MM")</f>
        <v/>
      </c>
    </row>
    <row r="6075">
      <c r="A6075" t="inlineStr">
        <is>
          <t>LD-306073</t>
        </is>
      </c>
      <c r="B6075" t="inlineStr">
        <is>
          <t>2025-01-20 10:02:00</t>
        </is>
      </c>
      <c r="C6075" t="inlineStr">
        <is>
          <t>Social Media</t>
        </is>
      </c>
      <c r="D6075" t="inlineStr">
        <is>
          <t>Coding for Kids</t>
        </is>
      </c>
      <c r="E6075" t="inlineStr">
        <is>
          <t>South Region</t>
        </is>
      </c>
      <c r="F6075" t="inlineStr">
        <is>
          <t>Rep_07</t>
        </is>
      </c>
      <c r="G6075" t="n">
        <v>4.77</v>
      </c>
      <c r="H6075" t="inlineStr">
        <is>
          <t>Contacted</t>
        </is>
      </c>
      <c r="I6075" t="inlineStr">
        <is>
          <t>Open</t>
        </is>
      </c>
      <c r="M6075">
        <f>VLOOKUP(H6075,'Stage Order'!$A$2:$B$8,2,FALSE)</f>
        <v/>
      </c>
      <c r="N6075">
        <f>IF(G6075&lt;=1,"1. Under 1 hour",IF(G6075&lt;=24,"2. 1-24 hours",IF(G6075&lt;=72,"3. 1-3 days","4. Over 3 days")))</f>
        <v/>
      </c>
      <c r="O6075">
        <f>TEXT(B6075,"YYYY-MM")</f>
        <v/>
      </c>
    </row>
    <row r="6076">
      <c r="A6076" t="inlineStr">
        <is>
          <t>LD-306074</t>
        </is>
      </c>
      <c r="B6076" t="inlineStr">
        <is>
          <t>2026-04-25 15:43:00</t>
        </is>
      </c>
      <c r="C6076" t="inlineStr">
        <is>
          <t>Paid Search</t>
        </is>
      </c>
      <c r="D6076" t="inlineStr">
        <is>
          <t>Study Abroad Prep</t>
        </is>
      </c>
      <c r="E6076" t="inlineStr">
        <is>
          <t>North Region</t>
        </is>
      </c>
      <c r="F6076" t="inlineStr">
        <is>
          <t>Rep_01</t>
        </is>
      </c>
      <c r="G6076" t="n">
        <v>1.08</v>
      </c>
      <c r="H6076" t="inlineStr">
        <is>
          <t>Contacted</t>
        </is>
      </c>
      <c r="I6076" t="inlineStr">
        <is>
          <t>Open</t>
        </is>
      </c>
      <c r="M6076">
        <f>VLOOKUP(H6076,'Stage Order'!$A$2:$B$8,2,FALSE)</f>
        <v/>
      </c>
      <c r="N6076">
        <f>IF(G6076&lt;=1,"1. Under 1 hour",IF(G6076&lt;=24,"2. 1-24 hours",IF(G6076&lt;=72,"3. 1-3 days","4. Over 3 days")))</f>
        <v/>
      </c>
      <c r="O6076">
        <f>TEXT(B6076,"YYYY-MM")</f>
        <v/>
      </c>
    </row>
    <row r="6077">
      <c r="A6077" t="inlineStr">
        <is>
          <t>LD-306075</t>
        </is>
      </c>
      <c r="B6077" t="inlineStr">
        <is>
          <t>2025-08-31 08:26:00</t>
        </is>
      </c>
      <c r="C6077" t="inlineStr">
        <is>
          <t>Cold Outreach</t>
        </is>
      </c>
      <c r="D6077" t="inlineStr">
        <is>
          <t>Language Learning</t>
        </is>
      </c>
      <c r="E6077" t="inlineStr">
        <is>
          <t>North Region</t>
        </is>
      </c>
      <c r="F6077" t="inlineStr">
        <is>
          <t>Rep_06</t>
        </is>
      </c>
      <c r="G6077" t="n">
        <v>1.23</v>
      </c>
      <c r="H6077" t="inlineStr">
        <is>
          <t>Contacted</t>
        </is>
      </c>
      <c r="I6077" t="inlineStr">
        <is>
          <t>Open</t>
        </is>
      </c>
      <c r="M6077">
        <f>VLOOKUP(H6077,'Stage Order'!$A$2:$B$8,2,FALSE)</f>
        <v/>
      </c>
      <c r="N6077">
        <f>IF(G6077&lt;=1,"1. Under 1 hour",IF(G6077&lt;=24,"2. 1-24 hours",IF(G6077&lt;=72,"3. 1-3 days","4. Over 3 days")))</f>
        <v/>
      </c>
      <c r="O6077">
        <f>TEXT(B6077,"YYYY-MM")</f>
        <v/>
      </c>
    </row>
    <row r="6078">
      <c r="A6078" t="inlineStr">
        <is>
          <t>LD-306076</t>
        </is>
      </c>
      <c r="B6078" t="inlineStr">
        <is>
          <t>2025-07-15 17:37:00</t>
        </is>
      </c>
      <c r="C6078" t="inlineStr">
        <is>
          <t>Organic Search</t>
        </is>
      </c>
      <c r="D6078" t="inlineStr">
        <is>
          <t>K-12 Math</t>
        </is>
      </c>
      <c r="E6078" t="inlineStr">
        <is>
          <t>North Region</t>
        </is>
      </c>
      <c r="F6078" t="inlineStr">
        <is>
          <t>Rep_11</t>
        </is>
      </c>
      <c r="G6078" t="n">
        <v>4.26</v>
      </c>
      <c r="H6078" t="inlineStr">
        <is>
          <t>Contacted</t>
        </is>
      </c>
      <c r="I6078" t="inlineStr">
        <is>
          <t>Open</t>
        </is>
      </c>
      <c r="M6078">
        <f>VLOOKUP(H6078,'Stage Order'!$A$2:$B$8,2,FALSE)</f>
        <v/>
      </c>
      <c r="N6078">
        <f>IF(G6078&lt;=1,"1. Under 1 hour",IF(G6078&lt;=24,"2. 1-24 hours",IF(G6078&lt;=72,"3. 1-3 days","4. Over 3 days")))</f>
        <v/>
      </c>
      <c r="O6078">
        <f>TEXT(B6078,"YYYY-MM")</f>
        <v/>
      </c>
    </row>
    <row r="6079">
      <c r="A6079" t="inlineStr">
        <is>
          <t>LD-306077</t>
        </is>
      </c>
      <c r="B6079" t="inlineStr">
        <is>
          <t>2025-11-29 15:19:00</t>
        </is>
      </c>
      <c r="C6079" t="inlineStr">
        <is>
          <t>Organic Search</t>
        </is>
      </c>
      <c r="D6079" t="inlineStr">
        <is>
          <t>Competitive Exam Prep</t>
        </is>
      </c>
      <c r="E6079" t="inlineStr">
        <is>
          <t>South Region</t>
        </is>
      </c>
      <c r="F6079" t="inlineStr">
        <is>
          <t>Rep_02</t>
        </is>
      </c>
      <c r="G6079" t="n">
        <v>4.46</v>
      </c>
      <c r="H6079" t="inlineStr">
        <is>
          <t>Closed</t>
        </is>
      </c>
      <c r="I6079" t="inlineStr">
        <is>
          <t>Won</t>
        </is>
      </c>
      <c r="K6079" t="n">
        <v>934.4299999999999</v>
      </c>
      <c r="L6079" t="inlineStr">
        <is>
          <t>2025-12-23 13:58:58.199884</t>
        </is>
      </c>
      <c r="M6079">
        <f>VLOOKUP(H6079,'Stage Order'!$A$2:$B$8,2,FALSE)</f>
        <v/>
      </c>
      <c r="N6079">
        <f>IF(G6079&lt;=1,"1. Under 1 hour",IF(G6079&lt;=24,"2. 1-24 hours",IF(G6079&lt;=72,"3. 1-3 days","4. Over 3 days")))</f>
        <v/>
      </c>
      <c r="O6079">
        <f>TEXT(B6079,"YYYY-MM")</f>
        <v/>
      </c>
    </row>
    <row r="6080">
      <c r="A6080" t="inlineStr">
        <is>
          <t>LD-306078</t>
        </is>
      </c>
      <c r="B6080" t="inlineStr">
        <is>
          <t>2025-06-29 07:47:00</t>
        </is>
      </c>
      <c r="C6080" t="inlineStr">
        <is>
          <t>Cold Outreach</t>
        </is>
      </c>
      <c r="D6080" t="inlineStr">
        <is>
          <t>Competitive Exam Prep</t>
        </is>
      </c>
      <c r="E6080" t="inlineStr">
        <is>
          <t>South Region</t>
        </is>
      </c>
      <c r="F6080" t="inlineStr">
        <is>
          <t>Rep_02</t>
        </is>
      </c>
      <c r="G6080" t="n">
        <v>0.9399999999999999</v>
      </c>
      <c r="H6080" t="inlineStr">
        <is>
          <t>Lead</t>
        </is>
      </c>
      <c r="I6080" t="inlineStr">
        <is>
          <t>Open</t>
        </is>
      </c>
      <c r="M6080">
        <f>VLOOKUP(H6080,'Stage Order'!$A$2:$B$8,2,FALSE)</f>
        <v/>
      </c>
      <c r="N6080">
        <f>IF(G6080&lt;=1,"1. Under 1 hour",IF(G6080&lt;=24,"2. 1-24 hours",IF(G6080&lt;=72,"3. 1-3 days","4. Over 3 days")))</f>
        <v/>
      </c>
      <c r="O6080">
        <f>TEXT(B6080,"YYYY-MM")</f>
        <v/>
      </c>
    </row>
    <row r="6081">
      <c r="A6081" t="inlineStr">
        <is>
          <t>LD-306079</t>
        </is>
      </c>
      <c r="B6081" t="inlineStr">
        <is>
          <t>2026-04-03 15:17:00</t>
        </is>
      </c>
      <c r="C6081" t="inlineStr">
        <is>
          <t>Organic Search</t>
        </is>
      </c>
      <c r="D6081" t="inlineStr">
        <is>
          <t>Competitive Exam Prep</t>
        </is>
      </c>
      <c r="E6081" t="inlineStr">
        <is>
          <t>South Region</t>
        </is>
      </c>
      <c r="F6081" t="inlineStr">
        <is>
          <t>Rep_07</t>
        </is>
      </c>
      <c r="G6081" t="n">
        <v>3.06</v>
      </c>
      <c r="H6081" t="inlineStr">
        <is>
          <t>Proposal Sent</t>
        </is>
      </c>
      <c r="I6081" t="inlineStr">
        <is>
          <t>Lost</t>
        </is>
      </c>
      <c r="J6081" t="inlineStr">
        <is>
          <t>Bad Timing</t>
        </is>
      </c>
      <c r="K6081" t="n">
        <v>1180.57</v>
      </c>
      <c r="L6081" t="inlineStr">
        <is>
          <t>2026-05-17 17:46:01.565942</t>
        </is>
      </c>
      <c r="M6081">
        <f>VLOOKUP(H6081,'Stage Order'!$A$2:$B$8,2,FALSE)</f>
        <v/>
      </c>
      <c r="N6081">
        <f>IF(G6081&lt;=1,"1. Under 1 hour",IF(G6081&lt;=24,"2. 1-24 hours",IF(G6081&lt;=72,"3. 1-3 days","4. Over 3 days")))</f>
        <v/>
      </c>
      <c r="O6081">
        <f>TEXT(B6081,"YYYY-MM")</f>
        <v/>
      </c>
    </row>
    <row r="6082">
      <c r="A6082" t="inlineStr">
        <is>
          <t>LD-306080</t>
        </is>
      </c>
      <c r="B6082" t="inlineStr">
        <is>
          <t>2025-02-04 10:22:00</t>
        </is>
      </c>
      <c r="C6082" t="inlineStr">
        <is>
          <t>Webinar</t>
        </is>
      </c>
      <c r="D6082" t="inlineStr">
        <is>
          <t>Language Learning</t>
        </is>
      </c>
      <c r="E6082" t="inlineStr">
        <is>
          <t>East Region</t>
        </is>
      </c>
      <c r="F6082" t="inlineStr">
        <is>
          <t>Rep_14</t>
        </is>
      </c>
      <c r="G6082" t="n">
        <v>20.82</v>
      </c>
      <c r="H6082" t="inlineStr">
        <is>
          <t>Proposal Sent</t>
        </is>
      </c>
      <c r="I6082" t="inlineStr">
        <is>
          <t>Lost</t>
        </is>
      </c>
      <c r="J6082" t="inlineStr">
        <is>
          <t>No Response / Ghosted</t>
        </is>
      </c>
      <c r="K6082" t="n">
        <v>357.53</v>
      </c>
      <c r="L6082" t="inlineStr">
        <is>
          <t>2025-03-07 07:23:01.475051</t>
        </is>
      </c>
      <c r="M6082">
        <f>VLOOKUP(H6082,'Stage Order'!$A$2:$B$8,2,FALSE)</f>
        <v/>
      </c>
      <c r="N6082">
        <f>IF(G6082&lt;=1,"1. Under 1 hour",IF(G6082&lt;=24,"2. 1-24 hours",IF(G6082&lt;=72,"3. 1-3 days","4. Over 3 days")))</f>
        <v/>
      </c>
      <c r="O6082">
        <f>TEXT(B6082,"YYYY-MM")</f>
        <v/>
      </c>
    </row>
    <row r="6083">
      <c r="A6083" t="inlineStr">
        <is>
          <t>LD-306081</t>
        </is>
      </c>
      <c r="B6083" t="inlineStr">
        <is>
          <t>2025-08-28 18:59:00</t>
        </is>
      </c>
      <c r="C6083" t="inlineStr">
        <is>
          <t>Webinar</t>
        </is>
      </c>
      <c r="D6083" t="inlineStr">
        <is>
          <t>Study Abroad Prep</t>
        </is>
      </c>
      <c r="E6083" t="inlineStr">
        <is>
          <t>North Region</t>
        </is>
      </c>
      <c r="F6083" t="inlineStr">
        <is>
          <t>Rep_01</t>
        </is>
      </c>
      <c r="G6083" t="n">
        <v>2.63</v>
      </c>
      <c r="H6083" t="inlineStr">
        <is>
          <t>Closed</t>
        </is>
      </c>
      <c r="I6083" t="inlineStr">
        <is>
          <t>Won</t>
        </is>
      </c>
      <c r="K6083" t="n">
        <v>1373.97</v>
      </c>
      <c r="L6083" t="inlineStr">
        <is>
          <t>2025-09-27 16:36:13.528237</t>
        </is>
      </c>
      <c r="M6083">
        <f>VLOOKUP(H6083,'Stage Order'!$A$2:$B$8,2,FALSE)</f>
        <v/>
      </c>
      <c r="N6083">
        <f>IF(G6083&lt;=1,"1. Under 1 hour",IF(G6083&lt;=24,"2. 1-24 hours",IF(G6083&lt;=72,"3. 1-3 days","4. Over 3 days")))</f>
        <v/>
      </c>
      <c r="O6083">
        <f>TEXT(B6083,"YYYY-MM")</f>
        <v/>
      </c>
    </row>
    <row r="6084">
      <c r="A6084" t="inlineStr">
        <is>
          <t>LD-306082</t>
        </is>
      </c>
      <c r="B6084" t="inlineStr">
        <is>
          <t>2025-08-05 18:13:00</t>
        </is>
      </c>
      <c r="C6084" t="inlineStr">
        <is>
          <t>Organic Search</t>
        </is>
      </c>
      <c r="D6084" t="inlineStr">
        <is>
          <t>K-12 Math</t>
        </is>
      </c>
      <c r="E6084" t="inlineStr">
        <is>
          <t>West Region</t>
        </is>
      </c>
      <c r="F6084" t="inlineStr">
        <is>
          <t>Rep_08</t>
        </is>
      </c>
      <c r="G6084" t="n">
        <v>2.92</v>
      </c>
      <c r="H6084" t="inlineStr">
        <is>
          <t>Closed</t>
        </is>
      </c>
      <c r="I6084" t="inlineStr">
        <is>
          <t>Won</t>
        </is>
      </c>
      <c r="K6084" t="n">
        <v>431.37</v>
      </c>
      <c r="L6084" t="inlineStr">
        <is>
          <t>2025-09-09 02:27:38.140016</t>
        </is>
      </c>
      <c r="M6084">
        <f>VLOOKUP(H6084,'Stage Order'!$A$2:$B$8,2,FALSE)</f>
        <v/>
      </c>
      <c r="N6084">
        <f>IF(G6084&lt;=1,"1. Under 1 hour",IF(G6084&lt;=24,"2. 1-24 hours",IF(G6084&lt;=72,"3. 1-3 days","4. Over 3 days")))</f>
        <v/>
      </c>
      <c r="O6084">
        <f>TEXT(B6084,"YYYY-MM")</f>
        <v/>
      </c>
    </row>
    <row r="6085">
      <c r="A6085" t="inlineStr">
        <is>
          <t>LD-306083</t>
        </is>
      </c>
      <c r="B6085" t="inlineStr">
        <is>
          <t>2026-01-31 16:46:00</t>
        </is>
      </c>
      <c r="C6085" t="inlineStr">
        <is>
          <t>Cold Outreach</t>
        </is>
      </c>
      <c r="D6085" t="inlineStr">
        <is>
          <t>K-12 Math</t>
        </is>
      </c>
      <c r="E6085" t="inlineStr">
        <is>
          <t>South Region</t>
        </is>
      </c>
      <c r="F6085" t="inlineStr">
        <is>
          <t>Rep_02</t>
        </is>
      </c>
      <c r="G6085" t="n">
        <v>1.48</v>
      </c>
      <c r="H6085" t="inlineStr">
        <is>
          <t>Lead</t>
        </is>
      </c>
      <c r="I6085" t="inlineStr">
        <is>
          <t>Open</t>
        </is>
      </c>
      <c r="M6085">
        <f>VLOOKUP(H6085,'Stage Order'!$A$2:$B$8,2,FALSE)</f>
        <v/>
      </c>
      <c r="N6085">
        <f>IF(G6085&lt;=1,"1. Under 1 hour",IF(G6085&lt;=24,"2. 1-24 hours",IF(G6085&lt;=72,"3. 1-3 days","4. Over 3 days")))</f>
        <v/>
      </c>
      <c r="O6085">
        <f>TEXT(B6085,"YYYY-MM")</f>
        <v/>
      </c>
    </row>
    <row r="6086">
      <c r="A6086" t="inlineStr">
        <is>
          <t>LD-306084</t>
        </is>
      </c>
      <c r="B6086" t="inlineStr">
        <is>
          <t>2025-10-21 18:00:00</t>
        </is>
      </c>
      <c r="C6086" t="inlineStr">
        <is>
          <t>Partner Channel</t>
        </is>
      </c>
      <c r="D6086" t="inlineStr">
        <is>
          <t>Coding for Kids</t>
        </is>
      </c>
      <c r="E6086" t="inlineStr">
        <is>
          <t>South Region</t>
        </is>
      </c>
      <c r="F6086" t="inlineStr">
        <is>
          <t>Rep_02</t>
        </is>
      </c>
      <c r="G6086" t="n">
        <v>12.04</v>
      </c>
      <c r="H6086" t="inlineStr">
        <is>
          <t>Demo Completed</t>
        </is>
      </c>
      <c r="I6086" t="inlineStr">
        <is>
          <t>Lost</t>
        </is>
      </c>
      <c r="J6086" t="inlineStr">
        <is>
          <t>Price Objection</t>
        </is>
      </c>
      <c r="K6086" t="n">
        <v>590.98</v>
      </c>
      <c r="L6086" t="inlineStr">
        <is>
          <t>2025-11-17 23:36:49.394934</t>
        </is>
      </c>
      <c r="M6086">
        <f>VLOOKUP(H6086,'Stage Order'!$A$2:$B$8,2,FALSE)</f>
        <v/>
      </c>
      <c r="N6086">
        <f>IF(G6086&lt;=1,"1. Under 1 hour",IF(G6086&lt;=24,"2. 1-24 hours",IF(G6086&lt;=72,"3. 1-3 days","4. Over 3 days")))</f>
        <v/>
      </c>
      <c r="O6086">
        <f>TEXT(B6086,"YYYY-MM")</f>
        <v/>
      </c>
    </row>
    <row r="6087">
      <c r="A6087" t="inlineStr">
        <is>
          <t>LD-306085</t>
        </is>
      </c>
      <c r="B6087" t="inlineStr">
        <is>
          <t>2025-07-04 07:50:00</t>
        </is>
      </c>
      <c r="C6087" t="inlineStr">
        <is>
          <t>Organic Search</t>
        </is>
      </c>
      <c r="D6087" t="inlineStr">
        <is>
          <t>Language Learning</t>
        </is>
      </c>
      <c r="E6087" t="inlineStr">
        <is>
          <t>West Region</t>
        </is>
      </c>
      <c r="F6087" t="inlineStr">
        <is>
          <t>Rep_08</t>
        </is>
      </c>
      <c r="G6087" t="n">
        <v>8.859999999999999</v>
      </c>
      <c r="H6087" t="inlineStr">
        <is>
          <t>Contacted</t>
        </is>
      </c>
      <c r="I6087" t="inlineStr">
        <is>
          <t>Open</t>
        </is>
      </c>
      <c r="M6087">
        <f>VLOOKUP(H6087,'Stage Order'!$A$2:$B$8,2,FALSE)</f>
        <v/>
      </c>
      <c r="N6087">
        <f>IF(G6087&lt;=1,"1. Under 1 hour",IF(G6087&lt;=24,"2. 1-24 hours",IF(G6087&lt;=72,"3. 1-3 days","4. Over 3 days")))</f>
        <v/>
      </c>
      <c r="O6087">
        <f>TEXT(B6087,"YYYY-MM")</f>
        <v/>
      </c>
    </row>
    <row r="6088">
      <c r="A6088" t="inlineStr">
        <is>
          <t>LD-306086</t>
        </is>
      </c>
      <c r="B6088" t="inlineStr">
        <is>
          <t>2025-12-29 20:04:00</t>
        </is>
      </c>
      <c r="C6088" t="inlineStr">
        <is>
          <t>Referral</t>
        </is>
      </c>
      <c r="D6088" t="inlineStr">
        <is>
          <t>Competitive Exam Prep</t>
        </is>
      </c>
      <c r="E6088" t="inlineStr">
        <is>
          <t>West Region</t>
        </is>
      </c>
      <c r="F6088" t="inlineStr">
        <is>
          <t>Rep_03</t>
        </is>
      </c>
      <c r="G6088" t="n">
        <v>0.96</v>
      </c>
      <c r="H6088" t="inlineStr">
        <is>
          <t>Closed</t>
        </is>
      </c>
      <c r="I6088" t="inlineStr">
        <is>
          <t>Won</t>
        </is>
      </c>
      <c r="K6088" t="n">
        <v>1148.98</v>
      </c>
      <c r="L6088" t="inlineStr">
        <is>
          <t>2026-02-13 02:51:27.569239</t>
        </is>
      </c>
      <c r="M6088">
        <f>VLOOKUP(H6088,'Stage Order'!$A$2:$B$8,2,FALSE)</f>
        <v/>
      </c>
      <c r="N6088">
        <f>IF(G6088&lt;=1,"1. Under 1 hour",IF(G6088&lt;=24,"2. 1-24 hours",IF(G6088&lt;=72,"3. 1-3 days","4. Over 3 days")))</f>
        <v/>
      </c>
      <c r="O6088">
        <f>TEXT(B6088,"YYYY-MM")</f>
        <v/>
      </c>
    </row>
    <row r="6089">
      <c r="A6089" t="inlineStr">
        <is>
          <t>LD-306087</t>
        </is>
      </c>
      <c r="B6089" t="inlineStr">
        <is>
          <t>2025-08-19 14:20:00</t>
        </is>
      </c>
      <c r="C6089" t="inlineStr">
        <is>
          <t>Organic Search</t>
        </is>
      </c>
      <c r="D6089" t="inlineStr">
        <is>
          <t>Competitive Exam Prep</t>
        </is>
      </c>
      <c r="E6089" t="inlineStr">
        <is>
          <t>West Region</t>
        </is>
      </c>
      <c r="F6089" t="inlineStr">
        <is>
          <t>Rep_13</t>
        </is>
      </c>
      <c r="G6089" t="n">
        <v>1.03</v>
      </c>
      <c r="H6089" t="inlineStr">
        <is>
          <t>Demo Scheduled</t>
        </is>
      </c>
      <c r="I6089" t="inlineStr">
        <is>
          <t>Open</t>
        </is>
      </c>
      <c r="M6089">
        <f>VLOOKUP(H6089,'Stage Order'!$A$2:$B$8,2,FALSE)</f>
        <v/>
      </c>
      <c r="N6089">
        <f>IF(G6089&lt;=1,"1. Under 1 hour",IF(G6089&lt;=24,"2. 1-24 hours",IF(G6089&lt;=72,"3. 1-3 days","4. Over 3 days")))</f>
        <v/>
      </c>
      <c r="O6089">
        <f>TEXT(B6089,"YYYY-MM")</f>
        <v/>
      </c>
    </row>
    <row r="6090">
      <c r="A6090" t="inlineStr">
        <is>
          <t>LD-306088</t>
        </is>
      </c>
      <c r="B6090" t="inlineStr">
        <is>
          <t>2026-04-17 07:02:00</t>
        </is>
      </c>
      <c r="C6090" t="inlineStr">
        <is>
          <t>Paid Search</t>
        </is>
      </c>
      <c r="D6090" t="inlineStr">
        <is>
          <t>K-12 Math</t>
        </is>
      </c>
      <c r="E6090" t="inlineStr">
        <is>
          <t>East Region</t>
        </is>
      </c>
      <c r="F6090" t="inlineStr">
        <is>
          <t>Rep_09</t>
        </is>
      </c>
      <c r="G6090" t="n">
        <v>6.82</v>
      </c>
      <c r="H6090" t="inlineStr">
        <is>
          <t>Contacted</t>
        </is>
      </c>
      <c r="I6090" t="inlineStr">
        <is>
          <t>Open</t>
        </is>
      </c>
      <c r="M6090">
        <f>VLOOKUP(H6090,'Stage Order'!$A$2:$B$8,2,FALSE)</f>
        <v/>
      </c>
      <c r="N6090">
        <f>IF(G6090&lt;=1,"1. Under 1 hour",IF(G6090&lt;=24,"2. 1-24 hours",IF(G6090&lt;=72,"3. 1-3 days","4. Over 3 days")))</f>
        <v/>
      </c>
      <c r="O6090">
        <f>TEXT(B6090,"YYYY-MM")</f>
        <v/>
      </c>
    </row>
    <row r="6091">
      <c r="A6091" t="inlineStr">
        <is>
          <t>LD-306089</t>
        </is>
      </c>
      <c r="B6091" t="inlineStr">
        <is>
          <t>2025-07-10 08:59:00</t>
        </is>
      </c>
      <c r="C6091" t="inlineStr">
        <is>
          <t>Referral</t>
        </is>
      </c>
      <c r="D6091" t="inlineStr">
        <is>
          <t>Coding for Kids</t>
        </is>
      </c>
      <c r="E6091" t="inlineStr">
        <is>
          <t>International</t>
        </is>
      </c>
      <c r="F6091" t="inlineStr">
        <is>
          <t>Rep_15</t>
        </is>
      </c>
      <c r="G6091" t="n">
        <v>5.36</v>
      </c>
      <c r="H6091" t="inlineStr">
        <is>
          <t>Contacted</t>
        </is>
      </c>
      <c r="I6091" t="inlineStr">
        <is>
          <t>Open</t>
        </is>
      </c>
      <c r="M6091">
        <f>VLOOKUP(H6091,'Stage Order'!$A$2:$B$8,2,FALSE)</f>
        <v/>
      </c>
      <c r="N6091">
        <f>IF(G6091&lt;=1,"1. Under 1 hour",IF(G6091&lt;=24,"2. 1-24 hours",IF(G6091&lt;=72,"3. 1-3 days","4. Over 3 days")))</f>
        <v/>
      </c>
      <c r="O6091">
        <f>TEXT(B6091,"YYYY-MM")</f>
        <v/>
      </c>
    </row>
    <row r="6092">
      <c r="A6092" t="inlineStr">
        <is>
          <t>LD-306090</t>
        </is>
      </c>
      <c r="B6092" t="inlineStr">
        <is>
          <t>2026-04-17 12:20:00</t>
        </is>
      </c>
      <c r="C6092" t="inlineStr">
        <is>
          <t>Organic Search</t>
        </is>
      </c>
      <c r="D6092" t="inlineStr">
        <is>
          <t>Competitive Exam Prep</t>
        </is>
      </c>
      <c r="E6092" t="inlineStr">
        <is>
          <t>West Region</t>
        </is>
      </c>
      <c r="F6092" t="inlineStr">
        <is>
          <t>Rep_13</t>
        </is>
      </c>
      <c r="G6092" t="n">
        <v>7.66</v>
      </c>
      <c r="H6092" t="inlineStr">
        <is>
          <t>Contacted</t>
        </is>
      </c>
      <c r="I6092" t="inlineStr">
        <is>
          <t>Open</t>
        </is>
      </c>
      <c r="M6092">
        <f>VLOOKUP(H6092,'Stage Order'!$A$2:$B$8,2,FALSE)</f>
        <v/>
      </c>
      <c r="N6092">
        <f>IF(G6092&lt;=1,"1. Under 1 hour",IF(G6092&lt;=24,"2. 1-24 hours",IF(G6092&lt;=72,"3. 1-3 days","4. Over 3 days")))</f>
        <v/>
      </c>
      <c r="O6092">
        <f>TEXT(B6092,"YYYY-MM")</f>
        <v/>
      </c>
    </row>
    <row r="6093">
      <c r="A6093" t="inlineStr">
        <is>
          <t>LD-306091</t>
        </is>
      </c>
      <c r="B6093" t="inlineStr">
        <is>
          <t>2025-10-02 12:55:00</t>
        </is>
      </c>
      <c r="C6093" t="inlineStr">
        <is>
          <t>Webinar</t>
        </is>
      </c>
      <c r="D6093" t="inlineStr">
        <is>
          <t>K-12 Math</t>
        </is>
      </c>
      <c r="E6093" t="inlineStr">
        <is>
          <t>East Region</t>
        </is>
      </c>
      <c r="F6093" t="inlineStr">
        <is>
          <t>Rep_04</t>
        </is>
      </c>
      <c r="G6093" t="n">
        <v>3.78</v>
      </c>
      <c r="H6093" t="inlineStr">
        <is>
          <t>Contacted</t>
        </is>
      </c>
      <c r="I6093" t="inlineStr">
        <is>
          <t>Open</t>
        </is>
      </c>
      <c r="M6093">
        <f>VLOOKUP(H6093,'Stage Order'!$A$2:$B$8,2,FALSE)</f>
        <v/>
      </c>
      <c r="N6093">
        <f>IF(G6093&lt;=1,"1. Under 1 hour",IF(G6093&lt;=24,"2. 1-24 hours",IF(G6093&lt;=72,"3. 1-3 days","4. Over 3 days")))</f>
        <v/>
      </c>
      <c r="O6093">
        <f>TEXT(B6093,"YYYY-MM")</f>
        <v/>
      </c>
    </row>
    <row r="6094">
      <c r="A6094" t="inlineStr">
        <is>
          <t>LD-306092</t>
        </is>
      </c>
      <c r="B6094" t="inlineStr">
        <is>
          <t>2025-05-23 09:59:00</t>
        </is>
      </c>
      <c r="C6094" t="inlineStr">
        <is>
          <t>Cold Outreach</t>
        </is>
      </c>
      <c r="D6094" t="inlineStr">
        <is>
          <t>Coding for Kids</t>
        </is>
      </c>
      <c r="E6094" t="inlineStr">
        <is>
          <t>West Region</t>
        </is>
      </c>
      <c r="F6094" t="inlineStr">
        <is>
          <t>Rep_08</t>
        </is>
      </c>
      <c r="G6094" t="n">
        <v>0.7</v>
      </c>
      <c r="H6094" t="inlineStr">
        <is>
          <t>Contacted</t>
        </is>
      </c>
      <c r="I6094" t="inlineStr">
        <is>
          <t>Open</t>
        </is>
      </c>
      <c r="M6094">
        <f>VLOOKUP(H6094,'Stage Order'!$A$2:$B$8,2,FALSE)</f>
        <v/>
      </c>
      <c r="N6094">
        <f>IF(G6094&lt;=1,"1. Under 1 hour",IF(G6094&lt;=24,"2. 1-24 hours",IF(G6094&lt;=72,"3. 1-3 days","4. Over 3 days")))</f>
        <v/>
      </c>
      <c r="O6094">
        <f>TEXT(B6094,"YYYY-MM")</f>
        <v/>
      </c>
    </row>
    <row r="6095">
      <c r="A6095" t="inlineStr">
        <is>
          <t>LD-306093</t>
        </is>
      </c>
      <c r="B6095" t="inlineStr">
        <is>
          <t>2025-08-03 14:11:00</t>
        </is>
      </c>
      <c r="C6095" t="inlineStr">
        <is>
          <t>Referral</t>
        </is>
      </c>
      <c r="D6095" t="inlineStr">
        <is>
          <t>Language Learning</t>
        </is>
      </c>
      <c r="E6095" t="inlineStr">
        <is>
          <t>North Region</t>
        </is>
      </c>
      <c r="F6095" t="inlineStr">
        <is>
          <t>Rep_11</t>
        </is>
      </c>
      <c r="G6095" t="n">
        <v>2.37</v>
      </c>
      <c r="H6095" t="inlineStr">
        <is>
          <t>Closed</t>
        </is>
      </c>
      <c r="I6095" t="inlineStr">
        <is>
          <t>Won</t>
        </is>
      </c>
      <c r="K6095" t="n">
        <v>298.4</v>
      </c>
      <c r="L6095" t="inlineStr">
        <is>
          <t>2025-09-02 05:42:44.953244</t>
        </is>
      </c>
      <c r="M6095">
        <f>VLOOKUP(H6095,'Stage Order'!$A$2:$B$8,2,FALSE)</f>
        <v/>
      </c>
      <c r="N6095">
        <f>IF(G6095&lt;=1,"1. Under 1 hour",IF(G6095&lt;=24,"2. 1-24 hours",IF(G6095&lt;=72,"3. 1-3 days","4. Over 3 days")))</f>
        <v/>
      </c>
      <c r="O6095">
        <f>TEXT(B6095,"YYYY-MM")</f>
        <v/>
      </c>
    </row>
    <row r="6096">
      <c r="A6096" t="inlineStr">
        <is>
          <t>LD-306094</t>
        </is>
      </c>
      <c r="B6096" t="inlineStr">
        <is>
          <t>2026-03-12 17:39:00</t>
        </is>
      </c>
      <c r="C6096" t="inlineStr">
        <is>
          <t>Organic Search</t>
        </is>
      </c>
      <c r="D6096" t="inlineStr">
        <is>
          <t>K-12 Math</t>
        </is>
      </c>
      <c r="E6096" t="inlineStr">
        <is>
          <t>South Region</t>
        </is>
      </c>
      <c r="F6096" t="inlineStr">
        <is>
          <t>Rep_02</t>
        </is>
      </c>
      <c r="G6096" t="n">
        <v>1.5</v>
      </c>
      <c r="H6096" t="inlineStr">
        <is>
          <t>Demo Completed</t>
        </is>
      </c>
      <c r="I6096" t="inlineStr">
        <is>
          <t>Lost</t>
        </is>
      </c>
      <c r="J6096" t="inlineStr">
        <is>
          <t>Went With Competitor</t>
        </is>
      </c>
      <c r="K6096" t="n">
        <v>572.8099999999999</v>
      </c>
      <c r="L6096" t="inlineStr">
        <is>
          <t>2026-04-18 15:04:16.115036</t>
        </is>
      </c>
      <c r="M6096">
        <f>VLOOKUP(H6096,'Stage Order'!$A$2:$B$8,2,FALSE)</f>
        <v/>
      </c>
      <c r="N6096">
        <f>IF(G6096&lt;=1,"1. Under 1 hour",IF(G6096&lt;=24,"2. 1-24 hours",IF(G6096&lt;=72,"3. 1-3 days","4. Over 3 days")))</f>
        <v/>
      </c>
      <c r="O6096">
        <f>TEXT(B6096,"YYYY-MM")</f>
        <v/>
      </c>
    </row>
    <row r="6097">
      <c r="A6097" t="inlineStr">
        <is>
          <t>LD-306095</t>
        </is>
      </c>
      <c r="B6097" t="inlineStr">
        <is>
          <t>2026-03-21 09:20:00</t>
        </is>
      </c>
      <c r="C6097" t="inlineStr">
        <is>
          <t>Referral</t>
        </is>
      </c>
      <c r="D6097" t="inlineStr">
        <is>
          <t>Competitive Exam Prep</t>
        </is>
      </c>
      <c r="E6097" t="inlineStr">
        <is>
          <t>South Region</t>
        </is>
      </c>
      <c r="F6097" t="inlineStr">
        <is>
          <t>Rep_07</t>
        </is>
      </c>
      <c r="G6097" t="n">
        <v>8.970000000000001</v>
      </c>
      <c r="H6097" t="inlineStr">
        <is>
          <t>Closed</t>
        </is>
      </c>
      <c r="I6097" t="inlineStr">
        <is>
          <t>Won</t>
        </is>
      </c>
      <c r="K6097" t="n">
        <v>818.12</v>
      </c>
      <c r="L6097" t="inlineStr">
        <is>
          <t>2026-05-16 03:54:05.355905</t>
        </is>
      </c>
      <c r="M6097">
        <f>VLOOKUP(H6097,'Stage Order'!$A$2:$B$8,2,FALSE)</f>
        <v/>
      </c>
      <c r="N6097">
        <f>IF(G6097&lt;=1,"1. Under 1 hour",IF(G6097&lt;=24,"2. 1-24 hours",IF(G6097&lt;=72,"3. 1-3 days","4. Over 3 days")))</f>
        <v/>
      </c>
      <c r="O6097">
        <f>TEXT(B6097,"YYYY-MM")</f>
        <v/>
      </c>
    </row>
    <row r="6098">
      <c r="A6098" t="inlineStr">
        <is>
          <t>LD-306096</t>
        </is>
      </c>
      <c r="B6098" t="inlineStr">
        <is>
          <t>2025-10-17 17:00:00</t>
        </is>
      </c>
      <c r="C6098" t="inlineStr">
        <is>
          <t>Social Media</t>
        </is>
      </c>
      <c r="D6098" t="inlineStr">
        <is>
          <t>K-12 Math</t>
        </is>
      </c>
      <c r="E6098" t="inlineStr">
        <is>
          <t>South Region</t>
        </is>
      </c>
      <c r="F6098" t="inlineStr">
        <is>
          <t>Rep_07</t>
        </is>
      </c>
      <c r="G6098" t="n">
        <v>0.5600000000000001</v>
      </c>
      <c r="H6098" t="inlineStr">
        <is>
          <t>Contacted</t>
        </is>
      </c>
      <c r="I6098" t="inlineStr">
        <is>
          <t>Open</t>
        </is>
      </c>
      <c r="M6098">
        <f>VLOOKUP(H6098,'Stage Order'!$A$2:$B$8,2,FALSE)</f>
        <v/>
      </c>
      <c r="N6098">
        <f>IF(G6098&lt;=1,"1. Under 1 hour",IF(G6098&lt;=24,"2. 1-24 hours",IF(G6098&lt;=72,"3. 1-3 days","4. Over 3 days")))</f>
        <v/>
      </c>
      <c r="O6098">
        <f>TEXT(B6098,"YYYY-MM")</f>
        <v/>
      </c>
    </row>
    <row r="6099">
      <c r="A6099" t="inlineStr">
        <is>
          <t>LD-306097</t>
        </is>
      </c>
      <c r="B6099" t="inlineStr">
        <is>
          <t>2026-06-04 07:43:00</t>
        </is>
      </c>
      <c r="C6099" t="inlineStr">
        <is>
          <t>Social Media</t>
        </is>
      </c>
      <c r="D6099" t="inlineStr">
        <is>
          <t>Language Learning</t>
        </is>
      </c>
      <c r="E6099" t="inlineStr">
        <is>
          <t>West Region</t>
        </is>
      </c>
      <c r="F6099" t="inlineStr">
        <is>
          <t>Rep_03</t>
        </is>
      </c>
      <c r="G6099" t="n">
        <v>6.82</v>
      </c>
      <c r="H6099" t="inlineStr">
        <is>
          <t>Proposal Sent</t>
        </is>
      </c>
      <c r="I6099" t="inlineStr">
        <is>
          <t>Lost</t>
        </is>
      </c>
      <c r="J6099" t="inlineStr">
        <is>
          <t>Went With Competitor</t>
        </is>
      </c>
      <c r="K6099" t="n">
        <v>422.07</v>
      </c>
      <c r="L6099" t="inlineStr">
        <is>
          <t>2026-07-17 22:27:00.114319</t>
        </is>
      </c>
      <c r="M6099">
        <f>VLOOKUP(H6099,'Stage Order'!$A$2:$B$8,2,FALSE)</f>
        <v/>
      </c>
      <c r="N6099">
        <f>IF(G6099&lt;=1,"1. Under 1 hour",IF(G6099&lt;=24,"2. 1-24 hours",IF(G6099&lt;=72,"3. 1-3 days","4. Over 3 days")))</f>
        <v/>
      </c>
      <c r="O6099">
        <f>TEXT(B6099,"YYYY-MM")</f>
        <v/>
      </c>
    </row>
    <row r="6100">
      <c r="A6100" t="inlineStr">
        <is>
          <t>LD-306098</t>
        </is>
      </c>
      <c r="B6100" t="inlineStr">
        <is>
          <t>2025-10-06 16:01:00</t>
        </is>
      </c>
      <c r="C6100" t="inlineStr">
        <is>
          <t>Paid Search</t>
        </is>
      </c>
      <c r="D6100" t="inlineStr">
        <is>
          <t>Coding for Kids</t>
        </is>
      </c>
      <c r="E6100" t="inlineStr">
        <is>
          <t>South Region</t>
        </is>
      </c>
      <c r="F6100" t="inlineStr">
        <is>
          <t>Rep_12</t>
        </is>
      </c>
      <c r="G6100" t="n">
        <v>6.95</v>
      </c>
      <c r="H6100" t="inlineStr">
        <is>
          <t>Lead</t>
        </is>
      </c>
      <c r="I6100" t="inlineStr">
        <is>
          <t>Open</t>
        </is>
      </c>
      <c r="M6100">
        <f>VLOOKUP(H6100,'Stage Order'!$A$2:$B$8,2,FALSE)</f>
        <v/>
      </c>
      <c r="N6100">
        <f>IF(G6100&lt;=1,"1. Under 1 hour",IF(G6100&lt;=24,"2. 1-24 hours",IF(G6100&lt;=72,"3. 1-3 days","4. Over 3 days")))</f>
        <v/>
      </c>
      <c r="O6100">
        <f>TEXT(B6100,"YYYY-MM")</f>
        <v/>
      </c>
    </row>
    <row r="6101">
      <c r="A6101" t="inlineStr">
        <is>
          <t>LD-306099</t>
        </is>
      </c>
      <c r="B6101" t="inlineStr">
        <is>
          <t>2025-02-20 16:12:00</t>
        </is>
      </c>
      <c r="C6101" t="inlineStr">
        <is>
          <t>Social Media</t>
        </is>
      </c>
      <c r="D6101" t="inlineStr">
        <is>
          <t>K-12 Math</t>
        </is>
      </c>
      <c r="E6101" t="inlineStr">
        <is>
          <t>West Region</t>
        </is>
      </c>
      <c r="F6101" t="inlineStr">
        <is>
          <t>Rep_03</t>
        </is>
      </c>
      <c r="G6101" t="n">
        <v>8.869999999999999</v>
      </c>
      <c r="H6101" t="inlineStr">
        <is>
          <t>Contacted</t>
        </is>
      </c>
      <c r="I6101" t="inlineStr">
        <is>
          <t>Open</t>
        </is>
      </c>
      <c r="M6101">
        <f>VLOOKUP(H6101,'Stage Order'!$A$2:$B$8,2,FALSE)</f>
        <v/>
      </c>
      <c r="N6101">
        <f>IF(G6101&lt;=1,"1. Under 1 hour",IF(G6101&lt;=24,"2. 1-24 hours",IF(G6101&lt;=72,"3. 1-3 days","4. Over 3 days")))</f>
        <v/>
      </c>
      <c r="O6101">
        <f>TEXT(B6101,"YYYY-MM")</f>
        <v/>
      </c>
    </row>
    <row r="6102">
      <c r="A6102" t="inlineStr">
        <is>
          <t>LD-306100</t>
        </is>
      </c>
      <c r="B6102" t="inlineStr">
        <is>
          <t>2025-07-25 20:54:00</t>
        </is>
      </c>
      <c r="C6102" t="inlineStr">
        <is>
          <t>Social Media</t>
        </is>
      </c>
      <c r="D6102" t="inlineStr">
        <is>
          <t>Coding for Kids</t>
        </is>
      </c>
      <c r="E6102" t="inlineStr">
        <is>
          <t>West Region</t>
        </is>
      </c>
      <c r="F6102" t="inlineStr">
        <is>
          <t>Rep_13</t>
        </is>
      </c>
      <c r="G6102" t="n">
        <v>3.93</v>
      </c>
      <c r="H6102" t="inlineStr">
        <is>
          <t>Contacted</t>
        </is>
      </c>
      <c r="I6102" t="inlineStr">
        <is>
          <t>Open</t>
        </is>
      </c>
      <c r="M6102">
        <f>VLOOKUP(H6102,'Stage Order'!$A$2:$B$8,2,FALSE)</f>
        <v/>
      </c>
      <c r="N6102">
        <f>IF(G6102&lt;=1,"1. Under 1 hour",IF(G6102&lt;=24,"2. 1-24 hours",IF(G6102&lt;=72,"3. 1-3 days","4. Over 3 days")))</f>
        <v/>
      </c>
      <c r="O6102">
        <f>TEXT(B6102,"YYYY-MM")</f>
        <v/>
      </c>
    </row>
    <row r="6103">
      <c r="A6103" t="inlineStr">
        <is>
          <t>LD-306101</t>
        </is>
      </c>
      <c r="B6103" t="inlineStr">
        <is>
          <t>2025-02-18 17:21:00</t>
        </is>
      </c>
      <c r="C6103" t="inlineStr">
        <is>
          <t>Webinar</t>
        </is>
      </c>
      <c r="D6103" t="inlineStr">
        <is>
          <t>Competitive Exam Prep</t>
        </is>
      </c>
      <c r="E6103" t="inlineStr">
        <is>
          <t>West Region</t>
        </is>
      </c>
      <c r="F6103" t="inlineStr">
        <is>
          <t>Rep_08</t>
        </is>
      </c>
      <c r="G6103" t="n">
        <v>1.87</v>
      </c>
      <c r="H6103" t="inlineStr">
        <is>
          <t>Closed</t>
        </is>
      </c>
      <c r="I6103" t="inlineStr">
        <is>
          <t>Won</t>
        </is>
      </c>
      <c r="K6103" t="n">
        <v>1145.85</v>
      </c>
      <c r="L6103" t="inlineStr">
        <is>
          <t>2025-03-27 02:27:16.110492</t>
        </is>
      </c>
      <c r="M6103">
        <f>VLOOKUP(H6103,'Stage Order'!$A$2:$B$8,2,FALSE)</f>
        <v/>
      </c>
      <c r="N6103">
        <f>IF(G6103&lt;=1,"1. Under 1 hour",IF(G6103&lt;=24,"2. 1-24 hours",IF(G6103&lt;=72,"3. 1-3 days","4. Over 3 days")))</f>
        <v/>
      </c>
      <c r="O6103">
        <f>TEXT(B6103,"YYYY-MM")</f>
        <v/>
      </c>
    </row>
    <row r="6104">
      <c r="A6104" t="inlineStr">
        <is>
          <t>LD-306102</t>
        </is>
      </c>
      <c r="B6104" t="inlineStr">
        <is>
          <t>2025-08-29 14:52:00</t>
        </is>
      </c>
      <c r="C6104" t="inlineStr">
        <is>
          <t>Paid Search</t>
        </is>
      </c>
      <c r="D6104" t="inlineStr">
        <is>
          <t>Competitive Exam Prep</t>
        </is>
      </c>
      <c r="E6104" t="inlineStr">
        <is>
          <t>East Region</t>
        </is>
      </c>
      <c r="F6104" t="inlineStr">
        <is>
          <t>Rep_04</t>
        </is>
      </c>
      <c r="G6104" t="n">
        <v>4.55</v>
      </c>
      <c r="H6104" t="inlineStr">
        <is>
          <t>Negotiation</t>
        </is>
      </c>
      <c r="I6104" t="inlineStr">
        <is>
          <t>Lost</t>
        </is>
      </c>
      <c r="J6104" t="inlineStr">
        <is>
          <t>Budget Not Approved</t>
        </is>
      </c>
      <c r="K6104" t="n">
        <v>1052.98</v>
      </c>
      <c r="L6104" t="inlineStr">
        <is>
          <t>2025-10-29 03:37:40.904584</t>
        </is>
      </c>
      <c r="M6104">
        <f>VLOOKUP(H6104,'Stage Order'!$A$2:$B$8,2,FALSE)</f>
        <v/>
      </c>
      <c r="N6104">
        <f>IF(G6104&lt;=1,"1. Under 1 hour",IF(G6104&lt;=24,"2. 1-24 hours",IF(G6104&lt;=72,"3. 1-3 days","4. Over 3 days")))</f>
        <v/>
      </c>
      <c r="O6104">
        <f>TEXT(B6104,"YYYY-MM")</f>
        <v/>
      </c>
    </row>
    <row r="6105">
      <c r="A6105" t="inlineStr">
        <is>
          <t>LD-306103</t>
        </is>
      </c>
      <c r="B6105" t="inlineStr">
        <is>
          <t>2026-05-01 15:01:00</t>
        </is>
      </c>
      <c r="C6105" t="inlineStr">
        <is>
          <t>Organic Search</t>
        </is>
      </c>
      <c r="D6105" t="inlineStr">
        <is>
          <t>K-12 Math</t>
        </is>
      </c>
      <c r="E6105" t="inlineStr">
        <is>
          <t>North Region</t>
        </is>
      </c>
      <c r="F6105" t="inlineStr">
        <is>
          <t>Rep_01</t>
        </is>
      </c>
      <c r="G6105" t="n">
        <v>3.21</v>
      </c>
      <c r="H6105" t="inlineStr">
        <is>
          <t>Negotiation</t>
        </is>
      </c>
      <c r="I6105" t="inlineStr">
        <is>
          <t>Lost</t>
        </is>
      </c>
      <c r="J6105" t="inlineStr">
        <is>
          <t>Went With Competitor</t>
        </is>
      </c>
      <c r="K6105" t="n">
        <v>580.26</v>
      </c>
      <c r="L6105" t="inlineStr">
        <is>
          <t>2026-06-17 22:56:59.227372</t>
        </is>
      </c>
      <c r="M6105">
        <f>VLOOKUP(H6105,'Stage Order'!$A$2:$B$8,2,FALSE)</f>
        <v/>
      </c>
      <c r="N6105">
        <f>IF(G6105&lt;=1,"1. Under 1 hour",IF(G6105&lt;=24,"2. 1-24 hours",IF(G6105&lt;=72,"3. 1-3 days","4. Over 3 days")))</f>
        <v/>
      </c>
      <c r="O6105">
        <f>TEXT(B6105,"YYYY-MM")</f>
        <v/>
      </c>
    </row>
    <row r="6106">
      <c r="A6106" t="inlineStr">
        <is>
          <t>LD-306104</t>
        </is>
      </c>
      <c r="B6106" t="inlineStr">
        <is>
          <t>2025-02-09 19:50:00</t>
        </is>
      </c>
      <c r="C6106" t="inlineStr">
        <is>
          <t>Partner Channel</t>
        </is>
      </c>
      <c r="D6106" t="inlineStr">
        <is>
          <t>K-12 Math</t>
        </is>
      </c>
      <c r="E6106" t="inlineStr">
        <is>
          <t>South Region</t>
        </is>
      </c>
      <c r="F6106" t="inlineStr">
        <is>
          <t>Rep_02</t>
        </is>
      </c>
      <c r="G6106" t="n">
        <v>11.56</v>
      </c>
      <c r="H6106" t="inlineStr">
        <is>
          <t>Contacted</t>
        </is>
      </c>
      <c r="I6106" t="inlineStr">
        <is>
          <t>Open</t>
        </is>
      </c>
      <c r="M6106">
        <f>VLOOKUP(H6106,'Stage Order'!$A$2:$B$8,2,FALSE)</f>
        <v/>
      </c>
      <c r="N6106">
        <f>IF(G6106&lt;=1,"1. Under 1 hour",IF(G6106&lt;=24,"2. 1-24 hours",IF(G6106&lt;=72,"3. 1-3 days","4. Over 3 days")))</f>
        <v/>
      </c>
      <c r="O6106">
        <f>TEXT(B6106,"YYYY-MM")</f>
        <v/>
      </c>
    </row>
    <row r="6107">
      <c r="A6107" t="inlineStr">
        <is>
          <t>LD-306105</t>
        </is>
      </c>
      <c r="B6107" t="inlineStr">
        <is>
          <t>2025-10-31 07:20:00</t>
        </is>
      </c>
      <c r="C6107" t="inlineStr">
        <is>
          <t>Webinar</t>
        </is>
      </c>
      <c r="D6107" t="inlineStr">
        <is>
          <t>Competitive Exam Prep</t>
        </is>
      </c>
      <c r="E6107" t="inlineStr">
        <is>
          <t>South Region</t>
        </is>
      </c>
      <c r="F6107" t="inlineStr">
        <is>
          <t>Rep_02</t>
        </is>
      </c>
      <c r="G6107" t="n">
        <v>3.28</v>
      </c>
      <c r="H6107" t="inlineStr">
        <is>
          <t>Negotiation</t>
        </is>
      </c>
      <c r="I6107" t="inlineStr">
        <is>
          <t>Lost</t>
        </is>
      </c>
      <c r="J6107" t="inlineStr">
        <is>
          <t>Went With Competitor</t>
        </is>
      </c>
      <c r="K6107" t="n">
        <v>992.96</v>
      </c>
      <c r="L6107" t="inlineStr">
        <is>
          <t>2025-12-23 14:56:29.009152</t>
        </is>
      </c>
      <c r="M6107">
        <f>VLOOKUP(H6107,'Stage Order'!$A$2:$B$8,2,FALSE)</f>
        <v/>
      </c>
      <c r="N6107">
        <f>IF(G6107&lt;=1,"1. Under 1 hour",IF(G6107&lt;=24,"2. 1-24 hours",IF(G6107&lt;=72,"3. 1-3 days","4. Over 3 days")))</f>
        <v/>
      </c>
      <c r="O6107">
        <f>TEXT(B6107,"YYYY-MM")</f>
        <v/>
      </c>
    </row>
    <row r="6108">
      <c r="A6108" t="inlineStr">
        <is>
          <t>LD-306106</t>
        </is>
      </c>
      <c r="B6108" t="inlineStr">
        <is>
          <t>2025-03-15 16:55:00</t>
        </is>
      </c>
      <c r="C6108" t="inlineStr">
        <is>
          <t>Paid Search</t>
        </is>
      </c>
      <c r="D6108" t="inlineStr">
        <is>
          <t>K-12 Math</t>
        </is>
      </c>
      <c r="E6108" t="inlineStr">
        <is>
          <t>North Region</t>
        </is>
      </c>
      <c r="F6108" t="inlineStr">
        <is>
          <t>Rep_01</t>
        </is>
      </c>
      <c r="G6108" t="n">
        <v>1.66</v>
      </c>
      <c r="H6108" t="inlineStr">
        <is>
          <t>Contacted</t>
        </is>
      </c>
      <c r="I6108" t="inlineStr">
        <is>
          <t>Open</t>
        </is>
      </c>
      <c r="M6108">
        <f>VLOOKUP(H6108,'Stage Order'!$A$2:$B$8,2,FALSE)</f>
        <v/>
      </c>
      <c r="N6108">
        <f>IF(G6108&lt;=1,"1. Under 1 hour",IF(G6108&lt;=24,"2. 1-24 hours",IF(G6108&lt;=72,"3. 1-3 days","4. Over 3 days")))</f>
        <v/>
      </c>
      <c r="O6108">
        <f>TEXT(B6108,"YYYY-MM")</f>
        <v/>
      </c>
    </row>
    <row r="6109">
      <c r="A6109" t="inlineStr">
        <is>
          <t>LD-306107</t>
        </is>
      </c>
      <c r="B6109" t="inlineStr">
        <is>
          <t>2025-10-17 17:33:00</t>
        </is>
      </c>
      <c r="C6109" t="inlineStr">
        <is>
          <t>Organic Search</t>
        </is>
      </c>
      <c r="D6109" t="inlineStr">
        <is>
          <t>Competitive Exam Prep</t>
        </is>
      </c>
      <c r="E6109" t="inlineStr">
        <is>
          <t>International</t>
        </is>
      </c>
      <c r="F6109" t="inlineStr">
        <is>
          <t>Rep_15</t>
        </is>
      </c>
      <c r="G6109" t="n">
        <v>0.72</v>
      </c>
      <c r="H6109" t="inlineStr">
        <is>
          <t>Closed</t>
        </is>
      </c>
      <c r="I6109" t="inlineStr">
        <is>
          <t>Won</t>
        </is>
      </c>
      <c r="K6109" t="n">
        <v>1029.04</v>
      </c>
      <c r="L6109" t="inlineStr">
        <is>
          <t>2025-11-20 11:30:44.205971</t>
        </is>
      </c>
      <c r="M6109">
        <f>VLOOKUP(H6109,'Stage Order'!$A$2:$B$8,2,FALSE)</f>
        <v/>
      </c>
      <c r="N6109">
        <f>IF(G6109&lt;=1,"1. Under 1 hour",IF(G6109&lt;=24,"2. 1-24 hours",IF(G6109&lt;=72,"3. 1-3 days","4. Over 3 days")))</f>
        <v/>
      </c>
      <c r="O6109">
        <f>TEXT(B6109,"YYYY-MM")</f>
        <v/>
      </c>
    </row>
    <row r="6110">
      <c r="A6110" t="inlineStr">
        <is>
          <t>LD-306108</t>
        </is>
      </c>
      <c r="B6110" t="inlineStr">
        <is>
          <t>2026-03-26 14:43:00</t>
        </is>
      </c>
      <c r="C6110" t="inlineStr">
        <is>
          <t>Social Media</t>
        </is>
      </c>
      <c r="D6110" t="inlineStr">
        <is>
          <t>Competitive Exam Prep</t>
        </is>
      </c>
      <c r="E6110" t="inlineStr">
        <is>
          <t>West Region</t>
        </is>
      </c>
      <c r="F6110" t="inlineStr">
        <is>
          <t>Rep_03</t>
        </is>
      </c>
      <c r="G6110" t="n">
        <v>6.74</v>
      </c>
      <c r="H6110" t="inlineStr">
        <is>
          <t>Lead</t>
        </is>
      </c>
      <c r="I6110" t="inlineStr">
        <is>
          <t>Open</t>
        </is>
      </c>
      <c r="M6110">
        <f>VLOOKUP(H6110,'Stage Order'!$A$2:$B$8,2,FALSE)</f>
        <v/>
      </c>
      <c r="N6110">
        <f>IF(G6110&lt;=1,"1. Under 1 hour",IF(G6110&lt;=24,"2. 1-24 hours",IF(G6110&lt;=72,"3. 1-3 days","4. Over 3 days")))</f>
        <v/>
      </c>
      <c r="O6110">
        <f>TEXT(B6110,"YYYY-MM")</f>
        <v/>
      </c>
    </row>
    <row r="6111">
      <c r="A6111" t="inlineStr">
        <is>
          <t>LD-306109</t>
        </is>
      </c>
      <c r="B6111" t="inlineStr">
        <is>
          <t>2025-01-17 19:09:00</t>
        </is>
      </c>
      <c r="C6111" t="inlineStr">
        <is>
          <t>Organic Search</t>
        </is>
      </c>
      <c r="D6111" t="inlineStr">
        <is>
          <t>Competitive Exam Prep</t>
        </is>
      </c>
      <c r="E6111" t="inlineStr">
        <is>
          <t>International</t>
        </is>
      </c>
      <c r="F6111" t="inlineStr">
        <is>
          <t>Rep_10</t>
        </is>
      </c>
      <c r="G6111" t="n">
        <v>3.08</v>
      </c>
      <c r="H6111" t="inlineStr">
        <is>
          <t>Contacted</t>
        </is>
      </c>
      <c r="I6111" t="inlineStr">
        <is>
          <t>Open</t>
        </is>
      </c>
      <c r="M6111">
        <f>VLOOKUP(H6111,'Stage Order'!$A$2:$B$8,2,FALSE)</f>
        <v/>
      </c>
      <c r="N6111">
        <f>IF(G6111&lt;=1,"1. Under 1 hour",IF(G6111&lt;=24,"2. 1-24 hours",IF(G6111&lt;=72,"3. 1-3 days","4. Over 3 days")))</f>
        <v/>
      </c>
      <c r="O6111">
        <f>TEXT(B6111,"YYYY-MM")</f>
        <v/>
      </c>
    </row>
    <row r="6112">
      <c r="A6112" t="inlineStr">
        <is>
          <t>LD-306110</t>
        </is>
      </c>
      <c r="B6112" t="inlineStr">
        <is>
          <t>2025-12-28 10:05:00</t>
        </is>
      </c>
      <c r="C6112" t="inlineStr">
        <is>
          <t>Webinar</t>
        </is>
      </c>
      <c r="D6112" t="inlineStr">
        <is>
          <t>Coding for Kids</t>
        </is>
      </c>
      <c r="E6112" t="inlineStr">
        <is>
          <t>South Region</t>
        </is>
      </c>
      <c r="F6112" t="inlineStr">
        <is>
          <t>Rep_02</t>
        </is>
      </c>
      <c r="G6112" t="n">
        <v>9.390000000000001</v>
      </c>
      <c r="H6112" t="inlineStr">
        <is>
          <t>Contacted</t>
        </is>
      </c>
      <c r="I6112" t="inlineStr">
        <is>
          <t>Open</t>
        </is>
      </c>
      <c r="M6112">
        <f>VLOOKUP(H6112,'Stage Order'!$A$2:$B$8,2,FALSE)</f>
        <v/>
      </c>
      <c r="N6112">
        <f>IF(G6112&lt;=1,"1. Under 1 hour",IF(G6112&lt;=24,"2. 1-24 hours",IF(G6112&lt;=72,"3. 1-3 days","4. Over 3 days")))</f>
        <v/>
      </c>
      <c r="O6112">
        <f>TEXT(B6112,"YYYY-MM")</f>
        <v/>
      </c>
    </row>
    <row r="6113">
      <c r="A6113" t="inlineStr">
        <is>
          <t>LD-306111</t>
        </is>
      </c>
      <c r="B6113" t="inlineStr">
        <is>
          <t>2025-03-20 18:12:00</t>
        </is>
      </c>
      <c r="C6113" t="inlineStr">
        <is>
          <t>Referral</t>
        </is>
      </c>
      <c r="D6113" t="inlineStr">
        <is>
          <t>K-12 Math</t>
        </is>
      </c>
      <c r="E6113" t="inlineStr">
        <is>
          <t>North Region</t>
        </is>
      </c>
      <c r="F6113" t="inlineStr">
        <is>
          <t>Rep_01</t>
        </is>
      </c>
      <c r="G6113" t="n">
        <v>1.95</v>
      </c>
      <c r="H6113" t="inlineStr">
        <is>
          <t>Negotiation</t>
        </is>
      </c>
      <c r="I6113" t="inlineStr">
        <is>
          <t>Lost</t>
        </is>
      </c>
      <c r="J6113" t="inlineStr">
        <is>
          <t>No Response / Ghosted</t>
        </is>
      </c>
      <c r="K6113" t="n">
        <v>486.85</v>
      </c>
      <c r="L6113" t="inlineStr">
        <is>
          <t>2025-04-25 13:50:51.622588</t>
        </is>
      </c>
      <c r="M6113">
        <f>VLOOKUP(H6113,'Stage Order'!$A$2:$B$8,2,FALSE)</f>
        <v/>
      </c>
      <c r="N6113">
        <f>IF(G6113&lt;=1,"1. Under 1 hour",IF(G6113&lt;=24,"2. 1-24 hours",IF(G6113&lt;=72,"3. 1-3 days","4. Over 3 days")))</f>
        <v/>
      </c>
      <c r="O6113">
        <f>TEXT(B6113,"YYYY-MM")</f>
        <v/>
      </c>
    </row>
    <row r="6114">
      <c r="A6114" t="inlineStr">
        <is>
          <t>LD-306112</t>
        </is>
      </c>
      <c r="B6114" t="inlineStr">
        <is>
          <t>2026-05-07 15:15:00</t>
        </is>
      </c>
      <c r="C6114" t="inlineStr">
        <is>
          <t>Organic Search</t>
        </is>
      </c>
      <c r="D6114" t="inlineStr">
        <is>
          <t>K-12 Math</t>
        </is>
      </c>
      <c r="E6114" t="inlineStr">
        <is>
          <t>West Region</t>
        </is>
      </c>
      <c r="F6114" t="inlineStr">
        <is>
          <t>Rep_08</t>
        </is>
      </c>
      <c r="G6114" t="n">
        <v>1.35</v>
      </c>
      <c r="H6114" t="inlineStr">
        <is>
          <t>Closed</t>
        </is>
      </c>
      <c r="I6114" t="inlineStr">
        <is>
          <t>Won</t>
        </is>
      </c>
      <c r="K6114" t="n">
        <v>595.52</v>
      </c>
      <c r="L6114" t="inlineStr">
        <is>
          <t>2026-06-21 07:56:53.554817</t>
        </is>
      </c>
      <c r="M6114">
        <f>VLOOKUP(H6114,'Stage Order'!$A$2:$B$8,2,FALSE)</f>
        <v/>
      </c>
      <c r="N6114">
        <f>IF(G6114&lt;=1,"1. Under 1 hour",IF(G6114&lt;=24,"2. 1-24 hours",IF(G6114&lt;=72,"3. 1-3 days","4. Over 3 days")))</f>
        <v/>
      </c>
      <c r="O6114">
        <f>TEXT(B6114,"YYYY-MM")</f>
        <v/>
      </c>
    </row>
    <row r="6115">
      <c r="A6115" t="inlineStr">
        <is>
          <t>LD-306113</t>
        </is>
      </c>
      <c r="B6115" t="inlineStr">
        <is>
          <t>2025-09-25 13:27:00</t>
        </is>
      </c>
      <c r="C6115" t="inlineStr">
        <is>
          <t>Organic Search</t>
        </is>
      </c>
      <c r="D6115" t="inlineStr">
        <is>
          <t>K-12 Math</t>
        </is>
      </c>
      <c r="E6115" t="inlineStr">
        <is>
          <t>West Region</t>
        </is>
      </c>
      <c r="F6115" t="inlineStr">
        <is>
          <t>Rep_13</t>
        </is>
      </c>
      <c r="G6115" t="n">
        <v>5.24</v>
      </c>
      <c r="H6115" t="inlineStr">
        <is>
          <t>Contacted</t>
        </is>
      </c>
      <c r="I6115" t="inlineStr">
        <is>
          <t>Open</t>
        </is>
      </c>
      <c r="M6115">
        <f>VLOOKUP(H6115,'Stage Order'!$A$2:$B$8,2,FALSE)</f>
        <v/>
      </c>
      <c r="N6115">
        <f>IF(G6115&lt;=1,"1. Under 1 hour",IF(G6115&lt;=24,"2. 1-24 hours",IF(G6115&lt;=72,"3. 1-3 days","4. Over 3 days")))</f>
        <v/>
      </c>
      <c r="O6115">
        <f>TEXT(B6115,"YYYY-MM")</f>
        <v/>
      </c>
    </row>
    <row r="6116">
      <c r="A6116" t="inlineStr">
        <is>
          <t>LD-306114</t>
        </is>
      </c>
      <c r="B6116" t="inlineStr">
        <is>
          <t>2025-04-10 11:01:00</t>
        </is>
      </c>
      <c r="C6116" t="inlineStr">
        <is>
          <t>Organic Search</t>
        </is>
      </c>
      <c r="D6116" t="inlineStr">
        <is>
          <t>Competitive Exam Prep</t>
        </is>
      </c>
      <c r="E6116" t="inlineStr">
        <is>
          <t>International</t>
        </is>
      </c>
      <c r="F6116" t="inlineStr">
        <is>
          <t>Rep_15</t>
        </is>
      </c>
      <c r="G6116" t="n">
        <v>5.22</v>
      </c>
      <c r="H6116" t="inlineStr">
        <is>
          <t>Contacted</t>
        </is>
      </c>
      <c r="I6116" t="inlineStr">
        <is>
          <t>Open</t>
        </is>
      </c>
      <c r="M6116">
        <f>VLOOKUP(H6116,'Stage Order'!$A$2:$B$8,2,FALSE)</f>
        <v/>
      </c>
      <c r="N6116">
        <f>IF(G6116&lt;=1,"1. Under 1 hour",IF(G6116&lt;=24,"2. 1-24 hours",IF(G6116&lt;=72,"3. 1-3 days","4. Over 3 days")))</f>
        <v/>
      </c>
      <c r="O6116">
        <f>TEXT(B6116,"YYYY-MM")</f>
        <v/>
      </c>
    </row>
    <row r="6117">
      <c r="A6117" t="inlineStr">
        <is>
          <t>LD-306115</t>
        </is>
      </c>
      <c r="B6117" t="inlineStr">
        <is>
          <t>2025-06-27 19:17:00</t>
        </is>
      </c>
      <c r="C6117" t="inlineStr">
        <is>
          <t>Paid Search</t>
        </is>
      </c>
      <c r="D6117" t="inlineStr">
        <is>
          <t>Competitive Exam Prep</t>
        </is>
      </c>
      <c r="E6117" t="inlineStr">
        <is>
          <t>South Region</t>
        </is>
      </c>
      <c r="F6117" t="inlineStr">
        <is>
          <t>Rep_07</t>
        </is>
      </c>
      <c r="G6117" t="n">
        <v>2.85</v>
      </c>
      <c r="H6117" t="inlineStr">
        <is>
          <t>Negotiation</t>
        </is>
      </c>
      <c r="I6117" t="inlineStr">
        <is>
          <t>Lost</t>
        </is>
      </c>
      <c r="J6117" t="inlineStr">
        <is>
          <t>Price Objection</t>
        </is>
      </c>
      <c r="K6117" t="n">
        <v>1113.71</v>
      </c>
      <c r="L6117" t="inlineStr">
        <is>
          <t>2025-08-11 07:49:55.118870</t>
        </is>
      </c>
      <c r="M6117">
        <f>VLOOKUP(H6117,'Stage Order'!$A$2:$B$8,2,FALSE)</f>
        <v/>
      </c>
      <c r="N6117">
        <f>IF(G6117&lt;=1,"1. Under 1 hour",IF(G6117&lt;=24,"2. 1-24 hours",IF(G6117&lt;=72,"3. 1-3 days","4. Over 3 days")))</f>
        <v/>
      </c>
      <c r="O6117">
        <f>TEXT(B6117,"YYYY-MM")</f>
        <v/>
      </c>
    </row>
    <row r="6118">
      <c r="A6118" t="inlineStr">
        <is>
          <t>LD-306116</t>
        </is>
      </c>
      <c r="B6118" t="inlineStr">
        <is>
          <t>2025-08-07 19:07:00</t>
        </is>
      </c>
      <c r="C6118" t="inlineStr">
        <is>
          <t>Organic Search</t>
        </is>
      </c>
      <c r="D6118" t="inlineStr">
        <is>
          <t>K-12 Math</t>
        </is>
      </c>
      <c r="E6118" t="inlineStr">
        <is>
          <t>North Region</t>
        </is>
      </c>
      <c r="F6118" t="inlineStr">
        <is>
          <t>Rep_11</t>
        </is>
      </c>
      <c r="G6118" t="n">
        <v>2.51</v>
      </c>
      <c r="H6118" t="inlineStr">
        <is>
          <t>Closed</t>
        </is>
      </c>
      <c r="I6118" t="inlineStr">
        <is>
          <t>Won</t>
        </is>
      </c>
      <c r="K6118" t="n">
        <v>569.9</v>
      </c>
      <c r="L6118" t="inlineStr">
        <is>
          <t>2025-09-16 08:49:53.345650</t>
        </is>
      </c>
      <c r="M6118">
        <f>VLOOKUP(H6118,'Stage Order'!$A$2:$B$8,2,FALSE)</f>
        <v/>
      </c>
      <c r="N6118">
        <f>IF(G6118&lt;=1,"1. Under 1 hour",IF(G6118&lt;=24,"2. 1-24 hours",IF(G6118&lt;=72,"3. 1-3 days","4. Over 3 days")))</f>
        <v/>
      </c>
      <c r="O6118">
        <f>TEXT(B6118,"YYYY-MM")</f>
        <v/>
      </c>
    </row>
    <row r="6119">
      <c r="A6119" t="inlineStr">
        <is>
          <t>LD-306117</t>
        </is>
      </c>
      <c r="B6119" t="inlineStr">
        <is>
          <t>2025-07-06 15:43:00</t>
        </is>
      </c>
      <c r="C6119" t="inlineStr">
        <is>
          <t>Organic Search</t>
        </is>
      </c>
      <c r="D6119" t="inlineStr">
        <is>
          <t>K-12 Math</t>
        </is>
      </c>
      <c r="E6119" t="inlineStr">
        <is>
          <t>West Region</t>
        </is>
      </c>
      <c r="F6119" t="inlineStr">
        <is>
          <t>Rep_03</t>
        </is>
      </c>
      <c r="G6119" t="n">
        <v>0.84</v>
      </c>
      <c r="H6119" t="inlineStr">
        <is>
          <t>Contacted</t>
        </is>
      </c>
      <c r="I6119" t="inlineStr">
        <is>
          <t>Open</t>
        </is>
      </c>
      <c r="M6119">
        <f>VLOOKUP(H6119,'Stage Order'!$A$2:$B$8,2,FALSE)</f>
        <v/>
      </c>
      <c r="N6119">
        <f>IF(G6119&lt;=1,"1. Under 1 hour",IF(G6119&lt;=24,"2. 1-24 hours",IF(G6119&lt;=72,"3. 1-3 days","4. Over 3 days")))</f>
        <v/>
      </c>
      <c r="O6119">
        <f>TEXT(B6119,"YYYY-MM")</f>
        <v/>
      </c>
    </row>
    <row r="6120">
      <c r="A6120" t="inlineStr">
        <is>
          <t>LD-306118</t>
        </is>
      </c>
      <c r="B6120" t="inlineStr">
        <is>
          <t>2026-03-27 15:28:00</t>
        </is>
      </c>
      <c r="C6120" t="inlineStr">
        <is>
          <t>Organic Search</t>
        </is>
      </c>
      <c r="D6120" t="inlineStr">
        <is>
          <t>Language Learning</t>
        </is>
      </c>
      <c r="E6120" t="inlineStr">
        <is>
          <t>North Region</t>
        </is>
      </c>
      <c r="F6120" t="inlineStr">
        <is>
          <t>Rep_01</t>
        </is>
      </c>
      <c r="G6120" t="n">
        <v>15.48</v>
      </c>
      <c r="H6120" t="inlineStr">
        <is>
          <t>Contacted</t>
        </is>
      </c>
      <c r="I6120" t="inlineStr">
        <is>
          <t>Open</t>
        </is>
      </c>
      <c r="M6120">
        <f>VLOOKUP(H6120,'Stage Order'!$A$2:$B$8,2,FALSE)</f>
        <v/>
      </c>
      <c r="N6120">
        <f>IF(G6120&lt;=1,"1. Under 1 hour",IF(G6120&lt;=24,"2. 1-24 hours",IF(G6120&lt;=72,"3. 1-3 days","4. Over 3 days")))</f>
        <v/>
      </c>
      <c r="O6120">
        <f>TEXT(B6120,"YYYY-MM")</f>
        <v/>
      </c>
    </row>
    <row r="6121">
      <c r="A6121" t="inlineStr">
        <is>
          <t>LD-306119</t>
        </is>
      </c>
      <c r="B6121" t="inlineStr">
        <is>
          <t>2026-04-23 19:25:00</t>
        </is>
      </c>
      <c r="C6121" t="inlineStr">
        <is>
          <t>Social Media</t>
        </is>
      </c>
      <c r="D6121" t="inlineStr">
        <is>
          <t>Study Abroad Prep</t>
        </is>
      </c>
      <c r="E6121" t="inlineStr">
        <is>
          <t>International</t>
        </is>
      </c>
      <c r="F6121" t="inlineStr">
        <is>
          <t>Rep_05</t>
        </is>
      </c>
      <c r="G6121" t="n">
        <v>1.46</v>
      </c>
      <c r="H6121" t="inlineStr">
        <is>
          <t>Contacted</t>
        </is>
      </c>
      <c r="I6121" t="inlineStr">
        <is>
          <t>Open</t>
        </is>
      </c>
      <c r="M6121">
        <f>VLOOKUP(H6121,'Stage Order'!$A$2:$B$8,2,FALSE)</f>
        <v/>
      </c>
      <c r="N6121">
        <f>IF(G6121&lt;=1,"1. Under 1 hour",IF(G6121&lt;=24,"2. 1-24 hours",IF(G6121&lt;=72,"3. 1-3 days","4. Over 3 days")))</f>
        <v/>
      </c>
      <c r="O6121">
        <f>TEXT(B6121,"YYYY-MM")</f>
        <v/>
      </c>
    </row>
    <row r="6122">
      <c r="A6122" t="inlineStr">
        <is>
          <t>LD-306120</t>
        </is>
      </c>
      <c r="B6122" t="inlineStr">
        <is>
          <t>2025-04-02 08:15:00</t>
        </is>
      </c>
      <c r="C6122" t="inlineStr">
        <is>
          <t>Cold Outreach</t>
        </is>
      </c>
      <c r="D6122" t="inlineStr">
        <is>
          <t>Language Learning</t>
        </is>
      </c>
      <c r="E6122" t="inlineStr">
        <is>
          <t>West Region</t>
        </is>
      </c>
      <c r="F6122" t="inlineStr">
        <is>
          <t>Rep_08</t>
        </is>
      </c>
      <c r="G6122" t="n">
        <v>0.5</v>
      </c>
      <c r="H6122" t="inlineStr">
        <is>
          <t>Contacted</t>
        </is>
      </c>
      <c r="I6122" t="inlineStr">
        <is>
          <t>Open</t>
        </is>
      </c>
      <c r="M6122">
        <f>VLOOKUP(H6122,'Stage Order'!$A$2:$B$8,2,FALSE)</f>
        <v/>
      </c>
      <c r="N6122">
        <f>IF(G6122&lt;=1,"1. Under 1 hour",IF(G6122&lt;=24,"2. 1-24 hours",IF(G6122&lt;=72,"3. 1-3 days","4. Over 3 days")))</f>
        <v/>
      </c>
      <c r="O6122">
        <f>TEXT(B6122,"YYYY-MM")</f>
        <v/>
      </c>
    </row>
    <row r="6123">
      <c r="A6123" t="inlineStr">
        <is>
          <t>LD-306121</t>
        </is>
      </c>
      <c r="B6123" t="inlineStr">
        <is>
          <t>2025-07-24 17:28:00</t>
        </is>
      </c>
      <c r="C6123" t="inlineStr">
        <is>
          <t>Paid Search</t>
        </is>
      </c>
      <c r="D6123" t="inlineStr">
        <is>
          <t>Study Abroad Prep</t>
        </is>
      </c>
      <c r="E6123" t="inlineStr">
        <is>
          <t>East Region</t>
        </is>
      </c>
      <c r="F6123" t="inlineStr">
        <is>
          <t>Rep_04</t>
        </is>
      </c>
      <c r="G6123" t="n">
        <v>4.05</v>
      </c>
      <c r="H6123" t="inlineStr">
        <is>
          <t>Lead</t>
        </is>
      </c>
      <c r="I6123" t="inlineStr">
        <is>
          <t>Open</t>
        </is>
      </c>
      <c r="M6123">
        <f>VLOOKUP(H6123,'Stage Order'!$A$2:$B$8,2,FALSE)</f>
        <v/>
      </c>
      <c r="N6123">
        <f>IF(G6123&lt;=1,"1. Under 1 hour",IF(G6123&lt;=24,"2. 1-24 hours",IF(G6123&lt;=72,"3. 1-3 days","4. Over 3 days")))</f>
        <v/>
      </c>
      <c r="O6123">
        <f>TEXT(B6123,"YYYY-MM")</f>
        <v/>
      </c>
    </row>
    <row r="6124">
      <c r="A6124" t="inlineStr">
        <is>
          <t>LD-306122</t>
        </is>
      </c>
      <c r="B6124" t="inlineStr">
        <is>
          <t>2025-01-17 08:18:00</t>
        </is>
      </c>
      <c r="C6124" t="inlineStr">
        <is>
          <t>Webinar</t>
        </is>
      </c>
      <c r="D6124" t="inlineStr">
        <is>
          <t>K-12 Math</t>
        </is>
      </c>
      <c r="E6124" t="inlineStr">
        <is>
          <t>West Region</t>
        </is>
      </c>
      <c r="F6124" t="inlineStr">
        <is>
          <t>Rep_08</t>
        </is>
      </c>
      <c r="G6124" t="n">
        <v>1.37</v>
      </c>
      <c r="H6124" t="inlineStr">
        <is>
          <t>Contacted</t>
        </is>
      </c>
      <c r="I6124" t="inlineStr">
        <is>
          <t>Open</t>
        </is>
      </c>
      <c r="M6124">
        <f>VLOOKUP(H6124,'Stage Order'!$A$2:$B$8,2,FALSE)</f>
        <v/>
      </c>
      <c r="N6124">
        <f>IF(G6124&lt;=1,"1. Under 1 hour",IF(G6124&lt;=24,"2. 1-24 hours",IF(G6124&lt;=72,"3. 1-3 days","4. Over 3 days")))</f>
        <v/>
      </c>
      <c r="O6124">
        <f>TEXT(B6124,"YYYY-MM")</f>
        <v/>
      </c>
    </row>
    <row r="6125">
      <c r="A6125" t="inlineStr">
        <is>
          <t>LD-306123</t>
        </is>
      </c>
      <c r="B6125" t="inlineStr">
        <is>
          <t>2025-09-12 12:08:00</t>
        </is>
      </c>
      <c r="C6125" t="inlineStr">
        <is>
          <t>Social Media</t>
        </is>
      </c>
      <c r="D6125" t="inlineStr">
        <is>
          <t>Coding for Kids</t>
        </is>
      </c>
      <c r="E6125" t="inlineStr">
        <is>
          <t>West Region</t>
        </is>
      </c>
      <c r="F6125" t="inlineStr">
        <is>
          <t>Rep_13</t>
        </is>
      </c>
      <c r="G6125" t="n">
        <v>1.99</v>
      </c>
      <c r="H6125" t="inlineStr">
        <is>
          <t>Contacted</t>
        </is>
      </c>
      <c r="I6125" t="inlineStr">
        <is>
          <t>Open</t>
        </is>
      </c>
      <c r="M6125">
        <f>VLOOKUP(H6125,'Stage Order'!$A$2:$B$8,2,FALSE)</f>
        <v/>
      </c>
      <c r="N6125">
        <f>IF(G6125&lt;=1,"1. Under 1 hour",IF(G6125&lt;=24,"2. 1-24 hours",IF(G6125&lt;=72,"3. 1-3 days","4. Over 3 days")))</f>
        <v/>
      </c>
      <c r="O6125">
        <f>TEXT(B6125,"YYYY-MM")</f>
        <v/>
      </c>
    </row>
    <row r="6126">
      <c r="A6126" t="inlineStr">
        <is>
          <t>LD-306124</t>
        </is>
      </c>
      <c r="B6126" t="inlineStr">
        <is>
          <t>2025-06-18 14:36:00</t>
        </is>
      </c>
      <c r="C6126" t="inlineStr">
        <is>
          <t>Organic Search</t>
        </is>
      </c>
      <c r="D6126" t="inlineStr">
        <is>
          <t>Language Learning</t>
        </is>
      </c>
      <c r="E6126" t="inlineStr">
        <is>
          <t>East Region</t>
        </is>
      </c>
      <c r="F6126" t="inlineStr">
        <is>
          <t>Rep_09</t>
        </is>
      </c>
      <c r="G6126" t="n">
        <v>13.55</v>
      </c>
      <c r="H6126" t="inlineStr">
        <is>
          <t>Contacted</t>
        </is>
      </c>
      <c r="I6126" t="inlineStr">
        <is>
          <t>Open</t>
        </is>
      </c>
      <c r="M6126">
        <f>VLOOKUP(H6126,'Stage Order'!$A$2:$B$8,2,FALSE)</f>
        <v/>
      </c>
      <c r="N6126">
        <f>IF(G6126&lt;=1,"1. Under 1 hour",IF(G6126&lt;=24,"2. 1-24 hours",IF(G6126&lt;=72,"3. 1-3 days","4. Over 3 days")))</f>
        <v/>
      </c>
      <c r="O6126">
        <f>TEXT(B6126,"YYYY-MM")</f>
        <v/>
      </c>
    </row>
    <row r="6127">
      <c r="A6127" t="inlineStr">
        <is>
          <t>LD-306125</t>
        </is>
      </c>
      <c r="B6127" t="inlineStr">
        <is>
          <t>2025-08-01 15:31:00</t>
        </is>
      </c>
      <c r="C6127" t="inlineStr">
        <is>
          <t>Social Media</t>
        </is>
      </c>
      <c r="D6127" t="inlineStr">
        <is>
          <t>Study Abroad Prep</t>
        </is>
      </c>
      <c r="E6127" t="inlineStr">
        <is>
          <t>North Region</t>
        </is>
      </c>
      <c r="F6127" t="inlineStr">
        <is>
          <t>Rep_06</t>
        </is>
      </c>
      <c r="G6127" t="n">
        <v>2.11</v>
      </c>
      <c r="H6127" t="inlineStr">
        <is>
          <t>Lead</t>
        </is>
      </c>
      <c r="I6127" t="inlineStr">
        <is>
          <t>Open</t>
        </is>
      </c>
      <c r="M6127">
        <f>VLOOKUP(H6127,'Stage Order'!$A$2:$B$8,2,FALSE)</f>
        <v/>
      </c>
      <c r="N6127">
        <f>IF(G6127&lt;=1,"1. Under 1 hour",IF(G6127&lt;=24,"2. 1-24 hours",IF(G6127&lt;=72,"3. 1-3 days","4. Over 3 days")))</f>
        <v/>
      </c>
      <c r="O6127">
        <f>TEXT(B6127,"YYYY-MM")</f>
        <v/>
      </c>
    </row>
    <row r="6128">
      <c r="A6128" t="inlineStr">
        <is>
          <t>LD-306126</t>
        </is>
      </c>
      <c r="B6128" t="inlineStr">
        <is>
          <t>2025-05-19 15:11:00</t>
        </is>
      </c>
      <c r="C6128" t="inlineStr">
        <is>
          <t>Social Media</t>
        </is>
      </c>
      <c r="D6128" t="inlineStr">
        <is>
          <t>Language Learning</t>
        </is>
      </c>
      <c r="E6128" t="inlineStr">
        <is>
          <t>West Region</t>
        </is>
      </c>
      <c r="F6128" t="inlineStr">
        <is>
          <t>Rep_08</t>
        </is>
      </c>
      <c r="G6128" t="n">
        <v>1.57</v>
      </c>
      <c r="H6128" t="inlineStr">
        <is>
          <t>Contacted</t>
        </is>
      </c>
      <c r="I6128" t="inlineStr">
        <is>
          <t>Open</t>
        </is>
      </c>
      <c r="M6128">
        <f>VLOOKUP(H6128,'Stage Order'!$A$2:$B$8,2,FALSE)</f>
        <v/>
      </c>
      <c r="N6128">
        <f>IF(G6128&lt;=1,"1. Under 1 hour",IF(G6128&lt;=24,"2. 1-24 hours",IF(G6128&lt;=72,"3. 1-3 days","4. Over 3 days")))</f>
        <v/>
      </c>
      <c r="O6128">
        <f>TEXT(B6128,"YYYY-MM")</f>
        <v/>
      </c>
    </row>
    <row r="6129">
      <c r="A6129" t="inlineStr">
        <is>
          <t>LD-306127</t>
        </is>
      </c>
      <c r="B6129" t="inlineStr">
        <is>
          <t>2025-01-09 13:10:00</t>
        </is>
      </c>
      <c r="C6129" t="inlineStr">
        <is>
          <t>Organic Search</t>
        </is>
      </c>
      <c r="D6129" t="inlineStr">
        <is>
          <t>Coding for Kids</t>
        </is>
      </c>
      <c r="E6129" t="inlineStr">
        <is>
          <t>South Region</t>
        </is>
      </c>
      <c r="F6129" t="inlineStr">
        <is>
          <t>Rep_02</t>
        </is>
      </c>
      <c r="G6129" t="n">
        <v>1.49</v>
      </c>
      <c r="H6129" t="inlineStr">
        <is>
          <t>Contacted</t>
        </is>
      </c>
      <c r="I6129" t="inlineStr">
        <is>
          <t>Open</t>
        </is>
      </c>
      <c r="M6129">
        <f>VLOOKUP(H6129,'Stage Order'!$A$2:$B$8,2,FALSE)</f>
        <v/>
      </c>
      <c r="N6129">
        <f>IF(G6129&lt;=1,"1. Under 1 hour",IF(G6129&lt;=24,"2. 1-24 hours",IF(G6129&lt;=72,"3. 1-3 days","4. Over 3 days")))</f>
        <v/>
      </c>
      <c r="O6129">
        <f>TEXT(B6129,"YYYY-MM")</f>
        <v/>
      </c>
    </row>
    <row r="6130">
      <c r="A6130" t="inlineStr">
        <is>
          <t>LD-306128</t>
        </is>
      </c>
      <c r="B6130" t="inlineStr">
        <is>
          <t>2025-04-23 08:43:00</t>
        </is>
      </c>
      <c r="C6130" t="inlineStr">
        <is>
          <t>Webinar</t>
        </is>
      </c>
      <c r="D6130" t="inlineStr">
        <is>
          <t>Competitive Exam Prep</t>
        </is>
      </c>
      <c r="E6130" t="inlineStr">
        <is>
          <t>West Region</t>
        </is>
      </c>
      <c r="F6130" t="inlineStr">
        <is>
          <t>Rep_03</t>
        </is>
      </c>
      <c r="G6130" t="n">
        <v>3.18</v>
      </c>
      <c r="H6130" t="inlineStr">
        <is>
          <t>Contacted</t>
        </is>
      </c>
      <c r="I6130" t="inlineStr">
        <is>
          <t>Open</t>
        </is>
      </c>
      <c r="M6130">
        <f>VLOOKUP(H6130,'Stage Order'!$A$2:$B$8,2,FALSE)</f>
        <v/>
      </c>
      <c r="N6130">
        <f>IF(G6130&lt;=1,"1. Under 1 hour",IF(G6130&lt;=24,"2. 1-24 hours",IF(G6130&lt;=72,"3. 1-3 days","4. Over 3 days")))</f>
        <v/>
      </c>
      <c r="O6130">
        <f>TEXT(B6130,"YYYY-MM")</f>
        <v/>
      </c>
    </row>
    <row r="6131">
      <c r="A6131" t="inlineStr">
        <is>
          <t>LD-306129</t>
        </is>
      </c>
      <c r="B6131" t="inlineStr">
        <is>
          <t>2025-04-07 14:57:00</t>
        </is>
      </c>
      <c r="C6131" t="inlineStr">
        <is>
          <t>Social Media</t>
        </is>
      </c>
      <c r="D6131" t="inlineStr">
        <is>
          <t>Language Learning</t>
        </is>
      </c>
      <c r="E6131" t="inlineStr">
        <is>
          <t>East Region</t>
        </is>
      </c>
      <c r="F6131" t="inlineStr">
        <is>
          <t>Rep_04</t>
        </is>
      </c>
      <c r="G6131" t="n">
        <v>2.86</v>
      </c>
      <c r="H6131" t="inlineStr">
        <is>
          <t>Contacted</t>
        </is>
      </c>
      <c r="I6131" t="inlineStr">
        <is>
          <t>Open</t>
        </is>
      </c>
      <c r="M6131">
        <f>VLOOKUP(H6131,'Stage Order'!$A$2:$B$8,2,FALSE)</f>
        <v/>
      </c>
      <c r="N6131">
        <f>IF(G6131&lt;=1,"1. Under 1 hour",IF(G6131&lt;=24,"2. 1-24 hours",IF(G6131&lt;=72,"3. 1-3 days","4. Over 3 days")))</f>
        <v/>
      </c>
      <c r="O6131">
        <f>TEXT(B6131,"YYYY-MM")</f>
        <v/>
      </c>
    </row>
    <row r="6132">
      <c r="A6132" t="inlineStr">
        <is>
          <t>LD-306130</t>
        </is>
      </c>
      <c r="B6132" t="inlineStr">
        <is>
          <t>2025-06-08 11:11:00</t>
        </is>
      </c>
      <c r="C6132" t="inlineStr">
        <is>
          <t>Social Media</t>
        </is>
      </c>
      <c r="D6132" t="inlineStr">
        <is>
          <t>Coding for Kids</t>
        </is>
      </c>
      <c r="E6132" t="inlineStr">
        <is>
          <t>North Region</t>
        </is>
      </c>
      <c r="F6132" t="inlineStr">
        <is>
          <t>Rep_06</t>
        </is>
      </c>
      <c r="G6132" t="n">
        <v>1.28</v>
      </c>
      <c r="H6132" t="inlineStr">
        <is>
          <t>Lead</t>
        </is>
      </c>
      <c r="I6132" t="inlineStr">
        <is>
          <t>Open</t>
        </is>
      </c>
      <c r="M6132">
        <f>VLOOKUP(H6132,'Stage Order'!$A$2:$B$8,2,FALSE)</f>
        <v/>
      </c>
      <c r="N6132">
        <f>IF(G6132&lt;=1,"1. Under 1 hour",IF(G6132&lt;=24,"2. 1-24 hours",IF(G6132&lt;=72,"3. 1-3 days","4. Over 3 days")))</f>
        <v/>
      </c>
      <c r="O6132">
        <f>TEXT(B6132,"YYYY-MM")</f>
        <v/>
      </c>
    </row>
    <row r="6133">
      <c r="A6133" t="inlineStr">
        <is>
          <t>LD-306131</t>
        </is>
      </c>
      <c r="B6133" t="inlineStr">
        <is>
          <t>2026-03-09 13:01:00</t>
        </is>
      </c>
      <c r="C6133" t="inlineStr">
        <is>
          <t>Paid Search</t>
        </is>
      </c>
      <c r="D6133" t="inlineStr">
        <is>
          <t>Competitive Exam Prep</t>
        </is>
      </c>
      <c r="E6133" t="inlineStr">
        <is>
          <t>West Region</t>
        </is>
      </c>
      <c r="F6133" t="inlineStr">
        <is>
          <t>Rep_03</t>
        </is>
      </c>
      <c r="G6133" t="n">
        <v>15.11</v>
      </c>
      <c r="H6133" t="inlineStr">
        <is>
          <t>Lead</t>
        </is>
      </c>
      <c r="I6133" t="inlineStr">
        <is>
          <t>Open</t>
        </is>
      </c>
      <c r="M6133">
        <f>VLOOKUP(H6133,'Stage Order'!$A$2:$B$8,2,FALSE)</f>
        <v/>
      </c>
      <c r="N6133">
        <f>IF(G6133&lt;=1,"1. Under 1 hour",IF(G6133&lt;=24,"2. 1-24 hours",IF(G6133&lt;=72,"3. 1-3 days","4. Over 3 days")))</f>
        <v/>
      </c>
      <c r="O6133">
        <f>TEXT(B6133,"YYYY-MM")</f>
        <v/>
      </c>
    </row>
    <row r="6134">
      <c r="A6134" t="inlineStr">
        <is>
          <t>LD-306132</t>
        </is>
      </c>
      <c r="B6134" t="inlineStr">
        <is>
          <t>2026-05-15 11:35:00</t>
        </is>
      </c>
      <c r="C6134" t="inlineStr">
        <is>
          <t>Social Media</t>
        </is>
      </c>
      <c r="D6134" t="inlineStr">
        <is>
          <t>Competitive Exam Prep</t>
        </is>
      </c>
      <c r="E6134" t="inlineStr">
        <is>
          <t>West Region</t>
        </is>
      </c>
      <c r="F6134" t="inlineStr">
        <is>
          <t>Rep_03</t>
        </is>
      </c>
      <c r="G6134" t="n">
        <v>12.06</v>
      </c>
      <c r="H6134" t="inlineStr">
        <is>
          <t>Contacted</t>
        </is>
      </c>
      <c r="I6134" t="inlineStr">
        <is>
          <t>Open</t>
        </is>
      </c>
      <c r="M6134">
        <f>VLOOKUP(H6134,'Stage Order'!$A$2:$B$8,2,FALSE)</f>
        <v/>
      </c>
      <c r="N6134">
        <f>IF(G6134&lt;=1,"1. Under 1 hour",IF(G6134&lt;=24,"2. 1-24 hours",IF(G6134&lt;=72,"3. 1-3 days","4. Over 3 days")))</f>
        <v/>
      </c>
      <c r="O6134">
        <f>TEXT(B6134,"YYYY-MM")</f>
        <v/>
      </c>
    </row>
    <row r="6135">
      <c r="A6135" t="inlineStr">
        <is>
          <t>LD-306133</t>
        </is>
      </c>
      <c r="B6135" t="inlineStr">
        <is>
          <t>2025-02-18 19:41:00</t>
        </is>
      </c>
      <c r="C6135" t="inlineStr">
        <is>
          <t>Social Media</t>
        </is>
      </c>
      <c r="D6135" t="inlineStr">
        <is>
          <t>Coding for Kids</t>
        </is>
      </c>
      <c r="E6135" t="inlineStr">
        <is>
          <t>South Region</t>
        </is>
      </c>
      <c r="F6135" t="inlineStr">
        <is>
          <t>Rep_12</t>
        </is>
      </c>
      <c r="G6135" t="n">
        <v>1.77</v>
      </c>
      <c r="H6135" t="inlineStr">
        <is>
          <t>Negotiation</t>
        </is>
      </c>
      <c r="I6135" t="inlineStr">
        <is>
          <t>Lost</t>
        </is>
      </c>
      <c r="J6135" t="inlineStr">
        <is>
          <t>No Response / Ghosted</t>
        </is>
      </c>
      <c r="K6135" t="n">
        <v>652.74</v>
      </c>
      <c r="L6135" t="inlineStr">
        <is>
          <t>2025-03-30 21:59:36.156441</t>
        </is>
      </c>
      <c r="M6135">
        <f>VLOOKUP(H6135,'Stage Order'!$A$2:$B$8,2,FALSE)</f>
        <v/>
      </c>
      <c r="N6135">
        <f>IF(G6135&lt;=1,"1. Under 1 hour",IF(G6135&lt;=24,"2. 1-24 hours",IF(G6135&lt;=72,"3. 1-3 days","4. Over 3 days")))</f>
        <v/>
      </c>
      <c r="O6135">
        <f>TEXT(B6135,"YYYY-MM")</f>
        <v/>
      </c>
    </row>
    <row r="6136">
      <c r="A6136" t="inlineStr">
        <is>
          <t>LD-306134</t>
        </is>
      </c>
      <c r="B6136" t="inlineStr">
        <is>
          <t>2025-09-12 07:57:00</t>
        </is>
      </c>
      <c r="C6136" t="inlineStr">
        <is>
          <t>Partner Channel</t>
        </is>
      </c>
      <c r="D6136" t="inlineStr">
        <is>
          <t>Competitive Exam Prep</t>
        </is>
      </c>
      <c r="E6136" t="inlineStr">
        <is>
          <t>North Region</t>
        </is>
      </c>
      <c r="F6136" t="inlineStr">
        <is>
          <t>Rep_06</t>
        </is>
      </c>
      <c r="G6136" t="n">
        <v>2.47</v>
      </c>
      <c r="H6136" t="inlineStr">
        <is>
          <t>Contacted</t>
        </is>
      </c>
      <c r="I6136" t="inlineStr">
        <is>
          <t>Open</t>
        </is>
      </c>
      <c r="M6136">
        <f>VLOOKUP(H6136,'Stage Order'!$A$2:$B$8,2,FALSE)</f>
        <v/>
      </c>
      <c r="N6136">
        <f>IF(G6136&lt;=1,"1. Under 1 hour",IF(G6136&lt;=24,"2. 1-24 hours",IF(G6136&lt;=72,"3. 1-3 days","4. Over 3 days")))</f>
        <v/>
      </c>
      <c r="O6136">
        <f>TEXT(B6136,"YYYY-MM")</f>
        <v/>
      </c>
    </row>
    <row r="6137">
      <c r="A6137" t="inlineStr">
        <is>
          <t>LD-306135</t>
        </is>
      </c>
      <c r="B6137" t="inlineStr">
        <is>
          <t>2025-01-06 14:51:00</t>
        </is>
      </c>
      <c r="C6137" t="inlineStr">
        <is>
          <t>Paid Search</t>
        </is>
      </c>
      <c r="D6137" t="inlineStr">
        <is>
          <t>K-12 Math</t>
        </is>
      </c>
      <c r="E6137" t="inlineStr">
        <is>
          <t>East Region</t>
        </is>
      </c>
      <c r="F6137" t="inlineStr">
        <is>
          <t>Rep_09</t>
        </is>
      </c>
      <c r="G6137" t="n">
        <v>3.1</v>
      </c>
      <c r="H6137" t="inlineStr">
        <is>
          <t>Contacted</t>
        </is>
      </c>
      <c r="I6137" t="inlineStr">
        <is>
          <t>Open</t>
        </is>
      </c>
      <c r="M6137">
        <f>VLOOKUP(H6137,'Stage Order'!$A$2:$B$8,2,FALSE)</f>
        <v/>
      </c>
      <c r="N6137">
        <f>IF(G6137&lt;=1,"1. Under 1 hour",IF(G6137&lt;=24,"2. 1-24 hours",IF(G6137&lt;=72,"3. 1-3 days","4. Over 3 days")))</f>
        <v/>
      </c>
      <c r="O6137">
        <f>TEXT(B6137,"YYYY-MM")</f>
        <v/>
      </c>
    </row>
    <row r="6138">
      <c r="A6138" t="inlineStr">
        <is>
          <t>LD-306136</t>
        </is>
      </c>
      <c r="B6138" t="inlineStr">
        <is>
          <t>2025-09-18 08:07:00</t>
        </is>
      </c>
      <c r="C6138" t="inlineStr">
        <is>
          <t>Organic Search</t>
        </is>
      </c>
      <c r="D6138" t="inlineStr">
        <is>
          <t>Coding for Kids</t>
        </is>
      </c>
      <c r="E6138" t="inlineStr">
        <is>
          <t>West Region</t>
        </is>
      </c>
      <c r="F6138" t="inlineStr">
        <is>
          <t>Rep_13</t>
        </is>
      </c>
      <c r="G6138" t="n">
        <v>1.65</v>
      </c>
      <c r="H6138" t="inlineStr">
        <is>
          <t>Contacted</t>
        </is>
      </c>
      <c r="I6138" t="inlineStr">
        <is>
          <t>Open</t>
        </is>
      </c>
      <c r="M6138">
        <f>VLOOKUP(H6138,'Stage Order'!$A$2:$B$8,2,FALSE)</f>
        <v/>
      </c>
      <c r="N6138">
        <f>IF(G6138&lt;=1,"1. Under 1 hour",IF(G6138&lt;=24,"2. 1-24 hours",IF(G6138&lt;=72,"3. 1-3 days","4. Over 3 days")))</f>
        <v/>
      </c>
      <c r="O6138">
        <f>TEXT(B6138,"YYYY-MM")</f>
        <v/>
      </c>
    </row>
    <row r="6139">
      <c r="A6139" t="inlineStr">
        <is>
          <t>LD-306137</t>
        </is>
      </c>
      <c r="B6139" t="inlineStr">
        <is>
          <t>2025-11-05 12:40:00</t>
        </is>
      </c>
      <c r="C6139" t="inlineStr">
        <is>
          <t>Social Media</t>
        </is>
      </c>
      <c r="D6139" t="inlineStr">
        <is>
          <t>K-12 Math</t>
        </is>
      </c>
      <c r="E6139" t="inlineStr">
        <is>
          <t>South Region</t>
        </is>
      </c>
      <c r="F6139" t="inlineStr">
        <is>
          <t>Rep_02</t>
        </is>
      </c>
      <c r="G6139" t="n">
        <v>0.97</v>
      </c>
      <c r="H6139" t="inlineStr">
        <is>
          <t>Contacted</t>
        </is>
      </c>
      <c r="I6139" t="inlineStr">
        <is>
          <t>Open</t>
        </is>
      </c>
      <c r="M6139">
        <f>VLOOKUP(H6139,'Stage Order'!$A$2:$B$8,2,FALSE)</f>
        <v/>
      </c>
      <c r="N6139">
        <f>IF(G6139&lt;=1,"1. Under 1 hour",IF(G6139&lt;=24,"2. 1-24 hours",IF(G6139&lt;=72,"3. 1-3 days","4. Over 3 days")))</f>
        <v/>
      </c>
      <c r="O6139">
        <f>TEXT(B6139,"YYYY-MM")</f>
        <v/>
      </c>
    </row>
    <row r="6140">
      <c r="A6140" t="inlineStr">
        <is>
          <t>LD-306138</t>
        </is>
      </c>
      <c r="B6140" t="inlineStr">
        <is>
          <t>2025-06-10 12:40:00</t>
        </is>
      </c>
      <c r="C6140" t="inlineStr">
        <is>
          <t>Organic Search</t>
        </is>
      </c>
      <c r="D6140" t="inlineStr">
        <is>
          <t>Coding for Kids</t>
        </is>
      </c>
      <c r="E6140" t="inlineStr">
        <is>
          <t>North Region</t>
        </is>
      </c>
      <c r="F6140" t="inlineStr">
        <is>
          <t>Rep_01</t>
        </is>
      </c>
      <c r="G6140" t="n">
        <v>1.91</v>
      </c>
      <c r="H6140" t="inlineStr">
        <is>
          <t>Demo Completed</t>
        </is>
      </c>
      <c r="I6140" t="inlineStr">
        <is>
          <t>Lost</t>
        </is>
      </c>
      <c r="J6140" t="inlineStr">
        <is>
          <t>Budget Not Approved</t>
        </is>
      </c>
      <c r="K6140" t="n">
        <v>568.45</v>
      </c>
      <c r="L6140" t="inlineStr">
        <is>
          <t>2025-07-07 21:48:26.509289</t>
        </is>
      </c>
      <c r="M6140">
        <f>VLOOKUP(H6140,'Stage Order'!$A$2:$B$8,2,FALSE)</f>
        <v/>
      </c>
      <c r="N6140">
        <f>IF(G6140&lt;=1,"1. Under 1 hour",IF(G6140&lt;=24,"2. 1-24 hours",IF(G6140&lt;=72,"3. 1-3 days","4. Over 3 days")))</f>
        <v/>
      </c>
      <c r="O6140">
        <f>TEXT(B6140,"YYYY-MM")</f>
        <v/>
      </c>
    </row>
    <row r="6141">
      <c r="A6141" t="inlineStr">
        <is>
          <t>LD-306139</t>
        </is>
      </c>
      <c r="B6141" t="inlineStr">
        <is>
          <t>2025-05-12 18:26:00</t>
        </is>
      </c>
      <c r="C6141" t="inlineStr">
        <is>
          <t>Webinar</t>
        </is>
      </c>
      <c r="D6141" t="inlineStr">
        <is>
          <t>K-12 Math</t>
        </is>
      </c>
      <c r="E6141" t="inlineStr">
        <is>
          <t>East Region</t>
        </is>
      </c>
      <c r="F6141" t="inlineStr">
        <is>
          <t>Rep_04</t>
        </is>
      </c>
      <c r="G6141" t="n">
        <v>0.71</v>
      </c>
      <c r="H6141" t="inlineStr">
        <is>
          <t>Proposal Sent</t>
        </is>
      </c>
      <c r="I6141" t="inlineStr">
        <is>
          <t>Lost</t>
        </is>
      </c>
      <c r="J6141" t="inlineStr">
        <is>
          <t>No Response / Ghosted</t>
        </is>
      </c>
      <c r="K6141" t="n">
        <v>449.6</v>
      </c>
      <c r="L6141" t="inlineStr">
        <is>
          <t>2025-06-24 22:18:05.536953</t>
        </is>
      </c>
      <c r="M6141">
        <f>VLOOKUP(H6141,'Stage Order'!$A$2:$B$8,2,FALSE)</f>
        <v/>
      </c>
      <c r="N6141">
        <f>IF(G6141&lt;=1,"1. Under 1 hour",IF(G6141&lt;=24,"2. 1-24 hours",IF(G6141&lt;=72,"3. 1-3 days","4. Over 3 days")))</f>
        <v/>
      </c>
      <c r="O6141">
        <f>TEXT(B6141,"YYYY-MM")</f>
        <v/>
      </c>
    </row>
    <row r="6142">
      <c r="A6142" t="inlineStr">
        <is>
          <t>LD-306140</t>
        </is>
      </c>
      <c r="B6142" t="inlineStr">
        <is>
          <t>2026-01-20 19:10:00</t>
        </is>
      </c>
      <c r="C6142" t="inlineStr">
        <is>
          <t>Paid Search</t>
        </is>
      </c>
      <c r="D6142" t="inlineStr">
        <is>
          <t>K-12 Math</t>
        </is>
      </c>
      <c r="E6142" t="inlineStr">
        <is>
          <t>East Region</t>
        </is>
      </c>
      <c r="F6142" t="inlineStr">
        <is>
          <t>Rep_14</t>
        </is>
      </c>
      <c r="G6142" t="n">
        <v>1.9</v>
      </c>
      <c r="H6142" t="inlineStr">
        <is>
          <t>Contacted</t>
        </is>
      </c>
      <c r="I6142" t="inlineStr">
        <is>
          <t>Open</t>
        </is>
      </c>
      <c r="M6142">
        <f>VLOOKUP(H6142,'Stage Order'!$A$2:$B$8,2,FALSE)</f>
        <v/>
      </c>
      <c r="N6142">
        <f>IF(G6142&lt;=1,"1. Under 1 hour",IF(G6142&lt;=24,"2. 1-24 hours",IF(G6142&lt;=72,"3. 1-3 days","4. Over 3 days")))</f>
        <v/>
      </c>
      <c r="O6142">
        <f>TEXT(B6142,"YYYY-MM")</f>
        <v/>
      </c>
    </row>
    <row r="6143">
      <c r="A6143" t="inlineStr">
        <is>
          <t>LD-306141</t>
        </is>
      </c>
      <c r="B6143" t="inlineStr">
        <is>
          <t>2025-10-15 13:48:00</t>
        </is>
      </c>
      <c r="C6143" t="inlineStr">
        <is>
          <t>Social Media</t>
        </is>
      </c>
      <c r="D6143" t="inlineStr">
        <is>
          <t>K-12 Math</t>
        </is>
      </c>
      <c r="E6143" t="inlineStr">
        <is>
          <t>North Region</t>
        </is>
      </c>
      <c r="F6143" t="inlineStr">
        <is>
          <t>Rep_06</t>
        </is>
      </c>
      <c r="G6143" t="n">
        <v>5.91</v>
      </c>
      <c r="H6143" t="inlineStr">
        <is>
          <t>Lead</t>
        </is>
      </c>
      <c r="I6143" t="inlineStr">
        <is>
          <t>Open</t>
        </is>
      </c>
      <c r="M6143">
        <f>VLOOKUP(H6143,'Stage Order'!$A$2:$B$8,2,FALSE)</f>
        <v/>
      </c>
      <c r="N6143">
        <f>IF(G6143&lt;=1,"1. Under 1 hour",IF(G6143&lt;=24,"2. 1-24 hours",IF(G6143&lt;=72,"3. 1-3 days","4. Over 3 days")))</f>
        <v/>
      </c>
      <c r="O6143">
        <f>TEXT(B6143,"YYYY-MM")</f>
        <v/>
      </c>
    </row>
    <row r="6144">
      <c r="A6144" t="inlineStr">
        <is>
          <t>LD-306142</t>
        </is>
      </c>
      <c r="B6144" t="inlineStr">
        <is>
          <t>2025-02-03 20:26:00</t>
        </is>
      </c>
      <c r="C6144" t="inlineStr">
        <is>
          <t>Referral</t>
        </is>
      </c>
      <c r="D6144" t="inlineStr">
        <is>
          <t>K-12 Math</t>
        </is>
      </c>
      <c r="E6144" t="inlineStr">
        <is>
          <t>West Region</t>
        </is>
      </c>
      <c r="F6144" t="inlineStr">
        <is>
          <t>Rep_13</t>
        </is>
      </c>
      <c r="G6144" t="n">
        <v>6.8</v>
      </c>
      <c r="H6144" t="inlineStr">
        <is>
          <t>Closed</t>
        </is>
      </c>
      <c r="I6144" t="inlineStr">
        <is>
          <t>Won</t>
        </is>
      </c>
      <c r="K6144" t="n">
        <v>564.65</v>
      </c>
      <c r="L6144" t="inlineStr">
        <is>
          <t>2025-03-19 06:41:42.766233</t>
        </is>
      </c>
      <c r="M6144">
        <f>VLOOKUP(H6144,'Stage Order'!$A$2:$B$8,2,FALSE)</f>
        <v/>
      </c>
      <c r="N6144">
        <f>IF(G6144&lt;=1,"1. Under 1 hour",IF(G6144&lt;=24,"2. 1-24 hours",IF(G6144&lt;=72,"3. 1-3 days","4. Over 3 days")))</f>
        <v/>
      </c>
      <c r="O6144">
        <f>TEXT(B6144,"YYYY-MM")</f>
        <v/>
      </c>
    </row>
    <row r="6145">
      <c r="A6145" t="inlineStr">
        <is>
          <t>LD-306143</t>
        </is>
      </c>
      <c r="B6145" t="inlineStr">
        <is>
          <t>2025-01-27 18:34:00</t>
        </is>
      </c>
      <c r="C6145" t="inlineStr">
        <is>
          <t>Organic Search</t>
        </is>
      </c>
      <c r="D6145" t="inlineStr">
        <is>
          <t>Competitive Exam Prep</t>
        </is>
      </c>
      <c r="E6145" t="inlineStr">
        <is>
          <t>North Region</t>
        </is>
      </c>
      <c r="F6145" t="inlineStr">
        <is>
          <t>Rep_01</t>
        </is>
      </c>
      <c r="G6145" t="n">
        <v>1.67</v>
      </c>
      <c r="H6145" t="inlineStr">
        <is>
          <t>Contacted</t>
        </is>
      </c>
      <c r="I6145" t="inlineStr">
        <is>
          <t>Open</t>
        </is>
      </c>
      <c r="M6145">
        <f>VLOOKUP(H6145,'Stage Order'!$A$2:$B$8,2,FALSE)</f>
        <v/>
      </c>
      <c r="N6145">
        <f>IF(G6145&lt;=1,"1. Under 1 hour",IF(G6145&lt;=24,"2. 1-24 hours",IF(G6145&lt;=72,"3. 1-3 days","4. Over 3 days")))</f>
        <v/>
      </c>
      <c r="O6145">
        <f>TEXT(B6145,"YYYY-MM")</f>
        <v/>
      </c>
    </row>
    <row r="6146">
      <c r="A6146" t="inlineStr">
        <is>
          <t>LD-306144</t>
        </is>
      </c>
      <c r="B6146" t="inlineStr">
        <is>
          <t>2025-12-12 12:09:00</t>
        </is>
      </c>
      <c r="C6146" t="inlineStr">
        <is>
          <t>Partner Channel</t>
        </is>
      </c>
      <c r="D6146" t="inlineStr">
        <is>
          <t>Study Abroad Prep</t>
        </is>
      </c>
      <c r="E6146" t="inlineStr">
        <is>
          <t>East Region</t>
        </is>
      </c>
      <c r="F6146" t="inlineStr">
        <is>
          <t>Rep_14</t>
        </is>
      </c>
      <c r="G6146" t="n">
        <v>3.97</v>
      </c>
      <c r="H6146" t="inlineStr">
        <is>
          <t>Contacted</t>
        </is>
      </c>
      <c r="I6146" t="inlineStr">
        <is>
          <t>Open</t>
        </is>
      </c>
      <c r="M6146">
        <f>VLOOKUP(H6146,'Stage Order'!$A$2:$B$8,2,FALSE)</f>
        <v/>
      </c>
      <c r="N6146">
        <f>IF(G6146&lt;=1,"1. Under 1 hour",IF(G6146&lt;=24,"2. 1-24 hours",IF(G6146&lt;=72,"3. 1-3 days","4. Over 3 days")))</f>
        <v/>
      </c>
      <c r="O6146">
        <f>TEXT(B6146,"YYYY-MM")</f>
        <v/>
      </c>
    </row>
    <row r="6147">
      <c r="A6147" t="inlineStr">
        <is>
          <t>LD-306145</t>
        </is>
      </c>
      <c r="B6147" t="inlineStr">
        <is>
          <t>2025-10-04 14:45:00</t>
        </is>
      </c>
      <c r="C6147" t="inlineStr">
        <is>
          <t>Webinar</t>
        </is>
      </c>
      <c r="D6147" t="inlineStr">
        <is>
          <t>Language Learning</t>
        </is>
      </c>
      <c r="E6147" t="inlineStr">
        <is>
          <t>East Region</t>
        </is>
      </c>
      <c r="F6147" t="inlineStr">
        <is>
          <t>Rep_14</t>
        </is>
      </c>
      <c r="G6147" t="n">
        <v>4.01</v>
      </c>
      <c r="H6147" t="inlineStr">
        <is>
          <t>Closed</t>
        </is>
      </c>
      <c r="I6147" t="inlineStr">
        <is>
          <t>Won</t>
        </is>
      </c>
      <c r="K6147" t="n">
        <v>331.67</v>
      </c>
      <c r="L6147" t="inlineStr">
        <is>
          <t>2025-11-07 08:48:50.913645</t>
        </is>
      </c>
      <c r="M6147">
        <f>VLOOKUP(H6147,'Stage Order'!$A$2:$B$8,2,FALSE)</f>
        <v/>
      </c>
      <c r="N6147">
        <f>IF(G6147&lt;=1,"1. Under 1 hour",IF(G6147&lt;=24,"2. 1-24 hours",IF(G6147&lt;=72,"3. 1-3 days","4. Over 3 days")))</f>
        <v/>
      </c>
      <c r="O6147">
        <f>TEXT(B6147,"YYYY-MM")</f>
        <v/>
      </c>
    </row>
    <row r="6148">
      <c r="A6148" t="inlineStr">
        <is>
          <t>LD-306146</t>
        </is>
      </c>
      <c r="B6148" t="inlineStr">
        <is>
          <t>2026-03-14 12:39:00</t>
        </is>
      </c>
      <c r="C6148" t="inlineStr">
        <is>
          <t>Referral</t>
        </is>
      </c>
      <c r="D6148" t="inlineStr">
        <is>
          <t>K-12 Math</t>
        </is>
      </c>
      <c r="E6148" t="inlineStr">
        <is>
          <t>West Region</t>
        </is>
      </c>
      <c r="F6148" t="inlineStr">
        <is>
          <t>Rep_08</t>
        </is>
      </c>
      <c r="G6148" t="n">
        <v>0.42</v>
      </c>
      <c r="H6148" t="inlineStr">
        <is>
          <t>Closed</t>
        </is>
      </c>
      <c r="I6148" t="inlineStr">
        <is>
          <t>Won</t>
        </is>
      </c>
      <c r="K6148" t="n">
        <v>467.45</v>
      </c>
      <c r="L6148" t="inlineStr">
        <is>
          <t>2026-05-03 16:40:26.431470</t>
        </is>
      </c>
      <c r="M6148">
        <f>VLOOKUP(H6148,'Stage Order'!$A$2:$B$8,2,FALSE)</f>
        <v/>
      </c>
      <c r="N6148">
        <f>IF(G6148&lt;=1,"1. Under 1 hour",IF(G6148&lt;=24,"2. 1-24 hours",IF(G6148&lt;=72,"3. 1-3 days","4. Over 3 days")))</f>
        <v/>
      </c>
      <c r="O6148">
        <f>TEXT(B6148,"YYYY-MM")</f>
        <v/>
      </c>
    </row>
    <row r="6149">
      <c r="A6149" t="inlineStr">
        <is>
          <t>LD-306147</t>
        </is>
      </c>
      <c r="B6149" t="inlineStr">
        <is>
          <t>2025-12-22 20:48:00</t>
        </is>
      </c>
      <c r="C6149" t="inlineStr">
        <is>
          <t>Paid Search</t>
        </is>
      </c>
      <c r="D6149" t="inlineStr">
        <is>
          <t>K-12 Math</t>
        </is>
      </c>
      <c r="E6149" t="inlineStr">
        <is>
          <t>South Region</t>
        </is>
      </c>
      <c r="F6149" t="inlineStr">
        <is>
          <t>Rep_07</t>
        </is>
      </c>
      <c r="G6149" t="n">
        <v>8.630000000000001</v>
      </c>
      <c r="H6149" t="inlineStr">
        <is>
          <t>Contacted</t>
        </is>
      </c>
      <c r="I6149" t="inlineStr">
        <is>
          <t>Open</t>
        </is>
      </c>
      <c r="M6149">
        <f>VLOOKUP(H6149,'Stage Order'!$A$2:$B$8,2,FALSE)</f>
        <v/>
      </c>
      <c r="N6149">
        <f>IF(G6149&lt;=1,"1. Under 1 hour",IF(G6149&lt;=24,"2. 1-24 hours",IF(G6149&lt;=72,"3. 1-3 days","4. Over 3 days")))</f>
        <v/>
      </c>
      <c r="O6149">
        <f>TEXT(B6149,"YYYY-MM")</f>
        <v/>
      </c>
    </row>
    <row r="6150">
      <c r="A6150" t="inlineStr">
        <is>
          <t>LD-306148</t>
        </is>
      </c>
      <c r="B6150" t="inlineStr">
        <is>
          <t>2025-12-19 18:43:00</t>
        </is>
      </c>
      <c r="C6150" t="inlineStr">
        <is>
          <t>Organic Search</t>
        </is>
      </c>
      <c r="D6150" t="inlineStr">
        <is>
          <t>K-12 Math</t>
        </is>
      </c>
      <c r="E6150" t="inlineStr">
        <is>
          <t>West Region</t>
        </is>
      </c>
      <c r="F6150" t="inlineStr">
        <is>
          <t>Rep_08</t>
        </is>
      </c>
      <c r="G6150" t="n">
        <v>0.59</v>
      </c>
      <c r="H6150" t="inlineStr">
        <is>
          <t>Contacted</t>
        </is>
      </c>
      <c r="I6150" t="inlineStr">
        <is>
          <t>Open</t>
        </is>
      </c>
      <c r="M6150">
        <f>VLOOKUP(H6150,'Stage Order'!$A$2:$B$8,2,FALSE)</f>
        <v/>
      </c>
      <c r="N6150">
        <f>IF(G6150&lt;=1,"1. Under 1 hour",IF(G6150&lt;=24,"2. 1-24 hours",IF(G6150&lt;=72,"3. 1-3 days","4. Over 3 days")))</f>
        <v/>
      </c>
      <c r="O6150">
        <f>TEXT(B6150,"YYYY-MM")</f>
        <v/>
      </c>
    </row>
    <row r="6151">
      <c r="A6151" t="inlineStr">
        <is>
          <t>LD-306149</t>
        </is>
      </c>
      <c r="B6151" t="inlineStr">
        <is>
          <t>2025-06-21 17:30:00</t>
        </is>
      </c>
      <c r="C6151" t="inlineStr">
        <is>
          <t>Organic Search</t>
        </is>
      </c>
      <c r="D6151" t="inlineStr">
        <is>
          <t>Coding for Kids</t>
        </is>
      </c>
      <c r="E6151" t="inlineStr">
        <is>
          <t>South Region</t>
        </is>
      </c>
      <c r="F6151" t="inlineStr">
        <is>
          <t>Rep_07</t>
        </is>
      </c>
      <c r="G6151" t="n">
        <v>1.81</v>
      </c>
      <c r="H6151" t="inlineStr">
        <is>
          <t>Demo Completed</t>
        </is>
      </c>
      <c r="I6151" t="inlineStr">
        <is>
          <t>Lost</t>
        </is>
      </c>
      <c r="J6151" t="inlineStr">
        <is>
          <t>Went With Competitor</t>
        </is>
      </c>
      <c r="K6151" t="n">
        <v>764.46</v>
      </c>
      <c r="L6151" t="inlineStr">
        <is>
          <t>2025-07-07 12:33:44.220825</t>
        </is>
      </c>
      <c r="M6151">
        <f>VLOOKUP(H6151,'Stage Order'!$A$2:$B$8,2,FALSE)</f>
        <v/>
      </c>
      <c r="N6151">
        <f>IF(G6151&lt;=1,"1. Under 1 hour",IF(G6151&lt;=24,"2. 1-24 hours",IF(G6151&lt;=72,"3. 1-3 days","4. Over 3 days")))</f>
        <v/>
      </c>
      <c r="O6151">
        <f>TEXT(B6151,"YYYY-MM")</f>
        <v/>
      </c>
    </row>
    <row r="6152">
      <c r="A6152" t="inlineStr">
        <is>
          <t>LD-306150</t>
        </is>
      </c>
      <c r="B6152" t="inlineStr">
        <is>
          <t>2025-09-08 10:02:00</t>
        </is>
      </c>
      <c r="C6152" t="inlineStr">
        <is>
          <t>Paid Search</t>
        </is>
      </c>
      <c r="D6152" t="inlineStr">
        <is>
          <t>K-12 Math</t>
        </is>
      </c>
      <c r="E6152" t="inlineStr">
        <is>
          <t>North Region</t>
        </is>
      </c>
      <c r="F6152" t="inlineStr">
        <is>
          <t>Rep_01</t>
        </is>
      </c>
      <c r="G6152" t="n">
        <v>2.47</v>
      </c>
      <c r="H6152" t="inlineStr">
        <is>
          <t>Contacted</t>
        </is>
      </c>
      <c r="I6152" t="inlineStr">
        <is>
          <t>Open</t>
        </is>
      </c>
      <c r="M6152">
        <f>VLOOKUP(H6152,'Stage Order'!$A$2:$B$8,2,FALSE)</f>
        <v/>
      </c>
      <c r="N6152">
        <f>IF(G6152&lt;=1,"1. Under 1 hour",IF(G6152&lt;=24,"2. 1-24 hours",IF(G6152&lt;=72,"3. 1-3 days","4. Over 3 days")))</f>
        <v/>
      </c>
      <c r="O6152">
        <f>TEXT(B6152,"YYYY-MM")</f>
        <v/>
      </c>
    </row>
    <row r="6153">
      <c r="A6153" t="inlineStr">
        <is>
          <t>LD-306151</t>
        </is>
      </c>
      <c r="B6153" t="inlineStr">
        <is>
          <t>2026-04-20 10:27:00</t>
        </is>
      </c>
      <c r="C6153" t="inlineStr">
        <is>
          <t>Cold Outreach</t>
        </is>
      </c>
      <c r="D6153" t="inlineStr">
        <is>
          <t>Competitive Exam Prep</t>
        </is>
      </c>
      <c r="E6153" t="inlineStr">
        <is>
          <t>South Region</t>
        </is>
      </c>
      <c r="F6153" t="inlineStr">
        <is>
          <t>Rep_12</t>
        </is>
      </c>
      <c r="G6153" t="n">
        <v>2.86</v>
      </c>
      <c r="H6153" t="inlineStr">
        <is>
          <t>Lead</t>
        </is>
      </c>
      <c r="I6153" t="inlineStr">
        <is>
          <t>Open</t>
        </is>
      </c>
      <c r="M6153">
        <f>VLOOKUP(H6153,'Stage Order'!$A$2:$B$8,2,FALSE)</f>
        <v/>
      </c>
      <c r="N6153">
        <f>IF(G6153&lt;=1,"1. Under 1 hour",IF(G6153&lt;=24,"2. 1-24 hours",IF(G6153&lt;=72,"3. 1-3 days","4. Over 3 days")))</f>
        <v/>
      </c>
      <c r="O6153">
        <f>TEXT(B6153,"YYYY-MM")</f>
        <v/>
      </c>
    </row>
    <row r="6154">
      <c r="A6154" t="inlineStr">
        <is>
          <t>LD-306152</t>
        </is>
      </c>
      <c r="B6154" t="inlineStr">
        <is>
          <t>2025-11-23 19:53:00</t>
        </is>
      </c>
      <c r="C6154" t="inlineStr">
        <is>
          <t>Webinar</t>
        </is>
      </c>
      <c r="D6154" t="inlineStr">
        <is>
          <t>Language Learning</t>
        </is>
      </c>
      <c r="E6154" t="inlineStr">
        <is>
          <t>West Region</t>
        </is>
      </c>
      <c r="F6154" t="inlineStr">
        <is>
          <t>Rep_13</t>
        </is>
      </c>
      <c r="G6154" t="n">
        <v>11.42</v>
      </c>
      <c r="H6154" t="inlineStr">
        <is>
          <t>Closed</t>
        </is>
      </c>
      <c r="I6154" t="inlineStr">
        <is>
          <t>Won</t>
        </is>
      </c>
      <c r="K6154" t="n">
        <v>303.27</v>
      </c>
      <c r="L6154" t="inlineStr">
        <is>
          <t>2026-01-03 16:05:11.690015</t>
        </is>
      </c>
      <c r="M6154">
        <f>VLOOKUP(H6154,'Stage Order'!$A$2:$B$8,2,FALSE)</f>
        <v/>
      </c>
      <c r="N6154">
        <f>IF(G6154&lt;=1,"1. Under 1 hour",IF(G6154&lt;=24,"2. 1-24 hours",IF(G6154&lt;=72,"3. 1-3 days","4. Over 3 days")))</f>
        <v/>
      </c>
      <c r="O6154">
        <f>TEXT(B6154,"YYYY-MM")</f>
        <v/>
      </c>
    </row>
    <row r="6155">
      <c r="A6155" t="inlineStr">
        <is>
          <t>LD-306153</t>
        </is>
      </c>
      <c r="B6155" t="inlineStr">
        <is>
          <t>2025-07-24 15:15:00</t>
        </is>
      </c>
      <c r="C6155" t="inlineStr">
        <is>
          <t>Social Media</t>
        </is>
      </c>
      <c r="D6155" t="inlineStr">
        <is>
          <t>K-12 Math</t>
        </is>
      </c>
      <c r="E6155" t="inlineStr">
        <is>
          <t>East Region</t>
        </is>
      </c>
      <c r="F6155" t="inlineStr">
        <is>
          <t>Rep_09</t>
        </is>
      </c>
      <c r="G6155" t="n">
        <v>2.57</v>
      </c>
      <c r="H6155" t="inlineStr">
        <is>
          <t>Lead</t>
        </is>
      </c>
      <c r="I6155" t="inlineStr">
        <is>
          <t>Open</t>
        </is>
      </c>
      <c r="M6155">
        <f>VLOOKUP(H6155,'Stage Order'!$A$2:$B$8,2,FALSE)</f>
        <v/>
      </c>
      <c r="N6155">
        <f>IF(G6155&lt;=1,"1. Under 1 hour",IF(G6155&lt;=24,"2. 1-24 hours",IF(G6155&lt;=72,"3. 1-3 days","4. Over 3 days")))</f>
        <v/>
      </c>
      <c r="O6155">
        <f>TEXT(B6155,"YYYY-MM")</f>
        <v/>
      </c>
    </row>
    <row r="6156">
      <c r="A6156" t="inlineStr">
        <is>
          <t>LD-306154</t>
        </is>
      </c>
      <c r="B6156" t="inlineStr">
        <is>
          <t>2025-11-08 19:35:00</t>
        </is>
      </c>
      <c r="C6156" t="inlineStr">
        <is>
          <t>Social Media</t>
        </is>
      </c>
      <c r="D6156" t="inlineStr">
        <is>
          <t>Coding for Kids</t>
        </is>
      </c>
      <c r="E6156" t="inlineStr">
        <is>
          <t>West Region</t>
        </is>
      </c>
      <c r="F6156" t="inlineStr">
        <is>
          <t>Rep_08</t>
        </is>
      </c>
      <c r="G6156" t="n">
        <v>16.17</v>
      </c>
      <c r="H6156" t="inlineStr">
        <is>
          <t>Lead</t>
        </is>
      </c>
      <c r="I6156" t="inlineStr">
        <is>
          <t>Open</t>
        </is>
      </c>
      <c r="M6156">
        <f>VLOOKUP(H6156,'Stage Order'!$A$2:$B$8,2,FALSE)</f>
        <v/>
      </c>
      <c r="N6156">
        <f>IF(G6156&lt;=1,"1. Under 1 hour",IF(G6156&lt;=24,"2. 1-24 hours",IF(G6156&lt;=72,"3. 1-3 days","4. Over 3 days")))</f>
        <v/>
      </c>
      <c r="O6156">
        <f>TEXT(B6156,"YYYY-MM")</f>
        <v/>
      </c>
    </row>
    <row r="6157">
      <c r="A6157" t="inlineStr">
        <is>
          <t>LD-306155</t>
        </is>
      </c>
      <c r="B6157" t="inlineStr">
        <is>
          <t>2025-04-09 16:48:00</t>
        </is>
      </c>
      <c r="C6157" t="inlineStr">
        <is>
          <t>Paid Search</t>
        </is>
      </c>
      <c r="D6157" t="inlineStr">
        <is>
          <t>K-12 Math</t>
        </is>
      </c>
      <c r="E6157" t="inlineStr">
        <is>
          <t>North Region</t>
        </is>
      </c>
      <c r="F6157" t="inlineStr">
        <is>
          <t>Rep_11</t>
        </is>
      </c>
      <c r="G6157" t="n">
        <v>2.12</v>
      </c>
      <c r="H6157" t="inlineStr">
        <is>
          <t>Contacted</t>
        </is>
      </c>
      <c r="I6157" t="inlineStr">
        <is>
          <t>Open</t>
        </is>
      </c>
      <c r="M6157">
        <f>VLOOKUP(H6157,'Stage Order'!$A$2:$B$8,2,FALSE)</f>
        <v/>
      </c>
      <c r="N6157">
        <f>IF(G6157&lt;=1,"1. Under 1 hour",IF(G6157&lt;=24,"2. 1-24 hours",IF(G6157&lt;=72,"3. 1-3 days","4. Over 3 days")))</f>
        <v/>
      </c>
      <c r="O6157">
        <f>TEXT(B6157,"YYYY-MM")</f>
        <v/>
      </c>
    </row>
    <row r="6158">
      <c r="A6158" t="inlineStr">
        <is>
          <t>LD-306156</t>
        </is>
      </c>
      <c r="B6158" t="inlineStr">
        <is>
          <t>2026-04-25 15:17:00</t>
        </is>
      </c>
      <c r="C6158" t="inlineStr">
        <is>
          <t>Social Media</t>
        </is>
      </c>
      <c r="D6158" t="inlineStr">
        <is>
          <t>Study Abroad Prep</t>
        </is>
      </c>
      <c r="E6158" t="inlineStr">
        <is>
          <t>South Region</t>
        </is>
      </c>
      <c r="F6158" t="inlineStr">
        <is>
          <t>Rep_02</t>
        </is>
      </c>
      <c r="G6158" t="n">
        <v>2.53</v>
      </c>
      <c r="H6158" t="inlineStr">
        <is>
          <t>Contacted</t>
        </is>
      </c>
      <c r="I6158" t="inlineStr">
        <is>
          <t>Open</t>
        </is>
      </c>
      <c r="M6158">
        <f>VLOOKUP(H6158,'Stage Order'!$A$2:$B$8,2,FALSE)</f>
        <v/>
      </c>
      <c r="N6158">
        <f>IF(G6158&lt;=1,"1. Under 1 hour",IF(G6158&lt;=24,"2. 1-24 hours",IF(G6158&lt;=72,"3. 1-3 days","4. Over 3 days")))</f>
        <v/>
      </c>
      <c r="O6158">
        <f>TEXT(B6158,"YYYY-MM")</f>
        <v/>
      </c>
    </row>
    <row r="6159">
      <c r="A6159" t="inlineStr">
        <is>
          <t>LD-306157</t>
        </is>
      </c>
      <c r="B6159" t="inlineStr">
        <is>
          <t>2026-01-16 18:50:00</t>
        </is>
      </c>
      <c r="C6159" t="inlineStr">
        <is>
          <t>Webinar</t>
        </is>
      </c>
      <c r="D6159" t="inlineStr">
        <is>
          <t>Coding for Kids</t>
        </is>
      </c>
      <c r="E6159" t="inlineStr">
        <is>
          <t>North Region</t>
        </is>
      </c>
      <c r="F6159" t="inlineStr">
        <is>
          <t>Rep_01</t>
        </is>
      </c>
      <c r="G6159" t="n">
        <v>3.1</v>
      </c>
      <c r="H6159" t="inlineStr">
        <is>
          <t>Proposal Sent</t>
        </is>
      </c>
      <c r="I6159" t="inlineStr">
        <is>
          <t>Lost</t>
        </is>
      </c>
      <c r="J6159" t="inlineStr">
        <is>
          <t>Went With Competitor</t>
        </is>
      </c>
      <c r="K6159" t="n">
        <v>678.8200000000001</v>
      </c>
      <c r="L6159" t="inlineStr">
        <is>
          <t>2026-02-19 01:01:14.653079</t>
        </is>
      </c>
      <c r="M6159">
        <f>VLOOKUP(H6159,'Stage Order'!$A$2:$B$8,2,FALSE)</f>
        <v/>
      </c>
      <c r="N6159">
        <f>IF(G6159&lt;=1,"1. Under 1 hour",IF(G6159&lt;=24,"2. 1-24 hours",IF(G6159&lt;=72,"3. 1-3 days","4. Over 3 days")))</f>
        <v/>
      </c>
      <c r="O6159">
        <f>TEXT(B6159,"YYYY-MM")</f>
        <v/>
      </c>
    </row>
    <row r="6160">
      <c r="A6160" t="inlineStr">
        <is>
          <t>LD-306158</t>
        </is>
      </c>
      <c r="B6160" t="inlineStr">
        <is>
          <t>2025-12-05 11:35:00</t>
        </is>
      </c>
      <c r="C6160" t="inlineStr">
        <is>
          <t>Social Media</t>
        </is>
      </c>
      <c r="D6160" t="inlineStr">
        <is>
          <t>Competitive Exam Prep</t>
        </is>
      </c>
      <c r="E6160" t="inlineStr">
        <is>
          <t>International</t>
        </is>
      </c>
      <c r="F6160" t="inlineStr">
        <is>
          <t>Rep_05</t>
        </is>
      </c>
      <c r="G6160" t="n">
        <v>2.67</v>
      </c>
      <c r="H6160" t="inlineStr">
        <is>
          <t>Contacted</t>
        </is>
      </c>
      <c r="I6160" t="inlineStr">
        <is>
          <t>Open</t>
        </is>
      </c>
      <c r="M6160">
        <f>VLOOKUP(H6160,'Stage Order'!$A$2:$B$8,2,FALSE)</f>
        <v/>
      </c>
      <c r="N6160">
        <f>IF(G6160&lt;=1,"1. Under 1 hour",IF(G6160&lt;=24,"2. 1-24 hours",IF(G6160&lt;=72,"3. 1-3 days","4. Over 3 days")))</f>
        <v/>
      </c>
      <c r="O6160">
        <f>TEXT(B6160,"YYYY-MM")</f>
        <v/>
      </c>
    </row>
    <row r="6161">
      <c r="A6161" t="inlineStr">
        <is>
          <t>LD-306159</t>
        </is>
      </c>
      <c r="B6161" t="inlineStr">
        <is>
          <t>2025-11-27 13:26:00</t>
        </is>
      </c>
      <c r="C6161" t="inlineStr">
        <is>
          <t>Organic Search</t>
        </is>
      </c>
      <c r="D6161" t="inlineStr">
        <is>
          <t>Language Learning</t>
        </is>
      </c>
      <c r="E6161" t="inlineStr">
        <is>
          <t>North Region</t>
        </is>
      </c>
      <c r="F6161" t="inlineStr">
        <is>
          <t>Rep_11</t>
        </is>
      </c>
      <c r="G6161" t="n">
        <v>2.25</v>
      </c>
      <c r="H6161" t="inlineStr">
        <is>
          <t>Closed</t>
        </is>
      </c>
      <c r="I6161" t="inlineStr">
        <is>
          <t>Won</t>
        </is>
      </c>
      <c r="K6161" t="n">
        <v>300.16</v>
      </c>
      <c r="L6161" t="inlineStr">
        <is>
          <t>2025-12-31 05:24:41.524365</t>
        </is>
      </c>
      <c r="M6161">
        <f>VLOOKUP(H6161,'Stage Order'!$A$2:$B$8,2,FALSE)</f>
        <v/>
      </c>
      <c r="N6161">
        <f>IF(G6161&lt;=1,"1. Under 1 hour",IF(G6161&lt;=24,"2. 1-24 hours",IF(G6161&lt;=72,"3. 1-3 days","4. Over 3 days")))</f>
        <v/>
      </c>
      <c r="O6161">
        <f>TEXT(B6161,"YYYY-MM")</f>
        <v/>
      </c>
    </row>
    <row r="6162">
      <c r="A6162" t="inlineStr">
        <is>
          <t>LD-306160</t>
        </is>
      </c>
      <c r="B6162" t="inlineStr">
        <is>
          <t>2025-09-08 10:40:00</t>
        </is>
      </c>
      <c r="C6162" t="inlineStr">
        <is>
          <t>Referral</t>
        </is>
      </c>
      <c r="D6162" t="inlineStr">
        <is>
          <t>Competitive Exam Prep</t>
        </is>
      </c>
      <c r="E6162" t="inlineStr">
        <is>
          <t>East Region</t>
        </is>
      </c>
      <c r="F6162" t="inlineStr">
        <is>
          <t>Rep_14</t>
        </is>
      </c>
      <c r="G6162" t="n">
        <v>7.41</v>
      </c>
      <c r="H6162" t="inlineStr">
        <is>
          <t>Demo Scheduled</t>
        </is>
      </c>
      <c r="I6162" t="inlineStr">
        <is>
          <t>Open</t>
        </is>
      </c>
      <c r="M6162">
        <f>VLOOKUP(H6162,'Stage Order'!$A$2:$B$8,2,FALSE)</f>
        <v/>
      </c>
      <c r="N6162">
        <f>IF(G6162&lt;=1,"1. Under 1 hour",IF(G6162&lt;=24,"2. 1-24 hours",IF(G6162&lt;=72,"3. 1-3 days","4. Over 3 days")))</f>
        <v/>
      </c>
      <c r="O6162">
        <f>TEXT(B6162,"YYYY-MM")</f>
        <v/>
      </c>
    </row>
    <row r="6163">
      <c r="A6163" t="inlineStr">
        <is>
          <t>LD-306161</t>
        </is>
      </c>
      <c r="B6163" t="inlineStr">
        <is>
          <t>2025-05-14 20:48:00</t>
        </is>
      </c>
      <c r="C6163" t="inlineStr">
        <is>
          <t>Organic Search</t>
        </is>
      </c>
      <c r="D6163" t="inlineStr">
        <is>
          <t>Competitive Exam Prep</t>
        </is>
      </c>
      <c r="E6163" t="inlineStr">
        <is>
          <t>North Region</t>
        </is>
      </c>
      <c r="F6163" t="inlineStr">
        <is>
          <t>Rep_11</t>
        </is>
      </c>
      <c r="G6163" t="n">
        <v>7.47</v>
      </c>
      <c r="H6163" t="inlineStr">
        <is>
          <t>Closed</t>
        </is>
      </c>
      <c r="I6163" t="inlineStr">
        <is>
          <t>Won</t>
        </is>
      </c>
      <c r="K6163" t="n">
        <v>1147.9</v>
      </c>
      <c r="L6163" t="inlineStr">
        <is>
          <t>2025-06-23 19:14:15.992596</t>
        </is>
      </c>
      <c r="M6163">
        <f>VLOOKUP(H6163,'Stage Order'!$A$2:$B$8,2,FALSE)</f>
        <v/>
      </c>
      <c r="N6163">
        <f>IF(G6163&lt;=1,"1. Under 1 hour",IF(G6163&lt;=24,"2. 1-24 hours",IF(G6163&lt;=72,"3. 1-3 days","4. Over 3 days")))</f>
        <v/>
      </c>
      <c r="O6163">
        <f>TEXT(B6163,"YYYY-MM")</f>
        <v/>
      </c>
    </row>
    <row r="6164">
      <c r="A6164" t="inlineStr">
        <is>
          <t>LD-306162</t>
        </is>
      </c>
      <c r="B6164" t="inlineStr">
        <is>
          <t>2025-09-19 07:14:00</t>
        </is>
      </c>
      <c r="C6164" t="inlineStr">
        <is>
          <t>Paid Search</t>
        </is>
      </c>
      <c r="D6164" t="inlineStr">
        <is>
          <t>Language Learning</t>
        </is>
      </c>
      <c r="E6164" t="inlineStr">
        <is>
          <t>South Region</t>
        </is>
      </c>
      <c r="F6164" t="inlineStr">
        <is>
          <t>Rep_12</t>
        </is>
      </c>
      <c r="G6164" t="n">
        <v>3.48</v>
      </c>
      <c r="H6164" t="inlineStr">
        <is>
          <t>Contacted</t>
        </is>
      </c>
      <c r="I6164" t="inlineStr">
        <is>
          <t>Open</t>
        </is>
      </c>
      <c r="M6164">
        <f>VLOOKUP(H6164,'Stage Order'!$A$2:$B$8,2,FALSE)</f>
        <v/>
      </c>
      <c r="N6164">
        <f>IF(G6164&lt;=1,"1. Under 1 hour",IF(G6164&lt;=24,"2. 1-24 hours",IF(G6164&lt;=72,"3. 1-3 days","4. Over 3 days")))</f>
        <v/>
      </c>
      <c r="O6164">
        <f>TEXT(B6164,"YYYY-MM")</f>
        <v/>
      </c>
    </row>
    <row r="6165">
      <c r="A6165" t="inlineStr">
        <is>
          <t>LD-306163</t>
        </is>
      </c>
      <c r="B6165" t="inlineStr">
        <is>
          <t>2025-05-14 15:25:00</t>
        </is>
      </c>
      <c r="C6165" t="inlineStr">
        <is>
          <t>Referral</t>
        </is>
      </c>
      <c r="D6165" t="inlineStr">
        <is>
          <t>Language Learning</t>
        </is>
      </c>
      <c r="E6165" t="inlineStr">
        <is>
          <t>West Region</t>
        </is>
      </c>
      <c r="F6165" t="inlineStr">
        <is>
          <t>Rep_03</t>
        </is>
      </c>
      <c r="G6165" t="n">
        <v>11.27</v>
      </c>
      <c r="H6165" t="inlineStr">
        <is>
          <t>Contacted</t>
        </is>
      </c>
      <c r="I6165" t="inlineStr">
        <is>
          <t>Open</t>
        </is>
      </c>
      <c r="M6165">
        <f>VLOOKUP(H6165,'Stage Order'!$A$2:$B$8,2,FALSE)</f>
        <v/>
      </c>
      <c r="N6165">
        <f>IF(G6165&lt;=1,"1. Under 1 hour",IF(G6165&lt;=24,"2. 1-24 hours",IF(G6165&lt;=72,"3. 1-3 days","4. Over 3 days")))</f>
        <v/>
      </c>
      <c r="O6165">
        <f>TEXT(B6165,"YYYY-MM")</f>
        <v/>
      </c>
    </row>
    <row r="6166">
      <c r="A6166" t="inlineStr">
        <is>
          <t>LD-306164</t>
        </is>
      </c>
      <c r="B6166" t="inlineStr">
        <is>
          <t>2025-11-13 10:34:00</t>
        </is>
      </c>
      <c r="C6166" t="inlineStr">
        <is>
          <t>Webinar</t>
        </is>
      </c>
      <c r="D6166" t="inlineStr">
        <is>
          <t>Language Learning</t>
        </is>
      </c>
      <c r="E6166" t="inlineStr">
        <is>
          <t>North Region</t>
        </is>
      </c>
      <c r="F6166" t="inlineStr">
        <is>
          <t>Rep_11</t>
        </is>
      </c>
      <c r="G6166" t="n">
        <v>9.24</v>
      </c>
      <c r="H6166" t="inlineStr">
        <is>
          <t>Contacted</t>
        </is>
      </c>
      <c r="I6166" t="inlineStr">
        <is>
          <t>Open</t>
        </is>
      </c>
      <c r="M6166">
        <f>VLOOKUP(H6166,'Stage Order'!$A$2:$B$8,2,FALSE)</f>
        <v/>
      </c>
      <c r="N6166">
        <f>IF(G6166&lt;=1,"1. Under 1 hour",IF(G6166&lt;=24,"2. 1-24 hours",IF(G6166&lt;=72,"3. 1-3 days","4. Over 3 days")))</f>
        <v/>
      </c>
      <c r="O6166">
        <f>TEXT(B6166,"YYYY-MM")</f>
        <v/>
      </c>
    </row>
    <row r="6167">
      <c r="A6167" t="inlineStr">
        <is>
          <t>LD-306165</t>
        </is>
      </c>
      <c r="B6167" t="inlineStr">
        <is>
          <t>2026-02-02 14:37:00</t>
        </is>
      </c>
      <c r="C6167" t="inlineStr">
        <is>
          <t>Social Media</t>
        </is>
      </c>
      <c r="D6167" t="inlineStr">
        <is>
          <t>Study Abroad Prep</t>
        </is>
      </c>
      <c r="E6167" t="inlineStr">
        <is>
          <t>International</t>
        </is>
      </c>
      <c r="F6167" t="inlineStr">
        <is>
          <t>Rep_10</t>
        </is>
      </c>
      <c r="G6167" t="n">
        <v>4.07</v>
      </c>
      <c r="H6167" t="inlineStr">
        <is>
          <t>Contacted</t>
        </is>
      </c>
      <c r="I6167" t="inlineStr">
        <is>
          <t>Open</t>
        </is>
      </c>
      <c r="M6167">
        <f>VLOOKUP(H6167,'Stage Order'!$A$2:$B$8,2,FALSE)</f>
        <v/>
      </c>
      <c r="N6167">
        <f>IF(G6167&lt;=1,"1. Under 1 hour",IF(G6167&lt;=24,"2. 1-24 hours",IF(G6167&lt;=72,"3. 1-3 days","4. Over 3 days")))</f>
        <v/>
      </c>
      <c r="O6167">
        <f>TEXT(B6167,"YYYY-MM")</f>
        <v/>
      </c>
    </row>
    <row r="6168">
      <c r="A6168" t="inlineStr">
        <is>
          <t>LD-306166</t>
        </is>
      </c>
      <c r="B6168" t="inlineStr">
        <is>
          <t>2025-12-11 15:05:00</t>
        </is>
      </c>
      <c r="C6168" t="inlineStr">
        <is>
          <t>Organic Search</t>
        </is>
      </c>
      <c r="D6168" t="inlineStr">
        <is>
          <t>Language Learning</t>
        </is>
      </c>
      <c r="E6168" t="inlineStr">
        <is>
          <t>East Region</t>
        </is>
      </c>
      <c r="F6168" t="inlineStr">
        <is>
          <t>Rep_14</t>
        </is>
      </c>
      <c r="G6168" t="n">
        <v>5.09</v>
      </c>
      <c r="H6168" t="inlineStr">
        <is>
          <t>Demo Completed</t>
        </is>
      </c>
      <c r="I6168" t="inlineStr">
        <is>
          <t>Lost</t>
        </is>
      </c>
      <c r="J6168" t="inlineStr">
        <is>
          <t>Went With Competitor</t>
        </is>
      </c>
      <c r="K6168" t="n">
        <v>419.98</v>
      </c>
      <c r="L6168" t="inlineStr">
        <is>
          <t>2026-01-21 05:11:58.254000</t>
        </is>
      </c>
      <c r="M6168">
        <f>VLOOKUP(H6168,'Stage Order'!$A$2:$B$8,2,FALSE)</f>
        <v/>
      </c>
      <c r="N6168">
        <f>IF(G6168&lt;=1,"1. Under 1 hour",IF(G6168&lt;=24,"2. 1-24 hours",IF(G6168&lt;=72,"3. 1-3 days","4. Over 3 days")))</f>
        <v/>
      </c>
      <c r="O6168">
        <f>TEXT(B6168,"YYYY-MM")</f>
        <v/>
      </c>
    </row>
    <row r="6169">
      <c r="A6169" t="inlineStr">
        <is>
          <t>LD-306167</t>
        </is>
      </c>
      <c r="B6169" t="inlineStr">
        <is>
          <t>2025-02-21 09:00:00</t>
        </is>
      </c>
      <c r="C6169" t="inlineStr">
        <is>
          <t>Partner Channel</t>
        </is>
      </c>
      <c r="D6169" t="inlineStr">
        <is>
          <t>Competitive Exam Prep</t>
        </is>
      </c>
      <c r="E6169" t="inlineStr">
        <is>
          <t>South Region</t>
        </is>
      </c>
      <c r="F6169" t="inlineStr">
        <is>
          <t>Rep_07</t>
        </is>
      </c>
      <c r="G6169" t="n">
        <v>1.49</v>
      </c>
      <c r="H6169" t="inlineStr">
        <is>
          <t>Contacted</t>
        </is>
      </c>
      <c r="I6169" t="inlineStr">
        <is>
          <t>Open</t>
        </is>
      </c>
      <c r="M6169">
        <f>VLOOKUP(H6169,'Stage Order'!$A$2:$B$8,2,FALSE)</f>
        <v/>
      </c>
      <c r="N6169">
        <f>IF(G6169&lt;=1,"1. Under 1 hour",IF(G6169&lt;=24,"2. 1-24 hours",IF(G6169&lt;=72,"3. 1-3 days","4. Over 3 days")))</f>
        <v/>
      </c>
      <c r="O6169">
        <f>TEXT(B6169,"YYYY-MM")</f>
        <v/>
      </c>
    </row>
    <row r="6170">
      <c r="A6170" t="inlineStr">
        <is>
          <t>LD-306168</t>
        </is>
      </c>
      <c r="B6170" t="inlineStr">
        <is>
          <t>2025-08-02 08:25:00</t>
        </is>
      </c>
      <c r="C6170" t="inlineStr">
        <is>
          <t>Webinar</t>
        </is>
      </c>
      <c r="D6170" t="inlineStr">
        <is>
          <t>Coding for Kids</t>
        </is>
      </c>
      <c r="E6170" t="inlineStr">
        <is>
          <t>West Region</t>
        </is>
      </c>
      <c r="F6170" t="inlineStr">
        <is>
          <t>Rep_08</t>
        </is>
      </c>
      <c r="G6170" t="n">
        <v>1.37</v>
      </c>
      <c r="H6170" t="inlineStr">
        <is>
          <t>Closed</t>
        </is>
      </c>
      <c r="I6170" t="inlineStr">
        <is>
          <t>Won</t>
        </is>
      </c>
      <c r="K6170" t="n">
        <v>757.62</v>
      </c>
      <c r="L6170" t="inlineStr">
        <is>
          <t>2025-09-15 04:29:37.312286</t>
        </is>
      </c>
      <c r="M6170">
        <f>VLOOKUP(H6170,'Stage Order'!$A$2:$B$8,2,FALSE)</f>
        <v/>
      </c>
      <c r="N6170">
        <f>IF(G6170&lt;=1,"1. Under 1 hour",IF(G6170&lt;=24,"2. 1-24 hours",IF(G6170&lt;=72,"3. 1-3 days","4. Over 3 days")))</f>
        <v/>
      </c>
      <c r="O6170">
        <f>TEXT(B6170,"YYYY-MM")</f>
        <v/>
      </c>
    </row>
    <row r="6171">
      <c r="A6171" t="inlineStr">
        <is>
          <t>LD-306169</t>
        </is>
      </c>
      <c r="B6171" t="inlineStr">
        <is>
          <t>2025-03-09 09:03:00</t>
        </is>
      </c>
      <c r="C6171" t="inlineStr">
        <is>
          <t>Webinar</t>
        </is>
      </c>
      <c r="D6171" t="inlineStr">
        <is>
          <t>K-12 Math</t>
        </is>
      </c>
      <c r="E6171" t="inlineStr">
        <is>
          <t>West Region</t>
        </is>
      </c>
      <c r="F6171" t="inlineStr">
        <is>
          <t>Rep_08</t>
        </is>
      </c>
      <c r="G6171" t="n">
        <v>4.52</v>
      </c>
      <c r="H6171" t="inlineStr">
        <is>
          <t>Closed</t>
        </is>
      </c>
      <c r="I6171" t="inlineStr">
        <is>
          <t>Won</t>
        </is>
      </c>
      <c r="K6171" t="n">
        <v>525.49</v>
      </c>
      <c r="L6171" t="inlineStr">
        <is>
          <t>2025-04-22 04:08:48.218595</t>
        </is>
      </c>
      <c r="M6171">
        <f>VLOOKUP(H6171,'Stage Order'!$A$2:$B$8,2,FALSE)</f>
        <v/>
      </c>
      <c r="N6171">
        <f>IF(G6171&lt;=1,"1. Under 1 hour",IF(G6171&lt;=24,"2. 1-24 hours",IF(G6171&lt;=72,"3. 1-3 days","4. Over 3 days")))</f>
        <v/>
      </c>
      <c r="O6171">
        <f>TEXT(B6171,"YYYY-MM")</f>
        <v/>
      </c>
    </row>
    <row r="6172">
      <c r="A6172" t="inlineStr">
        <is>
          <t>LD-306170</t>
        </is>
      </c>
      <c r="B6172" t="inlineStr">
        <is>
          <t>2026-04-16 20:52:00</t>
        </is>
      </c>
      <c r="C6172" t="inlineStr">
        <is>
          <t>Organic Search</t>
        </is>
      </c>
      <c r="D6172" t="inlineStr">
        <is>
          <t>K-12 Math</t>
        </is>
      </c>
      <c r="E6172" t="inlineStr">
        <is>
          <t>North Region</t>
        </is>
      </c>
      <c r="F6172" t="inlineStr">
        <is>
          <t>Rep_06</t>
        </is>
      </c>
      <c r="G6172" t="n">
        <v>3.02</v>
      </c>
      <c r="H6172" t="inlineStr">
        <is>
          <t>Lead</t>
        </is>
      </c>
      <c r="I6172" t="inlineStr">
        <is>
          <t>Open</t>
        </is>
      </c>
      <c r="M6172">
        <f>VLOOKUP(H6172,'Stage Order'!$A$2:$B$8,2,FALSE)</f>
        <v/>
      </c>
      <c r="N6172">
        <f>IF(G6172&lt;=1,"1. Under 1 hour",IF(G6172&lt;=24,"2. 1-24 hours",IF(G6172&lt;=72,"3. 1-3 days","4. Over 3 days")))</f>
        <v/>
      </c>
      <c r="O6172">
        <f>TEXT(B6172,"YYYY-MM")</f>
        <v/>
      </c>
    </row>
    <row r="6173">
      <c r="A6173" t="inlineStr">
        <is>
          <t>LD-306171</t>
        </is>
      </c>
      <c r="B6173" t="inlineStr">
        <is>
          <t>2026-01-20 19:10:00</t>
        </is>
      </c>
      <c r="C6173" t="inlineStr">
        <is>
          <t>Organic Search</t>
        </is>
      </c>
      <c r="D6173" t="inlineStr">
        <is>
          <t>Coding for Kids</t>
        </is>
      </c>
      <c r="E6173" t="inlineStr">
        <is>
          <t>North Region</t>
        </is>
      </c>
      <c r="F6173" t="inlineStr">
        <is>
          <t>Rep_01</t>
        </is>
      </c>
      <c r="G6173" t="n">
        <v>12.67</v>
      </c>
      <c r="H6173" t="inlineStr">
        <is>
          <t>Proposal Sent</t>
        </is>
      </c>
      <c r="I6173" t="inlineStr">
        <is>
          <t>Lost</t>
        </is>
      </c>
      <c r="J6173" t="inlineStr">
        <is>
          <t>Bad Timing</t>
        </is>
      </c>
      <c r="K6173" t="n">
        <v>528.33</v>
      </c>
      <c r="L6173" t="inlineStr">
        <is>
          <t>2026-02-21 17:06:36.746758</t>
        </is>
      </c>
      <c r="M6173">
        <f>VLOOKUP(H6173,'Stage Order'!$A$2:$B$8,2,FALSE)</f>
        <v/>
      </c>
      <c r="N6173">
        <f>IF(G6173&lt;=1,"1. Under 1 hour",IF(G6173&lt;=24,"2. 1-24 hours",IF(G6173&lt;=72,"3. 1-3 days","4. Over 3 days")))</f>
        <v/>
      </c>
      <c r="O6173">
        <f>TEXT(B6173,"YYYY-MM")</f>
        <v/>
      </c>
    </row>
    <row r="6174">
      <c r="A6174" t="inlineStr">
        <is>
          <t>LD-306172</t>
        </is>
      </c>
      <c r="B6174" t="inlineStr">
        <is>
          <t>2025-05-06 18:56:00</t>
        </is>
      </c>
      <c r="C6174" t="inlineStr">
        <is>
          <t>Webinar</t>
        </is>
      </c>
      <c r="D6174" t="inlineStr">
        <is>
          <t>Competitive Exam Prep</t>
        </is>
      </c>
      <c r="E6174" t="inlineStr">
        <is>
          <t>North Region</t>
        </is>
      </c>
      <c r="F6174" t="inlineStr">
        <is>
          <t>Rep_06</t>
        </is>
      </c>
      <c r="G6174" t="n">
        <v>3.62</v>
      </c>
      <c r="H6174" t="inlineStr">
        <is>
          <t>Contacted</t>
        </is>
      </c>
      <c r="I6174" t="inlineStr">
        <is>
          <t>Open</t>
        </is>
      </c>
      <c r="M6174">
        <f>VLOOKUP(H6174,'Stage Order'!$A$2:$B$8,2,FALSE)</f>
        <v/>
      </c>
      <c r="N6174">
        <f>IF(G6174&lt;=1,"1. Under 1 hour",IF(G6174&lt;=24,"2. 1-24 hours",IF(G6174&lt;=72,"3. 1-3 days","4. Over 3 days")))</f>
        <v/>
      </c>
      <c r="O6174">
        <f>TEXT(B6174,"YYYY-MM")</f>
        <v/>
      </c>
    </row>
    <row r="6175">
      <c r="A6175" t="inlineStr">
        <is>
          <t>LD-306173</t>
        </is>
      </c>
      <c r="B6175" t="inlineStr">
        <is>
          <t>2025-08-23 10:49:00</t>
        </is>
      </c>
      <c r="C6175" t="inlineStr">
        <is>
          <t>Cold Outreach</t>
        </is>
      </c>
      <c r="D6175" t="inlineStr">
        <is>
          <t>K-12 Math</t>
        </is>
      </c>
      <c r="E6175" t="inlineStr">
        <is>
          <t>South Region</t>
        </is>
      </c>
      <c r="F6175" t="inlineStr">
        <is>
          <t>Rep_07</t>
        </is>
      </c>
      <c r="G6175" t="n">
        <v>1.81</v>
      </c>
      <c r="H6175" t="inlineStr">
        <is>
          <t>Lead</t>
        </is>
      </c>
      <c r="I6175" t="inlineStr">
        <is>
          <t>Open</t>
        </is>
      </c>
      <c r="M6175">
        <f>VLOOKUP(H6175,'Stage Order'!$A$2:$B$8,2,FALSE)</f>
        <v/>
      </c>
      <c r="N6175">
        <f>IF(G6175&lt;=1,"1. Under 1 hour",IF(G6175&lt;=24,"2. 1-24 hours",IF(G6175&lt;=72,"3. 1-3 days","4. Over 3 days")))</f>
        <v/>
      </c>
      <c r="O6175">
        <f>TEXT(B6175,"YYYY-MM")</f>
        <v/>
      </c>
    </row>
    <row r="6176">
      <c r="A6176" t="inlineStr">
        <is>
          <t>LD-306174</t>
        </is>
      </c>
      <c r="B6176" t="inlineStr">
        <is>
          <t>2025-02-21 14:47:00</t>
        </is>
      </c>
      <c r="C6176" t="inlineStr">
        <is>
          <t>Organic Search</t>
        </is>
      </c>
      <c r="D6176" t="inlineStr">
        <is>
          <t>Coding for Kids</t>
        </is>
      </c>
      <c r="E6176" t="inlineStr">
        <is>
          <t>International</t>
        </is>
      </c>
      <c r="F6176" t="inlineStr">
        <is>
          <t>Rep_10</t>
        </is>
      </c>
      <c r="G6176" t="n">
        <v>2.36</v>
      </c>
      <c r="H6176" t="inlineStr">
        <is>
          <t>Negotiation</t>
        </is>
      </c>
      <c r="I6176" t="inlineStr">
        <is>
          <t>Lost</t>
        </is>
      </c>
      <c r="J6176" t="inlineStr">
        <is>
          <t>Price Objection</t>
        </is>
      </c>
      <c r="K6176" t="n">
        <v>671.05</v>
      </c>
      <c r="L6176" t="inlineStr">
        <is>
          <t>2025-04-14 09:53:27.877696</t>
        </is>
      </c>
      <c r="M6176">
        <f>VLOOKUP(H6176,'Stage Order'!$A$2:$B$8,2,FALSE)</f>
        <v/>
      </c>
      <c r="N6176">
        <f>IF(G6176&lt;=1,"1. Under 1 hour",IF(G6176&lt;=24,"2. 1-24 hours",IF(G6176&lt;=72,"3. 1-3 days","4. Over 3 days")))</f>
        <v/>
      </c>
      <c r="O6176">
        <f>TEXT(B6176,"YYYY-MM")</f>
        <v/>
      </c>
    </row>
    <row r="6177">
      <c r="A6177" t="inlineStr">
        <is>
          <t>LD-306175</t>
        </is>
      </c>
      <c r="B6177" t="inlineStr">
        <is>
          <t>2026-03-23 20:33:00</t>
        </is>
      </c>
      <c r="C6177" t="inlineStr">
        <is>
          <t>Paid Search</t>
        </is>
      </c>
      <c r="D6177" t="inlineStr">
        <is>
          <t>Language Learning</t>
        </is>
      </c>
      <c r="E6177" t="inlineStr">
        <is>
          <t>East Region</t>
        </is>
      </c>
      <c r="F6177" t="inlineStr">
        <is>
          <t>Rep_14</t>
        </is>
      </c>
      <c r="G6177" t="n">
        <v>2.14</v>
      </c>
      <c r="H6177" t="inlineStr">
        <is>
          <t>Contacted</t>
        </is>
      </c>
      <c r="I6177" t="inlineStr">
        <is>
          <t>Open</t>
        </is>
      </c>
      <c r="M6177">
        <f>VLOOKUP(H6177,'Stage Order'!$A$2:$B$8,2,FALSE)</f>
        <v/>
      </c>
      <c r="N6177">
        <f>IF(G6177&lt;=1,"1. Under 1 hour",IF(G6177&lt;=24,"2. 1-24 hours",IF(G6177&lt;=72,"3. 1-3 days","4. Over 3 days")))</f>
        <v/>
      </c>
      <c r="O6177">
        <f>TEXT(B6177,"YYYY-MM")</f>
        <v/>
      </c>
    </row>
    <row r="6178">
      <c r="A6178" t="inlineStr">
        <is>
          <t>LD-306176</t>
        </is>
      </c>
      <c r="B6178" t="inlineStr">
        <is>
          <t>2026-06-12 14:17:00</t>
        </is>
      </c>
      <c r="C6178" t="inlineStr">
        <is>
          <t>Referral</t>
        </is>
      </c>
      <c r="D6178" t="inlineStr">
        <is>
          <t>Coding for Kids</t>
        </is>
      </c>
      <c r="E6178" t="inlineStr">
        <is>
          <t>North Region</t>
        </is>
      </c>
      <c r="F6178" t="inlineStr">
        <is>
          <t>Rep_11</t>
        </is>
      </c>
      <c r="G6178" t="n">
        <v>1.95</v>
      </c>
      <c r="H6178" t="inlineStr">
        <is>
          <t>Closed</t>
        </is>
      </c>
      <c r="I6178" t="inlineStr">
        <is>
          <t>Won</t>
        </is>
      </c>
      <c r="K6178" t="n">
        <v>638.53</v>
      </c>
      <c r="L6178" t="inlineStr">
        <is>
          <t>2026-08-06 18:37:14.121520</t>
        </is>
      </c>
      <c r="M6178">
        <f>VLOOKUP(H6178,'Stage Order'!$A$2:$B$8,2,FALSE)</f>
        <v/>
      </c>
      <c r="N6178">
        <f>IF(G6178&lt;=1,"1. Under 1 hour",IF(G6178&lt;=24,"2. 1-24 hours",IF(G6178&lt;=72,"3. 1-3 days","4. Over 3 days")))</f>
        <v/>
      </c>
      <c r="O6178">
        <f>TEXT(B6178,"YYYY-MM")</f>
        <v/>
      </c>
    </row>
    <row r="6179">
      <c r="A6179" t="inlineStr">
        <is>
          <t>LD-306177</t>
        </is>
      </c>
      <c r="B6179" t="inlineStr">
        <is>
          <t>2025-12-23 20:38:00</t>
        </is>
      </c>
      <c r="C6179" t="inlineStr">
        <is>
          <t>Webinar</t>
        </is>
      </c>
      <c r="D6179" t="inlineStr">
        <is>
          <t>Coding for Kids</t>
        </is>
      </c>
      <c r="E6179" t="inlineStr">
        <is>
          <t>West Region</t>
        </is>
      </c>
      <c r="F6179" t="inlineStr">
        <is>
          <t>Rep_08</t>
        </is>
      </c>
      <c r="G6179" t="n">
        <v>7.58</v>
      </c>
      <c r="H6179" t="inlineStr">
        <is>
          <t>Closed</t>
        </is>
      </c>
      <c r="I6179" t="inlineStr">
        <is>
          <t>Won</t>
        </is>
      </c>
      <c r="K6179" t="n">
        <v>570.27</v>
      </c>
      <c r="L6179" t="inlineStr">
        <is>
          <t>2026-02-06 16:44:52.003140</t>
        </is>
      </c>
      <c r="M6179">
        <f>VLOOKUP(H6179,'Stage Order'!$A$2:$B$8,2,FALSE)</f>
        <v/>
      </c>
      <c r="N6179">
        <f>IF(G6179&lt;=1,"1. Under 1 hour",IF(G6179&lt;=24,"2. 1-24 hours",IF(G6179&lt;=72,"3. 1-3 days","4. Over 3 days")))</f>
        <v/>
      </c>
      <c r="O6179">
        <f>TEXT(B6179,"YYYY-MM")</f>
        <v/>
      </c>
    </row>
    <row r="6180">
      <c r="A6180" t="inlineStr">
        <is>
          <t>LD-306178</t>
        </is>
      </c>
      <c r="B6180" t="inlineStr">
        <is>
          <t>2026-01-02 16:27:00</t>
        </is>
      </c>
      <c r="C6180" t="inlineStr">
        <is>
          <t>Social Media</t>
        </is>
      </c>
      <c r="D6180" t="inlineStr">
        <is>
          <t>Competitive Exam Prep</t>
        </is>
      </c>
      <c r="E6180" t="inlineStr">
        <is>
          <t>East Region</t>
        </is>
      </c>
      <c r="F6180" t="inlineStr">
        <is>
          <t>Rep_14</t>
        </is>
      </c>
      <c r="G6180" t="n">
        <v>3.48</v>
      </c>
      <c r="H6180" t="inlineStr">
        <is>
          <t>Demo Scheduled</t>
        </is>
      </c>
      <c r="I6180" t="inlineStr">
        <is>
          <t>Open</t>
        </is>
      </c>
      <c r="M6180">
        <f>VLOOKUP(H6180,'Stage Order'!$A$2:$B$8,2,FALSE)</f>
        <v/>
      </c>
      <c r="N6180">
        <f>IF(G6180&lt;=1,"1. Under 1 hour",IF(G6180&lt;=24,"2. 1-24 hours",IF(G6180&lt;=72,"3. 1-3 days","4. Over 3 days")))</f>
        <v/>
      </c>
      <c r="O6180">
        <f>TEXT(B6180,"YYYY-MM")</f>
        <v/>
      </c>
    </row>
    <row r="6181">
      <c r="A6181" t="inlineStr">
        <is>
          <t>LD-306179</t>
        </is>
      </c>
      <c r="B6181" t="inlineStr">
        <is>
          <t>2026-02-18 07:52:00</t>
        </is>
      </c>
      <c r="C6181" t="inlineStr">
        <is>
          <t>Organic Search</t>
        </is>
      </c>
      <c r="D6181" t="inlineStr">
        <is>
          <t>Coding for Kids</t>
        </is>
      </c>
      <c r="E6181" t="inlineStr">
        <is>
          <t>West Region</t>
        </is>
      </c>
      <c r="F6181" t="inlineStr">
        <is>
          <t>Rep_13</t>
        </is>
      </c>
      <c r="G6181" t="n">
        <v>7.76</v>
      </c>
      <c r="H6181" t="inlineStr">
        <is>
          <t>Contacted</t>
        </is>
      </c>
      <c r="I6181" t="inlineStr">
        <is>
          <t>Open</t>
        </is>
      </c>
      <c r="M6181">
        <f>VLOOKUP(H6181,'Stage Order'!$A$2:$B$8,2,FALSE)</f>
        <v/>
      </c>
      <c r="N6181">
        <f>IF(G6181&lt;=1,"1. Under 1 hour",IF(G6181&lt;=24,"2. 1-24 hours",IF(G6181&lt;=72,"3. 1-3 days","4. Over 3 days")))</f>
        <v/>
      </c>
      <c r="O6181">
        <f>TEXT(B6181,"YYYY-MM")</f>
        <v/>
      </c>
    </row>
    <row r="6182">
      <c r="A6182" t="inlineStr">
        <is>
          <t>LD-306180</t>
        </is>
      </c>
      <c r="B6182" t="inlineStr">
        <is>
          <t>2026-06-25 11:27:00</t>
        </is>
      </c>
      <c r="C6182" t="inlineStr">
        <is>
          <t>Social Media</t>
        </is>
      </c>
      <c r="D6182" t="inlineStr">
        <is>
          <t>K-12 Math</t>
        </is>
      </c>
      <c r="E6182" t="inlineStr">
        <is>
          <t>South Region</t>
        </is>
      </c>
      <c r="F6182" t="inlineStr">
        <is>
          <t>Rep_07</t>
        </is>
      </c>
      <c r="G6182" t="n">
        <v>1</v>
      </c>
      <c r="H6182" t="inlineStr">
        <is>
          <t>Demo Completed</t>
        </is>
      </c>
      <c r="I6182" t="inlineStr">
        <is>
          <t>Lost</t>
        </is>
      </c>
      <c r="J6182" t="inlineStr">
        <is>
          <t>Went With Competitor</t>
        </is>
      </c>
      <c r="K6182" t="n">
        <v>508.4</v>
      </c>
      <c r="L6182" t="inlineStr">
        <is>
          <t>2026-07-25 02:49:00.610138</t>
        </is>
      </c>
      <c r="M6182">
        <f>VLOOKUP(H6182,'Stage Order'!$A$2:$B$8,2,FALSE)</f>
        <v/>
      </c>
      <c r="N6182">
        <f>IF(G6182&lt;=1,"1. Under 1 hour",IF(G6182&lt;=24,"2. 1-24 hours",IF(G6182&lt;=72,"3. 1-3 days","4. Over 3 days")))</f>
        <v/>
      </c>
      <c r="O6182">
        <f>TEXT(B6182,"YYYY-MM")</f>
        <v/>
      </c>
    </row>
    <row r="6183">
      <c r="A6183" t="inlineStr">
        <is>
          <t>LD-306181</t>
        </is>
      </c>
      <c r="B6183" t="inlineStr">
        <is>
          <t>2025-05-11 19:56:00</t>
        </is>
      </c>
      <c r="C6183" t="inlineStr">
        <is>
          <t>Webinar</t>
        </is>
      </c>
      <c r="D6183" t="inlineStr">
        <is>
          <t>Language Learning</t>
        </is>
      </c>
      <c r="E6183" t="inlineStr">
        <is>
          <t>East Region</t>
        </is>
      </c>
      <c r="F6183" t="inlineStr">
        <is>
          <t>Rep_14</t>
        </is>
      </c>
      <c r="G6183" t="n">
        <v>2.99</v>
      </c>
      <c r="H6183" t="inlineStr">
        <is>
          <t>Contacted</t>
        </is>
      </c>
      <c r="I6183" t="inlineStr">
        <is>
          <t>Open</t>
        </is>
      </c>
      <c r="M6183">
        <f>VLOOKUP(H6183,'Stage Order'!$A$2:$B$8,2,FALSE)</f>
        <v/>
      </c>
      <c r="N6183">
        <f>IF(G6183&lt;=1,"1. Under 1 hour",IF(G6183&lt;=24,"2. 1-24 hours",IF(G6183&lt;=72,"3. 1-3 days","4. Over 3 days")))</f>
        <v/>
      </c>
      <c r="O6183">
        <f>TEXT(B6183,"YYYY-MM")</f>
        <v/>
      </c>
    </row>
    <row r="6184">
      <c r="A6184" t="inlineStr">
        <is>
          <t>LD-306182</t>
        </is>
      </c>
      <c r="B6184" t="inlineStr">
        <is>
          <t>2025-11-03 17:44:00</t>
        </is>
      </c>
      <c r="C6184" t="inlineStr">
        <is>
          <t>Referral</t>
        </is>
      </c>
      <c r="D6184" t="inlineStr">
        <is>
          <t>Coding for Kids</t>
        </is>
      </c>
      <c r="E6184" t="inlineStr">
        <is>
          <t>North Region</t>
        </is>
      </c>
      <c r="F6184" t="inlineStr">
        <is>
          <t>Rep_01</t>
        </is>
      </c>
      <c r="G6184" t="n">
        <v>4.85</v>
      </c>
      <c r="H6184" t="inlineStr">
        <is>
          <t>Negotiation</t>
        </is>
      </c>
      <c r="I6184" t="inlineStr">
        <is>
          <t>Lost</t>
        </is>
      </c>
      <c r="J6184" t="inlineStr">
        <is>
          <t>No Response / Ghosted</t>
        </is>
      </c>
      <c r="K6184" t="n">
        <v>649.12</v>
      </c>
      <c r="L6184" t="inlineStr">
        <is>
          <t>2025-12-20 02:18:37.841569</t>
        </is>
      </c>
      <c r="M6184">
        <f>VLOOKUP(H6184,'Stage Order'!$A$2:$B$8,2,FALSE)</f>
        <v/>
      </c>
      <c r="N6184">
        <f>IF(G6184&lt;=1,"1. Under 1 hour",IF(G6184&lt;=24,"2. 1-24 hours",IF(G6184&lt;=72,"3. 1-3 days","4. Over 3 days")))</f>
        <v/>
      </c>
      <c r="O6184">
        <f>TEXT(B6184,"YYYY-MM")</f>
        <v/>
      </c>
    </row>
    <row r="6185">
      <c r="A6185" t="inlineStr">
        <is>
          <t>LD-306183</t>
        </is>
      </c>
      <c r="B6185" t="inlineStr">
        <is>
          <t>2025-01-03 10:14:00</t>
        </is>
      </c>
      <c r="C6185" t="inlineStr">
        <is>
          <t>Social Media</t>
        </is>
      </c>
      <c r="D6185" t="inlineStr">
        <is>
          <t>Competitive Exam Prep</t>
        </is>
      </c>
      <c r="E6185" t="inlineStr">
        <is>
          <t>North Region</t>
        </is>
      </c>
      <c r="F6185" t="inlineStr">
        <is>
          <t>Rep_11</t>
        </is>
      </c>
      <c r="G6185" t="n">
        <v>1.08</v>
      </c>
      <c r="H6185" t="inlineStr">
        <is>
          <t>Contacted</t>
        </is>
      </c>
      <c r="I6185" t="inlineStr">
        <is>
          <t>Open</t>
        </is>
      </c>
      <c r="M6185">
        <f>VLOOKUP(H6185,'Stage Order'!$A$2:$B$8,2,FALSE)</f>
        <v/>
      </c>
      <c r="N6185">
        <f>IF(G6185&lt;=1,"1. Under 1 hour",IF(G6185&lt;=24,"2. 1-24 hours",IF(G6185&lt;=72,"3. 1-3 days","4. Over 3 days")))</f>
        <v/>
      </c>
      <c r="O6185">
        <f>TEXT(B6185,"YYYY-MM")</f>
        <v/>
      </c>
    </row>
    <row r="6186">
      <c r="A6186" t="inlineStr">
        <is>
          <t>LD-306184</t>
        </is>
      </c>
      <c r="B6186" t="inlineStr">
        <is>
          <t>2026-06-25 10:31:00</t>
        </is>
      </c>
      <c r="C6186" t="inlineStr">
        <is>
          <t>Paid Search</t>
        </is>
      </c>
      <c r="D6186" t="inlineStr">
        <is>
          <t>K-12 Math</t>
        </is>
      </c>
      <c r="E6186" t="inlineStr">
        <is>
          <t>West Region</t>
        </is>
      </c>
      <c r="F6186" t="inlineStr">
        <is>
          <t>Rep_03</t>
        </is>
      </c>
      <c r="G6186" t="n">
        <v>2.37</v>
      </c>
      <c r="H6186" t="inlineStr">
        <is>
          <t>Demo Completed</t>
        </is>
      </c>
      <c r="I6186" t="inlineStr">
        <is>
          <t>Lost</t>
        </is>
      </c>
      <c r="J6186" t="inlineStr">
        <is>
          <t>Price Objection</t>
        </is>
      </c>
      <c r="K6186" t="n">
        <v>550.12</v>
      </c>
      <c r="L6186" t="inlineStr">
        <is>
          <t>2026-07-23 06:58:19.727967</t>
        </is>
      </c>
      <c r="M6186">
        <f>VLOOKUP(H6186,'Stage Order'!$A$2:$B$8,2,FALSE)</f>
        <v/>
      </c>
      <c r="N6186">
        <f>IF(G6186&lt;=1,"1. Under 1 hour",IF(G6186&lt;=24,"2. 1-24 hours",IF(G6186&lt;=72,"3. 1-3 days","4. Over 3 days")))</f>
        <v/>
      </c>
      <c r="O6186">
        <f>TEXT(B6186,"YYYY-MM")</f>
        <v/>
      </c>
    </row>
    <row r="6187">
      <c r="A6187" t="inlineStr">
        <is>
          <t>LD-306185</t>
        </is>
      </c>
      <c r="B6187" t="inlineStr">
        <is>
          <t>2026-06-29 18:17:00</t>
        </is>
      </c>
      <c r="C6187" t="inlineStr">
        <is>
          <t>Organic Search</t>
        </is>
      </c>
      <c r="D6187" t="inlineStr">
        <is>
          <t>Study Abroad Prep</t>
        </is>
      </c>
      <c r="E6187" t="inlineStr">
        <is>
          <t>East Region</t>
        </is>
      </c>
      <c r="F6187" t="inlineStr">
        <is>
          <t>Rep_04</t>
        </is>
      </c>
      <c r="G6187" t="n">
        <v>1.41</v>
      </c>
      <c r="H6187" t="inlineStr">
        <is>
          <t>Contacted</t>
        </is>
      </c>
      <c r="I6187" t="inlineStr">
        <is>
          <t>Open</t>
        </is>
      </c>
      <c r="M6187">
        <f>VLOOKUP(H6187,'Stage Order'!$A$2:$B$8,2,FALSE)</f>
        <v/>
      </c>
      <c r="N6187">
        <f>IF(G6187&lt;=1,"1. Under 1 hour",IF(G6187&lt;=24,"2. 1-24 hours",IF(G6187&lt;=72,"3. 1-3 days","4. Over 3 days")))</f>
        <v/>
      </c>
      <c r="O6187">
        <f>TEXT(B6187,"YYYY-MM")</f>
        <v/>
      </c>
    </row>
    <row r="6188">
      <c r="A6188" t="inlineStr">
        <is>
          <t>LD-306186</t>
        </is>
      </c>
      <c r="B6188" t="inlineStr">
        <is>
          <t>2025-07-29 15:04:00</t>
        </is>
      </c>
      <c r="C6188" t="inlineStr">
        <is>
          <t>Organic Search</t>
        </is>
      </c>
      <c r="D6188" t="inlineStr">
        <is>
          <t>K-12 Math</t>
        </is>
      </c>
      <c r="E6188" t="inlineStr">
        <is>
          <t>South Region</t>
        </is>
      </c>
      <c r="F6188" t="inlineStr">
        <is>
          <t>Rep_07</t>
        </is>
      </c>
      <c r="G6188" t="n">
        <v>1.17</v>
      </c>
      <c r="H6188" t="inlineStr">
        <is>
          <t>Negotiation</t>
        </is>
      </c>
      <c r="I6188" t="inlineStr">
        <is>
          <t>Lost</t>
        </is>
      </c>
      <c r="J6188" t="inlineStr">
        <is>
          <t>Price Objection</t>
        </is>
      </c>
      <c r="K6188" t="n">
        <v>455.41</v>
      </c>
      <c r="L6188" t="inlineStr">
        <is>
          <t>2025-09-06 04:13:05.562851</t>
        </is>
      </c>
      <c r="M6188">
        <f>VLOOKUP(H6188,'Stage Order'!$A$2:$B$8,2,FALSE)</f>
        <v/>
      </c>
      <c r="N6188">
        <f>IF(G6188&lt;=1,"1. Under 1 hour",IF(G6188&lt;=24,"2. 1-24 hours",IF(G6188&lt;=72,"3. 1-3 days","4. Over 3 days")))</f>
        <v/>
      </c>
      <c r="O6188">
        <f>TEXT(B6188,"YYYY-MM")</f>
        <v/>
      </c>
    </row>
    <row r="6189">
      <c r="A6189" t="inlineStr">
        <is>
          <t>LD-306187</t>
        </is>
      </c>
      <c r="B6189" t="inlineStr">
        <is>
          <t>2025-07-21 18:00:00</t>
        </is>
      </c>
      <c r="C6189" t="inlineStr">
        <is>
          <t>Cold Outreach</t>
        </is>
      </c>
      <c r="D6189" t="inlineStr">
        <is>
          <t>K-12 Math</t>
        </is>
      </c>
      <c r="E6189" t="inlineStr">
        <is>
          <t>West Region</t>
        </is>
      </c>
      <c r="F6189" t="inlineStr">
        <is>
          <t>Rep_13</t>
        </is>
      </c>
      <c r="G6189" t="n">
        <v>2.48</v>
      </c>
      <c r="H6189" t="inlineStr">
        <is>
          <t>Contacted</t>
        </is>
      </c>
      <c r="I6189" t="inlineStr">
        <is>
          <t>Open</t>
        </is>
      </c>
      <c r="M6189">
        <f>VLOOKUP(H6189,'Stage Order'!$A$2:$B$8,2,FALSE)</f>
        <v/>
      </c>
      <c r="N6189">
        <f>IF(G6189&lt;=1,"1. Under 1 hour",IF(G6189&lt;=24,"2. 1-24 hours",IF(G6189&lt;=72,"3. 1-3 days","4. Over 3 days")))</f>
        <v/>
      </c>
      <c r="O6189">
        <f>TEXT(B6189,"YYYY-MM")</f>
        <v/>
      </c>
    </row>
    <row r="6190">
      <c r="A6190" t="inlineStr">
        <is>
          <t>LD-306188</t>
        </is>
      </c>
      <c r="B6190" t="inlineStr">
        <is>
          <t>2025-06-06 08:50:00</t>
        </is>
      </c>
      <c r="C6190" t="inlineStr">
        <is>
          <t>Paid Search</t>
        </is>
      </c>
      <c r="D6190" t="inlineStr">
        <is>
          <t>Study Abroad Prep</t>
        </is>
      </c>
      <c r="E6190" t="inlineStr">
        <is>
          <t>North Region</t>
        </is>
      </c>
      <c r="F6190" t="inlineStr">
        <is>
          <t>Rep_11</t>
        </is>
      </c>
      <c r="G6190" t="n">
        <v>2.8</v>
      </c>
      <c r="H6190" t="inlineStr">
        <is>
          <t>Demo Completed</t>
        </is>
      </c>
      <c r="I6190" t="inlineStr">
        <is>
          <t>Lost</t>
        </is>
      </c>
      <c r="J6190" t="inlineStr">
        <is>
          <t>Bad Timing</t>
        </is>
      </c>
      <c r="K6190" t="n">
        <v>1246.33</v>
      </c>
      <c r="L6190" t="inlineStr">
        <is>
          <t>2025-07-08 22:03:46.686601</t>
        </is>
      </c>
      <c r="M6190">
        <f>VLOOKUP(H6190,'Stage Order'!$A$2:$B$8,2,FALSE)</f>
        <v/>
      </c>
      <c r="N6190">
        <f>IF(G6190&lt;=1,"1. Under 1 hour",IF(G6190&lt;=24,"2. 1-24 hours",IF(G6190&lt;=72,"3. 1-3 days","4. Over 3 days")))</f>
        <v/>
      </c>
      <c r="O6190">
        <f>TEXT(B6190,"YYYY-MM")</f>
        <v/>
      </c>
    </row>
    <row r="6191">
      <c r="A6191" t="inlineStr">
        <is>
          <t>LD-306189</t>
        </is>
      </c>
      <c r="B6191" t="inlineStr">
        <is>
          <t>2026-01-04 15:16:00</t>
        </is>
      </c>
      <c r="C6191" t="inlineStr">
        <is>
          <t>Referral</t>
        </is>
      </c>
      <c r="D6191" t="inlineStr">
        <is>
          <t>Study Abroad Prep</t>
        </is>
      </c>
      <c r="E6191" t="inlineStr">
        <is>
          <t>South Region</t>
        </is>
      </c>
      <c r="F6191" t="inlineStr">
        <is>
          <t>Rep_12</t>
        </is>
      </c>
      <c r="G6191" t="n">
        <v>2.25</v>
      </c>
      <c r="H6191" t="inlineStr">
        <is>
          <t>Closed</t>
        </is>
      </c>
      <c r="I6191" t="inlineStr">
        <is>
          <t>Won</t>
        </is>
      </c>
      <c r="K6191" t="n">
        <v>1426.05</v>
      </c>
      <c r="L6191" t="inlineStr">
        <is>
          <t>2026-02-06 00:57:44.037999</t>
        </is>
      </c>
      <c r="M6191">
        <f>VLOOKUP(H6191,'Stage Order'!$A$2:$B$8,2,FALSE)</f>
        <v/>
      </c>
      <c r="N6191">
        <f>IF(G6191&lt;=1,"1. Under 1 hour",IF(G6191&lt;=24,"2. 1-24 hours",IF(G6191&lt;=72,"3. 1-3 days","4. Over 3 days")))</f>
        <v/>
      </c>
      <c r="O6191">
        <f>TEXT(B6191,"YYYY-MM")</f>
        <v/>
      </c>
    </row>
    <row r="6192">
      <c r="A6192" t="inlineStr">
        <is>
          <t>LD-306190</t>
        </is>
      </c>
      <c r="B6192" t="inlineStr">
        <is>
          <t>2026-04-22 15:34:00</t>
        </is>
      </c>
      <c r="C6192" t="inlineStr">
        <is>
          <t>Social Media</t>
        </is>
      </c>
      <c r="D6192" t="inlineStr">
        <is>
          <t>Coding for Kids</t>
        </is>
      </c>
      <c r="E6192" t="inlineStr">
        <is>
          <t>West Region</t>
        </is>
      </c>
      <c r="F6192" t="inlineStr">
        <is>
          <t>Rep_13</t>
        </is>
      </c>
      <c r="G6192" t="n">
        <v>1.58</v>
      </c>
      <c r="H6192" t="inlineStr">
        <is>
          <t>Contacted</t>
        </is>
      </c>
      <c r="I6192" t="inlineStr">
        <is>
          <t>Open</t>
        </is>
      </c>
      <c r="M6192">
        <f>VLOOKUP(H6192,'Stage Order'!$A$2:$B$8,2,FALSE)</f>
        <v/>
      </c>
      <c r="N6192">
        <f>IF(G6192&lt;=1,"1. Under 1 hour",IF(G6192&lt;=24,"2. 1-24 hours",IF(G6192&lt;=72,"3. 1-3 days","4. Over 3 days")))</f>
        <v/>
      </c>
      <c r="O6192">
        <f>TEXT(B6192,"YYYY-MM")</f>
        <v/>
      </c>
    </row>
    <row r="6193">
      <c r="A6193" t="inlineStr">
        <is>
          <t>LD-306191</t>
        </is>
      </c>
      <c r="B6193" t="inlineStr">
        <is>
          <t>2026-04-03 13:57:00</t>
        </is>
      </c>
      <c r="C6193" t="inlineStr">
        <is>
          <t>Paid Search</t>
        </is>
      </c>
      <c r="D6193" t="inlineStr">
        <is>
          <t>Language Learning</t>
        </is>
      </c>
      <c r="E6193" t="inlineStr">
        <is>
          <t>East Region</t>
        </is>
      </c>
      <c r="F6193" t="inlineStr">
        <is>
          <t>Rep_09</t>
        </is>
      </c>
      <c r="G6193" t="n">
        <v>3.36</v>
      </c>
      <c r="H6193" t="inlineStr">
        <is>
          <t>Lead</t>
        </is>
      </c>
      <c r="I6193" t="inlineStr">
        <is>
          <t>Open</t>
        </is>
      </c>
      <c r="M6193">
        <f>VLOOKUP(H6193,'Stage Order'!$A$2:$B$8,2,FALSE)</f>
        <v/>
      </c>
      <c r="N6193">
        <f>IF(G6193&lt;=1,"1. Under 1 hour",IF(G6193&lt;=24,"2. 1-24 hours",IF(G6193&lt;=72,"3. 1-3 days","4. Over 3 days")))</f>
        <v/>
      </c>
      <c r="O6193">
        <f>TEXT(B6193,"YYYY-MM")</f>
        <v/>
      </c>
    </row>
    <row r="6194">
      <c r="A6194" t="inlineStr">
        <is>
          <t>LD-306192</t>
        </is>
      </c>
      <c r="B6194" t="inlineStr">
        <is>
          <t>2025-04-02 15:02:00</t>
        </is>
      </c>
      <c r="C6194" t="inlineStr">
        <is>
          <t>Paid Search</t>
        </is>
      </c>
      <c r="D6194" t="inlineStr">
        <is>
          <t>K-12 Math</t>
        </is>
      </c>
      <c r="E6194" t="inlineStr">
        <is>
          <t>East Region</t>
        </is>
      </c>
      <c r="F6194" t="inlineStr">
        <is>
          <t>Rep_04</t>
        </is>
      </c>
      <c r="G6194" t="n">
        <v>3.02</v>
      </c>
      <c r="H6194" t="inlineStr">
        <is>
          <t>Closed</t>
        </is>
      </c>
      <c r="I6194" t="inlineStr">
        <is>
          <t>Won</t>
        </is>
      </c>
      <c r="K6194" t="n">
        <v>502.89</v>
      </c>
      <c r="L6194" t="inlineStr">
        <is>
          <t>2025-05-12 23:48:25.470184</t>
        </is>
      </c>
      <c r="M6194">
        <f>VLOOKUP(H6194,'Stage Order'!$A$2:$B$8,2,FALSE)</f>
        <v/>
      </c>
      <c r="N6194">
        <f>IF(G6194&lt;=1,"1. Under 1 hour",IF(G6194&lt;=24,"2. 1-24 hours",IF(G6194&lt;=72,"3. 1-3 days","4. Over 3 days")))</f>
        <v/>
      </c>
      <c r="O6194">
        <f>TEXT(B6194,"YYYY-MM")</f>
        <v/>
      </c>
    </row>
    <row r="6195">
      <c r="A6195" t="inlineStr">
        <is>
          <t>LD-306193</t>
        </is>
      </c>
      <c r="B6195" t="inlineStr">
        <is>
          <t>2026-03-11 09:27:00</t>
        </is>
      </c>
      <c r="C6195" t="inlineStr">
        <is>
          <t>Partner Channel</t>
        </is>
      </c>
      <c r="D6195" t="inlineStr">
        <is>
          <t>K-12 Math</t>
        </is>
      </c>
      <c r="E6195" t="inlineStr">
        <is>
          <t>South Region</t>
        </is>
      </c>
      <c r="F6195" t="inlineStr">
        <is>
          <t>Rep_07</t>
        </is>
      </c>
      <c r="G6195" t="n">
        <v>2.73</v>
      </c>
      <c r="H6195" t="inlineStr">
        <is>
          <t>Negotiation</t>
        </is>
      </c>
      <c r="I6195" t="inlineStr">
        <is>
          <t>Lost</t>
        </is>
      </c>
      <c r="J6195" t="inlineStr">
        <is>
          <t>Price Objection</t>
        </is>
      </c>
      <c r="K6195" t="n">
        <v>532</v>
      </c>
      <c r="L6195" t="inlineStr">
        <is>
          <t>2026-05-04 17:24:03.771870</t>
        </is>
      </c>
      <c r="M6195">
        <f>VLOOKUP(H6195,'Stage Order'!$A$2:$B$8,2,FALSE)</f>
        <v/>
      </c>
      <c r="N6195">
        <f>IF(G6195&lt;=1,"1. Under 1 hour",IF(G6195&lt;=24,"2. 1-24 hours",IF(G6195&lt;=72,"3. 1-3 days","4. Over 3 days")))</f>
        <v/>
      </c>
      <c r="O6195">
        <f>TEXT(B6195,"YYYY-MM")</f>
        <v/>
      </c>
    </row>
    <row r="6196">
      <c r="A6196" t="inlineStr">
        <is>
          <t>LD-306194</t>
        </is>
      </c>
      <c r="B6196" t="inlineStr">
        <is>
          <t>2025-06-02 12:19:00</t>
        </is>
      </c>
      <c r="C6196" t="inlineStr">
        <is>
          <t>Partner Channel</t>
        </is>
      </c>
      <c r="D6196" t="inlineStr">
        <is>
          <t>Coding for Kids</t>
        </is>
      </c>
      <c r="E6196" t="inlineStr">
        <is>
          <t>West Region</t>
        </is>
      </c>
      <c r="F6196" t="inlineStr">
        <is>
          <t>Rep_08</t>
        </is>
      </c>
      <c r="G6196" t="n">
        <v>2.36</v>
      </c>
      <c r="H6196" t="inlineStr">
        <is>
          <t>Closed</t>
        </is>
      </c>
      <c r="I6196" t="inlineStr">
        <is>
          <t>Won</t>
        </is>
      </c>
      <c r="K6196" t="n">
        <v>629.65</v>
      </c>
      <c r="L6196" t="inlineStr">
        <is>
          <t>2025-07-15 16:52:58.009107</t>
        </is>
      </c>
      <c r="M6196">
        <f>VLOOKUP(H6196,'Stage Order'!$A$2:$B$8,2,FALSE)</f>
        <v/>
      </c>
      <c r="N6196">
        <f>IF(G6196&lt;=1,"1. Under 1 hour",IF(G6196&lt;=24,"2. 1-24 hours",IF(G6196&lt;=72,"3. 1-3 days","4. Over 3 days")))</f>
        <v/>
      </c>
      <c r="O6196">
        <f>TEXT(B6196,"YYYY-MM")</f>
        <v/>
      </c>
    </row>
    <row r="6197">
      <c r="A6197" t="inlineStr">
        <is>
          <t>LD-306195</t>
        </is>
      </c>
      <c r="B6197" t="inlineStr">
        <is>
          <t>2026-01-26 14:11:00</t>
        </is>
      </c>
      <c r="C6197" t="inlineStr">
        <is>
          <t>Partner Channel</t>
        </is>
      </c>
      <c r="D6197" t="inlineStr">
        <is>
          <t>Language Learning</t>
        </is>
      </c>
      <c r="E6197" t="inlineStr">
        <is>
          <t>North Region</t>
        </is>
      </c>
      <c r="F6197" t="inlineStr">
        <is>
          <t>Rep_01</t>
        </is>
      </c>
      <c r="G6197" t="n">
        <v>5.17</v>
      </c>
      <c r="H6197" t="inlineStr">
        <is>
          <t>Lead</t>
        </is>
      </c>
      <c r="I6197" t="inlineStr">
        <is>
          <t>Open</t>
        </is>
      </c>
      <c r="M6197">
        <f>VLOOKUP(H6197,'Stage Order'!$A$2:$B$8,2,FALSE)</f>
        <v/>
      </c>
      <c r="N6197">
        <f>IF(G6197&lt;=1,"1. Under 1 hour",IF(G6197&lt;=24,"2. 1-24 hours",IF(G6197&lt;=72,"3. 1-3 days","4. Over 3 days")))</f>
        <v/>
      </c>
      <c r="O6197">
        <f>TEXT(B6197,"YYYY-MM")</f>
        <v/>
      </c>
    </row>
    <row r="6198">
      <c r="A6198" t="inlineStr">
        <is>
          <t>LD-306196</t>
        </is>
      </c>
      <c r="B6198" t="inlineStr">
        <is>
          <t>2026-04-26 20:27:00</t>
        </is>
      </c>
      <c r="C6198" t="inlineStr">
        <is>
          <t>Social Media</t>
        </is>
      </c>
      <c r="D6198" t="inlineStr">
        <is>
          <t>Competitive Exam Prep</t>
        </is>
      </c>
      <c r="E6198" t="inlineStr">
        <is>
          <t>South Region</t>
        </is>
      </c>
      <c r="F6198" t="inlineStr">
        <is>
          <t>Rep_07</t>
        </is>
      </c>
      <c r="G6198" t="n">
        <v>1.78</v>
      </c>
      <c r="H6198" t="inlineStr">
        <is>
          <t>Contacted</t>
        </is>
      </c>
      <c r="I6198" t="inlineStr">
        <is>
          <t>Open</t>
        </is>
      </c>
      <c r="M6198">
        <f>VLOOKUP(H6198,'Stage Order'!$A$2:$B$8,2,FALSE)</f>
        <v/>
      </c>
      <c r="N6198">
        <f>IF(G6198&lt;=1,"1. Under 1 hour",IF(G6198&lt;=24,"2. 1-24 hours",IF(G6198&lt;=72,"3. 1-3 days","4. Over 3 days")))</f>
        <v/>
      </c>
      <c r="O6198">
        <f>TEXT(B6198,"YYYY-MM")</f>
        <v/>
      </c>
    </row>
    <row r="6199">
      <c r="A6199" t="inlineStr">
        <is>
          <t>LD-306197</t>
        </is>
      </c>
      <c r="B6199" t="inlineStr">
        <is>
          <t>2025-03-27 17:23:00</t>
        </is>
      </c>
      <c r="C6199" t="inlineStr">
        <is>
          <t>Organic Search</t>
        </is>
      </c>
      <c r="D6199" t="inlineStr">
        <is>
          <t>K-12 Math</t>
        </is>
      </c>
      <c r="E6199" t="inlineStr">
        <is>
          <t>International</t>
        </is>
      </c>
      <c r="F6199" t="inlineStr">
        <is>
          <t>Rep_05</t>
        </is>
      </c>
      <c r="G6199" t="n">
        <v>1.21</v>
      </c>
      <c r="H6199" t="inlineStr">
        <is>
          <t>Contacted</t>
        </is>
      </c>
      <c r="I6199" t="inlineStr">
        <is>
          <t>Open</t>
        </is>
      </c>
      <c r="M6199">
        <f>VLOOKUP(H6199,'Stage Order'!$A$2:$B$8,2,FALSE)</f>
        <v/>
      </c>
      <c r="N6199">
        <f>IF(G6199&lt;=1,"1. Under 1 hour",IF(G6199&lt;=24,"2. 1-24 hours",IF(G6199&lt;=72,"3. 1-3 days","4. Over 3 days")))</f>
        <v/>
      </c>
      <c r="O6199">
        <f>TEXT(B6199,"YYYY-MM")</f>
        <v/>
      </c>
    </row>
    <row r="6200">
      <c r="A6200" t="inlineStr">
        <is>
          <t>LD-306198</t>
        </is>
      </c>
      <c r="B6200" t="inlineStr">
        <is>
          <t>2026-01-02 17:00:00</t>
        </is>
      </c>
      <c r="C6200" t="inlineStr">
        <is>
          <t>Paid Search</t>
        </is>
      </c>
      <c r="D6200" t="inlineStr">
        <is>
          <t>K-12 Math</t>
        </is>
      </c>
      <c r="E6200" t="inlineStr">
        <is>
          <t>North Region</t>
        </is>
      </c>
      <c r="F6200" t="inlineStr">
        <is>
          <t>Rep_01</t>
        </is>
      </c>
      <c r="G6200" t="n">
        <v>10.09</v>
      </c>
      <c r="H6200" t="inlineStr">
        <is>
          <t>Contacted</t>
        </is>
      </c>
      <c r="I6200" t="inlineStr">
        <is>
          <t>Open</t>
        </is>
      </c>
      <c r="M6200">
        <f>VLOOKUP(H6200,'Stage Order'!$A$2:$B$8,2,FALSE)</f>
        <v/>
      </c>
      <c r="N6200">
        <f>IF(G6200&lt;=1,"1. Under 1 hour",IF(G6200&lt;=24,"2. 1-24 hours",IF(G6200&lt;=72,"3. 1-3 days","4. Over 3 days")))</f>
        <v/>
      </c>
      <c r="O6200">
        <f>TEXT(B6200,"YYYY-MM")</f>
        <v/>
      </c>
    </row>
    <row r="6201">
      <c r="A6201" t="inlineStr">
        <is>
          <t>LD-306199</t>
        </is>
      </c>
      <c r="B6201" t="inlineStr">
        <is>
          <t>2025-09-06 16:04:00</t>
        </is>
      </c>
      <c r="C6201" t="inlineStr">
        <is>
          <t>Social Media</t>
        </is>
      </c>
      <c r="D6201" t="inlineStr">
        <is>
          <t>Competitive Exam Prep</t>
        </is>
      </c>
      <c r="E6201" t="inlineStr">
        <is>
          <t>South Region</t>
        </is>
      </c>
      <c r="F6201" t="inlineStr">
        <is>
          <t>Rep_07</t>
        </is>
      </c>
      <c r="G6201" t="n">
        <v>8.99</v>
      </c>
      <c r="H6201" t="inlineStr">
        <is>
          <t>Contacted</t>
        </is>
      </c>
      <c r="I6201" t="inlineStr">
        <is>
          <t>Open</t>
        </is>
      </c>
      <c r="M6201">
        <f>VLOOKUP(H6201,'Stage Order'!$A$2:$B$8,2,FALSE)</f>
        <v/>
      </c>
      <c r="N6201">
        <f>IF(G6201&lt;=1,"1. Under 1 hour",IF(G6201&lt;=24,"2. 1-24 hours",IF(G6201&lt;=72,"3. 1-3 days","4. Over 3 days")))</f>
        <v/>
      </c>
      <c r="O6201">
        <f>TEXT(B6201,"YYYY-MM")</f>
        <v/>
      </c>
    </row>
    <row r="6202">
      <c r="A6202" t="inlineStr">
        <is>
          <t>LD-306200</t>
        </is>
      </c>
      <c r="B6202" t="inlineStr">
        <is>
          <t>2025-10-27 15:23:00</t>
        </is>
      </c>
      <c r="C6202" t="inlineStr">
        <is>
          <t>Organic Search</t>
        </is>
      </c>
      <c r="D6202" t="inlineStr">
        <is>
          <t>Competitive Exam Prep</t>
        </is>
      </c>
      <c r="E6202" t="inlineStr">
        <is>
          <t>East Region</t>
        </is>
      </c>
      <c r="F6202" t="inlineStr">
        <is>
          <t>Rep_14</t>
        </is>
      </c>
      <c r="G6202" t="n">
        <v>2.59</v>
      </c>
      <c r="H6202" t="inlineStr">
        <is>
          <t>Contacted</t>
        </is>
      </c>
      <c r="I6202" t="inlineStr">
        <is>
          <t>Open</t>
        </is>
      </c>
      <c r="M6202">
        <f>VLOOKUP(H6202,'Stage Order'!$A$2:$B$8,2,FALSE)</f>
        <v/>
      </c>
      <c r="N6202">
        <f>IF(G6202&lt;=1,"1. Under 1 hour",IF(G6202&lt;=24,"2. 1-24 hours",IF(G6202&lt;=72,"3. 1-3 days","4. Over 3 days")))</f>
        <v/>
      </c>
      <c r="O6202">
        <f>TEXT(B6202,"YYYY-MM")</f>
        <v/>
      </c>
    </row>
    <row r="6203">
      <c r="A6203" t="inlineStr">
        <is>
          <t>LD-306201</t>
        </is>
      </c>
      <c r="B6203" t="inlineStr">
        <is>
          <t>2026-05-29 17:26:00</t>
        </is>
      </c>
      <c r="C6203" t="inlineStr">
        <is>
          <t>Organic Search</t>
        </is>
      </c>
      <c r="D6203" t="inlineStr">
        <is>
          <t>Language Learning</t>
        </is>
      </c>
      <c r="E6203" t="inlineStr">
        <is>
          <t>East Region</t>
        </is>
      </c>
      <c r="F6203" t="inlineStr">
        <is>
          <t>Rep_09</t>
        </is>
      </c>
      <c r="G6203" t="n">
        <v>6.5</v>
      </c>
      <c r="H6203" t="inlineStr">
        <is>
          <t>Contacted</t>
        </is>
      </c>
      <c r="I6203" t="inlineStr">
        <is>
          <t>Open</t>
        </is>
      </c>
      <c r="M6203">
        <f>VLOOKUP(H6203,'Stage Order'!$A$2:$B$8,2,FALSE)</f>
        <v/>
      </c>
      <c r="N6203">
        <f>IF(G6203&lt;=1,"1. Under 1 hour",IF(G6203&lt;=24,"2. 1-24 hours",IF(G6203&lt;=72,"3. 1-3 days","4. Over 3 days")))</f>
        <v/>
      </c>
      <c r="O6203">
        <f>TEXT(B6203,"YYYY-MM")</f>
        <v/>
      </c>
    </row>
    <row r="6204">
      <c r="A6204" t="inlineStr">
        <is>
          <t>LD-306202</t>
        </is>
      </c>
      <c r="B6204" t="inlineStr">
        <is>
          <t>2025-07-08 14:38:00</t>
        </is>
      </c>
      <c r="C6204" t="inlineStr">
        <is>
          <t>Paid Search</t>
        </is>
      </c>
      <c r="D6204" t="inlineStr">
        <is>
          <t>Study Abroad Prep</t>
        </is>
      </c>
      <c r="E6204" t="inlineStr">
        <is>
          <t>North Region</t>
        </is>
      </c>
      <c r="F6204" t="inlineStr">
        <is>
          <t>Rep_06</t>
        </is>
      </c>
      <c r="G6204" t="n">
        <v>1.99</v>
      </c>
      <c r="H6204" t="inlineStr">
        <is>
          <t>Lead</t>
        </is>
      </c>
      <c r="I6204" t="inlineStr">
        <is>
          <t>Open</t>
        </is>
      </c>
      <c r="M6204">
        <f>VLOOKUP(H6204,'Stage Order'!$A$2:$B$8,2,FALSE)</f>
        <v/>
      </c>
      <c r="N6204">
        <f>IF(G6204&lt;=1,"1. Under 1 hour",IF(G6204&lt;=24,"2. 1-24 hours",IF(G6204&lt;=72,"3. 1-3 days","4. Over 3 days")))</f>
        <v/>
      </c>
      <c r="O6204">
        <f>TEXT(B6204,"YYYY-MM")</f>
        <v/>
      </c>
    </row>
    <row r="6205">
      <c r="A6205" t="inlineStr">
        <is>
          <t>LD-306203</t>
        </is>
      </c>
      <c r="B6205" t="inlineStr">
        <is>
          <t>2026-04-01 18:53:00</t>
        </is>
      </c>
      <c r="C6205" t="inlineStr">
        <is>
          <t>Referral</t>
        </is>
      </c>
      <c r="D6205" t="inlineStr">
        <is>
          <t>Language Learning</t>
        </is>
      </c>
      <c r="E6205" t="inlineStr">
        <is>
          <t>East Region</t>
        </is>
      </c>
      <c r="F6205" t="inlineStr">
        <is>
          <t>Rep_04</t>
        </is>
      </c>
      <c r="G6205" t="n">
        <v>1.72</v>
      </c>
      <c r="H6205" t="inlineStr">
        <is>
          <t>Proposal Sent</t>
        </is>
      </c>
      <c r="I6205" t="inlineStr">
        <is>
          <t>Lost</t>
        </is>
      </c>
      <c r="J6205" t="inlineStr">
        <is>
          <t>Price Objection</t>
        </is>
      </c>
      <c r="K6205" t="n">
        <v>342.9</v>
      </c>
      <c r="L6205" t="inlineStr">
        <is>
          <t>2026-05-10 06:27:14.650127</t>
        </is>
      </c>
      <c r="M6205">
        <f>VLOOKUP(H6205,'Stage Order'!$A$2:$B$8,2,FALSE)</f>
        <v/>
      </c>
      <c r="N6205">
        <f>IF(G6205&lt;=1,"1. Under 1 hour",IF(G6205&lt;=24,"2. 1-24 hours",IF(G6205&lt;=72,"3. 1-3 days","4. Over 3 days")))</f>
        <v/>
      </c>
      <c r="O6205">
        <f>TEXT(B6205,"YYYY-MM")</f>
        <v/>
      </c>
    </row>
    <row r="6206">
      <c r="A6206" t="inlineStr">
        <is>
          <t>LD-306204</t>
        </is>
      </c>
      <c r="B6206" t="inlineStr">
        <is>
          <t>2025-09-25 16:57:00</t>
        </is>
      </c>
      <c r="C6206" t="inlineStr">
        <is>
          <t>Partner Channel</t>
        </is>
      </c>
      <c r="D6206" t="inlineStr">
        <is>
          <t>Coding for Kids</t>
        </is>
      </c>
      <c r="E6206" t="inlineStr">
        <is>
          <t>South Region</t>
        </is>
      </c>
      <c r="F6206" t="inlineStr">
        <is>
          <t>Rep_07</t>
        </is>
      </c>
      <c r="G6206" t="n">
        <v>0.39</v>
      </c>
      <c r="H6206" t="inlineStr">
        <is>
          <t>Negotiation</t>
        </is>
      </c>
      <c r="I6206" t="inlineStr">
        <is>
          <t>Lost</t>
        </is>
      </c>
      <c r="J6206" t="inlineStr">
        <is>
          <t>Price Objection</t>
        </is>
      </c>
      <c r="K6206" t="n">
        <v>699.34</v>
      </c>
      <c r="L6206" t="inlineStr">
        <is>
          <t>2025-10-25 07:29:36.147909</t>
        </is>
      </c>
      <c r="M6206">
        <f>VLOOKUP(H6206,'Stage Order'!$A$2:$B$8,2,FALSE)</f>
        <v/>
      </c>
      <c r="N6206">
        <f>IF(G6206&lt;=1,"1. Under 1 hour",IF(G6206&lt;=24,"2. 1-24 hours",IF(G6206&lt;=72,"3. 1-3 days","4. Over 3 days")))</f>
        <v/>
      </c>
      <c r="O6206">
        <f>TEXT(B6206,"YYYY-MM")</f>
        <v/>
      </c>
    </row>
    <row r="6207">
      <c r="A6207" t="inlineStr">
        <is>
          <t>LD-306205</t>
        </is>
      </c>
      <c r="B6207" t="inlineStr">
        <is>
          <t>2025-09-29 12:41:00</t>
        </is>
      </c>
      <c r="C6207" t="inlineStr">
        <is>
          <t>Referral</t>
        </is>
      </c>
      <c r="D6207" t="inlineStr">
        <is>
          <t>Study Abroad Prep</t>
        </is>
      </c>
      <c r="E6207" t="inlineStr">
        <is>
          <t>North Region</t>
        </is>
      </c>
      <c r="F6207" t="inlineStr">
        <is>
          <t>Rep_11</t>
        </is>
      </c>
      <c r="G6207" t="n">
        <v>1.15</v>
      </c>
      <c r="H6207" t="inlineStr">
        <is>
          <t>Negotiation</t>
        </is>
      </c>
      <c r="I6207" t="inlineStr">
        <is>
          <t>Lost</t>
        </is>
      </c>
      <c r="J6207" t="inlineStr">
        <is>
          <t>No Response / Ghosted</t>
        </is>
      </c>
      <c r="K6207" t="n">
        <v>1429.53</v>
      </c>
      <c r="L6207" t="inlineStr">
        <is>
          <t>2025-11-06 15:27:34.743323</t>
        </is>
      </c>
      <c r="M6207">
        <f>VLOOKUP(H6207,'Stage Order'!$A$2:$B$8,2,FALSE)</f>
        <v/>
      </c>
      <c r="N6207">
        <f>IF(G6207&lt;=1,"1. Under 1 hour",IF(G6207&lt;=24,"2. 1-24 hours",IF(G6207&lt;=72,"3. 1-3 days","4. Over 3 days")))</f>
        <v/>
      </c>
      <c r="O6207">
        <f>TEXT(B6207,"YYYY-MM")</f>
        <v/>
      </c>
    </row>
    <row r="6208">
      <c r="A6208" t="inlineStr">
        <is>
          <t>LD-306206</t>
        </is>
      </c>
      <c r="B6208" t="inlineStr">
        <is>
          <t>2026-03-14 20:29:00</t>
        </is>
      </c>
      <c r="C6208" t="inlineStr">
        <is>
          <t>Referral</t>
        </is>
      </c>
      <c r="D6208" t="inlineStr">
        <is>
          <t>Study Abroad Prep</t>
        </is>
      </c>
      <c r="E6208" t="inlineStr">
        <is>
          <t>International</t>
        </is>
      </c>
      <c r="F6208" t="inlineStr">
        <is>
          <t>Rep_05</t>
        </is>
      </c>
      <c r="G6208" t="n">
        <v>3.12</v>
      </c>
      <c r="H6208" t="inlineStr">
        <is>
          <t>Demo Completed</t>
        </is>
      </c>
      <c r="I6208" t="inlineStr">
        <is>
          <t>Lost</t>
        </is>
      </c>
      <c r="J6208" t="inlineStr">
        <is>
          <t>Price Objection</t>
        </is>
      </c>
      <c r="K6208" t="n">
        <v>1286.92</v>
      </c>
      <c r="L6208" t="inlineStr">
        <is>
          <t>2026-04-26 10:51:25.054656</t>
        </is>
      </c>
      <c r="M6208">
        <f>VLOOKUP(H6208,'Stage Order'!$A$2:$B$8,2,FALSE)</f>
        <v/>
      </c>
      <c r="N6208">
        <f>IF(G6208&lt;=1,"1. Under 1 hour",IF(G6208&lt;=24,"2. 1-24 hours",IF(G6208&lt;=72,"3. 1-3 days","4. Over 3 days")))</f>
        <v/>
      </c>
      <c r="O6208">
        <f>TEXT(B6208,"YYYY-MM")</f>
        <v/>
      </c>
    </row>
    <row r="6209">
      <c r="A6209" t="inlineStr">
        <is>
          <t>LD-306207</t>
        </is>
      </c>
      <c r="B6209" t="inlineStr">
        <is>
          <t>2026-02-24 20:55:00</t>
        </is>
      </c>
      <c r="C6209" t="inlineStr">
        <is>
          <t>Webinar</t>
        </is>
      </c>
      <c r="D6209" t="inlineStr">
        <is>
          <t>Language Learning</t>
        </is>
      </c>
      <c r="E6209" t="inlineStr">
        <is>
          <t>South Region</t>
        </is>
      </c>
      <c r="F6209" t="inlineStr">
        <is>
          <t>Rep_02</t>
        </is>
      </c>
      <c r="G6209" t="n">
        <v>3.27</v>
      </c>
      <c r="H6209" t="inlineStr">
        <is>
          <t>Proposal Sent</t>
        </is>
      </c>
      <c r="I6209" t="inlineStr">
        <is>
          <t>Lost</t>
        </is>
      </c>
      <c r="J6209" t="inlineStr">
        <is>
          <t>Budget Not Approved</t>
        </is>
      </c>
      <c r="K6209" t="n">
        <v>293.06</v>
      </c>
      <c r="L6209" t="inlineStr">
        <is>
          <t>2026-04-08 23:36:17.227716</t>
        </is>
      </c>
      <c r="M6209">
        <f>VLOOKUP(H6209,'Stage Order'!$A$2:$B$8,2,FALSE)</f>
        <v/>
      </c>
      <c r="N6209">
        <f>IF(G6209&lt;=1,"1. Under 1 hour",IF(G6209&lt;=24,"2. 1-24 hours",IF(G6209&lt;=72,"3. 1-3 days","4. Over 3 days")))</f>
        <v/>
      </c>
      <c r="O6209">
        <f>TEXT(B6209,"YYYY-MM")</f>
        <v/>
      </c>
    </row>
    <row r="6210">
      <c r="A6210" t="inlineStr">
        <is>
          <t>LD-306208</t>
        </is>
      </c>
      <c r="B6210" t="inlineStr">
        <is>
          <t>2026-01-30 15:23:00</t>
        </is>
      </c>
      <c r="C6210" t="inlineStr">
        <is>
          <t>Paid Search</t>
        </is>
      </c>
      <c r="D6210" t="inlineStr">
        <is>
          <t>Language Learning</t>
        </is>
      </c>
      <c r="E6210" t="inlineStr">
        <is>
          <t>North Region</t>
        </is>
      </c>
      <c r="F6210" t="inlineStr">
        <is>
          <t>Rep_11</t>
        </is>
      </c>
      <c r="G6210" t="n">
        <v>3.84</v>
      </c>
      <c r="H6210" t="inlineStr">
        <is>
          <t>Contacted</t>
        </is>
      </c>
      <c r="I6210" t="inlineStr">
        <is>
          <t>Open</t>
        </is>
      </c>
      <c r="M6210">
        <f>VLOOKUP(H6210,'Stage Order'!$A$2:$B$8,2,FALSE)</f>
        <v/>
      </c>
      <c r="N6210">
        <f>IF(G6210&lt;=1,"1. Under 1 hour",IF(G6210&lt;=24,"2. 1-24 hours",IF(G6210&lt;=72,"3. 1-3 days","4. Over 3 days")))</f>
        <v/>
      </c>
      <c r="O6210">
        <f>TEXT(B6210,"YYYY-MM")</f>
        <v/>
      </c>
    </row>
    <row r="6211">
      <c r="A6211" t="inlineStr">
        <is>
          <t>LD-306209</t>
        </is>
      </c>
      <c r="B6211" t="inlineStr">
        <is>
          <t>2025-06-05 19:07:00</t>
        </is>
      </c>
      <c r="C6211" t="inlineStr">
        <is>
          <t>Paid Search</t>
        </is>
      </c>
      <c r="D6211" t="inlineStr">
        <is>
          <t>K-12 Math</t>
        </is>
      </c>
      <c r="E6211" t="inlineStr">
        <is>
          <t>East Region</t>
        </is>
      </c>
      <c r="F6211" t="inlineStr">
        <is>
          <t>Rep_04</t>
        </is>
      </c>
      <c r="G6211" t="n">
        <v>0.57</v>
      </c>
      <c r="H6211" t="inlineStr">
        <is>
          <t>Lead</t>
        </is>
      </c>
      <c r="I6211" t="inlineStr">
        <is>
          <t>Open</t>
        </is>
      </c>
      <c r="M6211">
        <f>VLOOKUP(H6211,'Stage Order'!$A$2:$B$8,2,FALSE)</f>
        <v/>
      </c>
      <c r="N6211">
        <f>IF(G6211&lt;=1,"1. Under 1 hour",IF(G6211&lt;=24,"2. 1-24 hours",IF(G6211&lt;=72,"3. 1-3 days","4. Over 3 days")))</f>
        <v/>
      </c>
      <c r="O6211">
        <f>TEXT(B6211,"YYYY-MM")</f>
        <v/>
      </c>
    </row>
    <row r="6212">
      <c r="A6212" t="inlineStr">
        <is>
          <t>LD-306210</t>
        </is>
      </c>
      <c r="B6212" t="inlineStr">
        <is>
          <t>2025-10-24 18:26:00</t>
        </is>
      </c>
      <c r="C6212" t="inlineStr">
        <is>
          <t>Cold Outreach</t>
        </is>
      </c>
      <c r="D6212" t="inlineStr">
        <is>
          <t>Language Learning</t>
        </is>
      </c>
      <c r="E6212" t="inlineStr">
        <is>
          <t>East Region</t>
        </is>
      </c>
      <c r="F6212" t="inlineStr">
        <is>
          <t>Rep_09</t>
        </is>
      </c>
      <c r="G6212" t="n">
        <v>2.95</v>
      </c>
      <c r="H6212" t="inlineStr">
        <is>
          <t>Contacted</t>
        </is>
      </c>
      <c r="I6212" t="inlineStr">
        <is>
          <t>Open</t>
        </is>
      </c>
      <c r="M6212">
        <f>VLOOKUP(H6212,'Stage Order'!$A$2:$B$8,2,FALSE)</f>
        <v/>
      </c>
      <c r="N6212">
        <f>IF(G6212&lt;=1,"1. Under 1 hour",IF(G6212&lt;=24,"2. 1-24 hours",IF(G6212&lt;=72,"3. 1-3 days","4. Over 3 days")))</f>
        <v/>
      </c>
      <c r="O6212">
        <f>TEXT(B6212,"YYYY-MM")</f>
        <v/>
      </c>
    </row>
    <row r="6213">
      <c r="A6213" t="inlineStr">
        <is>
          <t>LD-306211</t>
        </is>
      </c>
      <c r="B6213" t="inlineStr">
        <is>
          <t>2025-07-06 15:26:00</t>
        </is>
      </c>
      <c r="C6213" t="inlineStr">
        <is>
          <t>Referral</t>
        </is>
      </c>
      <c r="D6213" t="inlineStr">
        <is>
          <t>Language Learning</t>
        </is>
      </c>
      <c r="E6213" t="inlineStr">
        <is>
          <t>North Region</t>
        </is>
      </c>
      <c r="F6213" t="inlineStr">
        <is>
          <t>Rep_01</t>
        </is>
      </c>
      <c r="G6213" t="n">
        <v>1.4</v>
      </c>
      <c r="H6213" t="inlineStr">
        <is>
          <t>Contacted</t>
        </is>
      </c>
      <c r="I6213" t="inlineStr">
        <is>
          <t>Open</t>
        </is>
      </c>
      <c r="M6213">
        <f>VLOOKUP(H6213,'Stage Order'!$A$2:$B$8,2,FALSE)</f>
        <v/>
      </c>
      <c r="N6213">
        <f>IF(G6213&lt;=1,"1. Under 1 hour",IF(G6213&lt;=24,"2. 1-24 hours",IF(G6213&lt;=72,"3. 1-3 days","4. Over 3 days")))</f>
        <v/>
      </c>
      <c r="O6213">
        <f>TEXT(B6213,"YYYY-MM")</f>
        <v/>
      </c>
    </row>
    <row r="6214">
      <c r="A6214" t="inlineStr">
        <is>
          <t>LD-306212</t>
        </is>
      </c>
      <c r="B6214" t="inlineStr">
        <is>
          <t>2025-01-03 11:45:00</t>
        </is>
      </c>
      <c r="C6214" t="inlineStr">
        <is>
          <t>Social Media</t>
        </is>
      </c>
      <c r="D6214" t="inlineStr">
        <is>
          <t>Competitive Exam Prep</t>
        </is>
      </c>
      <c r="E6214" t="inlineStr">
        <is>
          <t>South Region</t>
        </is>
      </c>
      <c r="F6214" t="inlineStr">
        <is>
          <t>Rep_02</t>
        </is>
      </c>
      <c r="G6214" t="n">
        <v>8.09</v>
      </c>
      <c r="H6214" t="inlineStr">
        <is>
          <t>Proposal Sent</t>
        </is>
      </c>
      <c r="I6214" t="inlineStr">
        <is>
          <t>Lost</t>
        </is>
      </c>
      <c r="J6214" t="inlineStr">
        <is>
          <t>No Response / Ghosted</t>
        </is>
      </c>
      <c r="K6214" t="n">
        <v>949.79</v>
      </c>
      <c r="L6214" t="inlineStr">
        <is>
          <t>2025-01-30 17:35:28.933773</t>
        </is>
      </c>
      <c r="M6214">
        <f>VLOOKUP(H6214,'Stage Order'!$A$2:$B$8,2,FALSE)</f>
        <v/>
      </c>
      <c r="N6214">
        <f>IF(G6214&lt;=1,"1. Under 1 hour",IF(G6214&lt;=24,"2. 1-24 hours",IF(G6214&lt;=72,"3. 1-3 days","4. Over 3 days")))</f>
        <v/>
      </c>
      <c r="O6214">
        <f>TEXT(B6214,"YYYY-MM")</f>
        <v/>
      </c>
    </row>
    <row r="6215">
      <c r="A6215" t="inlineStr">
        <is>
          <t>LD-306213</t>
        </is>
      </c>
      <c r="B6215" t="inlineStr">
        <is>
          <t>2026-02-14 20:37:00</t>
        </is>
      </c>
      <c r="C6215" t="inlineStr">
        <is>
          <t>Webinar</t>
        </is>
      </c>
      <c r="D6215" t="inlineStr">
        <is>
          <t>K-12 Math</t>
        </is>
      </c>
      <c r="E6215" t="inlineStr">
        <is>
          <t>International</t>
        </is>
      </c>
      <c r="F6215" t="inlineStr">
        <is>
          <t>Rep_15</t>
        </is>
      </c>
      <c r="G6215" t="n">
        <v>4.55</v>
      </c>
      <c r="H6215" t="inlineStr">
        <is>
          <t>Contacted</t>
        </is>
      </c>
      <c r="I6215" t="inlineStr">
        <is>
          <t>Open</t>
        </is>
      </c>
      <c r="M6215">
        <f>VLOOKUP(H6215,'Stage Order'!$A$2:$B$8,2,FALSE)</f>
        <v/>
      </c>
      <c r="N6215">
        <f>IF(G6215&lt;=1,"1. Under 1 hour",IF(G6215&lt;=24,"2. 1-24 hours",IF(G6215&lt;=72,"3. 1-3 days","4. Over 3 days")))</f>
        <v/>
      </c>
      <c r="O6215">
        <f>TEXT(B6215,"YYYY-MM")</f>
        <v/>
      </c>
    </row>
    <row r="6216">
      <c r="A6216" t="inlineStr">
        <is>
          <t>LD-306214</t>
        </is>
      </c>
      <c r="B6216" t="inlineStr">
        <is>
          <t>2026-06-06 16:25:00</t>
        </is>
      </c>
      <c r="C6216" t="inlineStr">
        <is>
          <t>Organic Search</t>
        </is>
      </c>
      <c r="D6216" t="inlineStr">
        <is>
          <t>Language Learning</t>
        </is>
      </c>
      <c r="E6216" t="inlineStr">
        <is>
          <t>East Region</t>
        </is>
      </c>
      <c r="F6216" t="inlineStr">
        <is>
          <t>Rep_09</t>
        </is>
      </c>
      <c r="G6216" t="n">
        <v>4.87</v>
      </c>
      <c r="H6216" t="inlineStr">
        <is>
          <t>Contacted</t>
        </is>
      </c>
      <c r="I6216" t="inlineStr">
        <is>
          <t>Open</t>
        </is>
      </c>
      <c r="M6216">
        <f>VLOOKUP(H6216,'Stage Order'!$A$2:$B$8,2,FALSE)</f>
        <v/>
      </c>
      <c r="N6216">
        <f>IF(G6216&lt;=1,"1. Under 1 hour",IF(G6216&lt;=24,"2. 1-24 hours",IF(G6216&lt;=72,"3. 1-3 days","4. Over 3 days")))</f>
        <v/>
      </c>
      <c r="O6216">
        <f>TEXT(B6216,"YYYY-MM")</f>
        <v/>
      </c>
    </row>
    <row r="6217">
      <c r="A6217" t="inlineStr">
        <is>
          <t>LD-306215</t>
        </is>
      </c>
      <c r="B6217" t="inlineStr">
        <is>
          <t>2025-09-17 10:27:00</t>
        </is>
      </c>
      <c r="C6217" t="inlineStr">
        <is>
          <t>Webinar</t>
        </is>
      </c>
      <c r="D6217" t="inlineStr">
        <is>
          <t>K-12 Math</t>
        </is>
      </c>
      <c r="E6217" t="inlineStr">
        <is>
          <t>North Region</t>
        </is>
      </c>
      <c r="F6217" t="inlineStr">
        <is>
          <t>Rep_06</t>
        </is>
      </c>
      <c r="G6217" t="n">
        <v>1.98</v>
      </c>
      <c r="H6217" t="inlineStr">
        <is>
          <t>Proposal Sent</t>
        </is>
      </c>
      <c r="I6217" t="inlineStr">
        <is>
          <t>Lost</t>
        </is>
      </c>
      <c r="J6217" t="inlineStr">
        <is>
          <t>Price Objection</t>
        </is>
      </c>
      <c r="K6217" t="n">
        <v>562.9</v>
      </c>
      <c r="L6217" t="inlineStr">
        <is>
          <t>2025-10-06 16:49:49.794326</t>
        </is>
      </c>
      <c r="M6217">
        <f>VLOOKUP(H6217,'Stage Order'!$A$2:$B$8,2,FALSE)</f>
        <v/>
      </c>
      <c r="N6217">
        <f>IF(G6217&lt;=1,"1. Under 1 hour",IF(G6217&lt;=24,"2. 1-24 hours",IF(G6217&lt;=72,"3. 1-3 days","4. Over 3 days")))</f>
        <v/>
      </c>
      <c r="O6217">
        <f>TEXT(B6217,"YYYY-MM")</f>
        <v/>
      </c>
    </row>
    <row r="6218">
      <c r="A6218" t="inlineStr">
        <is>
          <t>LD-306216</t>
        </is>
      </c>
      <c r="B6218" t="inlineStr">
        <is>
          <t>2026-05-05 17:38:00</t>
        </is>
      </c>
      <c r="C6218" t="inlineStr">
        <is>
          <t>Cold Outreach</t>
        </is>
      </c>
      <c r="D6218" t="inlineStr">
        <is>
          <t>Coding for Kids</t>
        </is>
      </c>
      <c r="E6218" t="inlineStr">
        <is>
          <t>North Region</t>
        </is>
      </c>
      <c r="F6218" t="inlineStr">
        <is>
          <t>Rep_06</t>
        </is>
      </c>
      <c r="G6218" t="n">
        <v>6.24</v>
      </c>
      <c r="H6218" t="inlineStr">
        <is>
          <t>Lead</t>
        </is>
      </c>
      <c r="I6218" t="inlineStr">
        <is>
          <t>Open</t>
        </is>
      </c>
      <c r="M6218">
        <f>VLOOKUP(H6218,'Stage Order'!$A$2:$B$8,2,FALSE)</f>
        <v/>
      </c>
      <c r="N6218">
        <f>IF(G6218&lt;=1,"1. Under 1 hour",IF(G6218&lt;=24,"2. 1-24 hours",IF(G6218&lt;=72,"3. 1-3 days","4. Over 3 days")))</f>
        <v/>
      </c>
      <c r="O6218">
        <f>TEXT(B6218,"YYYY-MM")</f>
        <v/>
      </c>
    </row>
    <row r="6219">
      <c r="A6219" t="inlineStr">
        <is>
          <t>LD-306217</t>
        </is>
      </c>
      <c r="B6219" t="inlineStr">
        <is>
          <t>2025-09-28 18:26:00</t>
        </is>
      </c>
      <c r="C6219" t="inlineStr">
        <is>
          <t>Partner Channel</t>
        </is>
      </c>
      <c r="D6219" t="inlineStr">
        <is>
          <t>Language Learning</t>
        </is>
      </c>
      <c r="E6219" t="inlineStr">
        <is>
          <t>South Region</t>
        </is>
      </c>
      <c r="F6219" t="inlineStr">
        <is>
          <t>Rep_07</t>
        </is>
      </c>
      <c r="G6219" t="n">
        <v>11.21</v>
      </c>
      <c r="H6219" t="inlineStr">
        <is>
          <t>Contacted</t>
        </is>
      </c>
      <c r="I6219" t="inlineStr">
        <is>
          <t>Open</t>
        </is>
      </c>
      <c r="M6219">
        <f>VLOOKUP(H6219,'Stage Order'!$A$2:$B$8,2,FALSE)</f>
        <v/>
      </c>
      <c r="N6219">
        <f>IF(G6219&lt;=1,"1. Under 1 hour",IF(G6219&lt;=24,"2. 1-24 hours",IF(G6219&lt;=72,"3. 1-3 days","4. Over 3 days")))</f>
        <v/>
      </c>
      <c r="O6219">
        <f>TEXT(B6219,"YYYY-MM")</f>
        <v/>
      </c>
    </row>
    <row r="6220">
      <c r="A6220" t="inlineStr">
        <is>
          <t>LD-306218</t>
        </is>
      </c>
      <c r="B6220" t="inlineStr">
        <is>
          <t>2026-01-09 17:20:00</t>
        </is>
      </c>
      <c r="C6220" t="inlineStr">
        <is>
          <t>Organic Search</t>
        </is>
      </c>
      <c r="D6220" t="inlineStr">
        <is>
          <t>Coding for Kids</t>
        </is>
      </c>
      <c r="E6220" t="inlineStr">
        <is>
          <t>West Region</t>
        </is>
      </c>
      <c r="F6220" t="inlineStr">
        <is>
          <t>Rep_03</t>
        </is>
      </c>
      <c r="G6220" t="n">
        <v>9.98</v>
      </c>
      <c r="H6220" t="inlineStr">
        <is>
          <t>Negotiation</t>
        </is>
      </c>
      <c r="I6220" t="inlineStr">
        <is>
          <t>Lost</t>
        </is>
      </c>
      <c r="J6220" t="inlineStr">
        <is>
          <t>Went With Competitor</t>
        </is>
      </c>
      <c r="K6220" t="n">
        <v>774.73</v>
      </c>
      <c r="L6220" t="inlineStr">
        <is>
          <t>2026-03-03 04:18:37.220118</t>
        </is>
      </c>
      <c r="M6220">
        <f>VLOOKUP(H6220,'Stage Order'!$A$2:$B$8,2,FALSE)</f>
        <v/>
      </c>
      <c r="N6220">
        <f>IF(G6220&lt;=1,"1. Under 1 hour",IF(G6220&lt;=24,"2. 1-24 hours",IF(G6220&lt;=72,"3. 1-3 days","4. Over 3 days")))</f>
        <v/>
      </c>
      <c r="O6220">
        <f>TEXT(B6220,"YYYY-MM")</f>
        <v/>
      </c>
    </row>
    <row r="6221">
      <c r="A6221" t="inlineStr">
        <is>
          <t>LD-306219</t>
        </is>
      </c>
      <c r="B6221" t="inlineStr">
        <is>
          <t>2025-02-11 14:49:00</t>
        </is>
      </c>
      <c r="C6221" t="inlineStr">
        <is>
          <t>Organic Search</t>
        </is>
      </c>
      <c r="D6221" t="inlineStr">
        <is>
          <t>K-12 Math</t>
        </is>
      </c>
      <c r="E6221" t="inlineStr">
        <is>
          <t>West Region</t>
        </is>
      </c>
      <c r="F6221" t="inlineStr">
        <is>
          <t>Rep_03</t>
        </is>
      </c>
      <c r="G6221" t="n">
        <v>1.62</v>
      </c>
      <c r="H6221" t="inlineStr">
        <is>
          <t>Contacted</t>
        </is>
      </c>
      <c r="I6221" t="inlineStr">
        <is>
          <t>Open</t>
        </is>
      </c>
      <c r="M6221">
        <f>VLOOKUP(H6221,'Stage Order'!$A$2:$B$8,2,FALSE)</f>
        <v/>
      </c>
      <c r="N6221">
        <f>IF(G6221&lt;=1,"1. Under 1 hour",IF(G6221&lt;=24,"2. 1-24 hours",IF(G6221&lt;=72,"3. 1-3 days","4. Over 3 days")))</f>
        <v/>
      </c>
      <c r="O6221">
        <f>TEXT(B6221,"YYYY-MM")</f>
        <v/>
      </c>
    </row>
    <row r="6222">
      <c r="A6222" t="inlineStr">
        <is>
          <t>LD-306220</t>
        </is>
      </c>
      <c r="B6222" t="inlineStr">
        <is>
          <t>2025-05-15 15:32:00</t>
        </is>
      </c>
      <c r="C6222" t="inlineStr">
        <is>
          <t>Webinar</t>
        </is>
      </c>
      <c r="D6222" t="inlineStr">
        <is>
          <t>Coding for Kids</t>
        </is>
      </c>
      <c r="E6222" t="inlineStr">
        <is>
          <t>North Region</t>
        </is>
      </c>
      <c r="F6222" t="inlineStr">
        <is>
          <t>Rep_06</t>
        </is>
      </c>
      <c r="G6222" t="n">
        <v>1.09</v>
      </c>
      <c r="H6222" t="inlineStr">
        <is>
          <t>Negotiation</t>
        </is>
      </c>
      <c r="I6222" t="inlineStr">
        <is>
          <t>Lost</t>
        </is>
      </c>
      <c r="J6222" t="inlineStr">
        <is>
          <t>Went With Competitor</t>
        </is>
      </c>
      <c r="K6222" t="n">
        <v>615.2</v>
      </c>
      <c r="L6222" t="inlineStr">
        <is>
          <t>2025-06-30 11:28:50.419367</t>
        </is>
      </c>
      <c r="M6222">
        <f>VLOOKUP(H6222,'Stage Order'!$A$2:$B$8,2,FALSE)</f>
        <v/>
      </c>
      <c r="N6222">
        <f>IF(G6222&lt;=1,"1. Under 1 hour",IF(G6222&lt;=24,"2. 1-24 hours",IF(G6222&lt;=72,"3. 1-3 days","4. Over 3 days")))</f>
        <v/>
      </c>
      <c r="O6222">
        <f>TEXT(B6222,"YYYY-MM")</f>
        <v/>
      </c>
    </row>
    <row r="6223">
      <c r="A6223" t="inlineStr">
        <is>
          <t>LD-306221</t>
        </is>
      </c>
      <c r="B6223" t="inlineStr">
        <is>
          <t>2025-12-09 10:42:00</t>
        </is>
      </c>
      <c r="C6223" t="inlineStr">
        <is>
          <t>Partner Channel</t>
        </is>
      </c>
      <c r="D6223" t="inlineStr">
        <is>
          <t>K-12 Math</t>
        </is>
      </c>
      <c r="E6223" t="inlineStr">
        <is>
          <t>East Region</t>
        </is>
      </c>
      <c r="F6223" t="inlineStr">
        <is>
          <t>Rep_09</t>
        </is>
      </c>
      <c r="G6223" t="n">
        <v>3.37</v>
      </c>
      <c r="H6223" t="inlineStr">
        <is>
          <t>Contacted</t>
        </is>
      </c>
      <c r="I6223" t="inlineStr">
        <is>
          <t>Open</t>
        </is>
      </c>
      <c r="M6223">
        <f>VLOOKUP(H6223,'Stage Order'!$A$2:$B$8,2,FALSE)</f>
        <v/>
      </c>
      <c r="N6223">
        <f>IF(G6223&lt;=1,"1. Under 1 hour",IF(G6223&lt;=24,"2. 1-24 hours",IF(G6223&lt;=72,"3. 1-3 days","4. Over 3 days")))</f>
        <v/>
      </c>
      <c r="O6223">
        <f>TEXT(B6223,"YYYY-MM")</f>
        <v/>
      </c>
    </row>
    <row r="6224">
      <c r="A6224" t="inlineStr">
        <is>
          <t>LD-306222</t>
        </is>
      </c>
      <c r="B6224" t="inlineStr">
        <is>
          <t>2025-06-27 11:29:00</t>
        </is>
      </c>
      <c r="C6224" t="inlineStr">
        <is>
          <t>Cold Outreach</t>
        </is>
      </c>
      <c r="D6224" t="inlineStr">
        <is>
          <t>Study Abroad Prep</t>
        </is>
      </c>
      <c r="E6224" t="inlineStr">
        <is>
          <t>North Region</t>
        </is>
      </c>
      <c r="F6224" t="inlineStr">
        <is>
          <t>Rep_06</t>
        </is>
      </c>
      <c r="G6224" t="n">
        <v>3.61</v>
      </c>
      <c r="H6224" t="inlineStr">
        <is>
          <t>Lead</t>
        </is>
      </c>
      <c r="I6224" t="inlineStr">
        <is>
          <t>Open</t>
        </is>
      </c>
      <c r="M6224">
        <f>VLOOKUP(H6224,'Stage Order'!$A$2:$B$8,2,FALSE)</f>
        <v/>
      </c>
      <c r="N6224">
        <f>IF(G6224&lt;=1,"1. Under 1 hour",IF(G6224&lt;=24,"2. 1-24 hours",IF(G6224&lt;=72,"3. 1-3 days","4. Over 3 days")))</f>
        <v/>
      </c>
      <c r="O6224">
        <f>TEXT(B6224,"YYYY-MM")</f>
        <v/>
      </c>
    </row>
    <row r="6225">
      <c r="A6225" t="inlineStr">
        <is>
          <t>LD-306223</t>
        </is>
      </c>
      <c r="B6225" t="inlineStr">
        <is>
          <t>2026-05-18 14:25:00</t>
        </is>
      </c>
      <c r="C6225" t="inlineStr">
        <is>
          <t>Cold Outreach</t>
        </is>
      </c>
      <c r="D6225" t="inlineStr">
        <is>
          <t>Competitive Exam Prep</t>
        </is>
      </c>
      <c r="E6225" t="inlineStr">
        <is>
          <t>South Region</t>
        </is>
      </c>
      <c r="F6225" t="inlineStr">
        <is>
          <t>Rep_02</t>
        </is>
      </c>
      <c r="G6225" t="n">
        <v>0.55</v>
      </c>
      <c r="H6225" t="inlineStr">
        <is>
          <t>Demo Completed</t>
        </is>
      </c>
      <c r="I6225" t="inlineStr">
        <is>
          <t>Lost</t>
        </is>
      </c>
      <c r="J6225" t="inlineStr">
        <is>
          <t>No Response / Ghosted</t>
        </is>
      </c>
      <c r="K6225" t="n">
        <v>886.25</v>
      </c>
      <c r="L6225" t="inlineStr">
        <is>
          <t>2026-06-26 13:18:11.523550</t>
        </is>
      </c>
      <c r="M6225">
        <f>VLOOKUP(H6225,'Stage Order'!$A$2:$B$8,2,FALSE)</f>
        <v/>
      </c>
      <c r="N6225">
        <f>IF(G6225&lt;=1,"1. Under 1 hour",IF(G6225&lt;=24,"2. 1-24 hours",IF(G6225&lt;=72,"3. 1-3 days","4. Over 3 days")))</f>
        <v/>
      </c>
      <c r="O6225">
        <f>TEXT(B6225,"YYYY-MM")</f>
        <v/>
      </c>
    </row>
    <row r="6226">
      <c r="A6226" t="inlineStr">
        <is>
          <t>LD-306224</t>
        </is>
      </c>
      <c r="B6226" t="inlineStr">
        <is>
          <t>2026-02-04 15:08:00</t>
        </is>
      </c>
      <c r="C6226" t="inlineStr">
        <is>
          <t>Referral</t>
        </is>
      </c>
      <c r="D6226" t="inlineStr">
        <is>
          <t>Competitive Exam Prep</t>
        </is>
      </c>
      <c r="E6226" t="inlineStr">
        <is>
          <t>East Region</t>
        </is>
      </c>
      <c r="F6226" t="inlineStr">
        <is>
          <t>Rep_14</t>
        </is>
      </c>
      <c r="G6226" t="n">
        <v>1.23</v>
      </c>
      <c r="H6226" t="inlineStr">
        <is>
          <t>Demo Completed</t>
        </is>
      </c>
      <c r="I6226" t="inlineStr">
        <is>
          <t>Lost</t>
        </is>
      </c>
      <c r="J6226" t="inlineStr">
        <is>
          <t>No Response / Ghosted</t>
        </is>
      </c>
      <c r="K6226" t="n">
        <v>973.33</v>
      </c>
      <c r="L6226" t="inlineStr">
        <is>
          <t>2026-03-20 01:53:13.820755</t>
        </is>
      </c>
      <c r="M6226">
        <f>VLOOKUP(H6226,'Stage Order'!$A$2:$B$8,2,FALSE)</f>
        <v/>
      </c>
      <c r="N6226">
        <f>IF(G6226&lt;=1,"1. Under 1 hour",IF(G6226&lt;=24,"2. 1-24 hours",IF(G6226&lt;=72,"3. 1-3 days","4. Over 3 days")))</f>
        <v/>
      </c>
      <c r="O6226">
        <f>TEXT(B6226,"YYYY-MM")</f>
        <v/>
      </c>
    </row>
    <row r="6227">
      <c r="A6227" t="inlineStr">
        <is>
          <t>LD-306225</t>
        </is>
      </c>
      <c r="B6227" t="inlineStr">
        <is>
          <t>2025-04-08 20:14:00</t>
        </is>
      </c>
      <c r="C6227" t="inlineStr">
        <is>
          <t>Organic Search</t>
        </is>
      </c>
      <c r="D6227" t="inlineStr">
        <is>
          <t>Language Learning</t>
        </is>
      </c>
      <c r="E6227" t="inlineStr">
        <is>
          <t>North Region</t>
        </is>
      </c>
      <c r="F6227" t="inlineStr">
        <is>
          <t>Rep_11</t>
        </is>
      </c>
      <c r="G6227" t="n">
        <v>1.78</v>
      </c>
      <c r="H6227" t="inlineStr">
        <is>
          <t>Closed</t>
        </is>
      </c>
      <c r="I6227" t="inlineStr">
        <is>
          <t>Won</t>
        </is>
      </c>
      <c r="K6227" t="n">
        <v>328.73</v>
      </c>
      <c r="L6227" t="inlineStr">
        <is>
          <t>2025-05-23 16:58:03.886387</t>
        </is>
      </c>
      <c r="M6227">
        <f>VLOOKUP(H6227,'Stage Order'!$A$2:$B$8,2,FALSE)</f>
        <v/>
      </c>
      <c r="N6227">
        <f>IF(G6227&lt;=1,"1. Under 1 hour",IF(G6227&lt;=24,"2. 1-24 hours",IF(G6227&lt;=72,"3. 1-3 days","4. Over 3 days")))</f>
        <v/>
      </c>
      <c r="O6227">
        <f>TEXT(B6227,"YYYY-MM")</f>
        <v/>
      </c>
    </row>
    <row r="6228">
      <c r="A6228" t="inlineStr">
        <is>
          <t>LD-306226</t>
        </is>
      </c>
      <c r="B6228" t="inlineStr">
        <is>
          <t>2025-09-11 16:02:00</t>
        </is>
      </c>
      <c r="C6228" t="inlineStr">
        <is>
          <t>Partner Channel</t>
        </is>
      </c>
      <c r="D6228" t="inlineStr">
        <is>
          <t>K-12 Math</t>
        </is>
      </c>
      <c r="E6228" t="inlineStr">
        <is>
          <t>West Region</t>
        </is>
      </c>
      <c r="F6228" t="inlineStr">
        <is>
          <t>Rep_08</t>
        </is>
      </c>
      <c r="G6228" t="n">
        <v>1</v>
      </c>
      <c r="H6228" t="inlineStr">
        <is>
          <t>Contacted</t>
        </is>
      </c>
      <c r="I6228" t="inlineStr">
        <is>
          <t>Open</t>
        </is>
      </c>
      <c r="M6228">
        <f>VLOOKUP(H6228,'Stage Order'!$A$2:$B$8,2,FALSE)</f>
        <v/>
      </c>
      <c r="N6228">
        <f>IF(G6228&lt;=1,"1. Under 1 hour",IF(G6228&lt;=24,"2. 1-24 hours",IF(G6228&lt;=72,"3. 1-3 days","4. Over 3 days")))</f>
        <v/>
      </c>
      <c r="O6228">
        <f>TEXT(B6228,"YYYY-MM")</f>
        <v/>
      </c>
    </row>
    <row r="6229">
      <c r="A6229" t="inlineStr">
        <is>
          <t>LD-306227</t>
        </is>
      </c>
      <c r="B6229" t="inlineStr">
        <is>
          <t>2025-05-05 08:32:00</t>
        </is>
      </c>
      <c r="C6229" t="inlineStr">
        <is>
          <t>Organic Search</t>
        </is>
      </c>
      <c r="D6229" t="inlineStr">
        <is>
          <t>Language Learning</t>
        </is>
      </c>
      <c r="E6229" t="inlineStr">
        <is>
          <t>South Region</t>
        </is>
      </c>
      <c r="F6229" t="inlineStr">
        <is>
          <t>Rep_07</t>
        </is>
      </c>
      <c r="G6229" t="n">
        <v>3.72</v>
      </c>
      <c r="H6229" t="inlineStr">
        <is>
          <t>Contacted</t>
        </is>
      </c>
      <c r="I6229" t="inlineStr">
        <is>
          <t>Open</t>
        </is>
      </c>
      <c r="M6229">
        <f>VLOOKUP(H6229,'Stage Order'!$A$2:$B$8,2,FALSE)</f>
        <v/>
      </c>
      <c r="N6229">
        <f>IF(G6229&lt;=1,"1. Under 1 hour",IF(G6229&lt;=24,"2. 1-24 hours",IF(G6229&lt;=72,"3. 1-3 days","4. Over 3 days")))</f>
        <v/>
      </c>
      <c r="O6229">
        <f>TEXT(B6229,"YYYY-MM")</f>
        <v/>
      </c>
    </row>
    <row r="6230">
      <c r="A6230" t="inlineStr">
        <is>
          <t>LD-306228</t>
        </is>
      </c>
      <c r="B6230" t="inlineStr">
        <is>
          <t>2026-06-09 12:55:00</t>
        </is>
      </c>
      <c r="C6230" t="inlineStr">
        <is>
          <t>Paid Search</t>
        </is>
      </c>
      <c r="D6230" t="inlineStr">
        <is>
          <t>Language Learning</t>
        </is>
      </c>
      <c r="E6230" t="inlineStr">
        <is>
          <t>West Region</t>
        </is>
      </c>
      <c r="F6230" t="inlineStr">
        <is>
          <t>Rep_03</t>
        </is>
      </c>
      <c r="G6230" t="n">
        <v>1.4</v>
      </c>
      <c r="H6230" t="inlineStr">
        <is>
          <t>Contacted</t>
        </is>
      </c>
      <c r="I6230" t="inlineStr">
        <is>
          <t>Open</t>
        </is>
      </c>
      <c r="M6230">
        <f>VLOOKUP(H6230,'Stage Order'!$A$2:$B$8,2,FALSE)</f>
        <v/>
      </c>
      <c r="N6230">
        <f>IF(G6230&lt;=1,"1. Under 1 hour",IF(G6230&lt;=24,"2. 1-24 hours",IF(G6230&lt;=72,"3. 1-3 days","4. Over 3 days")))</f>
        <v/>
      </c>
      <c r="O6230">
        <f>TEXT(B6230,"YYYY-MM")</f>
        <v/>
      </c>
    </row>
    <row r="6231">
      <c r="A6231" t="inlineStr">
        <is>
          <t>LD-306229</t>
        </is>
      </c>
      <c r="B6231" t="inlineStr">
        <is>
          <t>2025-07-18 08:59:00</t>
        </is>
      </c>
      <c r="C6231" t="inlineStr">
        <is>
          <t>Organic Search</t>
        </is>
      </c>
      <c r="D6231" t="inlineStr">
        <is>
          <t>Competitive Exam Prep</t>
        </is>
      </c>
      <c r="E6231" t="inlineStr">
        <is>
          <t>South Region</t>
        </is>
      </c>
      <c r="F6231" t="inlineStr">
        <is>
          <t>Rep_02</t>
        </is>
      </c>
      <c r="G6231" t="n">
        <v>1.82</v>
      </c>
      <c r="H6231" t="inlineStr">
        <is>
          <t>Contacted</t>
        </is>
      </c>
      <c r="I6231" t="inlineStr">
        <is>
          <t>Open</t>
        </is>
      </c>
      <c r="M6231">
        <f>VLOOKUP(H6231,'Stage Order'!$A$2:$B$8,2,FALSE)</f>
        <v/>
      </c>
      <c r="N6231">
        <f>IF(G6231&lt;=1,"1. Under 1 hour",IF(G6231&lt;=24,"2. 1-24 hours",IF(G6231&lt;=72,"3. 1-3 days","4. Over 3 days")))</f>
        <v/>
      </c>
      <c r="O6231">
        <f>TEXT(B6231,"YYYY-MM")</f>
        <v/>
      </c>
    </row>
    <row r="6232">
      <c r="A6232" t="inlineStr">
        <is>
          <t>LD-306230</t>
        </is>
      </c>
      <c r="B6232" t="inlineStr">
        <is>
          <t>2026-06-26 16:08:00</t>
        </is>
      </c>
      <c r="C6232" t="inlineStr">
        <is>
          <t>Paid Search</t>
        </is>
      </c>
      <c r="D6232" t="inlineStr">
        <is>
          <t>K-12 Math</t>
        </is>
      </c>
      <c r="E6232" t="inlineStr">
        <is>
          <t>International</t>
        </is>
      </c>
      <c r="F6232" t="inlineStr">
        <is>
          <t>Rep_05</t>
        </is>
      </c>
      <c r="G6232" t="n">
        <v>10.16</v>
      </c>
      <c r="H6232" t="inlineStr">
        <is>
          <t>Lead</t>
        </is>
      </c>
      <c r="I6232" t="inlineStr">
        <is>
          <t>Open</t>
        </is>
      </c>
      <c r="M6232">
        <f>VLOOKUP(H6232,'Stage Order'!$A$2:$B$8,2,FALSE)</f>
        <v/>
      </c>
      <c r="N6232">
        <f>IF(G6232&lt;=1,"1. Under 1 hour",IF(G6232&lt;=24,"2. 1-24 hours",IF(G6232&lt;=72,"3. 1-3 days","4. Over 3 days")))</f>
        <v/>
      </c>
      <c r="O6232">
        <f>TEXT(B6232,"YYYY-MM")</f>
        <v/>
      </c>
    </row>
    <row r="6233">
      <c r="A6233" t="inlineStr">
        <is>
          <t>LD-306231</t>
        </is>
      </c>
      <c r="B6233" t="inlineStr">
        <is>
          <t>2026-06-19 12:11:00</t>
        </is>
      </c>
      <c r="C6233" t="inlineStr">
        <is>
          <t>Organic Search</t>
        </is>
      </c>
      <c r="D6233" t="inlineStr">
        <is>
          <t>Language Learning</t>
        </is>
      </c>
      <c r="E6233" t="inlineStr">
        <is>
          <t>South Region</t>
        </is>
      </c>
      <c r="F6233" t="inlineStr">
        <is>
          <t>Rep_02</t>
        </is>
      </c>
      <c r="G6233" t="n">
        <v>3.77</v>
      </c>
      <c r="H6233" t="inlineStr">
        <is>
          <t>Lead</t>
        </is>
      </c>
      <c r="I6233" t="inlineStr">
        <is>
          <t>Open</t>
        </is>
      </c>
      <c r="M6233">
        <f>VLOOKUP(H6233,'Stage Order'!$A$2:$B$8,2,FALSE)</f>
        <v/>
      </c>
      <c r="N6233">
        <f>IF(G6233&lt;=1,"1. Under 1 hour",IF(G6233&lt;=24,"2. 1-24 hours",IF(G6233&lt;=72,"3. 1-3 days","4. Over 3 days")))</f>
        <v/>
      </c>
      <c r="O6233">
        <f>TEXT(B6233,"YYYY-MM")</f>
        <v/>
      </c>
    </row>
    <row r="6234">
      <c r="A6234" t="inlineStr">
        <is>
          <t>LD-306232</t>
        </is>
      </c>
      <c r="B6234" t="inlineStr">
        <is>
          <t>2025-04-29 15:50:00</t>
        </is>
      </c>
      <c r="C6234" t="inlineStr">
        <is>
          <t>Partner Channel</t>
        </is>
      </c>
      <c r="D6234" t="inlineStr">
        <is>
          <t>K-12 Math</t>
        </is>
      </c>
      <c r="E6234" t="inlineStr">
        <is>
          <t>East Region</t>
        </is>
      </c>
      <c r="F6234" t="inlineStr">
        <is>
          <t>Rep_14</t>
        </is>
      </c>
      <c r="G6234" t="n">
        <v>1.37</v>
      </c>
      <c r="H6234" t="inlineStr">
        <is>
          <t>Demo Scheduled</t>
        </is>
      </c>
      <c r="I6234" t="inlineStr">
        <is>
          <t>Open</t>
        </is>
      </c>
      <c r="M6234">
        <f>VLOOKUP(H6234,'Stage Order'!$A$2:$B$8,2,FALSE)</f>
        <v/>
      </c>
      <c r="N6234">
        <f>IF(G6234&lt;=1,"1. Under 1 hour",IF(G6234&lt;=24,"2. 1-24 hours",IF(G6234&lt;=72,"3. 1-3 days","4. Over 3 days")))</f>
        <v/>
      </c>
      <c r="O6234">
        <f>TEXT(B6234,"YYYY-MM")</f>
        <v/>
      </c>
    </row>
    <row r="6235">
      <c r="A6235" t="inlineStr">
        <is>
          <t>LD-306233</t>
        </is>
      </c>
      <c r="B6235" t="inlineStr">
        <is>
          <t>2025-08-22 17:54:00</t>
        </is>
      </c>
      <c r="C6235" t="inlineStr">
        <is>
          <t>Webinar</t>
        </is>
      </c>
      <c r="D6235" t="inlineStr">
        <is>
          <t>Coding for Kids</t>
        </is>
      </c>
      <c r="E6235" t="inlineStr">
        <is>
          <t>West Region</t>
        </is>
      </c>
      <c r="F6235" t="inlineStr">
        <is>
          <t>Rep_13</t>
        </is>
      </c>
      <c r="G6235" t="n">
        <v>5.74</v>
      </c>
      <c r="H6235" t="inlineStr">
        <is>
          <t>Closed</t>
        </is>
      </c>
      <c r="I6235" t="inlineStr">
        <is>
          <t>Won</t>
        </is>
      </c>
      <c r="K6235" t="n">
        <v>628.46</v>
      </c>
      <c r="L6235" t="inlineStr">
        <is>
          <t>2025-10-01 20:35:21.508891</t>
        </is>
      </c>
      <c r="M6235">
        <f>VLOOKUP(H6235,'Stage Order'!$A$2:$B$8,2,FALSE)</f>
        <v/>
      </c>
      <c r="N6235">
        <f>IF(G6235&lt;=1,"1. Under 1 hour",IF(G6235&lt;=24,"2. 1-24 hours",IF(G6235&lt;=72,"3. 1-3 days","4. Over 3 days")))</f>
        <v/>
      </c>
      <c r="O6235">
        <f>TEXT(B6235,"YYYY-MM")</f>
        <v/>
      </c>
    </row>
    <row r="6236">
      <c r="A6236" t="inlineStr">
        <is>
          <t>LD-306234</t>
        </is>
      </c>
      <c r="B6236" t="inlineStr">
        <is>
          <t>2025-12-30 13:58:00</t>
        </is>
      </c>
      <c r="C6236" t="inlineStr">
        <is>
          <t>Paid Search</t>
        </is>
      </c>
      <c r="D6236" t="inlineStr">
        <is>
          <t>K-12 Math</t>
        </is>
      </c>
      <c r="E6236" t="inlineStr">
        <is>
          <t>North Region</t>
        </is>
      </c>
      <c r="F6236" t="inlineStr">
        <is>
          <t>Rep_06</t>
        </is>
      </c>
      <c r="G6236" t="n">
        <v>4.76</v>
      </c>
      <c r="H6236" t="inlineStr">
        <is>
          <t>Lead</t>
        </is>
      </c>
      <c r="I6236" t="inlineStr">
        <is>
          <t>Open</t>
        </is>
      </c>
      <c r="M6236">
        <f>VLOOKUP(H6236,'Stage Order'!$A$2:$B$8,2,FALSE)</f>
        <v/>
      </c>
      <c r="N6236">
        <f>IF(G6236&lt;=1,"1. Under 1 hour",IF(G6236&lt;=24,"2. 1-24 hours",IF(G6236&lt;=72,"3. 1-3 days","4. Over 3 days")))</f>
        <v/>
      </c>
      <c r="O6236">
        <f>TEXT(B6236,"YYYY-MM")</f>
        <v/>
      </c>
    </row>
    <row r="6237">
      <c r="A6237" t="inlineStr">
        <is>
          <t>LD-306235</t>
        </is>
      </c>
      <c r="B6237" t="inlineStr">
        <is>
          <t>2025-06-06 14:43:00</t>
        </is>
      </c>
      <c r="C6237" t="inlineStr">
        <is>
          <t>Organic Search</t>
        </is>
      </c>
      <c r="D6237" t="inlineStr">
        <is>
          <t>Language Learning</t>
        </is>
      </c>
      <c r="E6237" t="inlineStr">
        <is>
          <t>North Region</t>
        </is>
      </c>
      <c r="F6237" t="inlineStr">
        <is>
          <t>Rep_11</t>
        </is>
      </c>
      <c r="G6237" t="n">
        <v>5.85</v>
      </c>
      <c r="H6237" t="inlineStr">
        <is>
          <t>Negotiation</t>
        </is>
      </c>
      <c r="I6237" t="inlineStr">
        <is>
          <t>Lost</t>
        </is>
      </c>
      <c r="J6237" t="inlineStr">
        <is>
          <t>Went With Competitor</t>
        </is>
      </c>
      <c r="K6237" t="n">
        <v>337.74</v>
      </c>
      <c r="L6237" t="inlineStr">
        <is>
          <t>2025-07-12 15:28:28.155474</t>
        </is>
      </c>
      <c r="M6237">
        <f>VLOOKUP(H6237,'Stage Order'!$A$2:$B$8,2,FALSE)</f>
        <v/>
      </c>
      <c r="N6237">
        <f>IF(G6237&lt;=1,"1. Under 1 hour",IF(G6237&lt;=24,"2. 1-24 hours",IF(G6237&lt;=72,"3. 1-3 days","4. Over 3 days")))</f>
        <v/>
      </c>
      <c r="O6237">
        <f>TEXT(B6237,"YYYY-MM")</f>
        <v/>
      </c>
    </row>
    <row r="6238">
      <c r="A6238" t="inlineStr">
        <is>
          <t>LD-306236</t>
        </is>
      </c>
      <c r="B6238" t="inlineStr">
        <is>
          <t>2025-07-31 08:50:00</t>
        </is>
      </c>
      <c r="C6238" t="inlineStr">
        <is>
          <t>Organic Search</t>
        </is>
      </c>
      <c r="D6238" t="inlineStr">
        <is>
          <t>Competitive Exam Prep</t>
        </is>
      </c>
      <c r="E6238" t="inlineStr">
        <is>
          <t>South Region</t>
        </is>
      </c>
      <c r="F6238" t="inlineStr">
        <is>
          <t>Rep_07</t>
        </is>
      </c>
      <c r="G6238" t="n">
        <v>3.29</v>
      </c>
      <c r="H6238" t="inlineStr">
        <is>
          <t>Contacted</t>
        </is>
      </c>
      <c r="I6238" t="inlineStr">
        <is>
          <t>Open</t>
        </is>
      </c>
      <c r="M6238">
        <f>VLOOKUP(H6238,'Stage Order'!$A$2:$B$8,2,FALSE)</f>
        <v/>
      </c>
      <c r="N6238">
        <f>IF(G6238&lt;=1,"1. Under 1 hour",IF(G6238&lt;=24,"2. 1-24 hours",IF(G6238&lt;=72,"3. 1-3 days","4. Over 3 days")))</f>
        <v/>
      </c>
      <c r="O6238">
        <f>TEXT(B6238,"YYYY-MM")</f>
        <v/>
      </c>
    </row>
    <row r="6239">
      <c r="A6239" t="inlineStr">
        <is>
          <t>LD-306237</t>
        </is>
      </c>
      <c r="B6239" t="inlineStr">
        <is>
          <t>2025-06-07 08:52:00</t>
        </is>
      </c>
      <c r="C6239" t="inlineStr">
        <is>
          <t>Social Media</t>
        </is>
      </c>
      <c r="D6239" t="inlineStr">
        <is>
          <t>Study Abroad Prep</t>
        </is>
      </c>
      <c r="E6239" t="inlineStr">
        <is>
          <t>West Region</t>
        </is>
      </c>
      <c r="F6239" t="inlineStr">
        <is>
          <t>Rep_03</t>
        </is>
      </c>
      <c r="G6239" t="n">
        <v>4.06</v>
      </c>
      <c r="H6239" t="inlineStr">
        <is>
          <t>Contacted</t>
        </is>
      </c>
      <c r="I6239" t="inlineStr">
        <is>
          <t>Open</t>
        </is>
      </c>
      <c r="M6239">
        <f>VLOOKUP(H6239,'Stage Order'!$A$2:$B$8,2,FALSE)</f>
        <v/>
      </c>
      <c r="N6239">
        <f>IF(G6239&lt;=1,"1. Under 1 hour",IF(G6239&lt;=24,"2. 1-24 hours",IF(G6239&lt;=72,"3. 1-3 days","4. Over 3 days")))</f>
        <v/>
      </c>
      <c r="O6239">
        <f>TEXT(B6239,"YYYY-MM")</f>
        <v/>
      </c>
    </row>
    <row r="6240">
      <c r="A6240" t="inlineStr">
        <is>
          <t>LD-306238</t>
        </is>
      </c>
      <c r="B6240" t="inlineStr">
        <is>
          <t>2025-07-08 19:27:00</t>
        </is>
      </c>
      <c r="C6240" t="inlineStr">
        <is>
          <t>Partner Channel</t>
        </is>
      </c>
      <c r="D6240" t="inlineStr">
        <is>
          <t>Competitive Exam Prep</t>
        </is>
      </c>
      <c r="E6240" t="inlineStr">
        <is>
          <t>North Region</t>
        </is>
      </c>
      <c r="F6240" t="inlineStr">
        <is>
          <t>Rep_06</t>
        </is>
      </c>
      <c r="G6240" t="n">
        <v>4.88</v>
      </c>
      <c r="H6240" t="inlineStr">
        <is>
          <t>Contacted</t>
        </is>
      </c>
      <c r="I6240" t="inlineStr">
        <is>
          <t>Open</t>
        </is>
      </c>
      <c r="M6240">
        <f>VLOOKUP(H6240,'Stage Order'!$A$2:$B$8,2,FALSE)</f>
        <v/>
      </c>
      <c r="N6240">
        <f>IF(G6240&lt;=1,"1. Under 1 hour",IF(G6240&lt;=24,"2. 1-24 hours",IF(G6240&lt;=72,"3. 1-3 days","4. Over 3 days")))</f>
        <v/>
      </c>
      <c r="O6240">
        <f>TEXT(B6240,"YYYY-MM")</f>
        <v/>
      </c>
    </row>
    <row r="6241">
      <c r="A6241" t="inlineStr">
        <is>
          <t>LD-306239</t>
        </is>
      </c>
      <c r="B6241" t="inlineStr">
        <is>
          <t>2026-02-27 15:16:00</t>
        </is>
      </c>
      <c r="C6241" t="inlineStr">
        <is>
          <t>Paid Search</t>
        </is>
      </c>
      <c r="D6241" t="inlineStr">
        <is>
          <t>Language Learning</t>
        </is>
      </c>
      <c r="E6241" t="inlineStr">
        <is>
          <t>South Region</t>
        </is>
      </c>
      <c r="F6241" t="inlineStr">
        <is>
          <t>Rep_07</t>
        </is>
      </c>
      <c r="G6241" t="n">
        <v>10.95</v>
      </c>
      <c r="H6241" t="inlineStr">
        <is>
          <t>Demo Completed</t>
        </is>
      </c>
      <c r="I6241" t="inlineStr">
        <is>
          <t>Lost</t>
        </is>
      </c>
      <c r="J6241" t="inlineStr">
        <is>
          <t>No Response / Ghosted</t>
        </is>
      </c>
      <c r="K6241" t="n">
        <v>341.11</v>
      </c>
      <c r="L6241" t="inlineStr">
        <is>
          <t>2026-03-22 00:53:18.206198</t>
        </is>
      </c>
      <c r="M6241">
        <f>VLOOKUP(H6241,'Stage Order'!$A$2:$B$8,2,FALSE)</f>
        <v/>
      </c>
      <c r="N6241">
        <f>IF(G6241&lt;=1,"1. Under 1 hour",IF(G6241&lt;=24,"2. 1-24 hours",IF(G6241&lt;=72,"3. 1-3 days","4. Over 3 days")))</f>
        <v/>
      </c>
      <c r="O6241">
        <f>TEXT(B6241,"YYYY-MM")</f>
        <v/>
      </c>
    </row>
    <row r="6242">
      <c r="A6242" t="inlineStr">
        <is>
          <t>LD-306240</t>
        </is>
      </c>
      <c r="B6242" t="inlineStr">
        <is>
          <t>2025-05-13 18:08:00</t>
        </is>
      </c>
      <c r="C6242" t="inlineStr">
        <is>
          <t>Paid Search</t>
        </is>
      </c>
      <c r="D6242" t="inlineStr">
        <is>
          <t>K-12 Math</t>
        </is>
      </c>
      <c r="E6242" t="inlineStr">
        <is>
          <t>West Region</t>
        </is>
      </c>
      <c r="F6242" t="inlineStr">
        <is>
          <t>Rep_13</t>
        </is>
      </c>
      <c r="G6242" t="n">
        <v>4.03</v>
      </c>
      <c r="H6242" t="inlineStr">
        <is>
          <t>Closed</t>
        </is>
      </c>
      <c r="I6242" t="inlineStr">
        <is>
          <t>Won</t>
        </is>
      </c>
      <c r="K6242" t="n">
        <v>439.04</v>
      </c>
      <c r="L6242" t="inlineStr">
        <is>
          <t>2025-06-12 05:40:37.306462</t>
        </is>
      </c>
      <c r="M6242">
        <f>VLOOKUP(H6242,'Stage Order'!$A$2:$B$8,2,FALSE)</f>
        <v/>
      </c>
      <c r="N6242">
        <f>IF(G6242&lt;=1,"1. Under 1 hour",IF(G6242&lt;=24,"2. 1-24 hours",IF(G6242&lt;=72,"3. 1-3 days","4. Over 3 days")))</f>
        <v/>
      </c>
      <c r="O6242">
        <f>TEXT(B6242,"YYYY-MM")</f>
        <v/>
      </c>
    </row>
    <row r="6243">
      <c r="A6243" t="inlineStr">
        <is>
          <t>LD-306241</t>
        </is>
      </c>
      <c r="B6243" t="inlineStr">
        <is>
          <t>2025-11-03 19:50:00</t>
        </is>
      </c>
      <c r="C6243" t="inlineStr">
        <is>
          <t>Referral</t>
        </is>
      </c>
      <c r="D6243" t="inlineStr">
        <is>
          <t>Coding for Kids</t>
        </is>
      </c>
      <c r="E6243" t="inlineStr">
        <is>
          <t>West Region</t>
        </is>
      </c>
      <c r="F6243" t="inlineStr">
        <is>
          <t>Rep_13</t>
        </is>
      </c>
      <c r="G6243" t="n">
        <v>2.18</v>
      </c>
      <c r="H6243" t="inlineStr">
        <is>
          <t>Contacted</t>
        </is>
      </c>
      <c r="I6243" t="inlineStr">
        <is>
          <t>Open</t>
        </is>
      </c>
      <c r="M6243">
        <f>VLOOKUP(H6243,'Stage Order'!$A$2:$B$8,2,FALSE)</f>
        <v/>
      </c>
      <c r="N6243">
        <f>IF(G6243&lt;=1,"1. Under 1 hour",IF(G6243&lt;=24,"2. 1-24 hours",IF(G6243&lt;=72,"3. 1-3 days","4. Over 3 days")))</f>
        <v/>
      </c>
      <c r="O6243">
        <f>TEXT(B6243,"YYYY-MM")</f>
        <v/>
      </c>
    </row>
    <row r="6244">
      <c r="A6244" t="inlineStr">
        <is>
          <t>LD-306242</t>
        </is>
      </c>
      <c r="B6244" t="inlineStr">
        <is>
          <t>2025-10-28 12:32:00</t>
        </is>
      </c>
      <c r="C6244" t="inlineStr">
        <is>
          <t>Partner Channel</t>
        </is>
      </c>
      <c r="D6244" t="inlineStr">
        <is>
          <t>Language Learning</t>
        </is>
      </c>
      <c r="E6244" t="inlineStr">
        <is>
          <t>North Region</t>
        </is>
      </c>
      <c r="F6244" t="inlineStr">
        <is>
          <t>Rep_01</t>
        </is>
      </c>
      <c r="G6244" t="n">
        <v>0.67</v>
      </c>
      <c r="H6244" t="inlineStr">
        <is>
          <t>Closed</t>
        </is>
      </c>
      <c r="I6244" t="inlineStr">
        <is>
          <t>Won</t>
        </is>
      </c>
      <c r="K6244" t="n">
        <v>395.61</v>
      </c>
      <c r="L6244" t="inlineStr">
        <is>
          <t>2025-12-05 09:12:55.315376</t>
        </is>
      </c>
      <c r="M6244">
        <f>VLOOKUP(H6244,'Stage Order'!$A$2:$B$8,2,FALSE)</f>
        <v/>
      </c>
      <c r="N6244">
        <f>IF(G6244&lt;=1,"1. Under 1 hour",IF(G6244&lt;=24,"2. 1-24 hours",IF(G6244&lt;=72,"3. 1-3 days","4. Over 3 days")))</f>
        <v/>
      </c>
      <c r="O6244">
        <f>TEXT(B6244,"YYYY-MM")</f>
        <v/>
      </c>
    </row>
    <row r="6245">
      <c r="A6245" t="inlineStr">
        <is>
          <t>LD-306243</t>
        </is>
      </c>
      <c r="B6245" t="inlineStr">
        <is>
          <t>2026-02-05 18:53:00</t>
        </is>
      </c>
      <c r="C6245" t="inlineStr">
        <is>
          <t>Organic Search</t>
        </is>
      </c>
      <c r="D6245" t="inlineStr">
        <is>
          <t>Language Learning</t>
        </is>
      </c>
      <c r="E6245" t="inlineStr">
        <is>
          <t>South Region</t>
        </is>
      </c>
      <c r="F6245" t="inlineStr">
        <is>
          <t>Rep_07</t>
        </is>
      </c>
      <c r="G6245" t="n">
        <v>1.56</v>
      </c>
      <c r="H6245" t="inlineStr">
        <is>
          <t>Closed</t>
        </is>
      </c>
      <c r="I6245" t="inlineStr">
        <is>
          <t>Won</t>
        </is>
      </c>
      <c r="K6245" t="n">
        <v>382.97</v>
      </c>
      <c r="L6245" t="inlineStr">
        <is>
          <t>2026-03-16 12:19:37.738123</t>
        </is>
      </c>
      <c r="M6245">
        <f>VLOOKUP(H6245,'Stage Order'!$A$2:$B$8,2,FALSE)</f>
        <v/>
      </c>
      <c r="N6245">
        <f>IF(G6245&lt;=1,"1. Under 1 hour",IF(G6245&lt;=24,"2. 1-24 hours",IF(G6245&lt;=72,"3. 1-3 days","4. Over 3 days")))</f>
        <v/>
      </c>
      <c r="O6245">
        <f>TEXT(B6245,"YYYY-MM")</f>
        <v/>
      </c>
    </row>
    <row r="6246">
      <c r="A6246" t="inlineStr">
        <is>
          <t>LD-306244</t>
        </is>
      </c>
      <c r="B6246" t="inlineStr">
        <is>
          <t>2025-10-26 09:18:00</t>
        </is>
      </c>
      <c r="C6246" t="inlineStr">
        <is>
          <t>Referral</t>
        </is>
      </c>
      <c r="D6246" t="inlineStr">
        <is>
          <t>Competitive Exam Prep</t>
        </is>
      </c>
      <c r="E6246" t="inlineStr">
        <is>
          <t>East Region</t>
        </is>
      </c>
      <c r="F6246" t="inlineStr">
        <is>
          <t>Rep_04</t>
        </is>
      </c>
      <c r="G6246" t="n">
        <v>3.22</v>
      </c>
      <c r="H6246" t="inlineStr">
        <is>
          <t>Proposal Sent</t>
        </is>
      </c>
      <c r="I6246" t="inlineStr">
        <is>
          <t>Lost</t>
        </is>
      </c>
      <c r="J6246" t="inlineStr">
        <is>
          <t>Bad Timing</t>
        </is>
      </c>
      <c r="K6246" t="n">
        <v>1108.12</v>
      </c>
      <c r="L6246" t="inlineStr">
        <is>
          <t>2025-11-30 22:48:51.402152</t>
        </is>
      </c>
      <c r="M6246">
        <f>VLOOKUP(H6246,'Stage Order'!$A$2:$B$8,2,FALSE)</f>
        <v/>
      </c>
      <c r="N6246">
        <f>IF(G6246&lt;=1,"1. Under 1 hour",IF(G6246&lt;=24,"2. 1-24 hours",IF(G6246&lt;=72,"3. 1-3 days","4. Over 3 days")))</f>
        <v/>
      </c>
      <c r="O6246">
        <f>TEXT(B6246,"YYYY-MM")</f>
        <v/>
      </c>
    </row>
    <row r="6247">
      <c r="A6247" t="inlineStr">
        <is>
          <t>LD-306245</t>
        </is>
      </c>
      <c r="B6247" t="inlineStr">
        <is>
          <t>2026-03-12 17:05:00</t>
        </is>
      </c>
      <c r="C6247" t="inlineStr">
        <is>
          <t>Referral</t>
        </is>
      </c>
      <c r="D6247" t="inlineStr">
        <is>
          <t>Competitive Exam Prep</t>
        </is>
      </c>
      <c r="E6247" t="inlineStr">
        <is>
          <t>West Region</t>
        </is>
      </c>
      <c r="F6247" t="inlineStr">
        <is>
          <t>Rep_08</t>
        </is>
      </c>
      <c r="G6247" t="n">
        <v>1.35</v>
      </c>
      <c r="H6247" t="inlineStr">
        <is>
          <t>Closed</t>
        </is>
      </c>
      <c r="I6247" t="inlineStr">
        <is>
          <t>Won</t>
        </is>
      </c>
      <c r="K6247" t="n">
        <v>951.9400000000001</v>
      </c>
      <c r="L6247" t="inlineStr">
        <is>
          <t>2026-04-17 06:09:00.511114</t>
        </is>
      </c>
      <c r="M6247">
        <f>VLOOKUP(H6247,'Stage Order'!$A$2:$B$8,2,FALSE)</f>
        <v/>
      </c>
      <c r="N6247">
        <f>IF(G6247&lt;=1,"1. Under 1 hour",IF(G6247&lt;=24,"2. 1-24 hours",IF(G6247&lt;=72,"3. 1-3 days","4. Over 3 days")))</f>
        <v/>
      </c>
      <c r="O6247">
        <f>TEXT(B6247,"YYYY-MM")</f>
        <v/>
      </c>
    </row>
    <row r="6248">
      <c r="A6248" t="inlineStr">
        <is>
          <t>LD-306246</t>
        </is>
      </c>
      <c r="B6248" t="inlineStr">
        <is>
          <t>2025-08-04 16:43:00</t>
        </is>
      </c>
      <c r="C6248" t="inlineStr">
        <is>
          <t>Organic Search</t>
        </is>
      </c>
      <c r="D6248" t="inlineStr">
        <is>
          <t>Study Abroad Prep</t>
        </is>
      </c>
      <c r="E6248" t="inlineStr">
        <is>
          <t>West Region</t>
        </is>
      </c>
      <c r="F6248" t="inlineStr">
        <is>
          <t>Rep_03</t>
        </is>
      </c>
      <c r="G6248" t="n">
        <v>5.41</v>
      </c>
      <c r="H6248" t="inlineStr">
        <is>
          <t>Contacted</t>
        </is>
      </c>
      <c r="I6248" t="inlineStr">
        <is>
          <t>Open</t>
        </is>
      </c>
      <c r="M6248">
        <f>VLOOKUP(H6248,'Stage Order'!$A$2:$B$8,2,FALSE)</f>
        <v/>
      </c>
      <c r="N6248">
        <f>IF(G6248&lt;=1,"1. Under 1 hour",IF(G6248&lt;=24,"2. 1-24 hours",IF(G6248&lt;=72,"3. 1-3 days","4. Over 3 days")))</f>
        <v/>
      </c>
      <c r="O6248">
        <f>TEXT(B6248,"YYYY-MM")</f>
        <v/>
      </c>
    </row>
    <row r="6249">
      <c r="A6249" t="inlineStr">
        <is>
          <t>LD-306247</t>
        </is>
      </c>
      <c r="B6249" t="inlineStr">
        <is>
          <t>2026-03-04 17:03:00</t>
        </is>
      </c>
      <c r="C6249" t="inlineStr">
        <is>
          <t>Referral</t>
        </is>
      </c>
      <c r="D6249" t="inlineStr">
        <is>
          <t>Competitive Exam Prep</t>
        </is>
      </c>
      <c r="E6249" t="inlineStr">
        <is>
          <t>North Region</t>
        </is>
      </c>
      <c r="F6249" t="inlineStr">
        <is>
          <t>Rep_06</t>
        </is>
      </c>
      <c r="G6249" t="n">
        <v>0.9</v>
      </c>
      <c r="H6249" t="inlineStr">
        <is>
          <t>Contacted</t>
        </is>
      </c>
      <c r="I6249" t="inlineStr">
        <is>
          <t>Open</t>
        </is>
      </c>
      <c r="M6249">
        <f>VLOOKUP(H6249,'Stage Order'!$A$2:$B$8,2,FALSE)</f>
        <v/>
      </c>
      <c r="N6249">
        <f>IF(G6249&lt;=1,"1. Under 1 hour",IF(G6249&lt;=24,"2. 1-24 hours",IF(G6249&lt;=72,"3. 1-3 days","4. Over 3 days")))</f>
        <v/>
      </c>
      <c r="O6249">
        <f>TEXT(B6249,"YYYY-MM")</f>
        <v/>
      </c>
    </row>
    <row r="6250">
      <c r="A6250" t="inlineStr">
        <is>
          <t>LD-306248</t>
        </is>
      </c>
      <c r="B6250" t="inlineStr">
        <is>
          <t>2025-01-27 13:20:00</t>
        </is>
      </c>
      <c r="C6250" t="inlineStr">
        <is>
          <t>Social Media</t>
        </is>
      </c>
      <c r="D6250" t="inlineStr">
        <is>
          <t>K-12 Math</t>
        </is>
      </c>
      <c r="E6250" t="inlineStr">
        <is>
          <t>South Region</t>
        </is>
      </c>
      <c r="F6250" t="inlineStr">
        <is>
          <t>Rep_12</t>
        </is>
      </c>
      <c r="G6250" t="n">
        <v>0.46</v>
      </c>
      <c r="H6250" t="inlineStr">
        <is>
          <t>Lead</t>
        </is>
      </c>
      <c r="I6250" t="inlineStr">
        <is>
          <t>Open</t>
        </is>
      </c>
      <c r="M6250">
        <f>VLOOKUP(H6250,'Stage Order'!$A$2:$B$8,2,FALSE)</f>
        <v/>
      </c>
      <c r="N6250">
        <f>IF(G6250&lt;=1,"1. Under 1 hour",IF(G6250&lt;=24,"2. 1-24 hours",IF(G6250&lt;=72,"3. 1-3 days","4. Over 3 days")))</f>
        <v/>
      </c>
      <c r="O6250">
        <f>TEXT(B6250,"YYYY-MM")</f>
        <v/>
      </c>
    </row>
    <row r="6251">
      <c r="A6251" t="inlineStr">
        <is>
          <t>LD-306249</t>
        </is>
      </c>
      <c r="B6251" t="inlineStr">
        <is>
          <t>2025-04-15 12:23:00</t>
        </is>
      </c>
      <c r="C6251" t="inlineStr">
        <is>
          <t>Paid Search</t>
        </is>
      </c>
      <c r="D6251" t="inlineStr">
        <is>
          <t>Language Learning</t>
        </is>
      </c>
      <c r="E6251" t="inlineStr">
        <is>
          <t>East Region</t>
        </is>
      </c>
      <c r="F6251" t="inlineStr">
        <is>
          <t>Rep_14</t>
        </is>
      </c>
      <c r="G6251" t="n">
        <v>1.73</v>
      </c>
      <c r="H6251" t="inlineStr">
        <is>
          <t>Contacted</t>
        </is>
      </c>
      <c r="I6251" t="inlineStr">
        <is>
          <t>Open</t>
        </is>
      </c>
      <c r="M6251">
        <f>VLOOKUP(H6251,'Stage Order'!$A$2:$B$8,2,FALSE)</f>
        <v/>
      </c>
      <c r="N6251">
        <f>IF(G6251&lt;=1,"1. Under 1 hour",IF(G6251&lt;=24,"2. 1-24 hours",IF(G6251&lt;=72,"3. 1-3 days","4. Over 3 days")))</f>
        <v/>
      </c>
      <c r="O6251">
        <f>TEXT(B6251,"YYYY-MM")</f>
        <v/>
      </c>
    </row>
    <row r="6252">
      <c r="A6252" t="inlineStr">
        <is>
          <t>LD-306250</t>
        </is>
      </c>
      <c r="B6252" t="inlineStr">
        <is>
          <t>2025-10-05 12:34:00</t>
        </is>
      </c>
      <c r="C6252" t="inlineStr">
        <is>
          <t>Paid Search</t>
        </is>
      </c>
      <c r="D6252" t="inlineStr">
        <is>
          <t>Study Abroad Prep</t>
        </is>
      </c>
      <c r="E6252" t="inlineStr">
        <is>
          <t>East Region</t>
        </is>
      </c>
      <c r="F6252" t="inlineStr">
        <is>
          <t>Rep_14</t>
        </is>
      </c>
      <c r="G6252" t="n">
        <v>13.28</v>
      </c>
      <c r="H6252" t="inlineStr">
        <is>
          <t>Contacted</t>
        </is>
      </c>
      <c r="I6252" t="inlineStr">
        <is>
          <t>Open</t>
        </is>
      </c>
      <c r="M6252">
        <f>VLOOKUP(H6252,'Stage Order'!$A$2:$B$8,2,FALSE)</f>
        <v/>
      </c>
      <c r="N6252">
        <f>IF(G6252&lt;=1,"1. Under 1 hour",IF(G6252&lt;=24,"2. 1-24 hours",IF(G6252&lt;=72,"3. 1-3 days","4. Over 3 days")))</f>
        <v/>
      </c>
      <c r="O6252">
        <f>TEXT(B6252,"YYYY-MM")</f>
        <v/>
      </c>
    </row>
    <row r="6253">
      <c r="A6253" t="inlineStr">
        <is>
          <t>LD-306251</t>
        </is>
      </c>
      <c r="B6253" t="inlineStr">
        <is>
          <t>2026-03-09 13:02:00</t>
        </is>
      </c>
      <c r="C6253" t="inlineStr">
        <is>
          <t>Cold Outreach</t>
        </is>
      </c>
      <c r="D6253" t="inlineStr">
        <is>
          <t>Competitive Exam Prep</t>
        </is>
      </c>
      <c r="E6253" t="inlineStr">
        <is>
          <t>North Region</t>
        </is>
      </c>
      <c r="F6253" t="inlineStr">
        <is>
          <t>Rep_06</t>
        </is>
      </c>
      <c r="G6253" t="n">
        <v>4.15</v>
      </c>
      <c r="H6253" t="inlineStr">
        <is>
          <t>Lead</t>
        </is>
      </c>
      <c r="I6253" t="inlineStr">
        <is>
          <t>Open</t>
        </is>
      </c>
      <c r="M6253">
        <f>VLOOKUP(H6253,'Stage Order'!$A$2:$B$8,2,FALSE)</f>
        <v/>
      </c>
      <c r="N6253">
        <f>IF(G6253&lt;=1,"1. Under 1 hour",IF(G6253&lt;=24,"2. 1-24 hours",IF(G6253&lt;=72,"3. 1-3 days","4. Over 3 days")))</f>
        <v/>
      </c>
      <c r="O6253">
        <f>TEXT(B6253,"YYYY-MM")</f>
        <v/>
      </c>
    </row>
    <row r="6254">
      <c r="A6254" t="inlineStr">
        <is>
          <t>LD-306252</t>
        </is>
      </c>
      <c r="B6254" t="inlineStr">
        <is>
          <t>2025-01-07 11:36:00</t>
        </is>
      </c>
      <c r="C6254" t="inlineStr">
        <is>
          <t>Referral</t>
        </is>
      </c>
      <c r="D6254" t="inlineStr">
        <is>
          <t>Language Learning</t>
        </is>
      </c>
      <c r="E6254" t="inlineStr">
        <is>
          <t>North Region</t>
        </is>
      </c>
      <c r="F6254" t="inlineStr">
        <is>
          <t>Rep_06</t>
        </is>
      </c>
      <c r="G6254" t="n">
        <v>30.08</v>
      </c>
      <c r="H6254" t="inlineStr">
        <is>
          <t>Contacted</t>
        </is>
      </c>
      <c r="I6254" t="inlineStr">
        <is>
          <t>Open</t>
        </is>
      </c>
      <c r="M6254">
        <f>VLOOKUP(H6254,'Stage Order'!$A$2:$B$8,2,FALSE)</f>
        <v/>
      </c>
      <c r="N6254">
        <f>IF(G6254&lt;=1,"1. Under 1 hour",IF(G6254&lt;=24,"2. 1-24 hours",IF(G6254&lt;=72,"3. 1-3 days","4. Over 3 days")))</f>
        <v/>
      </c>
      <c r="O6254">
        <f>TEXT(B6254,"YYYY-MM")</f>
        <v/>
      </c>
    </row>
    <row r="6255">
      <c r="A6255" t="inlineStr">
        <is>
          <t>LD-306253</t>
        </is>
      </c>
      <c r="B6255" t="inlineStr">
        <is>
          <t>2025-07-04 11:44:00</t>
        </is>
      </c>
      <c r="C6255" t="inlineStr">
        <is>
          <t>Social Media</t>
        </is>
      </c>
      <c r="D6255" t="inlineStr">
        <is>
          <t>K-12 Math</t>
        </is>
      </c>
      <c r="E6255" t="inlineStr">
        <is>
          <t>North Region</t>
        </is>
      </c>
      <c r="F6255" t="inlineStr">
        <is>
          <t>Rep_06</t>
        </is>
      </c>
      <c r="G6255" t="n">
        <v>1.22</v>
      </c>
      <c r="H6255" t="inlineStr">
        <is>
          <t>Lead</t>
        </is>
      </c>
      <c r="I6255" t="inlineStr">
        <is>
          <t>Open</t>
        </is>
      </c>
      <c r="M6255">
        <f>VLOOKUP(H6255,'Stage Order'!$A$2:$B$8,2,FALSE)</f>
        <v/>
      </c>
      <c r="N6255">
        <f>IF(G6255&lt;=1,"1. Under 1 hour",IF(G6255&lt;=24,"2. 1-24 hours",IF(G6255&lt;=72,"3. 1-3 days","4. Over 3 days")))</f>
        <v/>
      </c>
      <c r="O6255">
        <f>TEXT(B6255,"YYYY-MM")</f>
        <v/>
      </c>
    </row>
    <row r="6256">
      <c r="A6256" t="inlineStr">
        <is>
          <t>LD-306254</t>
        </is>
      </c>
      <c r="B6256" t="inlineStr">
        <is>
          <t>2025-09-16 13:35:00</t>
        </is>
      </c>
      <c r="C6256" t="inlineStr">
        <is>
          <t>Social Media</t>
        </is>
      </c>
      <c r="D6256" t="inlineStr">
        <is>
          <t>Study Abroad Prep</t>
        </is>
      </c>
      <c r="E6256" t="inlineStr">
        <is>
          <t>West Region</t>
        </is>
      </c>
      <c r="F6256" t="inlineStr">
        <is>
          <t>Rep_03</t>
        </is>
      </c>
      <c r="G6256" t="n">
        <v>2.02</v>
      </c>
      <c r="H6256" t="inlineStr">
        <is>
          <t>Contacted</t>
        </is>
      </c>
      <c r="I6256" t="inlineStr">
        <is>
          <t>Open</t>
        </is>
      </c>
      <c r="M6256">
        <f>VLOOKUP(H6256,'Stage Order'!$A$2:$B$8,2,FALSE)</f>
        <v/>
      </c>
      <c r="N6256">
        <f>IF(G6256&lt;=1,"1. Under 1 hour",IF(G6256&lt;=24,"2. 1-24 hours",IF(G6256&lt;=72,"3. 1-3 days","4. Over 3 days")))</f>
        <v/>
      </c>
      <c r="O6256">
        <f>TEXT(B6256,"YYYY-MM")</f>
        <v/>
      </c>
    </row>
    <row r="6257">
      <c r="A6257" t="inlineStr">
        <is>
          <t>LD-306255</t>
        </is>
      </c>
      <c r="B6257" t="inlineStr">
        <is>
          <t>2026-03-13 09:21:00</t>
        </is>
      </c>
      <c r="C6257" t="inlineStr">
        <is>
          <t>Referral</t>
        </is>
      </c>
      <c r="D6257" t="inlineStr">
        <is>
          <t>K-12 Math</t>
        </is>
      </c>
      <c r="E6257" t="inlineStr">
        <is>
          <t>East Region</t>
        </is>
      </c>
      <c r="F6257" t="inlineStr">
        <is>
          <t>Rep_04</t>
        </is>
      </c>
      <c r="G6257" t="n">
        <v>18.85</v>
      </c>
      <c r="H6257" t="inlineStr">
        <is>
          <t>Contacted</t>
        </is>
      </c>
      <c r="I6257" t="inlineStr">
        <is>
          <t>Open</t>
        </is>
      </c>
      <c r="M6257">
        <f>VLOOKUP(H6257,'Stage Order'!$A$2:$B$8,2,FALSE)</f>
        <v/>
      </c>
      <c r="N6257">
        <f>IF(G6257&lt;=1,"1. Under 1 hour",IF(G6257&lt;=24,"2. 1-24 hours",IF(G6257&lt;=72,"3. 1-3 days","4. Over 3 days")))</f>
        <v/>
      </c>
      <c r="O6257">
        <f>TEXT(B6257,"YYYY-MM")</f>
        <v/>
      </c>
    </row>
    <row r="6258">
      <c r="A6258" t="inlineStr">
        <is>
          <t>LD-306256</t>
        </is>
      </c>
      <c r="B6258" t="inlineStr">
        <is>
          <t>2025-05-01 18:34:00</t>
        </is>
      </c>
      <c r="C6258" t="inlineStr">
        <is>
          <t>Social Media</t>
        </is>
      </c>
      <c r="D6258" t="inlineStr">
        <is>
          <t>K-12 Math</t>
        </is>
      </c>
      <c r="E6258" t="inlineStr">
        <is>
          <t>North Region</t>
        </is>
      </c>
      <c r="F6258" t="inlineStr">
        <is>
          <t>Rep_11</t>
        </is>
      </c>
      <c r="G6258" t="n">
        <v>1.21</v>
      </c>
      <c r="H6258" t="inlineStr">
        <is>
          <t>Contacted</t>
        </is>
      </c>
      <c r="I6258" t="inlineStr">
        <is>
          <t>Open</t>
        </is>
      </c>
      <c r="M6258">
        <f>VLOOKUP(H6258,'Stage Order'!$A$2:$B$8,2,FALSE)</f>
        <v/>
      </c>
      <c r="N6258">
        <f>IF(G6258&lt;=1,"1. Under 1 hour",IF(G6258&lt;=24,"2. 1-24 hours",IF(G6258&lt;=72,"3. 1-3 days","4. Over 3 days")))</f>
        <v/>
      </c>
      <c r="O6258">
        <f>TEXT(B6258,"YYYY-MM")</f>
        <v/>
      </c>
    </row>
    <row r="6259">
      <c r="A6259" t="inlineStr">
        <is>
          <t>LD-306257</t>
        </is>
      </c>
      <c r="B6259" t="inlineStr">
        <is>
          <t>2025-05-02 17:03:00</t>
        </is>
      </c>
      <c r="C6259" t="inlineStr">
        <is>
          <t>Referral</t>
        </is>
      </c>
      <c r="D6259" t="inlineStr">
        <is>
          <t>Language Learning</t>
        </is>
      </c>
      <c r="E6259" t="inlineStr">
        <is>
          <t>North Region</t>
        </is>
      </c>
      <c r="F6259" t="inlineStr">
        <is>
          <t>Rep_06</t>
        </is>
      </c>
      <c r="G6259" t="n">
        <v>2.84</v>
      </c>
      <c r="H6259" t="inlineStr">
        <is>
          <t>Contacted</t>
        </is>
      </c>
      <c r="I6259" t="inlineStr">
        <is>
          <t>Open</t>
        </is>
      </c>
      <c r="M6259">
        <f>VLOOKUP(H6259,'Stage Order'!$A$2:$B$8,2,FALSE)</f>
        <v/>
      </c>
      <c r="N6259">
        <f>IF(G6259&lt;=1,"1. Under 1 hour",IF(G6259&lt;=24,"2. 1-24 hours",IF(G6259&lt;=72,"3. 1-3 days","4. Over 3 days")))</f>
        <v/>
      </c>
      <c r="O6259">
        <f>TEXT(B6259,"YYYY-MM")</f>
        <v/>
      </c>
    </row>
    <row r="6260">
      <c r="A6260" t="inlineStr">
        <is>
          <t>LD-306258</t>
        </is>
      </c>
      <c r="B6260" t="inlineStr">
        <is>
          <t>2025-07-07 07:24:00</t>
        </is>
      </c>
      <c r="C6260" t="inlineStr">
        <is>
          <t>Organic Search</t>
        </is>
      </c>
      <c r="D6260" t="inlineStr">
        <is>
          <t>Competitive Exam Prep</t>
        </is>
      </c>
      <c r="E6260" t="inlineStr">
        <is>
          <t>International</t>
        </is>
      </c>
      <c r="F6260" t="inlineStr">
        <is>
          <t>Rep_05</t>
        </is>
      </c>
      <c r="G6260" t="n">
        <v>2.8</v>
      </c>
      <c r="H6260" t="inlineStr">
        <is>
          <t>Lead</t>
        </is>
      </c>
      <c r="I6260" t="inlineStr">
        <is>
          <t>Open</t>
        </is>
      </c>
      <c r="M6260">
        <f>VLOOKUP(H6260,'Stage Order'!$A$2:$B$8,2,FALSE)</f>
        <v/>
      </c>
      <c r="N6260">
        <f>IF(G6260&lt;=1,"1. Under 1 hour",IF(G6260&lt;=24,"2. 1-24 hours",IF(G6260&lt;=72,"3. 1-3 days","4. Over 3 days")))</f>
        <v/>
      </c>
      <c r="O6260">
        <f>TEXT(B6260,"YYYY-MM")</f>
        <v/>
      </c>
    </row>
    <row r="6261">
      <c r="A6261" t="inlineStr">
        <is>
          <t>LD-306259</t>
        </is>
      </c>
      <c r="B6261" t="inlineStr">
        <is>
          <t>2025-06-11 12:12:00</t>
        </is>
      </c>
      <c r="C6261" t="inlineStr">
        <is>
          <t>Cold Outreach</t>
        </is>
      </c>
      <c r="D6261" t="inlineStr">
        <is>
          <t>K-12 Math</t>
        </is>
      </c>
      <c r="E6261" t="inlineStr">
        <is>
          <t>North Region</t>
        </is>
      </c>
      <c r="F6261" t="inlineStr">
        <is>
          <t>Rep_11</t>
        </is>
      </c>
      <c r="G6261" t="n">
        <v>9.369999999999999</v>
      </c>
      <c r="H6261" t="inlineStr">
        <is>
          <t>Proposal Sent</t>
        </is>
      </c>
      <c r="I6261" t="inlineStr">
        <is>
          <t>Lost</t>
        </is>
      </c>
      <c r="J6261" t="inlineStr">
        <is>
          <t>Bad Timing</t>
        </is>
      </c>
      <c r="K6261" t="n">
        <v>443.34</v>
      </c>
      <c r="L6261" t="inlineStr">
        <is>
          <t>2025-07-23 23:14:20.021811</t>
        </is>
      </c>
      <c r="M6261">
        <f>VLOOKUP(H6261,'Stage Order'!$A$2:$B$8,2,FALSE)</f>
        <v/>
      </c>
      <c r="N6261">
        <f>IF(G6261&lt;=1,"1. Under 1 hour",IF(G6261&lt;=24,"2. 1-24 hours",IF(G6261&lt;=72,"3. 1-3 days","4. Over 3 days")))</f>
        <v/>
      </c>
      <c r="O6261">
        <f>TEXT(B6261,"YYYY-MM")</f>
        <v/>
      </c>
    </row>
    <row r="6262">
      <c r="A6262" t="inlineStr">
        <is>
          <t>LD-306260</t>
        </is>
      </c>
      <c r="B6262" t="inlineStr">
        <is>
          <t>2026-05-01 18:58:00</t>
        </is>
      </c>
      <c r="C6262" t="inlineStr">
        <is>
          <t>Paid Search</t>
        </is>
      </c>
      <c r="D6262" t="inlineStr">
        <is>
          <t>Coding for Kids</t>
        </is>
      </c>
      <c r="E6262" t="inlineStr">
        <is>
          <t>South Region</t>
        </is>
      </c>
      <c r="F6262" t="inlineStr">
        <is>
          <t>Rep_07</t>
        </is>
      </c>
      <c r="G6262" t="n">
        <v>2.79</v>
      </c>
      <c r="H6262" t="inlineStr">
        <is>
          <t>Lead</t>
        </is>
      </c>
      <c r="I6262" t="inlineStr">
        <is>
          <t>Open</t>
        </is>
      </c>
      <c r="M6262">
        <f>VLOOKUP(H6262,'Stage Order'!$A$2:$B$8,2,FALSE)</f>
        <v/>
      </c>
      <c r="N6262">
        <f>IF(G6262&lt;=1,"1. Under 1 hour",IF(G6262&lt;=24,"2. 1-24 hours",IF(G6262&lt;=72,"3. 1-3 days","4. Over 3 days")))</f>
        <v/>
      </c>
      <c r="O6262">
        <f>TEXT(B6262,"YYYY-MM")</f>
        <v/>
      </c>
    </row>
    <row r="6263">
      <c r="A6263" t="inlineStr">
        <is>
          <t>LD-306261</t>
        </is>
      </c>
      <c r="B6263" t="inlineStr">
        <is>
          <t>2026-04-15 15:04:00</t>
        </is>
      </c>
      <c r="C6263" t="inlineStr">
        <is>
          <t>Referral</t>
        </is>
      </c>
      <c r="D6263" t="inlineStr">
        <is>
          <t>K-12 Math</t>
        </is>
      </c>
      <c r="E6263" t="inlineStr">
        <is>
          <t>West Region</t>
        </is>
      </c>
      <c r="F6263" t="inlineStr">
        <is>
          <t>Rep_08</t>
        </is>
      </c>
      <c r="G6263" t="n">
        <v>4.24</v>
      </c>
      <c r="H6263" t="inlineStr">
        <is>
          <t>Negotiation</t>
        </is>
      </c>
      <c r="I6263" t="inlineStr">
        <is>
          <t>Lost</t>
        </is>
      </c>
      <c r="J6263" t="inlineStr">
        <is>
          <t>No Response / Ghosted</t>
        </is>
      </c>
      <c r="K6263" t="n">
        <v>447.29</v>
      </c>
      <c r="L6263" t="inlineStr">
        <is>
          <t>2026-05-20 09:21:08.937196</t>
        </is>
      </c>
      <c r="M6263">
        <f>VLOOKUP(H6263,'Stage Order'!$A$2:$B$8,2,FALSE)</f>
        <v/>
      </c>
      <c r="N6263">
        <f>IF(G6263&lt;=1,"1. Under 1 hour",IF(G6263&lt;=24,"2. 1-24 hours",IF(G6263&lt;=72,"3. 1-3 days","4. Over 3 days")))</f>
        <v/>
      </c>
      <c r="O6263">
        <f>TEXT(B6263,"YYYY-MM")</f>
        <v/>
      </c>
    </row>
    <row r="6264">
      <c r="A6264" t="inlineStr">
        <is>
          <t>LD-306262</t>
        </is>
      </c>
      <c r="B6264" t="inlineStr">
        <is>
          <t>2025-12-13 09:34:00</t>
        </is>
      </c>
      <c r="C6264" t="inlineStr">
        <is>
          <t>Referral</t>
        </is>
      </c>
      <c r="D6264" t="inlineStr">
        <is>
          <t>Coding for Kids</t>
        </is>
      </c>
      <c r="E6264" t="inlineStr">
        <is>
          <t>International</t>
        </is>
      </c>
      <c r="F6264" t="inlineStr">
        <is>
          <t>Rep_15</t>
        </is>
      </c>
      <c r="G6264" t="n">
        <v>1.78</v>
      </c>
      <c r="H6264" t="inlineStr">
        <is>
          <t>Contacted</t>
        </is>
      </c>
      <c r="I6264" t="inlineStr">
        <is>
          <t>Open</t>
        </is>
      </c>
      <c r="M6264">
        <f>VLOOKUP(H6264,'Stage Order'!$A$2:$B$8,2,FALSE)</f>
        <v/>
      </c>
      <c r="N6264">
        <f>IF(G6264&lt;=1,"1. Under 1 hour",IF(G6264&lt;=24,"2. 1-24 hours",IF(G6264&lt;=72,"3. 1-3 days","4. Over 3 days")))</f>
        <v/>
      </c>
      <c r="O6264">
        <f>TEXT(B6264,"YYYY-MM")</f>
        <v/>
      </c>
    </row>
    <row r="6265">
      <c r="A6265" t="inlineStr">
        <is>
          <t>LD-306263</t>
        </is>
      </c>
      <c r="B6265" t="inlineStr">
        <is>
          <t>2026-04-06 13:55:00</t>
        </is>
      </c>
      <c r="C6265" t="inlineStr">
        <is>
          <t>Referral</t>
        </is>
      </c>
      <c r="D6265" t="inlineStr">
        <is>
          <t>Coding for Kids</t>
        </is>
      </c>
      <c r="E6265" t="inlineStr">
        <is>
          <t>East Region</t>
        </is>
      </c>
      <c r="F6265" t="inlineStr">
        <is>
          <t>Rep_14</t>
        </is>
      </c>
      <c r="G6265" t="n">
        <v>3.49</v>
      </c>
      <c r="H6265" t="inlineStr">
        <is>
          <t>Contacted</t>
        </is>
      </c>
      <c r="I6265" t="inlineStr">
        <is>
          <t>Open</t>
        </is>
      </c>
      <c r="M6265">
        <f>VLOOKUP(H6265,'Stage Order'!$A$2:$B$8,2,FALSE)</f>
        <v/>
      </c>
      <c r="N6265">
        <f>IF(G6265&lt;=1,"1. Under 1 hour",IF(G6265&lt;=24,"2. 1-24 hours",IF(G6265&lt;=72,"3. 1-3 days","4. Over 3 days")))</f>
        <v/>
      </c>
      <c r="O6265">
        <f>TEXT(B6265,"YYYY-MM")</f>
        <v/>
      </c>
    </row>
    <row r="6266">
      <c r="A6266" t="inlineStr">
        <is>
          <t>LD-306264</t>
        </is>
      </c>
      <c r="B6266" t="inlineStr">
        <is>
          <t>2025-02-21 07:22:00</t>
        </is>
      </c>
      <c r="C6266" t="inlineStr">
        <is>
          <t>Social Media</t>
        </is>
      </c>
      <c r="D6266" t="inlineStr">
        <is>
          <t>Competitive Exam Prep</t>
        </is>
      </c>
      <c r="E6266" t="inlineStr">
        <is>
          <t>South Region</t>
        </is>
      </c>
      <c r="F6266" t="inlineStr">
        <is>
          <t>Rep_07</t>
        </is>
      </c>
      <c r="G6266" t="n">
        <v>1.4</v>
      </c>
      <c r="H6266" t="inlineStr">
        <is>
          <t>Lead</t>
        </is>
      </c>
      <c r="I6266" t="inlineStr">
        <is>
          <t>Open</t>
        </is>
      </c>
      <c r="M6266">
        <f>VLOOKUP(H6266,'Stage Order'!$A$2:$B$8,2,FALSE)</f>
        <v/>
      </c>
      <c r="N6266">
        <f>IF(G6266&lt;=1,"1. Under 1 hour",IF(G6266&lt;=24,"2. 1-24 hours",IF(G6266&lt;=72,"3. 1-3 days","4. Over 3 days")))</f>
        <v/>
      </c>
      <c r="O6266">
        <f>TEXT(B6266,"YYYY-MM")</f>
        <v/>
      </c>
    </row>
    <row r="6267">
      <c r="A6267" t="inlineStr">
        <is>
          <t>LD-306265</t>
        </is>
      </c>
      <c r="B6267" t="inlineStr">
        <is>
          <t>2026-04-03 08:18:00</t>
        </is>
      </c>
      <c r="C6267" t="inlineStr">
        <is>
          <t>Webinar</t>
        </is>
      </c>
      <c r="D6267" t="inlineStr">
        <is>
          <t>Competitive Exam Prep</t>
        </is>
      </c>
      <c r="E6267" t="inlineStr">
        <is>
          <t>International</t>
        </is>
      </c>
      <c r="F6267" t="inlineStr">
        <is>
          <t>Rep_10</t>
        </is>
      </c>
      <c r="G6267" t="n">
        <v>3.54</v>
      </c>
      <c r="H6267" t="inlineStr">
        <is>
          <t>Contacted</t>
        </is>
      </c>
      <c r="I6267" t="inlineStr">
        <is>
          <t>Open</t>
        </is>
      </c>
      <c r="M6267">
        <f>VLOOKUP(H6267,'Stage Order'!$A$2:$B$8,2,FALSE)</f>
        <v/>
      </c>
      <c r="N6267">
        <f>IF(G6267&lt;=1,"1. Under 1 hour",IF(G6267&lt;=24,"2. 1-24 hours",IF(G6267&lt;=72,"3. 1-3 days","4. Over 3 days")))</f>
        <v/>
      </c>
      <c r="O6267">
        <f>TEXT(B6267,"YYYY-MM")</f>
        <v/>
      </c>
    </row>
    <row r="6268">
      <c r="A6268" t="inlineStr">
        <is>
          <t>LD-306266</t>
        </is>
      </c>
      <c r="B6268" t="inlineStr">
        <is>
          <t>2026-02-13 07:30:00</t>
        </is>
      </c>
      <c r="C6268" t="inlineStr">
        <is>
          <t>Paid Search</t>
        </is>
      </c>
      <c r="D6268" t="inlineStr">
        <is>
          <t>Coding for Kids</t>
        </is>
      </c>
      <c r="E6268" t="inlineStr">
        <is>
          <t>North Region</t>
        </is>
      </c>
      <c r="F6268" t="inlineStr">
        <is>
          <t>Rep_06</t>
        </is>
      </c>
      <c r="G6268" t="n">
        <v>2.15</v>
      </c>
      <c r="H6268" t="inlineStr">
        <is>
          <t>Contacted</t>
        </is>
      </c>
      <c r="I6268" t="inlineStr">
        <is>
          <t>Open</t>
        </is>
      </c>
      <c r="M6268">
        <f>VLOOKUP(H6268,'Stage Order'!$A$2:$B$8,2,FALSE)</f>
        <v/>
      </c>
      <c r="N6268">
        <f>IF(G6268&lt;=1,"1. Under 1 hour",IF(G6268&lt;=24,"2. 1-24 hours",IF(G6268&lt;=72,"3. 1-3 days","4. Over 3 days")))</f>
        <v/>
      </c>
      <c r="O6268">
        <f>TEXT(B6268,"YYYY-MM")</f>
        <v/>
      </c>
    </row>
    <row r="6269">
      <c r="A6269" t="inlineStr">
        <is>
          <t>LD-306267</t>
        </is>
      </c>
      <c r="B6269" t="inlineStr">
        <is>
          <t>2025-05-14 13:34:00</t>
        </is>
      </c>
      <c r="C6269" t="inlineStr">
        <is>
          <t>Paid Search</t>
        </is>
      </c>
      <c r="D6269" t="inlineStr">
        <is>
          <t>Language Learning</t>
        </is>
      </c>
      <c r="E6269" t="inlineStr">
        <is>
          <t>North Region</t>
        </is>
      </c>
      <c r="F6269" t="inlineStr">
        <is>
          <t>Rep_11</t>
        </is>
      </c>
      <c r="G6269" t="n">
        <v>2.04</v>
      </c>
      <c r="H6269" t="inlineStr">
        <is>
          <t>Negotiation</t>
        </is>
      </c>
      <c r="I6269" t="inlineStr">
        <is>
          <t>Lost</t>
        </is>
      </c>
      <c r="J6269" t="inlineStr">
        <is>
          <t>No Response / Ghosted</t>
        </is>
      </c>
      <c r="K6269" t="n">
        <v>354.43</v>
      </c>
      <c r="L6269" t="inlineStr">
        <is>
          <t>2025-06-25 10:40:26.171781</t>
        </is>
      </c>
      <c r="M6269">
        <f>VLOOKUP(H6269,'Stage Order'!$A$2:$B$8,2,FALSE)</f>
        <v/>
      </c>
      <c r="N6269">
        <f>IF(G6269&lt;=1,"1. Under 1 hour",IF(G6269&lt;=24,"2. 1-24 hours",IF(G6269&lt;=72,"3. 1-3 days","4. Over 3 days")))</f>
        <v/>
      </c>
      <c r="O6269">
        <f>TEXT(B6269,"YYYY-MM")</f>
        <v/>
      </c>
    </row>
    <row r="6270">
      <c r="A6270" t="inlineStr">
        <is>
          <t>LD-306268</t>
        </is>
      </c>
      <c r="B6270" t="inlineStr">
        <is>
          <t>2025-05-28 14:08:00</t>
        </is>
      </c>
      <c r="C6270" t="inlineStr">
        <is>
          <t>Social Media</t>
        </is>
      </c>
      <c r="D6270" t="inlineStr">
        <is>
          <t>Coding for Kids</t>
        </is>
      </c>
      <c r="E6270" t="inlineStr">
        <is>
          <t>North Region</t>
        </is>
      </c>
      <c r="F6270" t="inlineStr">
        <is>
          <t>Rep_06</t>
        </is>
      </c>
      <c r="G6270" t="n">
        <v>5.18</v>
      </c>
      <c r="H6270" t="inlineStr">
        <is>
          <t>Contacted</t>
        </is>
      </c>
      <c r="I6270" t="inlineStr">
        <is>
          <t>Open</t>
        </is>
      </c>
      <c r="M6270">
        <f>VLOOKUP(H6270,'Stage Order'!$A$2:$B$8,2,FALSE)</f>
        <v/>
      </c>
      <c r="N6270">
        <f>IF(G6270&lt;=1,"1. Under 1 hour",IF(G6270&lt;=24,"2. 1-24 hours",IF(G6270&lt;=72,"3. 1-3 days","4. Over 3 days")))</f>
        <v/>
      </c>
      <c r="O6270">
        <f>TEXT(B6270,"YYYY-MM")</f>
        <v/>
      </c>
    </row>
    <row r="6271">
      <c r="A6271" t="inlineStr">
        <is>
          <t>LD-306269</t>
        </is>
      </c>
      <c r="B6271" t="inlineStr">
        <is>
          <t>2026-03-29 09:48:00</t>
        </is>
      </c>
      <c r="C6271" t="inlineStr">
        <is>
          <t>Organic Search</t>
        </is>
      </c>
      <c r="D6271" t="inlineStr">
        <is>
          <t>K-12 Math</t>
        </is>
      </c>
      <c r="E6271" t="inlineStr">
        <is>
          <t>International</t>
        </is>
      </c>
      <c r="F6271" t="inlineStr">
        <is>
          <t>Rep_15</t>
        </is>
      </c>
      <c r="G6271" t="n">
        <v>6.19</v>
      </c>
      <c r="H6271" t="inlineStr">
        <is>
          <t>Closed</t>
        </is>
      </c>
      <c r="I6271" t="inlineStr">
        <is>
          <t>Won</t>
        </is>
      </c>
      <c r="K6271" t="n">
        <v>573.0700000000001</v>
      </c>
      <c r="L6271" t="inlineStr">
        <is>
          <t>2026-04-30 18:35:08.546168</t>
        </is>
      </c>
      <c r="M6271">
        <f>VLOOKUP(H6271,'Stage Order'!$A$2:$B$8,2,FALSE)</f>
        <v/>
      </c>
      <c r="N6271">
        <f>IF(G6271&lt;=1,"1. Under 1 hour",IF(G6271&lt;=24,"2. 1-24 hours",IF(G6271&lt;=72,"3. 1-3 days","4. Over 3 days")))</f>
        <v/>
      </c>
      <c r="O6271">
        <f>TEXT(B6271,"YYYY-MM")</f>
        <v/>
      </c>
    </row>
    <row r="6272">
      <c r="A6272" t="inlineStr">
        <is>
          <t>LD-306270</t>
        </is>
      </c>
      <c r="B6272" t="inlineStr">
        <is>
          <t>2025-07-16 12:46:00</t>
        </is>
      </c>
      <c r="C6272" t="inlineStr">
        <is>
          <t>Social Media</t>
        </is>
      </c>
      <c r="D6272" t="inlineStr">
        <is>
          <t>K-12 Math</t>
        </is>
      </c>
      <c r="E6272" t="inlineStr">
        <is>
          <t>South Region</t>
        </is>
      </c>
      <c r="F6272" t="inlineStr">
        <is>
          <t>Rep_07</t>
        </is>
      </c>
      <c r="G6272" t="n">
        <v>0.95</v>
      </c>
      <c r="H6272" t="inlineStr">
        <is>
          <t>Contacted</t>
        </is>
      </c>
      <c r="I6272" t="inlineStr">
        <is>
          <t>Open</t>
        </is>
      </c>
      <c r="M6272">
        <f>VLOOKUP(H6272,'Stage Order'!$A$2:$B$8,2,FALSE)</f>
        <v/>
      </c>
      <c r="N6272">
        <f>IF(G6272&lt;=1,"1. Under 1 hour",IF(G6272&lt;=24,"2. 1-24 hours",IF(G6272&lt;=72,"3. 1-3 days","4. Over 3 days")))</f>
        <v/>
      </c>
      <c r="O6272">
        <f>TEXT(B6272,"YYYY-MM")</f>
        <v/>
      </c>
    </row>
    <row r="6273">
      <c r="A6273" t="inlineStr">
        <is>
          <t>LD-306271</t>
        </is>
      </c>
      <c r="B6273" t="inlineStr">
        <is>
          <t>2025-02-21 19:24:00</t>
        </is>
      </c>
      <c r="C6273" t="inlineStr">
        <is>
          <t>Cold Outreach</t>
        </is>
      </c>
      <c r="D6273" t="inlineStr">
        <is>
          <t>Competitive Exam Prep</t>
        </is>
      </c>
      <c r="E6273" t="inlineStr">
        <is>
          <t>South Region</t>
        </is>
      </c>
      <c r="F6273" t="inlineStr">
        <is>
          <t>Rep_12</t>
        </is>
      </c>
      <c r="G6273" t="n">
        <v>4.46</v>
      </c>
      <c r="H6273" t="inlineStr">
        <is>
          <t>Demo Completed</t>
        </is>
      </c>
      <c r="I6273" t="inlineStr">
        <is>
          <t>Lost</t>
        </is>
      </c>
      <c r="J6273" t="inlineStr">
        <is>
          <t>No Response / Ghosted</t>
        </is>
      </c>
      <c r="K6273" t="n">
        <v>1162.57</v>
      </c>
      <c r="L6273" t="inlineStr">
        <is>
          <t>2025-04-04 15:51:54.130160</t>
        </is>
      </c>
      <c r="M6273">
        <f>VLOOKUP(H6273,'Stage Order'!$A$2:$B$8,2,FALSE)</f>
        <v/>
      </c>
      <c r="N6273">
        <f>IF(G6273&lt;=1,"1. Under 1 hour",IF(G6273&lt;=24,"2. 1-24 hours",IF(G6273&lt;=72,"3. 1-3 days","4. Over 3 days")))</f>
        <v/>
      </c>
      <c r="O6273">
        <f>TEXT(B6273,"YYYY-MM")</f>
        <v/>
      </c>
    </row>
    <row r="6274">
      <c r="A6274" t="inlineStr">
        <is>
          <t>LD-306272</t>
        </is>
      </c>
      <c r="B6274" t="inlineStr">
        <is>
          <t>2026-04-11 16:19:00</t>
        </is>
      </c>
      <c r="C6274" t="inlineStr">
        <is>
          <t>Referral</t>
        </is>
      </c>
      <c r="D6274" t="inlineStr">
        <is>
          <t>Study Abroad Prep</t>
        </is>
      </c>
      <c r="E6274" t="inlineStr">
        <is>
          <t>South Region</t>
        </is>
      </c>
      <c r="F6274" t="inlineStr">
        <is>
          <t>Rep_02</t>
        </is>
      </c>
      <c r="G6274" t="n">
        <v>22.37</v>
      </c>
      <c r="H6274" t="inlineStr">
        <is>
          <t>Closed</t>
        </is>
      </c>
      <c r="I6274" t="inlineStr">
        <is>
          <t>Won</t>
        </is>
      </c>
      <c r="K6274" t="n">
        <v>1604.62</v>
      </c>
      <c r="L6274" t="inlineStr">
        <is>
          <t>2026-05-20 17:16:14.147852</t>
        </is>
      </c>
      <c r="M6274">
        <f>VLOOKUP(H6274,'Stage Order'!$A$2:$B$8,2,FALSE)</f>
        <v/>
      </c>
      <c r="N6274">
        <f>IF(G6274&lt;=1,"1. Under 1 hour",IF(G6274&lt;=24,"2. 1-24 hours",IF(G6274&lt;=72,"3. 1-3 days","4. Over 3 days")))</f>
        <v/>
      </c>
      <c r="O6274">
        <f>TEXT(B6274,"YYYY-MM")</f>
        <v/>
      </c>
    </row>
    <row r="6275">
      <c r="A6275" t="inlineStr">
        <is>
          <t>LD-306273</t>
        </is>
      </c>
      <c r="B6275" t="inlineStr">
        <is>
          <t>2025-09-19 08:13:00</t>
        </is>
      </c>
      <c r="C6275" t="inlineStr">
        <is>
          <t>Paid Search</t>
        </is>
      </c>
      <c r="D6275" t="inlineStr">
        <is>
          <t>K-12 Math</t>
        </is>
      </c>
      <c r="E6275" t="inlineStr">
        <is>
          <t>North Region</t>
        </is>
      </c>
      <c r="F6275" t="inlineStr">
        <is>
          <t>Rep_11</t>
        </is>
      </c>
      <c r="G6275" t="n">
        <v>6.08</v>
      </c>
      <c r="H6275" t="inlineStr">
        <is>
          <t>Lead</t>
        </is>
      </c>
      <c r="I6275" t="inlineStr">
        <is>
          <t>Open</t>
        </is>
      </c>
      <c r="M6275">
        <f>VLOOKUP(H6275,'Stage Order'!$A$2:$B$8,2,FALSE)</f>
        <v/>
      </c>
      <c r="N6275">
        <f>IF(G6275&lt;=1,"1. Under 1 hour",IF(G6275&lt;=24,"2. 1-24 hours",IF(G6275&lt;=72,"3. 1-3 days","4. Over 3 days")))</f>
        <v/>
      </c>
      <c r="O6275">
        <f>TEXT(B6275,"YYYY-MM")</f>
        <v/>
      </c>
    </row>
    <row r="6276">
      <c r="A6276" t="inlineStr">
        <is>
          <t>LD-306274</t>
        </is>
      </c>
      <c r="B6276" t="inlineStr">
        <is>
          <t>2025-04-11 10:22:00</t>
        </is>
      </c>
      <c r="C6276" t="inlineStr">
        <is>
          <t>Partner Channel</t>
        </is>
      </c>
      <c r="D6276" t="inlineStr">
        <is>
          <t>K-12 Math</t>
        </is>
      </c>
      <c r="E6276" t="inlineStr">
        <is>
          <t>South Region</t>
        </is>
      </c>
      <c r="F6276" t="inlineStr">
        <is>
          <t>Rep_07</t>
        </is>
      </c>
      <c r="G6276" t="n">
        <v>2.43</v>
      </c>
      <c r="H6276" t="inlineStr">
        <is>
          <t>Contacted</t>
        </is>
      </c>
      <c r="I6276" t="inlineStr">
        <is>
          <t>Open</t>
        </is>
      </c>
      <c r="M6276">
        <f>VLOOKUP(H6276,'Stage Order'!$A$2:$B$8,2,FALSE)</f>
        <v/>
      </c>
      <c r="N6276">
        <f>IF(G6276&lt;=1,"1. Under 1 hour",IF(G6276&lt;=24,"2. 1-24 hours",IF(G6276&lt;=72,"3. 1-3 days","4. Over 3 days")))</f>
        <v/>
      </c>
      <c r="O6276">
        <f>TEXT(B6276,"YYYY-MM")</f>
        <v/>
      </c>
    </row>
    <row r="6277">
      <c r="A6277" t="inlineStr">
        <is>
          <t>LD-306275</t>
        </is>
      </c>
      <c r="B6277" t="inlineStr">
        <is>
          <t>2025-04-28 15:51:00</t>
        </is>
      </c>
      <c r="C6277" t="inlineStr">
        <is>
          <t>Organic Search</t>
        </is>
      </c>
      <c r="D6277" t="inlineStr">
        <is>
          <t>K-12 Math</t>
        </is>
      </c>
      <c r="E6277" t="inlineStr">
        <is>
          <t>South Region</t>
        </is>
      </c>
      <c r="F6277" t="inlineStr">
        <is>
          <t>Rep_02</t>
        </is>
      </c>
      <c r="G6277" t="n">
        <v>9.449999999999999</v>
      </c>
      <c r="H6277" t="inlineStr">
        <is>
          <t>Demo Completed</t>
        </is>
      </c>
      <c r="I6277" t="inlineStr">
        <is>
          <t>Lost</t>
        </is>
      </c>
      <c r="J6277" t="inlineStr">
        <is>
          <t>Bad Timing</t>
        </is>
      </c>
      <c r="K6277" t="n">
        <v>490.06</v>
      </c>
      <c r="L6277" t="inlineStr">
        <is>
          <t>2025-05-31 21:14:32.594314</t>
        </is>
      </c>
      <c r="M6277">
        <f>VLOOKUP(H6277,'Stage Order'!$A$2:$B$8,2,FALSE)</f>
        <v/>
      </c>
      <c r="N6277">
        <f>IF(G6277&lt;=1,"1. Under 1 hour",IF(G6277&lt;=24,"2. 1-24 hours",IF(G6277&lt;=72,"3. 1-3 days","4. Over 3 days")))</f>
        <v/>
      </c>
      <c r="O6277">
        <f>TEXT(B6277,"YYYY-MM")</f>
        <v/>
      </c>
    </row>
    <row r="6278">
      <c r="A6278" t="inlineStr">
        <is>
          <t>LD-306276</t>
        </is>
      </c>
      <c r="B6278" t="inlineStr">
        <is>
          <t>2026-05-01 18:17:00</t>
        </is>
      </c>
      <c r="C6278" t="inlineStr">
        <is>
          <t>Organic Search</t>
        </is>
      </c>
      <c r="D6278" t="inlineStr">
        <is>
          <t>Language Learning</t>
        </is>
      </c>
      <c r="E6278" t="inlineStr">
        <is>
          <t>North Region</t>
        </is>
      </c>
      <c r="F6278" t="inlineStr">
        <is>
          <t>Rep_01</t>
        </is>
      </c>
      <c r="G6278" t="n">
        <v>2.32</v>
      </c>
      <c r="H6278" t="inlineStr">
        <is>
          <t>Contacted</t>
        </is>
      </c>
      <c r="I6278" t="inlineStr">
        <is>
          <t>Open</t>
        </is>
      </c>
      <c r="M6278">
        <f>VLOOKUP(H6278,'Stage Order'!$A$2:$B$8,2,FALSE)</f>
        <v/>
      </c>
      <c r="N6278">
        <f>IF(G6278&lt;=1,"1. Under 1 hour",IF(G6278&lt;=24,"2. 1-24 hours",IF(G6278&lt;=72,"3. 1-3 days","4. Over 3 days")))</f>
        <v/>
      </c>
      <c r="O6278">
        <f>TEXT(B6278,"YYYY-MM")</f>
        <v/>
      </c>
    </row>
    <row r="6279">
      <c r="A6279" t="inlineStr">
        <is>
          <t>LD-306277</t>
        </is>
      </c>
      <c r="B6279" t="inlineStr">
        <is>
          <t>2026-02-02 15:49:00</t>
        </is>
      </c>
      <c r="C6279" t="inlineStr">
        <is>
          <t>Referral</t>
        </is>
      </c>
      <c r="D6279" t="inlineStr">
        <is>
          <t>Study Abroad Prep</t>
        </is>
      </c>
      <c r="E6279" t="inlineStr">
        <is>
          <t>International</t>
        </is>
      </c>
      <c r="F6279" t="inlineStr">
        <is>
          <t>Rep_05</t>
        </is>
      </c>
      <c r="G6279" t="n">
        <v>1.28</v>
      </c>
      <c r="H6279" t="inlineStr">
        <is>
          <t>Demo Completed</t>
        </is>
      </c>
      <c r="I6279" t="inlineStr">
        <is>
          <t>Lost</t>
        </is>
      </c>
      <c r="J6279" t="inlineStr">
        <is>
          <t>Bad Timing</t>
        </is>
      </c>
      <c r="K6279" t="n">
        <v>1610.98</v>
      </c>
      <c r="L6279" t="inlineStr">
        <is>
          <t>2026-03-04 16:44:51.491742</t>
        </is>
      </c>
      <c r="M6279">
        <f>VLOOKUP(H6279,'Stage Order'!$A$2:$B$8,2,FALSE)</f>
        <v/>
      </c>
      <c r="N6279">
        <f>IF(G6279&lt;=1,"1. Under 1 hour",IF(G6279&lt;=24,"2. 1-24 hours",IF(G6279&lt;=72,"3. 1-3 days","4. Over 3 days")))</f>
        <v/>
      </c>
      <c r="O6279">
        <f>TEXT(B6279,"YYYY-MM")</f>
        <v/>
      </c>
    </row>
    <row r="6280">
      <c r="A6280" t="inlineStr">
        <is>
          <t>LD-306278</t>
        </is>
      </c>
      <c r="B6280" t="inlineStr">
        <is>
          <t>2025-07-07 11:37:00</t>
        </is>
      </c>
      <c r="C6280" t="inlineStr">
        <is>
          <t>Webinar</t>
        </is>
      </c>
      <c r="D6280" t="inlineStr">
        <is>
          <t>Coding for Kids</t>
        </is>
      </c>
      <c r="E6280" t="inlineStr">
        <is>
          <t>North Region</t>
        </is>
      </c>
      <c r="F6280" t="inlineStr">
        <is>
          <t>Rep_11</t>
        </is>
      </c>
      <c r="G6280" t="n">
        <v>2.34</v>
      </c>
      <c r="H6280" t="inlineStr">
        <is>
          <t>Contacted</t>
        </is>
      </c>
      <c r="I6280" t="inlineStr">
        <is>
          <t>Open</t>
        </is>
      </c>
      <c r="M6280">
        <f>VLOOKUP(H6280,'Stage Order'!$A$2:$B$8,2,FALSE)</f>
        <v/>
      </c>
      <c r="N6280">
        <f>IF(G6280&lt;=1,"1. Under 1 hour",IF(G6280&lt;=24,"2. 1-24 hours",IF(G6280&lt;=72,"3. 1-3 days","4. Over 3 days")))</f>
        <v/>
      </c>
      <c r="O6280">
        <f>TEXT(B6280,"YYYY-MM")</f>
        <v/>
      </c>
    </row>
    <row r="6281">
      <c r="A6281" t="inlineStr">
        <is>
          <t>LD-306279</t>
        </is>
      </c>
      <c r="B6281" t="inlineStr">
        <is>
          <t>2025-06-27 20:39:00</t>
        </is>
      </c>
      <c r="C6281" t="inlineStr">
        <is>
          <t>Organic Search</t>
        </is>
      </c>
      <c r="D6281" t="inlineStr">
        <is>
          <t>K-12 Math</t>
        </is>
      </c>
      <c r="E6281" t="inlineStr">
        <is>
          <t>West Region</t>
        </is>
      </c>
      <c r="F6281" t="inlineStr">
        <is>
          <t>Rep_03</t>
        </is>
      </c>
      <c r="G6281" t="n">
        <v>0.89</v>
      </c>
      <c r="H6281" t="inlineStr">
        <is>
          <t>Contacted</t>
        </is>
      </c>
      <c r="I6281" t="inlineStr">
        <is>
          <t>Open</t>
        </is>
      </c>
      <c r="M6281">
        <f>VLOOKUP(H6281,'Stage Order'!$A$2:$B$8,2,FALSE)</f>
        <v/>
      </c>
      <c r="N6281">
        <f>IF(G6281&lt;=1,"1. Under 1 hour",IF(G6281&lt;=24,"2. 1-24 hours",IF(G6281&lt;=72,"3. 1-3 days","4. Over 3 days")))</f>
        <v/>
      </c>
      <c r="O6281">
        <f>TEXT(B6281,"YYYY-MM")</f>
        <v/>
      </c>
    </row>
    <row r="6282">
      <c r="A6282" t="inlineStr">
        <is>
          <t>LD-306280</t>
        </is>
      </c>
      <c r="B6282" t="inlineStr">
        <is>
          <t>2026-01-09 19:52:00</t>
        </is>
      </c>
      <c r="C6282" t="inlineStr">
        <is>
          <t>Paid Search</t>
        </is>
      </c>
      <c r="D6282" t="inlineStr">
        <is>
          <t>Competitive Exam Prep</t>
        </is>
      </c>
      <c r="E6282" t="inlineStr">
        <is>
          <t>North Region</t>
        </is>
      </c>
      <c r="F6282" t="inlineStr">
        <is>
          <t>Rep_06</t>
        </is>
      </c>
      <c r="G6282" t="n">
        <v>5.21</v>
      </c>
      <c r="H6282" t="inlineStr">
        <is>
          <t>Demo Scheduled</t>
        </is>
      </c>
      <c r="I6282" t="inlineStr">
        <is>
          <t>Open</t>
        </is>
      </c>
      <c r="M6282">
        <f>VLOOKUP(H6282,'Stage Order'!$A$2:$B$8,2,FALSE)</f>
        <v/>
      </c>
      <c r="N6282">
        <f>IF(G6282&lt;=1,"1. Under 1 hour",IF(G6282&lt;=24,"2. 1-24 hours",IF(G6282&lt;=72,"3. 1-3 days","4. Over 3 days")))</f>
        <v/>
      </c>
      <c r="O6282">
        <f>TEXT(B6282,"YYYY-MM")</f>
        <v/>
      </c>
    </row>
    <row r="6283">
      <c r="A6283" t="inlineStr">
        <is>
          <t>LD-306281</t>
        </is>
      </c>
      <c r="B6283" t="inlineStr">
        <is>
          <t>2026-04-24 12:50:00</t>
        </is>
      </c>
      <c r="C6283" t="inlineStr">
        <is>
          <t>Referral</t>
        </is>
      </c>
      <c r="D6283" t="inlineStr">
        <is>
          <t>Competitive Exam Prep</t>
        </is>
      </c>
      <c r="E6283" t="inlineStr">
        <is>
          <t>South Region</t>
        </is>
      </c>
      <c r="F6283" t="inlineStr">
        <is>
          <t>Rep_02</t>
        </is>
      </c>
      <c r="G6283" t="n">
        <v>1.43</v>
      </c>
      <c r="H6283" t="inlineStr">
        <is>
          <t>Closed</t>
        </is>
      </c>
      <c r="I6283" t="inlineStr">
        <is>
          <t>Won</t>
        </is>
      </c>
      <c r="K6283" t="n">
        <v>908.52</v>
      </c>
      <c r="L6283" t="inlineStr">
        <is>
          <t>2026-05-27 03:39:18.320667</t>
        </is>
      </c>
      <c r="M6283">
        <f>VLOOKUP(H6283,'Stage Order'!$A$2:$B$8,2,FALSE)</f>
        <v/>
      </c>
      <c r="N6283">
        <f>IF(G6283&lt;=1,"1. Under 1 hour",IF(G6283&lt;=24,"2. 1-24 hours",IF(G6283&lt;=72,"3. 1-3 days","4. Over 3 days")))</f>
        <v/>
      </c>
      <c r="O6283">
        <f>TEXT(B6283,"YYYY-MM")</f>
        <v/>
      </c>
    </row>
    <row r="6284">
      <c r="A6284" t="inlineStr">
        <is>
          <t>LD-306282</t>
        </is>
      </c>
      <c r="B6284" t="inlineStr">
        <is>
          <t>2025-12-24 07:31:00</t>
        </is>
      </c>
      <c r="C6284" t="inlineStr">
        <is>
          <t>Organic Search</t>
        </is>
      </c>
      <c r="D6284" t="inlineStr">
        <is>
          <t>Coding for Kids</t>
        </is>
      </c>
      <c r="E6284" t="inlineStr">
        <is>
          <t>International</t>
        </is>
      </c>
      <c r="F6284" t="inlineStr">
        <is>
          <t>Rep_10</t>
        </is>
      </c>
      <c r="G6284" t="n">
        <v>1.42</v>
      </c>
      <c r="H6284" t="inlineStr">
        <is>
          <t>Contacted</t>
        </is>
      </c>
      <c r="I6284" t="inlineStr">
        <is>
          <t>Open</t>
        </is>
      </c>
      <c r="M6284">
        <f>VLOOKUP(H6284,'Stage Order'!$A$2:$B$8,2,FALSE)</f>
        <v/>
      </c>
      <c r="N6284">
        <f>IF(G6284&lt;=1,"1. Under 1 hour",IF(G6284&lt;=24,"2. 1-24 hours",IF(G6284&lt;=72,"3. 1-3 days","4. Over 3 days")))</f>
        <v/>
      </c>
      <c r="O6284">
        <f>TEXT(B6284,"YYYY-MM")</f>
        <v/>
      </c>
    </row>
    <row r="6285">
      <c r="A6285" t="inlineStr">
        <is>
          <t>LD-306283</t>
        </is>
      </c>
      <c r="B6285" t="inlineStr">
        <is>
          <t>2025-06-14 14:25:00</t>
        </is>
      </c>
      <c r="C6285" t="inlineStr">
        <is>
          <t>Organic Search</t>
        </is>
      </c>
      <c r="D6285" t="inlineStr">
        <is>
          <t>Coding for Kids</t>
        </is>
      </c>
      <c r="E6285" t="inlineStr">
        <is>
          <t>East Region</t>
        </is>
      </c>
      <c r="F6285" t="inlineStr">
        <is>
          <t>Rep_14</t>
        </is>
      </c>
      <c r="G6285" t="n">
        <v>10.99</v>
      </c>
      <c r="H6285" t="inlineStr">
        <is>
          <t>Contacted</t>
        </is>
      </c>
      <c r="I6285" t="inlineStr">
        <is>
          <t>Open</t>
        </is>
      </c>
      <c r="M6285">
        <f>VLOOKUP(H6285,'Stage Order'!$A$2:$B$8,2,FALSE)</f>
        <v/>
      </c>
      <c r="N6285">
        <f>IF(G6285&lt;=1,"1. Under 1 hour",IF(G6285&lt;=24,"2. 1-24 hours",IF(G6285&lt;=72,"3. 1-3 days","4. Over 3 days")))</f>
        <v/>
      </c>
      <c r="O6285">
        <f>TEXT(B6285,"YYYY-MM")</f>
        <v/>
      </c>
    </row>
    <row r="6286">
      <c r="A6286" t="inlineStr">
        <is>
          <t>LD-306284</t>
        </is>
      </c>
      <c r="B6286" t="inlineStr">
        <is>
          <t>2025-08-25 12:53:00</t>
        </is>
      </c>
      <c r="C6286" t="inlineStr">
        <is>
          <t>Social Media</t>
        </is>
      </c>
      <c r="D6286" t="inlineStr">
        <is>
          <t>Study Abroad Prep</t>
        </is>
      </c>
      <c r="E6286" t="inlineStr">
        <is>
          <t>North Region</t>
        </is>
      </c>
      <c r="F6286" t="inlineStr">
        <is>
          <t>Rep_06</t>
        </is>
      </c>
      <c r="G6286" t="n">
        <v>2.41</v>
      </c>
      <c r="H6286" t="inlineStr">
        <is>
          <t>Lead</t>
        </is>
      </c>
      <c r="I6286" t="inlineStr">
        <is>
          <t>Open</t>
        </is>
      </c>
      <c r="M6286">
        <f>VLOOKUP(H6286,'Stage Order'!$A$2:$B$8,2,FALSE)</f>
        <v/>
      </c>
      <c r="N6286">
        <f>IF(G6286&lt;=1,"1. Under 1 hour",IF(G6286&lt;=24,"2. 1-24 hours",IF(G6286&lt;=72,"3. 1-3 days","4. Over 3 days")))</f>
        <v/>
      </c>
      <c r="O6286">
        <f>TEXT(B6286,"YYYY-MM")</f>
        <v/>
      </c>
    </row>
    <row r="6287">
      <c r="A6287" t="inlineStr">
        <is>
          <t>LD-306285</t>
        </is>
      </c>
      <c r="B6287" t="inlineStr">
        <is>
          <t>2025-01-10 08:39:00</t>
        </is>
      </c>
      <c r="C6287" t="inlineStr">
        <is>
          <t>Social Media</t>
        </is>
      </c>
      <c r="D6287" t="inlineStr">
        <is>
          <t>Competitive Exam Prep</t>
        </is>
      </c>
      <c r="E6287" t="inlineStr">
        <is>
          <t>West Region</t>
        </is>
      </c>
      <c r="F6287" t="inlineStr">
        <is>
          <t>Rep_03</t>
        </is>
      </c>
      <c r="G6287" t="n">
        <v>1.33</v>
      </c>
      <c r="H6287" t="inlineStr">
        <is>
          <t>Demo Completed</t>
        </is>
      </c>
      <c r="I6287" t="inlineStr">
        <is>
          <t>Lost</t>
        </is>
      </c>
      <c r="J6287" t="inlineStr">
        <is>
          <t>Budget Not Approved</t>
        </is>
      </c>
      <c r="K6287" t="n">
        <v>996.3</v>
      </c>
      <c r="L6287" t="inlineStr">
        <is>
          <t>2025-02-12 08:33:10.354446</t>
        </is>
      </c>
      <c r="M6287">
        <f>VLOOKUP(H6287,'Stage Order'!$A$2:$B$8,2,FALSE)</f>
        <v/>
      </c>
      <c r="N6287">
        <f>IF(G6287&lt;=1,"1. Under 1 hour",IF(G6287&lt;=24,"2. 1-24 hours",IF(G6287&lt;=72,"3. 1-3 days","4. Over 3 days")))</f>
        <v/>
      </c>
      <c r="O6287">
        <f>TEXT(B6287,"YYYY-MM")</f>
        <v/>
      </c>
    </row>
    <row r="6288">
      <c r="A6288" t="inlineStr">
        <is>
          <t>LD-306286</t>
        </is>
      </c>
      <c r="B6288" t="inlineStr">
        <is>
          <t>2026-01-06 18:03:00</t>
        </is>
      </c>
      <c r="C6288" t="inlineStr">
        <is>
          <t>Organic Search</t>
        </is>
      </c>
      <c r="D6288" t="inlineStr">
        <is>
          <t>Competitive Exam Prep</t>
        </is>
      </c>
      <c r="E6288" t="inlineStr">
        <is>
          <t>West Region</t>
        </is>
      </c>
      <c r="F6288" t="inlineStr">
        <is>
          <t>Rep_08</t>
        </is>
      </c>
      <c r="G6288" t="n">
        <v>2.79</v>
      </c>
      <c r="H6288" t="inlineStr">
        <is>
          <t>Contacted</t>
        </is>
      </c>
      <c r="I6288" t="inlineStr">
        <is>
          <t>Open</t>
        </is>
      </c>
      <c r="M6288">
        <f>VLOOKUP(H6288,'Stage Order'!$A$2:$B$8,2,FALSE)</f>
        <v/>
      </c>
      <c r="N6288">
        <f>IF(G6288&lt;=1,"1. Under 1 hour",IF(G6288&lt;=24,"2. 1-24 hours",IF(G6288&lt;=72,"3. 1-3 days","4. Over 3 days")))</f>
        <v/>
      </c>
      <c r="O6288">
        <f>TEXT(B6288,"YYYY-MM")</f>
        <v/>
      </c>
    </row>
    <row r="6289">
      <c r="A6289" t="inlineStr">
        <is>
          <t>LD-306287</t>
        </is>
      </c>
      <c r="B6289" t="inlineStr">
        <is>
          <t>2025-04-25 09:39:00</t>
        </is>
      </c>
      <c r="C6289" t="inlineStr">
        <is>
          <t>Paid Search</t>
        </is>
      </c>
      <c r="D6289" t="inlineStr">
        <is>
          <t>Language Learning</t>
        </is>
      </c>
      <c r="E6289" t="inlineStr">
        <is>
          <t>East Region</t>
        </is>
      </c>
      <c r="F6289" t="inlineStr">
        <is>
          <t>Rep_09</t>
        </is>
      </c>
      <c r="G6289" t="n">
        <v>3.92</v>
      </c>
      <c r="H6289" t="inlineStr">
        <is>
          <t>Contacted</t>
        </is>
      </c>
      <c r="I6289" t="inlineStr">
        <is>
          <t>Open</t>
        </is>
      </c>
      <c r="M6289">
        <f>VLOOKUP(H6289,'Stage Order'!$A$2:$B$8,2,FALSE)</f>
        <v/>
      </c>
      <c r="N6289">
        <f>IF(G6289&lt;=1,"1. Under 1 hour",IF(G6289&lt;=24,"2. 1-24 hours",IF(G6289&lt;=72,"3. 1-3 days","4. Over 3 days")))</f>
        <v/>
      </c>
      <c r="O6289">
        <f>TEXT(B6289,"YYYY-MM")</f>
        <v/>
      </c>
    </row>
    <row r="6290">
      <c r="A6290" t="inlineStr">
        <is>
          <t>LD-306288</t>
        </is>
      </c>
      <c r="B6290" t="inlineStr">
        <is>
          <t>2025-09-05 20:25:00</t>
        </is>
      </c>
      <c r="C6290" t="inlineStr">
        <is>
          <t>Social Media</t>
        </is>
      </c>
      <c r="D6290" t="inlineStr">
        <is>
          <t>Language Learning</t>
        </is>
      </c>
      <c r="E6290" t="inlineStr">
        <is>
          <t>West Region</t>
        </is>
      </c>
      <c r="F6290" t="inlineStr">
        <is>
          <t>Rep_13</t>
        </is>
      </c>
      <c r="G6290" t="n">
        <v>2.97</v>
      </c>
      <c r="H6290" t="inlineStr">
        <is>
          <t>Contacted</t>
        </is>
      </c>
      <c r="I6290" t="inlineStr">
        <is>
          <t>Open</t>
        </is>
      </c>
      <c r="M6290">
        <f>VLOOKUP(H6290,'Stage Order'!$A$2:$B$8,2,FALSE)</f>
        <v/>
      </c>
      <c r="N6290">
        <f>IF(G6290&lt;=1,"1. Under 1 hour",IF(G6290&lt;=24,"2. 1-24 hours",IF(G6290&lt;=72,"3. 1-3 days","4. Over 3 days")))</f>
        <v/>
      </c>
      <c r="O6290">
        <f>TEXT(B6290,"YYYY-MM")</f>
        <v/>
      </c>
    </row>
    <row r="6291">
      <c r="A6291" t="inlineStr">
        <is>
          <t>LD-306289</t>
        </is>
      </c>
      <c r="B6291" t="inlineStr">
        <is>
          <t>2026-03-12 12:53:00</t>
        </is>
      </c>
      <c r="C6291" t="inlineStr">
        <is>
          <t>Organic Search</t>
        </is>
      </c>
      <c r="D6291" t="inlineStr">
        <is>
          <t>K-12 Math</t>
        </is>
      </c>
      <c r="E6291" t="inlineStr">
        <is>
          <t>South Region</t>
        </is>
      </c>
      <c r="F6291" t="inlineStr">
        <is>
          <t>Rep_12</t>
        </is>
      </c>
      <c r="G6291" t="n">
        <v>1.03</v>
      </c>
      <c r="H6291" t="inlineStr">
        <is>
          <t>Negotiation</t>
        </is>
      </c>
      <c r="I6291" t="inlineStr">
        <is>
          <t>Lost</t>
        </is>
      </c>
      <c r="J6291" t="inlineStr">
        <is>
          <t>Bad Timing</t>
        </is>
      </c>
      <c r="K6291" t="n">
        <v>438.91</v>
      </c>
      <c r="L6291" t="inlineStr">
        <is>
          <t>2026-04-17 05:05:18.010619</t>
        </is>
      </c>
      <c r="M6291">
        <f>VLOOKUP(H6291,'Stage Order'!$A$2:$B$8,2,FALSE)</f>
        <v/>
      </c>
      <c r="N6291">
        <f>IF(G6291&lt;=1,"1. Under 1 hour",IF(G6291&lt;=24,"2. 1-24 hours",IF(G6291&lt;=72,"3. 1-3 days","4. Over 3 days")))</f>
        <v/>
      </c>
      <c r="O6291">
        <f>TEXT(B6291,"YYYY-MM")</f>
        <v/>
      </c>
    </row>
    <row r="6292">
      <c r="A6292" t="inlineStr">
        <is>
          <t>LD-306290</t>
        </is>
      </c>
      <c r="B6292" t="inlineStr">
        <is>
          <t>2026-03-19 12:34:00</t>
        </is>
      </c>
      <c r="C6292" t="inlineStr">
        <is>
          <t>Organic Search</t>
        </is>
      </c>
      <c r="D6292" t="inlineStr">
        <is>
          <t>Coding for Kids</t>
        </is>
      </c>
      <c r="E6292" t="inlineStr">
        <is>
          <t>South Region</t>
        </is>
      </c>
      <c r="F6292" t="inlineStr">
        <is>
          <t>Rep_02</t>
        </is>
      </c>
      <c r="G6292" t="n">
        <v>5.7</v>
      </c>
      <c r="H6292" t="inlineStr">
        <is>
          <t>Closed</t>
        </is>
      </c>
      <c r="I6292" t="inlineStr">
        <is>
          <t>Won</t>
        </is>
      </c>
      <c r="K6292" t="n">
        <v>731.34</v>
      </c>
      <c r="L6292" t="inlineStr">
        <is>
          <t>2026-04-21 12:38:27.053483</t>
        </is>
      </c>
      <c r="M6292">
        <f>VLOOKUP(H6292,'Stage Order'!$A$2:$B$8,2,FALSE)</f>
        <v/>
      </c>
      <c r="N6292">
        <f>IF(G6292&lt;=1,"1. Under 1 hour",IF(G6292&lt;=24,"2. 1-24 hours",IF(G6292&lt;=72,"3. 1-3 days","4. Over 3 days")))</f>
        <v/>
      </c>
      <c r="O6292">
        <f>TEXT(B6292,"YYYY-MM")</f>
        <v/>
      </c>
    </row>
    <row r="6293">
      <c r="A6293" t="inlineStr">
        <is>
          <t>LD-306291</t>
        </is>
      </c>
      <c r="B6293" t="inlineStr">
        <is>
          <t>2025-02-28 14:57:00</t>
        </is>
      </c>
      <c r="C6293" t="inlineStr">
        <is>
          <t>Paid Search</t>
        </is>
      </c>
      <c r="D6293" t="inlineStr">
        <is>
          <t>Language Learning</t>
        </is>
      </c>
      <c r="E6293" t="inlineStr">
        <is>
          <t>South Region</t>
        </is>
      </c>
      <c r="F6293" t="inlineStr">
        <is>
          <t>Rep_07</t>
        </is>
      </c>
      <c r="G6293" t="n">
        <v>27.85</v>
      </c>
      <c r="H6293" t="inlineStr">
        <is>
          <t>Contacted</t>
        </is>
      </c>
      <c r="I6293" t="inlineStr">
        <is>
          <t>Open</t>
        </is>
      </c>
      <c r="M6293">
        <f>VLOOKUP(H6293,'Stage Order'!$A$2:$B$8,2,FALSE)</f>
        <v/>
      </c>
      <c r="N6293">
        <f>IF(G6293&lt;=1,"1. Under 1 hour",IF(G6293&lt;=24,"2. 1-24 hours",IF(G6293&lt;=72,"3. 1-3 days","4. Over 3 days")))</f>
        <v/>
      </c>
      <c r="O6293">
        <f>TEXT(B6293,"YYYY-MM")</f>
        <v/>
      </c>
    </row>
    <row r="6294">
      <c r="A6294" t="inlineStr">
        <is>
          <t>LD-306292</t>
        </is>
      </c>
      <c r="B6294" t="inlineStr">
        <is>
          <t>2025-06-12 20:01:00</t>
        </is>
      </c>
      <c r="C6294" t="inlineStr">
        <is>
          <t>Cold Outreach</t>
        </is>
      </c>
      <c r="D6294" t="inlineStr">
        <is>
          <t>Competitive Exam Prep</t>
        </is>
      </c>
      <c r="E6294" t="inlineStr">
        <is>
          <t>International</t>
        </is>
      </c>
      <c r="F6294" t="inlineStr">
        <is>
          <t>Rep_05</t>
        </is>
      </c>
      <c r="G6294" t="n">
        <v>4.61</v>
      </c>
      <c r="H6294" t="inlineStr">
        <is>
          <t>Lead</t>
        </is>
      </c>
      <c r="I6294" t="inlineStr">
        <is>
          <t>Open</t>
        </is>
      </c>
      <c r="M6294">
        <f>VLOOKUP(H6294,'Stage Order'!$A$2:$B$8,2,FALSE)</f>
        <v/>
      </c>
      <c r="N6294">
        <f>IF(G6294&lt;=1,"1. Under 1 hour",IF(G6294&lt;=24,"2. 1-24 hours",IF(G6294&lt;=72,"3. 1-3 days","4. Over 3 days")))</f>
        <v/>
      </c>
      <c r="O6294">
        <f>TEXT(B6294,"YYYY-MM")</f>
        <v/>
      </c>
    </row>
    <row r="6295">
      <c r="A6295" t="inlineStr">
        <is>
          <t>LD-306293</t>
        </is>
      </c>
      <c r="B6295" t="inlineStr">
        <is>
          <t>2025-01-30 09:19:00</t>
        </is>
      </c>
      <c r="C6295" t="inlineStr">
        <is>
          <t>Webinar</t>
        </is>
      </c>
      <c r="D6295" t="inlineStr">
        <is>
          <t>Language Learning</t>
        </is>
      </c>
      <c r="E6295" t="inlineStr">
        <is>
          <t>North Region</t>
        </is>
      </c>
      <c r="F6295" t="inlineStr">
        <is>
          <t>Rep_06</t>
        </is>
      </c>
      <c r="G6295" t="n">
        <v>22.29</v>
      </c>
      <c r="H6295" t="inlineStr">
        <is>
          <t>Demo Completed</t>
        </is>
      </c>
      <c r="I6295" t="inlineStr">
        <is>
          <t>Lost</t>
        </is>
      </c>
      <c r="J6295" t="inlineStr">
        <is>
          <t>Budget Not Approved</t>
        </is>
      </c>
      <c r="K6295" t="n">
        <v>321.09</v>
      </c>
      <c r="L6295" t="inlineStr">
        <is>
          <t>2025-02-21 13:15:42.037194</t>
        </is>
      </c>
      <c r="M6295">
        <f>VLOOKUP(H6295,'Stage Order'!$A$2:$B$8,2,FALSE)</f>
        <v/>
      </c>
      <c r="N6295">
        <f>IF(G6295&lt;=1,"1. Under 1 hour",IF(G6295&lt;=24,"2. 1-24 hours",IF(G6295&lt;=72,"3. 1-3 days","4. Over 3 days")))</f>
        <v/>
      </c>
      <c r="O6295">
        <f>TEXT(B6295,"YYYY-MM")</f>
        <v/>
      </c>
    </row>
    <row r="6296">
      <c r="A6296" t="inlineStr">
        <is>
          <t>LD-306294</t>
        </is>
      </c>
      <c r="B6296" t="inlineStr">
        <is>
          <t>2025-02-15 20:30:00</t>
        </is>
      </c>
      <c r="C6296" t="inlineStr">
        <is>
          <t>Paid Search</t>
        </is>
      </c>
      <c r="D6296" t="inlineStr">
        <is>
          <t>Coding for Kids</t>
        </is>
      </c>
      <c r="E6296" t="inlineStr">
        <is>
          <t>South Region</t>
        </is>
      </c>
      <c r="F6296" t="inlineStr">
        <is>
          <t>Rep_12</t>
        </is>
      </c>
      <c r="G6296" t="n">
        <v>2.05</v>
      </c>
      <c r="H6296" t="inlineStr">
        <is>
          <t>Lead</t>
        </is>
      </c>
      <c r="I6296" t="inlineStr">
        <is>
          <t>Open</t>
        </is>
      </c>
      <c r="M6296">
        <f>VLOOKUP(H6296,'Stage Order'!$A$2:$B$8,2,FALSE)</f>
        <v/>
      </c>
      <c r="N6296">
        <f>IF(G6296&lt;=1,"1. Under 1 hour",IF(G6296&lt;=24,"2. 1-24 hours",IF(G6296&lt;=72,"3. 1-3 days","4. Over 3 days")))</f>
        <v/>
      </c>
      <c r="O6296">
        <f>TEXT(B6296,"YYYY-MM")</f>
        <v/>
      </c>
    </row>
    <row r="6297">
      <c r="A6297" t="inlineStr">
        <is>
          <t>LD-306295</t>
        </is>
      </c>
      <c r="B6297" t="inlineStr">
        <is>
          <t>2026-06-26 16:59:00</t>
        </is>
      </c>
      <c r="C6297" t="inlineStr">
        <is>
          <t>Organic Search</t>
        </is>
      </c>
      <c r="D6297" t="inlineStr">
        <is>
          <t>Coding for Kids</t>
        </is>
      </c>
      <c r="E6297" t="inlineStr">
        <is>
          <t>West Region</t>
        </is>
      </c>
      <c r="F6297" t="inlineStr">
        <is>
          <t>Rep_13</t>
        </is>
      </c>
      <c r="G6297" t="n">
        <v>0.61</v>
      </c>
      <c r="H6297" t="inlineStr">
        <is>
          <t>Contacted</t>
        </is>
      </c>
      <c r="I6297" t="inlineStr">
        <is>
          <t>Open</t>
        </is>
      </c>
      <c r="M6297">
        <f>VLOOKUP(H6297,'Stage Order'!$A$2:$B$8,2,FALSE)</f>
        <v/>
      </c>
      <c r="N6297">
        <f>IF(G6297&lt;=1,"1. Under 1 hour",IF(G6297&lt;=24,"2. 1-24 hours",IF(G6297&lt;=72,"3. 1-3 days","4. Over 3 days")))</f>
        <v/>
      </c>
      <c r="O6297">
        <f>TEXT(B6297,"YYYY-MM")</f>
        <v/>
      </c>
    </row>
    <row r="6298">
      <c r="A6298" t="inlineStr">
        <is>
          <t>LD-306296</t>
        </is>
      </c>
      <c r="B6298" t="inlineStr">
        <is>
          <t>2025-04-15 16:05:00</t>
        </is>
      </c>
      <c r="C6298" t="inlineStr">
        <is>
          <t>Organic Search</t>
        </is>
      </c>
      <c r="D6298" t="inlineStr">
        <is>
          <t>K-12 Math</t>
        </is>
      </c>
      <c r="E6298" t="inlineStr">
        <is>
          <t>East Region</t>
        </is>
      </c>
      <c r="F6298" t="inlineStr">
        <is>
          <t>Rep_14</t>
        </is>
      </c>
      <c r="G6298" t="n">
        <v>0.92</v>
      </c>
      <c r="H6298" t="inlineStr">
        <is>
          <t>Proposal Sent</t>
        </is>
      </c>
      <c r="I6298" t="inlineStr">
        <is>
          <t>Lost</t>
        </is>
      </c>
      <c r="J6298" t="inlineStr">
        <is>
          <t>Budget Not Approved</t>
        </is>
      </c>
      <c r="K6298" t="n">
        <v>540.83</v>
      </c>
      <c r="L6298" t="inlineStr">
        <is>
          <t>2025-05-24 12:38:54.233935</t>
        </is>
      </c>
      <c r="M6298">
        <f>VLOOKUP(H6298,'Stage Order'!$A$2:$B$8,2,FALSE)</f>
        <v/>
      </c>
      <c r="N6298">
        <f>IF(G6298&lt;=1,"1. Under 1 hour",IF(G6298&lt;=24,"2. 1-24 hours",IF(G6298&lt;=72,"3. 1-3 days","4. Over 3 days")))</f>
        <v/>
      </c>
      <c r="O6298">
        <f>TEXT(B6298,"YYYY-MM")</f>
        <v/>
      </c>
    </row>
    <row r="6299">
      <c r="A6299" t="inlineStr">
        <is>
          <t>LD-306297</t>
        </is>
      </c>
      <c r="B6299" t="inlineStr">
        <is>
          <t>2025-04-18 07:58:00</t>
        </is>
      </c>
      <c r="C6299" t="inlineStr">
        <is>
          <t>Partner Channel</t>
        </is>
      </c>
      <c r="D6299" t="inlineStr">
        <is>
          <t>Coding for Kids</t>
        </is>
      </c>
      <c r="E6299" t="inlineStr">
        <is>
          <t>International</t>
        </is>
      </c>
      <c r="F6299" t="inlineStr">
        <is>
          <t>Rep_15</t>
        </is>
      </c>
      <c r="G6299" t="n">
        <v>2.54</v>
      </c>
      <c r="H6299" t="inlineStr">
        <is>
          <t>Contacted</t>
        </is>
      </c>
      <c r="I6299" t="inlineStr">
        <is>
          <t>Open</t>
        </is>
      </c>
      <c r="M6299">
        <f>VLOOKUP(H6299,'Stage Order'!$A$2:$B$8,2,FALSE)</f>
        <v/>
      </c>
      <c r="N6299">
        <f>IF(G6299&lt;=1,"1. Under 1 hour",IF(G6299&lt;=24,"2. 1-24 hours",IF(G6299&lt;=72,"3. 1-3 days","4. Over 3 days")))</f>
        <v/>
      </c>
      <c r="O6299">
        <f>TEXT(B6299,"YYYY-MM")</f>
        <v/>
      </c>
    </row>
    <row r="6300">
      <c r="A6300" t="inlineStr">
        <is>
          <t>LD-306298</t>
        </is>
      </c>
      <c r="B6300" t="inlineStr">
        <is>
          <t>2025-11-11 18:16:00</t>
        </is>
      </c>
      <c r="C6300" t="inlineStr">
        <is>
          <t>Social Media</t>
        </is>
      </c>
      <c r="D6300" t="inlineStr">
        <is>
          <t>Coding for Kids</t>
        </is>
      </c>
      <c r="E6300" t="inlineStr">
        <is>
          <t>South Region</t>
        </is>
      </c>
      <c r="F6300" t="inlineStr">
        <is>
          <t>Rep_12</t>
        </is>
      </c>
      <c r="G6300" t="n">
        <v>2.13</v>
      </c>
      <c r="H6300" t="inlineStr">
        <is>
          <t>Contacted</t>
        </is>
      </c>
      <c r="I6300" t="inlineStr">
        <is>
          <t>Open</t>
        </is>
      </c>
      <c r="M6300">
        <f>VLOOKUP(H6300,'Stage Order'!$A$2:$B$8,2,FALSE)</f>
        <v/>
      </c>
      <c r="N6300">
        <f>IF(G6300&lt;=1,"1. Under 1 hour",IF(G6300&lt;=24,"2. 1-24 hours",IF(G6300&lt;=72,"3. 1-3 days","4. Over 3 days")))</f>
        <v/>
      </c>
      <c r="O6300">
        <f>TEXT(B6300,"YYYY-MM")</f>
        <v/>
      </c>
    </row>
    <row r="6301">
      <c r="A6301" t="inlineStr">
        <is>
          <t>LD-306299</t>
        </is>
      </c>
      <c r="B6301" t="inlineStr">
        <is>
          <t>2026-04-07 17:30:00</t>
        </is>
      </c>
      <c r="C6301" t="inlineStr">
        <is>
          <t>Cold Outreach</t>
        </is>
      </c>
      <c r="D6301" t="inlineStr">
        <is>
          <t>K-12 Math</t>
        </is>
      </c>
      <c r="E6301" t="inlineStr">
        <is>
          <t>East Region</t>
        </is>
      </c>
      <c r="F6301" t="inlineStr">
        <is>
          <t>Rep_09</t>
        </is>
      </c>
      <c r="G6301" t="n">
        <v>5.2</v>
      </c>
      <c r="H6301" t="inlineStr">
        <is>
          <t>Contacted</t>
        </is>
      </c>
      <c r="I6301" t="inlineStr">
        <is>
          <t>Open</t>
        </is>
      </c>
      <c r="M6301">
        <f>VLOOKUP(H6301,'Stage Order'!$A$2:$B$8,2,FALSE)</f>
        <v/>
      </c>
      <c r="N6301">
        <f>IF(G6301&lt;=1,"1. Under 1 hour",IF(G6301&lt;=24,"2. 1-24 hours",IF(G6301&lt;=72,"3. 1-3 days","4. Over 3 days")))</f>
        <v/>
      </c>
      <c r="O6301">
        <f>TEXT(B6301,"YYYY-MM")</f>
        <v/>
      </c>
    </row>
    <row r="6302">
      <c r="A6302" t="inlineStr">
        <is>
          <t>LD-306300</t>
        </is>
      </c>
      <c r="B6302" t="inlineStr">
        <is>
          <t>2026-02-06 15:04:00</t>
        </is>
      </c>
      <c r="C6302" t="inlineStr">
        <is>
          <t>Paid Search</t>
        </is>
      </c>
      <c r="D6302" t="inlineStr">
        <is>
          <t>Study Abroad Prep</t>
        </is>
      </c>
      <c r="E6302" t="inlineStr">
        <is>
          <t>South Region</t>
        </is>
      </c>
      <c r="F6302" t="inlineStr">
        <is>
          <t>Rep_07</t>
        </is>
      </c>
      <c r="G6302" t="n">
        <v>3.18</v>
      </c>
      <c r="H6302" t="inlineStr">
        <is>
          <t>Closed</t>
        </is>
      </c>
      <c r="I6302" t="inlineStr">
        <is>
          <t>Won</t>
        </is>
      </c>
      <c r="K6302" t="n">
        <v>1580.24</v>
      </c>
      <c r="L6302" t="inlineStr">
        <is>
          <t>2026-03-26 07:31:03.173499</t>
        </is>
      </c>
      <c r="M6302">
        <f>VLOOKUP(H6302,'Stage Order'!$A$2:$B$8,2,FALSE)</f>
        <v/>
      </c>
      <c r="N6302">
        <f>IF(G6302&lt;=1,"1. Under 1 hour",IF(G6302&lt;=24,"2. 1-24 hours",IF(G6302&lt;=72,"3. 1-3 days","4. Over 3 days")))</f>
        <v/>
      </c>
      <c r="O6302">
        <f>TEXT(B6302,"YYYY-MM")</f>
        <v/>
      </c>
    </row>
    <row r="6303">
      <c r="A6303" t="inlineStr">
        <is>
          <t>LD-306301</t>
        </is>
      </c>
      <c r="B6303" t="inlineStr">
        <is>
          <t>2025-10-03 12:42:00</t>
        </is>
      </c>
      <c r="C6303" t="inlineStr">
        <is>
          <t>Paid Search</t>
        </is>
      </c>
      <c r="D6303" t="inlineStr">
        <is>
          <t>K-12 Math</t>
        </is>
      </c>
      <c r="E6303" t="inlineStr">
        <is>
          <t>South Region</t>
        </is>
      </c>
      <c r="F6303" t="inlineStr">
        <is>
          <t>Rep_07</t>
        </is>
      </c>
      <c r="G6303" t="n">
        <v>5.09</v>
      </c>
      <c r="H6303" t="inlineStr">
        <is>
          <t>Negotiation</t>
        </is>
      </c>
      <c r="I6303" t="inlineStr">
        <is>
          <t>Lost</t>
        </is>
      </c>
      <c r="J6303" t="inlineStr">
        <is>
          <t>No Response / Ghosted</t>
        </is>
      </c>
      <c r="K6303" t="n">
        <v>543.4</v>
      </c>
      <c r="L6303" t="inlineStr">
        <is>
          <t>2025-11-22 02:10:49.482869</t>
        </is>
      </c>
      <c r="M6303">
        <f>VLOOKUP(H6303,'Stage Order'!$A$2:$B$8,2,FALSE)</f>
        <v/>
      </c>
      <c r="N6303">
        <f>IF(G6303&lt;=1,"1. Under 1 hour",IF(G6303&lt;=24,"2. 1-24 hours",IF(G6303&lt;=72,"3. 1-3 days","4. Over 3 days")))</f>
        <v/>
      </c>
      <c r="O6303">
        <f>TEXT(B6303,"YYYY-MM")</f>
        <v/>
      </c>
    </row>
    <row r="6304">
      <c r="A6304" t="inlineStr">
        <is>
          <t>LD-306302</t>
        </is>
      </c>
      <c r="B6304" t="inlineStr">
        <is>
          <t>2026-04-10 20:50:00</t>
        </is>
      </c>
      <c r="C6304" t="inlineStr">
        <is>
          <t>Social Media</t>
        </is>
      </c>
      <c r="D6304" t="inlineStr">
        <is>
          <t>Language Learning</t>
        </is>
      </c>
      <c r="E6304" t="inlineStr">
        <is>
          <t>North Region</t>
        </is>
      </c>
      <c r="F6304" t="inlineStr">
        <is>
          <t>Rep_11</t>
        </is>
      </c>
      <c r="G6304" t="n">
        <v>1.38</v>
      </c>
      <c r="H6304" t="inlineStr">
        <is>
          <t>Lead</t>
        </is>
      </c>
      <c r="I6304" t="inlineStr">
        <is>
          <t>Open</t>
        </is>
      </c>
      <c r="M6304">
        <f>VLOOKUP(H6304,'Stage Order'!$A$2:$B$8,2,FALSE)</f>
        <v/>
      </c>
      <c r="N6304">
        <f>IF(G6304&lt;=1,"1. Under 1 hour",IF(G6304&lt;=24,"2. 1-24 hours",IF(G6304&lt;=72,"3. 1-3 days","4. Over 3 days")))</f>
        <v/>
      </c>
      <c r="O6304">
        <f>TEXT(B6304,"YYYY-MM")</f>
        <v/>
      </c>
    </row>
    <row r="6305">
      <c r="A6305" t="inlineStr">
        <is>
          <t>LD-306303</t>
        </is>
      </c>
      <c r="B6305" t="inlineStr">
        <is>
          <t>2025-11-24 10:27:00</t>
        </is>
      </c>
      <c r="C6305" t="inlineStr">
        <is>
          <t>Cold Outreach</t>
        </is>
      </c>
      <c r="D6305" t="inlineStr">
        <is>
          <t>Competitive Exam Prep</t>
        </is>
      </c>
      <c r="E6305" t="inlineStr">
        <is>
          <t>North Region</t>
        </is>
      </c>
      <c r="F6305" t="inlineStr">
        <is>
          <t>Rep_01</t>
        </is>
      </c>
      <c r="G6305" t="n">
        <v>1.99</v>
      </c>
      <c r="H6305" t="inlineStr">
        <is>
          <t>Contacted</t>
        </is>
      </c>
      <c r="I6305" t="inlineStr">
        <is>
          <t>Open</t>
        </is>
      </c>
      <c r="M6305">
        <f>VLOOKUP(H6305,'Stage Order'!$A$2:$B$8,2,FALSE)</f>
        <v/>
      </c>
      <c r="N6305">
        <f>IF(G6305&lt;=1,"1. Under 1 hour",IF(G6305&lt;=24,"2. 1-24 hours",IF(G6305&lt;=72,"3. 1-3 days","4. Over 3 days")))</f>
        <v/>
      </c>
      <c r="O6305">
        <f>TEXT(B6305,"YYYY-MM")</f>
        <v/>
      </c>
    </row>
    <row r="6306">
      <c r="A6306" t="inlineStr">
        <is>
          <t>LD-306304</t>
        </is>
      </c>
      <c r="B6306" t="inlineStr">
        <is>
          <t>2025-05-13 08:20:00</t>
        </is>
      </c>
      <c r="C6306" t="inlineStr">
        <is>
          <t>Social Media</t>
        </is>
      </c>
      <c r="D6306" t="inlineStr">
        <is>
          <t>Study Abroad Prep</t>
        </is>
      </c>
      <c r="E6306" t="inlineStr">
        <is>
          <t>South Region</t>
        </is>
      </c>
      <c r="F6306" t="inlineStr">
        <is>
          <t>Rep_02</t>
        </is>
      </c>
      <c r="G6306" t="n">
        <v>4.68</v>
      </c>
      <c r="H6306" t="inlineStr">
        <is>
          <t>Lead</t>
        </is>
      </c>
      <c r="I6306" t="inlineStr">
        <is>
          <t>Open</t>
        </is>
      </c>
      <c r="M6306">
        <f>VLOOKUP(H6306,'Stage Order'!$A$2:$B$8,2,FALSE)</f>
        <v/>
      </c>
      <c r="N6306">
        <f>IF(G6306&lt;=1,"1. Under 1 hour",IF(G6306&lt;=24,"2. 1-24 hours",IF(G6306&lt;=72,"3. 1-3 days","4. Over 3 days")))</f>
        <v/>
      </c>
      <c r="O6306">
        <f>TEXT(B6306,"YYYY-MM")</f>
        <v/>
      </c>
    </row>
    <row r="6307">
      <c r="A6307" t="inlineStr">
        <is>
          <t>LD-306305</t>
        </is>
      </c>
      <c r="B6307" t="inlineStr">
        <is>
          <t>2025-04-14 12:01:00</t>
        </is>
      </c>
      <c r="C6307" t="inlineStr">
        <is>
          <t>Referral</t>
        </is>
      </c>
      <c r="D6307" t="inlineStr">
        <is>
          <t>Competitive Exam Prep</t>
        </is>
      </c>
      <c r="E6307" t="inlineStr">
        <is>
          <t>West Region</t>
        </is>
      </c>
      <c r="F6307" t="inlineStr">
        <is>
          <t>Rep_03</t>
        </is>
      </c>
      <c r="G6307" t="n">
        <v>0.91</v>
      </c>
      <c r="H6307" t="inlineStr">
        <is>
          <t>Lead</t>
        </is>
      </c>
      <c r="I6307" t="inlineStr">
        <is>
          <t>Open</t>
        </is>
      </c>
      <c r="M6307">
        <f>VLOOKUP(H6307,'Stage Order'!$A$2:$B$8,2,FALSE)</f>
        <v/>
      </c>
      <c r="N6307">
        <f>IF(G6307&lt;=1,"1. Under 1 hour",IF(G6307&lt;=24,"2. 1-24 hours",IF(G6307&lt;=72,"3. 1-3 days","4. Over 3 days")))</f>
        <v/>
      </c>
      <c r="O6307">
        <f>TEXT(B6307,"YYYY-MM")</f>
        <v/>
      </c>
    </row>
    <row r="6308">
      <c r="A6308" t="inlineStr">
        <is>
          <t>LD-306306</t>
        </is>
      </c>
      <c r="B6308" t="inlineStr">
        <is>
          <t>2026-01-23 08:55:00</t>
        </is>
      </c>
      <c r="C6308" t="inlineStr">
        <is>
          <t>Organic Search</t>
        </is>
      </c>
      <c r="D6308" t="inlineStr">
        <is>
          <t>Language Learning</t>
        </is>
      </c>
      <c r="E6308" t="inlineStr">
        <is>
          <t>International</t>
        </is>
      </c>
      <c r="F6308" t="inlineStr">
        <is>
          <t>Rep_05</t>
        </is>
      </c>
      <c r="G6308" t="n">
        <v>19.3</v>
      </c>
      <c r="H6308" t="inlineStr">
        <is>
          <t>Contacted</t>
        </is>
      </c>
      <c r="I6308" t="inlineStr">
        <is>
          <t>Open</t>
        </is>
      </c>
      <c r="M6308">
        <f>VLOOKUP(H6308,'Stage Order'!$A$2:$B$8,2,FALSE)</f>
        <v/>
      </c>
      <c r="N6308">
        <f>IF(G6308&lt;=1,"1. Under 1 hour",IF(G6308&lt;=24,"2. 1-24 hours",IF(G6308&lt;=72,"3. 1-3 days","4. Over 3 days")))</f>
        <v/>
      </c>
      <c r="O6308">
        <f>TEXT(B6308,"YYYY-MM")</f>
        <v/>
      </c>
    </row>
    <row r="6309">
      <c r="A6309" t="inlineStr">
        <is>
          <t>LD-306307</t>
        </is>
      </c>
      <c r="B6309" t="inlineStr">
        <is>
          <t>2025-02-02 07:17:00</t>
        </is>
      </c>
      <c r="C6309" t="inlineStr">
        <is>
          <t>Referral</t>
        </is>
      </c>
      <c r="D6309" t="inlineStr">
        <is>
          <t>K-12 Math</t>
        </is>
      </c>
      <c r="E6309" t="inlineStr">
        <is>
          <t>West Region</t>
        </is>
      </c>
      <c r="F6309" t="inlineStr">
        <is>
          <t>Rep_08</t>
        </is>
      </c>
      <c r="G6309" t="n">
        <v>15.14</v>
      </c>
      <c r="H6309" t="inlineStr">
        <is>
          <t>Closed</t>
        </is>
      </c>
      <c r="I6309" t="inlineStr">
        <is>
          <t>Won</t>
        </is>
      </c>
      <c r="K6309" t="n">
        <v>482.27</v>
      </c>
      <c r="L6309" t="inlineStr">
        <is>
          <t>2025-03-14 12:36:18.182774</t>
        </is>
      </c>
      <c r="M6309">
        <f>VLOOKUP(H6309,'Stage Order'!$A$2:$B$8,2,FALSE)</f>
        <v/>
      </c>
      <c r="N6309">
        <f>IF(G6309&lt;=1,"1. Under 1 hour",IF(G6309&lt;=24,"2. 1-24 hours",IF(G6309&lt;=72,"3. 1-3 days","4. Over 3 days")))</f>
        <v/>
      </c>
      <c r="O6309">
        <f>TEXT(B6309,"YYYY-MM")</f>
        <v/>
      </c>
    </row>
    <row r="6310">
      <c r="A6310" t="inlineStr">
        <is>
          <t>LD-306308</t>
        </is>
      </c>
      <c r="B6310" t="inlineStr">
        <is>
          <t>2025-10-27 20:38:00</t>
        </is>
      </c>
      <c r="C6310" t="inlineStr">
        <is>
          <t>Organic Search</t>
        </is>
      </c>
      <c r="D6310" t="inlineStr">
        <is>
          <t>Coding for Kids</t>
        </is>
      </c>
      <c r="E6310" t="inlineStr">
        <is>
          <t>West Region</t>
        </is>
      </c>
      <c r="F6310" t="inlineStr">
        <is>
          <t>Rep_13</t>
        </is>
      </c>
      <c r="G6310" t="n">
        <v>0.97</v>
      </c>
      <c r="H6310" t="inlineStr">
        <is>
          <t>Contacted</t>
        </is>
      </c>
      <c r="I6310" t="inlineStr">
        <is>
          <t>Open</t>
        </is>
      </c>
      <c r="M6310">
        <f>VLOOKUP(H6310,'Stage Order'!$A$2:$B$8,2,FALSE)</f>
        <v/>
      </c>
      <c r="N6310">
        <f>IF(G6310&lt;=1,"1. Under 1 hour",IF(G6310&lt;=24,"2. 1-24 hours",IF(G6310&lt;=72,"3. 1-3 days","4. Over 3 days")))</f>
        <v/>
      </c>
      <c r="O6310">
        <f>TEXT(B6310,"YYYY-MM")</f>
        <v/>
      </c>
    </row>
    <row r="6311">
      <c r="A6311" t="inlineStr">
        <is>
          <t>LD-306309</t>
        </is>
      </c>
      <c r="B6311" t="inlineStr">
        <is>
          <t>2026-06-02 18:31:00</t>
        </is>
      </c>
      <c r="C6311" t="inlineStr">
        <is>
          <t>Partner Channel</t>
        </is>
      </c>
      <c r="D6311" t="inlineStr">
        <is>
          <t>K-12 Math</t>
        </is>
      </c>
      <c r="E6311" t="inlineStr">
        <is>
          <t>North Region</t>
        </is>
      </c>
      <c r="F6311" t="inlineStr">
        <is>
          <t>Rep_11</t>
        </is>
      </c>
      <c r="G6311" t="n">
        <v>1.21</v>
      </c>
      <c r="H6311" t="inlineStr">
        <is>
          <t>Proposal Sent</t>
        </is>
      </c>
      <c r="I6311" t="inlineStr">
        <is>
          <t>Lost</t>
        </is>
      </c>
      <c r="J6311" t="inlineStr">
        <is>
          <t>No Response / Ghosted</t>
        </is>
      </c>
      <c r="K6311" t="n">
        <v>457.36</v>
      </c>
      <c r="L6311" t="inlineStr">
        <is>
          <t>2026-07-06 14:22:48.576320</t>
        </is>
      </c>
      <c r="M6311">
        <f>VLOOKUP(H6311,'Stage Order'!$A$2:$B$8,2,FALSE)</f>
        <v/>
      </c>
      <c r="N6311">
        <f>IF(G6311&lt;=1,"1. Under 1 hour",IF(G6311&lt;=24,"2. 1-24 hours",IF(G6311&lt;=72,"3. 1-3 days","4. Over 3 days")))</f>
        <v/>
      </c>
      <c r="O6311">
        <f>TEXT(B6311,"YYYY-MM")</f>
        <v/>
      </c>
    </row>
    <row r="6312">
      <c r="A6312" t="inlineStr">
        <is>
          <t>LD-306310</t>
        </is>
      </c>
      <c r="B6312" t="inlineStr">
        <is>
          <t>2026-02-25 13:42:00</t>
        </is>
      </c>
      <c r="C6312" t="inlineStr">
        <is>
          <t>Paid Search</t>
        </is>
      </c>
      <c r="D6312" t="inlineStr">
        <is>
          <t>Coding for Kids</t>
        </is>
      </c>
      <c r="E6312" t="inlineStr">
        <is>
          <t>West Region</t>
        </is>
      </c>
      <c r="F6312" t="inlineStr">
        <is>
          <t>Rep_13</t>
        </is>
      </c>
      <c r="G6312" t="n">
        <v>1.91</v>
      </c>
      <c r="H6312" t="inlineStr">
        <is>
          <t>Contacted</t>
        </is>
      </c>
      <c r="I6312" t="inlineStr">
        <is>
          <t>Open</t>
        </is>
      </c>
      <c r="M6312">
        <f>VLOOKUP(H6312,'Stage Order'!$A$2:$B$8,2,FALSE)</f>
        <v/>
      </c>
      <c r="N6312">
        <f>IF(G6312&lt;=1,"1. Under 1 hour",IF(G6312&lt;=24,"2. 1-24 hours",IF(G6312&lt;=72,"3. 1-3 days","4. Over 3 days")))</f>
        <v/>
      </c>
      <c r="O6312">
        <f>TEXT(B6312,"YYYY-MM")</f>
        <v/>
      </c>
    </row>
    <row r="6313">
      <c r="A6313" t="inlineStr">
        <is>
          <t>LD-306311</t>
        </is>
      </c>
      <c r="B6313" t="inlineStr">
        <is>
          <t>2025-01-11 14:14:00</t>
        </is>
      </c>
      <c r="C6313" t="inlineStr">
        <is>
          <t>Social Media</t>
        </is>
      </c>
      <c r="D6313" t="inlineStr">
        <is>
          <t>K-12 Math</t>
        </is>
      </c>
      <c r="E6313" t="inlineStr">
        <is>
          <t>East Region</t>
        </is>
      </c>
      <c r="F6313" t="inlineStr">
        <is>
          <t>Rep_04</t>
        </is>
      </c>
      <c r="G6313" t="n">
        <v>4</v>
      </c>
      <c r="H6313" t="inlineStr">
        <is>
          <t>Lead</t>
        </is>
      </c>
      <c r="I6313" t="inlineStr">
        <is>
          <t>Open</t>
        </is>
      </c>
      <c r="M6313">
        <f>VLOOKUP(H6313,'Stage Order'!$A$2:$B$8,2,FALSE)</f>
        <v/>
      </c>
      <c r="N6313">
        <f>IF(G6313&lt;=1,"1. Under 1 hour",IF(G6313&lt;=24,"2. 1-24 hours",IF(G6313&lt;=72,"3. 1-3 days","4. Over 3 days")))</f>
        <v/>
      </c>
      <c r="O6313">
        <f>TEXT(B6313,"YYYY-MM")</f>
        <v/>
      </c>
    </row>
    <row r="6314">
      <c r="A6314" t="inlineStr">
        <is>
          <t>LD-306312</t>
        </is>
      </c>
      <c r="B6314" t="inlineStr">
        <is>
          <t>2025-01-07 16:54:00</t>
        </is>
      </c>
      <c r="C6314" t="inlineStr">
        <is>
          <t>Paid Search</t>
        </is>
      </c>
      <c r="D6314" t="inlineStr">
        <is>
          <t>Coding for Kids</t>
        </is>
      </c>
      <c r="E6314" t="inlineStr">
        <is>
          <t>North Region</t>
        </is>
      </c>
      <c r="F6314" t="inlineStr">
        <is>
          <t>Rep_11</t>
        </is>
      </c>
      <c r="G6314" t="n">
        <v>6.41</v>
      </c>
      <c r="H6314" t="inlineStr">
        <is>
          <t>Lead</t>
        </is>
      </c>
      <c r="I6314" t="inlineStr">
        <is>
          <t>Open</t>
        </is>
      </c>
      <c r="M6314">
        <f>VLOOKUP(H6314,'Stage Order'!$A$2:$B$8,2,FALSE)</f>
        <v/>
      </c>
      <c r="N6314">
        <f>IF(G6314&lt;=1,"1. Under 1 hour",IF(G6314&lt;=24,"2. 1-24 hours",IF(G6314&lt;=72,"3. 1-3 days","4. Over 3 days")))</f>
        <v/>
      </c>
      <c r="O6314">
        <f>TEXT(B6314,"YYYY-MM")</f>
        <v/>
      </c>
    </row>
    <row r="6315">
      <c r="A6315" t="inlineStr">
        <is>
          <t>LD-306313</t>
        </is>
      </c>
      <c r="B6315" t="inlineStr">
        <is>
          <t>2025-02-07 15:36:00</t>
        </is>
      </c>
      <c r="C6315" t="inlineStr">
        <is>
          <t>Partner Channel</t>
        </is>
      </c>
      <c r="D6315" t="inlineStr">
        <is>
          <t>Competitive Exam Prep</t>
        </is>
      </c>
      <c r="E6315" t="inlineStr">
        <is>
          <t>North Region</t>
        </is>
      </c>
      <c r="F6315" t="inlineStr">
        <is>
          <t>Rep_06</t>
        </is>
      </c>
      <c r="G6315" t="n">
        <v>6.05</v>
      </c>
      <c r="H6315" t="inlineStr">
        <is>
          <t>Contacted</t>
        </is>
      </c>
      <c r="I6315" t="inlineStr">
        <is>
          <t>Open</t>
        </is>
      </c>
      <c r="M6315">
        <f>VLOOKUP(H6315,'Stage Order'!$A$2:$B$8,2,FALSE)</f>
        <v/>
      </c>
      <c r="N6315">
        <f>IF(G6315&lt;=1,"1. Under 1 hour",IF(G6315&lt;=24,"2. 1-24 hours",IF(G6315&lt;=72,"3. 1-3 days","4. Over 3 days")))</f>
        <v/>
      </c>
      <c r="O6315">
        <f>TEXT(B6315,"YYYY-MM")</f>
        <v/>
      </c>
    </row>
    <row r="6316">
      <c r="A6316" t="inlineStr">
        <is>
          <t>LD-306314</t>
        </is>
      </c>
      <c r="B6316" t="inlineStr">
        <is>
          <t>2025-10-08 19:46:00</t>
        </is>
      </c>
      <c r="C6316" t="inlineStr">
        <is>
          <t>Partner Channel</t>
        </is>
      </c>
      <c r="D6316" t="inlineStr">
        <is>
          <t>Coding for Kids</t>
        </is>
      </c>
      <c r="E6316" t="inlineStr">
        <is>
          <t>West Region</t>
        </is>
      </c>
      <c r="F6316" t="inlineStr">
        <is>
          <t>Rep_03</t>
        </is>
      </c>
      <c r="G6316" t="n">
        <v>0.59</v>
      </c>
      <c r="H6316" t="inlineStr">
        <is>
          <t>Closed</t>
        </is>
      </c>
      <c r="I6316" t="inlineStr">
        <is>
          <t>Won</t>
        </is>
      </c>
      <c r="K6316" t="n">
        <v>601.9299999999999</v>
      </c>
      <c r="L6316" t="inlineStr">
        <is>
          <t>2025-11-27 03:33:03.778511</t>
        </is>
      </c>
      <c r="M6316">
        <f>VLOOKUP(H6316,'Stage Order'!$A$2:$B$8,2,FALSE)</f>
        <v/>
      </c>
      <c r="N6316">
        <f>IF(G6316&lt;=1,"1. Under 1 hour",IF(G6316&lt;=24,"2. 1-24 hours",IF(G6316&lt;=72,"3. 1-3 days","4. Over 3 days")))</f>
        <v/>
      </c>
      <c r="O6316">
        <f>TEXT(B6316,"YYYY-MM")</f>
        <v/>
      </c>
    </row>
    <row r="6317">
      <c r="A6317" t="inlineStr">
        <is>
          <t>LD-306315</t>
        </is>
      </c>
      <c r="B6317" t="inlineStr">
        <is>
          <t>2026-04-03 20:59:00</t>
        </is>
      </c>
      <c r="C6317" t="inlineStr">
        <is>
          <t>Social Media</t>
        </is>
      </c>
      <c r="D6317" t="inlineStr">
        <is>
          <t>Language Learning</t>
        </is>
      </c>
      <c r="E6317" t="inlineStr">
        <is>
          <t>West Region</t>
        </is>
      </c>
      <c r="F6317" t="inlineStr">
        <is>
          <t>Rep_08</t>
        </is>
      </c>
      <c r="G6317" t="n">
        <v>3.71</v>
      </c>
      <c r="H6317" t="inlineStr">
        <is>
          <t>Contacted</t>
        </is>
      </c>
      <c r="I6317" t="inlineStr">
        <is>
          <t>Open</t>
        </is>
      </c>
      <c r="M6317">
        <f>VLOOKUP(H6317,'Stage Order'!$A$2:$B$8,2,FALSE)</f>
        <v/>
      </c>
      <c r="N6317">
        <f>IF(G6317&lt;=1,"1. Under 1 hour",IF(G6317&lt;=24,"2. 1-24 hours",IF(G6317&lt;=72,"3. 1-3 days","4. Over 3 days")))</f>
        <v/>
      </c>
      <c r="O6317">
        <f>TEXT(B6317,"YYYY-MM")</f>
        <v/>
      </c>
    </row>
    <row r="6318">
      <c r="A6318" t="inlineStr">
        <is>
          <t>LD-306316</t>
        </is>
      </c>
      <c r="B6318" t="inlineStr">
        <is>
          <t>2025-04-11 09:04:00</t>
        </is>
      </c>
      <c r="C6318" t="inlineStr">
        <is>
          <t>Social Media</t>
        </is>
      </c>
      <c r="D6318" t="inlineStr">
        <is>
          <t>Competitive Exam Prep</t>
        </is>
      </c>
      <c r="E6318" t="inlineStr">
        <is>
          <t>North Region</t>
        </is>
      </c>
      <c r="F6318" t="inlineStr">
        <is>
          <t>Rep_01</t>
        </is>
      </c>
      <c r="G6318" t="n">
        <v>2.31</v>
      </c>
      <c r="H6318" t="inlineStr">
        <is>
          <t>Demo Completed</t>
        </is>
      </c>
      <c r="I6318" t="inlineStr">
        <is>
          <t>Lost</t>
        </is>
      </c>
      <c r="J6318" t="inlineStr">
        <is>
          <t>Price Objection</t>
        </is>
      </c>
      <c r="K6318" t="n">
        <v>1165.45</v>
      </c>
      <c r="L6318" t="inlineStr">
        <is>
          <t>2025-05-06 12:54:15.903828</t>
        </is>
      </c>
      <c r="M6318">
        <f>VLOOKUP(H6318,'Stage Order'!$A$2:$B$8,2,FALSE)</f>
        <v/>
      </c>
      <c r="N6318">
        <f>IF(G6318&lt;=1,"1. Under 1 hour",IF(G6318&lt;=24,"2. 1-24 hours",IF(G6318&lt;=72,"3. 1-3 days","4. Over 3 days")))</f>
        <v/>
      </c>
      <c r="O6318">
        <f>TEXT(B6318,"YYYY-MM")</f>
        <v/>
      </c>
    </row>
    <row r="6319">
      <c r="A6319" t="inlineStr">
        <is>
          <t>LD-306317</t>
        </is>
      </c>
      <c r="B6319" t="inlineStr">
        <is>
          <t>2025-01-11 17:14:00</t>
        </is>
      </c>
      <c r="C6319" t="inlineStr">
        <is>
          <t>Referral</t>
        </is>
      </c>
      <c r="D6319" t="inlineStr">
        <is>
          <t>K-12 Math</t>
        </is>
      </c>
      <c r="E6319" t="inlineStr">
        <is>
          <t>South Region</t>
        </is>
      </c>
      <c r="F6319" t="inlineStr">
        <is>
          <t>Rep_02</t>
        </is>
      </c>
      <c r="G6319" t="n">
        <v>3.22</v>
      </c>
      <c r="H6319" t="inlineStr">
        <is>
          <t>Demo Scheduled</t>
        </is>
      </c>
      <c r="I6319" t="inlineStr">
        <is>
          <t>Open</t>
        </is>
      </c>
      <c r="M6319">
        <f>VLOOKUP(H6319,'Stage Order'!$A$2:$B$8,2,FALSE)</f>
        <v/>
      </c>
      <c r="N6319">
        <f>IF(G6319&lt;=1,"1. Under 1 hour",IF(G6319&lt;=24,"2. 1-24 hours",IF(G6319&lt;=72,"3. 1-3 days","4. Over 3 days")))</f>
        <v/>
      </c>
      <c r="O6319">
        <f>TEXT(B6319,"YYYY-MM")</f>
        <v/>
      </c>
    </row>
    <row r="6320">
      <c r="A6320" t="inlineStr">
        <is>
          <t>LD-306318</t>
        </is>
      </c>
      <c r="B6320" t="inlineStr">
        <is>
          <t>2025-06-17 13:02:00</t>
        </is>
      </c>
      <c r="C6320" t="inlineStr">
        <is>
          <t>Cold Outreach</t>
        </is>
      </c>
      <c r="D6320" t="inlineStr">
        <is>
          <t>K-12 Math</t>
        </is>
      </c>
      <c r="E6320" t="inlineStr">
        <is>
          <t>West Region</t>
        </is>
      </c>
      <c r="F6320" t="inlineStr">
        <is>
          <t>Rep_08</t>
        </is>
      </c>
      <c r="G6320" t="n">
        <v>3.77</v>
      </c>
      <c r="H6320" t="inlineStr">
        <is>
          <t>Lead</t>
        </is>
      </c>
      <c r="I6320" t="inlineStr">
        <is>
          <t>Open</t>
        </is>
      </c>
      <c r="M6320">
        <f>VLOOKUP(H6320,'Stage Order'!$A$2:$B$8,2,FALSE)</f>
        <v/>
      </c>
      <c r="N6320">
        <f>IF(G6320&lt;=1,"1. Under 1 hour",IF(G6320&lt;=24,"2. 1-24 hours",IF(G6320&lt;=72,"3. 1-3 days","4. Over 3 days")))</f>
        <v/>
      </c>
      <c r="O6320">
        <f>TEXT(B6320,"YYYY-MM")</f>
        <v/>
      </c>
    </row>
    <row r="6321">
      <c r="A6321" t="inlineStr">
        <is>
          <t>LD-306319</t>
        </is>
      </c>
      <c r="B6321" t="inlineStr">
        <is>
          <t>2025-11-28 08:39:00</t>
        </is>
      </c>
      <c r="C6321" t="inlineStr">
        <is>
          <t>Referral</t>
        </is>
      </c>
      <c r="D6321" t="inlineStr">
        <is>
          <t>Competitive Exam Prep</t>
        </is>
      </c>
      <c r="E6321" t="inlineStr">
        <is>
          <t>West Region</t>
        </is>
      </c>
      <c r="F6321" t="inlineStr">
        <is>
          <t>Rep_03</t>
        </is>
      </c>
      <c r="G6321" t="n">
        <v>2.18</v>
      </c>
      <c r="H6321" t="inlineStr">
        <is>
          <t>Negotiation</t>
        </is>
      </c>
      <c r="I6321" t="inlineStr">
        <is>
          <t>Lost</t>
        </is>
      </c>
      <c r="J6321" t="inlineStr">
        <is>
          <t>Bad Timing</t>
        </is>
      </c>
      <c r="K6321" t="n">
        <v>1116.07</v>
      </c>
      <c r="L6321" t="inlineStr">
        <is>
          <t>2026-01-14 05:38:17.376449</t>
        </is>
      </c>
      <c r="M6321">
        <f>VLOOKUP(H6321,'Stage Order'!$A$2:$B$8,2,FALSE)</f>
        <v/>
      </c>
      <c r="N6321">
        <f>IF(G6321&lt;=1,"1. Under 1 hour",IF(G6321&lt;=24,"2. 1-24 hours",IF(G6321&lt;=72,"3. 1-3 days","4. Over 3 days")))</f>
        <v/>
      </c>
      <c r="O6321">
        <f>TEXT(B6321,"YYYY-MM")</f>
        <v/>
      </c>
    </row>
    <row r="6322">
      <c r="A6322" t="inlineStr">
        <is>
          <t>LD-306320</t>
        </is>
      </c>
      <c r="B6322" t="inlineStr">
        <is>
          <t>2026-05-26 19:52:00</t>
        </is>
      </c>
      <c r="C6322" t="inlineStr">
        <is>
          <t>Paid Search</t>
        </is>
      </c>
      <c r="D6322" t="inlineStr">
        <is>
          <t>K-12 Math</t>
        </is>
      </c>
      <c r="E6322" t="inlineStr">
        <is>
          <t>West Region</t>
        </is>
      </c>
      <c r="F6322" t="inlineStr">
        <is>
          <t>Rep_13</t>
        </is>
      </c>
      <c r="G6322" t="n">
        <v>3.32</v>
      </c>
      <c r="H6322" t="inlineStr">
        <is>
          <t>Closed</t>
        </is>
      </c>
      <c r="I6322" t="inlineStr">
        <is>
          <t>Won</t>
        </is>
      </c>
      <c r="K6322" t="n">
        <v>484.15</v>
      </c>
      <c r="L6322" t="inlineStr">
        <is>
          <t>2026-06-29 03:32:42.199403</t>
        </is>
      </c>
      <c r="M6322">
        <f>VLOOKUP(H6322,'Stage Order'!$A$2:$B$8,2,FALSE)</f>
        <v/>
      </c>
      <c r="N6322">
        <f>IF(G6322&lt;=1,"1. Under 1 hour",IF(G6322&lt;=24,"2. 1-24 hours",IF(G6322&lt;=72,"3. 1-3 days","4. Over 3 days")))</f>
        <v/>
      </c>
      <c r="O6322">
        <f>TEXT(B6322,"YYYY-MM")</f>
        <v/>
      </c>
    </row>
    <row r="6323">
      <c r="A6323" t="inlineStr">
        <is>
          <t>LD-306321</t>
        </is>
      </c>
      <c r="B6323" t="inlineStr">
        <is>
          <t>2025-09-26 14:28:00</t>
        </is>
      </c>
      <c r="C6323" t="inlineStr">
        <is>
          <t>Webinar</t>
        </is>
      </c>
      <c r="D6323" t="inlineStr">
        <is>
          <t>Competitive Exam Prep</t>
        </is>
      </c>
      <c r="E6323" t="inlineStr">
        <is>
          <t>East Region</t>
        </is>
      </c>
      <c r="F6323" t="inlineStr">
        <is>
          <t>Rep_09</t>
        </is>
      </c>
      <c r="G6323" t="n">
        <v>1.71</v>
      </c>
      <c r="H6323" t="inlineStr">
        <is>
          <t>Contacted</t>
        </is>
      </c>
      <c r="I6323" t="inlineStr">
        <is>
          <t>Open</t>
        </is>
      </c>
      <c r="M6323">
        <f>VLOOKUP(H6323,'Stage Order'!$A$2:$B$8,2,FALSE)</f>
        <v/>
      </c>
      <c r="N6323">
        <f>IF(G6323&lt;=1,"1. Under 1 hour",IF(G6323&lt;=24,"2. 1-24 hours",IF(G6323&lt;=72,"3. 1-3 days","4. Over 3 days")))</f>
        <v/>
      </c>
      <c r="O6323">
        <f>TEXT(B6323,"YYYY-MM")</f>
        <v/>
      </c>
    </row>
    <row r="6324">
      <c r="A6324" t="inlineStr">
        <is>
          <t>LD-306322</t>
        </is>
      </c>
      <c r="B6324" t="inlineStr">
        <is>
          <t>2025-11-14 08:15:00</t>
        </is>
      </c>
      <c r="C6324" t="inlineStr">
        <is>
          <t>Cold Outreach</t>
        </is>
      </c>
      <c r="D6324" t="inlineStr">
        <is>
          <t>K-12 Math</t>
        </is>
      </c>
      <c r="E6324" t="inlineStr">
        <is>
          <t>North Region</t>
        </is>
      </c>
      <c r="F6324" t="inlineStr">
        <is>
          <t>Rep_06</t>
        </is>
      </c>
      <c r="G6324" t="n">
        <v>20.03</v>
      </c>
      <c r="H6324" t="inlineStr">
        <is>
          <t>Lead</t>
        </is>
      </c>
      <c r="I6324" t="inlineStr">
        <is>
          <t>Open</t>
        </is>
      </c>
      <c r="M6324">
        <f>VLOOKUP(H6324,'Stage Order'!$A$2:$B$8,2,FALSE)</f>
        <v/>
      </c>
      <c r="N6324">
        <f>IF(G6324&lt;=1,"1. Under 1 hour",IF(G6324&lt;=24,"2. 1-24 hours",IF(G6324&lt;=72,"3. 1-3 days","4. Over 3 days")))</f>
        <v/>
      </c>
      <c r="O6324">
        <f>TEXT(B6324,"YYYY-MM")</f>
        <v/>
      </c>
    </row>
    <row r="6325">
      <c r="A6325" t="inlineStr">
        <is>
          <t>LD-306323</t>
        </is>
      </c>
      <c r="B6325" t="inlineStr">
        <is>
          <t>2025-10-02 17:50:00</t>
        </is>
      </c>
      <c r="C6325" t="inlineStr">
        <is>
          <t>Partner Channel</t>
        </is>
      </c>
      <c r="D6325" t="inlineStr">
        <is>
          <t>Coding for Kids</t>
        </is>
      </c>
      <c r="E6325" t="inlineStr">
        <is>
          <t>North Region</t>
        </is>
      </c>
      <c r="F6325" t="inlineStr">
        <is>
          <t>Rep_01</t>
        </is>
      </c>
      <c r="G6325" t="n">
        <v>9.15</v>
      </c>
      <c r="H6325" t="inlineStr">
        <is>
          <t>Contacted</t>
        </is>
      </c>
      <c r="I6325" t="inlineStr">
        <is>
          <t>Open</t>
        </is>
      </c>
      <c r="M6325">
        <f>VLOOKUP(H6325,'Stage Order'!$A$2:$B$8,2,FALSE)</f>
        <v/>
      </c>
      <c r="N6325">
        <f>IF(G6325&lt;=1,"1. Under 1 hour",IF(G6325&lt;=24,"2. 1-24 hours",IF(G6325&lt;=72,"3. 1-3 days","4. Over 3 days")))</f>
        <v/>
      </c>
      <c r="O6325">
        <f>TEXT(B6325,"YYYY-MM")</f>
        <v/>
      </c>
    </row>
    <row r="6326">
      <c r="A6326" t="inlineStr">
        <is>
          <t>LD-306324</t>
        </is>
      </c>
      <c r="B6326" t="inlineStr">
        <is>
          <t>2025-12-05 14:49:00</t>
        </is>
      </c>
      <c r="C6326" t="inlineStr">
        <is>
          <t>Paid Search</t>
        </is>
      </c>
      <c r="D6326" t="inlineStr">
        <is>
          <t>Coding for Kids</t>
        </is>
      </c>
      <c r="E6326" t="inlineStr">
        <is>
          <t>West Region</t>
        </is>
      </c>
      <c r="F6326" t="inlineStr">
        <is>
          <t>Rep_03</t>
        </is>
      </c>
      <c r="G6326" t="n">
        <v>0.22</v>
      </c>
      <c r="H6326" t="inlineStr">
        <is>
          <t>Contacted</t>
        </is>
      </c>
      <c r="I6326" t="inlineStr">
        <is>
          <t>Open</t>
        </is>
      </c>
      <c r="M6326">
        <f>VLOOKUP(H6326,'Stage Order'!$A$2:$B$8,2,FALSE)</f>
        <v/>
      </c>
      <c r="N6326">
        <f>IF(G6326&lt;=1,"1. Under 1 hour",IF(G6326&lt;=24,"2. 1-24 hours",IF(G6326&lt;=72,"3. 1-3 days","4. Over 3 days")))</f>
        <v/>
      </c>
      <c r="O6326">
        <f>TEXT(B6326,"YYYY-MM")</f>
        <v/>
      </c>
    </row>
    <row r="6327">
      <c r="A6327" t="inlineStr">
        <is>
          <t>LD-306325</t>
        </is>
      </c>
      <c r="B6327" t="inlineStr">
        <is>
          <t>2025-12-09 15:59:00</t>
        </is>
      </c>
      <c r="C6327" t="inlineStr">
        <is>
          <t>Organic Search</t>
        </is>
      </c>
      <c r="D6327" t="inlineStr">
        <is>
          <t>K-12 Math</t>
        </is>
      </c>
      <c r="E6327" t="inlineStr">
        <is>
          <t>South Region</t>
        </is>
      </c>
      <c r="F6327" t="inlineStr">
        <is>
          <t>Rep_12</t>
        </is>
      </c>
      <c r="G6327" t="n">
        <v>4.66</v>
      </c>
      <c r="H6327" t="inlineStr">
        <is>
          <t>Closed</t>
        </is>
      </c>
      <c r="I6327" t="inlineStr">
        <is>
          <t>Won</t>
        </is>
      </c>
      <c r="K6327" t="n">
        <v>546.27</v>
      </c>
      <c r="L6327" t="inlineStr">
        <is>
          <t>2026-01-24 05:37:35.709015</t>
        </is>
      </c>
      <c r="M6327">
        <f>VLOOKUP(H6327,'Stage Order'!$A$2:$B$8,2,FALSE)</f>
        <v/>
      </c>
      <c r="N6327">
        <f>IF(G6327&lt;=1,"1. Under 1 hour",IF(G6327&lt;=24,"2. 1-24 hours",IF(G6327&lt;=72,"3. 1-3 days","4. Over 3 days")))</f>
        <v/>
      </c>
      <c r="O6327">
        <f>TEXT(B6327,"YYYY-MM")</f>
        <v/>
      </c>
    </row>
    <row r="6328">
      <c r="A6328" t="inlineStr">
        <is>
          <t>LD-306326</t>
        </is>
      </c>
      <c r="B6328" t="inlineStr">
        <is>
          <t>2026-03-09 11:44:00</t>
        </is>
      </c>
      <c r="C6328" t="inlineStr">
        <is>
          <t>Partner Channel</t>
        </is>
      </c>
      <c r="D6328" t="inlineStr">
        <is>
          <t>Coding for Kids</t>
        </is>
      </c>
      <c r="E6328" t="inlineStr">
        <is>
          <t>International</t>
        </is>
      </c>
      <c r="F6328" t="inlineStr">
        <is>
          <t>Rep_15</t>
        </is>
      </c>
      <c r="G6328" t="n">
        <v>1.73</v>
      </c>
      <c r="H6328" t="inlineStr">
        <is>
          <t>Contacted</t>
        </is>
      </c>
      <c r="I6328" t="inlineStr">
        <is>
          <t>Open</t>
        </is>
      </c>
      <c r="M6328">
        <f>VLOOKUP(H6328,'Stage Order'!$A$2:$B$8,2,FALSE)</f>
        <v/>
      </c>
      <c r="N6328">
        <f>IF(G6328&lt;=1,"1. Under 1 hour",IF(G6328&lt;=24,"2. 1-24 hours",IF(G6328&lt;=72,"3. 1-3 days","4. Over 3 days")))</f>
        <v/>
      </c>
      <c r="O6328">
        <f>TEXT(B6328,"YYYY-MM")</f>
        <v/>
      </c>
    </row>
    <row r="6329">
      <c r="A6329" t="inlineStr">
        <is>
          <t>LD-306327</t>
        </is>
      </c>
      <c r="B6329" t="inlineStr">
        <is>
          <t>2026-01-26 20:27:00</t>
        </is>
      </c>
      <c r="C6329" t="inlineStr">
        <is>
          <t>Social Media</t>
        </is>
      </c>
      <c r="D6329" t="inlineStr">
        <is>
          <t>Language Learning</t>
        </is>
      </c>
      <c r="E6329" t="inlineStr">
        <is>
          <t>North Region</t>
        </is>
      </c>
      <c r="F6329" t="inlineStr">
        <is>
          <t>Rep_11</t>
        </is>
      </c>
      <c r="G6329" t="n">
        <v>3.35</v>
      </c>
      <c r="H6329" t="inlineStr">
        <is>
          <t>Contacted</t>
        </is>
      </c>
      <c r="I6329" t="inlineStr">
        <is>
          <t>Open</t>
        </is>
      </c>
      <c r="M6329">
        <f>VLOOKUP(H6329,'Stage Order'!$A$2:$B$8,2,FALSE)</f>
        <v/>
      </c>
      <c r="N6329">
        <f>IF(G6329&lt;=1,"1. Under 1 hour",IF(G6329&lt;=24,"2. 1-24 hours",IF(G6329&lt;=72,"3. 1-3 days","4. Over 3 days")))</f>
        <v/>
      </c>
      <c r="O6329">
        <f>TEXT(B6329,"YYYY-MM")</f>
        <v/>
      </c>
    </row>
    <row r="6330">
      <c r="A6330" t="inlineStr">
        <is>
          <t>LD-306328</t>
        </is>
      </c>
      <c r="B6330" t="inlineStr">
        <is>
          <t>2025-09-26 12:30:00</t>
        </is>
      </c>
      <c r="C6330" t="inlineStr">
        <is>
          <t>Webinar</t>
        </is>
      </c>
      <c r="D6330" t="inlineStr">
        <is>
          <t>Study Abroad Prep</t>
        </is>
      </c>
      <c r="E6330" t="inlineStr">
        <is>
          <t>West Region</t>
        </is>
      </c>
      <c r="F6330" t="inlineStr">
        <is>
          <t>Rep_03</t>
        </is>
      </c>
      <c r="G6330" t="n">
        <v>4.31</v>
      </c>
      <c r="H6330" t="inlineStr">
        <is>
          <t>Lead</t>
        </is>
      </c>
      <c r="I6330" t="inlineStr">
        <is>
          <t>Open</t>
        </is>
      </c>
      <c r="M6330">
        <f>VLOOKUP(H6330,'Stage Order'!$A$2:$B$8,2,FALSE)</f>
        <v/>
      </c>
      <c r="N6330">
        <f>IF(G6330&lt;=1,"1. Under 1 hour",IF(G6330&lt;=24,"2. 1-24 hours",IF(G6330&lt;=72,"3. 1-3 days","4. Over 3 days")))</f>
        <v/>
      </c>
      <c r="O6330">
        <f>TEXT(B6330,"YYYY-MM")</f>
        <v/>
      </c>
    </row>
    <row r="6331">
      <c r="A6331" t="inlineStr">
        <is>
          <t>LD-306329</t>
        </is>
      </c>
      <c r="B6331" t="inlineStr">
        <is>
          <t>2026-06-10 12:37:00</t>
        </is>
      </c>
      <c r="C6331" t="inlineStr">
        <is>
          <t>Webinar</t>
        </is>
      </c>
      <c r="D6331" t="inlineStr">
        <is>
          <t>Competitive Exam Prep</t>
        </is>
      </c>
      <c r="E6331" t="inlineStr">
        <is>
          <t>West Region</t>
        </is>
      </c>
      <c r="F6331" t="inlineStr">
        <is>
          <t>Rep_08</t>
        </is>
      </c>
      <c r="G6331" t="n">
        <v>4.22</v>
      </c>
      <c r="H6331" t="inlineStr">
        <is>
          <t>Closed</t>
        </is>
      </c>
      <c r="I6331" t="inlineStr">
        <is>
          <t>Won</t>
        </is>
      </c>
      <c r="K6331" t="n">
        <v>1165.28</v>
      </c>
      <c r="L6331" t="inlineStr">
        <is>
          <t>2026-07-22 03:49:59.003294</t>
        </is>
      </c>
      <c r="M6331">
        <f>VLOOKUP(H6331,'Stage Order'!$A$2:$B$8,2,FALSE)</f>
        <v/>
      </c>
      <c r="N6331">
        <f>IF(G6331&lt;=1,"1. Under 1 hour",IF(G6331&lt;=24,"2. 1-24 hours",IF(G6331&lt;=72,"3. 1-3 days","4. Over 3 days")))</f>
        <v/>
      </c>
      <c r="O6331">
        <f>TEXT(B6331,"YYYY-MM")</f>
        <v/>
      </c>
    </row>
    <row r="6332">
      <c r="A6332" t="inlineStr">
        <is>
          <t>LD-306330</t>
        </is>
      </c>
      <c r="B6332" t="inlineStr">
        <is>
          <t>2025-09-26 17:52:00</t>
        </is>
      </c>
      <c r="C6332" t="inlineStr">
        <is>
          <t>Paid Search</t>
        </is>
      </c>
      <c r="D6332" t="inlineStr">
        <is>
          <t>Coding for Kids</t>
        </is>
      </c>
      <c r="E6332" t="inlineStr">
        <is>
          <t>South Region</t>
        </is>
      </c>
      <c r="F6332" t="inlineStr">
        <is>
          <t>Rep_12</t>
        </is>
      </c>
      <c r="G6332" t="n">
        <v>8.41</v>
      </c>
      <c r="H6332" t="inlineStr">
        <is>
          <t>Contacted</t>
        </is>
      </c>
      <c r="I6332" t="inlineStr">
        <is>
          <t>Open</t>
        </is>
      </c>
      <c r="M6332">
        <f>VLOOKUP(H6332,'Stage Order'!$A$2:$B$8,2,FALSE)</f>
        <v/>
      </c>
      <c r="N6332">
        <f>IF(G6332&lt;=1,"1. Under 1 hour",IF(G6332&lt;=24,"2. 1-24 hours",IF(G6332&lt;=72,"3. 1-3 days","4. Over 3 days")))</f>
        <v/>
      </c>
      <c r="O6332">
        <f>TEXT(B6332,"YYYY-MM")</f>
        <v/>
      </c>
    </row>
    <row r="6333">
      <c r="A6333" t="inlineStr">
        <is>
          <t>LD-306331</t>
        </is>
      </c>
      <c r="B6333" t="inlineStr">
        <is>
          <t>2026-02-13 11:01:00</t>
        </is>
      </c>
      <c r="C6333" t="inlineStr">
        <is>
          <t>Organic Search</t>
        </is>
      </c>
      <c r="D6333" t="inlineStr">
        <is>
          <t>Competitive Exam Prep</t>
        </is>
      </c>
      <c r="E6333" t="inlineStr">
        <is>
          <t>North Region</t>
        </is>
      </c>
      <c r="F6333" t="inlineStr">
        <is>
          <t>Rep_01</t>
        </is>
      </c>
      <c r="G6333" t="n">
        <v>26.38</v>
      </c>
      <c r="H6333" t="inlineStr">
        <is>
          <t>Demo Scheduled</t>
        </is>
      </c>
      <c r="I6333" t="inlineStr">
        <is>
          <t>Open</t>
        </is>
      </c>
      <c r="M6333">
        <f>VLOOKUP(H6333,'Stage Order'!$A$2:$B$8,2,FALSE)</f>
        <v/>
      </c>
      <c r="N6333">
        <f>IF(G6333&lt;=1,"1. Under 1 hour",IF(G6333&lt;=24,"2. 1-24 hours",IF(G6333&lt;=72,"3. 1-3 days","4. Over 3 days")))</f>
        <v/>
      </c>
      <c r="O6333">
        <f>TEXT(B6333,"YYYY-MM")</f>
        <v/>
      </c>
    </row>
    <row r="6334">
      <c r="A6334" t="inlineStr">
        <is>
          <t>LD-306332</t>
        </is>
      </c>
      <c r="B6334" t="inlineStr">
        <is>
          <t>2025-01-05 17:33:00</t>
        </is>
      </c>
      <c r="C6334" t="inlineStr">
        <is>
          <t>Paid Search</t>
        </is>
      </c>
      <c r="D6334" t="inlineStr">
        <is>
          <t>K-12 Math</t>
        </is>
      </c>
      <c r="E6334" t="inlineStr">
        <is>
          <t>West Region</t>
        </is>
      </c>
      <c r="F6334" t="inlineStr">
        <is>
          <t>Rep_08</t>
        </is>
      </c>
      <c r="G6334" t="n">
        <v>1.65</v>
      </c>
      <c r="H6334" t="inlineStr">
        <is>
          <t>Contacted</t>
        </is>
      </c>
      <c r="I6334" t="inlineStr">
        <is>
          <t>Open</t>
        </is>
      </c>
      <c r="M6334">
        <f>VLOOKUP(H6334,'Stage Order'!$A$2:$B$8,2,FALSE)</f>
        <v/>
      </c>
      <c r="N6334">
        <f>IF(G6334&lt;=1,"1. Under 1 hour",IF(G6334&lt;=24,"2. 1-24 hours",IF(G6334&lt;=72,"3. 1-3 days","4. Over 3 days")))</f>
        <v/>
      </c>
      <c r="O6334">
        <f>TEXT(B6334,"YYYY-MM")</f>
        <v/>
      </c>
    </row>
    <row r="6335">
      <c r="A6335" t="inlineStr">
        <is>
          <t>LD-306333</t>
        </is>
      </c>
      <c r="B6335" t="inlineStr">
        <is>
          <t>2026-04-03 20:46:00</t>
        </is>
      </c>
      <c r="C6335" t="inlineStr">
        <is>
          <t>Social Media</t>
        </is>
      </c>
      <c r="D6335" t="inlineStr">
        <is>
          <t>Coding for Kids</t>
        </is>
      </c>
      <c r="E6335" t="inlineStr">
        <is>
          <t>South Region</t>
        </is>
      </c>
      <c r="F6335" t="inlineStr">
        <is>
          <t>Rep_12</t>
        </is>
      </c>
      <c r="G6335" t="n">
        <v>17.88</v>
      </c>
      <c r="H6335" t="inlineStr">
        <is>
          <t>Contacted</t>
        </is>
      </c>
      <c r="I6335" t="inlineStr">
        <is>
          <t>Open</t>
        </is>
      </c>
      <c r="M6335">
        <f>VLOOKUP(H6335,'Stage Order'!$A$2:$B$8,2,FALSE)</f>
        <v/>
      </c>
      <c r="N6335">
        <f>IF(G6335&lt;=1,"1. Under 1 hour",IF(G6335&lt;=24,"2. 1-24 hours",IF(G6335&lt;=72,"3. 1-3 days","4. Over 3 days")))</f>
        <v/>
      </c>
      <c r="O6335">
        <f>TEXT(B6335,"YYYY-MM")</f>
        <v/>
      </c>
    </row>
    <row r="6336">
      <c r="A6336" t="inlineStr">
        <is>
          <t>LD-306334</t>
        </is>
      </c>
      <c r="B6336" t="inlineStr">
        <is>
          <t>2025-12-24 10:35:00</t>
        </is>
      </c>
      <c r="C6336" t="inlineStr">
        <is>
          <t>Partner Channel</t>
        </is>
      </c>
      <c r="D6336" t="inlineStr">
        <is>
          <t>Language Learning</t>
        </is>
      </c>
      <c r="E6336" t="inlineStr">
        <is>
          <t>North Region</t>
        </is>
      </c>
      <c r="F6336" t="inlineStr">
        <is>
          <t>Rep_01</t>
        </is>
      </c>
      <c r="G6336" t="n">
        <v>0.75</v>
      </c>
      <c r="H6336" t="inlineStr">
        <is>
          <t>Contacted</t>
        </is>
      </c>
      <c r="I6336" t="inlineStr">
        <is>
          <t>Open</t>
        </is>
      </c>
      <c r="M6336">
        <f>VLOOKUP(H6336,'Stage Order'!$A$2:$B$8,2,FALSE)</f>
        <v/>
      </c>
      <c r="N6336">
        <f>IF(G6336&lt;=1,"1. Under 1 hour",IF(G6336&lt;=24,"2. 1-24 hours",IF(G6336&lt;=72,"3. 1-3 days","4. Over 3 days")))</f>
        <v/>
      </c>
      <c r="O6336">
        <f>TEXT(B6336,"YYYY-MM")</f>
        <v/>
      </c>
    </row>
    <row r="6337">
      <c r="A6337" t="inlineStr">
        <is>
          <t>LD-306335</t>
        </is>
      </c>
      <c r="B6337" t="inlineStr">
        <is>
          <t>2025-04-19 16:08:00</t>
        </is>
      </c>
      <c r="C6337" t="inlineStr">
        <is>
          <t>Paid Search</t>
        </is>
      </c>
      <c r="D6337" t="inlineStr">
        <is>
          <t>Coding for Kids</t>
        </is>
      </c>
      <c r="E6337" t="inlineStr">
        <is>
          <t>North Region</t>
        </is>
      </c>
      <c r="F6337" t="inlineStr">
        <is>
          <t>Rep_01</t>
        </is>
      </c>
      <c r="G6337" t="n">
        <v>1.01</v>
      </c>
      <c r="H6337" t="inlineStr">
        <is>
          <t>Lead</t>
        </is>
      </c>
      <c r="I6337" t="inlineStr">
        <is>
          <t>Open</t>
        </is>
      </c>
      <c r="M6337">
        <f>VLOOKUP(H6337,'Stage Order'!$A$2:$B$8,2,FALSE)</f>
        <v/>
      </c>
      <c r="N6337">
        <f>IF(G6337&lt;=1,"1. Under 1 hour",IF(G6337&lt;=24,"2. 1-24 hours",IF(G6337&lt;=72,"3. 1-3 days","4. Over 3 days")))</f>
        <v/>
      </c>
      <c r="O6337">
        <f>TEXT(B6337,"YYYY-MM")</f>
        <v/>
      </c>
    </row>
    <row r="6338">
      <c r="A6338" t="inlineStr">
        <is>
          <t>LD-306336</t>
        </is>
      </c>
      <c r="B6338" t="inlineStr">
        <is>
          <t>2025-05-26 17:50:00</t>
        </is>
      </c>
      <c r="C6338" t="inlineStr">
        <is>
          <t>Organic Search</t>
        </is>
      </c>
      <c r="D6338" t="inlineStr">
        <is>
          <t>K-12 Math</t>
        </is>
      </c>
      <c r="E6338" t="inlineStr">
        <is>
          <t>East Region</t>
        </is>
      </c>
      <c r="F6338" t="inlineStr">
        <is>
          <t>Rep_04</t>
        </is>
      </c>
      <c r="G6338" t="n">
        <v>10.68</v>
      </c>
      <c r="H6338" t="inlineStr">
        <is>
          <t>Contacted</t>
        </is>
      </c>
      <c r="I6338" t="inlineStr">
        <is>
          <t>Open</t>
        </is>
      </c>
      <c r="M6338">
        <f>VLOOKUP(H6338,'Stage Order'!$A$2:$B$8,2,FALSE)</f>
        <v/>
      </c>
      <c r="N6338">
        <f>IF(G6338&lt;=1,"1. Under 1 hour",IF(G6338&lt;=24,"2. 1-24 hours",IF(G6338&lt;=72,"3. 1-3 days","4. Over 3 days")))</f>
        <v/>
      </c>
      <c r="O6338">
        <f>TEXT(B6338,"YYYY-MM")</f>
        <v/>
      </c>
    </row>
    <row r="6339">
      <c r="A6339" t="inlineStr">
        <is>
          <t>LD-306337</t>
        </is>
      </c>
      <c r="B6339" t="inlineStr">
        <is>
          <t>2025-09-06 16:36:00</t>
        </is>
      </c>
      <c r="C6339" t="inlineStr">
        <is>
          <t>Social Media</t>
        </is>
      </c>
      <c r="D6339" t="inlineStr">
        <is>
          <t>Competitive Exam Prep</t>
        </is>
      </c>
      <c r="E6339" t="inlineStr">
        <is>
          <t>South Region</t>
        </is>
      </c>
      <c r="F6339" t="inlineStr">
        <is>
          <t>Rep_02</t>
        </is>
      </c>
      <c r="G6339" t="n">
        <v>1.1</v>
      </c>
      <c r="H6339" t="inlineStr">
        <is>
          <t>Demo Completed</t>
        </is>
      </c>
      <c r="I6339" t="inlineStr">
        <is>
          <t>Lost</t>
        </is>
      </c>
      <c r="J6339" t="inlineStr">
        <is>
          <t>Price Objection</t>
        </is>
      </c>
      <c r="K6339" t="n">
        <v>931.5599999999999</v>
      </c>
      <c r="L6339" t="inlineStr">
        <is>
          <t>2025-10-12 05:42:50.450081</t>
        </is>
      </c>
      <c r="M6339">
        <f>VLOOKUP(H6339,'Stage Order'!$A$2:$B$8,2,FALSE)</f>
        <v/>
      </c>
      <c r="N6339">
        <f>IF(G6339&lt;=1,"1. Under 1 hour",IF(G6339&lt;=24,"2. 1-24 hours",IF(G6339&lt;=72,"3. 1-3 days","4. Over 3 days")))</f>
        <v/>
      </c>
      <c r="O6339">
        <f>TEXT(B6339,"YYYY-MM")</f>
        <v/>
      </c>
    </row>
    <row r="6340">
      <c r="A6340" t="inlineStr">
        <is>
          <t>LD-306338</t>
        </is>
      </c>
      <c r="B6340" t="inlineStr">
        <is>
          <t>2026-02-06 13:58:00</t>
        </is>
      </c>
      <c r="C6340" t="inlineStr">
        <is>
          <t>Social Media</t>
        </is>
      </c>
      <c r="D6340" t="inlineStr">
        <is>
          <t>K-12 Math</t>
        </is>
      </c>
      <c r="E6340" t="inlineStr">
        <is>
          <t>North Region</t>
        </is>
      </c>
      <c r="F6340" t="inlineStr">
        <is>
          <t>Rep_11</t>
        </is>
      </c>
      <c r="G6340" t="n">
        <v>3.27</v>
      </c>
      <c r="H6340" t="inlineStr">
        <is>
          <t>Contacted</t>
        </is>
      </c>
      <c r="I6340" t="inlineStr">
        <is>
          <t>Open</t>
        </is>
      </c>
      <c r="M6340">
        <f>VLOOKUP(H6340,'Stage Order'!$A$2:$B$8,2,FALSE)</f>
        <v/>
      </c>
      <c r="N6340">
        <f>IF(G6340&lt;=1,"1. Under 1 hour",IF(G6340&lt;=24,"2. 1-24 hours",IF(G6340&lt;=72,"3. 1-3 days","4. Over 3 days")))</f>
        <v/>
      </c>
      <c r="O6340">
        <f>TEXT(B6340,"YYYY-MM")</f>
        <v/>
      </c>
    </row>
    <row r="6341">
      <c r="A6341" t="inlineStr">
        <is>
          <t>LD-306339</t>
        </is>
      </c>
      <c r="B6341" t="inlineStr">
        <is>
          <t>2026-03-13 19:14:00</t>
        </is>
      </c>
      <c r="C6341" t="inlineStr">
        <is>
          <t>Organic Search</t>
        </is>
      </c>
      <c r="D6341" t="inlineStr">
        <is>
          <t>Competitive Exam Prep</t>
        </is>
      </c>
      <c r="E6341" t="inlineStr">
        <is>
          <t>South Region</t>
        </is>
      </c>
      <c r="F6341" t="inlineStr">
        <is>
          <t>Rep_07</t>
        </is>
      </c>
      <c r="G6341" t="n">
        <v>0.65</v>
      </c>
      <c r="H6341" t="inlineStr">
        <is>
          <t>Contacted</t>
        </is>
      </c>
      <c r="I6341" t="inlineStr">
        <is>
          <t>Open</t>
        </is>
      </c>
      <c r="M6341">
        <f>VLOOKUP(H6341,'Stage Order'!$A$2:$B$8,2,FALSE)</f>
        <v/>
      </c>
      <c r="N6341">
        <f>IF(G6341&lt;=1,"1. Under 1 hour",IF(G6341&lt;=24,"2. 1-24 hours",IF(G6341&lt;=72,"3. 1-3 days","4. Over 3 days")))</f>
        <v/>
      </c>
      <c r="O6341">
        <f>TEXT(B6341,"YYYY-MM")</f>
        <v/>
      </c>
    </row>
    <row r="6342">
      <c r="A6342" t="inlineStr">
        <is>
          <t>LD-306340</t>
        </is>
      </c>
      <c r="B6342" t="inlineStr">
        <is>
          <t>2025-03-11 17:20:00</t>
        </is>
      </c>
      <c r="C6342" t="inlineStr">
        <is>
          <t>Cold Outreach</t>
        </is>
      </c>
      <c r="D6342" t="inlineStr">
        <is>
          <t>K-12 Math</t>
        </is>
      </c>
      <c r="E6342" t="inlineStr">
        <is>
          <t>East Region</t>
        </is>
      </c>
      <c r="F6342" t="inlineStr">
        <is>
          <t>Rep_04</t>
        </is>
      </c>
      <c r="G6342" t="n">
        <v>8.890000000000001</v>
      </c>
      <c r="H6342" t="inlineStr">
        <is>
          <t>Lead</t>
        </is>
      </c>
      <c r="I6342" t="inlineStr">
        <is>
          <t>Open</t>
        </is>
      </c>
      <c r="M6342">
        <f>VLOOKUP(H6342,'Stage Order'!$A$2:$B$8,2,FALSE)</f>
        <v/>
      </c>
      <c r="N6342">
        <f>IF(G6342&lt;=1,"1. Under 1 hour",IF(G6342&lt;=24,"2. 1-24 hours",IF(G6342&lt;=72,"3. 1-3 days","4. Over 3 days")))</f>
        <v/>
      </c>
      <c r="O6342">
        <f>TEXT(B6342,"YYYY-MM")</f>
        <v/>
      </c>
    </row>
    <row r="6343">
      <c r="A6343" t="inlineStr">
        <is>
          <t>LD-306341</t>
        </is>
      </c>
      <c r="B6343" t="inlineStr">
        <is>
          <t>2025-05-13 08:33:00</t>
        </is>
      </c>
      <c r="C6343" t="inlineStr">
        <is>
          <t>Paid Search</t>
        </is>
      </c>
      <c r="D6343" t="inlineStr">
        <is>
          <t>Competitive Exam Prep</t>
        </is>
      </c>
      <c r="E6343" t="inlineStr">
        <is>
          <t>North Region</t>
        </is>
      </c>
      <c r="F6343" t="inlineStr">
        <is>
          <t>Rep_01</t>
        </is>
      </c>
      <c r="G6343" t="n">
        <v>5.31</v>
      </c>
      <c r="H6343" t="inlineStr">
        <is>
          <t>Contacted</t>
        </is>
      </c>
      <c r="I6343" t="inlineStr">
        <is>
          <t>Open</t>
        </is>
      </c>
      <c r="M6343">
        <f>VLOOKUP(H6343,'Stage Order'!$A$2:$B$8,2,FALSE)</f>
        <v/>
      </c>
      <c r="N6343">
        <f>IF(G6343&lt;=1,"1. Under 1 hour",IF(G6343&lt;=24,"2. 1-24 hours",IF(G6343&lt;=72,"3. 1-3 days","4. Over 3 days")))</f>
        <v/>
      </c>
      <c r="O6343">
        <f>TEXT(B6343,"YYYY-MM")</f>
        <v/>
      </c>
    </row>
    <row r="6344">
      <c r="A6344" t="inlineStr">
        <is>
          <t>LD-306342</t>
        </is>
      </c>
      <c r="B6344" t="inlineStr">
        <is>
          <t>2026-02-03 09:22:00</t>
        </is>
      </c>
      <c r="C6344" t="inlineStr">
        <is>
          <t>Paid Search</t>
        </is>
      </c>
      <c r="D6344" t="inlineStr">
        <is>
          <t>Language Learning</t>
        </is>
      </c>
      <c r="E6344" t="inlineStr">
        <is>
          <t>East Region</t>
        </is>
      </c>
      <c r="F6344" t="inlineStr">
        <is>
          <t>Rep_09</t>
        </is>
      </c>
      <c r="G6344" t="n">
        <v>4.95</v>
      </c>
      <c r="H6344" t="inlineStr">
        <is>
          <t>Contacted</t>
        </is>
      </c>
      <c r="I6344" t="inlineStr">
        <is>
          <t>Open</t>
        </is>
      </c>
      <c r="M6344">
        <f>VLOOKUP(H6344,'Stage Order'!$A$2:$B$8,2,FALSE)</f>
        <v/>
      </c>
      <c r="N6344">
        <f>IF(G6344&lt;=1,"1. Under 1 hour",IF(G6344&lt;=24,"2. 1-24 hours",IF(G6344&lt;=72,"3. 1-3 days","4. Over 3 days")))</f>
        <v/>
      </c>
      <c r="O6344">
        <f>TEXT(B6344,"YYYY-MM")</f>
        <v/>
      </c>
    </row>
    <row r="6345">
      <c r="A6345" t="inlineStr">
        <is>
          <t>LD-306343</t>
        </is>
      </c>
      <c r="B6345" t="inlineStr">
        <is>
          <t>2025-10-01 18:39:00</t>
        </is>
      </c>
      <c r="C6345" t="inlineStr">
        <is>
          <t>Paid Search</t>
        </is>
      </c>
      <c r="D6345" t="inlineStr">
        <is>
          <t>K-12 Math</t>
        </is>
      </c>
      <c r="E6345" t="inlineStr">
        <is>
          <t>North Region</t>
        </is>
      </c>
      <c r="F6345" t="inlineStr">
        <is>
          <t>Rep_06</t>
        </is>
      </c>
      <c r="G6345" t="n">
        <v>3.61</v>
      </c>
      <c r="H6345" t="inlineStr">
        <is>
          <t>Demo Completed</t>
        </is>
      </c>
      <c r="I6345" t="inlineStr">
        <is>
          <t>Lost</t>
        </is>
      </c>
      <c r="J6345" t="inlineStr">
        <is>
          <t>Went With Competitor</t>
        </is>
      </c>
      <c r="K6345" t="n">
        <v>560.11</v>
      </c>
      <c r="L6345" t="inlineStr">
        <is>
          <t>2025-11-03 15:01:19.141991</t>
        </is>
      </c>
      <c r="M6345">
        <f>VLOOKUP(H6345,'Stage Order'!$A$2:$B$8,2,FALSE)</f>
        <v/>
      </c>
      <c r="N6345">
        <f>IF(G6345&lt;=1,"1. Under 1 hour",IF(G6345&lt;=24,"2. 1-24 hours",IF(G6345&lt;=72,"3. 1-3 days","4. Over 3 days")))</f>
        <v/>
      </c>
      <c r="O6345">
        <f>TEXT(B6345,"YYYY-MM")</f>
        <v/>
      </c>
    </row>
    <row r="6346">
      <c r="A6346" t="inlineStr">
        <is>
          <t>LD-306344</t>
        </is>
      </c>
      <c r="B6346" t="inlineStr">
        <is>
          <t>2025-02-07 20:47:00</t>
        </is>
      </c>
      <c r="C6346" t="inlineStr">
        <is>
          <t>Social Media</t>
        </is>
      </c>
      <c r="D6346" t="inlineStr">
        <is>
          <t>Coding for Kids</t>
        </is>
      </c>
      <c r="E6346" t="inlineStr">
        <is>
          <t>East Region</t>
        </is>
      </c>
      <c r="F6346" t="inlineStr">
        <is>
          <t>Rep_09</t>
        </is>
      </c>
      <c r="G6346" t="n">
        <v>3.45</v>
      </c>
      <c r="H6346" t="inlineStr">
        <is>
          <t>Lead</t>
        </is>
      </c>
      <c r="I6346" t="inlineStr">
        <is>
          <t>Open</t>
        </is>
      </c>
      <c r="M6346">
        <f>VLOOKUP(H6346,'Stage Order'!$A$2:$B$8,2,FALSE)</f>
        <v/>
      </c>
      <c r="N6346">
        <f>IF(G6346&lt;=1,"1. Under 1 hour",IF(G6346&lt;=24,"2. 1-24 hours",IF(G6346&lt;=72,"3. 1-3 days","4. Over 3 days")))</f>
        <v/>
      </c>
      <c r="O6346">
        <f>TEXT(B6346,"YYYY-MM")</f>
        <v/>
      </c>
    </row>
    <row r="6347">
      <c r="A6347" t="inlineStr">
        <is>
          <t>LD-306345</t>
        </is>
      </c>
      <c r="B6347" t="inlineStr">
        <is>
          <t>2025-11-20 11:16:00</t>
        </is>
      </c>
      <c r="C6347" t="inlineStr">
        <is>
          <t>Paid Search</t>
        </is>
      </c>
      <c r="D6347" t="inlineStr">
        <is>
          <t>Competitive Exam Prep</t>
        </is>
      </c>
      <c r="E6347" t="inlineStr">
        <is>
          <t>East Region</t>
        </is>
      </c>
      <c r="F6347" t="inlineStr">
        <is>
          <t>Rep_04</t>
        </is>
      </c>
      <c r="G6347" t="n">
        <v>1.1</v>
      </c>
      <c r="H6347" t="inlineStr">
        <is>
          <t>Lead</t>
        </is>
      </c>
      <c r="I6347" t="inlineStr">
        <is>
          <t>Open</t>
        </is>
      </c>
      <c r="M6347">
        <f>VLOOKUP(H6347,'Stage Order'!$A$2:$B$8,2,FALSE)</f>
        <v/>
      </c>
      <c r="N6347">
        <f>IF(G6347&lt;=1,"1. Under 1 hour",IF(G6347&lt;=24,"2. 1-24 hours",IF(G6347&lt;=72,"3. 1-3 days","4. Over 3 days")))</f>
        <v/>
      </c>
      <c r="O6347">
        <f>TEXT(B6347,"YYYY-MM")</f>
        <v/>
      </c>
    </row>
    <row r="6348">
      <c r="A6348" t="inlineStr">
        <is>
          <t>LD-306346</t>
        </is>
      </c>
      <c r="B6348" t="inlineStr">
        <is>
          <t>2026-06-01 20:53:00</t>
        </is>
      </c>
      <c r="C6348" t="inlineStr">
        <is>
          <t>Webinar</t>
        </is>
      </c>
      <c r="D6348" t="inlineStr">
        <is>
          <t>Coding for Kids</t>
        </is>
      </c>
      <c r="E6348" t="inlineStr">
        <is>
          <t>West Region</t>
        </is>
      </c>
      <c r="F6348" t="inlineStr">
        <is>
          <t>Rep_03</t>
        </is>
      </c>
      <c r="G6348" t="n">
        <v>1.54</v>
      </c>
      <c r="H6348" t="inlineStr">
        <is>
          <t>Contacted</t>
        </is>
      </c>
      <c r="I6348" t="inlineStr">
        <is>
          <t>Open</t>
        </is>
      </c>
      <c r="M6348">
        <f>VLOOKUP(H6348,'Stage Order'!$A$2:$B$8,2,FALSE)</f>
        <v/>
      </c>
      <c r="N6348">
        <f>IF(G6348&lt;=1,"1. Under 1 hour",IF(G6348&lt;=24,"2. 1-24 hours",IF(G6348&lt;=72,"3. 1-3 days","4. Over 3 days")))</f>
        <v/>
      </c>
      <c r="O6348">
        <f>TEXT(B6348,"YYYY-MM")</f>
        <v/>
      </c>
    </row>
    <row r="6349">
      <c r="A6349" t="inlineStr">
        <is>
          <t>LD-306347</t>
        </is>
      </c>
      <c r="B6349" t="inlineStr">
        <is>
          <t>2025-05-19 19:47:00</t>
        </is>
      </c>
      <c r="C6349" t="inlineStr">
        <is>
          <t>Referral</t>
        </is>
      </c>
      <c r="D6349" t="inlineStr">
        <is>
          <t>Coding for Kids</t>
        </is>
      </c>
      <c r="E6349" t="inlineStr">
        <is>
          <t>West Region</t>
        </is>
      </c>
      <c r="F6349" t="inlineStr">
        <is>
          <t>Rep_08</t>
        </is>
      </c>
      <c r="G6349" t="n">
        <v>3.36</v>
      </c>
      <c r="H6349" t="inlineStr">
        <is>
          <t>Closed</t>
        </is>
      </c>
      <c r="I6349" t="inlineStr">
        <is>
          <t>Won</t>
        </is>
      </c>
      <c r="K6349" t="n">
        <v>670.97</v>
      </c>
      <c r="L6349" t="inlineStr">
        <is>
          <t>2025-06-23 14:29:17.757579</t>
        </is>
      </c>
      <c r="M6349">
        <f>VLOOKUP(H6349,'Stage Order'!$A$2:$B$8,2,FALSE)</f>
        <v/>
      </c>
      <c r="N6349">
        <f>IF(G6349&lt;=1,"1. Under 1 hour",IF(G6349&lt;=24,"2. 1-24 hours",IF(G6349&lt;=72,"3. 1-3 days","4. Over 3 days")))</f>
        <v/>
      </c>
      <c r="O6349">
        <f>TEXT(B6349,"YYYY-MM")</f>
        <v/>
      </c>
    </row>
    <row r="6350">
      <c r="A6350" t="inlineStr">
        <is>
          <t>LD-306348</t>
        </is>
      </c>
      <c r="B6350" t="inlineStr">
        <is>
          <t>2025-05-18 19:21:00</t>
        </is>
      </c>
      <c r="C6350" t="inlineStr">
        <is>
          <t>Social Media</t>
        </is>
      </c>
      <c r="D6350" t="inlineStr">
        <is>
          <t>K-12 Math</t>
        </is>
      </c>
      <c r="E6350" t="inlineStr">
        <is>
          <t>North Region</t>
        </is>
      </c>
      <c r="F6350" t="inlineStr">
        <is>
          <t>Rep_11</t>
        </is>
      </c>
      <c r="G6350" t="n">
        <v>11.57</v>
      </c>
      <c r="H6350" t="inlineStr">
        <is>
          <t>Lead</t>
        </is>
      </c>
      <c r="I6350" t="inlineStr">
        <is>
          <t>Open</t>
        </is>
      </c>
      <c r="M6350">
        <f>VLOOKUP(H6350,'Stage Order'!$A$2:$B$8,2,FALSE)</f>
        <v/>
      </c>
      <c r="N6350">
        <f>IF(G6350&lt;=1,"1. Under 1 hour",IF(G6350&lt;=24,"2. 1-24 hours",IF(G6350&lt;=72,"3. 1-3 days","4. Over 3 days")))</f>
        <v/>
      </c>
      <c r="O6350">
        <f>TEXT(B6350,"YYYY-MM")</f>
        <v/>
      </c>
    </row>
    <row r="6351">
      <c r="A6351" t="inlineStr">
        <is>
          <t>LD-306349</t>
        </is>
      </c>
      <c r="B6351" t="inlineStr">
        <is>
          <t>2025-05-25 14:43:00</t>
        </is>
      </c>
      <c r="C6351" t="inlineStr">
        <is>
          <t>Cold Outreach</t>
        </is>
      </c>
      <c r="D6351" t="inlineStr">
        <is>
          <t>Language Learning</t>
        </is>
      </c>
      <c r="E6351" t="inlineStr">
        <is>
          <t>International</t>
        </is>
      </c>
      <c r="F6351" t="inlineStr">
        <is>
          <t>Rep_10</t>
        </is>
      </c>
      <c r="G6351" t="n">
        <v>1.74</v>
      </c>
      <c r="H6351" t="inlineStr">
        <is>
          <t>Contacted</t>
        </is>
      </c>
      <c r="I6351" t="inlineStr">
        <is>
          <t>Open</t>
        </is>
      </c>
      <c r="M6351">
        <f>VLOOKUP(H6351,'Stage Order'!$A$2:$B$8,2,FALSE)</f>
        <v/>
      </c>
      <c r="N6351">
        <f>IF(G6351&lt;=1,"1. Under 1 hour",IF(G6351&lt;=24,"2. 1-24 hours",IF(G6351&lt;=72,"3. 1-3 days","4. Over 3 days")))</f>
        <v/>
      </c>
      <c r="O6351">
        <f>TEXT(B6351,"YYYY-MM")</f>
        <v/>
      </c>
    </row>
    <row r="6352">
      <c r="A6352" t="inlineStr">
        <is>
          <t>LD-306350</t>
        </is>
      </c>
      <c r="B6352" t="inlineStr">
        <is>
          <t>2026-01-22 13:35:00</t>
        </is>
      </c>
      <c r="C6352" t="inlineStr">
        <is>
          <t>Organic Search</t>
        </is>
      </c>
      <c r="D6352" t="inlineStr">
        <is>
          <t>Competitive Exam Prep</t>
        </is>
      </c>
      <c r="E6352" t="inlineStr">
        <is>
          <t>West Region</t>
        </is>
      </c>
      <c r="F6352" t="inlineStr">
        <is>
          <t>Rep_08</t>
        </is>
      </c>
      <c r="G6352" t="n">
        <v>2.61</v>
      </c>
      <c r="H6352" t="inlineStr">
        <is>
          <t>Contacted</t>
        </is>
      </c>
      <c r="I6352" t="inlineStr">
        <is>
          <t>Open</t>
        </is>
      </c>
      <c r="M6352">
        <f>VLOOKUP(H6352,'Stage Order'!$A$2:$B$8,2,FALSE)</f>
        <v/>
      </c>
      <c r="N6352">
        <f>IF(G6352&lt;=1,"1. Under 1 hour",IF(G6352&lt;=24,"2. 1-24 hours",IF(G6352&lt;=72,"3. 1-3 days","4. Over 3 days")))</f>
        <v/>
      </c>
      <c r="O6352">
        <f>TEXT(B6352,"YYYY-MM")</f>
        <v/>
      </c>
    </row>
    <row r="6353">
      <c r="A6353" t="inlineStr">
        <is>
          <t>LD-306351</t>
        </is>
      </c>
      <c r="B6353" t="inlineStr">
        <is>
          <t>2026-03-07 18:32:00</t>
        </is>
      </c>
      <c r="C6353" t="inlineStr">
        <is>
          <t>Webinar</t>
        </is>
      </c>
      <c r="D6353" t="inlineStr">
        <is>
          <t>K-12 Math</t>
        </is>
      </c>
      <c r="E6353" t="inlineStr">
        <is>
          <t>International</t>
        </is>
      </c>
      <c r="F6353" t="inlineStr">
        <is>
          <t>Rep_15</t>
        </is>
      </c>
      <c r="G6353" t="n">
        <v>2.94</v>
      </c>
      <c r="H6353" t="inlineStr">
        <is>
          <t>Contacted</t>
        </is>
      </c>
      <c r="I6353" t="inlineStr">
        <is>
          <t>Open</t>
        </is>
      </c>
      <c r="M6353">
        <f>VLOOKUP(H6353,'Stage Order'!$A$2:$B$8,2,FALSE)</f>
        <v/>
      </c>
      <c r="N6353">
        <f>IF(G6353&lt;=1,"1. Under 1 hour",IF(G6353&lt;=24,"2. 1-24 hours",IF(G6353&lt;=72,"3. 1-3 days","4. Over 3 days")))</f>
        <v/>
      </c>
      <c r="O6353">
        <f>TEXT(B6353,"YYYY-MM")</f>
        <v/>
      </c>
    </row>
    <row r="6354">
      <c r="A6354" t="inlineStr">
        <is>
          <t>LD-306352</t>
        </is>
      </c>
      <c r="B6354" t="inlineStr">
        <is>
          <t>2025-05-20 20:09:00</t>
        </is>
      </c>
      <c r="C6354" t="inlineStr">
        <is>
          <t>Paid Search</t>
        </is>
      </c>
      <c r="D6354" t="inlineStr">
        <is>
          <t>Study Abroad Prep</t>
        </is>
      </c>
      <c r="E6354" t="inlineStr">
        <is>
          <t>International</t>
        </is>
      </c>
      <c r="F6354" t="inlineStr">
        <is>
          <t>Rep_15</t>
        </is>
      </c>
      <c r="G6354" t="n">
        <v>5.54</v>
      </c>
      <c r="H6354" t="inlineStr">
        <is>
          <t>Proposal Sent</t>
        </is>
      </c>
      <c r="I6354" t="inlineStr">
        <is>
          <t>Lost</t>
        </is>
      </c>
      <c r="J6354" t="inlineStr">
        <is>
          <t>Bad Timing</t>
        </is>
      </c>
      <c r="K6354" t="n">
        <v>1363.94</v>
      </c>
      <c r="L6354" t="inlineStr">
        <is>
          <t>2025-06-18 15:27:50.474551</t>
        </is>
      </c>
      <c r="M6354">
        <f>VLOOKUP(H6354,'Stage Order'!$A$2:$B$8,2,FALSE)</f>
        <v/>
      </c>
      <c r="N6354">
        <f>IF(G6354&lt;=1,"1. Under 1 hour",IF(G6354&lt;=24,"2. 1-24 hours",IF(G6354&lt;=72,"3. 1-3 days","4. Over 3 days")))</f>
        <v/>
      </c>
      <c r="O6354">
        <f>TEXT(B6354,"YYYY-MM")</f>
        <v/>
      </c>
    </row>
    <row r="6355">
      <c r="A6355" t="inlineStr">
        <is>
          <t>LD-306353</t>
        </is>
      </c>
      <c r="B6355" t="inlineStr">
        <is>
          <t>2026-03-19 12:26:00</t>
        </is>
      </c>
      <c r="C6355" t="inlineStr">
        <is>
          <t>Webinar</t>
        </is>
      </c>
      <c r="D6355" t="inlineStr">
        <is>
          <t>K-12 Math</t>
        </is>
      </c>
      <c r="E6355" t="inlineStr">
        <is>
          <t>West Region</t>
        </is>
      </c>
      <c r="F6355" t="inlineStr">
        <is>
          <t>Rep_08</t>
        </is>
      </c>
      <c r="G6355" t="n">
        <v>12.01</v>
      </c>
      <c r="H6355" t="inlineStr">
        <is>
          <t>Closed</t>
        </is>
      </c>
      <c r="I6355" t="inlineStr">
        <is>
          <t>Won</t>
        </is>
      </c>
      <c r="K6355" t="n">
        <v>574.0700000000001</v>
      </c>
      <c r="L6355" t="inlineStr">
        <is>
          <t>2026-04-29 08:49:53.918223</t>
        </is>
      </c>
      <c r="M6355">
        <f>VLOOKUP(H6355,'Stage Order'!$A$2:$B$8,2,FALSE)</f>
        <v/>
      </c>
      <c r="N6355">
        <f>IF(G6355&lt;=1,"1. Under 1 hour",IF(G6355&lt;=24,"2. 1-24 hours",IF(G6355&lt;=72,"3. 1-3 days","4. Over 3 days")))</f>
        <v/>
      </c>
      <c r="O6355">
        <f>TEXT(B6355,"YYYY-MM")</f>
        <v/>
      </c>
    </row>
    <row r="6356">
      <c r="A6356" t="inlineStr">
        <is>
          <t>LD-306354</t>
        </is>
      </c>
      <c r="B6356" t="inlineStr">
        <is>
          <t>2026-01-24 16:02:00</t>
        </is>
      </c>
      <c r="C6356" t="inlineStr">
        <is>
          <t>Cold Outreach</t>
        </is>
      </c>
      <c r="D6356" t="inlineStr">
        <is>
          <t>Coding for Kids</t>
        </is>
      </c>
      <c r="E6356" t="inlineStr">
        <is>
          <t>West Region</t>
        </is>
      </c>
      <c r="F6356" t="inlineStr">
        <is>
          <t>Rep_03</t>
        </is>
      </c>
      <c r="G6356" t="n">
        <v>1.54</v>
      </c>
      <c r="H6356" t="inlineStr">
        <is>
          <t>Lead</t>
        </is>
      </c>
      <c r="I6356" t="inlineStr">
        <is>
          <t>Open</t>
        </is>
      </c>
      <c r="M6356">
        <f>VLOOKUP(H6356,'Stage Order'!$A$2:$B$8,2,FALSE)</f>
        <v/>
      </c>
      <c r="N6356">
        <f>IF(G6356&lt;=1,"1. Under 1 hour",IF(G6356&lt;=24,"2. 1-24 hours",IF(G6356&lt;=72,"3. 1-3 days","4. Over 3 days")))</f>
        <v/>
      </c>
      <c r="O6356">
        <f>TEXT(B6356,"YYYY-MM")</f>
        <v/>
      </c>
    </row>
    <row r="6357">
      <c r="A6357" t="inlineStr">
        <is>
          <t>LD-306355</t>
        </is>
      </c>
      <c r="B6357" t="inlineStr">
        <is>
          <t>2025-03-20 20:55:00</t>
        </is>
      </c>
      <c r="C6357" t="inlineStr">
        <is>
          <t>Webinar</t>
        </is>
      </c>
      <c r="D6357" t="inlineStr">
        <is>
          <t>Coding for Kids</t>
        </is>
      </c>
      <c r="E6357" t="inlineStr">
        <is>
          <t>West Region</t>
        </is>
      </c>
      <c r="F6357" t="inlineStr">
        <is>
          <t>Rep_03</t>
        </is>
      </c>
      <c r="G6357" t="n">
        <v>0.82</v>
      </c>
      <c r="H6357" t="inlineStr">
        <is>
          <t>Negotiation</t>
        </is>
      </c>
      <c r="I6357" t="inlineStr">
        <is>
          <t>Lost</t>
        </is>
      </c>
      <c r="J6357" t="inlineStr">
        <is>
          <t>No Response / Ghosted</t>
        </is>
      </c>
      <c r="K6357" t="n">
        <v>669.16</v>
      </c>
      <c r="L6357" t="inlineStr">
        <is>
          <t>2025-05-20 11:09:23.409412</t>
        </is>
      </c>
      <c r="M6357">
        <f>VLOOKUP(H6357,'Stage Order'!$A$2:$B$8,2,FALSE)</f>
        <v/>
      </c>
      <c r="N6357">
        <f>IF(G6357&lt;=1,"1. Under 1 hour",IF(G6357&lt;=24,"2. 1-24 hours",IF(G6357&lt;=72,"3. 1-3 days","4. Over 3 days")))</f>
        <v/>
      </c>
      <c r="O6357">
        <f>TEXT(B6357,"YYYY-MM")</f>
        <v/>
      </c>
    </row>
    <row r="6358">
      <c r="A6358" t="inlineStr">
        <is>
          <t>LD-306356</t>
        </is>
      </c>
      <c r="B6358" t="inlineStr">
        <is>
          <t>2026-05-01 10:55:00</t>
        </is>
      </c>
      <c r="C6358" t="inlineStr">
        <is>
          <t>Organic Search</t>
        </is>
      </c>
      <c r="D6358" t="inlineStr">
        <is>
          <t>Competitive Exam Prep</t>
        </is>
      </c>
      <c r="E6358" t="inlineStr">
        <is>
          <t>North Region</t>
        </is>
      </c>
      <c r="F6358" t="inlineStr">
        <is>
          <t>Rep_06</t>
        </is>
      </c>
      <c r="G6358" t="n">
        <v>2.62</v>
      </c>
      <c r="H6358" t="inlineStr">
        <is>
          <t>Contacted</t>
        </is>
      </c>
      <c r="I6358" t="inlineStr">
        <is>
          <t>Open</t>
        </is>
      </c>
      <c r="M6358">
        <f>VLOOKUP(H6358,'Stage Order'!$A$2:$B$8,2,FALSE)</f>
        <v/>
      </c>
      <c r="N6358">
        <f>IF(G6358&lt;=1,"1. Under 1 hour",IF(G6358&lt;=24,"2. 1-24 hours",IF(G6358&lt;=72,"3. 1-3 days","4. Over 3 days")))</f>
        <v/>
      </c>
      <c r="O6358">
        <f>TEXT(B6358,"YYYY-MM")</f>
        <v/>
      </c>
    </row>
    <row r="6359">
      <c r="A6359" t="inlineStr">
        <is>
          <t>LD-306357</t>
        </is>
      </c>
      <c r="B6359" t="inlineStr">
        <is>
          <t>2025-11-19 15:17:00</t>
        </is>
      </c>
      <c r="C6359" t="inlineStr">
        <is>
          <t>Paid Search</t>
        </is>
      </c>
      <c r="D6359" t="inlineStr">
        <is>
          <t>K-12 Math</t>
        </is>
      </c>
      <c r="E6359" t="inlineStr">
        <is>
          <t>West Region</t>
        </is>
      </c>
      <c r="F6359" t="inlineStr">
        <is>
          <t>Rep_13</t>
        </is>
      </c>
      <c r="G6359" t="n">
        <v>0.97</v>
      </c>
      <c r="H6359" t="inlineStr">
        <is>
          <t>Contacted</t>
        </is>
      </c>
      <c r="I6359" t="inlineStr">
        <is>
          <t>Open</t>
        </is>
      </c>
      <c r="M6359">
        <f>VLOOKUP(H6359,'Stage Order'!$A$2:$B$8,2,FALSE)</f>
        <v/>
      </c>
      <c r="N6359">
        <f>IF(G6359&lt;=1,"1. Under 1 hour",IF(G6359&lt;=24,"2. 1-24 hours",IF(G6359&lt;=72,"3. 1-3 days","4. Over 3 days")))</f>
        <v/>
      </c>
      <c r="O6359">
        <f>TEXT(B6359,"YYYY-MM")</f>
        <v/>
      </c>
    </row>
    <row r="6360">
      <c r="A6360" t="inlineStr">
        <is>
          <t>LD-306358</t>
        </is>
      </c>
      <c r="B6360" t="inlineStr">
        <is>
          <t>2026-01-23 19:14:00</t>
        </is>
      </c>
      <c r="C6360" t="inlineStr">
        <is>
          <t>Paid Search</t>
        </is>
      </c>
      <c r="D6360" t="inlineStr">
        <is>
          <t>K-12 Math</t>
        </is>
      </c>
      <c r="E6360" t="inlineStr">
        <is>
          <t>East Region</t>
        </is>
      </c>
      <c r="F6360" t="inlineStr">
        <is>
          <t>Rep_04</t>
        </is>
      </c>
      <c r="G6360" t="n">
        <v>31.16</v>
      </c>
      <c r="H6360" t="inlineStr">
        <is>
          <t>Contacted</t>
        </is>
      </c>
      <c r="I6360" t="inlineStr">
        <is>
          <t>Open</t>
        </is>
      </c>
      <c r="M6360">
        <f>VLOOKUP(H6360,'Stage Order'!$A$2:$B$8,2,FALSE)</f>
        <v/>
      </c>
      <c r="N6360">
        <f>IF(G6360&lt;=1,"1. Under 1 hour",IF(G6360&lt;=24,"2. 1-24 hours",IF(G6360&lt;=72,"3. 1-3 days","4. Over 3 days")))</f>
        <v/>
      </c>
      <c r="O6360">
        <f>TEXT(B6360,"YYYY-MM")</f>
        <v/>
      </c>
    </row>
    <row r="6361">
      <c r="A6361" t="inlineStr">
        <is>
          <t>LD-306359</t>
        </is>
      </c>
      <c r="B6361" t="inlineStr">
        <is>
          <t>2026-03-12 17:09:00</t>
        </is>
      </c>
      <c r="C6361" t="inlineStr">
        <is>
          <t>Webinar</t>
        </is>
      </c>
      <c r="D6361" t="inlineStr">
        <is>
          <t>Competitive Exam Prep</t>
        </is>
      </c>
      <c r="E6361" t="inlineStr">
        <is>
          <t>East Region</t>
        </is>
      </c>
      <c r="F6361" t="inlineStr">
        <is>
          <t>Rep_04</t>
        </is>
      </c>
      <c r="G6361" t="n">
        <v>7.08</v>
      </c>
      <c r="H6361" t="inlineStr">
        <is>
          <t>Demo Completed</t>
        </is>
      </c>
      <c r="I6361" t="inlineStr">
        <is>
          <t>Lost</t>
        </is>
      </c>
      <c r="J6361" t="inlineStr">
        <is>
          <t>Bad Timing</t>
        </is>
      </c>
      <c r="K6361" t="n">
        <v>1069.97</v>
      </c>
      <c r="L6361" t="inlineStr">
        <is>
          <t>2026-04-15 09:58:19.572445</t>
        </is>
      </c>
      <c r="M6361">
        <f>VLOOKUP(H6361,'Stage Order'!$A$2:$B$8,2,FALSE)</f>
        <v/>
      </c>
      <c r="N6361">
        <f>IF(G6361&lt;=1,"1. Under 1 hour",IF(G6361&lt;=24,"2. 1-24 hours",IF(G6361&lt;=72,"3. 1-3 days","4. Over 3 days")))</f>
        <v/>
      </c>
      <c r="O6361">
        <f>TEXT(B6361,"YYYY-MM")</f>
        <v/>
      </c>
    </row>
    <row r="6362">
      <c r="A6362" t="inlineStr">
        <is>
          <t>LD-306360</t>
        </is>
      </c>
      <c r="B6362" t="inlineStr">
        <is>
          <t>2025-11-05 07:31:00</t>
        </is>
      </c>
      <c r="C6362" t="inlineStr">
        <is>
          <t>Cold Outreach</t>
        </is>
      </c>
      <c r="D6362" t="inlineStr">
        <is>
          <t>Study Abroad Prep</t>
        </is>
      </c>
      <c r="E6362" t="inlineStr">
        <is>
          <t>North Region</t>
        </is>
      </c>
      <c r="F6362" t="inlineStr">
        <is>
          <t>Rep_06</t>
        </is>
      </c>
      <c r="G6362" t="n">
        <v>0.74</v>
      </c>
      <c r="H6362" t="inlineStr">
        <is>
          <t>Contacted</t>
        </is>
      </c>
      <c r="I6362" t="inlineStr">
        <is>
          <t>Open</t>
        </is>
      </c>
      <c r="M6362">
        <f>VLOOKUP(H6362,'Stage Order'!$A$2:$B$8,2,FALSE)</f>
        <v/>
      </c>
      <c r="N6362">
        <f>IF(G6362&lt;=1,"1. Under 1 hour",IF(G6362&lt;=24,"2. 1-24 hours",IF(G6362&lt;=72,"3. 1-3 days","4. Over 3 days")))</f>
        <v/>
      </c>
      <c r="O6362">
        <f>TEXT(B6362,"YYYY-MM")</f>
        <v/>
      </c>
    </row>
    <row r="6363">
      <c r="A6363" t="inlineStr">
        <is>
          <t>LD-306361</t>
        </is>
      </c>
      <c r="B6363" t="inlineStr">
        <is>
          <t>2025-06-20 12:01:00</t>
        </is>
      </c>
      <c r="C6363" t="inlineStr">
        <is>
          <t>Paid Search</t>
        </is>
      </c>
      <c r="D6363" t="inlineStr">
        <is>
          <t>Competitive Exam Prep</t>
        </is>
      </c>
      <c r="E6363" t="inlineStr">
        <is>
          <t>International</t>
        </is>
      </c>
      <c r="F6363" t="inlineStr">
        <is>
          <t>Rep_10</t>
        </is>
      </c>
      <c r="G6363" t="n">
        <v>0.63</v>
      </c>
      <c r="H6363" t="inlineStr">
        <is>
          <t>Contacted</t>
        </is>
      </c>
      <c r="I6363" t="inlineStr">
        <is>
          <t>Open</t>
        </is>
      </c>
      <c r="M6363">
        <f>VLOOKUP(H6363,'Stage Order'!$A$2:$B$8,2,FALSE)</f>
        <v/>
      </c>
      <c r="N6363">
        <f>IF(G6363&lt;=1,"1. Under 1 hour",IF(G6363&lt;=24,"2. 1-24 hours",IF(G6363&lt;=72,"3. 1-3 days","4. Over 3 days")))</f>
        <v/>
      </c>
      <c r="O6363">
        <f>TEXT(B6363,"YYYY-MM")</f>
        <v/>
      </c>
    </row>
    <row r="6364">
      <c r="A6364" t="inlineStr">
        <is>
          <t>LD-306362</t>
        </is>
      </c>
      <c r="B6364" t="inlineStr">
        <is>
          <t>2026-03-28 18:59:00</t>
        </is>
      </c>
      <c r="C6364" t="inlineStr">
        <is>
          <t>Webinar</t>
        </is>
      </c>
      <c r="D6364" t="inlineStr">
        <is>
          <t>K-12 Math</t>
        </is>
      </c>
      <c r="E6364" t="inlineStr">
        <is>
          <t>North Region</t>
        </is>
      </c>
      <c r="F6364" t="inlineStr">
        <is>
          <t>Rep_06</t>
        </is>
      </c>
      <c r="G6364" t="n">
        <v>4.71</v>
      </c>
      <c r="H6364" t="inlineStr">
        <is>
          <t>Proposal Sent</t>
        </is>
      </c>
      <c r="I6364" t="inlineStr">
        <is>
          <t>Lost</t>
        </is>
      </c>
      <c r="J6364" t="inlineStr">
        <is>
          <t>No Response / Ghosted</t>
        </is>
      </c>
      <c r="K6364" t="n">
        <v>553.72</v>
      </c>
      <c r="L6364" t="inlineStr">
        <is>
          <t>2026-04-24 11:06:13.366256</t>
        </is>
      </c>
      <c r="M6364">
        <f>VLOOKUP(H6364,'Stage Order'!$A$2:$B$8,2,FALSE)</f>
        <v/>
      </c>
      <c r="N6364">
        <f>IF(G6364&lt;=1,"1. Under 1 hour",IF(G6364&lt;=24,"2. 1-24 hours",IF(G6364&lt;=72,"3. 1-3 days","4. Over 3 days")))</f>
        <v/>
      </c>
      <c r="O6364">
        <f>TEXT(B6364,"YYYY-MM")</f>
        <v/>
      </c>
    </row>
    <row r="6365">
      <c r="A6365" t="inlineStr">
        <is>
          <t>LD-306363</t>
        </is>
      </c>
      <c r="B6365" t="inlineStr">
        <is>
          <t>2025-03-14 13:34:00</t>
        </is>
      </c>
      <c r="C6365" t="inlineStr">
        <is>
          <t>Organic Search</t>
        </is>
      </c>
      <c r="D6365" t="inlineStr">
        <is>
          <t>Coding for Kids</t>
        </is>
      </c>
      <c r="E6365" t="inlineStr">
        <is>
          <t>North Region</t>
        </is>
      </c>
      <c r="F6365" t="inlineStr">
        <is>
          <t>Rep_11</t>
        </is>
      </c>
      <c r="G6365" t="n">
        <v>0.43</v>
      </c>
      <c r="H6365" t="inlineStr">
        <is>
          <t>Contacted</t>
        </is>
      </c>
      <c r="I6365" t="inlineStr">
        <is>
          <t>Open</t>
        </is>
      </c>
      <c r="M6365">
        <f>VLOOKUP(H6365,'Stage Order'!$A$2:$B$8,2,FALSE)</f>
        <v/>
      </c>
      <c r="N6365">
        <f>IF(G6365&lt;=1,"1. Under 1 hour",IF(G6365&lt;=24,"2. 1-24 hours",IF(G6365&lt;=72,"3. 1-3 days","4. Over 3 days")))</f>
        <v/>
      </c>
      <c r="O6365">
        <f>TEXT(B6365,"YYYY-MM")</f>
        <v/>
      </c>
    </row>
    <row r="6366">
      <c r="A6366" t="inlineStr">
        <is>
          <t>LD-306364</t>
        </is>
      </c>
      <c r="B6366" t="inlineStr">
        <is>
          <t>2026-04-10 13:33:00</t>
        </is>
      </c>
      <c r="C6366" t="inlineStr">
        <is>
          <t>Organic Search</t>
        </is>
      </c>
      <c r="D6366" t="inlineStr">
        <is>
          <t>Study Abroad Prep</t>
        </is>
      </c>
      <c r="E6366" t="inlineStr">
        <is>
          <t>West Region</t>
        </is>
      </c>
      <c r="F6366" t="inlineStr">
        <is>
          <t>Rep_08</t>
        </is>
      </c>
      <c r="G6366" t="n">
        <v>5.88</v>
      </c>
      <c r="H6366" t="inlineStr">
        <is>
          <t>Contacted</t>
        </is>
      </c>
      <c r="I6366" t="inlineStr">
        <is>
          <t>Open</t>
        </is>
      </c>
      <c r="M6366">
        <f>VLOOKUP(H6366,'Stage Order'!$A$2:$B$8,2,FALSE)</f>
        <v/>
      </c>
      <c r="N6366">
        <f>IF(G6366&lt;=1,"1. Under 1 hour",IF(G6366&lt;=24,"2. 1-24 hours",IF(G6366&lt;=72,"3. 1-3 days","4. Over 3 days")))</f>
        <v/>
      </c>
      <c r="O6366">
        <f>TEXT(B6366,"YYYY-MM")</f>
        <v/>
      </c>
    </row>
    <row r="6367">
      <c r="A6367" t="inlineStr">
        <is>
          <t>LD-306365</t>
        </is>
      </c>
      <c r="B6367" t="inlineStr">
        <is>
          <t>2026-02-03 19:50:00</t>
        </is>
      </c>
      <c r="C6367" t="inlineStr">
        <is>
          <t>Organic Search</t>
        </is>
      </c>
      <c r="D6367" t="inlineStr">
        <is>
          <t>Study Abroad Prep</t>
        </is>
      </c>
      <c r="E6367" t="inlineStr">
        <is>
          <t>East Region</t>
        </is>
      </c>
      <c r="F6367" t="inlineStr">
        <is>
          <t>Rep_14</t>
        </is>
      </c>
      <c r="G6367" t="n">
        <v>1.67</v>
      </c>
      <c r="H6367" t="inlineStr">
        <is>
          <t>Proposal Sent</t>
        </is>
      </c>
      <c r="I6367" t="inlineStr">
        <is>
          <t>Lost</t>
        </is>
      </c>
      <c r="J6367" t="inlineStr">
        <is>
          <t>Price Objection</t>
        </is>
      </c>
      <c r="K6367" t="n">
        <v>1424.8</v>
      </c>
      <c r="L6367" t="inlineStr">
        <is>
          <t>2026-03-08 20:39:31.506390</t>
        </is>
      </c>
      <c r="M6367">
        <f>VLOOKUP(H6367,'Stage Order'!$A$2:$B$8,2,FALSE)</f>
        <v/>
      </c>
      <c r="N6367">
        <f>IF(G6367&lt;=1,"1. Under 1 hour",IF(G6367&lt;=24,"2. 1-24 hours",IF(G6367&lt;=72,"3. 1-3 days","4. Over 3 days")))</f>
        <v/>
      </c>
      <c r="O6367">
        <f>TEXT(B6367,"YYYY-MM")</f>
        <v/>
      </c>
    </row>
    <row r="6368">
      <c r="A6368" t="inlineStr">
        <is>
          <t>LD-306366</t>
        </is>
      </c>
      <c r="B6368" t="inlineStr">
        <is>
          <t>2025-12-04 16:50:00</t>
        </is>
      </c>
      <c r="C6368" t="inlineStr">
        <is>
          <t>Cold Outreach</t>
        </is>
      </c>
      <c r="D6368" t="inlineStr">
        <is>
          <t>K-12 Math</t>
        </is>
      </c>
      <c r="E6368" t="inlineStr">
        <is>
          <t>West Region</t>
        </is>
      </c>
      <c r="F6368" t="inlineStr">
        <is>
          <t>Rep_08</t>
        </is>
      </c>
      <c r="G6368" t="n">
        <v>0.54</v>
      </c>
      <c r="H6368" t="inlineStr">
        <is>
          <t>Contacted</t>
        </is>
      </c>
      <c r="I6368" t="inlineStr">
        <is>
          <t>Open</t>
        </is>
      </c>
      <c r="M6368">
        <f>VLOOKUP(H6368,'Stage Order'!$A$2:$B$8,2,FALSE)</f>
        <v/>
      </c>
      <c r="N6368">
        <f>IF(G6368&lt;=1,"1. Under 1 hour",IF(G6368&lt;=24,"2. 1-24 hours",IF(G6368&lt;=72,"3. 1-3 days","4. Over 3 days")))</f>
        <v/>
      </c>
      <c r="O6368">
        <f>TEXT(B6368,"YYYY-MM")</f>
        <v/>
      </c>
    </row>
    <row r="6369">
      <c r="A6369" t="inlineStr">
        <is>
          <t>LD-306367</t>
        </is>
      </c>
      <c r="B6369" t="inlineStr">
        <is>
          <t>2025-08-27 11:46:00</t>
        </is>
      </c>
      <c r="C6369" t="inlineStr">
        <is>
          <t>Social Media</t>
        </is>
      </c>
      <c r="D6369" t="inlineStr">
        <is>
          <t>Language Learning</t>
        </is>
      </c>
      <c r="E6369" t="inlineStr">
        <is>
          <t>South Region</t>
        </is>
      </c>
      <c r="F6369" t="inlineStr">
        <is>
          <t>Rep_07</t>
        </is>
      </c>
      <c r="G6369" t="n">
        <v>2.5</v>
      </c>
      <c r="H6369" t="inlineStr">
        <is>
          <t>Contacted</t>
        </is>
      </c>
      <c r="I6369" t="inlineStr">
        <is>
          <t>Open</t>
        </is>
      </c>
      <c r="M6369">
        <f>VLOOKUP(H6369,'Stage Order'!$A$2:$B$8,2,FALSE)</f>
        <v/>
      </c>
      <c r="N6369">
        <f>IF(G6369&lt;=1,"1. Under 1 hour",IF(G6369&lt;=24,"2. 1-24 hours",IF(G6369&lt;=72,"3. 1-3 days","4. Over 3 days")))</f>
        <v/>
      </c>
      <c r="O6369">
        <f>TEXT(B6369,"YYYY-MM")</f>
        <v/>
      </c>
    </row>
    <row r="6370">
      <c r="A6370" t="inlineStr">
        <is>
          <t>LD-306368</t>
        </is>
      </c>
      <c r="B6370" t="inlineStr">
        <is>
          <t>2025-06-10 17:07:00</t>
        </is>
      </c>
      <c r="C6370" t="inlineStr">
        <is>
          <t>Referral</t>
        </is>
      </c>
      <c r="D6370" t="inlineStr">
        <is>
          <t>K-12 Math</t>
        </is>
      </c>
      <c r="E6370" t="inlineStr">
        <is>
          <t>West Region</t>
        </is>
      </c>
      <c r="F6370" t="inlineStr">
        <is>
          <t>Rep_03</t>
        </is>
      </c>
      <c r="G6370" t="n">
        <v>2.58</v>
      </c>
      <c r="H6370" t="inlineStr">
        <is>
          <t>Contacted</t>
        </is>
      </c>
      <c r="I6370" t="inlineStr">
        <is>
          <t>Open</t>
        </is>
      </c>
      <c r="M6370">
        <f>VLOOKUP(H6370,'Stage Order'!$A$2:$B$8,2,FALSE)</f>
        <v/>
      </c>
      <c r="N6370">
        <f>IF(G6370&lt;=1,"1. Under 1 hour",IF(G6370&lt;=24,"2. 1-24 hours",IF(G6370&lt;=72,"3. 1-3 days","4. Over 3 days")))</f>
        <v/>
      </c>
      <c r="O6370">
        <f>TEXT(B6370,"YYYY-MM")</f>
        <v/>
      </c>
    </row>
    <row r="6371">
      <c r="A6371" t="inlineStr">
        <is>
          <t>LD-306369</t>
        </is>
      </c>
      <c r="B6371" t="inlineStr">
        <is>
          <t>2025-01-17 07:20:00</t>
        </is>
      </c>
      <c r="C6371" t="inlineStr">
        <is>
          <t>Paid Search</t>
        </is>
      </c>
      <c r="D6371" t="inlineStr">
        <is>
          <t>Language Learning</t>
        </is>
      </c>
      <c r="E6371" t="inlineStr">
        <is>
          <t>North Region</t>
        </is>
      </c>
      <c r="F6371" t="inlineStr">
        <is>
          <t>Rep_11</t>
        </is>
      </c>
      <c r="G6371" t="n">
        <v>2.92</v>
      </c>
      <c r="H6371" t="inlineStr">
        <is>
          <t>Contacted</t>
        </is>
      </c>
      <c r="I6371" t="inlineStr">
        <is>
          <t>Open</t>
        </is>
      </c>
      <c r="M6371">
        <f>VLOOKUP(H6371,'Stage Order'!$A$2:$B$8,2,FALSE)</f>
        <v/>
      </c>
      <c r="N6371">
        <f>IF(G6371&lt;=1,"1. Under 1 hour",IF(G6371&lt;=24,"2. 1-24 hours",IF(G6371&lt;=72,"3. 1-3 days","4. Over 3 days")))</f>
        <v/>
      </c>
      <c r="O6371">
        <f>TEXT(B6371,"YYYY-MM")</f>
        <v/>
      </c>
    </row>
    <row r="6372">
      <c r="A6372" t="inlineStr">
        <is>
          <t>LD-306370</t>
        </is>
      </c>
      <c r="B6372" t="inlineStr">
        <is>
          <t>2025-10-24 18:17:00</t>
        </is>
      </c>
      <c r="C6372" t="inlineStr">
        <is>
          <t>Cold Outreach</t>
        </is>
      </c>
      <c r="D6372" t="inlineStr">
        <is>
          <t>Language Learning</t>
        </is>
      </c>
      <c r="E6372" t="inlineStr">
        <is>
          <t>North Region</t>
        </is>
      </c>
      <c r="F6372" t="inlineStr">
        <is>
          <t>Rep_01</t>
        </is>
      </c>
      <c r="G6372" t="n">
        <v>2.3</v>
      </c>
      <c r="H6372" t="inlineStr">
        <is>
          <t>Demo Completed</t>
        </is>
      </c>
      <c r="I6372" t="inlineStr">
        <is>
          <t>Lost</t>
        </is>
      </c>
      <c r="J6372" t="inlineStr">
        <is>
          <t>No Response / Ghosted</t>
        </is>
      </c>
      <c r="K6372" t="n">
        <v>296.59</v>
      </c>
      <c r="L6372" t="inlineStr">
        <is>
          <t>2025-11-26 23:48:12.797117</t>
        </is>
      </c>
      <c r="M6372">
        <f>VLOOKUP(H6372,'Stage Order'!$A$2:$B$8,2,FALSE)</f>
        <v/>
      </c>
      <c r="N6372">
        <f>IF(G6372&lt;=1,"1. Under 1 hour",IF(G6372&lt;=24,"2. 1-24 hours",IF(G6372&lt;=72,"3. 1-3 days","4. Over 3 days")))</f>
        <v/>
      </c>
      <c r="O6372">
        <f>TEXT(B6372,"YYYY-MM")</f>
        <v/>
      </c>
    </row>
    <row r="6373">
      <c r="A6373" t="inlineStr">
        <is>
          <t>LD-306371</t>
        </is>
      </c>
      <c r="B6373" t="inlineStr">
        <is>
          <t>2025-07-28 16:49:00</t>
        </is>
      </c>
      <c r="C6373" t="inlineStr">
        <is>
          <t>Cold Outreach</t>
        </is>
      </c>
      <c r="D6373" t="inlineStr">
        <is>
          <t>K-12 Math</t>
        </is>
      </c>
      <c r="E6373" t="inlineStr">
        <is>
          <t>International</t>
        </is>
      </c>
      <c r="F6373" t="inlineStr">
        <is>
          <t>Rep_10</t>
        </is>
      </c>
      <c r="G6373" t="n">
        <v>4.05</v>
      </c>
      <c r="H6373" t="inlineStr">
        <is>
          <t>Lead</t>
        </is>
      </c>
      <c r="I6373" t="inlineStr">
        <is>
          <t>Open</t>
        </is>
      </c>
      <c r="M6373">
        <f>VLOOKUP(H6373,'Stage Order'!$A$2:$B$8,2,FALSE)</f>
        <v/>
      </c>
      <c r="N6373">
        <f>IF(G6373&lt;=1,"1. Under 1 hour",IF(G6373&lt;=24,"2. 1-24 hours",IF(G6373&lt;=72,"3. 1-3 days","4. Over 3 days")))</f>
        <v/>
      </c>
      <c r="O6373">
        <f>TEXT(B6373,"YYYY-MM")</f>
        <v/>
      </c>
    </row>
    <row r="6374">
      <c r="A6374" t="inlineStr">
        <is>
          <t>LD-306372</t>
        </is>
      </c>
      <c r="B6374" t="inlineStr">
        <is>
          <t>2025-12-22 20:51:00</t>
        </is>
      </c>
      <c r="C6374" t="inlineStr">
        <is>
          <t>Paid Search</t>
        </is>
      </c>
      <c r="D6374" t="inlineStr">
        <is>
          <t>Competitive Exam Prep</t>
        </is>
      </c>
      <c r="E6374" t="inlineStr">
        <is>
          <t>West Region</t>
        </is>
      </c>
      <c r="F6374" t="inlineStr">
        <is>
          <t>Rep_08</t>
        </is>
      </c>
      <c r="G6374" t="n">
        <v>1.22</v>
      </c>
      <c r="H6374" t="inlineStr">
        <is>
          <t>Contacted</t>
        </is>
      </c>
      <c r="I6374" t="inlineStr">
        <is>
          <t>Open</t>
        </is>
      </c>
      <c r="M6374">
        <f>VLOOKUP(H6374,'Stage Order'!$A$2:$B$8,2,FALSE)</f>
        <v/>
      </c>
      <c r="N6374">
        <f>IF(G6374&lt;=1,"1. Under 1 hour",IF(G6374&lt;=24,"2. 1-24 hours",IF(G6374&lt;=72,"3. 1-3 days","4. Over 3 days")))</f>
        <v/>
      </c>
      <c r="O6374">
        <f>TEXT(B6374,"YYYY-MM")</f>
        <v/>
      </c>
    </row>
    <row r="6375">
      <c r="A6375" t="inlineStr">
        <is>
          <t>LD-306373</t>
        </is>
      </c>
      <c r="B6375" t="inlineStr">
        <is>
          <t>2025-08-14 20:39:00</t>
        </is>
      </c>
      <c r="C6375" t="inlineStr">
        <is>
          <t>Cold Outreach</t>
        </is>
      </c>
      <c r="D6375" t="inlineStr">
        <is>
          <t>Competitive Exam Prep</t>
        </is>
      </c>
      <c r="E6375" t="inlineStr">
        <is>
          <t>East Region</t>
        </is>
      </c>
      <c r="F6375" t="inlineStr">
        <is>
          <t>Rep_09</t>
        </is>
      </c>
      <c r="G6375" t="n">
        <v>3.99</v>
      </c>
      <c r="H6375" t="inlineStr">
        <is>
          <t>Lead</t>
        </is>
      </c>
      <c r="I6375" t="inlineStr">
        <is>
          <t>Open</t>
        </is>
      </c>
      <c r="M6375">
        <f>VLOOKUP(H6375,'Stage Order'!$A$2:$B$8,2,FALSE)</f>
        <v/>
      </c>
      <c r="N6375">
        <f>IF(G6375&lt;=1,"1. Under 1 hour",IF(G6375&lt;=24,"2. 1-24 hours",IF(G6375&lt;=72,"3. 1-3 days","4. Over 3 days")))</f>
        <v/>
      </c>
      <c r="O6375">
        <f>TEXT(B6375,"YYYY-MM")</f>
        <v/>
      </c>
    </row>
    <row r="6376">
      <c r="A6376" t="inlineStr">
        <is>
          <t>LD-306374</t>
        </is>
      </c>
      <c r="B6376" t="inlineStr">
        <is>
          <t>2026-04-15 20:46:00</t>
        </is>
      </c>
      <c r="C6376" t="inlineStr">
        <is>
          <t>Cold Outreach</t>
        </is>
      </c>
      <c r="D6376" t="inlineStr">
        <is>
          <t>K-12 Math</t>
        </is>
      </c>
      <c r="E6376" t="inlineStr">
        <is>
          <t>West Region</t>
        </is>
      </c>
      <c r="F6376" t="inlineStr">
        <is>
          <t>Rep_08</t>
        </is>
      </c>
      <c r="G6376" t="n">
        <v>9.16</v>
      </c>
      <c r="H6376" t="inlineStr">
        <is>
          <t>Proposal Sent</t>
        </is>
      </c>
      <c r="I6376" t="inlineStr">
        <is>
          <t>Lost</t>
        </is>
      </c>
      <c r="J6376" t="inlineStr">
        <is>
          <t>Bad Timing</t>
        </is>
      </c>
      <c r="K6376" t="n">
        <v>539.4299999999999</v>
      </c>
      <c r="L6376" t="inlineStr">
        <is>
          <t>2026-05-18 14:08:42.425889</t>
        </is>
      </c>
      <c r="M6376">
        <f>VLOOKUP(H6376,'Stage Order'!$A$2:$B$8,2,FALSE)</f>
        <v/>
      </c>
      <c r="N6376">
        <f>IF(G6376&lt;=1,"1. Under 1 hour",IF(G6376&lt;=24,"2. 1-24 hours",IF(G6376&lt;=72,"3. 1-3 days","4. Over 3 days")))</f>
        <v/>
      </c>
      <c r="O6376">
        <f>TEXT(B6376,"YYYY-MM")</f>
        <v/>
      </c>
    </row>
    <row r="6377">
      <c r="A6377" t="inlineStr">
        <is>
          <t>LD-306375</t>
        </is>
      </c>
      <c r="B6377" t="inlineStr">
        <is>
          <t>2026-05-01 11:36:00</t>
        </is>
      </c>
      <c r="C6377" t="inlineStr">
        <is>
          <t>Social Media</t>
        </is>
      </c>
      <c r="D6377" t="inlineStr">
        <is>
          <t>Language Learning</t>
        </is>
      </c>
      <c r="E6377" t="inlineStr">
        <is>
          <t>West Region</t>
        </is>
      </c>
      <c r="F6377" t="inlineStr">
        <is>
          <t>Rep_03</t>
        </is>
      </c>
      <c r="G6377" t="n">
        <v>1.53</v>
      </c>
      <c r="H6377" t="inlineStr">
        <is>
          <t>Contacted</t>
        </is>
      </c>
      <c r="I6377" t="inlineStr">
        <is>
          <t>Open</t>
        </is>
      </c>
      <c r="M6377">
        <f>VLOOKUP(H6377,'Stage Order'!$A$2:$B$8,2,FALSE)</f>
        <v/>
      </c>
      <c r="N6377">
        <f>IF(G6377&lt;=1,"1. Under 1 hour",IF(G6377&lt;=24,"2. 1-24 hours",IF(G6377&lt;=72,"3. 1-3 days","4. Over 3 days")))</f>
        <v/>
      </c>
      <c r="O6377">
        <f>TEXT(B6377,"YYYY-MM")</f>
        <v/>
      </c>
    </row>
    <row r="6378">
      <c r="A6378" t="inlineStr">
        <is>
          <t>LD-306376</t>
        </is>
      </c>
      <c r="B6378" t="inlineStr">
        <is>
          <t>2026-03-10 19:05:00</t>
        </is>
      </c>
      <c r="C6378" t="inlineStr">
        <is>
          <t>Paid Search</t>
        </is>
      </c>
      <c r="D6378" t="inlineStr">
        <is>
          <t>Study Abroad Prep</t>
        </is>
      </c>
      <c r="E6378" t="inlineStr">
        <is>
          <t>East Region</t>
        </is>
      </c>
      <c r="F6378" t="inlineStr">
        <is>
          <t>Rep_14</t>
        </is>
      </c>
      <c r="G6378" t="n">
        <v>5.44</v>
      </c>
      <c r="H6378" t="inlineStr">
        <is>
          <t>Lead</t>
        </is>
      </c>
      <c r="I6378" t="inlineStr">
        <is>
          <t>Open</t>
        </is>
      </c>
      <c r="M6378">
        <f>VLOOKUP(H6378,'Stage Order'!$A$2:$B$8,2,FALSE)</f>
        <v/>
      </c>
      <c r="N6378">
        <f>IF(G6378&lt;=1,"1. Under 1 hour",IF(G6378&lt;=24,"2. 1-24 hours",IF(G6378&lt;=72,"3. 1-3 days","4. Over 3 days")))</f>
        <v/>
      </c>
      <c r="O6378">
        <f>TEXT(B6378,"YYYY-MM")</f>
        <v/>
      </c>
    </row>
    <row r="6379">
      <c r="A6379" t="inlineStr">
        <is>
          <t>LD-306377</t>
        </is>
      </c>
      <c r="B6379" t="inlineStr">
        <is>
          <t>2025-12-19 14:56:00</t>
        </is>
      </c>
      <c r="C6379" t="inlineStr">
        <is>
          <t>Partner Channel</t>
        </is>
      </c>
      <c r="D6379" t="inlineStr">
        <is>
          <t>K-12 Math</t>
        </is>
      </c>
      <c r="E6379" t="inlineStr">
        <is>
          <t>South Region</t>
        </is>
      </c>
      <c r="F6379" t="inlineStr">
        <is>
          <t>Rep_07</t>
        </is>
      </c>
      <c r="G6379" t="n">
        <v>1.26</v>
      </c>
      <c r="H6379" t="inlineStr">
        <is>
          <t>Proposal Sent</t>
        </is>
      </c>
      <c r="I6379" t="inlineStr">
        <is>
          <t>Lost</t>
        </is>
      </c>
      <c r="J6379" t="inlineStr">
        <is>
          <t>Price Objection</t>
        </is>
      </c>
      <c r="K6379" t="n">
        <v>522.66</v>
      </c>
      <c r="L6379" t="inlineStr">
        <is>
          <t>2026-01-27 19:53:13.466448</t>
        </is>
      </c>
      <c r="M6379">
        <f>VLOOKUP(H6379,'Stage Order'!$A$2:$B$8,2,FALSE)</f>
        <v/>
      </c>
      <c r="N6379">
        <f>IF(G6379&lt;=1,"1. Under 1 hour",IF(G6379&lt;=24,"2. 1-24 hours",IF(G6379&lt;=72,"3. 1-3 days","4. Over 3 days")))</f>
        <v/>
      </c>
      <c r="O6379">
        <f>TEXT(B6379,"YYYY-MM")</f>
        <v/>
      </c>
    </row>
    <row r="6380">
      <c r="A6380" t="inlineStr">
        <is>
          <t>LD-306378</t>
        </is>
      </c>
      <c r="B6380" t="inlineStr">
        <is>
          <t>2025-09-24 14:54:00</t>
        </is>
      </c>
      <c r="C6380" t="inlineStr">
        <is>
          <t>Webinar</t>
        </is>
      </c>
      <c r="D6380" t="inlineStr">
        <is>
          <t>Language Learning</t>
        </is>
      </c>
      <c r="E6380" t="inlineStr">
        <is>
          <t>North Region</t>
        </is>
      </c>
      <c r="F6380" t="inlineStr">
        <is>
          <t>Rep_11</t>
        </is>
      </c>
      <c r="G6380" t="n">
        <v>5.45</v>
      </c>
      <c r="H6380" t="inlineStr">
        <is>
          <t>Closed</t>
        </is>
      </c>
      <c r="I6380" t="inlineStr">
        <is>
          <t>Won</t>
        </is>
      </c>
      <c r="K6380" t="n">
        <v>423.87</v>
      </c>
      <c r="L6380" t="inlineStr">
        <is>
          <t>2025-11-19 05:18:35.420876</t>
        </is>
      </c>
      <c r="M6380">
        <f>VLOOKUP(H6380,'Stage Order'!$A$2:$B$8,2,FALSE)</f>
        <v/>
      </c>
      <c r="N6380">
        <f>IF(G6380&lt;=1,"1. Under 1 hour",IF(G6380&lt;=24,"2. 1-24 hours",IF(G6380&lt;=72,"3. 1-3 days","4. Over 3 days")))</f>
        <v/>
      </c>
      <c r="O6380">
        <f>TEXT(B6380,"YYYY-MM")</f>
        <v/>
      </c>
    </row>
    <row r="6381">
      <c r="A6381" t="inlineStr">
        <is>
          <t>LD-306379</t>
        </is>
      </c>
      <c r="B6381" t="inlineStr">
        <is>
          <t>2026-06-24 17:44:00</t>
        </is>
      </c>
      <c r="C6381" t="inlineStr">
        <is>
          <t>Referral</t>
        </is>
      </c>
      <c r="D6381" t="inlineStr">
        <is>
          <t>Language Learning</t>
        </is>
      </c>
      <c r="E6381" t="inlineStr">
        <is>
          <t>South Region</t>
        </is>
      </c>
      <c r="F6381" t="inlineStr">
        <is>
          <t>Rep_07</t>
        </is>
      </c>
      <c r="G6381" t="n">
        <v>1.04</v>
      </c>
      <c r="H6381" t="inlineStr">
        <is>
          <t>Contacted</t>
        </is>
      </c>
      <c r="I6381" t="inlineStr">
        <is>
          <t>Open</t>
        </is>
      </c>
      <c r="M6381">
        <f>VLOOKUP(H6381,'Stage Order'!$A$2:$B$8,2,FALSE)</f>
        <v/>
      </c>
      <c r="N6381">
        <f>IF(G6381&lt;=1,"1. Under 1 hour",IF(G6381&lt;=24,"2. 1-24 hours",IF(G6381&lt;=72,"3. 1-3 days","4. Over 3 days")))</f>
        <v/>
      </c>
      <c r="O6381">
        <f>TEXT(B6381,"YYYY-MM")</f>
        <v/>
      </c>
    </row>
    <row r="6382">
      <c r="A6382" t="inlineStr">
        <is>
          <t>LD-306380</t>
        </is>
      </c>
      <c r="B6382" t="inlineStr">
        <is>
          <t>2026-01-13 19:31:00</t>
        </is>
      </c>
      <c r="C6382" t="inlineStr">
        <is>
          <t>Organic Search</t>
        </is>
      </c>
      <c r="D6382" t="inlineStr">
        <is>
          <t>Language Learning</t>
        </is>
      </c>
      <c r="E6382" t="inlineStr">
        <is>
          <t>West Region</t>
        </is>
      </c>
      <c r="F6382" t="inlineStr">
        <is>
          <t>Rep_03</t>
        </is>
      </c>
      <c r="G6382" t="n">
        <v>1.65</v>
      </c>
      <c r="H6382" t="inlineStr">
        <is>
          <t>Lead</t>
        </is>
      </c>
      <c r="I6382" t="inlineStr">
        <is>
          <t>Open</t>
        </is>
      </c>
      <c r="M6382">
        <f>VLOOKUP(H6382,'Stage Order'!$A$2:$B$8,2,FALSE)</f>
        <v/>
      </c>
      <c r="N6382">
        <f>IF(G6382&lt;=1,"1. Under 1 hour",IF(G6382&lt;=24,"2. 1-24 hours",IF(G6382&lt;=72,"3. 1-3 days","4. Over 3 days")))</f>
        <v/>
      </c>
      <c r="O6382">
        <f>TEXT(B6382,"YYYY-MM")</f>
        <v/>
      </c>
    </row>
    <row r="6383">
      <c r="A6383" t="inlineStr">
        <is>
          <t>LD-306381</t>
        </is>
      </c>
      <c r="B6383" t="inlineStr">
        <is>
          <t>2025-11-27 13:26:00</t>
        </is>
      </c>
      <c r="C6383" t="inlineStr">
        <is>
          <t>Organic Search</t>
        </is>
      </c>
      <c r="D6383" t="inlineStr">
        <is>
          <t>Study Abroad Prep</t>
        </is>
      </c>
      <c r="E6383" t="inlineStr">
        <is>
          <t>East Region</t>
        </is>
      </c>
      <c r="F6383" t="inlineStr">
        <is>
          <t>Rep_14</t>
        </is>
      </c>
      <c r="G6383" t="n">
        <v>12.59</v>
      </c>
      <c r="H6383" t="inlineStr">
        <is>
          <t>Contacted</t>
        </is>
      </c>
      <c r="I6383" t="inlineStr">
        <is>
          <t>Open</t>
        </is>
      </c>
      <c r="M6383">
        <f>VLOOKUP(H6383,'Stage Order'!$A$2:$B$8,2,FALSE)</f>
        <v/>
      </c>
      <c r="N6383">
        <f>IF(G6383&lt;=1,"1. Under 1 hour",IF(G6383&lt;=24,"2. 1-24 hours",IF(G6383&lt;=72,"3. 1-3 days","4. Over 3 days")))</f>
        <v/>
      </c>
      <c r="O6383">
        <f>TEXT(B6383,"YYYY-MM")</f>
        <v/>
      </c>
    </row>
    <row r="6384">
      <c r="A6384" t="inlineStr">
        <is>
          <t>LD-306382</t>
        </is>
      </c>
      <c r="B6384" t="inlineStr">
        <is>
          <t>2025-10-16 12:40:00</t>
        </is>
      </c>
      <c r="C6384" t="inlineStr">
        <is>
          <t>Organic Search</t>
        </is>
      </c>
      <c r="D6384" t="inlineStr">
        <is>
          <t>Study Abroad Prep</t>
        </is>
      </c>
      <c r="E6384" t="inlineStr">
        <is>
          <t>North Region</t>
        </is>
      </c>
      <c r="F6384" t="inlineStr">
        <is>
          <t>Rep_06</t>
        </is>
      </c>
      <c r="G6384" t="n">
        <v>5.03</v>
      </c>
      <c r="H6384" t="inlineStr">
        <is>
          <t>Lead</t>
        </is>
      </c>
      <c r="I6384" t="inlineStr">
        <is>
          <t>Open</t>
        </is>
      </c>
      <c r="M6384">
        <f>VLOOKUP(H6384,'Stage Order'!$A$2:$B$8,2,FALSE)</f>
        <v/>
      </c>
      <c r="N6384">
        <f>IF(G6384&lt;=1,"1. Under 1 hour",IF(G6384&lt;=24,"2. 1-24 hours",IF(G6384&lt;=72,"3. 1-3 days","4. Over 3 days")))</f>
        <v/>
      </c>
      <c r="O6384">
        <f>TEXT(B6384,"YYYY-MM")</f>
        <v/>
      </c>
    </row>
    <row r="6385">
      <c r="A6385" t="inlineStr">
        <is>
          <t>LD-306383</t>
        </is>
      </c>
      <c r="B6385" t="inlineStr">
        <is>
          <t>2026-02-02 19:36:00</t>
        </is>
      </c>
      <c r="C6385" t="inlineStr">
        <is>
          <t>Paid Search</t>
        </is>
      </c>
      <c r="D6385" t="inlineStr">
        <is>
          <t>K-12 Math</t>
        </is>
      </c>
      <c r="E6385" t="inlineStr">
        <is>
          <t>North Region</t>
        </is>
      </c>
      <c r="F6385" t="inlineStr">
        <is>
          <t>Rep_01</t>
        </is>
      </c>
      <c r="G6385" t="n">
        <v>2.22</v>
      </c>
      <c r="H6385" t="inlineStr">
        <is>
          <t>Proposal Sent</t>
        </is>
      </c>
      <c r="I6385" t="inlineStr">
        <is>
          <t>Lost</t>
        </is>
      </c>
      <c r="J6385" t="inlineStr">
        <is>
          <t>Price Objection</t>
        </is>
      </c>
      <c r="K6385" t="n">
        <v>457.9</v>
      </c>
      <c r="L6385" t="inlineStr">
        <is>
          <t>2026-03-07 02:29:08.076388</t>
        </is>
      </c>
      <c r="M6385">
        <f>VLOOKUP(H6385,'Stage Order'!$A$2:$B$8,2,FALSE)</f>
        <v/>
      </c>
      <c r="N6385">
        <f>IF(G6385&lt;=1,"1. Under 1 hour",IF(G6385&lt;=24,"2. 1-24 hours",IF(G6385&lt;=72,"3. 1-3 days","4. Over 3 days")))</f>
        <v/>
      </c>
      <c r="O6385">
        <f>TEXT(B6385,"YYYY-MM")</f>
        <v/>
      </c>
    </row>
    <row r="6386">
      <c r="A6386" t="inlineStr">
        <is>
          <t>LD-306384</t>
        </is>
      </c>
      <c r="B6386" t="inlineStr">
        <is>
          <t>2026-05-28 13:08:00</t>
        </is>
      </c>
      <c r="C6386" t="inlineStr">
        <is>
          <t>Organic Search</t>
        </is>
      </c>
      <c r="D6386" t="inlineStr">
        <is>
          <t>Coding for Kids</t>
        </is>
      </c>
      <c r="E6386" t="inlineStr">
        <is>
          <t>West Region</t>
        </is>
      </c>
      <c r="F6386" t="inlineStr">
        <is>
          <t>Rep_03</t>
        </is>
      </c>
      <c r="G6386" t="n">
        <v>8.26</v>
      </c>
      <c r="H6386" t="inlineStr">
        <is>
          <t>Contacted</t>
        </is>
      </c>
      <c r="I6386" t="inlineStr">
        <is>
          <t>Open</t>
        </is>
      </c>
      <c r="M6386">
        <f>VLOOKUP(H6386,'Stage Order'!$A$2:$B$8,2,FALSE)</f>
        <v/>
      </c>
      <c r="N6386">
        <f>IF(G6386&lt;=1,"1. Under 1 hour",IF(G6386&lt;=24,"2. 1-24 hours",IF(G6386&lt;=72,"3. 1-3 days","4. Over 3 days")))</f>
        <v/>
      </c>
      <c r="O6386">
        <f>TEXT(B6386,"YYYY-MM")</f>
        <v/>
      </c>
    </row>
    <row r="6387">
      <c r="A6387" t="inlineStr">
        <is>
          <t>LD-306385</t>
        </is>
      </c>
      <c r="B6387" t="inlineStr">
        <is>
          <t>2026-03-20 08:45:00</t>
        </is>
      </c>
      <c r="C6387" t="inlineStr">
        <is>
          <t>Referral</t>
        </is>
      </c>
      <c r="D6387" t="inlineStr">
        <is>
          <t>Coding for Kids</t>
        </is>
      </c>
      <c r="E6387" t="inlineStr">
        <is>
          <t>South Region</t>
        </is>
      </c>
      <c r="F6387" t="inlineStr">
        <is>
          <t>Rep_07</t>
        </is>
      </c>
      <c r="G6387" t="n">
        <v>2.32</v>
      </c>
      <c r="H6387" t="inlineStr">
        <is>
          <t>Proposal Sent</t>
        </is>
      </c>
      <c r="I6387" t="inlineStr">
        <is>
          <t>Lost</t>
        </is>
      </c>
      <c r="J6387" t="inlineStr">
        <is>
          <t>Went With Competitor</t>
        </is>
      </c>
      <c r="K6387" t="n">
        <v>749.37</v>
      </c>
      <c r="L6387" t="inlineStr">
        <is>
          <t>2026-04-24 18:28:09.906613</t>
        </is>
      </c>
      <c r="M6387">
        <f>VLOOKUP(H6387,'Stage Order'!$A$2:$B$8,2,FALSE)</f>
        <v/>
      </c>
      <c r="N6387">
        <f>IF(G6387&lt;=1,"1. Under 1 hour",IF(G6387&lt;=24,"2. 1-24 hours",IF(G6387&lt;=72,"3. 1-3 days","4. Over 3 days")))</f>
        <v/>
      </c>
      <c r="O6387">
        <f>TEXT(B6387,"YYYY-MM")</f>
        <v/>
      </c>
    </row>
    <row r="6388">
      <c r="A6388" t="inlineStr">
        <is>
          <t>LD-306386</t>
        </is>
      </c>
      <c r="B6388" t="inlineStr">
        <is>
          <t>2026-05-07 18:54:00</t>
        </is>
      </c>
      <c r="C6388" t="inlineStr">
        <is>
          <t>Paid Search</t>
        </is>
      </c>
      <c r="D6388" t="inlineStr">
        <is>
          <t>K-12 Math</t>
        </is>
      </c>
      <c r="E6388" t="inlineStr">
        <is>
          <t>North Region</t>
        </is>
      </c>
      <c r="F6388" t="inlineStr">
        <is>
          <t>Rep_06</t>
        </is>
      </c>
      <c r="G6388" t="n">
        <v>7.04</v>
      </c>
      <c r="H6388" t="inlineStr">
        <is>
          <t>Contacted</t>
        </is>
      </c>
      <c r="I6388" t="inlineStr">
        <is>
          <t>Open</t>
        </is>
      </c>
      <c r="M6388">
        <f>VLOOKUP(H6388,'Stage Order'!$A$2:$B$8,2,FALSE)</f>
        <v/>
      </c>
      <c r="N6388">
        <f>IF(G6388&lt;=1,"1. Under 1 hour",IF(G6388&lt;=24,"2. 1-24 hours",IF(G6388&lt;=72,"3. 1-3 days","4. Over 3 days")))</f>
        <v/>
      </c>
      <c r="O6388">
        <f>TEXT(B6388,"YYYY-MM")</f>
        <v/>
      </c>
    </row>
    <row r="6389">
      <c r="A6389" t="inlineStr">
        <is>
          <t>LD-306387</t>
        </is>
      </c>
      <c r="B6389" t="inlineStr">
        <is>
          <t>2026-02-16 09:52:00</t>
        </is>
      </c>
      <c r="C6389" t="inlineStr">
        <is>
          <t>Paid Search</t>
        </is>
      </c>
      <c r="D6389" t="inlineStr">
        <is>
          <t>Study Abroad Prep</t>
        </is>
      </c>
      <c r="E6389" t="inlineStr">
        <is>
          <t>International</t>
        </is>
      </c>
      <c r="F6389" t="inlineStr">
        <is>
          <t>Rep_10</t>
        </is>
      </c>
      <c r="G6389" t="n">
        <v>1.26</v>
      </c>
      <c r="H6389" t="inlineStr">
        <is>
          <t>Contacted</t>
        </is>
      </c>
      <c r="I6389" t="inlineStr">
        <is>
          <t>Open</t>
        </is>
      </c>
      <c r="M6389">
        <f>VLOOKUP(H6389,'Stage Order'!$A$2:$B$8,2,FALSE)</f>
        <v/>
      </c>
      <c r="N6389">
        <f>IF(G6389&lt;=1,"1. Under 1 hour",IF(G6389&lt;=24,"2. 1-24 hours",IF(G6389&lt;=72,"3. 1-3 days","4. Over 3 days")))</f>
        <v/>
      </c>
      <c r="O6389">
        <f>TEXT(B6389,"YYYY-MM")</f>
        <v/>
      </c>
    </row>
    <row r="6390">
      <c r="A6390" t="inlineStr">
        <is>
          <t>LD-306388</t>
        </is>
      </c>
      <c r="B6390" t="inlineStr">
        <is>
          <t>2025-03-21 10:41:00</t>
        </is>
      </c>
      <c r="C6390" t="inlineStr">
        <is>
          <t>Referral</t>
        </is>
      </c>
      <c r="D6390" t="inlineStr">
        <is>
          <t>Study Abroad Prep</t>
        </is>
      </c>
      <c r="E6390" t="inlineStr">
        <is>
          <t>North Region</t>
        </is>
      </c>
      <c r="F6390" t="inlineStr">
        <is>
          <t>Rep_11</t>
        </is>
      </c>
      <c r="G6390" t="n">
        <v>5.94</v>
      </c>
      <c r="H6390" t="inlineStr">
        <is>
          <t>Negotiation</t>
        </is>
      </c>
      <c r="I6390" t="inlineStr">
        <is>
          <t>Lost</t>
        </is>
      </c>
      <c r="J6390" t="inlineStr">
        <is>
          <t>Went With Competitor</t>
        </is>
      </c>
      <c r="K6390" t="n">
        <v>1508.76</v>
      </c>
      <c r="L6390" t="inlineStr">
        <is>
          <t>2025-04-21 06:04:04.979533</t>
        </is>
      </c>
      <c r="M6390">
        <f>VLOOKUP(H6390,'Stage Order'!$A$2:$B$8,2,FALSE)</f>
        <v/>
      </c>
      <c r="N6390">
        <f>IF(G6390&lt;=1,"1. Under 1 hour",IF(G6390&lt;=24,"2. 1-24 hours",IF(G6390&lt;=72,"3. 1-3 days","4. Over 3 days")))</f>
        <v/>
      </c>
      <c r="O6390">
        <f>TEXT(B6390,"YYYY-MM")</f>
        <v/>
      </c>
    </row>
    <row r="6391">
      <c r="A6391" t="inlineStr">
        <is>
          <t>LD-306389</t>
        </is>
      </c>
      <c r="B6391" t="inlineStr">
        <is>
          <t>2026-04-23 19:36:00</t>
        </is>
      </c>
      <c r="C6391" t="inlineStr">
        <is>
          <t>Social Media</t>
        </is>
      </c>
      <c r="D6391" t="inlineStr">
        <is>
          <t>Study Abroad Prep</t>
        </is>
      </c>
      <c r="E6391" t="inlineStr">
        <is>
          <t>International</t>
        </is>
      </c>
      <c r="F6391" t="inlineStr">
        <is>
          <t>Rep_05</t>
        </is>
      </c>
      <c r="G6391" t="n">
        <v>5.88</v>
      </c>
      <c r="H6391" t="inlineStr">
        <is>
          <t>Demo Completed</t>
        </is>
      </c>
      <c r="I6391" t="inlineStr">
        <is>
          <t>Lost</t>
        </is>
      </c>
      <c r="J6391" t="inlineStr">
        <is>
          <t>Bad Timing</t>
        </is>
      </c>
      <c r="K6391" t="n">
        <v>1735.89</v>
      </c>
      <c r="L6391" t="inlineStr">
        <is>
          <t>2026-06-07 23:39:34.638445</t>
        </is>
      </c>
      <c r="M6391">
        <f>VLOOKUP(H6391,'Stage Order'!$A$2:$B$8,2,FALSE)</f>
        <v/>
      </c>
      <c r="N6391">
        <f>IF(G6391&lt;=1,"1. Under 1 hour",IF(G6391&lt;=24,"2. 1-24 hours",IF(G6391&lt;=72,"3. 1-3 days","4. Over 3 days")))</f>
        <v/>
      </c>
      <c r="O6391">
        <f>TEXT(B6391,"YYYY-MM")</f>
        <v/>
      </c>
    </row>
    <row r="6392">
      <c r="A6392" t="inlineStr">
        <is>
          <t>LD-306390</t>
        </is>
      </c>
      <c r="B6392" t="inlineStr">
        <is>
          <t>2026-03-14 19:33:00</t>
        </is>
      </c>
      <c r="C6392" t="inlineStr">
        <is>
          <t>Organic Search</t>
        </is>
      </c>
      <c r="D6392" t="inlineStr">
        <is>
          <t>Language Learning</t>
        </is>
      </c>
      <c r="E6392" t="inlineStr">
        <is>
          <t>South Region</t>
        </is>
      </c>
      <c r="F6392" t="inlineStr">
        <is>
          <t>Rep_02</t>
        </is>
      </c>
      <c r="G6392" t="n">
        <v>0.46</v>
      </c>
      <c r="H6392" t="inlineStr">
        <is>
          <t>Closed</t>
        </is>
      </c>
      <c r="I6392" t="inlineStr">
        <is>
          <t>Won</t>
        </is>
      </c>
      <c r="K6392" t="n">
        <v>290.49</v>
      </c>
      <c r="L6392" t="inlineStr">
        <is>
          <t>2026-05-06 07:19:30.896281</t>
        </is>
      </c>
      <c r="M6392">
        <f>VLOOKUP(H6392,'Stage Order'!$A$2:$B$8,2,FALSE)</f>
        <v/>
      </c>
      <c r="N6392">
        <f>IF(G6392&lt;=1,"1. Under 1 hour",IF(G6392&lt;=24,"2. 1-24 hours",IF(G6392&lt;=72,"3. 1-3 days","4. Over 3 days")))</f>
        <v/>
      </c>
      <c r="O6392">
        <f>TEXT(B6392,"YYYY-MM")</f>
        <v/>
      </c>
    </row>
    <row r="6393">
      <c r="A6393" t="inlineStr">
        <is>
          <t>LD-306391</t>
        </is>
      </c>
      <c r="B6393" t="inlineStr">
        <is>
          <t>2025-09-06 14:45:00</t>
        </is>
      </c>
      <c r="C6393" t="inlineStr">
        <is>
          <t>Webinar</t>
        </is>
      </c>
      <c r="D6393" t="inlineStr">
        <is>
          <t>K-12 Math</t>
        </is>
      </c>
      <c r="E6393" t="inlineStr">
        <is>
          <t>West Region</t>
        </is>
      </c>
      <c r="F6393" t="inlineStr">
        <is>
          <t>Rep_03</t>
        </is>
      </c>
      <c r="G6393" t="n">
        <v>7.24</v>
      </c>
      <c r="H6393" t="inlineStr">
        <is>
          <t>Closed</t>
        </is>
      </c>
      <c r="I6393" t="inlineStr">
        <is>
          <t>Won</t>
        </is>
      </c>
      <c r="K6393" t="n">
        <v>533.15</v>
      </c>
      <c r="L6393" t="inlineStr">
        <is>
          <t>2025-10-11 03:49:01.333411</t>
        </is>
      </c>
      <c r="M6393">
        <f>VLOOKUP(H6393,'Stage Order'!$A$2:$B$8,2,FALSE)</f>
        <v/>
      </c>
      <c r="N6393">
        <f>IF(G6393&lt;=1,"1. Under 1 hour",IF(G6393&lt;=24,"2. 1-24 hours",IF(G6393&lt;=72,"3. 1-3 days","4. Over 3 days")))</f>
        <v/>
      </c>
      <c r="O6393">
        <f>TEXT(B6393,"YYYY-MM")</f>
        <v/>
      </c>
    </row>
    <row r="6394">
      <c r="A6394" t="inlineStr">
        <is>
          <t>LD-306392</t>
        </is>
      </c>
      <c r="B6394" t="inlineStr">
        <is>
          <t>2025-09-22 07:13:00</t>
        </is>
      </c>
      <c r="C6394" t="inlineStr">
        <is>
          <t>Paid Search</t>
        </is>
      </c>
      <c r="D6394" t="inlineStr">
        <is>
          <t>Competitive Exam Prep</t>
        </is>
      </c>
      <c r="E6394" t="inlineStr">
        <is>
          <t>East Region</t>
        </is>
      </c>
      <c r="F6394" t="inlineStr">
        <is>
          <t>Rep_09</t>
        </is>
      </c>
      <c r="G6394" t="n">
        <v>0.8</v>
      </c>
      <c r="H6394" t="inlineStr">
        <is>
          <t>Lead</t>
        </is>
      </c>
      <c r="I6394" t="inlineStr">
        <is>
          <t>Open</t>
        </is>
      </c>
      <c r="M6394">
        <f>VLOOKUP(H6394,'Stage Order'!$A$2:$B$8,2,FALSE)</f>
        <v/>
      </c>
      <c r="N6394">
        <f>IF(G6394&lt;=1,"1. Under 1 hour",IF(G6394&lt;=24,"2. 1-24 hours",IF(G6394&lt;=72,"3. 1-3 days","4. Over 3 days")))</f>
        <v/>
      </c>
      <c r="O6394">
        <f>TEXT(B6394,"YYYY-MM")</f>
        <v/>
      </c>
    </row>
    <row r="6395">
      <c r="A6395" t="inlineStr">
        <is>
          <t>LD-306393</t>
        </is>
      </c>
      <c r="B6395" t="inlineStr">
        <is>
          <t>2026-01-02 12:54:00</t>
        </is>
      </c>
      <c r="C6395" t="inlineStr">
        <is>
          <t>Paid Search</t>
        </is>
      </c>
      <c r="D6395" t="inlineStr">
        <is>
          <t>K-12 Math</t>
        </is>
      </c>
      <c r="E6395" t="inlineStr">
        <is>
          <t>West Region</t>
        </is>
      </c>
      <c r="F6395" t="inlineStr">
        <is>
          <t>Rep_13</t>
        </is>
      </c>
      <c r="G6395" t="n">
        <v>7.47</v>
      </c>
      <c r="H6395" t="inlineStr">
        <is>
          <t>Demo Scheduled</t>
        </is>
      </c>
      <c r="I6395" t="inlineStr">
        <is>
          <t>Open</t>
        </is>
      </c>
      <c r="M6395">
        <f>VLOOKUP(H6395,'Stage Order'!$A$2:$B$8,2,FALSE)</f>
        <v/>
      </c>
      <c r="N6395">
        <f>IF(G6395&lt;=1,"1. Under 1 hour",IF(G6395&lt;=24,"2. 1-24 hours",IF(G6395&lt;=72,"3. 1-3 days","4. Over 3 days")))</f>
        <v/>
      </c>
      <c r="O6395">
        <f>TEXT(B6395,"YYYY-MM")</f>
        <v/>
      </c>
    </row>
    <row r="6396">
      <c r="A6396" t="inlineStr">
        <is>
          <t>LD-306394</t>
        </is>
      </c>
      <c r="B6396" t="inlineStr">
        <is>
          <t>2025-01-24 07:18:00</t>
        </is>
      </c>
      <c r="C6396" t="inlineStr">
        <is>
          <t>Paid Search</t>
        </is>
      </c>
      <c r="D6396" t="inlineStr">
        <is>
          <t>Language Learning</t>
        </is>
      </c>
      <c r="E6396" t="inlineStr">
        <is>
          <t>East Region</t>
        </is>
      </c>
      <c r="F6396" t="inlineStr">
        <is>
          <t>Rep_14</t>
        </is>
      </c>
      <c r="G6396" t="n">
        <v>5.41</v>
      </c>
      <c r="H6396" t="inlineStr">
        <is>
          <t>Contacted</t>
        </is>
      </c>
      <c r="I6396" t="inlineStr">
        <is>
          <t>Open</t>
        </is>
      </c>
      <c r="M6396">
        <f>VLOOKUP(H6396,'Stage Order'!$A$2:$B$8,2,FALSE)</f>
        <v/>
      </c>
      <c r="N6396">
        <f>IF(G6396&lt;=1,"1. Under 1 hour",IF(G6396&lt;=24,"2. 1-24 hours",IF(G6396&lt;=72,"3. 1-3 days","4. Over 3 days")))</f>
        <v/>
      </c>
      <c r="O6396">
        <f>TEXT(B6396,"YYYY-MM")</f>
        <v/>
      </c>
    </row>
    <row r="6397">
      <c r="A6397" t="inlineStr">
        <is>
          <t>LD-306395</t>
        </is>
      </c>
      <c r="B6397" t="inlineStr">
        <is>
          <t>2025-11-26 14:40:00</t>
        </is>
      </c>
      <c r="C6397" t="inlineStr">
        <is>
          <t>Webinar</t>
        </is>
      </c>
      <c r="D6397" t="inlineStr">
        <is>
          <t>K-12 Math</t>
        </is>
      </c>
      <c r="E6397" t="inlineStr">
        <is>
          <t>South Region</t>
        </is>
      </c>
      <c r="F6397" t="inlineStr">
        <is>
          <t>Rep_07</t>
        </is>
      </c>
      <c r="G6397" t="n">
        <v>6.94</v>
      </c>
      <c r="H6397" t="inlineStr">
        <is>
          <t>Negotiation</t>
        </is>
      </c>
      <c r="I6397" t="inlineStr">
        <is>
          <t>Lost</t>
        </is>
      </c>
      <c r="J6397" t="inlineStr">
        <is>
          <t>Price Objection</t>
        </is>
      </c>
      <c r="K6397" t="n">
        <v>411.02</v>
      </c>
      <c r="L6397" t="inlineStr">
        <is>
          <t>2025-12-31 11:56:17.928454</t>
        </is>
      </c>
      <c r="M6397">
        <f>VLOOKUP(H6397,'Stage Order'!$A$2:$B$8,2,FALSE)</f>
        <v/>
      </c>
      <c r="N6397">
        <f>IF(G6397&lt;=1,"1. Under 1 hour",IF(G6397&lt;=24,"2. 1-24 hours",IF(G6397&lt;=72,"3. 1-3 days","4. Over 3 days")))</f>
        <v/>
      </c>
      <c r="O6397">
        <f>TEXT(B6397,"YYYY-MM")</f>
        <v/>
      </c>
    </row>
    <row r="6398">
      <c r="A6398" t="inlineStr">
        <is>
          <t>LD-306396</t>
        </is>
      </c>
      <c r="B6398" t="inlineStr">
        <is>
          <t>2026-05-22 09:39:00</t>
        </is>
      </c>
      <c r="C6398" t="inlineStr">
        <is>
          <t>Paid Search</t>
        </is>
      </c>
      <c r="D6398" t="inlineStr">
        <is>
          <t>Study Abroad Prep</t>
        </is>
      </c>
      <c r="E6398" t="inlineStr">
        <is>
          <t>South Region</t>
        </is>
      </c>
      <c r="F6398" t="inlineStr">
        <is>
          <t>Rep_02</t>
        </is>
      </c>
      <c r="G6398" t="n">
        <v>1.71</v>
      </c>
      <c r="H6398" t="inlineStr">
        <is>
          <t>Contacted</t>
        </is>
      </c>
      <c r="I6398" t="inlineStr">
        <is>
          <t>Open</t>
        </is>
      </c>
      <c r="M6398">
        <f>VLOOKUP(H6398,'Stage Order'!$A$2:$B$8,2,FALSE)</f>
        <v/>
      </c>
      <c r="N6398">
        <f>IF(G6398&lt;=1,"1. Under 1 hour",IF(G6398&lt;=24,"2. 1-24 hours",IF(G6398&lt;=72,"3. 1-3 days","4. Over 3 days")))</f>
        <v/>
      </c>
      <c r="O6398">
        <f>TEXT(B6398,"YYYY-MM")</f>
        <v/>
      </c>
    </row>
    <row r="6399">
      <c r="A6399" t="inlineStr">
        <is>
          <t>LD-306397</t>
        </is>
      </c>
      <c r="B6399" t="inlineStr">
        <is>
          <t>2026-02-15 10:17:00</t>
        </is>
      </c>
      <c r="C6399" t="inlineStr">
        <is>
          <t>Referral</t>
        </is>
      </c>
      <c r="D6399" t="inlineStr">
        <is>
          <t>K-12 Math</t>
        </is>
      </c>
      <c r="E6399" t="inlineStr">
        <is>
          <t>International</t>
        </is>
      </c>
      <c r="F6399" t="inlineStr">
        <is>
          <t>Rep_10</t>
        </is>
      </c>
      <c r="G6399" t="n">
        <v>2.07</v>
      </c>
      <c r="H6399" t="inlineStr">
        <is>
          <t>Closed</t>
        </is>
      </c>
      <c r="I6399" t="inlineStr">
        <is>
          <t>Won</t>
        </is>
      </c>
      <c r="K6399" t="n">
        <v>479.09</v>
      </c>
      <c r="L6399" t="inlineStr">
        <is>
          <t>2026-03-21 17:39:45.738172</t>
        </is>
      </c>
      <c r="M6399">
        <f>VLOOKUP(H6399,'Stage Order'!$A$2:$B$8,2,FALSE)</f>
        <v/>
      </c>
      <c r="N6399">
        <f>IF(G6399&lt;=1,"1. Under 1 hour",IF(G6399&lt;=24,"2. 1-24 hours",IF(G6399&lt;=72,"3. 1-3 days","4. Over 3 days")))</f>
        <v/>
      </c>
      <c r="O6399">
        <f>TEXT(B6399,"YYYY-MM")</f>
        <v/>
      </c>
    </row>
    <row r="6400">
      <c r="A6400" t="inlineStr">
        <is>
          <t>LD-306398</t>
        </is>
      </c>
      <c r="B6400" t="inlineStr">
        <is>
          <t>2025-07-30 09:55:00</t>
        </is>
      </c>
      <c r="C6400" t="inlineStr">
        <is>
          <t>Webinar</t>
        </is>
      </c>
      <c r="D6400" t="inlineStr">
        <is>
          <t>Competitive Exam Prep</t>
        </is>
      </c>
      <c r="E6400" t="inlineStr">
        <is>
          <t>East Region</t>
        </is>
      </c>
      <c r="F6400" t="inlineStr">
        <is>
          <t>Rep_14</t>
        </is>
      </c>
      <c r="G6400" t="n">
        <v>1.19</v>
      </c>
      <c r="H6400" t="inlineStr">
        <is>
          <t>Lead</t>
        </is>
      </c>
      <c r="I6400" t="inlineStr">
        <is>
          <t>Open</t>
        </is>
      </c>
      <c r="M6400">
        <f>VLOOKUP(H6400,'Stage Order'!$A$2:$B$8,2,FALSE)</f>
        <v/>
      </c>
      <c r="N6400">
        <f>IF(G6400&lt;=1,"1. Under 1 hour",IF(G6400&lt;=24,"2. 1-24 hours",IF(G6400&lt;=72,"3. 1-3 days","4. Over 3 days")))</f>
        <v/>
      </c>
      <c r="O6400">
        <f>TEXT(B6400,"YYYY-MM")</f>
        <v/>
      </c>
    </row>
    <row r="6401">
      <c r="A6401" t="inlineStr">
        <is>
          <t>LD-306399</t>
        </is>
      </c>
      <c r="B6401" t="inlineStr">
        <is>
          <t>2026-06-03 08:38:00</t>
        </is>
      </c>
      <c r="C6401" t="inlineStr">
        <is>
          <t>Webinar</t>
        </is>
      </c>
      <c r="D6401" t="inlineStr">
        <is>
          <t>Language Learning</t>
        </is>
      </c>
      <c r="E6401" t="inlineStr">
        <is>
          <t>West Region</t>
        </is>
      </c>
      <c r="F6401" t="inlineStr">
        <is>
          <t>Rep_13</t>
        </is>
      </c>
      <c r="G6401" t="n">
        <v>3.92</v>
      </c>
      <c r="H6401" t="inlineStr">
        <is>
          <t>Negotiation</t>
        </is>
      </c>
      <c r="I6401" t="inlineStr">
        <is>
          <t>Lost</t>
        </is>
      </c>
      <c r="J6401" t="inlineStr">
        <is>
          <t>No Response / Ghosted</t>
        </is>
      </c>
      <c r="K6401" t="n">
        <v>387.35</v>
      </c>
      <c r="L6401" t="inlineStr">
        <is>
          <t>2026-07-27 11:40:08.315400</t>
        </is>
      </c>
      <c r="M6401">
        <f>VLOOKUP(H6401,'Stage Order'!$A$2:$B$8,2,FALSE)</f>
        <v/>
      </c>
      <c r="N6401">
        <f>IF(G6401&lt;=1,"1. Under 1 hour",IF(G6401&lt;=24,"2. 1-24 hours",IF(G6401&lt;=72,"3. 1-3 days","4. Over 3 days")))</f>
        <v/>
      </c>
      <c r="O6401">
        <f>TEXT(B6401,"YYYY-MM")</f>
        <v/>
      </c>
    </row>
    <row r="6402">
      <c r="A6402" t="inlineStr">
        <is>
          <t>LD-306400</t>
        </is>
      </c>
      <c r="B6402" t="inlineStr">
        <is>
          <t>2026-04-27 20:14:00</t>
        </is>
      </c>
      <c r="C6402" t="inlineStr">
        <is>
          <t>Referral</t>
        </is>
      </c>
      <c r="D6402" t="inlineStr">
        <is>
          <t>Coding for Kids</t>
        </is>
      </c>
      <c r="E6402" t="inlineStr">
        <is>
          <t>North Region</t>
        </is>
      </c>
      <c r="F6402" t="inlineStr">
        <is>
          <t>Rep_11</t>
        </is>
      </c>
      <c r="G6402" t="n">
        <v>1.53</v>
      </c>
      <c r="H6402" t="inlineStr">
        <is>
          <t>Closed</t>
        </is>
      </c>
      <c r="I6402" t="inlineStr">
        <is>
          <t>Won</t>
        </is>
      </c>
      <c r="K6402" t="n">
        <v>680.04</v>
      </c>
      <c r="L6402" t="inlineStr">
        <is>
          <t>2026-06-04 10:30:44.186178</t>
        </is>
      </c>
      <c r="M6402">
        <f>VLOOKUP(H6402,'Stage Order'!$A$2:$B$8,2,FALSE)</f>
        <v/>
      </c>
      <c r="N6402">
        <f>IF(G6402&lt;=1,"1. Under 1 hour",IF(G6402&lt;=24,"2. 1-24 hours",IF(G6402&lt;=72,"3. 1-3 days","4. Over 3 days")))</f>
        <v/>
      </c>
      <c r="O6402">
        <f>TEXT(B6402,"YYYY-MM")</f>
        <v/>
      </c>
    </row>
    <row r="6403">
      <c r="A6403" t="inlineStr">
        <is>
          <t>LD-306401</t>
        </is>
      </c>
      <c r="B6403" t="inlineStr">
        <is>
          <t>2025-12-01 07:48:00</t>
        </is>
      </c>
      <c r="C6403" t="inlineStr">
        <is>
          <t>Cold Outreach</t>
        </is>
      </c>
      <c r="D6403" t="inlineStr">
        <is>
          <t>Study Abroad Prep</t>
        </is>
      </c>
      <c r="E6403" t="inlineStr">
        <is>
          <t>West Region</t>
        </is>
      </c>
      <c r="F6403" t="inlineStr">
        <is>
          <t>Rep_08</t>
        </is>
      </c>
      <c r="G6403" t="n">
        <v>2.59</v>
      </c>
      <c r="H6403" t="inlineStr">
        <is>
          <t>Lead</t>
        </is>
      </c>
      <c r="I6403" t="inlineStr">
        <is>
          <t>Open</t>
        </is>
      </c>
      <c r="M6403">
        <f>VLOOKUP(H6403,'Stage Order'!$A$2:$B$8,2,FALSE)</f>
        <v/>
      </c>
      <c r="N6403">
        <f>IF(G6403&lt;=1,"1. Under 1 hour",IF(G6403&lt;=24,"2. 1-24 hours",IF(G6403&lt;=72,"3. 1-3 days","4. Over 3 days")))</f>
        <v/>
      </c>
      <c r="O6403">
        <f>TEXT(B6403,"YYYY-MM")</f>
        <v/>
      </c>
    </row>
    <row r="6404">
      <c r="A6404" t="inlineStr">
        <is>
          <t>LD-306402</t>
        </is>
      </c>
      <c r="B6404" t="inlineStr">
        <is>
          <t>2026-03-16 12:24:00</t>
        </is>
      </c>
      <c r="C6404" t="inlineStr">
        <is>
          <t>Cold Outreach</t>
        </is>
      </c>
      <c r="D6404" t="inlineStr">
        <is>
          <t>Competitive Exam Prep</t>
        </is>
      </c>
      <c r="E6404" t="inlineStr">
        <is>
          <t>East Region</t>
        </is>
      </c>
      <c r="F6404" t="inlineStr">
        <is>
          <t>Rep_04</t>
        </is>
      </c>
      <c r="G6404" t="n">
        <v>3.55</v>
      </c>
      <c r="H6404" t="inlineStr">
        <is>
          <t>Lead</t>
        </is>
      </c>
      <c r="I6404" t="inlineStr">
        <is>
          <t>Open</t>
        </is>
      </c>
      <c r="M6404">
        <f>VLOOKUP(H6404,'Stage Order'!$A$2:$B$8,2,FALSE)</f>
        <v/>
      </c>
      <c r="N6404">
        <f>IF(G6404&lt;=1,"1. Under 1 hour",IF(G6404&lt;=24,"2. 1-24 hours",IF(G6404&lt;=72,"3. 1-3 days","4. Over 3 days")))</f>
        <v/>
      </c>
      <c r="O6404">
        <f>TEXT(B6404,"YYYY-MM")</f>
        <v/>
      </c>
    </row>
    <row r="6405">
      <c r="A6405" t="inlineStr">
        <is>
          <t>LD-306403</t>
        </is>
      </c>
      <c r="B6405" t="inlineStr">
        <is>
          <t>2025-06-12 17:12:00</t>
        </is>
      </c>
      <c r="C6405" t="inlineStr">
        <is>
          <t>Paid Search</t>
        </is>
      </c>
      <c r="D6405" t="inlineStr">
        <is>
          <t>Competitive Exam Prep</t>
        </is>
      </c>
      <c r="E6405" t="inlineStr">
        <is>
          <t>West Region</t>
        </is>
      </c>
      <c r="F6405" t="inlineStr">
        <is>
          <t>Rep_03</t>
        </is>
      </c>
      <c r="G6405" t="n">
        <v>1.78</v>
      </c>
      <c r="H6405" t="inlineStr">
        <is>
          <t>Lead</t>
        </is>
      </c>
      <c r="I6405" t="inlineStr">
        <is>
          <t>Open</t>
        </is>
      </c>
      <c r="M6405">
        <f>VLOOKUP(H6405,'Stage Order'!$A$2:$B$8,2,FALSE)</f>
        <v/>
      </c>
      <c r="N6405">
        <f>IF(G6405&lt;=1,"1. Under 1 hour",IF(G6405&lt;=24,"2. 1-24 hours",IF(G6405&lt;=72,"3. 1-3 days","4. Over 3 days")))</f>
        <v/>
      </c>
      <c r="O6405">
        <f>TEXT(B6405,"YYYY-MM")</f>
        <v/>
      </c>
    </row>
    <row r="6406">
      <c r="A6406" t="inlineStr">
        <is>
          <t>LD-306404</t>
        </is>
      </c>
      <c r="B6406" t="inlineStr">
        <is>
          <t>2025-03-27 07:16:00</t>
        </is>
      </c>
      <c r="C6406" t="inlineStr">
        <is>
          <t>Cold Outreach</t>
        </is>
      </c>
      <c r="D6406" t="inlineStr">
        <is>
          <t>Language Learning</t>
        </is>
      </c>
      <c r="E6406" t="inlineStr">
        <is>
          <t>North Region</t>
        </is>
      </c>
      <c r="F6406" t="inlineStr">
        <is>
          <t>Rep_11</t>
        </is>
      </c>
      <c r="G6406" t="n">
        <v>1.38</v>
      </c>
      <c r="H6406" t="inlineStr">
        <is>
          <t>Lead</t>
        </is>
      </c>
      <c r="I6406" t="inlineStr">
        <is>
          <t>Open</t>
        </is>
      </c>
      <c r="M6406">
        <f>VLOOKUP(H6406,'Stage Order'!$A$2:$B$8,2,FALSE)</f>
        <v/>
      </c>
      <c r="N6406">
        <f>IF(G6406&lt;=1,"1. Under 1 hour",IF(G6406&lt;=24,"2. 1-24 hours",IF(G6406&lt;=72,"3. 1-3 days","4. Over 3 days")))</f>
        <v/>
      </c>
      <c r="O6406">
        <f>TEXT(B6406,"YYYY-MM")</f>
        <v/>
      </c>
    </row>
    <row r="6407">
      <c r="A6407" t="inlineStr">
        <is>
          <t>LD-306405</t>
        </is>
      </c>
      <c r="B6407" t="inlineStr">
        <is>
          <t>2026-01-26 11:24:00</t>
        </is>
      </c>
      <c r="C6407" t="inlineStr">
        <is>
          <t>Social Media</t>
        </is>
      </c>
      <c r="D6407" t="inlineStr">
        <is>
          <t>K-12 Math</t>
        </is>
      </c>
      <c r="E6407" t="inlineStr">
        <is>
          <t>South Region</t>
        </is>
      </c>
      <c r="F6407" t="inlineStr">
        <is>
          <t>Rep_07</t>
        </is>
      </c>
      <c r="G6407" t="n">
        <v>12.31</v>
      </c>
      <c r="H6407" t="inlineStr">
        <is>
          <t>Demo Scheduled</t>
        </is>
      </c>
      <c r="I6407" t="inlineStr">
        <is>
          <t>Open</t>
        </is>
      </c>
      <c r="M6407">
        <f>VLOOKUP(H6407,'Stage Order'!$A$2:$B$8,2,FALSE)</f>
        <v/>
      </c>
      <c r="N6407">
        <f>IF(G6407&lt;=1,"1. Under 1 hour",IF(G6407&lt;=24,"2. 1-24 hours",IF(G6407&lt;=72,"3. 1-3 days","4. Over 3 days")))</f>
        <v/>
      </c>
      <c r="O6407">
        <f>TEXT(B6407,"YYYY-MM")</f>
        <v/>
      </c>
    </row>
    <row r="6408">
      <c r="A6408" t="inlineStr">
        <is>
          <t>LD-306406</t>
        </is>
      </c>
      <c r="B6408" t="inlineStr">
        <is>
          <t>2026-05-01 19:20:00</t>
        </is>
      </c>
      <c r="C6408" t="inlineStr">
        <is>
          <t>Organic Search</t>
        </is>
      </c>
      <c r="D6408" t="inlineStr">
        <is>
          <t>K-12 Math</t>
        </is>
      </c>
      <c r="E6408" t="inlineStr">
        <is>
          <t>West Region</t>
        </is>
      </c>
      <c r="F6408" t="inlineStr">
        <is>
          <t>Rep_03</t>
        </is>
      </c>
      <c r="G6408" t="n">
        <v>7.03</v>
      </c>
      <c r="H6408" t="inlineStr">
        <is>
          <t>Negotiation</t>
        </is>
      </c>
      <c r="I6408" t="inlineStr">
        <is>
          <t>Lost</t>
        </is>
      </c>
      <c r="J6408" t="inlineStr">
        <is>
          <t>Budget Not Approved</t>
        </is>
      </c>
      <c r="K6408" t="n">
        <v>557.58</v>
      </c>
      <c r="L6408" t="inlineStr">
        <is>
          <t>2026-06-11 09:25:53.903156</t>
        </is>
      </c>
      <c r="M6408">
        <f>VLOOKUP(H6408,'Stage Order'!$A$2:$B$8,2,FALSE)</f>
        <v/>
      </c>
      <c r="N6408">
        <f>IF(G6408&lt;=1,"1. Under 1 hour",IF(G6408&lt;=24,"2. 1-24 hours",IF(G6408&lt;=72,"3. 1-3 days","4. Over 3 days")))</f>
        <v/>
      </c>
      <c r="O6408">
        <f>TEXT(B6408,"YYYY-MM")</f>
        <v/>
      </c>
    </row>
    <row r="6409">
      <c r="A6409" t="inlineStr">
        <is>
          <t>LD-306407</t>
        </is>
      </c>
      <c r="B6409" t="inlineStr">
        <is>
          <t>2026-02-27 13:25:00</t>
        </is>
      </c>
      <c r="C6409" t="inlineStr">
        <is>
          <t>Cold Outreach</t>
        </is>
      </c>
      <c r="D6409" t="inlineStr">
        <is>
          <t>Coding for Kids</t>
        </is>
      </c>
      <c r="E6409" t="inlineStr">
        <is>
          <t>South Region</t>
        </is>
      </c>
      <c r="F6409" t="inlineStr">
        <is>
          <t>Rep_12</t>
        </is>
      </c>
      <c r="G6409" t="n">
        <v>1.77</v>
      </c>
      <c r="H6409" t="inlineStr">
        <is>
          <t>Lead</t>
        </is>
      </c>
      <c r="I6409" t="inlineStr">
        <is>
          <t>Open</t>
        </is>
      </c>
      <c r="M6409">
        <f>VLOOKUP(H6409,'Stage Order'!$A$2:$B$8,2,FALSE)</f>
        <v/>
      </c>
      <c r="N6409">
        <f>IF(G6409&lt;=1,"1. Under 1 hour",IF(G6409&lt;=24,"2. 1-24 hours",IF(G6409&lt;=72,"3. 1-3 days","4. Over 3 days")))</f>
        <v/>
      </c>
      <c r="O6409">
        <f>TEXT(B6409,"YYYY-MM")</f>
        <v/>
      </c>
    </row>
    <row r="6410">
      <c r="A6410" t="inlineStr">
        <is>
          <t>LD-306408</t>
        </is>
      </c>
      <c r="B6410" t="inlineStr">
        <is>
          <t>2025-06-26 19:52:00</t>
        </is>
      </c>
      <c r="C6410" t="inlineStr">
        <is>
          <t>Organic Search</t>
        </is>
      </c>
      <c r="D6410" t="inlineStr">
        <is>
          <t>Competitive Exam Prep</t>
        </is>
      </c>
      <c r="E6410" t="inlineStr">
        <is>
          <t>International</t>
        </is>
      </c>
      <c r="F6410" t="inlineStr">
        <is>
          <t>Rep_10</t>
        </is>
      </c>
      <c r="G6410" t="n">
        <v>3.76</v>
      </c>
      <c r="H6410" t="inlineStr">
        <is>
          <t>Demo Scheduled</t>
        </is>
      </c>
      <c r="I6410" t="inlineStr">
        <is>
          <t>Open</t>
        </is>
      </c>
      <c r="M6410">
        <f>VLOOKUP(H6410,'Stage Order'!$A$2:$B$8,2,FALSE)</f>
        <v/>
      </c>
      <c r="N6410">
        <f>IF(G6410&lt;=1,"1. Under 1 hour",IF(G6410&lt;=24,"2. 1-24 hours",IF(G6410&lt;=72,"3. 1-3 days","4. Over 3 days")))</f>
        <v/>
      </c>
      <c r="O6410">
        <f>TEXT(B6410,"YYYY-MM")</f>
        <v/>
      </c>
    </row>
    <row r="6411">
      <c r="A6411" t="inlineStr">
        <is>
          <t>LD-306409</t>
        </is>
      </c>
      <c r="B6411" t="inlineStr">
        <is>
          <t>2025-07-22 08:34:00</t>
        </is>
      </c>
      <c r="C6411" t="inlineStr">
        <is>
          <t>Paid Search</t>
        </is>
      </c>
      <c r="D6411" t="inlineStr">
        <is>
          <t>Language Learning</t>
        </is>
      </c>
      <c r="E6411" t="inlineStr">
        <is>
          <t>South Region</t>
        </is>
      </c>
      <c r="F6411" t="inlineStr">
        <is>
          <t>Rep_12</t>
        </is>
      </c>
      <c r="G6411" t="n">
        <v>0.8100000000000001</v>
      </c>
      <c r="H6411" t="inlineStr">
        <is>
          <t>Proposal Sent</t>
        </is>
      </c>
      <c r="I6411" t="inlineStr">
        <is>
          <t>Lost</t>
        </is>
      </c>
      <c r="J6411" t="inlineStr">
        <is>
          <t>Bad Timing</t>
        </is>
      </c>
      <c r="K6411" t="n">
        <v>293.57</v>
      </c>
      <c r="L6411" t="inlineStr">
        <is>
          <t>2025-08-16 00:26:39.281160</t>
        </is>
      </c>
      <c r="M6411">
        <f>VLOOKUP(H6411,'Stage Order'!$A$2:$B$8,2,FALSE)</f>
        <v/>
      </c>
      <c r="N6411">
        <f>IF(G6411&lt;=1,"1. Under 1 hour",IF(G6411&lt;=24,"2. 1-24 hours",IF(G6411&lt;=72,"3. 1-3 days","4. Over 3 days")))</f>
        <v/>
      </c>
      <c r="O6411">
        <f>TEXT(B6411,"YYYY-MM")</f>
        <v/>
      </c>
    </row>
    <row r="6412">
      <c r="A6412" t="inlineStr">
        <is>
          <t>LD-306410</t>
        </is>
      </c>
      <c r="B6412" t="inlineStr">
        <is>
          <t>2026-03-03 17:56:00</t>
        </is>
      </c>
      <c r="C6412" t="inlineStr">
        <is>
          <t>Webinar</t>
        </is>
      </c>
      <c r="D6412" t="inlineStr">
        <is>
          <t>K-12 Math</t>
        </is>
      </c>
      <c r="E6412" t="inlineStr">
        <is>
          <t>South Region</t>
        </is>
      </c>
      <c r="F6412" t="inlineStr">
        <is>
          <t>Rep_02</t>
        </is>
      </c>
      <c r="G6412" t="n">
        <v>5.89</v>
      </c>
      <c r="H6412" t="inlineStr">
        <is>
          <t>Closed</t>
        </is>
      </c>
      <c r="I6412" t="inlineStr">
        <is>
          <t>Won</t>
        </is>
      </c>
      <c r="K6412" t="n">
        <v>468.67</v>
      </c>
      <c r="L6412" t="inlineStr">
        <is>
          <t>2026-04-10 23:10:39.879687</t>
        </is>
      </c>
      <c r="M6412">
        <f>VLOOKUP(H6412,'Stage Order'!$A$2:$B$8,2,FALSE)</f>
        <v/>
      </c>
      <c r="N6412">
        <f>IF(G6412&lt;=1,"1. Under 1 hour",IF(G6412&lt;=24,"2. 1-24 hours",IF(G6412&lt;=72,"3. 1-3 days","4. Over 3 days")))</f>
        <v/>
      </c>
      <c r="O6412">
        <f>TEXT(B6412,"YYYY-MM")</f>
        <v/>
      </c>
    </row>
    <row r="6413">
      <c r="A6413" t="inlineStr">
        <is>
          <t>LD-306411</t>
        </is>
      </c>
      <c r="B6413" t="inlineStr">
        <is>
          <t>2025-04-04 08:52:00</t>
        </is>
      </c>
      <c r="C6413" t="inlineStr">
        <is>
          <t>Social Media</t>
        </is>
      </c>
      <c r="D6413" t="inlineStr">
        <is>
          <t>Coding for Kids</t>
        </is>
      </c>
      <c r="E6413" t="inlineStr">
        <is>
          <t>East Region</t>
        </is>
      </c>
      <c r="F6413" t="inlineStr">
        <is>
          <t>Rep_04</t>
        </is>
      </c>
      <c r="G6413" t="n">
        <v>1.62</v>
      </c>
      <c r="H6413" t="inlineStr">
        <is>
          <t>Lead</t>
        </is>
      </c>
      <c r="I6413" t="inlineStr">
        <is>
          <t>Open</t>
        </is>
      </c>
      <c r="M6413">
        <f>VLOOKUP(H6413,'Stage Order'!$A$2:$B$8,2,FALSE)</f>
        <v/>
      </c>
      <c r="N6413">
        <f>IF(G6413&lt;=1,"1. Under 1 hour",IF(G6413&lt;=24,"2. 1-24 hours",IF(G6413&lt;=72,"3. 1-3 days","4. Over 3 days")))</f>
        <v/>
      </c>
      <c r="O6413">
        <f>TEXT(B6413,"YYYY-MM")</f>
        <v/>
      </c>
    </row>
    <row r="6414">
      <c r="A6414" t="inlineStr">
        <is>
          <t>LD-306412</t>
        </is>
      </c>
      <c r="B6414" t="inlineStr">
        <is>
          <t>2025-03-13 07:53:00</t>
        </is>
      </c>
      <c r="C6414" t="inlineStr">
        <is>
          <t>Organic Search</t>
        </is>
      </c>
      <c r="D6414" t="inlineStr">
        <is>
          <t>K-12 Math</t>
        </is>
      </c>
      <c r="E6414" t="inlineStr">
        <is>
          <t>South Region</t>
        </is>
      </c>
      <c r="F6414" t="inlineStr">
        <is>
          <t>Rep_12</t>
        </is>
      </c>
      <c r="G6414" t="n">
        <v>0.82</v>
      </c>
      <c r="H6414" t="inlineStr">
        <is>
          <t>Closed</t>
        </is>
      </c>
      <c r="I6414" t="inlineStr">
        <is>
          <t>Won</t>
        </is>
      </c>
      <c r="K6414" t="n">
        <v>441.6</v>
      </c>
      <c r="L6414" t="inlineStr">
        <is>
          <t>2025-04-24 21:36:56.360648</t>
        </is>
      </c>
      <c r="M6414">
        <f>VLOOKUP(H6414,'Stage Order'!$A$2:$B$8,2,FALSE)</f>
        <v/>
      </c>
      <c r="N6414">
        <f>IF(G6414&lt;=1,"1. Under 1 hour",IF(G6414&lt;=24,"2. 1-24 hours",IF(G6414&lt;=72,"3. 1-3 days","4. Over 3 days")))</f>
        <v/>
      </c>
      <c r="O6414">
        <f>TEXT(B6414,"YYYY-MM")</f>
        <v/>
      </c>
    </row>
    <row r="6415">
      <c r="A6415" t="inlineStr">
        <is>
          <t>LD-306413</t>
        </is>
      </c>
      <c r="B6415" t="inlineStr">
        <is>
          <t>2025-06-30 20:32:00</t>
        </is>
      </c>
      <c r="C6415" t="inlineStr">
        <is>
          <t>Webinar</t>
        </is>
      </c>
      <c r="D6415" t="inlineStr">
        <is>
          <t>Language Learning</t>
        </is>
      </c>
      <c r="E6415" t="inlineStr">
        <is>
          <t>South Region</t>
        </is>
      </c>
      <c r="F6415" t="inlineStr">
        <is>
          <t>Rep_12</t>
        </is>
      </c>
      <c r="G6415" t="n">
        <v>3.46</v>
      </c>
      <c r="H6415" t="inlineStr">
        <is>
          <t>Closed</t>
        </is>
      </c>
      <c r="I6415" t="inlineStr">
        <is>
          <t>Won</t>
        </is>
      </c>
      <c r="K6415" t="n">
        <v>328.35</v>
      </c>
      <c r="L6415" t="inlineStr">
        <is>
          <t>2025-08-19 03:28:17.076925</t>
        </is>
      </c>
      <c r="M6415">
        <f>VLOOKUP(H6415,'Stage Order'!$A$2:$B$8,2,FALSE)</f>
        <v/>
      </c>
      <c r="N6415">
        <f>IF(G6415&lt;=1,"1. Under 1 hour",IF(G6415&lt;=24,"2. 1-24 hours",IF(G6415&lt;=72,"3. 1-3 days","4. Over 3 days")))</f>
        <v/>
      </c>
      <c r="O6415">
        <f>TEXT(B6415,"YYYY-MM")</f>
        <v/>
      </c>
    </row>
    <row r="6416">
      <c r="A6416" t="inlineStr">
        <is>
          <t>LD-306414</t>
        </is>
      </c>
      <c r="B6416" t="inlineStr">
        <is>
          <t>2025-07-04 12:46:00</t>
        </is>
      </c>
      <c r="C6416" t="inlineStr">
        <is>
          <t>Organic Search</t>
        </is>
      </c>
      <c r="D6416" t="inlineStr">
        <is>
          <t>K-12 Math</t>
        </is>
      </c>
      <c r="E6416" t="inlineStr">
        <is>
          <t>International</t>
        </is>
      </c>
      <c r="F6416" t="inlineStr">
        <is>
          <t>Rep_05</t>
        </is>
      </c>
      <c r="G6416" t="n">
        <v>2.78</v>
      </c>
      <c r="H6416" t="inlineStr">
        <is>
          <t>Contacted</t>
        </is>
      </c>
      <c r="I6416" t="inlineStr">
        <is>
          <t>Open</t>
        </is>
      </c>
      <c r="M6416">
        <f>VLOOKUP(H6416,'Stage Order'!$A$2:$B$8,2,FALSE)</f>
        <v/>
      </c>
      <c r="N6416">
        <f>IF(G6416&lt;=1,"1. Under 1 hour",IF(G6416&lt;=24,"2. 1-24 hours",IF(G6416&lt;=72,"3. 1-3 days","4. Over 3 days")))</f>
        <v/>
      </c>
      <c r="O6416">
        <f>TEXT(B6416,"YYYY-MM")</f>
        <v/>
      </c>
    </row>
    <row r="6417">
      <c r="A6417" t="inlineStr">
        <is>
          <t>LD-306415</t>
        </is>
      </c>
      <c r="B6417" t="inlineStr">
        <is>
          <t>2025-12-31 10:02:00</t>
        </is>
      </c>
      <c r="C6417" t="inlineStr">
        <is>
          <t>Organic Search</t>
        </is>
      </c>
      <c r="D6417" t="inlineStr">
        <is>
          <t>Coding for Kids</t>
        </is>
      </c>
      <c r="E6417" t="inlineStr">
        <is>
          <t>North Region</t>
        </is>
      </c>
      <c r="F6417" t="inlineStr">
        <is>
          <t>Rep_11</t>
        </is>
      </c>
      <c r="G6417" t="n">
        <v>1.72</v>
      </c>
      <c r="H6417" t="inlineStr">
        <is>
          <t>Contacted</t>
        </is>
      </c>
      <c r="I6417" t="inlineStr">
        <is>
          <t>Open</t>
        </is>
      </c>
      <c r="M6417">
        <f>VLOOKUP(H6417,'Stage Order'!$A$2:$B$8,2,FALSE)</f>
        <v/>
      </c>
      <c r="N6417">
        <f>IF(G6417&lt;=1,"1. Under 1 hour",IF(G6417&lt;=24,"2. 1-24 hours",IF(G6417&lt;=72,"3. 1-3 days","4. Over 3 days")))</f>
        <v/>
      </c>
      <c r="O6417">
        <f>TEXT(B6417,"YYYY-MM")</f>
        <v/>
      </c>
    </row>
    <row r="6418">
      <c r="A6418" t="inlineStr">
        <is>
          <t>LD-306416</t>
        </is>
      </c>
      <c r="B6418" t="inlineStr">
        <is>
          <t>2025-08-15 10:45:00</t>
        </is>
      </c>
      <c r="C6418" t="inlineStr">
        <is>
          <t>Cold Outreach</t>
        </is>
      </c>
      <c r="D6418" t="inlineStr">
        <is>
          <t>Study Abroad Prep</t>
        </is>
      </c>
      <c r="E6418" t="inlineStr">
        <is>
          <t>International</t>
        </is>
      </c>
      <c r="F6418" t="inlineStr">
        <is>
          <t>Rep_15</t>
        </is>
      </c>
      <c r="G6418" t="n">
        <v>5.28</v>
      </c>
      <c r="H6418" t="inlineStr">
        <is>
          <t>Contacted</t>
        </is>
      </c>
      <c r="I6418" t="inlineStr">
        <is>
          <t>Open</t>
        </is>
      </c>
      <c r="M6418">
        <f>VLOOKUP(H6418,'Stage Order'!$A$2:$B$8,2,FALSE)</f>
        <v/>
      </c>
      <c r="N6418">
        <f>IF(G6418&lt;=1,"1. Under 1 hour",IF(G6418&lt;=24,"2. 1-24 hours",IF(G6418&lt;=72,"3. 1-3 days","4. Over 3 days")))</f>
        <v/>
      </c>
      <c r="O6418">
        <f>TEXT(B6418,"YYYY-MM")</f>
        <v/>
      </c>
    </row>
    <row r="6419">
      <c r="A6419" t="inlineStr">
        <is>
          <t>LD-306417</t>
        </is>
      </c>
      <c r="B6419" t="inlineStr">
        <is>
          <t>2025-09-01 08:30:00</t>
        </is>
      </c>
      <c r="C6419" t="inlineStr">
        <is>
          <t>Referral</t>
        </is>
      </c>
      <c r="D6419" t="inlineStr">
        <is>
          <t>K-12 Math</t>
        </is>
      </c>
      <c r="E6419" t="inlineStr">
        <is>
          <t>East Region</t>
        </is>
      </c>
      <c r="F6419" t="inlineStr">
        <is>
          <t>Rep_14</t>
        </is>
      </c>
      <c r="G6419" t="n">
        <v>4.08</v>
      </c>
      <c r="H6419" t="inlineStr">
        <is>
          <t>Negotiation</t>
        </is>
      </c>
      <c r="I6419" t="inlineStr">
        <is>
          <t>Lost</t>
        </is>
      </c>
      <c r="J6419" t="inlineStr">
        <is>
          <t>Budget Not Approved</t>
        </is>
      </c>
      <c r="K6419" t="n">
        <v>579.6799999999999</v>
      </c>
      <c r="L6419" t="inlineStr">
        <is>
          <t>2025-09-26 08:11:37.309308</t>
        </is>
      </c>
      <c r="M6419">
        <f>VLOOKUP(H6419,'Stage Order'!$A$2:$B$8,2,FALSE)</f>
        <v/>
      </c>
      <c r="N6419">
        <f>IF(G6419&lt;=1,"1. Under 1 hour",IF(G6419&lt;=24,"2. 1-24 hours",IF(G6419&lt;=72,"3. 1-3 days","4. Over 3 days")))</f>
        <v/>
      </c>
      <c r="O6419">
        <f>TEXT(B6419,"YYYY-MM")</f>
        <v/>
      </c>
    </row>
    <row r="6420">
      <c r="A6420" t="inlineStr">
        <is>
          <t>LD-306418</t>
        </is>
      </c>
      <c r="B6420" t="inlineStr">
        <is>
          <t>2025-05-13 17:26:00</t>
        </is>
      </c>
      <c r="C6420" t="inlineStr">
        <is>
          <t>Social Media</t>
        </is>
      </c>
      <c r="D6420" t="inlineStr">
        <is>
          <t>K-12 Math</t>
        </is>
      </c>
      <c r="E6420" t="inlineStr">
        <is>
          <t>International</t>
        </is>
      </c>
      <c r="F6420" t="inlineStr">
        <is>
          <t>Rep_10</t>
        </is>
      </c>
      <c r="G6420" t="n">
        <v>3.43</v>
      </c>
      <c r="H6420" t="inlineStr">
        <is>
          <t>Lead</t>
        </is>
      </c>
      <c r="I6420" t="inlineStr">
        <is>
          <t>Open</t>
        </is>
      </c>
      <c r="M6420">
        <f>VLOOKUP(H6420,'Stage Order'!$A$2:$B$8,2,FALSE)</f>
        <v/>
      </c>
      <c r="N6420">
        <f>IF(G6420&lt;=1,"1. Under 1 hour",IF(G6420&lt;=24,"2. 1-24 hours",IF(G6420&lt;=72,"3. 1-3 days","4. Over 3 days")))</f>
        <v/>
      </c>
      <c r="O6420">
        <f>TEXT(B6420,"YYYY-MM")</f>
        <v/>
      </c>
    </row>
    <row r="6421">
      <c r="A6421" t="inlineStr">
        <is>
          <t>LD-306419</t>
        </is>
      </c>
      <c r="B6421" t="inlineStr">
        <is>
          <t>2025-10-22 18:08:00</t>
        </is>
      </c>
      <c r="C6421" t="inlineStr">
        <is>
          <t>Paid Search</t>
        </is>
      </c>
      <c r="D6421" t="inlineStr">
        <is>
          <t>Study Abroad Prep</t>
        </is>
      </c>
      <c r="E6421" t="inlineStr">
        <is>
          <t>East Region</t>
        </is>
      </c>
      <c r="F6421" t="inlineStr">
        <is>
          <t>Rep_14</t>
        </is>
      </c>
      <c r="G6421" t="n">
        <v>2.96</v>
      </c>
      <c r="H6421" t="inlineStr">
        <is>
          <t>Lead</t>
        </is>
      </c>
      <c r="I6421" t="inlineStr">
        <is>
          <t>Open</t>
        </is>
      </c>
      <c r="M6421">
        <f>VLOOKUP(H6421,'Stage Order'!$A$2:$B$8,2,FALSE)</f>
        <v/>
      </c>
      <c r="N6421">
        <f>IF(G6421&lt;=1,"1. Under 1 hour",IF(G6421&lt;=24,"2. 1-24 hours",IF(G6421&lt;=72,"3. 1-3 days","4. Over 3 days")))</f>
        <v/>
      </c>
      <c r="O6421">
        <f>TEXT(B6421,"YYYY-MM")</f>
        <v/>
      </c>
    </row>
    <row r="6422">
      <c r="A6422" t="inlineStr">
        <is>
          <t>LD-306420</t>
        </is>
      </c>
      <c r="B6422" t="inlineStr">
        <is>
          <t>2025-01-07 13:48:00</t>
        </is>
      </c>
      <c r="C6422" t="inlineStr">
        <is>
          <t>Cold Outreach</t>
        </is>
      </c>
      <c r="D6422" t="inlineStr">
        <is>
          <t>K-12 Math</t>
        </is>
      </c>
      <c r="E6422" t="inlineStr">
        <is>
          <t>South Region</t>
        </is>
      </c>
      <c r="F6422" t="inlineStr">
        <is>
          <t>Rep_02</t>
        </is>
      </c>
      <c r="G6422" t="n">
        <v>6.56</v>
      </c>
      <c r="H6422" t="inlineStr">
        <is>
          <t>Contacted</t>
        </is>
      </c>
      <c r="I6422" t="inlineStr">
        <is>
          <t>Open</t>
        </is>
      </c>
      <c r="M6422">
        <f>VLOOKUP(H6422,'Stage Order'!$A$2:$B$8,2,FALSE)</f>
        <v/>
      </c>
      <c r="N6422">
        <f>IF(G6422&lt;=1,"1. Under 1 hour",IF(G6422&lt;=24,"2. 1-24 hours",IF(G6422&lt;=72,"3. 1-3 days","4. Over 3 days")))</f>
        <v/>
      </c>
      <c r="O6422">
        <f>TEXT(B6422,"YYYY-MM")</f>
        <v/>
      </c>
    </row>
    <row r="6423">
      <c r="A6423" t="inlineStr">
        <is>
          <t>LD-306421</t>
        </is>
      </c>
      <c r="B6423" t="inlineStr">
        <is>
          <t>2026-05-15 11:44:00</t>
        </is>
      </c>
      <c r="C6423" t="inlineStr">
        <is>
          <t>Cold Outreach</t>
        </is>
      </c>
      <c r="D6423" t="inlineStr">
        <is>
          <t>Language Learning</t>
        </is>
      </c>
      <c r="E6423" t="inlineStr">
        <is>
          <t>West Region</t>
        </is>
      </c>
      <c r="F6423" t="inlineStr">
        <is>
          <t>Rep_03</t>
        </is>
      </c>
      <c r="G6423" t="n">
        <v>2.8</v>
      </c>
      <c r="H6423" t="inlineStr">
        <is>
          <t>Lead</t>
        </is>
      </c>
      <c r="I6423" t="inlineStr">
        <is>
          <t>Open</t>
        </is>
      </c>
      <c r="M6423">
        <f>VLOOKUP(H6423,'Stage Order'!$A$2:$B$8,2,FALSE)</f>
        <v/>
      </c>
      <c r="N6423">
        <f>IF(G6423&lt;=1,"1. Under 1 hour",IF(G6423&lt;=24,"2. 1-24 hours",IF(G6423&lt;=72,"3. 1-3 days","4. Over 3 days")))</f>
        <v/>
      </c>
      <c r="O6423">
        <f>TEXT(B6423,"YYYY-MM")</f>
        <v/>
      </c>
    </row>
    <row r="6424">
      <c r="A6424" t="inlineStr">
        <is>
          <t>LD-306422</t>
        </is>
      </c>
      <c r="B6424" t="inlineStr">
        <is>
          <t>2026-02-20 09:31:00</t>
        </is>
      </c>
      <c r="C6424" t="inlineStr">
        <is>
          <t>Paid Search</t>
        </is>
      </c>
      <c r="D6424" t="inlineStr">
        <is>
          <t>Competitive Exam Prep</t>
        </is>
      </c>
      <c r="E6424" t="inlineStr">
        <is>
          <t>South Region</t>
        </is>
      </c>
      <c r="F6424" t="inlineStr">
        <is>
          <t>Rep_07</t>
        </is>
      </c>
      <c r="G6424" t="n">
        <v>0.88</v>
      </c>
      <c r="H6424" t="inlineStr">
        <is>
          <t>Contacted</t>
        </is>
      </c>
      <c r="I6424" t="inlineStr">
        <is>
          <t>Open</t>
        </is>
      </c>
      <c r="M6424">
        <f>VLOOKUP(H6424,'Stage Order'!$A$2:$B$8,2,FALSE)</f>
        <v/>
      </c>
      <c r="N6424">
        <f>IF(G6424&lt;=1,"1. Under 1 hour",IF(G6424&lt;=24,"2. 1-24 hours",IF(G6424&lt;=72,"3. 1-3 days","4. Over 3 days")))</f>
        <v/>
      </c>
      <c r="O6424">
        <f>TEXT(B6424,"YYYY-MM")</f>
        <v/>
      </c>
    </row>
    <row r="6425">
      <c r="A6425" t="inlineStr">
        <is>
          <t>LD-306423</t>
        </is>
      </c>
      <c r="B6425" t="inlineStr">
        <is>
          <t>2025-07-08 10:01:00</t>
        </is>
      </c>
      <c r="C6425" t="inlineStr">
        <is>
          <t>Referral</t>
        </is>
      </c>
      <c r="D6425" t="inlineStr">
        <is>
          <t>Language Learning</t>
        </is>
      </c>
      <c r="E6425" t="inlineStr">
        <is>
          <t>East Region</t>
        </is>
      </c>
      <c r="F6425" t="inlineStr">
        <is>
          <t>Rep_14</t>
        </is>
      </c>
      <c r="G6425" t="n">
        <v>14.08</v>
      </c>
      <c r="H6425" t="inlineStr">
        <is>
          <t>Contacted</t>
        </is>
      </c>
      <c r="I6425" t="inlineStr">
        <is>
          <t>Open</t>
        </is>
      </c>
      <c r="M6425">
        <f>VLOOKUP(H6425,'Stage Order'!$A$2:$B$8,2,FALSE)</f>
        <v/>
      </c>
      <c r="N6425">
        <f>IF(G6425&lt;=1,"1. Under 1 hour",IF(G6425&lt;=24,"2. 1-24 hours",IF(G6425&lt;=72,"3. 1-3 days","4. Over 3 days")))</f>
        <v/>
      </c>
      <c r="O6425">
        <f>TEXT(B6425,"YYYY-MM")</f>
        <v/>
      </c>
    </row>
    <row r="6426">
      <c r="A6426" t="inlineStr">
        <is>
          <t>LD-306424</t>
        </is>
      </c>
      <c r="B6426" t="inlineStr">
        <is>
          <t>2026-06-02 11:01:00</t>
        </is>
      </c>
      <c r="C6426" t="inlineStr">
        <is>
          <t>Organic Search</t>
        </is>
      </c>
      <c r="D6426" t="inlineStr">
        <is>
          <t>Study Abroad Prep</t>
        </is>
      </c>
      <c r="E6426" t="inlineStr">
        <is>
          <t>West Region</t>
        </is>
      </c>
      <c r="F6426" t="inlineStr">
        <is>
          <t>Rep_08</t>
        </is>
      </c>
      <c r="G6426" t="n">
        <v>2.26</v>
      </c>
      <c r="H6426" t="inlineStr">
        <is>
          <t>Negotiation</t>
        </is>
      </c>
      <c r="I6426" t="inlineStr">
        <is>
          <t>Lost</t>
        </is>
      </c>
      <c r="J6426" t="inlineStr">
        <is>
          <t>Bad Timing</t>
        </is>
      </c>
      <c r="K6426" t="n">
        <v>1345.35</v>
      </c>
      <c r="L6426" t="inlineStr">
        <is>
          <t>2026-07-24 00:23:55.632214</t>
        </is>
      </c>
      <c r="M6426">
        <f>VLOOKUP(H6426,'Stage Order'!$A$2:$B$8,2,FALSE)</f>
        <v/>
      </c>
      <c r="N6426">
        <f>IF(G6426&lt;=1,"1. Under 1 hour",IF(G6426&lt;=24,"2. 1-24 hours",IF(G6426&lt;=72,"3. 1-3 days","4. Over 3 days")))</f>
        <v/>
      </c>
      <c r="O6426">
        <f>TEXT(B6426,"YYYY-MM")</f>
        <v/>
      </c>
    </row>
    <row r="6427">
      <c r="A6427" t="inlineStr">
        <is>
          <t>LD-306425</t>
        </is>
      </c>
      <c r="B6427" t="inlineStr">
        <is>
          <t>2026-06-26 09:39:00</t>
        </is>
      </c>
      <c r="C6427" t="inlineStr">
        <is>
          <t>Webinar</t>
        </is>
      </c>
      <c r="D6427" t="inlineStr">
        <is>
          <t>K-12 Math</t>
        </is>
      </c>
      <c r="E6427" t="inlineStr">
        <is>
          <t>East Region</t>
        </is>
      </c>
      <c r="F6427" t="inlineStr">
        <is>
          <t>Rep_09</t>
        </is>
      </c>
      <c r="G6427" t="n">
        <v>3.34</v>
      </c>
      <c r="H6427" t="inlineStr">
        <is>
          <t>Proposal Sent</t>
        </is>
      </c>
      <c r="I6427" t="inlineStr">
        <is>
          <t>Lost</t>
        </is>
      </c>
      <c r="J6427" t="inlineStr">
        <is>
          <t>Went With Competitor</t>
        </is>
      </c>
      <c r="K6427" t="n">
        <v>420.14</v>
      </c>
      <c r="L6427" t="inlineStr">
        <is>
          <t>2026-08-07 02:40:56.323134</t>
        </is>
      </c>
      <c r="M6427">
        <f>VLOOKUP(H6427,'Stage Order'!$A$2:$B$8,2,FALSE)</f>
        <v/>
      </c>
      <c r="N6427">
        <f>IF(G6427&lt;=1,"1. Under 1 hour",IF(G6427&lt;=24,"2. 1-24 hours",IF(G6427&lt;=72,"3. 1-3 days","4. Over 3 days")))</f>
        <v/>
      </c>
      <c r="O6427">
        <f>TEXT(B6427,"YYYY-MM")</f>
        <v/>
      </c>
    </row>
    <row r="6428">
      <c r="A6428" t="inlineStr">
        <is>
          <t>LD-306426</t>
        </is>
      </c>
      <c r="B6428" t="inlineStr">
        <is>
          <t>2025-11-03 18:28:00</t>
        </is>
      </c>
      <c r="C6428" t="inlineStr">
        <is>
          <t>Organic Search</t>
        </is>
      </c>
      <c r="D6428" t="inlineStr">
        <is>
          <t>Study Abroad Prep</t>
        </is>
      </c>
      <c r="E6428" t="inlineStr">
        <is>
          <t>South Region</t>
        </is>
      </c>
      <c r="F6428" t="inlineStr">
        <is>
          <t>Rep_02</t>
        </is>
      </c>
      <c r="G6428" t="n">
        <v>4.99</v>
      </c>
      <c r="H6428" t="inlineStr">
        <is>
          <t>Contacted</t>
        </is>
      </c>
      <c r="I6428" t="inlineStr">
        <is>
          <t>Open</t>
        </is>
      </c>
      <c r="M6428">
        <f>VLOOKUP(H6428,'Stage Order'!$A$2:$B$8,2,FALSE)</f>
        <v/>
      </c>
      <c r="N6428">
        <f>IF(G6428&lt;=1,"1. Under 1 hour",IF(G6428&lt;=24,"2. 1-24 hours",IF(G6428&lt;=72,"3. 1-3 days","4. Over 3 days")))</f>
        <v/>
      </c>
      <c r="O6428">
        <f>TEXT(B6428,"YYYY-MM")</f>
        <v/>
      </c>
    </row>
    <row r="6429">
      <c r="A6429" t="inlineStr">
        <is>
          <t>LD-306427</t>
        </is>
      </c>
      <c r="B6429" t="inlineStr">
        <is>
          <t>2025-06-06 12:45:00</t>
        </is>
      </c>
      <c r="C6429" t="inlineStr">
        <is>
          <t>Webinar</t>
        </is>
      </c>
      <c r="D6429" t="inlineStr">
        <is>
          <t>K-12 Math</t>
        </is>
      </c>
      <c r="E6429" t="inlineStr">
        <is>
          <t>West Region</t>
        </is>
      </c>
      <c r="F6429" t="inlineStr">
        <is>
          <t>Rep_08</t>
        </is>
      </c>
      <c r="G6429" t="n">
        <v>12.26</v>
      </c>
      <c r="H6429" t="inlineStr">
        <is>
          <t>Negotiation</t>
        </is>
      </c>
      <c r="I6429" t="inlineStr">
        <is>
          <t>Lost</t>
        </is>
      </c>
      <c r="J6429" t="inlineStr">
        <is>
          <t>Price Objection</t>
        </is>
      </c>
      <c r="K6429" t="n">
        <v>558.45</v>
      </c>
      <c r="L6429" t="inlineStr">
        <is>
          <t>2025-07-18 02:10:42.711925</t>
        </is>
      </c>
      <c r="M6429">
        <f>VLOOKUP(H6429,'Stage Order'!$A$2:$B$8,2,FALSE)</f>
        <v/>
      </c>
      <c r="N6429">
        <f>IF(G6429&lt;=1,"1. Under 1 hour",IF(G6429&lt;=24,"2. 1-24 hours",IF(G6429&lt;=72,"3. 1-3 days","4. Over 3 days")))</f>
        <v/>
      </c>
      <c r="O6429">
        <f>TEXT(B6429,"YYYY-MM")</f>
        <v/>
      </c>
    </row>
    <row r="6430">
      <c r="A6430" t="inlineStr">
        <is>
          <t>LD-306428</t>
        </is>
      </c>
      <c r="B6430" t="inlineStr">
        <is>
          <t>2025-09-05 07:18:00</t>
        </is>
      </c>
      <c r="C6430" t="inlineStr">
        <is>
          <t>Partner Channel</t>
        </is>
      </c>
      <c r="D6430" t="inlineStr">
        <is>
          <t>Study Abroad Prep</t>
        </is>
      </c>
      <c r="E6430" t="inlineStr">
        <is>
          <t>North Region</t>
        </is>
      </c>
      <c r="F6430" t="inlineStr">
        <is>
          <t>Rep_11</t>
        </is>
      </c>
      <c r="G6430" t="n">
        <v>1.07</v>
      </c>
      <c r="H6430" t="inlineStr">
        <is>
          <t>Negotiation</t>
        </is>
      </c>
      <c r="I6430" t="inlineStr">
        <is>
          <t>Lost</t>
        </is>
      </c>
      <c r="J6430" t="inlineStr">
        <is>
          <t>Budget Not Approved</t>
        </is>
      </c>
      <c r="K6430" t="n">
        <v>1581.04</v>
      </c>
      <c r="L6430" t="inlineStr">
        <is>
          <t>2025-10-09 14:23:34.922464</t>
        </is>
      </c>
      <c r="M6430">
        <f>VLOOKUP(H6430,'Stage Order'!$A$2:$B$8,2,FALSE)</f>
        <v/>
      </c>
      <c r="N6430">
        <f>IF(G6430&lt;=1,"1. Under 1 hour",IF(G6430&lt;=24,"2. 1-24 hours",IF(G6430&lt;=72,"3. 1-3 days","4. Over 3 days")))</f>
        <v/>
      </c>
      <c r="O6430">
        <f>TEXT(B6430,"YYYY-MM")</f>
        <v/>
      </c>
    </row>
    <row r="6431">
      <c r="A6431" t="inlineStr">
        <is>
          <t>LD-306429</t>
        </is>
      </c>
      <c r="B6431" t="inlineStr">
        <is>
          <t>2025-12-19 14:50:00</t>
        </is>
      </c>
      <c r="C6431" t="inlineStr">
        <is>
          <t>Referral</t>
        </is>
      </c>
      <c r="D6431" t="inlineStr">
        <is>
          <t>Coding for Kids</t>
        </is>
      </c>
      <c r="E6431" t="inlineStr">
        <is>
          <t>North Region</t>
        </is>
      </c>
      <c r="F6431" t="inlineStr">
        <is>
          <t>Rep_11</t>
        </is>
      </c>
      <c r="G6431" t="n">
        <v>2.49</v>
      </c>
      <c r="H6431" t="inlineStr">
        <is>
          <t>Closed</t>
        </is>
      </c>
      <c r="I6431" t="inlineStr">
        <is>
          <t>Won</t>
        </is>
      </c>
      <c r="K6431" t="n">
        <v>662.47</v>
      </c>
      <c r="L6431" t="inlineStr">
        <is>
          <t>2026-01-30 20:57:54.205048</t>
        </is>
      </c>
      <c r="M6431">
        <f>VLOOKUP(H6431,'Stage Order'!$A$2:$B$8,2,FALSE)</f>
        <v/>
      </c>
      <c r="N6431">
        <f>IF(G6431&lt;=1,"1. Under 1 hour",IF(G6431&lt;=24,"2. 1-24 hours",IF(G6431&lt;=72,"3. 1-3 days","4. Over 3 days")))</f>
        <v/>
      </c>
      <c r="O6431">
        <f>TEXT(B6431,"YYYY-MM")</f>
        <v/>
      </c>
    </row>
    <row r="6432">
      <c r="A6432" t="inlineStr">
        <is>
          <t>LD-306430</t>
        </is>
      </c>
      <c r="B6432" t="inlineStr">
        <is>
          <t>2025-01-24 08:31:00</t>
        </is>
      </c>
      <c r="C6432" t="inlineStr">
        <is>
          <t>Partner Channel</t>
        </is>
      </c>
      <c r="D6432" t="inlineStr">
        <is>
          <t>Study Abroad Prep</t>
        </is>
      </c>
      <c r="E6432" t="inlineStr">
        <is>
          <t>East Region</t>
        </is>
      </c>
      <c r="F6432" t="inlineStr">
        <is>
          <t>Rep_09</t>
        </is>
      </c>
      <c r="G6432" t="n">
        <v>3.33</v>
      </c>
      <c r="H6432" t="inlineStr">
        <is>
          <t>Contacted</t>
        </is>
      </c>
      <c r="I6432" t="inlineStr">
        <is>
          <t>Open</t>
        </is>
      </c>
      <c r="M6432">
        <f>VLOOKUP(H6432,'Stage Order'!$A$2:$B$8,2,FALSE)</f>
        <v/>
      </c>
      <c r="N6432">
        <f>IF(G6432&lt;=1,"1. Under 1 hour",IF(G6432&lt;=24,"2. 1-24 hours",IF(G6432&lt;=72,"3. 1-3 days","4. Over 3 days")))</f>
        <v/>
      </c>
      <c r="O6432">
        <f>TEXT(B6432,"YYYY-MM")</f>
        <v/>
      </c>
    </row>
    <row r="6433">
      <c r="A6433" t="inlineStr">
        <is>
          <t>LD-306431</t>
        </is>
      </c>
      <c r="B6433" t="inlineStr">
        <is>
          <t>2025-03-01 07:13:00</t>
        </is>
      </c>
      <c r="C6433" t="inlineStr">
        <is>
          <t>Partner Channel</t>
        </is>
      </c>
      <c r="D6433" t="inlineStr">
        <is>
          <t>K-12 Math</t>
        </is>
      </c>
      <c r="E6433" t="inlineStr">
        <is>
          <t>South Region</t>
        </is>
      </c>
      <c r="F6433" t="inlineStr">
        <is>
          <t>Rep_12</t>
        </is>
      </c>
      <c r="G6433" t="n">
        <v>2.78</v>
      </c>
      <c r="H6433" t="inlineStr">
        <is>
          <t>Negotiation</t>
        </is>
      </c>
      <c r="I6433" t="inlineStr">
        <is>
          <t>Lost</t>
        </is>
      </c>
      <c r="J6433" t="inlineStr">
        <is>
          <t>Price Objection</t>
        </is>
      </c>
      <c r="K6433" t="n">
        <v>570.62</v>
      </c>
      <c r="L6433" t="inlineStr">
        <is>
          <t>2025-04-20 14:22:26.343784</t>
        </is>
      </c>
      <c r="M6433">
        <f>VLOOKUP(H6433,'Stage Order'!$A$2:$B$8,2,FALSE)</f>
        <v/>
      </c>
      <c r="N6433">
        <f>IF(G6433&lt;=1,"1. Under 1 hour",IF(G6433&lt;=24,"2. 1-24 hours",IF(G6433&lt;=72,"3. 1-3 days","4. Over 3 days")))</f>
        <v/>
      </c>
      <c r="O6433">
        <f>TEXT(B6433,"YYYY-MM")</f>
        <v/>
      </c>
    </row>
    <row r="6434">
      <c r="A6434" t="inlineStr">
        <is>
          <t>LD-306432</t>
        </is>
      </c>
      <c r="B6434" t="inlineStr">
        <is>
          <t>2025-05-08 15:09:00</t>
        </is>
      </c>
      <c r="C6434" t="inlineStr">
        <is>
          <t>Organic Search</t>
        </is>
      </c>
      <c r="D6434" t="inlineStr">
        <is>
          <t>Coding for Kids</t>
        </is>
      </c>
      <c r="E6434" t="inlineStr">
        <is>
          <t>South Region</t>
        </is>
      </c>
      <c r="F6434" t="inlineStr">
        <is>
          <t>Rep_07</t>
        </is>
      </c>
      <c r="G6434" t="n">
        <v>2.21</v>
      </c>
      <c r="H6434" t="inlineStr">
        <is>
          <t>Lead</t>
        </is>
      </c>
      <c r="I6434" t="inlineStr">
        <is>
          <t>Open</t>
        </is>
      </c>
      <c r="M6434">
        <f>VLOOKUP(H6434,'Stage Order'!$A$2:$B$8,2,FALSE)</f>
        <v/>
      </c>
      <c r="N6434">
        <f>IF(G6434&lt;=1,"1. Under 1 hour",IF(G6434&lt;=24,"2. 1-24 hours",IF(G6434&lt;=72,"3. 1-3 days","4. Over 3 days")))</f>
        <v/>
      </c>
      <c r="O6434">
        <f>TEXT(B6434,"YYYY-MM")</f>
        <v/>
      </c>
    </row>
    <row r="6435">
      <c r="A6435" t="inlineStr">
        <is>
          <t>LD-306433</t>
        </is>
      </c>
      <c r="B6435" t="inlineStr">
        <is>
          <t>2026-05-14 20:14:00</t>
        </is>
      </c>
      <c r="C6435" t="inlineStr">
        <is>
          <t>Paid Search</t>
        </is>
      </c>
      <c r="D6435" t="inlineStr">
        <is>
          <t>Language Learning</t>
        </is>
      </c>
      <c r="E6435" t="inlineStr">
        <is>
          <t>North Region</t>
        </is>
      </c>
      <c r="F6435" t="inlineStr">
        <is>
          <t>Rep_06</t>
        </is>
      </c>
      <c r="G6435" t="n">
        <v>15.46</v>
      </c>
      <c r="H6435" t="inlineStr">
        <is>
          <t>Contacted</t>
        </is>
      </c>
      <c r="I6435" t="inlineStr">
        <is>
          <t>Open</t>
        </is>
      </c>
      <c r="M6435">
        <f>VLOOKUP(H6435,'Stage Order'!$A$2:$B$8,2,FALSE)</f>
        <v/>
      </c>
      <c r="N6435">
        <f>IF(G6435&lt;=1,"1. Under 1 hour",IF(G6435&lt;=24,"2. 1-24 hours",IF(G6435&lt;=72,"3. 1-3 days","4. Over 3 days")))</f>
        <v/>
      </c>
      <c r="O6435">
        <f>TEXT(B6435,"YYYY-MM")</f>
        <v/>
      </c>
    </row>
    <row r="6436">
      <c r="A6436" t="inlineStr">
        <is>
          <t>LD-306434</t>
        </is>
      </c>
      <c r="B6436" t="inlineStr">
        <is>
          <t>2026-05-14 15:57:00</t>
        </is>
      </c>
      <c r="C6436" t="inlineStr">
        <is>
          <t>Organic Search</t>
        </is>
      </c>
      <c r="D6436" t="inlineStr">
        <is>
          <t>K-12 Math</t>
        </is>
      </c>
      <c r="E6436" t="inlineStr">
        <is>
          <t>West Region</t>
        </is>
      </c>
      <c r="F6436" t="inlineStr">
        <is>
          <t>Rep_08</t>
        </is>
      </c>
      <c r="G6436" t="n">
        <v>1.42</v>
      </c>
      <c r="H6436" t="inlineStr">
        <is>
          <t>Lead</t>
        </is>
      </c>
      <c r="I6436" t="inlineStr">
        <is>
          <t>Open</t>
        </is>
      </c>
      <c r="M6436">
        <f>VLOOKUP(H6436,'Stage Order'!$A$2:$B$8,2,FALSE)</f>
        <v/>
      </c>
      <c r="N6436">
        <f>IF(G6436&lt;=1,"1. Under 1 hour",IF(G6436&lt;=24,"2. 1-24 hours",IF(G6436&lt;=72,"3. 1-3 days","4. Over 3 days")))</f>
        <v/>
      </c>
      <c r="O6436">
        <f>TEXT(B6436,"YYYY-MM")</f>
        <v/>
      </c>
    </row>
    <row r="6437">
      <c r="A6437" t="inlineStr">
        <is>
          <t>LD-306435</t>
        </is>
      </c>
      <c r="B6437" t="inlineStr">
        <is>
          <t>2025-08-14 19:37:00</t>
        </is>
      </c>
      <c r="C6437" t="inlineStr">
        <is>
          <t>Referral</t>
        </is>
      </c>
      <c r="D6437" t="inlineStr">
        <is>
          <t>K-12 Math</t>
        </is>
      </c>
      <c r="E6437" t="inlineStr">
        <is>
          <t>North Region</t>
        </is>
      </c>
      <c r="F6437" t="inlineStr">
        <is>
          <t>Rep_11</t>
        </is>
      </c>
      <c r="G6437" t="n">
        <v>2.53</v>
      </c>
      <c r="H6437" t="inlineStr">
        <is>
          <t>Negotiation</t>
        </is>
      </c>
      <c r="I6437" t="inlineStr">
        <is>
          <t>Lost</t>
        </is>
      </c>
      <c r="J6437" t="inlineStr">
        <is>
          <t>Bad Timing</t>
        </is>
      </c>
      <c r="K6437" t="n">
        <v>498.87</v>
      </c>
      <c r="L6437" t="inlineStr">
        <is>
          <t>2025-10-02 08:23:39.719918</t>
        </is>
      </c>
      <c r="M6437">
        <f>VLOOKUP(H6437,'Stage Order'!$A$2:$B$8,2,FALSE)</f>
        <v/>
      </c>
      <c r="N6437">
        <f>IF(G6437&lt;=1,"1. Under 1 hour",IF(G6437&lt;=24,"2. 1-24 hours",IF(G6437&lt;=72,"3. 1-3 days","4. Over 3 days")))</f>
        <v/>
      </c>
      <c r="O6437">
        <f>TEXT(B6437,"YYYY-MM")</f>
        <v/>
      </c>
    </row>
    <row r="6438">
      <c r="A6438" t="inlineStr">
        <is>
          <t>LD-306436</t>
        </is>
      </c>
      <c r="B6438" t="inlineStr">
        <is>
          <t>2026-03-13 13:07:00</t>
        </is>
      </c>
      <c r="C6438" t="inlineStr">
        <is>
          <t>Paid Search</t>
        </is>
      </c>
      <c r="D6438" t="inlineStr">
        <is>
          <t>Competitive Exam Prep</t>
        </is>
      </c>
      <c r="E6438" t="inlineStr">
        <is>
          <t>South Region</t>
        </is>
      </c>
      <c r="F6438" t="inlineStr">
        <is>
          <t>Rep_02</t>
        </is>
      </c>
      <c r="G6438" t="n">
        <v>3.49</v>
      </c>
      <c r="H6438" t="inlineStr">
        <is>
          <t>Contacted</t>
        </is>
      </c>
      <c r="I6438" t="inlineStr">
        <is>
          <t>Open</t>
        </is>
      </c>
      <c r="M6438">
        <f>VLOOKUP(H6438,'Stage Order'!$A$2:$B$8,2,FALSE)</f>
        <v/>
      </c>
      <c r="N6438">
        <f>IF(G6438&lt;=1,"1. Under 1 hour",IF(G6438&lt;=24,"2. 1-24 hours",IF(G6438&lt;=72,"3. 1-3 days","4. Over 3 days")))</f>
        <v/>
      </c>
      <c r="O6438">
        <f>TEXT(B6438,"YYYY-MM")</f>
        <v/>
      </c>
    </row>
    <row r="6439">
      <c r="A6439" t="inlineStr">
        <is>
          <t>LD-306437</t>
        </is>
      </c>
      <c r="B6439" t="inlineStr">
        <is>
          <t>2026-06-09 13:05:00</t>
        </is>
      </c>
      <c r="C6439" t="inlineStr">
        <is>
          <t>Organic Search</t>
        </is>
      </c>
      <c r="D6439" t="inlineStr">
        <is>
          <t>Competitive Exam Prep</t>
        </is>
      </c>
      <c r="E6439" t="inlineStr">
        <is>
          <t>East Region</t>
        </is>
      </c>
      <c r="F6439" t="inlineStr">
        <is>
          <t>Rep_04</t>
        </is>
      </c>
      <c r="G6439" t="n">
        <v>3</v>
      </c>
      <c r="H6439" t="inlineStr">
        <is>
          <t>Lead</t>
        </is>
      </c>
      <c r="I6439" t="inlineStr">
        <is>
          <t>Open</t>
        </is>
      </c>
      <c r="M6439">
        <f>VLOOKUP(H6439,'Stage Order'!$A$2:$B$8,2,FALSE)</f>
        <v/>
      </c>
      <c r="N6439">
        <f>IF(G6439&lt;=1,"1. Under 1 hour",IF(G6439&lt;=24,"2. 1-24 hours",IF(G6439&lt;=72,"3. 1-3 days","4. Over 3 days")))</f>
        <v/>
      </c>
      <c r="O6439">
        <f>TEXT(B6439,"YYYY-MM")</f>
        <v/>
      </c>
    </row>
    <row r="6440">
      <c r="A6440" t="inlineStr">
        <is>
          <t>LD-306438</t>
        </is>
      </c>
      <c r="B6440" t="inlineStr">
        <is>
          <t>2026-04-02 07:48:00</t>
        </is>
      </c>
      <c r="C6440" t="inlineStr">
        <is>
          <t>Cold Outreach</t>
        </is>
      </c>
      <c r="D6440" t="inlineStr">
        <is>
          <t>Coding for Kids</t>
        </is>
      </c>
      <c r="E6440" t="inlineStr">
        <is>
          <t>South Region</t>
        </is>
      </c>
      <c r="F6440" t="inlineStr">
        <is>
          <t>Rep_12</t>
        </is>
      </c>
      <c r="G6440" t="n">
        <v>2.9</v>
      </c>
      <c r="H6440" t="inlineStr">
        <is>
          <t>Lead</t>
        </is>
      </c>
      <c r="I6440" t="inlineStr">
        <is>
          <t>Open</t>
        </is>
      </c>
      <c r="M6440">
        <f>VLOOKUP(H6440,'Stage Order'!$A$2:$B$8,2,FALSE)</f>
        <v/>
      </c>
      <c r="N6440">
        <f>IF(G6440&lt;=1,"1. Under 1 hour",IF(G6440&lt;=24,"2. 1-24 hours",IF(G6440&lt;=72,"3. 1-3 days","4. Over 3 days")))</f>
        <v/>
      </c>
      <c r="O6440">
        <f>TEXT(B6440,"YYYY-MM")</f>
        <v/>
      </c>
    </row>
    <row r="6441">
      <c r="A6441" t="inlineStr">
        <is>
          <t>LD-306439</t>
        </is>
      </c>
      <c r="B6441" t="inlineStr">
        <is>
          <t>2025-11-18 13:55:00</t>
        </is>
      </c>
      <c r="C6441" t="inlineStr">
        <is>
          <t>Partner Channel</t>
        </is>
      </c>
      <c r="D6441" t="inlineStr">
        <is>
          <t>K-12 Math</t>
        </is>
      </c>
      <c r="E6441" t="inlineStr">
        <is>
          <t>East Region</t>
        </is>
      </c>
      <c r="F6441" t="inlineStr">
        <is>
          <t>Rep_04</t>
        </is>
      </c>
      <c r="G6441" t="n">
        <v>3.27</v>
      </c>
      <c r="H6441" t="inlineStr">
        <is>
          <t>Proposal Sent</t>
        </is>
      </c>
      <c r="I6441" t="inlineStr">
        <is>
          <t>Lost</t>
        </is>
      </c>
      <c r="J6441" t="inlineStr">
        <is>
          <t>Price Objection</t>
        </is>
      </c>
      <c r="K6441" t="n">
        <v>562.1900000000001</v>
      </c>
      <c r="L6441" t="inlineStr">
        <is>
          <t>2025-12-13 23:11:45.954586</t>
        </is>
      </c>
      <c r="M6441">
        <f>VLOOKUP(H6441,'Stage Order'!$A$2:$B$8,2,FALSE)</f>
        <v/>
      </c>
      <c r="N6441">
        <f>IF(G6441&lt;=1,"1. Under 1 hour",IF(G6441&lt;=24,"2. 1-24 hours",IF(G6441&lt;=72,"3. 1-3 days","4. Over 3 days")))</f>
        <v/>
      </c>
      <c r="O6441">
        <f>TEXT(B6441,"YYYY-MM")</f>
        <v/>
      </c>
    </row>
    <row r="6442">
      <c r="A6442" t="inlineStr">
        <is>
          <t>LD-306440</t>
        </is>
      </c>
      <c r="B6442" t="inlineStr">
        <is>
          <t>2025-11-08 07:20:00</t>
        </is>
      </c>
      <c r="C6442" t="inlineStr">
        <is>
          <t>Organic Search</t>
        </is>
      </c>
      <c r="D6442" t="inlineStr">
        <is>
          <t>Language Learning</t>
        </is>
      </c>
      <c r="E6442" t="inlineStr">
        <is>
          <t>South Region</t>
        </is>
      </c>
      <c r="F6442" t="inlineStr">
        <is>
          <t>Rep_07</t>
        </is>
      </c>
      <c r="G6442" t="n">
        <v>4.94</v>
      </c>
      <c r="H6442" t="inlineStr">
        <is>
          <t>Negotiation</t>
        </is>
      </c>
      <c r="I6442" t="inlineStr">
        <is>
          <t>Lost</t>
        </is>
      </c>
      <c r="J6442" t="inlineStr">
        <is>
          <t>Bad Timing</t>
        </is>
      </c>
      <c r="K6442" t="n">
        <v>292.54</v>
      </c>
      <c r="L6442" t="inlineStr">
        <is>
          <t>2025-12-15 17:16:24.613948</t>
        </is>
      </c>
      <c r="M6442">
        <f>VLOOKUP(H6442,'Stage Order'!$A$2:$B$8,2,FALSE)</f>
        <v/>
      </c>
      <c r="N6442">
        <f>IF(G6442&lt;=1,"1. Under 1 hour",IF(G6442&lt;=24,"2. 1-24 hours",IF(G6442&lt;=72,"3. 1-3 days","4. Over 3 days")))</f>
        <v/>
      </c>
      <c r="O6442">
        <f>TEXT(B6442,"YYYY-MM")</f>
        <v/>
      </c>
    </row>
    <row r="6443">
      <c r="A6443" t="inlineStr">
        <is>
          <t>LD-306441</t>
        </is>
      </c>
      <c r="B6443" t="inlineStr">
        <is>
          <t>2025-07-06 16:15:00</t>
        </is>
      </c>
      <c r="C6443" t="inlineStr">
        <is>
          <t>Referral</t>
        </is>
      </c>
      <c r="D6443" t="inlineStr">
        <is>
          <t>Competitive Exam Prep</t>
        </is>
      </c>
      <c r="E6443" t="inlineStr">
        <is>
          <t>North Region</t>
        </is>
      </c>
      <c r="F6443" t="inlineStr">
        <is>
          <t>Rep_11</t>
        </is>
      </c>
      <c r="G6443" t="n">
        <v>4.91</v>
      </c>
      <c r="H6443" t="inlineStr">
        <is>
          <t>Contacted</t>
        </is>
      </c>
      <c r="I6443" t="inlineStr">
        <is>
          <t>Open</t>
        </is>
      </c>
      <c r="M6443">
        <f>VLOOKUP(H6443,'Stage Order'!$A$2:$B$8,2,FALSE)</f>
        <v/>
      </c>
      <c r="N6443">
        <f>IF(G6443&lt;=1,"1. Under 1 hour",IF(G6443&lt;=24,"2. 1-24 hours",IF(G6443&lt;=72,"3. 1-3 days","4. Over 3 days")))</f>
        <v/>
      </c>
      <c r="O6443">
        <f>TEXT(B6443,"YYYY-MM")</f>
        <v/>
      </c>
    </row>
    <row r="6444">
      <c r="A6444" t="inlineStr">
        <is>
          <t>LD-306442</t>
        </is>
      </c>
      <c r="B6444" t="inlineStr">
        <is>
          <t>2025-12-08 13:24:00</t>
        </is>
      </c>
      <c r="C6444" t="inlineStr">
        <is>
          <t>Cold Outreach</t>
        </is>
      </c>
      <c r="D6444" t="inlineStr">
        <is>
          <t>Language Learning</t>
        </is>
      </c>
      <c r="E6444" t="inlineStr">
        <is>
          <t>International</t>
        </is>
      </c>
      <c r="F6444" t="inlineStr">
        <is>
          <t>Rep_10</t>
        </is>
      </c>
      <c r="G6444" t="n">
        <v>3.92</v>
      </c>
      <c r="H6444" t="inlineStr">
        <is>
          <t>Contacted</t>
        </is>
      </c>
      <c r="I6444" t="inlineStr">
        <is>
          <t>Open</t>
        </is>
      </c>
      <c r="M6444">
        <f>VLOOKUP(H6444,'Stage Order'!$A$2:$B$8,2,FALSE)</f>
        <v/>
      </c>
      <c r="N6444">
        <f>IF(G6444&lt;=1,"1. Under 1 hour",IF(G6444&lt;=24,"2. 1-24 hours",IF(G6444&lt;=72,"3. 1-3 days","4. Over 3 days")))</f>
        <v/>
      </c>
      <c r="O6444">
        <f>TEXT(B6444,"YYYY-MM")</f>
        <v/>
      </c>
    </row>
    <row r="6445">
      <c r="A6445" t="inlineStr">
        <is>
          <t>LD-306443</t>
        </is>
      </c>
      <c r="B6445" t="inlineStr">
        <is>
          <t>2025-05-16 10:07:00</t>
        </is>
      </c>
      <c r="C6445" t="inlineStr">
        <is>
          <t>Paid Search</t>
        </is>
      </c>
      <c r="D6445" t="inlineStr">
        <is>
          <t>Coding for Kids</t>
        </is>
      </c>
      <c r="E6445" t="inlineStr">
        <is>
          <t>West Region</t>
        </is>
      </c>
      <c r="F6445" t="inlineStr">
        <is>
          <t>Rep_03</t>
        </is>
      </c>
      <c r="G6445" t="n">
        <v>9.960000000000001</v>
      </c>
      <c r="H6445" t="inlineStr">
        <is>
          <t>Lead</t>
        </is>
      </c>
      <c r="I6445" t="inlineStr">
        <is>
          <t>Open</t>
        </is>
      </c>
      <c r="M6445">
        <f>VLOOKUP(H6445,'Stage Order'!$A$2:$B$8,2,FALSE)</f>
        <v/>
      </c>
      <c r="N6445">
        <f>IF(G6445&lt;=1,"1. Under 1 hour",IF(G6445&lt;=24,"2. 1-24 hours",IF(G6445&lt;=72,"3. 1-3 days","4. Over 3 days")))</f>
        <v/>
      </c>
      <c r="O6445">
        <f>TEXT(B6445,"YYYY-MM")</f>
        <v/>
      </c>
    </row>
    <row r="6446">
      <c r="A6446" t="inlineStr">
        <is>
          <t>LD-306444</t>
        </is>
      </c>
      <c r="B6446" t="inlineStr">
        <is>
          <t>2025-10-04 15:30:00</t>
        </is>
      </c>
      <c r="C6446" t="inlineStr">
        <is>
          <t>Partner Channel</t>
        </is>
      </c>
      <c r="D6446" t="inlineStr">
        <is>
          <t>K-12 Math</t>
        </is>
      </c>
      <c r="E6446" t="inlineStr">
        <is>
          <t>West Region</t>
        </is>
      </c>
      <c r="F6446" t="inlineStr">
        <is>
          <t>Rep_03</t>
        </is>
      </c>
      <c r="G6446" t="n">
        <v>2.67</v>
      </c>
      <c r="H6446" t="inlineStr">
        <is>
          <t>Contacted</t>
        </is>
      </c>
      <c r="I6446" t="inlineStr">
        <is>
          <t>Open</t>
        </is>
      </c>
      <c r="M6446">
        <f>VLOOKUP(H6446,'Stage Order'!$A$2:$B$8,2,FALSE)</f>
        <v/>
      </c>
      <c r="N6446">
        <f>IF(G6446&lt;=1,"1. Under 1 hour",IF(G6446&lt;=24,"2. 1-24 hours",IF(G6446&lt;=72,"3. 1-3 days","4. Over 3 days")))</f>
        <v/>
      </c>
      <c r="O6446">
        <f>TEXT(B6446,"YYYY-MM")</f>
        <v/>
      </c>
    </row>
    <row r="6447">
      <c r="A6447" t="inlineStr">
        <is>
          <t>LD-306445</t>
        </is>
      </c>
      <c r="B6447" t="inlineStr">
        <is>
          <t>2026-06-26 12:39:00</t>
        </is>
      </c>
      <c r="C6447" t="inlineStr">
        <is>
          <t>Cold Outreach</t>
        </is>
      </c>
      <c r="D6447" t="inlineStr">
        <is>
          <t>K-12 Math</t>
        </is>
      </c>
      <c r="E6447" t="inlineStr">
        <is>
          <t>North Region</t>
        </is>
      </c>
      <c r="F6447" t="inlineStr">
        <is>
          <t>Rep_06</t>
        </is>
      </c>
      <c r="G6447" t="n">
        <v>7.19</v>
      </c>
      <c r="H6447" t="inlineStr">
        <is>
          <t>Contacted</t>
        </is>
      </c>
      <c r="I6447" t="inlineStr">
        <is>
          <t>Open</t>
        </is>
      </c>
      <c r="M6447">
        <f>VLOOKUP(H6447,'Stage Order'!$A$2:$B$8,2,FALSE)</f>
        <v/>
      </c>
      <c r="N6447">
        <f>IF(G6447&lt;=1,"1. Under 1 hour",IF(G6447&lt;=24,"2. 1-24 hours",IF(G6447&lt;=72,"3. 1-3 days","4. Over 3 days")))</f>
        <v/>
      </c>
      <c r="O6447">
        <f>TEXT(B6447,"YYYY-MM")</f>
        <v/>
      </c>
    </row>
    <row r="6448">
      <c r="A6448" t="inlineStr">
        <is>
          <t>LD-306446</t>
        </is>
      </c>
      <c r="B6448" t="inlineStr">
        <is>
          <t>2025-01-16 12:33:00</t>
        </is>
      </c>
      <c r="C6448" t="inlineStr">
        <is>
          <t>Partner Channel</t>
        </is>
      </c>
      <c r="D6448" t="inlineStr">
        <is>
          <t>K-12 Math</t>
        </is>
      </c>
      <c r="E6448" t="inlineStr">
        <is>
          <t>North Region</t>
        </is>
      </c>
      <c r="F6448" t="inlineStr">
        <is>
          <t>Rep_01</t>
        </is>
      </c>
      <c r="G6448" t="n">
        <v>0.84</v>
      </c>
      <c r="H6448" t="inlineStr">
        <is>
          <t>Contacted</t>
        </is>
      </c>
      <c r="I6448" t="inlineStr">
        <is>
          <t>Open</t>
        </is>
      </c>
      <c r="M6448">
        <f>VLOOKUP(H6448,'Stage Order'!$A$2:$B$8,2,FALSE)</f>
        <v/>
      </c>
      <c r="N6448">
        <f>IF(G6448&lt;=1,"1. Under 1 hour",IF(G6448&lt;=24,"2. 1-24 hours",IF(G6448&lt;=72,"3. 1-3 days","4. Over 3 days")))</f>
        <v/>
      </c>
      <c r="O6448">
        <f>TEXT(B6448,"YYYY-MM")</f>
        <v/>
      </c>
    </row>
    <row r="6449">
      <c r="A6449" t="inlineStr">
        <is>
          <t>LD-306447</t>
        </is>
      </c>
      <c r="B6449" t="inlineStr">
        <is>
          <t>2026-02-03 13:39:00</t>
        </is>
      </c>
      <c r="C6449" t="inlineStr">
        <is>
          <t>Organic Search</t>
        </is>
      </c>
      <c r="D6449" t="inlineStr">
        <is>
          <t>Competitive Exam Prep</t>
        </is>
      </c>
      <c r="E6449" t="inlineStr">
        <is>
          <t>South Region</t>
        </is>
      </c>
      <c r="F6449" t="inlineStr">
        <is>
          <t>Rep_07</t>
        </is>
      </c>
      <c r="G6449" t="n">
        <v>2.37</v>
      </c>
      <c r="H6449" t="inlineStr">
        <is>
          <t>Demo Completed</t>
        </is>
      </c>
      <c r="I6449" t="inlineStr">
        <is>
          <t>Lost</t>
        </is>
      </c>
      <c r="J6449" t="inlineStr">
        <is>
          <t>Budget Not Approved</t>
        </is>
      </c>
      <c r="K6449" t="n">
        <v>946.53</v>
      </c>
      <c r="L6449" t="inlineStr">
        <is>
          <t>2026-03-23 06:07:53.570041</t>
        </is>
      </c>
      <c r="M6449">
        <f>VLOOKUP(H6449,'Stage Order'!$A$2:$B$8,2,FALSE)</f>
        <v/>
      </c>
      <c r="N6449">
        <f>IF(G6449&lt;=1,"1. Under 1 hour",IF(G6449&lt;=24,"2. 1-24 hours",IF(G6449&lt;=72,"3. 1-3 days","4. Over 3 days")))</f>
        <v/>
      </c>
      <c r="O6449">
        <f>TEXT(B6449,"YYYY-MM")</f>
        <v/>
      </c>
    </row>
    <row r="6450">
      <c r="A6450" t="inlineStr">
        <is>
          <t>LD-306448</t>
        </is>
      </c>
      <c r="B6450" t="inlineStr">
        <is>
          <t>2025-02-10 10:12:00</t>
        </is>
      </c>
      <c r="C6450" t="inlineStr">
        <is>
          <t>Social Media</t>
        </is>
      </c>
      <c r="D6450" t="inlineStr">
        <is>
          <t>Study Abroad Prep</t>
        </is>
      </c>
      <c r="E6450" t="inlineStr">
        <is>
          <t>West Region</t>
        </is>
      </c>
      <c r="F6450" t="inlineStr">
        <is>
          <t>Rep_03</t>
        </is>
      </c>
      <c r="G6450" t="n">
        <v>5.72</v>
      </c>
      <c r="H6450" t="inlineStr">
        <is>
          <t>Contacted</t>
        </is>
      </c>
      <c r="I6450" t="inlineStr">
        <is>
          <t>Open</t>
        </is>
      </c>
      <c r="M6450">
        <f>VLOOKUP(H6450,'Stage Order'!$A$2:$B$8,2,FALSE)</f>
        <v/>
      </c>
      <c r="N6450">
        <f>IF(G6450&lt;=1,"1. Under 1 hour",IF(G6450&lt;=24,"2. 1-24 hours",IF(G6450&lt;=72,"3. 1-3 days","4. Over 3 days")))</f>
        <v/>
      </c>
      <c r="O6450">
        <f>TEXT(B6450,"YYYY-MM")</f>
        <v/>
      </c>
    </row>
    <row r="6451">
      <c r="A6451" t="inlineStr">
        <is>
          <t>LD-306449</t>
        </is>
      </c>
      <c r="B6451" t="inlineStr">
        <is>
          <t>2025-07-31 12:41:00</t>
        </is>
      </c>
      <c r="C6451" t="inlineStr">
        <is>
          <t>Social Media</t>
        </is>
      </c>
      <c r="D6451" t="inlineStr">
        <is>
          <t>Competitive Exam Prep</t>
        </is>
      </c>
      <c r="E6451" t="inlineStr">
        <is>
          <t>West Region</t>
        </is>
      </c>
      <c r="F6451" t="inlineStr">
        <is>
          <t>Rep_13</t>
        </is>
      </c>
      <c r="G6451" t="n">
        <v>4.83</v>
      </c>
      <c r="H6451" t="inlineStr">
        <is>
          <t>Lead</t>
        </is>
      </c>
      <c r="I6451" t="inlineStr">
        <is>
          <t>Open</t>
        </is>
      </c>
      <c r="M6451">
        <f>VLOOKUP(H6451,'Stage Order'!$A$2:$B$8,2,FALSE)</f>
        <v/>
      </c>
      <c r="N6451">
        <f>IF(G6451&lt;=1,"1. Under 1 hour",IF(G6451&lt;=24,"2. 1-24 hours",IF(G6451&lt;=72,"3. 1-3 days","4. Over 3 days")))</f>
        <v/>
      </c>
      <c r="O6451">
        <f>TEXT(B6451,"YYYY-MM")</f>
        <v/>
      </c>
    </row>
    <row r="6452">
      <c r="A6452" t="inlineStr">
        <is>
          <t>LD-306450</t>
        </is>
      </c>
      <c r="B6452" t="inlineStr">
        <is>
          <t>2025-05-02 16:19:00</t>
        </is>
      </c>
      <c r="C6452" t="inlineStr">
        <is>
          <t>Organic Search</t>
        </is>
      </c>
      <c r="D6452" t="inlineStr">
        <is>
          <t>K-12 Math</t>
        </is>
      </c>
      <c r="E6452" t="inlineStr">
        <is>
          <t>North Region</t>
        </is>
      </c>
      <c r="F6452" t="inlineStr">
        <is>
          <t>Rep_06</t>
        </is>
      </c>
      <c r="G6452" t="n">
        <v>5.06</v>
      </c>
      <c r="H6452" t="inlineStr">
        <is>
          <t>Contacted</t>
        </is>
      </c>
      <c r="I6452" t="inlineStr">
        <is>
          <t>Open</t>
        </is>
      </c>
      <c r="M6452">
        <f>VLOOKUP(H6452,'Stage Order'!$A$2:$B$8,2,FALSE)</f>
        <v/>
      </c>
      <c r="N6452">
        <f>IF(G6452&lt;=1,"1. Under 1 hour",IF(G6452&lt;=24,"2. 1-24 hours",IF(G6452&lt;=72,"3. 1-3 days","4. Over 3 days")))</f>
        <v/>
      </c>
      <c r="O6452">
        <f>TEXT(B6452,"YYYY-MM")</f>
        <v/>
      </c>
    </row>
    <row r="6453">
      <c r="A6453" t="inlineStr">
        <is>
          <t>LD-306451</t>
        </is>
      </c>
      <c r="B6453" t="inlineStr">
        <is>
          <t>2025-05-18 18:27:00</t>
        </is>
      </c>
      <c r="C6453" t="inlineStr">
        <is>
          <t>Webinar</t>
        </is>
      </c>
      <c r="D6453" t="inlineStr">
        <is>
          <t>Study Abroad Prep</t>
        </is>
      </c>
      <c r="E6453" t="inlineStr">
        <is>
          <t>West Region</t>
        </is>
      </c>
      <c r="F6453" t="inlineStr">
        <is>
          <t>Rep_08</t>
        </is>
      </c>
      <c r="G6453" t="n">
        <v>2.34</v>
      </c>
      <c r="H6453" t="inlineStr">
        <is>
          <t>Closed</t>
        </is>
      </c>
      <c r="I6453" t="inlineStr">
        <is>
          <t>Won</t>
        </is>
      </c>
      <c r="K6453" t="n">
        <v>1456.54</v>
      </c>
      <c r="L6453" t="inlineStr">
        <is>
          <t>2025-06-23 00:30:41.665831</t>
        </is>
      </c>
      <c r="M6453">
        <f>VLOOKUP(H6453,'Stage Order'!$A$2:$B$8,2,FALSE)</f>
        <v/>
      </c>
      <c r="N6453">
        <f>IF(G6453&lt;=1,"1. Under 1 hour",IF(G6453&lt;=24,"2. 1-24 hours",IF(G6453&lt;=72,"3. 1-3 days","4. Over 3 days")))</f>
        <v/>
      </c>
      <c r="O6453">
        <f>TEXT(B6453,"YYYY-MM")</f>
        <v/>
      </c>
    </row>
    <row r="6454">
      <c r="A6454" t="inlineStr">
        <is>
          <t>LD-306452</t>
        </is>
      </c>
      <c r="B6454" t="inlineStr">
        <is>
          <t>2026-02-02 16:52:00</t>
        </is>
      </c>
      <c r="C6454" t="inlineStr">
        <is>
          <t>Social Media</t>
        </is>
      </c>
      <c r="D6454" t="inlineStr">
        <is>
          <t>Language Learning</t>
        </is>
      </c>
      <c r="E6454" t="inlineStr">
        <is>
          <t>International</t>
        </is>
      </c>
      <c r="F6454" t="inlineStr">
        <is>
          <t>Rep_10</t>
        </is>
      </c>
      <c r="G6454" t="n">
        <v>3.39</v>
      </c>
      <c r="H6454" t="inlineStr">
        <is>
          <t>Lead</t>
        </is>
      </c>
      <c r="I6454" t="inlineStr">
        <is>
          <t>Open</t>
        </is>
      </c>
      <c r="M6454">
        <f>VLOOKUP(H6454,'Stage Order'!$A$2:$B$8,2,FALSE)</f>
        <v/>
      </c>
      <c r="N6454">
        <f>IF(G6454&lt;=1,"1. Under 1 hour",IF(G6454&lt;=24,"2. 1-24 hours",IF(G6454&lt;=72,"3. 1-3 days","4. Over 3 days")))</f>
        <v/>
      </c>
      <c r="O6454">
        <f>TEXT(B6454,"YYYY-MM")</f>
        <v/>
      </c>
    </row>
    <row r="6455">
      <c r="A6455" t="inlineStr">
        <is>
          <t>LD-306453</t>
        </is>
      </c>
      <c r="B6455" t="inlineStr">
        <is>
          <t>2025-01-03 20:31:00</t>
        </is>
      </c>
      <c r="C6455" t="inlineStr">
        <is>
          <t>Webinar</t>
        </is>
      </c>
      <c r="D6455" t="inlineStr">
        <is>
          <t>Competitive Exam Prep</t>
        </is>
      </c>
      <c r="E6455" t="inlineStr">
        <is>
          <t>South Region</t>
        </is>
      </c>
      <c r="F6455" t="inlineStr">
        <is>
          <t>Rep_02</t>
        </is>
      </c>
      <c r="G6455" t="n">
        <v>8.640000000000001</v>
      </c>
      <c r="H6455" t="inlineStr">
        <is>
          <t>Proposal Sent</t>
        </is>
      </c>
      <c r="I6455" t="inlineStr">
        <is>
          <t>Lost</t>
        </is>
      </c>
      <c r="J6455" t="inlineStr">
        <is>
          <t>Went With Competitor</t>
        </is>
      </c>
      <c r="K6455" t="n">
        <v>886.77</v>
      </c>
      <c r="L6455" t="inlineStr">
        <is>
          <t>2025-01-25 20:17:45.947169</t>
        </is>
      </c>
      <c r="M6455">
        <f>VLOOKUP(H6455,'Stage Order'!$A$2:$B$8,2,FALSE)</f>
        <v/>
      </c>
      <c r="N6455">
        <f>IF(G6455&lt;=1,"1. Under 1 hour",IF(G6455&lt;=24,"2. 1-24 hours",IF(G6455&lt;=72,"3. 1-3 days","4. Over 3 days")))</f>
        <v/>
      </c>
      <c r="O6455">
        <f>TEXT(B6455,"YYYY-MM")</f>
        <v/>
      </c>
    </row>
    <row r="6456">
      <c r="A6456" t="inlineStr">
        <is>
          <t>LD-306454</t>
        </is>
      </c>
      <c r="B6456" t="inlineStr">
        <is>
          <t>2026-01-16 12:38:00</t>
        </is>
      </c>
      <c r="C6456" t="inlineStr">
        <is>
          <t>Organic Search</t>
        </is>
      </c>
      <c r="D6456" t="inlineStr">
        <is>
          <t>K-12 Math</t>
        </is>
      </c>
      <c r="E6456" t="inlineStr">
        <is>
          <t>East Region</t>
        </is>
      </c>
      <c r="F6456" t="inlineStr">
        <is>
          <t>Rep_14</t>
        </is>
      </c>
      <c r="G6456" t="n">
        <v>5.1</v>
      </c>
      <c r="H6456" t="inlineStr">
        <is>
          <t>Lead</t>
        </is>
      </c>
      <c r="I6456" t="inlineStr">
        <is>
          <t>Open</t>
        </is>
      </c>
      <c r="M6456">
        <f>VLOOKUP(H6456,'Stage Order'!$A$2:$B$8,2,FALSE)</f>
        <v/>
      </c>
      <c r="N6456">
        <f>IF(G6456&lt;=1,"1. Under 1 hour",IF(G6456&lt;=24,"2. 1-24 hours",IF(G6456&lt;=72,"3. 1-3 days","4. Over 3 days")))</f>
        <v/>
      </c>
      <c r="O6456">
        <f>TEXT(B6456,"YYYY-MM")</f>
        <v/>
      </c>
    </row>
    <row r="6457">
      <c r="A6457" t="inlineStr">
        <is>
          <t>LD-306455</t>
        </is>
      </c>
      <c r="B6457" t="inlineStr">
        <is>
          <t>2026-01-22 13:36:00</t>
        </is>
      </c>
      <c r="C6457" t="inlineStr">
        <is>
          <t>Organic Search</t>
        </is>
      </c>
      <c r="D6457" t="inlineStr">
        <is>
          <t>Study Abroad Prep</t>
        </is>
      </c>
      <c r="E6457" t="inlineStr">
        <is>
          <t>West Region</t>
        </is>
      </c>
      <c r="F6457" t="inlineStr">
        <is>
          <t>Rep_13</t>
        </is>
      </c>
      <c r="G6457" t="n">
        <v>2.2</v>
      </c>
      <c r="H6457" t="inlineStr">
        <is>
          <t>Contacted</t>
        </is>
      </c>
      <c r="I6457" t="inlineStr">
        <is>
          <t>Open</t>
        </is>
      </c>
      <c r="M6457">
        <f>VLOOKUP(H6457,'Stage Order'!$A$2:$B$8,2,FALSE)</f>
        <v/>
      </c>
      <c r="N6457">
        <f>IF(G6457&lt;=1,"1. Under 1 hour",IF(G6457&lt;=24,"2. 1-24 hours",IF(G6457&lt;=72,"3. 1-3 days","4. Over 3 days")))</f>
        <v/>
      </c>
      <c r="O6457">
        <f>TEXT(B6457,"YYYY-MM")</f>
        <v/>
      </c>
    </row>
    <row r="6458">
      <c r="A6458" t="inlineStr">
        <is>
          <t>LD-306456</t>
        </is>
      </c>
      <c r="B6458" t="inlineStr">
        <is>
          <t>2025-08-15 20:58:00</t>
        </is>
      </c>
      <c r="C6458" t="inlineStr">
        <is>
          <t>Cold Outreach</t>
        </is>
      </c>
      <c r="D6458" t="inlineStr">
        <is>
          <t>Competitive Exam Prep</t>
        </is>
      </c>
      <c r="E6458" t="inlineStr">
        <is>
          <t>South Region</t>
        </is>
      </c>
      <c r="F6458" t="inlineStr">
        <is>
          <t>Rep_02</t>
        </is>
      </c>
      <c r="G6458" t="n">
        <v>0.97</v>
      </c>
      <c r="H6458" t="inlineStr">
        <is>
          <t>Contacted</t>
        </is>
      </c>
      <c r="I6458" t="inlineStr">
        <is>
          <t>Open</t>
        </is>
      </c>
      <c r="M6458">
        <f>VLOOKUP(H6458,'Stage Order'!$A$2:$B$8,2,FALSE)</f>
        <v/>
      </c>
      <c r="N6458">
        <f>IF(G6458&lt;=1,"1. Under 1 hour",IF(G6458&lt;=24,"2. 1-24 hours",IF(G6458&lt;=72,"3. 1-3 days","4. Over 3 days")))</f>
        <v/>
      </c>
      <c r="O6458">
        <f>TEXT(B6458,"YYYY-MM")</f>
        <v/>
      </c>
    </row>
    <row r="6459">
      <c r="A6459" t="inlineStr">
        <is>
          <t>LD-306457</t>
        </is>
      </c>
      <c r="B6459" t="inlineStr">
        <is>
          <t>2026-01-16 12:28:00</t>
        </is>
      </c>
      <c r="C6459" t="inlineStr">
        <is>
          <t>Paid Search</t>
        </is>
      </c>
      <c r="D6459" t="inlineStr">
        <is>
          <t>K-12 Math</t>
        </is>
      </c>
      <c r="E6459" t="inlineStr">
        <is>
          <t>East Region</t>
        </is>
      </c>
      <c r="F6459" t="inlineStr">
        <is>
          <t>Rep_09</t>
        </is>
      </c>
      <c r="G6459" t="n">
        <v>1.72</v>
      </c>
      <c r="H6459" t="inlineStr">
        <is>
          <t>Lead</t>
        </is>
      </c>
      <c r="I6459" t="inlineStr">
        <is>
          <t>Open</t>
        </is>
      </c>
      <c r="M6459">
        <f>VLOOKUP(H6459,'Stage Order'!$A$2:$B$8,2,FALSE)</f>
        <v/>
      </c>
      <c r="N6459">
        <f>IF(G6459&lt;=1,"1. Under 1 hour",IF(G6459&lt;=24,"2. 1-24 hours",IF(G6459&lt;=72,"3. 1-3 days","4. Over 3 days")))</f>
        <v/>
      </c>
      <c r="O6459">
        <f>TEXT(B6459,"YYYY-MM")</f>
        <v/>
      </c>
    </row>
    <row r="6460">
      <c r="A6460" t="inlineStr">
        <is>
          <t>LD-306458</t>
        </is>
      </c>
      <c r="B6460" t="inlineStr">
        <is>
          <t>2025-01-11 17:42:00</t>
        </is>
      </c>
      <c r="C6460" t="inlineStr">
        <is>
          <t>Webinar</t>
        </is>
      </c>
      <c r="D6460" t="inlineStr">
        <is>
          <t>K-12 Math</t>
        </is>
      </c>
      <c r="E6460" t="inlineStr">
        <is>
          <t>North Region</t>
        </is>
      </c>
      <c r="F6460" t="inlineStr">
        <is>
          <t>Rep_06</t>
        </is>
      </c>
      <c r="G6460" t="n">
        <v>3.57</v>
      </c>
      <c r="H6460" t="inlineStr">
        <is>
          <t>Contacted</t>
        </is>
      </c>
      <c r="I6460" t="inlineStr">
        <is>
          <t>Open</t>
        </is>
      </c>
      <c r="M6460">
        <f>VLOOKUP(H6460,'Stage Order'!$A$2:$B$8,2,FALSE)</f>
        <v/>
      </c>
      <c r="N6460">
        <f>IF(G6460&lt;=1,"1. Under 1 hour",IF(G6460&lt;=24,"2. 1-24 hours",IF(G6460&lt;=72,"3. 1-3 days","4. Over 3 days")))</f>
        <v/>
      </c>
      <c r="O6460">
        <f>TEXT(B6460,"YYYY-MM")</f>
        <v/>
      </c>
    </row>
    <row r="6461">
      <c r="A6461" t="inlineStr">
        <is>
          <t>LD-306459</t>
        </is>
      </c>
      <c r="B6461" t="inlineStr">
        <is>
          <t>2025-09-05 11:52:00</t>
        </is>
      </c>
      <c r="C6461" t="inlineStr">
        <is>
          <t>Social Media</t>
        </is>
      </c>
      <c r="D6461" t="inlineStr">
        <is>
          <t>K-12 Math</t>
        </is>
      </c>
      <c r="E6461" t="inlineStr">
        <is>
          <t>East Region</t>
        </is>
      </c>
      <c r="F6461" t="inlineStr">
        <is>
          <t>Rep_14</t>
        </is>
      </c>
      <c r="G6461" t="n">
        <v>2.48</v>
      </c>
      <c r="H6461" t="inlineStr">
        <is>
          <t>Demo Completed</t>
        </is>
      </c>
      <c r="I6461" t="inlineStr">
        <is>
          <t>Lost</t>
        </is>
      </c>
      <c r="J6461" t="inlineStr">
        <is>
          <t>Price Objection</t>
        </is>
      </c>
      <c r="K6461" t="n">
        <v>471.3</v>
      </c>
      <c r="L6461" t="inlineStr">
        <is>
          <t>2025-10-09 17:22:02.254812</t>
        </is>
      </c>
      <c r="M6461">
        <f>VLOOKUP(H6461,'Stage Order'!$A$2:$B$8,2,FALSE)</f>
        <v/>
      </c>
      <c r="N6461">
        <f>IF(G6461&lt;=1,"1. Under 1 hour",IF(G6461&lt;=24,"2. 1-24 hours",IF(G6461&lt;=72,"3. 1-3 days","4. Over 3 days")))</f>
        <v/>
      </c>
      <c r="O6461">
        <f>TEXT(B6461,"YYYY-MM")</f>
        <v/>
      </c>
    </row>
    <row r="6462">
      <c r="A6462" t="inlineStr">
        <is>
          <t>LD-306460</t>
        </is>
      </c>
      <c r="B6462" t="inlineStr">
        <is>
          <t>2025-04-07 07:32:00</t>
        </is>
      </c>
      <c r="C6462" t="inlineStr">
        <is>
          <t>Paid Search</t>
        </is>
      </c>
      <c r="D6462" t="inlineStr">
        <is>
          <t>K-12 Math</t>
        </is>
      </c>
      <c r="E6462" t="inlineStr">
        <is>
          <t>South Region</t>
        </is>
      </c>
      <c r="F6462" t="inlineStr">
        <is>
          <t>Rep_12</t>
        </is>
      </c>
      <c r="G6462" t="n">
        <v>10.4</v>
      </c>
      <c r="H6462" t="inlineStr">
        <is>
          <t>Contacted</t>
        </is>
      </c>
      <c r="I6462" t="inlineStr">
        <is>
          <t>Open</t>
        </is>
      </c>
      <c r="M6462">
        <f>VLOOKUP(H6462,'Stage Order'!$A$2:$B$8,2,FALSE)</f>
        <v/>
      </c>
      <c r="N6462">
        <f>IF(G6462&lt;=1,"1. Under 1 hour",IF(G6462&lt;=24,"2. 1-24 hours",IF(G6462&lt;=72,"3. 1-3 days","4. Over 3 days")))</f>
        <v/>
      </c>
      <c r="O6462">
        <f>TEXT(B6462,"YYYY-MM")</f>
        <v/>
      </c>
    </row>
    <row r="6463">
      <c r="A6463" t="inlineStr">
        <is>
          <t>LD-306461</t>
        </is>
      </c>
      <c r="B6463" t="inlineStr">
        <is>
          <t>2025-04-29 10:24:00</t>
        </is>
      </c>
      <c r="C6463" t="inlineStr">
        <is>
          <t>Paid Search</t>
        </is>
      </c>
      <c r="D6463" t="inlineStr">
        <is>
          <t>K-12 Math</t>
        </is>
      </c>
      <c r="E6463" t="inlineStr">
        <is>
          <t>North Region</t>
        </is>
      </c>
      <c r="F6463" t="inlineStr">
        <is>
          <t>Rep_06</t>
        </is>
      </c>
      <c r="G6463" t="n">
        <v>7.28</v>
      </c>
      <c r="H6463" t="inlineStr">
        <is>
          <t>Contacted</t>
        </is>
      </c>
      <c r="I6463" t="inlineStr">
        <is>
          <t>Open</t>
        </is>
      </c>
      <c r="M6463">
        <f>VLOOKUP(H6463,'Stage Order'!$A$2:$B$8,2,FALSE)</f>
        <v/>
      </c>
      <c r="N6463">
        <f>IF(G6463&lt;=1,"1. Under 1 hour",IF(G6463&lt;=24,"2. 1-24 hours",IF(G6463&lt;=72,"3. 1-3 days","4. Over 3 days")))</f>
        <v/>
      </c>
      <c r="O6463">
        <f>TEXT(B6463,"YYYY-MM")</f>
        <v/>
      </c>
    </row>
    <row r="6464">
      <c r="A6464" t="inlineStr">
        <is>
          <t>LD-306462</t>
        </is>
      </c>
      <c r="B6464" t="inlineStr">
        <is>
          <t>2026-03-04 09:51:00</t>
        </is>
      </c>
      <c r="C6464" t="inlineStr">
        <is>
          <t>Referral</t>
        </is>
      </c>
      <c r="D6464" t="inlineStr">
        <is>
          <t>Coding for Kids</t>
        </is>
      </c>
      <c r="E6464" t="inlineStr">
        <is>
          <t>South Region</t>
        </is>
      </c>
      <c r="F6464" t="inlineStr">
        <is>
          <t>Rep_02</t>
        </is>
      </c>
      <c r="G6464" t="n">
        <v>3.37</v>
      </c>
      <c r="H6464" t="inlineStr">
        <is>
          <t>Negotiation</t>
        </is>
      </c>
      <c r="I6464" t="inlineStr">
        <is>
          <t>Lost</t>
        </is>
      </c>
      <c r="J6464" t="inlineStr">
        <is>
          <t>Went With Competitor</t>
        </is>
      </c>
      <c r="K6464" t="n">
        <v>749.04</v>
      </c>
      <c r="L6464" t="inlineStr">
        <is>
          <t>2026-03-30 08:08:09.513819</t>
        </is>
      </c>
      <c r="M6464">
        <f>VLOOKUP(H6464,'Stage Order'!$A$2:$B$8,2,FALSE)</f>
        <v/>
      </c>
      <c r="N6464">
        <f>IF(G6464&lt;=1,"1. Under 1 hour",IF(G6464&lt;=24,"2. 1-24 hours",IF(G6464&lt;=72,"3. 1-3 days","4. Over 3 days")))</f>
        <v/>
      </c>
      <c r="O6464">
        <f>TEXT(B6464,"YYYY-MM")</f>
        <v/>
      </c>
    </row>
    <row r="6465">
      <c r="A6465" t="inlineStr">
        <is>
          <t>LD-306463</t>
        </is>
      </c>
      <c r="B6465" t="inlineStr">
        <is>
          <t>2026-06-28 09:39:00</t>
        </is>
      </c>
      <c r="C6465" t="inlineStr">
        <is>
          <t>Webinar</t>
        </is>
      </c>
      <c r="D6465" t="inlineStr">
        <is>
          <t>Competitive Exam Prep</t>
        </is>
      </c>
      <c r="E6465" t="inlineStr">
        <is>
          <t>West Region</t>
        </is>
      </c>
      <c r="F6465" t="inlineStr">
        <is>
          <t>Rep_13</t>
        </is>
      </c>
      <c r="G6465" t="n">
        <v>3.13</v>
      </c>
      <c r="H6465" t="inlineStr">
        <is>
          <t>Contacted</t>
        </is>
      </c>
      <c r="I6465" t="inlineStr">
        <is>
          <t>Open</t>
        </is>
      </c>
      <c r="M6465">
        <f>VLOOKUP(H6465,'Stage Order'!$A$2:$B$8,2,FALSE)</f>
        <v/>
      </c>
      <c r="N6465">
        <f>IF(G6465&lt;=1,"1. Under 1 hour",IF(G6465&lt;=24,"2. 1-24 hours",IF(G6465&lt;=72,"3. 1-3 days","4. Over 3 days")))</f>
        <v/>
      </c>
      <c r="O6465">
        <f>TEXT(B6465,"YYYY-MM")</f>
        <v/>
      </c>
    </row>
    <row r="6466">
      <c r="A6466" t="inlineStr">
        <is>
          <t>LD-306464</t>
        </is>
      </c>
      <c r="B6466" t="inlineStr">
        <is>
          <t>2026-04-01 13:05:00</t>
        </is>
      </c>
      <c r="C6466" t="inlineStr">
        <is>
          <t>Social Media</t>
        </is>
      </c>
      <c r="D6466" t="inlineStr">
        <is>
          <t>K-12 Math</t>
        </is>
      </c>
      <c r="E6466" t="inlineStr">
        <is>
          <t>International</t>
        </is>
      </c>
      <c r="F6466" t="inlineStr">
        <is>
          <t>Rep_05</t>
        </is>
      </c>
      <c r="G6466" t="n">
        <v>3.05</v>
      </c>
      <c r="H6466" t="inlineStr">
        <is>
          <t>Contacted</t>
        </is>
      </c>
      <c r="I6466" t="inlineStr">
        <is>
          <t>Open</t>
        </is>
      </c>
      <c r="M6466">
        <f>VLOOKUP(H6466,'Stage Order'!$A$2:$B$8,2,FALSE)</f>
        <v/>
      </c>
      <c r="N6466">
        <f>IF(G6466&lt;=1,"1. Under 1 hour",IF(G6466&lt;=24,"2. 1-24 hours",IF(G6466&lt;=72,"3. 1-3 days","4. Over 3 days")))</f>
        <v/>
      </c>
      <c r="O6466">
        <f>TEXT(B6466,"YYYY-MM")</f>
        <v/>
      </c>
    </row>
    <row r="6467">
      <c r="A6467" t="inlineStr">
        <is>
          <t>LD-306465</t>
        </is>
      </c>
      <c r="B6467" t="inlineStr">
        <is>
          <t>2026-06-04 14:24:00</t>
        </is>
      </c>
      <c r="C6467" t="inlineStr">
        <is>
          <t>Webinar</t>
        </is>
      </c>
      <c r="D6467" t="inlineStr">
        <is>
          <t>Competitive Exam Prep</t>
        </is>
      </c>
      <c r="E6467" t="inlineStr">
        <is>
          <t>North Region</t>
        </is>
      </c>
      <c r="F6467" t="inlineStr">
        <is>
          <t>Rep_01</t>
        </is>
      </c>
      <c r="G6467" t="n">
        <v>1.67</v>
      </c>
      <c r="H6467" t="inlineStr">
        <is>
          <t>Closed</t>
        </is>
      </c>
      <c r="I6467" t="inlineStr">
        <is>
          <t>Won</t>
        </is>
      </c>
      <c r="K6467" t="n">
        <v>1138.07</v>
      </c>
      <c r="L6467" t="inlineStr">
        <is>
          <t>2026-07-23 03:40:34.504235</t>
        </is>
      </c>
      <c r="M6467">
        <f>VLOOKUP(H6467,'Stage Order'!$A$2:$B$8,2,FALSE)</f>
        <v/>
      </c>
      <c r="N6467">
        <f>IF(G6467&lt;=1,"1. Under 1 hour",IF(G6467&lt;=24,"2. 1-24 hours",IF(G6467&lt;=72,"3. 1-3 days","4. Over 3 days")))</f>
        <v/>
      </c>
      <c r="O6467">
        <f>TEXT(B6467,"YYYY-MM")</f>
        <v/>
      </c>
    </row>
    <row r="6468">
      <c r="A6468" t="inlineStr">
        <is>
          <t>LD-306466</t>
        </is>
      </c>
      <c r="B6468" t="inlineStr">
        <is>
          <t>2025-06-29 20:47:00</t>
        </is>
      </c>
      <c r="C6468" t="inlineStr">
        <is>
          <t>Paid Search</t>
        </is>
      </c>
      <c r="D6468" t="inlineStr">
        <is>
          <t>Language Learning</t>
        </is>
      </c>
      <c r="E6468" t="inlineStr">
        <is>
          <t>West Region</t>
        </is>
      </c>
      <c r="F6468" t="inlineStr">
        <is>
          <t>Rep_13</t>
        </is>
      </c>
      <c r="G6468" t="n">
        <v>10.31</v>
      </c>
      <c r="H6468" t="inlineStr">
        <is>
          <t>Closed</t>
        </is>
      </c>
      <c r="I6468" t="inlineStr">
        <is>
          <t>Won</t>
        </is>
      </c>
      <c r="K6468" t="n">
        <v>402.9</v>
      </c>
      <c r="L6468" t="inlineStr">
        <is>
          <t>2025-08-11 06:27:56.940842</t>
        </is>
      </c>
      <c r="M6468">
        <f>VLOOKUP(H6468,'Stage Order'!$A$2:$B$8,2,FALSE)</f>
        <v/>
      </c>
      <c r="N6468">
        <f>IF(G6468&lt;=1,"1. Under 1 hour",IF(G6468&lt;=24,"2. 1-24 hours",IF(G6468&lt;=72,"3. 1-3 days","4. Over 3 days")))</f>
        <v/>
      </c>
      <c r="O6468">
        <f>TEXT(B6468,"YYYY-MM")</f>
        <v/>
      </c>
    </row>
    <row r="6469">
      <c r="A6469" t="inlineStr">
        <is>
          <t>LD-306467</t>
        </is>
      </c>
      <c r="B6469" t="inlineStr">
        <is>
          <t>2025-08-17 10:23:00</t>
        </is>
      </c>
      <c r="C6469" t="inlineStr">
        <is>
          <t>Referral</t>
        </is>
      </c>
      <c r="D6469" t="inlineStr">
        <is>
          <t>Competitive Exam Prep</t>
        </is>
      </c>
      <c r="E6469" t="inlineStr">
        <is>
          <t>West Region</t>
        </is>
      </c>
      <c r="F6469" t="inlineStr">
        <is>
          <t>Rep_03</t>
        </is>
      </c>
      <c r="G6469" t="n">
        <v>3</v>
      </c>
      <c r="H6469" t="inlineStr">
        <is>
          <t>Contacted</t>
        </is>
      </c>
      <c r="I6469" t="inlineStr">
        <is>
          <t>Open</t>
        </is>
      </c>
      <c r="M6469">
        <f>VLOOKUP(H6469,'Stage Order'!$A$2:$B$8,2,FALSE)</f>
        <v/>
      </c>
      <c r="N6469">
        <f>IF(G6469&lt;=1,"1. Under 1 hour",IF(G6469&lt;=24,"2. 1-24 hours",IF(G6469&lt;=72,"3. 1-3 days","4. Over 3 days")))</f>
        <v/>
      </c>
      <c r="O6469">
        <f>TEXT(B6469,"YYYY-MM")</f>
        <v/>
      </c>
    </row>
    <row r="6470">
      <c r="A6470" t="inlineStr">
        <is>
          <t>LD-306468</t>
        </is>
      </c>
      <c r="B6470" t="inlineStr">
        <is>
          <t>2025-11-11 09:14:00</t>
        </is>
      </c>
      <c r="C6470" t="inlineStr">
        <is>
          <t>Organic Search</t>
        </is>
      </c>
      <c r="D6470" t="inlineStr">
        <is>
          <t>Language Learning</t>
        </is>
      </c>
      <c r="E6470" t="inlineStr">
        <is>
          <t>South Region</t>
        </is>
      </c>
      <c r="F6470" t="inlineStr">
        <is>
          <t>Rep_07</t>
        </is>
      </c>
      <c r="G6470" t="n">
        <v>7.4</v>
      </c>
      <c r="H6470" t="inlineStr">
        <is>
          <t>Contacted</t>
        </is>
      </c>
      <c r="I6470" t="inlineStr">
        <is>
          <t>Open</t>
        </is>
      </c>
      <c r="M6470">
        <f>VLOOKUP(H6470,'Stage Order'!$A$2:$B$8,2,FALSE)</f>
        <v/>
      </c>
      <c r="N6470">
        <f>IF(G6470&lt;=1,"1. Under 1 hour",IF(G6470&lt;=24,"2. 1-24 hours",IF(G6470&lt;=72,"3. 1-3 days","4. Over 3 days")))</f>
        <v/>
      </c>
      <c r="O6470">
        <f>TEXT(B6470,"YYYY-MM")</f>
        <v/>
      </c>
    </row>
    <row r="6471">
      <c r="A6471" t="inlineStr">
        <is>
          <t>LD-306469</t>
        </is>
      </c>
      <c r="B6471" t="inlineStr">
        <is>
          <t>2025-04-02 07:27:00</t>
        </is>
      </c>
      <c r="C6471" t="inlineStr">
        <is>
          <t>Organic Search</t>
        </is>
      </c>
      <c r="D6471" t="inlineStr">
        <is>
          <t>Study Abroad Prep</t>
        </is>
      </c>
      <c r="E6471" t="inlineStr">
        <is>
          <t>East Region</t>
        </is>
      </c>
      <c r="F6471" t="inlineStr">
        <is>
          <t>Rep_14</t>
        </is>
      </c>
      <c r="G6471" t="n">
        <v>1.44</v>
      </c>
      <c r="H6471" t="inlineStr">
        <is>
          <t>Negotiation</t>
        </is>
      </c>
      <c r="I6471" t="inlineStr">
        <is>
          <t>Lost</t>
        </is>
      </c>
      <c r="J6471" t="inlineStr">
        <is>
          <t>Price Objection</t>
        </is>
      </c>
      <c r="K6471" t="n">
        <v>1684.46</v>
      </c>
      <c r="L6471" t="inlineStr">
        <is>
          <t>2025-05-10 07:39:03.964594</t>
        </is>
      </c>
      <c r="M6471">
        <f>VLOOKUP(H6471,'Stage Order'!$A$2:$B$8,2,FALSE)</f>
        <v/>
      </c>
      <c r="N6471">
        <f>IF(G6471&lt;=1,"1. Under 1 hour",IF(G6471&lt;=24,"2. 1-24 hours",IF(G6471&lt;=72,"3. 1-3 days","4. Over 3 days")))</f>
        <v/>
      </c>
      <c r="O6471">
        <f>TEXT(B6471,"YYYY-MM")</f>
        <v/>
      </c>
    </row>
    <row r="6472">
      <c r="A6472" t="inlineStr">
        <is>
          <t>LD-306470</t>
        </is>
      </c>
      <c r="B6472" t="inlineStr">
        <is>
          <t>2025-07-20 16:51:00</t>
        </is>
      </c>
      <c r="C6472" t="inlineStr">
        <is>
          <t>Paid Search</t>
        </is>
      </c>
      <c r="D6472" t="inlineStr">
        <is>
          <t>Competitive Exam Prep</t>
        </is>
      </c>
      <c r="E6472" t="inlineStr">
        <is>
          <t>North Region</t>
        </is>
      </c>
      <c r="F6472" t="inlineStr">
        <is>
          <t>Rep_06</t>
        </is>
      </c>
      <c r="G6472" t="n">
        <v>4.11</v>
      </c>
      <c r="H6472" t="inlineStr">
        <is>
          <t>Demo Completed</t>
        </is>
      </c>
      <c r="I6472" t="inlineStr">
        <is>
          <t>Lost</t>
        </is>
      </c>
      <c r="J6472" t="inlineStr">
        <is>
          <t>Bad Timing</t>
        </is>
      </c>
      <c r="K6472" t="n">
        <v>808.85</v>
      </c>
      <c r="L6472" t="inlineStr">
        <is>
          <t>2025-08-05 22:05:42.782244</t>
        </is>
      </c>
      <c r="M6472">
        <f>VLOOKUP(H6472,'Stage Order'!$A$2:$B$8,2,FALSE)</f>
        <v/>
      </c>
      <c r="N6472">
        <f>IF(G6472&lt;=1,"1. Under 1 hour",IF(G6472&lt;=24,"2. 1-24 hours",IF(G6472&lt;=72,"3. 1-3 days","4. Over 3 days")))</f>
        <v/>
      </c>
      <c r="O6472">
        <f>TEXT(B6472,"YYYY-MM")</f>
        <v/>
      </c>
    </row>
    <row r="6473">
      <c r="A6473" t="inlineStr">
        <is>
          <t>LD-306471</t>
        </is>
      </c>
      <c r="B6473" t="inlineStr">
        <is>
          <t>2025-01-04 20:41:00</t>
        </is>
      </c>
      <c r="C6473" t="inlineStr">
        <is>
          <t>Cold Outreach</t>
        </is>
      </c>
      <c r="D6473" t="inlineStr">
        <is>
          <t>K-12 Math</t>
        </is>
      </c>
      <c r="E6473" t="inlineStr">
        <is>
          <t>South Region</t>
        </is>
      </c>
      <c r="F6473" t="inlineStr">
        <is>
          <t>Rep_12</t>
        </is>
      </c>
      <c r="G6473" t="n">
        <v>6.81</v>
      </c>
      <c r="H6473" t="inlineStr">
        <is>
          <t>Contacted</t>
        </is>
      </c>
      <c r="I6473" t="inlineStr">
        <is>
          <t>Open</t>
        </is>
      </c>
      <c r="M6473">
        <f>VLOOKUP(H6473,'Stage Order'!$A$2:$B$8,2,FALSE)</f>
        <v/>
      </c>
      <c r="N6473">
        <f>IF(G6473&lt;=1,"1. Under 1 hour",IF(G6473&lt;=24,"2. 1-24 hours",IF(G6473&lt;=72,"3. 1-3 days","4. Over 3 days")))</f>
        <v/>
      </c>
      <c r="O6473">
        <f>TEXT(B6473,"YYYY-MM")</f>
        <v/>
      </c>
    </row>
    <row r="6474">
      <c r="A6474" t="inlineStr">
        <is>
          <t>LD-306472</t>
        </is>
      </c>
      <c r="B6474" t="inlineStr">
        <is>
          <t>2025-05-31 17:46:00</t>
        </is>
      </c>
      <c r="C6474" t="inlineStr">
        <is>
          <t>Social Media</t>
        </is>
      </c>
      <c r="D6474" t="inlineStr">
        <is>
          <t>Competitive Exam Prep</t>
        </is>
      </c>
      <c r="E6474" t="inlineStr">
        <is>
          <t>South Region</t>
        </is>
      </c>
      <c r="F6474" t="inlineStr">
        <is>
          <t>Rep_12</t>
        </is>
      </c>
      <c r="G6474" t="n">
        <v>2.44</v>
      </c>
      <c r="H6474" t="inlineStr">
        <is>
          <t>Closed</t>
        </is>
      </c>
      <c r="I6474" t="inlineStr">
        <is>
          <t>Won</t>
        </is>
      </c>
      <c r="K6474" t="n">
        <v>828.67</v>
      </c>
      <c r="L6474" t="inlineStr">
        <is>
          <t>2025-07-03 20:16:17.199132</t>
        </is>
      </c>
      <c r="M6474">
        <f>VLOOKUP(H6474,'Stage Order'!$A$2:$B$8,2,FALSE)</f>
        <v/>
      </c>
      <c r="N6474">
        <f>IF(G6474&lt;=1,"1. Under 1 hour",IF(G6474&lt;=24,"2. 1-24 hours",IF(G6474&lt;=72,"3. 1-3 days","4. Over 3 days")))</f>
        <v/>
      </c>
      <c r="O6474">
        <f>TEXT(B6474,"YYYY-MM")</f>
        <v/>
      </c>
    </row>
    <row r="6475">
      <c r="A6475" t="inlineStr">
        <is>
          <t>LD-306473</t>
        </is>
      </c>
      <c r="B6475" t="inlineStr">
        <is>
          <t>2025-09-22 15:34:00</t>
        </is>
      </c>
      <c r="C6475" t="inlineStr">
        <is>
          <t>Organic Search</t>
        </is>
      </c>
      <c r="D6475" t="inlineStr">
        <is>
          <t>K-12 Math</t>
        </is>
      </c>
      <c r="E6475" t="inlineStr">
        <is>
          <t>West Region</t>
        </is>
      </c>
      <c r="F6475" t="inlineStr">
        <is>
          <t>Rep_03</t>
        </is>
      </c>
      <c r="G6475" t="n">
        <v>1.69</v>
      </c>
      <c r="H6475" t="inlineStr">
        <is>
          <t>Proposal Sent</t>
        </is>
      </c>
      <c r="I6475" t="inlineStr">
        <is>
          <t>Lost</t>
        </is>
      </c>
      <c r="J6475" t="inlineStr">
        <is>
          <t>Bad Timing</t>
        </is>
      </c>
      <c r="K6475" t="n">
        <v>423.16</v>
      </c>
      <c r="L6475" t="inlineStr">
        <is>
          <t>2025-10-17 20:28:49.555764</t>
        </is>
      </c>
      <c r="M6475">
        <f>VLOOKUP(H6475,'Stage Order'!$A$2:$B$8,2,FALSE)</f>
        <v/>
      </c>
      <c r="N6475">
        <f>IF(G6475&lt;=1,"1. Under 1 hour",IF(G6475&lt;=24,"2. 1-24 hours",IF(G6475&lt;=72,"3. 1-3 days","4. Over 3 days")))</f>
        <v/>
      </c>
      <c r="O6475">
        <f>TEXT(B6475,"YYYY-MM")</f>
        <v/>
      </c>
    </row>
    <row r="6476">
      <c r="A6476" t="inlineStr">
        <is>
          <t>LD-306474</t>
        </is>
      </c>
      <c r="B6476" t="inlineStr">
        <is>
          <t>2025-03-09 07:49:00</t>
        </is>
      </c>
      <c r="C6476" t="inlineStr">
        <is>
          <t>Referral</t>
        </is>
      </c>
      <c r="D6476" t="inlineStr">
        <is>
          <t>K-12 Math</t>
        </is>
      </c>
      <c r="E6476" t="inlineStr">
        <is>
          <t>North Region</t>
        </is>
      </c>
      <c r="F6476" t="inlineStr">
        <is>
          <t>Rep_06</t>
        </is>
      </c>
      <c r="G6476" t="n">
        <v>11.18</v>
      </c>
      <c r="H6476" t="inlineStr">
        <is>
          <t>Negotiation</t>
        </is>
      </c>
      <c r="I6476" t="inlineStr">
        <is>
          <t>Lost</t>
        </is>
      </c>
      <c r="J6476" t="inlineStr">
        <is>
          <t>Went With Competitor</t>
        </is>
      </c>
      <c r="K6476" t="n">
        <v>516.98</v>
      </c>
      <c r="L6476" t="inlineStr">
        <is>
          <t>2025-04-25 00:34:10.696874</t>
        </is>
      </c>
      <c r="M6476">
        <f>VLOOKUP(H6476,'Stage Order'!$A$2:$B$8,2,FALSE)</f>
        <v/>
      </c>
      <c r="N6476">
        <f>IF(G6476&lt;=1,"1. Under 1 hour",IF(G6476&lt;=24,"2. 1-24 hours",IF(G6476&lt;=72,"3. 1-3 days","4. Over 3 days")))</f>
        <v/>
      </c>
      <c r="O6476">
        <f>TEXT(B6476,"YYYY-MM")</f>
        <v/>
      </c>
    </row>
    <row r="6477">
      <c r="A6477" t="inlineStr">
        <is>
          <t>LD-306475</t>
        </is>
      </c>
      <c r="B6477" t="inlineStr">
        <is>
          <t>2026-05-11 14:34:00</t>
        </is>
      </c>
      <c r="C6477" t="inlineStr">
        <is>
          <t>Referral</t>
        </is>
      </c>
      <c r="D6477" t="inlineStr">
        <is>
          <t>K-12 Math</t>
        </is>
      </c>
      <c r="E6477" t="inlineStr">
        <is>
          <t>North Region</t>
        </is>
      </c>
      <c r="F6477" t="inlineStr">
        <is>
          <t>Rep_11</t>
        </is>
      </c>
      <c r="G6477" t="n">
        <v>21.15</v>
      </c>
      <c r="H6477" t="inlineStr">
        <is>
          <t>Demo Completed</t>
        </is>
      </c>
      <c r="I6477" t="inlineStr">
        <is>
          <t>Lost</t>
        </is>
      </c>
      <c r="J6477" t="inlineStr">
        <is>
          <t>Price Objection</t>
        </is>
      </c>
      <c r="K6477" t="n">
        <v>522.16</v>
      </c>
      <c r="L6477" t="inlineStr">
        <is>
          <t>2026-05-27 11:06:51.058059</t>
        </is>
      </c>
      <c r="M6477">
        <f>VLOOKUP(H6477,'Stage Order'!$A$2:$B$8,2,FALSE)</f>
        <v/>
      </c>
      <c r="N6477">
        <f>IF(G6477&lt;=1,"1. Under 1 hour",IF(G6477&lt;=24,"2. 1-24 hours",IF(G6477&lt;=72,"3. 1-3 days","4. Over 3 days")))</f>
        <v/>
      </c>
      <c r="O6477">
        <f>TEXT(B6477,"YYYY-MM")</f>
        <v/>
      </c>
    </row>
    <row r="6478">
      <c r="A6478" t="inlineStr">
        <is>
          <t>LD-306476</t>
        </is>
      </c>
      <c r="B6478" t="inlineStr">
        <is>
          <t>2025-08-25 18:43:00</t>
        </is>
      </c>
      <c r="C6478" t="inlineStr">
        <is>
          <t>Webinar</t>
        </is>
      </c>
      <c r="D6478" t="inlineStr">
        <is>
          <t>K-12 Math</t>
        </is>
      </c>
      <c r="E6478" t="inlineStr">
        <is>
          <t>West Region</t>
        </is>
      </c>
      <c r="F6478" t="inlineStr">
        <is>
          <t>Rep_08</t>
        </is>
      </c>
      <c r="G6478" t="n">
        <v>0.35</v>
      </c>
      <c r="H6478" t="inlineStr">
        <is>
          <t>Contacted</t>
        </is>
      </c>
      <c r="I6478" t="inlineStr">
        <is>
          <t>Open</t>
        </is>
      </c>
      <c r="M6478">
        <f>VLOOKUP(H6478,'Stage Order'!$A$2:$B$8,2,FALSE)</f>
        <v/>
      </c>
      <c r="N6478">
        <f>IF(G6478&lt;=1,"1. Under 1 hour",IF(G6478&lt;=24,"2. 1-24 hours",IF(G6478&lt;=72,"3. 1-3 days","4. Over 3 days")))</f>
        <v/>
      </c>
      <c r="O6478">
        <f>TEXT(B6478,"YYYY-MM")</f>
        <v/>
      </c>
    </row>
    <row r="6479">
      <c r="A6479" t="inlineStr">
        <is>
          <t>LD-306477</t>
        </is>
      </c>
      <c r="B6479" t="inlineStr">
        <is>
          <t>2026-03-19 13:08:00</t>
        </is>
      </c>
      <c r="C6479" t="inlineStr">
        <is>
          <t>Paid Search</t>
        </is>
      </c>
      <c r="D6479" t="inlineStr">
        <is>
          <t>K-12 Math</t>
        </is>
      </c>
      <c r="E6479" t="inlineStr">
        <is>
          <t>North Region</t>
        </is>
      </c>
      <c r="F6479" t="inlineStr">
        <is>
          <t>Rep_11</t>
        </is>
      </c>
      <c r="G6479" t="n">
        <v>21.83</v>
      </c>
      <c r="H6479" t="inlineStr">
        <is>
          <t>Contacted</t>
        </is>
      </c>
      <c r="I6479" t="inlineStr">
        <is>
          <t>Open</t>
        </is>
      </c>
      <c r="M6479">
        <f>VLOOKUP(H6479,'Stage Order'!$A$2:$B$8,2,FALSE)</f>
        <v/>
      </c>
      <c r="N6479">
        <f>IF(G6479&lt;=1,"1. Under 1 hour",IF(G6479&lt;=24,"2. 1-24 hours",IF(G6479&lt;=72,"3. 1-3 days","4. Over 3 days")))</f>
        <v/>
      </c>
      <c r="O6479">
        <f>TEXT(B6479,"YYYY-MM")</f>
        <v/>
      </c>
    </row>
    <row r="6480">
      <c r="A6480" t="inlineStr">
        <is>
          <t>LD-306478</t>
        </is>
      </c>
      <c r="B6480" t="inlineStr">
        <is>
          <t>2026-05-01 07:00:00</t>
        </is>
      </c>
      <c r="C6480" t="inlineStr">
        <is>
          <t>Paid Search</t>
        </is>
      </c>
      <c r="D6480" t="inlineStr">
        <is>
          <t>Coding for Kids</t>
        </is>
      </c>
      <c r="E6480" t="inlineStr">
        <is>
          <t>International</t>
        </is>
      </c>
      <c r="F6480" t="inlineStr">
        <is>
          <t>Rep_05</t>
        </is>
      </c>
      <c r="G6480" t="n">
        <v>2.03</v>
      </c>
      <c r="H6480" t="inlineStr">
        <is>
          <t>Lead</t>
        </is>
      </c>
      <c r="I6480" t="inlineStr">
        <is>
          <t>Open</t>
        </is>
      </c>
      <c r="M6480">
        <f>VLOOKUP(H6480,'Stage Order'!$A$2:$B$8,2,FALSE)</f>
        <v/>
      </c>
      <c r="N6480">
        <f>IF(G6480&lt;=1,"1. Under 1 hour",IF(G6480&lt;=24,"2. 1-24 hours",IF(G6480&lt;=72,"3. 1-3 days","4. Over 3 days")))</f>
        <v/>
      </c>
      <c r="O6480">
        <f>TEXT(B6480,"YYYY-MM")</f>
        <v/>
      </c>
    </row>
    <row r="6481">
      <c r="A6481" t="inlineStr">
        <is>
          <t>LD-306479</t>
        </is>
      </c>
      <c r="B6481" t="inlineStr">
        <is>
          <t>2025-11-12 11:46:00</t>
        </is>
      </c>
      <c r="C6481" t="inlineStr">
        <is>
          <t>Organic Search</t>
        </is>
      </c>
      <c r="D6481" t="inlineStr">
        <is>
          <t>Study Abroad Prep</t>
        </is>
      </c>
      <c r="E6481" t="inlineStr">
        <is>
          <t>West Region</t>
        </is>
      </c>
      <c r="F6481" t="inlineStr">
        <is>
          <t>Rep_03</t>
        </is>
      </c>
      <c r="G6481" t="n">
        <v>0.53</v>
      </c>
      <c r="H6481" t="inlineStr">
        <is>
          <t>Contacted</t>
        </is>
      </c>
      <c r="I6481" t="inlineStr">
        <is>
          <t>Open</t>
        </is>
      </c>
      <c r="M6481">
        <f>VLOOKUP(H6481,'Stage Order'!$A$2:$B$8,2,FALSE)</f>
        <v/>
      </c>
      <c r="N6481">
        <f>IF(G6481&lt;=1,"1. Under 1 hour",IF(G6481&lt;=24,"2. 1-24 hours",IF(G6481&lt;=72,"3. 1-3 days","4. Over 3 days")))</f>
        <v/>
      </c>
      <c r="O6481">
        <f>TEXT(B6481,"YYYY-MM")</f>
        <v/>
      </c>
    </row>
    <row r="6482">
      <c r="A6482" t="inlineStr">
        <is>
          <t>LD-306480</t>
        </is>
      </c>
      <c r="B6482" t="inlineStr">
        <is>
          <t>2026-06-26 12:22:00</t>
        </is>
      </c>
      <c r="C6482" t="inlineStr">
        <is>
          <t>Organic Search</t>
        </is>
      </c>
      <c r="D6482" t="inlineStr">
        <is>
          <t>Coding for Kids</t>
        </is>
      </c>
      <c r="E6482" t="inlineStr">
        <is>
          <t>North Region</t>
        </is>
      </c>
      <c r="F6482" t="inlineStr">
        <is>
          <t>Rep_06</t>
        </is>
      </c>
      <c r="G6482" t="n">
        <v>0.87</v>
      </c>
      <c r="H6482" t="inlineStr">
        <is>
          <t>Negotiation</t>
        </is>
      </c>
      <c r="I6482" t="inlineStr">
        <is>
          <t>Lost</t>
        </is>
      </c>
      <c r="J6482" t="inlineStr">
        <is>
          <t>No Response / Ghosted</t>
        </is>
      </c>
      <c r="K6482" t="n">
        <v>637.41</v>
      </c>
      <c r="L6482" t="inlineStr">
        <is>
          <t>2026-08-18 18:53:42.179308</t>
        </is>
      </c>
      <c r="M6482">
        <f>VLOOKUP(H6482,'Stage Order'!$A$2:$B$8,2,FALSE)</f>
        <v/>
      </c>
      <c r="N6482">
        <f>IF(G6482&lt;=1,"1. Under 1 hour",IF(G6482&lt;=24,"2. 1-24 hours",IF(G6482&lt;=72,"3. 1-3 days","4. Over 3 days")))</f>
        <v/>
      </c>
      <c r="O6482">
        <f>TEXT(B6482,"YYYY-MM")</f>
        <v/>
      </c>
    </row>
    <row r="6483">
      <c r="A6483" t="inlineStr">
        <is>
          <t>LD-306481</t>
        </is>
      </c>
      <c r="B6483" t="inlineStr">
        <is>
          <t>2025-01-29 20:56:00</t>
        </is>
      </c>
      <c r="C6483" t="inlineStr">
        <is>
          <t>Organic Search</t>
        </is>
      </c>
      <c r="D6483" t="inlineStr">
        <is>
          <t>K-12 Math</t>
        </is>
      </c>
      <c r="E6483" t="inlineStr">
        <is>
          <t>North Region</t>
        </is>
      </c>
      <c r="F6483" t="inlineStr">
        <is>
          <t>Rep_11</t>
        </is>
      </c>
      <c r="G6483" t="n">
        <v>6.52</v>
      </c>
      <c r="H6483" t="inlineStr">
        <is>
          <t>Closed</t>
        </is>
      </c>
      <c r="I6483" t="inlineStr">
        <is>
          <t>Won</t>
        </is>
      </c>
      <c r="K6483" t="n">
        <v>444.31</v>
      </c>
      <c r="L6483" t="inlineStr">
        <is>
          <t>2025-03-12 23:26:14.377811</t>
        </is>
      </c>
      <c r="M6483">
        <f>VLOOKUP(H6483,'Stage Order'!$A$2:$B$8,2,FALSE)</f>
        <v/>
      </c>
      <c r="N6483">
        <f>IF(G6483&lt;=1,"1. Under 1 hour",IF(G6483&lt;=24,"2. 1-24 hours",IF(G6483&lt;=72,"3. 1-3 days","4. Over 3 days")))</f>
        <v/>
      </c>
      <c r="O6483">
        <f>TEXT(B6483,"YYYY-MM")</f>
        <v/>
      </c>
    </row>
    <row r="6484">
      <c r="A6484" t="inlineStr">
        <is>
          <t>LD-306482</t>
        </is>
      </c>
      <c r="B6484" t="inlineStr">
        <is>
          <t>2025-08-22 14:40:00</t>
        </is>
      </c>
      <c r="C6484" t="inlineStr">
        <is>
          <t>Referral</t>
        </is>
      </c>
      <c r="D6484" t="inlineStr">
        <is>
          <t>Language Learning</t>
        </is>
      </c>
      <c r="E6484" t="inlineStr">
        <is>
          <t>North Region</t>
        </is>
      </c>
      <c r="F6484" t="inlineStr">
        <is>
          <t>Rep_11</t>
        </is>
      </c>
      <c r="G6484" t="n">
        <v>0.63</v>
      </c>
      <c r="H6484" t="inlineStr">
        <is>
          <t>Closed</t>
        </is>
      </c>
      <c r="I6484" t="inlineStr">
        <is>
          <t>Won</t>
        </is>
      </c>
      <c r="K6484" t="n">
        <v>309.74</v>
      </c>
      <c r="L6484" t="inlineStr">
        <is>
          <t>2025-09-26 19:52:26.871753</t>
        </is>
      </c>
      <c r="M6484">
        <f>VLOOKUP(H6484,'Stage Order'!$A$2:$B$8,2,FALSE)</f>
        <v/>
      </c>
      <c r="N6484">
        <f>IF(G6484&lt;=1,"1. Under 1 hour",IF(G6484&lt;=24,"2. 1-24 hours",IF(G6484&lt;=72,"3. 1-3 days","4. Over 3 days")))</f>
        <v/>
      </c>
      <c r="O6484">
        <f>TEXT(B6484,"YYYY-MM")</f>
        <v/>
      </c>
    </row>
    <row r="6485">
      <c r="A6485" t="inlineStr">
        <is>
          <t>LD-306483</t>
        </is>
      </c>
      <c r="B6485" t="inlineStr">
        <is>
          <t>2026-03-02 15:11:00</t>
        </is>
      </c>
      <c r="C6485" t="inlineStr">
        <is>
          <t>Social Media</t>
        </is>
      </c>
      <c r="D6485" t="inlineStr">
        <is>
          <t>Competitive Exam Prep</t>
        </is>
      </c>
      <c r="E6485" t="inlineStr">
        <is>
          <t>North Region</t>
        </is>
      </c>
      <c r="F6485" t="inlineStr">
        <is>
          <t>Rep_11</t>
        </is>
      </c>
      <c r="G6485" t="n">
        <v>4.58</v>
      </c>
      <c r="H6485" t="inlineStr">
        <is>
          <t>Contacted</t>
        </is>
      </c>
      <c r="I6485" t="inlineStr">
        <is>
          <t>Open</t>
        </is>
      </c>
      <c r="M6485">
        <f>VLOOKUP(H6485,'Stage Order'!$A$2:$B$8,2,FALSE)</f>
        <v/>
      </c>
      <c r="N6485">
        <f>IF(G6485&lt;=1,"1. Under 1 hour",IF(G6485&lt;=24,"2. 1-24 hours",IF(G6485&lt;=72,"3. 1-3 days","4. Over 3 days")))</f>
        <v/>
      </c>
      <c r="O6485">
        <f>TEXT(B6485,"YYYY-MM")</f>
        <v/>
      </c>
    </row>
    <row r="6486">
      <c r="A6486" t="inlineStr">
        <is>
          <t>LD-306484</t>
        </is>
      </c>
      <c r="B6486" t="inlineStr">
        <is>
          <t>2025-05-23 09:12:00</t>
        </is>
      </c>
      <c r="C6486" t="inlineStr">
        <is>
          <t>Organic Search</t>
        </is>
      </c>
      <c r="D6486" t="inlineStr">
        <is>
          <t>Coding for Kids</t>
        </is>
      </c>
      <c r="E6486" t="inlineStr">
        <is>
          <t>West Region</t>
        </is>
      </c>
      <c r="F6486" t="inlineStr">
        <is>
          <t>Rep_03</t>
        </is>
      </c>
      <c r="G6486" t="n">
        <v>3.18</v>
      </c>
      <c r="H6486" t="inlineStr">
        <is>
          <t>Proposal Sent</t>
        </is>
      </c>
      <c r="I6486" t="inlineStr">
        <is>
          <t>Lost</t>
        </is>
      </c>
      <c r="J6486" t="inlineStr">
        <is>
          <t>Budget Not Approved</t>
        </is>
      </c>
      <c r="K6486" t="n">
        <v>750.1900000000001</v>
      </c>
      <c r="L6486" t="inlineStr">
        <is>
          <t>2025-06-29 10:24:54.470880</t>
        </is>
      </c>
      <c r="M6486">
        <f>VLOOKUP(H6486,'Stage Order'!$A$2:$B$8,2,FALSE)</f>
        <v/>
      </c>
      <c r="N6486">
        <f>IF(G6486&lt;=1,"1. Under 1 hour",IF(G6486&lt;=24,"2. 1-24 hours",IF(G6486&lt;=72,"3. 1-3 days","4. Over 3 days")))</f>
        <v/>
      </c>
      <c r="O6486">
        <f>TEXT(B6486,"YYYY-MM")</f>
        <v/>
      </c>
    </row>
    <row r="6487">
      <c r="A6487" t="inlineStr">
        <is>
          <t>LD-306485</t>
        </is>
      </c>
      <c r="B6487" t="inlineStr">
        <is>
          <t>2025-10-04 15:30:00</t>
        </is>
      </c>
      <c r="C6487" t="inlineStr">
        <is>
          <t>Webinar</t>
        </is>
      </c>
      <c r="D6487" t="inlineStr">
        <is>
          <t>Competitive Exam Prep</t>
        </is>
      </c>
      <c r="E6487" t="inlineStr">
        <is>
          <t>West Region</t>
        </is>
      </c>
      <c r="F6487" t="inlineStr">
        <is>
          <t>Rep_13</t>
        </is>
      </c>
      <c r="G6487" t="n">
        <v>0.88</v>
      </c>
      <c r="H6487" t="inlineStr">
        <is>
          <t>Contacted</t>
        </is>
      </c>
      <c r="I6487" t="inlineStr">
        <is>
          <t>Open</t>
        </is>
      </c>
      <c r="M6487">
        <f>VLOOKUP(H6487,'Stage Order'!$A$2:$B$8,2,FALSE)</f>
        <v/>
      </c>
      <c r="N6487">
        <f>IF(G6487&lt;=1,"1. Under 1 hour",IF(G6487&lt;=24,"2. 1-24 hours",IF(G6487&lt;=72,"3. 1-3 days","4. Over 3 days")))</f>
        <v/>
      </c>
      <c r="O6487">
        <f>TEXT(B6487,"YYYY-MM")</f>
        <v/>
      </c>
    </row>
    <row r="6488">
      <c r="A6488" t="inlineStr">
        <is>
          <t>LD-306486</t>
        </is>
      </c>
      <c r="B6488" t="inlineStr">
        <is>
          <t>2026-03-19 08:36:00</t>
        </is>
      </c>
      <c r="C6488" t="inlineStr">
        <is>
          <t>Cold Outreach</t>
        </is>
      </c>
      <c r="D6488" t="inlineStr">
        <is>
          <t>K-12 Math</t>
        </is>
      </c>
      <c r="E6488" t="inlineStr">
        <is>
          <t>South Region</t>
        </is>
      </c>
      <c r="F6488" t="inlineStr">
        <is>
          <t>Rep_02</t>
        </is>
      </c>
      <c r="G6488" t="n">
        <v>1.35</v>
      </c>
      <c r="H6488" t="inlineStr">
        <is>
          <t>Contacted</t>
        </is>
      </c>
      <c r="I6488" t="inlineStr">
        <is>
          <t>Open</t>
        </is>
      </c>
      <c r="M6488">
        <f>VLOOKUP(H6488,'Stage Order'!$A$2:$B$8,2,FALSE)</f>
        <v/>
      </c>
      <c r="N6488">
        <f>IF(G6488&lt;=1,"1. Under 1 hour",IF(G6488&lt;=24,"2. 1-24 hours",IF(G6488&lt;=72,"3. 1-3 days","4. Over 3 days")))</f>
        <v/>
      </c>
      <c r="O6488">
        <f>TEXT(B6488,"YYYY-MM")</f>
        <v/>
      </c>
    </row>
    <row r="6489">
      <c r="A6489" t="inlineStr">
        <is>
          <t>LD-306487</t>
        </is>
      </c>
      <c r="B6489" t="inlineStr">
        <is>
          <t>2026-05-13 08:47:00</t>
        </is>
      </c>
      <c r="C6489" t="inlineStr">
        <is>
          <t>Organic Search</t>
        </is>
      </c>
      <c r="D6489" t="inlineStr">
        <is>
          <t>K-12 Math</t>
        </is>
      </c>
      <c r="E6489" t="inlineStr">
        <is>
          <t>North Region</t>
        </is>
      </c>
      <c r="F6489" t="inlineStr">
        <is>
          <t>Rep_11</t>
        </is>
      </c>
      <c r="G6489" t="n">
        <v>4.86</v>
      </c>
      <c r="H6489" t="inlineStr">
        <is>
          <t>Closed</t>
        </is>
      </c>
      <c r="I6489" t="inlineStr">
        <is>
          <t>Won</t>
        </is>
      </c>
      <c r="K6489" t="n">
        <v>535.65</v>
      </c>
      <c r="L6489" t="inlineStr">
        <is>
          <t>2026-06-20 01:33:52.022306</t>
        </is>
      </c>
      <c r="M6489">
        <f>VLOOKUP(H6489,'Stage Order'!$A$2:$B$8,2,FALSE)</f>
        <v/>
      </c>
      <c r="N6489">
        <f>IF(G6489&lt;=1,"1. Under 1 hour",IF(G6489&lt;=24,"2. 1-24 hours",IF(G6489&lt;=72,"3. 1-3 days","4. Over 3 days")))</f>
        <v/>
      </c>
      <c r="O6489">
        <f>TEXT(B6489,"YYYY-MM")</f>
        <v/>
      </c>
    </row>
    <row r="6490">
      <c r="A6490" t="inlineStr">
        <is>
          <t>LD-306488</t>
        </is>
      </c>
      <c r="B6490" t="inlineStr">
        <is>
          <t>2026-06-21 09:51:00</t>
        </is>
      </c>
      <c r="C6490" t="inlineStr">
        <is>
          <t>Webinar</t>
        </is>
      </c>
      <c r="D6490" t="inlineStr">
        <is>
          <t>Coding for Kids</t>
        </is>
      </c>
      <c r="E6490" t="inlineStr">
        <is>
          <t>North Region</t>
        </is>
      </c>
      <c r="F6490" t="inlineStr">
        <is>
          <t>Rep_06</t>
        </is>
      </c>
      <c r="G6490" t="n">
        <v>2.52</v>
      </c>
      <c r="H6490" t="inlineStr">
        <is>
          <t>Negotiation</t>
        </is>
      </c>
      <c r="I6490" t="inlineStr">
        <is>
          <t>Lost</t>
        </is>
      </c>
      <c r="J6490" t="inlineStr">
        <is>
          <t>Went With Competitor</t>
        </is>
      </c>
      <c r="K6490" t="n">
        <v>574.27</v>
      </c>
      <c r="L6490" t="inlineStr">
        <is>
          <t>2026-08-07 03:14:56.136440</t>
        </is>
      </c>
      <c r="M6490">
        <f>VLOOKUP(H6490,'Stage Order'!$A$2:$B$8,2,FALSE)</f>
        <v/>
      </c>
      <c r="N6490">
        <f>IF(G6490&lt;=1,"1. Under 1 hour",IF(G6490&lt;=24,"2. 1-24 hours",IF(G6490&lt;=72,"3. 1-3 days","4. Over 3 days")))</f>
        <v/>
      </c>
      <c r="O6490">
        <f>TEXT(B6490,"YYYY-MM")</f>
        <v/>
      </c>
    </row>
    <row r="6491">
      <c r="A6491" t="inlineStr">
        <is>
          <t>LD-306489</t>
        </is>
      </c>
      <c r="B6491" t="inlineStr">
        <is>
          <t>2025-06-09 20:35:00</t>
        </is>
      </c>
      <c r="C6491" t="inlineStr">
        <is>
          <t>Organic Search</t>
        </is>
      </c>
      <c r="D6491" t="inlineStr">
        <is>
          <t>Language Learning</t>
        </is>
      </c>
      <c r="E6491" t="inlineStr">
        <is>
          <t>South Region</t>
        </is>
      </c>
      <c r="F6491" t="inlineStr">
        <is>
          <t>Rep_07</t>
        </is>
      </c>
      <c r="G6491" t="n">
        <v>3.03</v>
      </c>
      <c r="H6491" t="inlineStr">
        <is>
          <t>Closed</t>
        </is>
      </c>
      <c r="I6491" t="inlineStr">
        <is>
          <t>Won</t>
        </is>
      </c>
      <c r="K6491" t="n">
        <v>379.77</v>
      </c>
      <c r="L6491" t="inlineStr">
        <is>
          <t>2025-07-04 23:32:24.992818</t>
        </is>
      </c>
      <c r="M6491">
        <f>VLOOKUP(H6491,'Stage Order'!$A$2:$B$8,2,FALSE)</f>
        <v/>
      </c>
      <c r="N6491">
        <f>IF(G6491&lt;=1,"1. Under 1 hour",IF(G6491&lt;=24,"2. 1-24 hours",IF(G6491&lt;=72,"3. 1-3 days","4. Over 3 days")))</f>
        <v/>
      </c>
      <c r="O6491">
        <f>TEXT(B6491,"YYYY-MM")</f>
        <v/>
      </c>
    </row>
    <row r="6492">
      <c r="A6492" t="inlineStr">
        <is>
          <t>LD-306490</t>
        </is>
      </c>
      <c r="B6492" t="inlineStr">
        <is>
          <t>2025-10-31 13:46:00</t>
        </is>
      </c>
      <c r="C6492" t="inlineStr">
        <is>
          <t>Webinar</t>
        </is>
      </c>
      <c r="D6492" t="inlineStr">
        <is>
          <t>Coding for Kids</t>
        </is>
      </c>
      <c r="E6492" t="inlineStr">
        <is>
          <t>International</t>
        </is>
      </c>
      <c r="F6492" t="inlineStr">
        <is>
          <t>Rep_15</t>
        </is>
      </c>
      <c r="G6492" t="n">
        <v>1.86</v>
      </c>
      <c r="H6492" t="inlineStr">
        <is>
          <t>Contacted</t>
        </is>
      </c>
      <c r="I6492" t="inlineStr">
        <is>
          <t>Open</t>
        </is>
      </c>
      <c r="M6492">
        <f>VLOOKUP(H6492,'Stage Order'!$A$2:$B$8,2,FALSE)</f>
        <v/>
      </c>
      <c r="N6492">
        <f>IF(G6492&lt;=1,"1. Under 1 hour",IF(G6492&lt;=24,"2. 1-24 hours",IF(G6492&lt;=72,"3. 1-3 days","4. Over 3 days")))</f>
        <v/>
      </c>
      <c r="O6492">
        <f>TEXT(B6492,"YYYY-MM")</f>
        <v/>
      </c>
    </row>
    <row r="6493">
      <c r="A6493" t="inlineStr">
        <is>
          <t>LD-306491</t>
        </is>
      </c>
      <c r="B6493" t="inlineStr">
        <is>
          <t>2025-08-24 07:56:00</t>
        </is>
      </c>
      <c r="C6493" t="inlineStr">
        <is>
          <t>Webinar</t>
        </is>
      </c>
      <c r="D6493" t="inlineStr">
        <is>
          <t>K-12 Math</t>
        </is>
      </c>
      <c r="E6493" t="inlineStr">
        <is>
          <t>South Region</t>
        </is>
      </c>
      <c r="F6493" t="inlineStr">
        <is>
          <t>Rep_12</t>
        </is>
      </c>
      <c r="G6493" t="n">
        <v>2.04</v>
      </c>
      <c r="H6493" t="inlineStr">
        <is>
          <t>Closed</t>
        </is>
      </c>
      <c r="I6493" t="inlineStr">
        <is>
          <t>Won</t>
        </is>
      </c>
      <c r="K6493" t="n">
        <v>506.36</v>
      </c>
      <c r="L6493" t="inlineStr">
        <is>
          <t>2025-09-22 17:56:28.673793</t>
        </is>
      </c>
      <c r="M6493">
        <f>VLOOKUP(H6493,'Stage Order'!$A$2:$B$8,2,FALSE)</f>
        <v/>
      </c>
      <c r="N6493">
        <f>IF(G6493&lt;=1,"1. Under 1 hour",IF(G6493&lt;=24,"2. 1-24 hours",IF(G6493&lt;=72,"3. 1-3 days","4. Over 3 days")))</f>
        <v/>
      </c>
      <c r="O6493">
        <f>TEXT(B6493,"YYYY-MM")</f>
        <v/>
      </c>
    </row>
    <row r="6494">
      <c r="A6494" t="inlineStr">
        <is>
          <t>LD-306492</t>
        </is>
      </c>
      <c r="B6494" t="inlineStr">
        <is>
          <t>2025-01-15 14:23:00</t>
        </is>
      </c>
      <c r="C6494" t="inlineStr">
        <is>
          <t>Webinar</t>
        </is>
      </c>
      <c r="D6494" t="inlineStr">
        <is>
          <t>Competitive Exam Prep</t>
        </is>
      </c>
      <c r="E6494" t="inlineStr">
        <is>
          <t>International</t>
        </is>
      </c>
      <c r="F6494" t="inlineStr">
        <is>
          <t>Rep_10</t>
        </is>
      </c>
      <c r="G6494" t="n">
        <v>4.95</v>
      </c>
      <c r="H6494" t="inlineStr">
        <is>
          <t>Demo Completed</t>
        </is>
      </c>
      <c r="I6494" t="inlineStr">
        <is>
          <t>Lost</t>
        </is>
      </c>
      <c r="J6494" t="inlineStr">
        <is>
          <t>Bad Timing</t>
        </is>
      </c>
      <c r="K6494" t="n">
        <v>1017.3</v>
      </c>
      <c r="L6494" t="inlineStr">
        <is>
          <t>2025-02-09 06:40:22.638858</t>
        </is>
      </c>
      <c r="M6494">
        <f>VLOOKUP(H6494,'Stage Order'!$A$2:$B$8,2,FALSE)</f>
        <v/>
      </c>
      <c r="N6494">
        <f>IF(G6494&lt;=1,"1. Under 1 hour",IF(G6494&lt;=24,"2. 1-24 hours",IF(G6494&lt;=72,"3. 1-3 days","4. Over 3 days")))</f>
        <v/>
      </c>
      <c r="O6494">
        <f>TEXT(B6494,"YYYY-MM")</f>
        <v/>
      </c>
    </row>
    <row r="6495">
      <c r="A6495" t="inlineStr">
        <is>
          <t>LD-306493</t>
        </is>
      </c>
      <c r="B6495" t="inlineStr">
        <is>
          <t>2026-01-31 19:39:00</t>
        </is>
      </c>
      <c r="C6495" t="inlineStr">
        <is>
          <t>Referral</t>
        </is>
      </c>
      <c r="D6495" t="inlineStr">
        <is>
          <t>Language Learning</t>
        </is>
      </c>
      <c r="E6495" t="inlineStr">
        <is>
          <t>West Region</t>
        </is>
      </c>
      <c r="F6495" t="inlineStr">
        <is>
          <t>Rep_03</t>
        </is>
      </c>
      <c r="G6495" t="n">
        <v>1.88</v>
      </c>
      <c r="H6495" t="inlineStr">
        <is>
          <t>Negotiation</t>
        </is>
      </c>
      <c r="I6495" t="inlineStr">
        <is>
          <t>Lost</t>
        </is>
      </c>
      <c r="J6495" t="inlineStr">
        <is>
          <t>Budget Not Approved</t>
        </is>
      </c>
      <c r="K6495" t="n">
        <v>404.9</v>
      </c>
      <c r="L6495" t="inlineStr">
        <is>
          <t>2026-03-08 17:47:56.145748</t>
        </is>
      </c>
      <c r="M6495">
        <f>VLOOKUP(H6495,'Stage Order'!$A$2:$B$8,2,FALSE)</f>
        <v/>
      </c>
      <c r="N6495">
        <f>IF(G6495&lt;=1,"1. Under 1 hour",IF(G6495&lt;=24,"2. 1-24 hours",IF(G6495&lt;=72,"3. 1-3 days","4. Over 3 days")))</f>
        <v/>
      </c>
      <c r="O6495">
        <f>TEXT(B6495,"YYYY-MM")</f>
        <v/>
      </c>
    </row>
    <row r="6496">
      <c r="A6496" t="inlineStr">
        <is>
          <t>LD-306494</t>
        </is>
      </c>
      <c r="B6496" t="inlineStr">
        <is>
          <t>2026-05-22 12:26:00</t>
        </is>
      </c>
      <c r="C6496" t="inlineStr">
        <is>
          <t>Paid Search</t>
        </is>
      </c>
      <c r="D6496" t="inlineStr">
        <is>
          <t>Coding for Kids</t>
        </is>
      </c>
      <c r="E6496" t="inlineStr">
        <is>
          <t>International</t>
        </is>
      </c>
      <c r="F6496" t="inlineStr">
        <is>
          <t>Rep_10</t>
        </is>
      </c>
      <c r="G6496" t="n">
        <v>2.16</v>
      </c>
      <c r="H6496" t="inlineStr">
        <is>
          <t>Contacted</t>
        </is>
      </c>
      <c r="I6496" t="inlineStr">
        <is>
          <t>Open</t>
        </is>
      </c>
      <c r="M6496">
        <f>VLOOKUP(H6496,'Stage Order'!$A$2:$B$8,2,FALSE)</f>
        <v/>
      </c>
      <c r="N6496">
        <f>IF(G6496&lt;=1,"1. Under 1 hour",IF(G6496&lt;=24,"2. 1-24 hours",IF(G6496&lt;=72,"3. 1-3 days","4. Over 3 days")))</f>
        <v/>
      </c>
      <c r="O6496">
        <f>TEXT(B6496,"YYYY-MM")</f>
        <v/>
      </c>
    </row>
    <row r="6497">
      <c r="A6497" t="inlineStr">
        <is>
          <t>LD-306495</t>
        </is>
      </c>
      <c r="B6497" t="inlineStr">
        <is>
          <t>2025-10-18 13:14:00</t>
        </is>
      </c>
      <c r="C6497" t="inlineStr">
        <is>
          <t>Referral</t>
        </is>
      </c>
      <c r="D6497" t="inlineStr">
        <is>
          <t>Competitive Exam Prep</t>
        </is>
      </c>
      <c r="E6497" t="inlineStr">
        <is>
          <t>North Region</t>
        </is>
      </c>
      <c r="F6497" t="inlineStr">
        <is>
          <t>Rep_01</t>
        </is>
      </c>
      <c r="G6497" t="n">
        <v>0.87</v>
      </c>
      <c r="H6497" t="inlineStr">
        <is>
          <t>Closed</t>
        </is>
      </c>
      <c r="I6497" t="inlineStr">
        <is>
          <t>Won</t>
        </is>
      </c>
      <c r="K6497" t="n">
        <v>1030.19</v>
      </c>
      <c r="L6497" t="inlineStr">
        <is>
          <t>2025-12-05 15:17:51.922915</t>
        </is>
      </c>
      <c r="M6497">
        <f>VLOOKUP(H6497,'Stage Order'!$A$2:$B$8,2,FALSE)</f>
        <v/>
      </c>
      <c r="N6497">
        <f>IF(G6497&lt;=1,"1. Under 1 hour",IF(G6497&lt;=24,"2. 1-24 hours",IF(G6497&lt;=72,"3. 1-3 days","4. Over 3 days")))</f>
        <v/>
      </c>
      <c r="O6497">
        <f>TEXT(B6497,"YYYY-MM")</f>
        <v/>
      </c>
    </row>
    <row r="6498">
      <c r="A6498" t="inlineStr">
        <is>
          <t>LD-306496</t>
        </is>
      </c>
      <c r="B6498" t="inlineStr">
        <is>
          <t>2025-03-10 14:43:00</t>
        </is>
      </c>
      <c r="C6498" t="inlineStr">
        <is>
          <t>Referral</t>
        </is>
      </c>
      <c r="D6498" t="inlineStr">
        <is>
          <t>Coding for Kids</t>
        </is>
      </c>
      <c r="E6498" t="inlineStr">
        <is>
          <t>South Region</t>
        </is>
      </c>
      <c r="F6498" t="inlineStr">
        <is>
          <t>Rep_07</t>
        </is>
      </c>
      <c r="G6498" t="n">
        <v>1.55</v>
      </c>
      <c r="H6498" t="inlineStr">
        <is>
          <t>Negotiation</t>
        </is>
      </c>
      <c r="I6498" t="inlineStr">
        <is>
          <t>Lost</t>
        </is>
      </c>
      <c r="J6498" t="inlineStr">
        <is>
          <t>Price Objection</t>
        </is>
      </c>
      <c r="K6498" t="n">
        <v>660.5</v>
      </c>
      <c r="L6498" t="inlineStr">
        <is>
          <t>2025-04-29 20:29:23.394718</t>
        </is>
      </c>
      <c r="M6498">
        <f>VLOOKUP(H6498,'Stage Order'!$A$2:$B$8,2,FALSE)</f>
        <v/>
      </c>
      <c r="N6498">
        <f>IF(G6498&lt;=1,"1. Under 1 hour",IF(G6498&lt;=24,"2. 1-24 hours",IF(G6498&lt;=72,"3. 1-3 days","4. Over 3 days")))</f>
        <v/>
      </c>
      <c r="O6498">
        <f>TEXT(B6498,"YYYY-MM")</f>
        <v/>
      </c>
    </row>
    <row r="6499">
      <c r="A6499" t="inlineStr">
        <is>
          <t>LD-306497</t>
        </is>
      </c>
      <c r="B6499" t="inlineStr">
        <is>
          <t>2025-11-08 12:51:00</t>
        </is>
      </c>
      <c r="C6499" t="inlineStr">
        <is>
          <t>Referral</t>
        </is>
      </c>
      <c r="D6499" t="inlineStr">
        <is>
          <t>K-12 Math</t>
        </is>
      </c>
      <c r="E6499" t="inlineStr">
        <is>
          <t>West Region</t>
        </is>
      </c>
      <c r="F6499" t="inlineStr">
        <is>
          <t>Rep_13</t>
        </is>
      </c>
      <c r="G6499" t="n">
        <v>2.61</v>
      </c>
      <c r="H6499" t="inlineStr">
        <is>
          <t>Lead</t>
        </is>
      </c>
      <c r="I6499" t="inlineStr">
        <is>
          <t>Open</t>
        </is>
      </c>
      <c r="M6499">
        <f>VLOOKUP(H6499,'Stage Order'!$A$2:$B$8,2,FALSE)</f>
        <v/>
      </c>
      <c r="N6499">
        <f>IF(G6499&lt;=1,"1. Under 1 hour",IF(G6499&lt;=24,"2. 1-24 hours",IF(G6499&lt;=72,"3. 1-3 days","4. Over 3 days")))</f>
        <v/>
      </c>
      <c r="O6499">
        <f>TEXT(B6499,"YYYY-MM")</f>
        <v/>
      </c>
    </row>
    <row r="6500">
      <c r="A6500" t="inlineStr">
        <is>
          <t>LD-306498</t>
        </is>
      </c>
      <c r="B6500" t="inlineStr">
        <is>
          <t>2026-01-30 13:50:00</t>
        </is>
      </c>
      <c r="C6500" t="inlineStr">
        <is>
          <t>Cold Outreach</t>
        </is>
      </c>
      <c r="D6500" t="inlineStr">
        <is>
          <t>K-12 Math</t>
        </is>
      </c>
      <c r="E6500" t="inlineStr">
        <is>
          <t>West Region</t>
        </is>
      </c>
      <c r="F6500" t="inlineStr">
        <is>
          <t>Rep_03</t>
        </is>
      </c>
      <c r="G6500" t="n">
        <v>2.85</v>
      </c>
      <c r="H6500" t="inlineStr">
        <is>
          <t>Contacted</t>
        </is>
      </c>
      <c r="I6500" t="inlineStr">
        <is>
          <t>Open</t>
        </is>
      </c>
      <c r="M6500">
        <f>VLOOKUP(H6500,'Stage Order'!$A$2:$B$8,2,FALSE)</f>
        <v/>
      </c>
      <c r="N6500">
        <f>IF(G6500&lt;=1,"1. Under 1 hour",IF(G6500&lt;=24,"2. 1-24 hours",IF(G6500&lt;=72,"3. 1-3 days","4. Over 3 days")))</f>
        <v/>
      </c>
      <c r="O6500">
        <f>TEXT(B6500,"YYYY-MM")</f>
        <v/>
      </c>
    </row>
    <row r="6501">
      <c r="A6501" t="inlineStr">
        <is>
          <t>LD-306499</t>
        </is>
      </c>
      <c r="B6501" t="inlineStr">
        <is>
          <t>2025-06-08 12:12:00</t>
        </is>
      </c>
      <c r="C6501" t="inlineStr">
        <is>
          <t>Cold Outreach</t>
        </is>
      </c>
      <c r="D6501" t="inlineStr">
        <is>
          <t>Language Learning</t>
        </is>
      </c>
      <c r="E6501" t="inlineStr">
        <is>
          <t>East Region</t>
        </is>
      </c>
      <c r="F6501" t="inlineStr">
        <is>
          <t>Rep_04</t>
        </is>
      </c>
      <c r="G6501" t="n">
        <v>0.71</v>
      </c>
      <c r="H6501" t="inlineStr">
        <is>
          <t>Lead</t>
        </is>
      </c>
      <c r="I6501" t="inlineStr">
        <is>
          <t>Open</t>
        </is>
      </c>
      <c r="M6501">
        <f>VLOOKUP(H6501,'Stage Order'!$A$2:$B$8,2,FALSE)</f>
        <v/>
      </c>
      <c r="N6501">
        <f>IF(G6501&lt;=1,"1. Under 1 hour",IF(G6501&lt;=24,"2. 1-24 hours",IF(G6501&lt;=72,"3. 1-3 days","4. Over 3 days")))</f>
        <v/>
      </c>
      <c r="O6501">
        <f>TEXT(B6501,"YYYY-MM")</f>
        <v/>
      </c>
    </row>
    <row r="6502">
      <c r="A6502" t="inlineStr">
        <is>
          <t>LD-306500</t>
        </is>
      </c>
      <c r="B6502" t="inlineStr">
        <is>
          <t>2025-12-25 13:01:00</t>
        </is>
      </c>
      <c r="C6502" t="inlineStr">
        <is>
          <t>Organic Search</t>
        </is>
      </c>
      <c r="D6502" t="inlineStr">
        <is>
          <t>Competitive Exam Prep</t>
        </is>
      </c>
      <c r="E6502" t="inlineStr">
        <is>
          <t>West Region</t>
        </is>
      </c>
      <c r="F6502" t="inlineStr">
        <is>
          <t>Rep_13</t>
        </is>
      </c>
      <c r="G6502" t="n">
        <v>9.43</v>
      </c>
      <c r="H6502" t="inlineStr">
        <is>
          <t>Demo Completed</t>
        </is>
      </c>
      <c r="I6502" t="inlineStr">
        <is>
          <t>Lost</t>
        </is>
      </c>
      <c r="J6502" t="inlineStr">
        <is>
          <t>Price Objection</t>
        </is>
      </c>
      <c r="K6502" t="n">
        <v>893.08</v>
      </c>
      <c r="L6502" t="inlineStr">
        <is>
          <t>2026-02-03 07:37:38.315935</t>
        </is>
      </c>
      <c r="M6502">
        <f>VLOOKUP(H6502,'Stage Order'!$A$2:$B$8,2,FALSE)</f>
        <v/>
      </c>
      <c r="N6502">
        <f>IF(G6502&lt;=1,"1. Under 1 hour",IF(G6502&lt;=24,"2. 1-24 hours",IF(G6502&lt;=72,"3. 1-3 days","4. Over 3 days")))</f>
        <v/>
      </c>
      <c r="O6502">
        <f>TEXT(B6502,"YYYY-MM")</f>
        <v/>
      </c>
    </row>
    <row r="6503">
      <c r="A6503" t="inlineStr">
        <is>
          <t>LD-306501</t>
        </is>
      </c>
      <c r="B6503" t="inlineStr">
        <is>
          <t>2025-08-29 09:48:00</t>
        </is>
      </c>
      <c r="C6503" t="inlineStr">
        <is>
          <t>Social Media</t>
        </is>
      </c>
      <c r="D6503" t="inlineStr">
        <is>
          <t>K-12 Math</t>
        </is>
      </c>
      <c r="E6503" t="inlineStr">
        <is>
          <t>West Region</t>
        </is>
      </c>
      <c r="F6503" t="inlineStr">
        <is>
          <t>Rep_08</t>
        </is>
      </c>
      <c r="G6503" t="n">
        <v>3.06</v>
      </c>
      <c r="H6503" t="inlineStr">
        <is>
          <t>Contacted</t>
        </is>
      </c>
      <c r="I6503" t="inlineStr">
        <is>
          <t>Open</t>
        </is>
      </c>
      <c r="M6503">
        <f>VLOOKUP(H6503,'Stage Order'!$A$2:$B$8,2,FALSE)</f>
        <v/>
      </c>
      <c r="N6503">
        <f>IF(G6503&lt;=1,"1. Under 1 hour",IF(G6503&lt;=24,"2. 1-24 hours",IF(G6503&lt;=72,"3. 1-3 days","4. Over 3 days")))</f>
        <v/>
      </c>
      <c r="O6503">
        <f>TEXT(B6503,"YYYY-MM")</f>
        <v/>
      </c>
    </row>
    <row r="6504">
      <c r="A6504" t="inlineStr">
        <is>
          <t>LD-306502</t>
        </is>
      </c>
      <c r="B6504" t="inlineStr">
        <is>
          <t>2026-01-12 17:08:00</t>
        </is>
      </c>
      <c r="C6504" t="inlineStr">
        <is>
          <t>Paid Search</t>
        </is>
      </c>
      <c r="D6504" t="inlineStr">
        <is>
          <t>K-12 Math</t>
        </is>
      </c>
      <c r="E6504" t="inlineStr">
        <is>
          <t>East Region</t>
        </is>
      </c>
      <c r="F6504" t="inlineStr">
        <is>
          <t>Rep_09</t>
        </is>
      </c>
      <c r="G6504" t="n">
        <v>0.87</v>
      </c>
      <c r="H6504" t="inlineStr">
        <is>
          <t>Demo Completed</t>
        </is>
      </c>
      <c r="I6504" t="inlineStr">
        <is>
          <t>Lost</t>
        </is>
      </c>
      <c r="J6504" t="inlineStr">
        <is>
          <t>Bad Timing</t>
        </is>
      </c>
      <c r="K6504" t="n">
        <v>499.16</v>
      </c>
      <c r="L6504" t="inlineStr">
        <is>
          <t>2026-02-02 15:36:10.293220</t>
        </is>
      </c>
      <c r="M6504">
        <f>VLOOKUP(H6504,'Stage Order'!$A$2:$B$8,2,FALSE)</f>
        <v/>
      </c>
      <c r="N6504">
        <f>IF(G6504&lt;=1,"1. Under 1 hour",IF(G6504&lt;=24,"2. 1-24 hours",IF(G6504&lt;=72,"3. 1-3 days","4. Over 3 days")))</f>
        <v/>
      </c>
      <c r="O6504">
        <f>TEXT(B6504,"YYYY-MM")</f>
        <v/>
      </c>
    </row>
    <row r="6505">
      <c r="A6505" t="inlineStr">
        <is>
          <t>LD-306503</t>
        </is>
      </c>
      <c r="B6505" t="inlineStr">
        <is>
          <t>2025-07-23 13:22:00</t>
        </is>
      </c>
      <c r="C6505" t="inlineStr">
        <is>
          <t>Paid Search</t>
        </is>
      </c>
      <c r="D6505" t="inlineStr">
        <is>
          <t>K-12 Math</t>
        </is>
      </c>
      <c r="E6505" t="inlineStr">
        <is>
          <t>North Region</t>
        </is>
      </c>
      <c r="F6505" t="inlineStr">
        <is>
          <t>Rep_11</t>
        </is>
      </c>
      <c r="G6505" t="n">
        <v>4.06</v>
      </c>
      <c r="H6505" t="inlineStr">
        <is>
          <t>Closed</t>
        </is>
      </c>
      <c r="I6505" t="inlineStr">
        <is>
          <t>Won</t>
        </is>
      </c>
      <c r="K6505" t="n">
        <v>564.4</v>
      </c>
      <c r="L6505" t="inlineStr">
        <is>
          <t>2025-08-30 21:21:48.762329</t>
        </is>
      </c>
      <c r="M6505">
        <f>VLOOKUP(H6505,'Stage Order'!$A$2:$B$8,2,FALSE)</f>
        <v/>
      </c>
      <c r="N6505">
        <f>IF(G6505&lt;=1,"1. Under 1 hour",IF(G6505&lt;=24,"2. 1-24 hours",IF(G6505&lt;=72,"3. 1-3 days","4. Over 3 days")))</f>
        <v/>
      </c>
      <c r="O6505">
        <f>TEXT(B6505,"YYYY-MM")</f>
        <v/>
      </c>
    </row>
    <row r="6506">
      <c r="A6506" t="inlineStr">
        <is>
          <t>LD-306504</t>
        </is>
      </c>
      <c r="B6506" t="inlineStr">
        <is>
          <t>2026-04-13 16:09:00</t>
        </is>
      </c>
      <c r="C6506" t="inlineStr">
        <is>
          <t>Referral</t>
        </is>
      </c>
      <c r="D6506" t="inlineStr">
        <is>
          <t>K-12 Math</t>
        </is>
      </c>
      <c r="E6506" t="inlineStr">
        <is>
          <t>East Region</t>
        </is>
      </c>
      <c r="F6506" t="inlineStr">
        <is>
          <t>Rep_09</t>
        </is>
      </c>
      <c r="G6506" t="n">
        <v>4.2</v>
      </c>
      <c r="H6506" t="inlineStr">
        <is>
          <t>Contacted</t>
        </is>
      </c>
      <c r="I6506" t="inlineStr">
        <is>
          <t>Open</t>
        </is>
      </c>
      <c r="M6506">
        <f>VLOOKUP(H6506,'Stage Order'!$A$2:$B$8,2,FALSE)</f>
        <v/>
      </c>
      <c r="N6506">
        <f>IF(G6506&lt;=1,"1. Under 1 hour",IF(G6506&lt;=24,"2. 1-24 hours",IF(G6506&lt;=72,"3. 1-3 days","4. Over 3 days")))</f>
        <v/>
      </c>
      <c r="O6506">
        <f>TEXT(B6506,"YYYY-MM")</f>
        <v/>
      </c>
    </row>
    <row r="6507">
      <c r="A6507" t="inlineStr">
        <is>
          <t>LD-306505</t>
        </is>
      </c>
      <c r="B6507" t="inlineStr">
        <is>
          <t>2025-01-10 20:35:00</t>
        </is>
      </c>
      <c r="C6507" t="inlineStr">
        <is>
          <t>Organic Search</t>
        </is>
      </c>
      <c r="D6507" t="inlineStr">
        <is>
          <t>Coding for Kids</t>
        </is>
      </c>
      <c r="E6507" t="inlineStr">
        <is>
          <t>North Region</t>
        </is>
      </c>
      <c r="F6507" t="inlineStr">
        <is>
          <t>Rep_06</t>
        </is>
      </c>
      <c r="G6507" t="n">
        <v>5.93</v>
      </c>
      <c r="H6507" t="inlineStr">
        <is>
          <t>Demo Completed</t>
        </is>
      </c>
      <c r="I6507" t="inlineStr">
        <is>
          <t>Lost</t>
        </is>
      </c>
      <c r="J6507" t="inlineStr">
        <is>
          <t>Went With Competitor</t>
        </is>
      </c>
      <c r="K6507" t="n">
        <v>609.38</v>
      </c>
      <c r="L6507" t="inlineStr">
        <is>
          <t>2025-02-11 09:48:39.983993</t>
        </is>
      </c>
      <c r="M6507">
        <f>VLOOKUP(H6507,'Stage Order'!$A$2:$B$8,2,FALSE)</f>
        <v/>
      </c>
      <c r="N6507">
        <f>IF(G6507&lt;=1,"1. Under 1 hour",IF(G6507&lt;=24,"2. 1-24 hours",IF(G6507&lt;=72,"3. 1-3 days","4. Over 3 days")))</f>
        <v/>
      </c>
      <c r="O6507">
        <f>TEXT(B6507,"YYYY-MM")</f>
        <v/>
      </c>
    </row>
    <row r="6508">
      <c r="A6508" t="inlineStr">
        <is>
          <t>LD-306506</t>
        </is>
      </c>
      <c r="B6508" t="inlineStr">
        <is>
          <t>2026-04-14 16:22:00</t>
        </is>
      </c>
      <c r="C6508" t="inlineStr">
        <is>
          <t>Paid Search</t>
        </is>
      </c>
      <c r="D6508" t="inlineStr">
        <is>
          <t>Competitive Exam Prep</t>
        </is>
      </c>
      <c r="E6508" t="inlineStr">
        <is>
          <t>South Region</t>
        </is>
      </c>
      <c r="F6508" t="inlineStr">
        <is>
          <t>Rep_02</t>
        </is>
      </c>
      <c r="G6508" t="n">
        <v>4.57</v>
      </c>
      <c r="H6508" t="inlineStr">
        <is>
          <t>Closed</t>
        </is>
      </c>
      <c r="I6508" t="inlineStr">
        <is>
          <t>Won</t>
        </is>
      </c>
      <c r="K6508" t="n">
        <v>926.71</v>
      </c>
      <c r="L6508" t="inlineStr">
        <is>
          <t>2026-05-22 12:52:17.309524</t>
        </is>
      </c>
      <c r="M6508">
        <f>VLOOKUP(H6508,'Stage Order'!$A$2:$B$8,2,FALSE)</f>
        <v/>
      </c>
      <c r="N6508">
        <f>IF(G6508&lt;=1,"1. Under 1 hour",IF(G6508&lt;=24,"2. 1-24 hours",IF(G6508&lt;=72,"3. 1-3 days","4. Over 3 days")))</f>
        <v/>
      </c>
      <c r="O6508">
        <f>TEXT(B6508,"YYYY-MM")</f>
        <v/>
      </c>
    </row>
    <row r="6509">
      <c r="A6509" t="inlineStr">
        <is>
          <t>LD-306507</t>
        </is>
      </c>
      <c r="B6509" t="inlineStr">
        <is>
          <t>2025-08-08 13:09:00</t>
        </is>
      </c>
      <c r="C6509" t="inlineStr">
        <is>
          <t>Organic Search</t>
        </is>
      </c>
      <c r="D6509" t="inlineStr">
        <is>
          <t>K-12 Math</t>
        </is>
      </c>
      <c r="E6509" t="inlineStr">
        <is>
          <t>North Region</t>
        </is>
      </c>
      <c r="F6509" t="inlineStr">
        <is>
          <t>Rep_01</t>
        </is>
      </c>
      <c r="G6509" t="n">
        <v>3.64</v>
      </c>
      <c r="H6509" t="inlineStr">
        <is>
          <t>Contacted</t>
        </is>
      </c>
      <c r="I6509" t="inlineStr">
        <is>
          <t>Open</t>
        </is>
      </c>
      <c r="M6509">
        <f>VLOOKUP(H6509,'Stage Order'!$A$2:$B$8,2,FALSE)</f>
        <v/>
      </c>
      <c r="N6509">
        <f>IF(G6509&lt;=1,"1. Under 1 hour",IF(G6509&lt;=24,"2. 1-24 hours",IF(G6509&lt;=72,"3. 1-3 days","4. Over 3 days")))</f>
        <v/>
      </c>
      <c r="O6509">
        <f>TEXT(B6509,"YYYY-MM")</f>
        <v/>
      </c>
    </row>
    <row r="6510">
      <c r="A6510" t="inlineStr">
        <is>
          <t>LD-306508</t>
        </is>
      </c>
      <c r="B6510" t="inlineStr">
        <is>
          <t>2025-10-10 11:26:00</t>
        </is>
      </c>
      <c r="C6510" t="inlineStr">
        <is>
          <t>Organic Search</t>
        </is>
      </c>
      <c r="D6510" t="inlineStr">
        <is>
          <t>K-12 Math</t>
        </is>
      </c>
      <c r="E6510" t="inlineStr">
        <is>
          <t>West Region</t>
        </is>
      </c>
      <c r="F6510" t="inlineStr">
        <is>
          <t>Rep_13</t>
        </is>
      </c>
      <c r="G6510" t="n">
        <v>1.7</v>
      </c>
      <c r="H6510" t="inlineStr">
        <is>
          <t>Contacted</t>
        </is>
      </c>
      <c r="I6510" t="inlineStr">
        <is>
          <t>Open</t>
        </is>
      </c>
      <c r="M6510">
        <f>VLOOKUP(H6510,'Stage Order'!$A$2:$B$8,2,FALSE)</f>
        <v/>
      </c>
      <c r="N6510">
        <f>IF(G6510&lt;=1,"1. Under 1 hour",IF(G6510&lt;=24,"2. 1-24 hours",IF(G6510&lt;=72,"3. 1-3 days","4. Over 3 days")))</f>
        <v/>
      </c>
      <c r="O6510">
        <f>TEXT(B6510,"YYYY-MM")</f>
        <v/>
      </c>
    </row>
    <row r="6511">
      <c r="A6511" t="inlineStr">
        <is>
          <t>LD-306509</t>
        </is>
      </c>
      <c r="B6511" t="inlineStr">
        <is>
          <t>2025-12-03 17:58:00</t>
        </is>
      </c>
      <c r="C6511" t="inlineStr">
        <is>
          <t>Cold Outreach</t>
        </is>
      </c>
      <c r="D6511" t="inlineStr">
        <is>
          <t>K-12 Math</t>
        </is>
      </c>
      <c r="E6511" t="inlineStr">
        <is>
          <t>West Region</t>
        </is>
      </c>
      <c r="F6511" t="inlineStr">
        <is>
          <t>Rep_08</t>
        </is>
      </c>
      <c r="G6511" t="n">
        <v>2.29</v>
      </c>
      <c r="H6511" t="inlineStr">
        <is>
          <t>Lead</t>
        </is>
      </c>
      <c r="I6511" t="inlineStr">
        <is>
          <t>Open</t>
        </is>
      </c>
      <c r="M6511">
        <f>VLOOKUP(H6511,'Stage Order'!$A$2:$B$8,2,FALSE)</f>
        <v/>
      </c>
      <c r="N6511">
        <f>IF(G6511&lt;=1,"1. Under 1 hour",IF(G6511&lt;=24,"2. 1-24 hours",IF(G6511&lt;=72,"3. 1-3 days","4. Over 3 days")))</f>
        <v/>
      </c>
      <c r="O6511">
        <f>TEXT(B6511,"YYYY-MM")</f>
        <v/>
      </c>
    </row>
    <row r="6512">
      <c r="A6512" t="inlineStr">
        <is>
          <t>LD-306510</t>
        </is>
      </c>
      <c r="B6512" t="inlineStr">
        <is>
          <t>2025-06-16 19:58:00</t>
        </is>
      </c>
      <c r="C6512" t="inlineStr">
        <is>
          <t>Paid Search</t>
        </is>
      </c>
      <c r="D6512" t="inlineStr">
        <is>
          <t>K-12 Math</t>
        </is>
      </c>
      <c r="E6512" t="inlineStr">
        <is>
          <t>South Region</t>
        </is>
      </c>
      <c r="F6512" t="inlineStr">
        <is>
          <t>Rep_07</t>
        </is>
      </c>
      <c r="G6512" t="n">
        <v>0.88</v>
      </c>
      <c r="H6512" t="inlineStr">
        <is>
          <t>Contacted</t>
        </is>
      </c>
      <c r="I6512" t="inlineStr">
        <is>
          <t>Open</t>
        </is>
      </c>
      <c r="M6512">
        <f>VLOOKUP(H6512,'Stage Order'!$A$2:$B$8,2,FALSE)</f>
        <v/>
      </c>
      <c r="N6512">
        <f>IF(G6512&lt;=1,"1. Under 1 hour",IF(G6512&lt;=24,"2. 1-24 hours",IF(G6512&lt;=72,"3. 1-3 days","4. Over 3 days")))</f>
        <v/>
      </c>
      <c r="O6512">
        <f>TEXT(B6512,"YYYY-MM")</f>
        <v/>
      </c>
    </row>
    <row r="6513">
      <c r="A6513" t="inlineStr">
        <is>
          <t>LD-306511</t>
        </is>
      </c>
      <c r="B6513" t="inlineStr">
        <is>
          <t>2025-12-12 08:18:00</t>
        </is>
      </c>
      <c r="C6513" t="inlineStr">
        <is>
          <t>Cold Outreach</t>
        </is>
      </c>
      <c r="D6513" t="inlineStr">
        <is>
          <t>Coding for Kids</t>
        </is>
      </c>
      <c r="E6513" t="inlineStr">
        <is>
          <t>North Region</t>
        </is>
      </c>
      <c r="F6513" t="inlineStr">
        <is>
          <t>Rep_01</t>
        </is>
      </c>
      <c r="G6513" t="n">
        <v>0.88</v>
      </c>
      <c r="H6513" t="inlineStr">
        <is>
          <t>Lead</t>
        </is>
      </c>
      <c r="I6513" t="inlineStr">
        <is>
          <t>Open</t>
        </is>
      </c>
      <c r="M6513">
        <f>VLOOKUP(H6513,'Stage Order'!$A$2:$B$8,2,FALSE)</f>
        <v/>
      </c>
      <c r="N6513">
        <f>IF(G6513&lt;=1,"1. Under 1 hour",IF(G6513&lt;=24,"2. 1-24 hours",IF(G6513&lt;=72,"3. 1-3 days","4. Over 3 days")))</f>
        <v/>
      </c>
      <c r="O6513">
        <f>TEXT(B6513,"YYYY-MM")</f>
        <v/>
      </c>
    </row>
    <row r="6514">
      <c r="A6514" t="inlineStr">
        <is>
          <t>LD-306512</t>
        </is>
      </c>
      <c r="B6514" t="inlineStr">
        <is>
          <t>2025-01-03 18:27:00</t>
        </is>
      </c>
      <c r="C6514" t="inlineStr">
        <is>
          <t>Organic Search</t>
        </is>
      </c>
      <c r="D6514" t="inlineStr">
        <is>
          <t>K-12 Math</t>
        </is>
      </c>
      <c r="E6514" t="inlineStr">
        <is>
          <t>West Region</t>
        </is>
      </c>
      <c r="F6514" t="inlineStr">
        <is>
          <t>Rep_08</t>
        </is>
      </c>
      <c r="G6514" t="n">
        <v>1.82</v>
      </c>
      <c r="H6514" t="inlineStr">
        <is>
          <t>Negotiation</t>
        </is>
      </c>
      <c r="I6514" t="inlineStr">
        <is>
          <t>Lost</t>
        </is>
      </c>
      <c r="J6514" t="inlineStr">
        <is>
          <t>Bad Timing</t>
        </is>
      </c>
      <c r="K6514" t="n">
        <v>569.5700000000001</v>
      </c>
      <c r="L6514" t="inlineStr">
        <is>
          <t>2025-02-03 10:11:07.791735</t>
        </is>
      </c>
      <c r="M6514">
        <f>VLOOKUP(H6514,'Stage Order'!$A$2:$B$8,2,FALSE)</f>
        <v/>
      </c>
      <c r="N6514">
        <f>IF(G6514&lt;=1,"1. Under 1 hour",IF(G6514&lt;=24,"2. 1-24 hours",IF(G6514&lt;=72,"3. 1-3 days","4. Over 3 days")))</f>
        <v/>
      </c>
      <c r="O6514">
        <f>TEXT(B6514,"YYYY-MM")</f>
        <v/>
      </c>
    </row>
    <row r="6515">
      <c r="A6515" t="inlineStr">
        <is>
          <t>LD-306513</t>
        </is>
      </c>
      <c r="B6515" t="inlineStr">
        <is>
          <t>2025-03-11 17:49:00</t>
        </is>
      </c>
      <c r="C6515" t="inlineStr">
        <is>
          <t>Referral</t>
        </is>
      </c>
      <c r="D6515" t="inlineStr">
        <is>
          <t>Competitive Exam Prep</t>
        </is>
      </c>
      <c r="E6515" t="inlineStr">
        <is>
          <t>South Region</t>
        </is>
      </c>
      <c r="F6515" t="inlineStr">
        <is>
          <t>Rep_02</t>
        </is>
      </c>
      <c r="G6515" t="n">
        <v>3.02</v>
      </c>
      <c r="H6515" t="inlineStr">
        <is>
          <t>Contacted</t>
        </is>
      </c>
      <c r="I6515" t="inlineStr">
        <is>
          <t>Open</t>
        </is>
      </c>
      <c r="M6515">
        <f>VLOOKUP(H6515,'Stage Order'!$A$2:$B$8,2,FALSE)</f>
        <v/>
      </c>
      <c r="N6515">
        <f>IF(G6515&lt;=1,"1. Under 1 hour",IF(G6515&lt;=24,"2. 1-24 hours",IF(G6515&lt;=72,"3. 1-3 days","4. Over 3 days")))</f>
        <v/>
      </c>
      <c r="O6515">
        <f>TEXT(B6515,"YYYY-MM")</f>
        <v/>
      </c>
    </row>
    <row r="6516">
      <c r="A6516" t="inlineStr">
        <is>
          <t>LD-306514</t>
        </is>
      </c>
      <c r="B6516" t="inlineStr">
        <is>
          <t>2025-05-26 17:46:00</t>
        </is>
      </c>
      <c r="C6516" t="inlineStr">
        <is>
          <t>Paid Search</t>
        </is>
      </c>
      <c r="D6516" t="inlineStr">
        <is>
          <t>Language Learning</t>
        </is>
      </c>
      <c r="E6516" t="inlineStr">
        <is>
          <t>West Region</t>
        </is>
      </c>
      <c r="F6516" t="inlineStr">
        <is>
          <t>Rep_13</t>
        </is>
      </c>
      <c r="G6516" t="n">
        <v>2.59</v>
      </c>
      <c r="H6516" t="inlineStr">
        <is>
          <t>Demo Completed</t>
        </is>
      </c>
      <c r="I6516" t="inlineStr">
        <is>
          <t>Lost</t>
        </is>
      </c>
      <c r="J6516" t="inlineStr">
        <is>
          <t>No Response / Ghosted</t>
        </is>
      </c>
      <c r="K6516" t="n">
        <v>359.34</v>
      </c>
      <c r="L6516" t="inlineStr">
        <is>
          <t>2025-06-23 20:51:36.495463</t>
        </is>
      </c>
      <c r="M6516">
        <f>VLOOKUP(H6516,'Stage Order'!$A$2:$B$8,2,FALSE)</f>
        <v/>
      </c>
      <c r="N6516">
        <f>IF(G6516&lt;=1,"1. Under 1 hour",IF(G6516&lt;=24,"2. 1-24 hours",IF(G6516&lt;=72,"3. 1-3 days","4. Over 3 days")))</f>
        <v/>
      </c>
      <c r="O6516">
        <f>TEXT(B6516,"YYYY-MM")</f>
        <v/>
      </c>
    </row>
    <row r="6517">
      <c r="A6517" t="inlineStr">
        <is>
          <t>LD-306515</t>
        </is>
      </c>
      <c r="B6517" t="inlineStr">
        <is>
          <t>2026-03-06 18:22:00</t>
        </is>
      </c>
      <c r="C6517" t="inlineStr">
        <is>
          <t>Webinar</t>
        </is>
      </c>
      <c r="D6517" t="inlineStr">
        <is>
          <t>Study Abroad Prep</t>
        </is>
      </c>
      <c r="E6517" t="inlineStr">
        <is>
          <t>West Region</t>
        </is>
      </c>
      <c r="F6517" t="inlineStr">
        <is>
          <t>Rep_03</t>
        </is>
      </c>
      <c r="G6517" t="n">
        <v>5.93</v>
      </c>
      <c r="H6517" t="inlineStr">
        <is>
          <t>Proposal Sent</t>
        </is>
      </c>
      <c r="I6517" t="inlineStr">
        <is>
          <t>Lost</t>
        </is>
      </c>
      <c r="J6517" t="inlineStr">
        <is>
          <t>No Response / Ghosted</t>
        </is>
      </c>
      <c r="K6517" t="n">
        <v>1516.71</v>
      </c>
      <c r="L6517" t="inlineStr">
        <is>
          <t>2026-03-31 11:58:16.910546</t>
        </is>
      </c>
      <c r="M6517">
        <f>VLOOKUP(H6517,'Stage Order'!$A$2:$B$8,2,FALSE)</f>
        <v/>
      </c>
      <c r="N6517">
        <f>IF(G6517&lt;=1,"1. Under 1 hour",IF(G6517&lt;=24,"2. 1-24 hours",IF(G6517&lt;=72,"3. 1-3 days","4. Over 3 days")))</f>
        <v/>
      </c>
      <c r="O6517">
        <f>TEXT(B6517,"YYYY-MM")</f>
        <v/>
      </c>
    </row>
    <row r="6518">
      <c r="A6518" t="inlineStr">
        <is>
          <t>LD-306516</t>
        </is>
      </c>
      <c r="B6518" t="inlineStr">
        <is>
          <t>2026-01-11 17:09:00</t>
        </is>
      </c>
      <c r="C6518" t="inlineStr">
        <is>
          <t>Cold Outreach</t>
        </is>
      </c>
      <c r="D6518" t="inlineStr">
        <is>
          <t>Language Learning</t>
        </is>
      </c>
      <c r="E6518" t="inlineStr">
        <is>
          <t>West Region</t>
        </is>
      </c>
      <c r="F6518" t="inlineStr">
        <is>
          <t>Rep_08</t>
        </is>
      </c>
      <c r="G6518" t="n">
        <v>1.94</v>
      </c>
      <c r="H6518" t="inlineStr">
        <is>
          <t>Contacted</t>
        </is>
      </c>
      <c r="I6518" t="inlineStr">
        <is>
          <t>Open</t>
        </is>
      </c>
      <c r="M6518">
        <f>VLOOKUP(H6518,'Stage Order'!$A$2:$B$8,2,FALSE)</f>
        <v/>
      </c>
      <c r="N6518">
        <f>IF(G6518&lt;=1,"1. Under 1 hour",IF(G6518&lt;=24,"2. 1-24 hours",IF(G6518&lt;=72,"3. 1-3 days","4. Over 3 days")))</f>
        <v/>
      </c>
      <c r="O6518">
        <f>TEXT(B6518,"YYYY-MM")</f>
        <v/>
      </c>
    </row>
    <row r="6519">
      <c r="A6519" t="inlineStr">
        <is>
          <t>LD-306517</t>
        </is>
      </c>
      <c r="B6519" t="inlineStr">
        <is>
          <t>2025-02-15 16:38:00</t>
        </is>
      </c>
      <c r="C6519" t="inlineStr">
        <is>
          <t>Paid Search</t>
        </is>
      </c>
      <c r="D6519" t="inlineStr">
        <is>
          <t>K-12 Math</t>
        </is>
      </c>
      <c r="E6519" t="inlineStr">
        <is>
          <t>International</t>
        </is>
      </c>
      <c r="F6519" t="inlineStr">
        <is>
          <t>Rep_05</t>
        </is>
      </c>
      <c r="G6519" t="n">
        <v>3.5</v>
      </c>
      <c r="H6519" t="inlineStr">
        <is>
          <t>Proposal Sent</t>
        </is>
      </c>
      <c r="I6519" t="inlineStr">
        <is>
          <t>Lost</t>
        </is>
      </c>
      <c r="J6519" t="inlineStr">
        <is>
          <t>No Response / Ghosted</t>
        </is>
      </c>
      <c r="K6519" t="n">
        <v>528.95</v>
      </c>
      <c r="L6519" t="inlineStr">
        <is>
          <t>2025-03-27 12:42:12.014739</t>
        </is>
      </c>
      <c r="M6519">
        <f>VLOOKUP(H6519,'Stage Order'!$A$2:$B$8,2,FALSE)</f>
        <v/>
      </c>
      <c r="N6519">
        <f>IF(G6519&lt;=1,"1. Under 1 hour",IF(G6519&lt;=24,"2. 1-24 hours",IF(G6519&lt;=72,"3. 1-3 days","4. Over 3 days")))</f>
        <v/>
      </c>
      <c r="O6519">
        <f>TEXT(B6519,"YYYY-MM")</f>
        <v/>
      </c>
    </row>
    <row r="6520">
      <c r="A6520" t="inlineStr">
        <is>
          <t>LD-306518</t>
        </is>
      </c>
      <c r="B6520" t="inlineStr">
        <is>
          <t>2025-12-22 12:44:00</t>
        </is>
      </c>
      <c r="C6520" t="inlineStr">
        <is>
          <t>Paid Search</t>
        </is>
      </c>
      <c r="D6520" t="inlineStr">
        <is>
          <t>Study Abroad Prep</t>
        </is>
      </c>
      <c r="E6520" t="inlineStr">
        <is>
          <t>West Region</t>
        </is>
      </c>
      <c r="F6520" t="inlineStr">
        <is>
          <t>Rep_03</t>
        </is>
      </c>
      <c r="G6520" t="n">
        <v>1.25</v>
      </c>
      <c r="H6520" t="inlineStr">
        <is>
          <t>Contacted</t>
        </is>
      </c>
      <c r="I6520" t="inlineStr">
        <is>
          <t>Open</t>
        </is>
      </c>
      <c r="M6520">
        <f>VLOOKUP(H6520,'Stage Order'!$A$2:$B$8,2,FALSE)</f>
        <v/>
      </c>
      <c r="N6520">
        <f>IF(G6520&lt;=1,"1. Under 1 hour",IF(G6520&lt;=24,"2. 1-24 hours",IF(G6520&lt;=72,"3. 1-3 days","4. Over 3 days")))</f>
        <v/>
      </c>
      <c r="O6520">
        <f>TEXT(B6520,"YYYY-MM")</f>
        <v/>
      </c>
    </row>
    <row r="6521">
      <c r="A6521" t="inlineStr">
        <is>
          <t>LD-306519</t>
        </is>
      </c>
      <c r="B6521" t="inlineStr">
        <is>
          <t>2026-06-17 18:47:00</t>
        </is>
      </c>
      <c r="C6521" t="inlineStr">
        <is>
          <t>Organic Search</t>
        </is>
      </c>
      <c r="D6521" t="inlineStr">
        <is>
          <t>K-12 Math</t>
        </is>
      </c>
      <c r="E6521" t="inlineStr">
        <is>
          <t>East Region</t>
        </is>
      </c>
      <c r="F6521" t="inlineStr">
        <is>
          <t>Rep_09</t>
        </is>
      </c>
      <c r="G6521" t="n">
        <v>6.67</v>
      </c>
      <c r="H6521" t="inlineStr">
        <is>
          <t>Demo Completed</t>
        </is>
      </c>
      <c r="I6521" t="inlineStr">
        <is>
          <t>Lost</t>
        </is>
      </c>
      <c r="J6521" t="inlineStr">
        <is>
          <t>Went With Competitor</t>
        </is>
      </c>
      <c r="K6521" t="n">
        <v>563.95</v>
      </c>
      <c r="L6521" t="inlineStr">
        <is>
          <t>2026-07-15 15:08:23.383859</t>
        </is>
      </c>
      <c r="M6521">
        <f>VLOOKUP(H6521,'Stage Order'!$A$2:$B$8,2,FALSE)</f>
        <v/>
      </c>
      <c r="N6521">
        <f>IF(G6521&lt;=1,"1. Under 1 hour",IF(G6521&lt;=24,"2. 1-24 hours",IF(G6521&lt;=72,"3. 1-3 days","4. Over 3 days")))</f>
        <v/>
      </c>
      <c r="O6521">
        <f>TEXT(B6521,"YYYY-MM")</f>
        <v/>
      </c>
    </row>
    <row r="6522">
      <c r="A6522" t="inlineStr">
        <is>
          <t>LD-306520</t>
        </is>
      </c>
      <c r="B6522" t="inlineStr">
        <is>
          <t>2026-03-10 11:08:00</t>
        </is>
      </c>
      <c r="C6522" t="inlineStr">
        <is>
          <t>Social Media</t>
        </is>
      </c>
      <c r="D6522" t="inlineStr">
        <is>
          <t>K-12 Math</t>
        </is>
      </c>
      <c r="E6522" t="inlineStr">
        <is>
          <t>North Region</t>
        </is>
      </c>
      <c r="F6522" t="inlineStr">
        <is>
          <t>Rep_01</t>
        </is>
      </c>
      <c r="G6522" t="n">
        <v>2.61</v>
      </c>
      <c r="H6522" t="inlineStr">
        <is>
          <t>Lead</t>
        </is>
      </c>
      <c r="I6522" t="inlineStr">
        <is>
          <t>Open</t>
        </is>
      </c>
      <c r="M6522">
        <f>VLOOKUP(H6522,'Stage Order'!$A$2:$B$8,2,FALSE)</f>
        <v/>
      </c>
      <c r="N6522">
        <f>IF(G6522&lt;=1,"1. Under 1 hour",IF(G6522&lt;=24,"2. 1-24 hours",IF(G6522&lt;=72,"3. 1-3 days","4. Over 3 days")))</f>
        <v/>
      </c>
      <c r="O6522">
        <f>TEXT(B6522,"YYYY-MM")</f>
        <v/>
      </c>
    </row>
    <row r="6523">
      <c r="A6523" t="inlineStr">
        <is>
          <t>LD-306521</t>
        </is>
      </c>
      <c r="B6523" t="inlineStr">
        <is>
          <t>2026-04-01 13:28:00</t>
        </is>
      </c>
      <c r="C6523" t="inlineStr">
        <is>
          <t>Cold Outreach</t>
        </is>
      </c>
      <c r="D6523" t="inlineStr">
        <is>
          <t>Coding for Kids</t>
        </is>
      </c>
      <c r="E6523" t="inlineStr">
        <is>
          <t>South Region</t>
        </is>
      </c>
      <c r="F6523" t="inlineStr">
        <is>
          <t>Rep_12</t>
        </is>
      </c>
      <c r="G6523" t="n">
        <v>1.12</v>
      </c>
      <c r="H6523" t="inlineStr">
        <is>
          <t>Contacted</t>
        </is>
      </c>
      <c r="I6523" t="inlineStr">
        <is>
          <t>Open</t>
        </is>
      </c>
      <c r="M6523">
        <f>VLOOKUP(H6523,'Stage Order'!$A$2:$B$8,2,FALSE)</f>
        <v/>
      </c>
      <c r="N6523">
        <f>IF(G6523&lt;=1,"1. Under 1 hour",IF(G6523&lt;=24,"2. 1-24 hours",IF(G6523&lt;=72,"3. 1-3 days","4. Over 3 days")))</f>
        <v/>
      </c>
      <c r="O6523">
        <f>TEXT(B6523,"YYYY-MM")</f>
        <v/>
      </c>
    </row>
    <row r="6524">
      <c r="A6524" t="inlineStr">
        <is>
          <t>LD-306522</t>
        </is>
      </c>
      <c r="B6524" t="inlineStr">
        <is>
          <t>2025-04-23 15:37:00</t>
        </is>
      </c>
      <c r="C6524" t="inlineStr">
        <is>
          <t>Partner Channel</t>
        </is>
      </c>
      <c r="D6524" t="inlineStr">
        <is>
          <t>Language Learning</t>
        </is>
      </c>
      <c r="E6524" t="inlineStr">
        <is>
          <t>East Region</t>
        </is>
      </c>
      <c r="F6524" t="inlineStr">
        <is>
          <t>Rep_09</t>
        </is>
      </c>
      <c r="G6524" t="n">
        <v>4.05</v>
      </c>
      <c r="H6524" t="inlineStr">
        <is>
          <t>Proposal Sent</t>
        </is>
      </c>
      <c r="I6524" t="inlineStr">
        <is>
          <t>Lost</t>
        </is>
      </c>
      <c r="J6524" t="inlineStr">
        <is>
          <t>Price Objection</t>
        </is>
      </c>
      <c r="K6524" t="n">
        <v>404.46</v>
      </c>
      <c r="L6524" t="inlineStr">
        <is>
          <t>2025-05-19 14:39:38.543867</t>
        </is>
      </c>
      <c r="M6524">
        <f>VLOOKUP(H6524,'Stage Order'!$A$2:$B$8,2,FALSE)</f>
        <v/>
      </c>
      <c r="N6524">
        <f>IF(G6524&lt;=1,"1. Under 1 hour",IF(G6524&lt;=24,"2. 1-24 hours",IF(G6524&lt;=72,"3. 1-3 days","4. Over 3 days")))</f>
        <v/>
      </c>
      <c r="O6524">
        <f>TEXT(B6524,"YYYY-MM")</f>
        <v/>
      </c>
    </row>
    <row r="6525">
      <c r="A6525" t="inlineStr">
        <is>
          <t>LD-306523</t>
        </is>
      </c>
      <c r="B6525" t="inlineStr">
        <is>
          <t>2025-01-09 08:42:00</t>
        </is>
      </c>
      <c r="C6525" t="inlineStr">
        <is>
          <t>Organic Search</t>
        </is>
      </c>
      <c r="D6525" t="inlineStr">
        <is>
          <t>Competitive Exam Prep</t>
        </is>
      </c>
      <c r="E6525" t="inlineStr">
        <is>
          <t>North Region</t>
        </is>
      </c>
      <c r="F6525" t="inlineStr">
        <is>
          <t>Rep_01</t>
        </is>
      </c>
      <c r="G6525" t="n">
        <v>3.27</v>
      </c>
      <c r="H6525" t="inlineStr">
        <is>
          <t>Demo Completed</t>
        </is>
      </c>
      <c r="I6525" t="inlineStr">
        <is>
          <t>Lost</t>
        </is>
      </c>
      <c r="J6525" t="inlineStr">
        <is>
          <t>Bad Timing</t>
        </is>
      </c>
      <c r="K6525" t="n">
        <v>983.09</v>
      </c>
      <c r="L6525" t="inlineStr">
        <is>
          <t>2025-02-25 04:14:29.303703</t>
        </is>
      </c>
      <c r="M6525">
        <f>VLOOKUP(H6525,'Stage Order'!$A$2:$B$8,2,FALSE)</f>
        <v/>
      </c>
      <c r="N6525">
        <f>IF(G6525&lt;=1,"1. Under 1 hour",IF(G6525&lt;=24,"2. 1-24 hours",IF(G6525&lt;=72,"3. 1-3 days","4. Over 3 days")))</f>
        <v/>
      </c>
      <c r="O6525">
        <f>TEXT(B6525,"YYYY-MM")</f>
        <v/>
      </c>
    </row>
    <row r="6526">
      <c r="A6526" t="inlineStr">
        <is>
          <t>LD-306524</t>
        </is>
      </c>
      <c r="B6526" t="inlineStr">
        <is>
          <t>2026-04-01 09:13:00</t>
        </is>
      </c>
      <c r="C6526" t="inlineStr">
        <is>
          <t>Organic Search</t>
        </is>
      </c>
      <c r="D6526" t="inlineStr">
        <is>
          <t>Study Abroad Prep</t>
        </is>
      </c>
      <c r="E6526" t="inlineStr">
        <is>
          <t>South Region</t>
        </is>
      </c>
      <c r="F6526" t="inlineStr">
        <is>
          <t>Rep_12</t>
        </is>
      </c>
      <c r="G6526" t="n">
        <v>2.31</v>
      </c>
      <c r="H6526" t="inlineStr">
        <is>
          <t>Contacted</t>
        </is>
      </c>
      <c r="I6526" t="inlineStr">
        <is>
          <t>Open</t>
        </is>
      </c>
      <c r="M6526">
        <f>VLOOKUP(H6526,'Stage Order'!$A$2:$B$8,2,FALSE)</f>
        <v/>
      </c>
      <c r="N6526">
        <f>IF(G6526&lt;=1,"1. Under 1 hour",IF(G6526&lt;=24,"2. 1-24 hours",IF(G6526&lt;=72,"3. 1-3 days","4. Over 3 days")))</f>
        <v/>
      </c>
      <c r="O6526">
        <f>TEXT(B6526,"YYYY-MM")</f>
        <v/>
      </c>
    </row>
    <row r="6527">
      <c r="A6527" t="inlineStr">
        <is>
          <t>LD-306525</t>
        </is>
      </c>
      <c r="B6527" t="inlineStr">
        <is>
          <t>2025-05-27 14:36:00</t>
        </is>
      </c>
      <c r="C6527" t="inlineStr">
        <is>
          <t>Webinar</t>
        </is>
      </c>
      <c r="D6527" t="inlineStr">
        <is>
          <t>K-12 Math</t>
        </is>
      </c>
      <c r="E6527" t="inlineStr">
        <is>
          <t>South Region</t>
        </is>
      </c>
      <c r="F6527" t="inlineStr">
        <is>
          <t>Rep_07</t>
        </is>
      </c>
      <c r="G6527" t="n">
        <v>2.17</v>
      </c>
      <c r="H6527" t="inlineStr">
        <is>
          <t>Proposal Sent</t>
        </is>
      </c>
      <c r="I6527" t="inlineStr">
        <is>
          <t>Lost</t>
        </is>
      </c>
      <c r="J6527" t="inlineStr">
        <is>
          <t>Went With Competitor</t>
        </is>
      </c>
      <c r="K6527" t="n">
        <v>521.3</v>
      </c>
      <c r="L6527" t="inlineStr">
        <is>
          <t>2025-07-14 12:37:21.396179</t>
        </is>
      </c>
      <c r="M6527">
        <f>VLOOKUP(H6527,'Stage Order'!$A$2:$B$8,2,FALSE)</f>
        <v/>
      </c>
      <c r="N6527">
        <f>IF(G6527&lt;=1,"1. Under 1 hour",IF(G6527&lt;=24,"2. 1-24 hours",IF(G6527&lt;=72,"3. 1-3 days","4. Over 3 days")))</f>
        <v/>
      </c>
      <c r="O6527">
        <f>TEXT(B6527,"YYYY-MM")</f>
        <v/>
      </c>
    </row>
    <row r="6528">
      <c r="A6528" t="inlineStr">
        <is>
          <t>LD-306526</t>
        </is>
      </c>
      <c r="B6528" t="inlineStr">
        <is>
          <t>2025-07-18 15:11:00</t>
        </is>
      </c>
      <c r="C6528" t="inlineStr">
        <is>
          <t>Organic Search</t>
        </is>
      </c>
      <c r="D6528" t="inlineStr">
        <is>
          <t>Study Abroad Prep</t>
        </is>
      </c>
      <c r="E6528" t="inlineStr">
        <is>
          <t>West Region</t>
        </is>
      </c>
      <c r="F6528" t="inlineStr">
        <is>
          <t>Rep_13</t>
        </is>
      </c>
      <c r="G6528" t="n">
        <v>5.28</v>
      </c>
      <c r="H6528" t="inlineStr">
        <is>
          <t>Contacted</t>
        </is>
      </c>
      <c r="I6528" t="inlineStr">
        <is>
          <t>Open</t>
        </is>
      </c>
      <c r="M6528">
        <f>VLOOKUP(H6528,'Stage Order'!$A$2:$B$8,2,FALSE)</f>
        <v/>
      </c>
      <c r="N6528">
        <f>IF(G6528&lt;=1,"1. Under 1 hour",IF(G6528&lt;=24,"2. 1-24 hours",IF(G6528&lt;=72,"3. 1-3 days","4. Over 3 days")))</f>
        <v/>
      </c>
      <c r="O6528">
        <f>TEXT(B6528,"YYYY-MM")</f>
        <v/>
      </c>
    </row>
    <row r="6529">
      <c r="A6529" t="inlineStr">
        <is>
          <t>LD-306527</t>
        </is>
      </c>
      <c r="B6529" t="inlineStr">
        <is>
          <t>2025-11-21 11:33:00</t>
        </is>
      </c>
      <c r="C6529" t="inlineStr">
        <is>
          <t>Organic Search</t>
        </is>
      </c>
      <c r="D6529" t="inlineStr">
        <is>
          <t>Competitive Exam Prep</t>
        </is>
      </c>
      <c r="E6529" t="inlineStr">
        <is>
          <t>West Region</t>
        </is>
      </c>
      <c r="F6529" t="inlineStr">
        <is>
          <t>Rep_03</t>
        </is>
      </c>
      <c r="G6529" t="n">
        <v>2.73</v>
      </c>
      <c r="H6529" t="inlineStr">
        <is>
          <t>Contacted</t>
        </is>
      </c>
      <c r="I6529" t="inlineStr">
        <is>
          <t>Open</t>
        </is>
      </c>
      <c r="M6529">
        <f>VLOOKUP(H6529,'Stage Order'!$A$2:$B$8,2,FALSE)</f>
        <v/>
      </c>
      <c r="N6529">
        <f>IF(G6529&lt;=1,"1. Under 1 hour",IF(G6529&lt;=24,"2. 1-24 hours",IF(G6529&lt;=72,"3. 1-3 days","4. Over 3 days")))</f>
        <v/>
      </c>
      <c r="O6529">
        <f>TEXT(B6529,"YYYY-MM")</f>
        <v/>
      </c>
    </row>
    <row r="6530">
      <c r="A6530" t="inlineStr">
        <is>
          <t>LD-306528</t>
        </is>
      </c>
      <c r="B6530" t="inlineStr">
        <is>
          <t>2026-05-31 11:42:00</t>
        </is>
      </c>
      <c r="C6530" t="inlineStr">
        <is>
          <t>Cold Outreach</t>
        </is>
      </c>
      <c r="D6530" t="inlineStr">
        <is>
          <t>Coding for Kids</t>
        </is>
      </c>
      <c r="E6530" t="inlineStr">
        <is>
          <t>North Region</t>
        </is>
      </c>
      <c r="F6530" t="inlineStr">
        <is>
          <t>Rep_01</t>
        </is>
      </c>
      <c r="G6530" t="n">
        <v>2.14</v>
      </c>
      <c r="H6530" t="inlineStr">
        <is>
          <t>Demo Scheduled</t>
        </is>
      </c>
      <c r="I6530" t="inlineStr">
        <is>
          <t>Open</t>
        </is>
      </c>
      <c r="M6530">
        <f>VLOOKUP(H6530,'Stage Order'!$A$2:$B$8,2,FALSE)</f>
        <v/>
      </c>
      <c r="N6530">
        <f>IF(G6530&lt;=1,"1. Under 1 hour",IF(G6530&lt;=24,"2. 1-24 hours",IF(G6530&lt;=72,"3. 1-3 days","4. Over 3 days")))</f>
        <v/>
      </c>
      <c r="O6530">
        <f>TEXT(B6530,"YYYY-MM")</f>
        <v/>
      </c>
    </row>
    <row r="6531">
      <c r="A6531" t="inlineStr">
        <is>
          <t>LD-306529</t>
        </is>
      </c>
      <c r="B6531" t="inlineStr">
        <is>
          <t>2025-06-27 19:12:00</t>
        </is>
      </c>
      <c r="C6531" t="inlineStr">
        <is>
          <t>Organic Search</t>
        </is>
      </c>
      <c r="D6531" t="inlineStr">
        <is>
          <t>Study Abroad Prep</t>
        </is>
      </c>
      <c r="E6531" t="inlineStr">
        <is>
          <t>South Region</t>
        </is>
      </c>
      <c r="F6531" t="inlineStr">
        <is>
          <t>Rep_07</t>
        </is>
      </c>
      <c r="G6531" t="n">
        <v>5.74</v>
      </c>
      <c r="H6531" t="inlineStr">
        <is>
          <t>Lead</t>
        </is>
      </c>
      <c r="I6531" t="inlineStr">
        <is>
          <t>Open</t>
        </is>
      </c>
      <c r="M6531">
        <f>VLOOKUP(H6531,'Stage Order'!$A$2:$B$8,2,FALSE)</f>
        <v/>
      </c>
      <c r="N6531">
        <f>IF(G6531&lt;=1,"1. Under 1 hour",IF(G6531&lt;=24,"2. 1-24 hours",IF(G6531&lt;=72,"3. 1-3 days","4. Over 3 days")))</f>
        <v/>
      </c>
      <c r="O6531">
        <f>TEXT(B6531,"YYYY-MM")</f>
        <v/>
      </c>
    </row>
    <row r="6532">
      <c r="A6532" t="inlineStr">
        <is>
          <t>LD-306530</t>
        </is>
      </c>
      <c r="B6532" t="inlineStr">
        <is>
          <t>2025-04-20 15:44:00</t>
        </is>
      </c>
      <c r="C6532" t="inlineStr">
        <is>
          <t>Paid Search</t>
        </is>
      </c>
      <c r="D6532" t="inlineStr">
        <is>
          <t>K-12 Math</t>
        </is>
      </c>
      <c r="E6532" t="inlineStr">
        <is>
          <t>East Region</t>
        </is>
      </c>
      <c r="F6532" t="inlineStr">
        <is>
          <t>Rep_04</t>
        </is>
      </c>
      <c r="G6532" t="n">
        <v>2.24</v>
      </c>
      <c r="H6532" t="inlineStr">
        <is>
          <t>Lead</t>
        </is>
      </c>
      <c r="I6532" t="inlineStr">
        <is>
          <t>Open</t>
        </is>
      </c>
      <c r="M6532">
        <f>VLOOKUP(H6532,'Stage Order'!$A$2:$B$8,2,FALSE)</f>
        <v/>
      </c>
      <c r="N6532">
        <f>IF(G6532&lt;=1,"1. Under 1 hour",IF(G6532&lt;=24,"2. 1-24 hours",IF(G6532&lt;=72,"3. 1-3 days","4. Over 3 days")))</f>
        <v/>
      </c>
      <c r="O6532">
        <f>TEXT(B6532,"YYYY-MM")</f>
        <v/>
      </c>
    </row>
    <row r="6533">
      <c r="A6533" t="inlineStr">
        <is>
          <t>LD-306531</t>
        </is>
      </c>
      <c r="B6533" t="inlineStr">
        <is>
          <t>2025-05-08 16:26:00</t>
        </is>
      </c>
      <c r="C6533" t="inlineStr">
        <is>
          <t>Paid Search</t>
        </is>
      </c>
      <c r="D6533" t="inlineStr">
        <is>
          <t>Competitive Exam Prep</t>
        </is>
      </c>
      <c r="E6533" t="inlineStr">
        <is>
          <t>North Region</t>
        </is>
      </c>
      <c r="F6533" t="inlineStr">
        <is>
          <t>Rep_11</t>
        </is>
      </c>
      <c r="G6533" t="n">
        <v>3.65</v>
      </c>
      <c r="H6533" t="inlineStr">
        <is>
          <t>Demo Completed</t>
        </is>
      </c>
      <c r="I6533" t="inlineStr">
        <is>
          <t>Lost</t>
        </is>
      </c>
      <c r="J6533" t="inlineStr">
        <is>
          <t>Price Objection</t>
        </is>
      </c>
      <c r="K6533" t="n">
        <v>906.21</v>
      </c>
      <c r="L6533" t="inlineStr">
        <is>
          <t>2025-06-14 05:45:11.146238</t>
        </is>
      </c>
      <c r="M6533">
        <f>VLOOKUP(H6533,'Stage Order'!$A$2:$B$8,2,FALSE)</f>
        <v/>
      </c>
      <c r="N6533">
        <f>IF(G6533&lt;=1,"1. Under 1 hour",IF(G6533&lt;=24,"2. 1-24 hours",IF(G6533&lt;=72,"3. 1-3 days","4. Over 3 days")))</f>
        <v/>
      </c>
      <c r="O6533">
        <f>TEXT(B6533,"YYYY-MM")</f>
        <v/>
      </c>
    </row>
    <row r="6534">
      <c r="A6534" t="inlineStr">
        <is>
          <t>LD-306532</t>
        </is>
      </c>
      <c r="B6534" t="inlineStr">
        <is>
          <t>2025-02-21 10:13:00</t>
        </is>
      </c>
      <c r="C6534" t="inlineStr">
        <is>
          <t>Paid Search</t>
        </is>
      </c>
      <c r="D6534" t="inlineStr">
        <is>
          <t>Study Abroad Prep</t>
        </is>
      </c>
      <c r="E6534" t="inlineStr">
        <is>
          <t>South Region</t>
        </is>
      </c>
      <c r="F6534" t="inlineStr">
        <is>
          <t>Rep_02</t>
        </is>
      </c>
      <c r="G6534" t="n">
        <v>1.6</v>
      </c>
      <c r="H6534" t="inlineStr">
        <is>
          <t>Lead</t>
        </is>
      </c>
      <c r="I6534" t="inlineStr">
        <is>
          <t>Open</t>
        </is>
      </c>
      <c r="M6534">
        <f>VLOOKUP(H6534,'Stage Order'!$A$2:$B$8,2,FALSE)</f>
        <v/>
      </c>
      <c r="N6534">
        <f>IF(G6534&lt;=1,"1. Under 1 hour",IF(G6534&lt;=24,"2. 1-24 hours",IF(G6534&lt;=72,"3. 1-3 days","4. Over 3 days")))</f>
        <v/>
      </c>
      <c r="O6534">
        <f>TEXT(B6534,"YYYY-MM")</f>
        <v/>
      </c>
    </row>
    <row r="6535">
      <c r="A6535" t="inlineStr">
        <is>
          <t>LD-306533</t>
        </is>
      </c>
      <c r="B6535" t="inlineStr">
        <is>
          <t>2026-02-12 11:20:00</t>
        </is>
      </c>
      <c r="C6535" t="inlineStr">
        <is>
          <t>Social Media</t>
        </is>
      </c>
      <c r="D6535" t="inlineStr">
        <is>
          <t>Competitive Exam Prep</t>
        </is>
      </c>
      <c r="E6535" t="inlineStr">
        <is>
          <t>South Region</t>
        </is>
      </c>
      <c r="F6535" t="inlineStr">
        <is>
          <t>Rep_02</t>
        </is>
      </c>
      <c r="G6535" t="n">
        <v>2.3</v>
      </c>
      <c r="H6535" t="inlineStr">
        <is>
          <t>Contacted</t>
        </is>
      </c>
      <c r="I6535" t="inlineStr">
        <is>
          <t>Open</t>
        </is>
      </c>
      <c r="M6535">
        <f>VLOOKUP(H6535,'Stage Order'!$A$2:$B$8,2,FALSE)</f>
        <v/>
      </c>
      <c r="N6535">
        <f>IF(G6535&lt;=1,"1. Under 1 hour",IF(G6535&lt;=24,"2. 1-24 hours",IF(G6535&lt;=72,"3. 1-3 days","4. Over 3 days")))</f>
        <v/>
      </c>
      <c r="O6535">
        <f>TEXT(B6535,"YYYY-MM")</f>
        <v/>
      </c>
    </row>
    <row r="6536">
      <c r="A6536" t="inlineStr">
        <is>
          <t>LD-306534</t>
        </is>
      </c>
      <c r="B6536" t="inlineStr">
        <is>
          <t>2026-02-20 15:07:00</t>
        </is>
      </c>
      <c r="C6536" t="inlineStr">
        <is>
          <t>Webinar</t>
        </is>
      </c>
      <c r="D6536" t="inlineStr">
        <is>
          <t>K-12 Math</t>
        </is>
      </c>
      <c r="E6536" t="inlineStr">
        <is>
          <t>North Region</t>
        </is>
      </c>
      <c r="F6536" t="inlineStr">
        <is>
          <t>Rep_06</t>
        </is>
      </c>
      <c r="G6536" t="n">
        <v>9.85</v>
      </c>
      <c r="H6536" t="inlineStr">
        <is>
          <t>Contacted</t>
        </is>
      </c>
      <c r="I6536" t="inlineStr">
        <is>
          <t>Open</t>
        </is>
      </c>
      <c r="M6536">
        <f>VLOOKUP(H6536,'Stage Order'!$A$2:$B$8,2,FALSE)</f>
        <v/>
      </c>
      <c r="N6536">
        <f>IF(G6536&lt;=1,"1. Under 1 hour",IF(G6536&lt;=24,"2. 1-24 hours",IF(G6536&lt;=72,"3. 1-3 days","4. Over 3 days")))</f>
        <v/>
      </c>
      <c r="O6536">
        <f>TEXT(B6536,"YYYY-MM")</f>
        <v/>
      </c>
    </row>
    <row r="6537">
      <c r="A6537" t="inlineStr">
        <is>
          <t>LD-306535</t>
        </is>
      </c>
      <c r="B6537" t="inlineStr">
        <is>
          <t>2025-06-14 09:41:00</t>
        </is>
      </c>
      <c r="C6537" t="inlineStr">
        <is>
          <t>Cold Outreach</t>
        </is>
      </c>
      <c r="D6537" t="inlineStr">
        <is>
          <t>Competitive Exam Prep</t>
        </is>
      </c>
      <c r="E6537" t="inlineStr">
        <is>
          <t>South Region</t>
        </is>
      </c>
      <c r="F6537" t="inlineStr">
        <is>
          <t>Rep_02</t>
        </is>
      </c>
      <c r="G6537" t="n">
        <v>3.46</v>
      </c>
      <c r="H6537" t="inlineStr">
        <is>
          <t>Contacted</t>
        </is>
      </c>
      <c r="I6537" t="inlineStr">
        <is>
          <t>Open</t>
        </is>
      </c>
      <c r="M6537">
        <f>VLOOKUP(H6537,'Stage Order'!$A$2:$B$8,2,FALSE)</f>
        <v/>
      </c>
      <c r="N6537">
        <f>IF(G6537&lt;=1,"1. Under 1 hour",IF(G6537&lt;=24,"2. 1-24 hours",IF(G6537&lt;=72,"3. 1-3 days","4. Over 3 days")))</f>
        <v/>
      </c>
      <c r="O6537">
        <f>TEXT(B6537,"YYYY-MM")</f>
        <v/>
      </c>
    </row>
    <row r="6538">
      <c r="A6538" t="inlineStr">
        <is>
          <t>LD-306536</t>
        </is>
      </c>
      <c r="B6538" t="inlineStr">
        <is>
          <t>2026-04-30 16:22:00</t>
        </is>
      </c>
      <c r="C6538" t="inlineStr">
        <is>
          <t>Webinar</t>
        </is>
      </c>
      <c r="D6538" t="inlineStr">
        <is>
          <t>Competitive Exam Prep</t>
        </is>
      </c>
      <c r="E6538" t="inlineStr">
        <is>
          <t>South Region</t>
        </is>
      </c>
      <c r="F6538" t="inlineStr">
        <is>
          <t>Rep_02</t>
        </is>
      </c>
      <c r="G6538" t="n">
        <v>3.39</v>
      </c>
      <c r="H6538" t="inlineStr">
        <is>
          <t>Closed</t>
        </is>
      </c>
      <c r="I6538" t="inlineStr">
        <is>
          <t>Won</t>
        </is>
      </c>
      <c r="K6538" t="n">
        <v>1111.74</v>
      </c>
      <c r="L6538" t="inlineStr">
        <is>
          <t>2026-06-15 17:03:10.593712</t>
        </is>
      </c>
      <c r="M6538">
        <f>VLOOKUP(H6538,'Stage Order'!$A$2:$B$8,2,FALSE)</f>
        <v/>
      </c>
      <c r="N6538">
        <f>IF(G6538&lt;=1,"1. Under 1 hour",IF(G6538&lt;=24,"2. 1-24 hours",IF(G6538&lt;=72,"3. 1-3 days","4. Over 3 days")))</f>
        <v/>
      </c>
      <c r="O6538">
        <f>TEXT(B6538,"YYYY-MM")</f>
        <v/>
      </c>
    </row>
    <row r="6539">
      <c r="A6539" t="inlineStr">
        <is>
          <t>LD-306537</t>
        </is>
      </c>
      <c r="B6539" t="inlineStr">
        <is>
          <t>2026-06-24 12:17:00</t>
        </is>
      </c>
      <c r="C6539" t="inlineStr">
        <is>
          <t>Referral</t>
        </is>
      </c>
      <c r="D6539" t="inlineStr">
        <is>
          <t>K-12 Math</t>
        </is>
      </c>
      <c r="E6539" t="inlineStr">
        <is>
          <t>North Region</t>
        </is>
      </c>
      <c r="F6539" t="inlineStr">
        <is>
          <t>Rep_11</t>
        </is>
      </c>
      <c r="G6539" t="n">
        <v>0.86</v>
      </c>
      <c r="H6539" t="inlineStr">
        <is>
          <t>Closed</t>
        </is>
      </c>
      <c r="I6539" t="inlineStr">
        <is>
          <t>Won</t>
        </is>
      </c>
      <c r="K6539" t="n">
        <v>422.76</v>
      </c>
      <c r="L6539" t="inlineStr">
        <is>
          <t>2026-08-11 22:06:19.755436</t>
        </is>
      </c>
      <c r="M6539">
        <f>VLOOKUP(H6539,'Stage Order'!$A$2:$B$8,2,FALSE)</f>
        <v/>
      </c>
      <c r="N6539">
        <f>IF(G6539&lt;=1,"1. Under 1 hour",IF(G6539&lt;=24,"2. 1-24 hours",IF(G6539&lt;=72,"3. 1-3 days","4. Over 3 days")))</f>
        <v/>
      </c>
      <c r="O6539">
        <f>TEXT(B6539,"YYYY-MM")</f>
        <v/>
      </c>
    </row>
    <row r="6540">
      <c r="A6540" t="inlineStr">
        <is>
          <t>LD-306538</t>
        </is>
      </c>
      <c r="B6540" t="inlineStr">
        <is>
          <t>2025-03-18 08:28:00</t>
        </is>
      </c>
      <c r="C6540" t="inlineStr">
        <is>
          <t>Partner Channel</t>
        </is>
      </c>
      <c r="D6540" t="inlineStr">
        <is>
          <t>Coding for Kids</t>
        </is>
      </c>
      <c r="E6540" t="inlineStr">
        <is>
          <t>East Region</t>
        </is>
      </c>
      <c r="F6540" t="inlineStr">
        <is>
          <t>Rep_04</t>
        </is>
      </c>
      <c r="G6540" t="n">
        <v>1.56</v>
      </c>
      <c r="H6540" t="inlineStr">
        <is>
          <t>Lead</t>
        </is>
      </c>
      <c r="I6540" t="inlineStr">
        <is>
          <t>Open</t>
        </is>
      </c>
      <c r="M6540">
        <f>VLOOKUP(H6540,'Stage Order'!$A$2:$B$8,2,FALSE)</f>
        <v/>
      </c>
      <c r="N6540">
        <f>IF(G6540&lt;=1,"1. Under 1 hour",IF(G6540&lt;=24,"2. 1-24 hours",IF(G6540&lt;=72,"3. 1-3 days","4. Over 3 days")))</f>
        <v/>
      </c>
      <c r="O6540">
        <f>TEXT(B6540,"YYYY-MM")</f>
        <v/>
      </c>
    </row>
    <row r="6541">
      <c r="A6541" t="inlineStr">
        <is>
          <t>LD-306539</t>
        </is>
      </c>
      <c r="B6541" t="inlineStr">
        <is>
          <t>2026-04-14 19:49:00</t>
        </is>
      </c>
      <c r="C6541" t="inlineStr">
        <is>
          <t>Social Media</t>
        </is>
      </c>
      <c r="D6541" t="inlineStr">
        <is>
          <t>Study Abroad Prep</t>
        </is>
      </c>
      <c r="E6541" t="inlineStr">
        <is>
          <t>North Region</t>
        </is>
      </c>
      <c r="F6541" t="inlineStr">
        <is>
          <t>Rep_01</t>
        </is>
      </c>
      <c r="G6541" t="n">
        <v>6.18</v>
      </c>
      <c r="H6541" t="inlineStr">
        <is>
          <t>Contacted</t>
        </is>
      </c>
      <c r="I6541" t="inlineStr">
        <is>
          <t>Open</t>
        </is>
      </c>
      <c r="M6541">
        <f>VLOOKUP(H6541,'Stage Order'!$A$2:$B$8,2,FALSE)</f>
        <v/>
      </c>
      <c r="N6541">
        <f>IF(G6541&lt;=1,"1. Under 1 hour",IF(G6541&lt;=24,"2. 1-24 hours",IF(G6541&lt;=72,"3. 1-3 days","4. Over 3 days")))</f>
        <v/>
      </c>
      <c r="O6541">
        <f>TEXT(B6541,"YYYY-MM")</f>
        <v/>
      </c>
    </row>
    <row r="6542">
      <c r="A6542" t="inlineStr">
        <is>
          <t>LD-306540</t>
        </is>
      </c>
      <c r="B6542" t="inlineStr">
        <is>
          <t>2026-04-17 20:11:00</t>
        </is>
      </c>
      <c r="C6542" t="inlineStr">
        <is>
          <t>Cold Outreach</t>
        </is>
      </c>
      <c r="D6542" t="inlineStr">
        <is>
          <t>Coding for Kids</t>
        </is>
      </c>
      <c r="E6542" t="inlineStr">
        <is>
          <t>West Region</t>
        </is>
      </c>
      <c r="F6542" t="inlineStr">
        <is>
          <t>Rep_08</t>
        </is>
      </c>
      <c r="G6542" t="n">
        <v>1.58</v>
      </c>
      <c r="H6542" t="inlineStr">
        <is>
          <t>Contacted</t>
        </is>
      </c>
      <c r="I6542" t="inlineStr">
        <is>
          <t>Open</t>
        </is>
      </c>
      <c r="M6542">
        <f>VLOOKUP(H6542,'Stage Order'!$A$2:$B$8,2,FALSE)</f>
        <v/>
      </c>
      <c r="N6542">
        <f>IF(G6542&lt;=1,"1. Under 1 hour",IF(G6542&lt;=24,"2. 1-24 hours",IF(G6542&lt;=72,"3. 1-3 days","4. Over 3 days")))</f>
        <v/>
      </c>
      <c r="O6542">
        <f>TEXT(B6542,"YYYY-MM")</f>
        <v/>
      </c>
    </row>
    <row r="6543">
      <c r="A6543" t="inlineStr">
        <is>
          <t>LD-306541</t>
        </is>
      </c>
      <c r="B6543" t="inlineStr">
        <is>
          <t>2026-05-04 13:07:00</t>
        </is>
      </c>
      <c r="C6543" t="inlineStr">
        <is>
          <t>Referral</t>
        </is>
      </c>
      <c r="D6543" t="inlineStr">
        <is>
          <t>Competitive Exam Prep</t>
        </is>
      </c>
      <c r="E6543" t="inlineStr">
        <is>
          <t>South Region</t>
        </is>
      </c>
      <c r="F6543" t="inlineStr">
        <is>
          <t>Rep_07</t>
        </is>
      </c>
      <c r="G6543" t="n">
        <v>4.51</v>
      </c>
      <c r="H6543" t="inlineStr">
        <is>
          <t>Closed</t>
        </is>
      </c>
      <c r="I6543" t="inlineStr">
        <is>
          <t>Won</t>
        </is>
      </c>
      <c r="K6543" t="n">
        <v>904.85</v>
      </c>
      <c r="L6543" t="inlineStr">
        <is>
          <t>2026-06-12 08:52:37.137382</t>
        </is>
      </c>
      <c r="M6543">
        <f>VLOOKUP(H6543,'Stage Order'!$A$2:$B$8,2,FALSE)</f>
        <v/>
      </c>
      <c r="N6543">
        <f>IF(G6543&lt;=1,"1. Under 1 hour",IF(G6543&lt;=24,"2. 1-24 hours",IF(G6543&lt;=72,"3. 1-3 days","4. Over 3 days")))</f>
        <v/>
      </c>
      <c r="O6543">
        <f>TEXT(B6543,"YYYY-MM")</f>
        <v/>
      </c>
    </row>
    <row r="6544">
      <c r="A6544" t="inlineStr">
        <is>
          <t>LD-306542</t>
        </is>
      </c>
      <c r="B6544" t="inlineStr">
        <is>
          <t>2025-07-22 14:44:00</t>
        </is>
      </c>
      <c r="C6544" t="inlineStr">
        <is>
          <t>Organic Search</t>
        </is>
      </c>
      <c r="D6544" t="inlineStr">
        <is>
          <t>Coding for Kids</t>
        </is>
      </c>
      <c r="E6544" t="inlineStr">
        <is>
          <t>West Region</t>
        </is>
      </c>
      <c r="F6544" t="inlineStr">
        <is>
          <t>Rep_03</t>
        </is>
      </c>
      <c r="G6544" t="n">
        <v>3.02</v>
      </c>
      <c r="H6544" t="inlineStr">
        <is>
          <t>Demo Completed</t>
        </is>
      </c>
      <c r="I6544" t="inlineStr">
        <is>
          <t>Lost</t>
        </is>
      </c>
      <c r="J6544" t="inlineStr">
        <is>
          <t>Price Objection</t>
        </is>
      </c>
      <c r="K6544" t="n">
        <v>668.1900000000001</v>
      </c>
      <c r="L6544" t="inlineStr">
        <is>
          <t>2025-08-19 11:36:20.955294</t>
        </is>
      </c>
      <c r="M6544">
        <f>VLOOKUP(H6544,'Stage Order'!$A$2:$B$8,2,FALSE)</f>
        <v/>
      </c>
      <c r="N6544">
        <f>IF(G6544&lt;=1,"1. Under 1 hour",IF(G6544&lt;=24,"2. 1-24 hours",IF(G6544&lt;=72,"3. 1-3 days","4. Over 3 days")))</f>
        <v/>
      </c>
      <c r="O6544">
        <f>TEXT(B6544,"YYYY-MM")</f>
        <v/>
      </c>
    </row>
    <row r="6545">
      <c r="A6545" t="inlineStr">
        <is>
          <t>LD-306543</t>
        </is>
      </c>
      <c r="B6545" t="inlineStr">
        <is>
          <t>2025-07-25 14:51:00</t>
        </is>
      </c>
      <c r="C6545" t="inlineStr">
        <is>
          <t>Cold Outreach</t>
        </is>
      </c>
      <c r="D6545" t="inlineStr">
        <is>
          <t>K-12 Math</t>
        </is>
      </c>
      <c r="E6545" t="inlineStr">
        <is>
          <t>International</t>
        </is>
      </c>
      <c r="F6545" t="inlineStr">
        <is>
          <t>Rep_05</t>
        </is>
      </c>
      <c r="G6545" t="n">
        <v>1.47</v>
      </c>
      <c r="H6545" t="inlineStr">
        <is>
          <t>Contacted</t>
        </is>
      </c>
      <c r="I6545" t="inlineStr">
        <is>
          <t>Open</t>
        </is>
      </c>
      <c r="M6545">
        <f>VLOOKUP(H6545,'Stage Order'!$A$2:$B$8,2,FALSE)</f>
        <v/>
      </c>
      <c r="N6545">
        <f>IF(G6545&lt;=1,"1. Under 1 hour",IF(G6545&lt;=24,"2. 1-24 hours",IF(G6545&lt;=72,"3. 1-3 days","4. Over 3 days")))</f>
        <v/>
      </c>
      <c r="O6545">
        <f>TEXT(B6545,"YYYY-MM")</f>
        <v/>
      </c>
    </row>
    <row r="6546">
      <c r="A6546" t="inlineStr">
        <is>
          <t>LD-306544</t>
        </is>
      </c>
      <c r="B6546" t="inlineStr">
        <is>
          <t>2026-01-30 09:17:00</t>
        </is>
      </c>
      <c r="C6546" t="inlineStr">
        <is>
          <t>Social Media</t>
        </is>
      </c>
      <c r="D6546" t="inlineStr">
        <is>
          <t>Competitive Exam Prep</t>
        </is>
      </c>
      <c r="E6546" t="inlineStr">
        <is>
          <t>East Region</t>
        </is>
      </c>
      <c r="F6546" t="inlineStr">
        <is>
          <t>Rep_04</t>
        </is>
      </c>
      <c r="G6546" t="n">
        <v>13.27</v>
      </c>
      <c r="H6546" t="inlineStr">
        <is>
          <t>Lead</t>
        </is>
      </c>
      <c r="I6546" t="inlineStr">
        <is>
          <t>Open</t>
        </is>
      </c>
      <c r="M6546">
        <f>VLOOKUP(H6546,'Stage Order'!$A$2:$B$8,2,FALSE)</f>
        <v/>
      </c>
      <c r="N6546">
        <f>IF(G6546&lt;=1,"1. Under 1 hour",IF(G6546&lt;=24,"2. 1-24 hours",IF(G6546&lt;=72,"3. 1-3 days","4. Over 3 days")))</f>
        <v/>
      </c>
      <c r="O6546">
        <f>TEXT(B6546,"YYYY-MM")</f>
        <v/>
      </c>
    </row>
    <row r="6547">
      <c r="A6547" t="inlineStr">
        <is>
          <t>LD-306545</t>
        </is>
      </c>
      <c r="B6547" t="inlineStr">
        <is>
          <t>2025-01-13 15:12:00</t>
        </is>
      </c>
      <c r="C6547" t="inlineStr">
        <is>
          <t>Webinar</t>
        </is>
      </c>
      <c r="D6547" t="inlineStr">
        <is>
          <t>Coding for Kids</t>
        </is>
      </c>
      <c r="E6547" t="inlineStr">
        <is>
          <t>West Region</t>
        </is>
      </c>
      <c r="F6547" t="inlineStr">
        <is>
          <t>Rep_03</t>
        </is>
      </c>
      <c r="G6547" t="n">
        <v>0.99</v>
      </c>
      <c r="H6547" t="inlineStr">
        <is>
          <t>Negotiation</t>
        </is>
      </c>
      <c r="I6547" t="inlineStr">
        <is>
          <t>Lost</t>
        </is>
      </c>
      <c r="J6547" t="inlineStr">
        <is>
          <t>Price Objection</t>
        </is>
      </c>
      <c r="K6547" t="n">
        <v>747.41</v>
      </c>
      <c r="L6547" t="inlineStr">
        <is>
          <t>2025-02-18 17:24:46.709657</t>
        </is>
      </c>
      <c r="M6547">
        <f>VLOOKUP(H6547,'Stage Order'!$A$2:$B$8,2,FALSE)</f>
        <v/>
      </c>
      <c r="N6547">
        <f>IF(G6547&lt;=1,"1. Under 1 hour",IF(G6547&lt;=24,"2. 1-24 hours",IF(G6547&lt;=72,"3. 1-3 days","4. Over 3 days")))</f>
        <v/>
      </c>
      <c r="O6547">
        <f>TEXT(B6547,"YYYY-MM")</f>
        <v/>
      </c>
    </row>
    <row r="6548">
      <c r="A6548" t="inlineStr">
        <is>
          <t>LD-306546</t>
        </is>
      </c>
      <c r="B6548" t="inlineStr">
        <is>
          <t>2026-06-19 18:30:00</t>
        </is>
      </c>
      <c r="C6548" t="inlineStr">
        <is>
          <t>Social Media</t>
        </is>
      </c>
      <c r="D6548" t="inlineStr">
        <is>
          <t>Competitive Exam Prep</t>
        </is>
      </c>
      <c r="E6548" t="inlineStr">
        <is>
          <t>North Region</t>
        </is>
      </c>
      <c r="F6548" t="inlineStr">
        <is>
          <t>Rep_11</t>
        </is>
      </c>
      <c r="G6548" t="n">
        <v>10.95</v>
      </c>
      <c r="H6548" t="inlineStr">
        <is>
          <t>Lead</t>
        </is>
      </c>
      <c r="I6548" t="inlineStr">
        <is>
          <t>Open</t>
        </is>
      </c>
      <c r="M6548">
        <f>VLOOKUP(H6548,'Stage Order'!$A$2:$B$8,2,FALSE)</f>
        <v/>
      </c>
      <c r="N6548">
        <f>IF(G6548&lt;=1,"1. Under 1 hour",IF(G6548&lt;=24,"2. 1-24 hours",IF(G6548&lt;=72,"3. 1-3 days","4. Over 3 days")))</f>
        <v/>
      </c>
      <c r="O6548">
        <f>TEXT(B6548,"YYYY-MM")</f>
        <v/>
      </c>
    </row>
    <row r="6549">
      <c r="A6549" t="inlineStr">
        <is>
          <t>LD-306547</t>
        </is>
      </c>
      <c r="B6549" t="inlineStr">
        <is>
          <t>2026-06-10 07:49:00</t>
        </is>
      </c>
      <c r="C6549" t="inlineStr">
        <is>
          <t>Organic Search</t>
        </is>
      </c>
      <c r="D6549" t="inlineStr">
        <is>
          <t>Competitive Exam Prep</t>
        </is>
      </c>
      <c r="E6549" t="inlineStr">
        <is>
          <t>South Region</t>
        </is>
      </c>
      <c r="F6549" t="inlineStr">
        <is>
          <t>Rep_12</t>
        </is>
      </c>
      <c r="G6549" t="n">
        <v>0.8</v>
      </c>
      <c r="H6549" t="inlineStr">
        <is>
          <t>Contacted</t>
        </is>
      </c>
      <c r="I6549" t="inlineStr">
        <is>
          <t>Open</t>
        </is>
      </c>
      <c r="M6549">
        <f>VLOOKUP(H6549,'Stage Order'!$A$2:$B$8,2,FALSE)</f>
        <v/>
      </c>
      <c r="N6549">
        <f>IF(G6549&lt;=1,"1. Under 1 hour",IF(G6549&lt;=24,"2. 1-24 hours",IF(G6549&lt;=72,"3. 1-3 days","4. Over 3 days")))</f>
        <v/>
      </c>
      <c r="O6549">
        <f>TEXT(B6549,"YYYY-MM")</f>
        <v/>
      </c>
    </row>
    <row r="6550">
      <c r="A6550" t="inlineStr">
        <is>
          <t>LD-306548</t>
        </is>
      </c>
      <c r="B6550" t="inlineStr">
        <is>
          <t>2025-10-30 16:03:00</t>
        </is>
      </c>
      <c r="C6550" t="inlineStr">
        <is>
          <t>Organic Search</t>
        </is>
      </c>
      <c r="D6550" t="inlineStr">
        <is>
          <t>K-12 Math</t>
        </is>
      </c>
      <c r="E6550" t="inlineStr">
        <is>
          <t>West Region</t>
        </is>
      </c>
      <c r="F6550" t="inlineStr">
        <is>
          <t>Rep_08</t>
        </is>
      </c>
      <c r="G6550" t="n">
        <v>2.64</v>
      </c>
      <c r="H6550" t="inlineStr">
        <is>
          <t>Closed</t>
        </is>
      </c>
      <c r="I6550" t="inlineStr">
        <is>
          <t>Won</t>
        </is>
      </c>
      <c r="K6550" t="n">
        <v>457.63</v>
      </c>
      <c r="L6550" t="inlineStr">
        <is>
          <t>2025-12-05 12:19:22.631028</t>
        </is>
      </c>
      <c r="M6550">
        <f>VLOOKUP(H6550,'Stage Order'!$A$2:$B$8,2,FALSE)</f>
        <v/>
      </c>
      <c r="N6550">
        <f>IF(G6550&lt;=1,"1. Under 1 hour",IF(G6550&lt;=24,"2. 1-24 hours",IF(G6550&lt;=72,"3. 1-3 days","4. Over 3 days")))</f>
        <v/>
      </c>
      <c r="O6550">
        <f>TEXT(B6550,"YYYY-MM")</f>
        <v/>
      </c>
    </row>
    <row r="6551">
      <c r="A6551" t="inlineStr">
        <is>
          <t>LD-306549</t>
        </is>
      </c>
      <c r="B6551" t="inlineStr">
        <is>
          <t>2025-10-20 10:17:00</t>
        </is>
      </c>
      <c r="C6551" t="inlineStr">
        <is>
          <t>Social Media</t>
        </is>
      </c>
      <c r="D6551" t="inlineStr">
        <is>
          <t>Competitive Exam Prep</t>
        </is>
      </c>
      <c r="E6551" t="inlineStr">
        <is>
          <t>East Region</t>
        </is>
      </c>
      <c r="F6551" t="inlineStr">
        <is>
          <t>Rep_04</t>
        </is>
      </c>
      <c r="G6551" t="n">
        <v>1.94</v>
      </c>
      <c r="H6551" t="inlineStr">
        <is>
          <t>Lead</t>
        </is>
      </c>
      <c r="I6551" t="inlineStr">
        <is>
          <t>Open</t>
        </is>
      </c>
      <c r="M6551">
        <f>VLOOKUP(H6551,'Stage Order'!$A$2:$B$8,2,FALSE)</f>
        <v/>
      </c>
      <c r="N6551">
        <f>IF(G6551&lt;=1,"1. Under 1 hour",IF(G6551&lt;=24,"2. 1-24 hours",IF(G6551&lt;=72,"3. 1-3 days","4. Over 3 days")))</f>
        <v/>
      </c>
      <c r="O6551">
        <f>TEXT(B6551,"YYYY-MM")</f>
        <v/>
      </c>
    </row>
    <row r="6552">
      <c r="A6552" t="inlineStr">
        <is>
          <t>LD-306550</t>
        </is>
      </c>
      <c r="B6552" t="inlineStr">
        <is>
          <t>2025-03-20 17:35:00</t>
        </is>
      </c>
      <c r="C6552" t="inlineStr">
        <is>
          <t>Paid Search</t>
        </is>
      </c>
      <c r="D6552" t="inlineStr">
        <is>
          <t>Language Learning</t>
        </is>
      </c>
      <c r="E6552" t="inlineStr">
        <is>
          <t>West Region</t>
        </is>
      </c>
      <c r="F6552" t="inlineStr">
        <is>
          <t>Rep_08</t>
        </is>
      </c>
      <c r="G6552" t="n">
        <v>3.73</v>
      </c>
      <c r="H6552" t="inlineStr">
        <is>
          <t>Contacted</t>
        </is>
      </c>
      <c r="I6552" t="inlineStr">
        <is>
          <t>Open</t>
        </is>
      </c>
      <c r="M6552">
        <f>VLOOKUP(H6552,'Stage Order'!$A$2:$B$8,2,FALSE)</f>
        <v/>
      </c>
      <c r="N6552">
        <f>IF(G6552&lt;=1,"1. Under 1 hour",IF(G6552&lt;=24,"2. 1-24 hours",IF(G6552&lt;=72,"3. 1-3 days","4. Over 3 days")))</f>
        <v/>
      </c>
      <c r="O6552">
        <f>TEXT(B6552,"YYYY-MM")</f>
        <v/>
      </c>
    </row>
    <row r="6553">
      <c r="A6553" t="inlineStr">
        <is>
          <t>LD-306551</t>
        </is>
      </c>
      <c r="B6553" t="inlineStr">
        <is>
          <t>2025-05-14 10:55:00</t>
        </is>
      </c>
      <c r="C6553" t="inlineStr">
        <is>
          <t>Social Media</t>
        </is>
      </c>
      <c r="D6553" t="inlineStr">
        <is>
          <t>K-12 Math</t>
        </is>
      </c>
      <c r="E6553" t="inlineStr">
        <is>
          <t>International</t>
        </is>
      </c>
      <c r="F6553" t="inlineStr">
        <is>
          <t>Rep_10</t>
        </is>
      </c>
      <c r="G6553" t="n">
        <v>1.39</v>
      </c>
      <c r="H6553" t="inlineStr">
        <is>
          <t>Lead</t>
        </is>
      </c>
      <c r="I6553" t="inlineStr">
        <is>
          <t>Open</t>
        </is>
      </c>
      <c r="M6553">
        <f>VLOOKUP(H6553,'Stage Order'!$A$2:$B$8,2,FALSE)</f>
        <v/>
      </c>
      <c r="N6553">
        <f>IF(G6553&lt;=1,"1. Under 1 hour",IF(G6553&lt;=24,"2. 1-24 hours",IF(G6553&lt;=72,"3. 1-3 days","4. Over 3 days")))</f>
        <v/>
      </c>
      <c r="O6553">
        <f>TEXT(B6553,"YYYY-MM")</f>
        <v/>
      </c>
    </row>
    <row r="6554">
      <c r="A6554" t="inlineStr">
        <is>
          <t>LD-306552</t>
        </is>
      </c>
      <c r="B6554" t="inlineStr">
        <is>
          <t>2025-10-13 16:06:00</t>
        </is>
      </c>
      <c r="C6554" t="inlineStr">
        <is>
          <t>Referral</t>
        </is>
      </c>
      <c r="D6554" t="inlineStr">
        <is>
          <t>Competitive Exam Prep</t>
        </is>
      </c>
      <c r="E6554" t="inlineStr">
        <is>
          <t>North Region</t>
        </is>
      </c>
      <c r="F6554" t="inlineStr">
        <is>
          <t>Rep_01</t>
        </is>
      </c>
      <c r="G6554" t="n">
        <v>1.16</v>
      </c>
      <c r="H6554" t="inlineStr">
        <is>
          <t>Negotiation</t>
        </is>
      </c>
      <c r="I6554" t="inlineStr">
        <is>
          <t>Lost</t>
        </is>
      </c>
      <c r="J6554" t="inlineStr">
        <is>
          <t>Price Objection</t>
        </is>
      </c>
      <c r="K6554" t="n">
        <v>841.3</v>
      </c>
      <c r="L6554" t="inlineStr">
        <is>
          <t>2025-11-25 13:11:40.134548</t>
        </is>
      </c>
      <c r="M6554">
        <f>VLOOKUP(H6554,'Stage Order'!$A$2:$B$8,2,FALSE)</f>
        <v/>
      </c>
      <c r="N6554">
        <f>IF(G6554&lt;=1,"1. Under 1 hour",IF(G6554&lt;=24,"2. 1-24 hours",IF(G6554&lt;=72,"3. 1-3 days","4. Over 3 days")))</f>
        <v/>
      </c>
      <c r="O6554">
        <f>TEXT(B6554,"YYYY-MM")</f>
        <v/>
      </c>
    </row>
    <row r="6555">
      <c r="A6555" t="inlineStr">
        <is>
          <t>LD-306553</t>
        </is>
      </c>
      <c r="B6555" t="inlineStr">
        <is>
          <t>2026-05-29 19:10:00</t>
        </is>
      </c>
      <c r="C6555" t="inlineStr">
        <is>
          <t>Paid Search</t>
        </is>
      </c>
      <c r="D6555" t="inlineStr">
        <is>
          <t>Study Abroad Prep</t>
        </is>
      </c>
      <c r="E6555" t="inlineStr">
        <is>
          <t>West Region</t>
        </is>
      </c>
      <c r="F6555" t="inlineStr">
        <is>
          <t>Rep_03</t>
        </is>
      </c>
      <c r="G6555" t="n">
        <v>9.289999999999999</v>
      </c>
      <c r="H6555" t="inlineStr">
        <is>
          <t>Negotiation</t>
        </is>
      </c>
      <c r="I6555" t="inlineStr">
        <is>
          <t>Lost</t>
        </is>
      </c>
      <c r="J6555" t="inlineStr">
        <is>
          <t>Went With Competitor</t>
        </is>
      </c>
      <c r="K6555" t="n">
        <v>1523.44</v>
      </c>
      <c r="L6555" t="inlineStr">
        <is>
          <t>2026-07-14 13:09:38.299206</t>
        </is>
      </c>
      <c r="M6555">
        <f>VLOOKUP(H6555,'Stage Order'!$A$2:$B$8,2,FALSE)</f>
        <v/>
      </c>
      <c r="N6555">
        <f>IF(G6555&lt;=1,"1. Under 1 hour",IF(G6555&lt;=24,"2. 1-24 hours",IF(G6555&lt;=72,"3. 1-3 days","4. Over 3 days")))</f>
        <v/>
      </c>
      <c r="O6555">
        <f>TEXT(B6555,"YYYY-MM")</f>
        <v/>
      </c>
    </row>
    <row r="6556">
      <c r="A6556" t="inlineStr">
        <is>
          <t>LD-306554</t>
        </is>
      </c>
      <c r="B6556" t="inlineStr">
        <is>
          <t>2025-11-07 13:27:00</t>
        </is>
      </c>
      <c r="C6556" t="inlineStr">
        <is>
          <t>Organic Search</t>
        </is>
      </c>
      <c r="D6556" t="inlineStr">
        <is>
          <t>Language Learning</t>
        </is>
      </c>
      <c r="E6556" t="inlineStr">
        <is>
          <t>South Region</t>
        </is>
      </c>
      <c r="F6556" t="inlineStr">
        <is>
          <t>Rep_12</t>
        </is>
      </c>
      <c r="G6556" t="n">
        <v>0.47</v>
      </c>
      <c r="H6556" t="inlineStr">
        <is>
          <t>Contacted</t>
        </is>
      </c>
      <c r="I6556" t="inlineStr">
        <is>
          <t>Open</t>
        </is>
      </c>
      <c r="M6556">
        <f>VLOOKUP(H6556,'Stage Order'!$A$2:$B$8,2,FALSE)</f>
        <v/>
      </c>
      <c r="N6556">
        <f>IF(G6556&lt;=1,"1. Under 1 hour",IF(G6556&lt;=24,"2. 1-24 hours",IF(G6556&lt;=72,"3. 1-3 days","4. Over 3 days")))</f>
        <v/>
      </c>
      <c r="O6556">
        <f>TEXT(B6556,"YYYY-MM")</f>
        <v/>
      </c>
    </row>
    <row r="6557">
      <c r="A6557" t="inlineStr">
        <is>
          <t>LD-306555</t>
        </is>
      </c>
      <c r="B6557" t="inlineStr">
        <is>
          <t>2026-01-05 14:05:00</t>
        </is>
      </c>
      <c r="C6557" t="inlineStr">
        <is>
          <t>Social Media</t>
        </is>
      </c>
      <c r="D6557" t="inlineStr">
        <is>
          <t>K-12 Math</t>
        </is>
      </c>
      <c r="E6557" t="inlineStr">
        <is>
          <t>North Region</t>
        </is>
      </c>
      <c r="F6557" t="inlineStr">
        <is>
          <t>Rep_11</t>
        </is>
      </c>
      <c r="G6557" t="n">
        <v>8.48</v>
      </c>
      <c r="H6557" t="inlineStr">
        <is>
          <t>Negotiation</t>
        </is>
      </c>
      <c r="I6557" t="inlineStr">
        <is>
          <t>Lost</t>
        </is>
      </c>
      <c r="J6557" t="inlineStr">
        <is>
          <t>No Response / Ghosted</t>
        </is>
      </c>
      <c r="K6557" t="n">
        <v>487.91</v>
      </c>
      <c r="L6557" t="inlineStr">
        <is>
          <t>2026-02-13 20:46:08.753668</t>
        </is>
      </c>
      <c r="M6557">
        <f>VLOOKUP(H6557,'Stage Order'!$A$2:$B$8,2,FALSE)</f>
        <v/>
      </c>
      <c r="N6557">
        <f>IF(G6557&lt;=1,"1. Under 1 hour",IF(G6557&lt;=24,"2. 1-24 hours",IF(G6557&lt;=72,"3. 1-3 days","4. Over 3 days")))</f>
        <v/>
      </c>
      <c r="O6557">
        <f>TEXT(B6557,"YYYY-MM")</f>
        <v/>
      </c>
    </row>
    <row r="6558">
      <c r="A6558" t="inlineStr">
        <is>
          <t>LD-306556</t>
        </is>
      </c>
      <c r="B6558" t="inlineStr">
        <is>
          <t>2025-10-20 20:56:00</t>
        </is>
      </c>
      <c r="C6558" t="inlineStr">
        <is>
          <t>Organic Search</t>
        </is>
      </c>
      <c r="D6558" t="inlineStr">
        <is>
          <t>K-12 Math</t>
        </is>
      </c>
      <c r="E6558" t="inlineStr">
        <is>
          <t>West Region</t>
        </is>
      </c>
      <c r="F6558" t="inlineStr">
        <is>
          <t>Rep_03</t>
        </is>
      </c>
      <c r="G6558" t="n">
        <v>1.86</v>
      </c>
      <c r="H6558" t="inlineStr">
        <is>
          <t>Contacted</t>
        </is>
      </c>
      <c r="I6558" t="inlineStr">
        <is>
          <t>Open</t>
        </is>
      </c>
      <c r="M6558">
        <f>VLOOKUP(H6558,'Stage Order'!$A$2:$B$8,2,FALSE)</f>
        <v/>
      </c>
      <c r="N6558">
        <f>IF(G6558&lt;=1,"1. Under 1 hour",IF(G6558&lt;=24,"2. 1-24 hours",IF(G6558&lt;=72,"3. 1-3 days","4. Over 3 days")))</f>
        <v/>
      </c>
      <c r="O6558">
        <f>TEXT(B6558,"YYYY-MM")</f>
        <v/>
      </c>
    </row>
    <row r="6559">
      <c r="A6559" t="inlineStr">
        <is>
          <t>LD-306557</t>
        </is>
      </c>
      <c r="B6559" t="inlineStr">
        <is>
          <t>2026-05-24 19:15:00</t>
        </is>
      </c>
      <c r="C6559" t="inlineStr">
        <is>
          <t>Paid Search</t>
        </is>
      </c>
      <c r="D6559" t="inlineStr">
        <is>
          <t>K-12 Math</t>
        </is>
      </c>
      <c r="E6559" t="inlineStr">
        <is>
          <t>West Region</t>
        </is>
      </c>
      <c r="F6559" t="inlineStr">
        <is>
          <t>Rep_13</t>
        </is>
      </c>
      <c r="G6559" t="n">
        <v>0.87</v>
      </c>
      <c r="H6559" t="inlineStr">
        <is>
          <t>Contacted</t>
        </is>
      </c>
      <c r="I6559" t="inlineStr">
        <is>
          <t>Open</t>
        </is>
      </c>
      <c r="M6559">
        <f>VLOOKUP(H6559,'Stage Order'!$A$2:$B$8,2,FALSE)</f>
        <v/>
      </c>
      <c r="N6559">
        <f>IF(G6559&lt;=1,"1. Under 1 hour",IF(G6559&lt;=24,"2. 1-24 hours",IF(G6559&lt;=72,"3. 1-3 days","4. Over 3 days")))</f>
        <v/>
      </c>
      <c r="O6559">
        <f>TEXT(B6559,"YYYY-MM")</f>
        <v/>
      </c>
    </row>
    <row r="6560">
      <c r="A6560" t="inlineStr">
        <is>
          <t>LD-306558</t>
        </is>
      </c>
      <c r="B6560" t="inlineStr">
        <is>
          <t>2025-05-02 19:57:00</t>
        </is>
      </c>
      <c r="C6560" t="inlineStr">
        <is>
          <t>Social Media</t>
        </is>
      </c>
      <c r="D6560" t="inlineStr">
        <is>
          <t>Coding for Kids</t>
        </is>
      </c>
      <c r="E6560" t="inlineStr">
        <is>
          <t>South Region</t>
        </is>
      </c>
      <c r="F6560" t="inlineStr">
        <is>
          <t>Rep_12</t>
        </is>
      </c>
      <c r="G6560" t="n">
        <v>0.72</v>
      </c>
      <c r="H6560" t="inlineStr">
        <is>
          <t>Contacted</t>
        </is>
      </c>
      <c r="I6560" t="inlineStr">
        <is>
          <t>Open</t>
        </is>
      </c>
      <c r="M6560">
        <f>VLOOKUP(H6560,'Stage Order'!$A$2:$B$8,2,FALSE)</f>
        <v/>
      </c>
      <c r="N6560">
        <f>IF(G6560&lt;=1,"1. Under 1 hour",IF(G6560&lt;=24,"2. 1-24 hours",IF(G6560&lt;=72,"3. 1-3 days","4. Over 3 days")))</f>
        <v/>
      </c>
      <c r="O6560">
        <f>TEXT(B6560,"YYYY-MM")</f>
        <v/>
      </c>
    </row>
    <row r="6561">
      <c r="A6561" t="inlineStr">
        <is>
          <t>LD-306559</t>
        </is>
      </c>
      <c r="B6561" t="inlineStr">
        <is>
          <t>2025-10-30 11:47:00</t>
        </is>
      </c>
      <c r="C6561" t="inlineStr">
        <is>
          <t>Social Media</t>
        </is>
      </c>
      <c r="D6561" t="inlineStr">
        <is>
          <t>Study Abroad Prep</t>
        </is>
      </c>
      <c r="E6561" t="inlineStr">
        <is>
          <t>North Region</t>
        </is>
      </c>
      <c r="F6561" t="inlineStr">
        <is>
          <t>Rep_01</t>
        </is>
      </c>
      <c r="G6561" t="n">
        <v>0.55</v>
      </c>
      <c r="H6561" t="inlineStr">
        <is>
          <t>Contacted</t>
        </is>
      </c>
      <c r="I6561" t="inlineStr">
        <is>
          <t>Open</t>
        </is>
      </c>
      <c r="M6561">
        <f>VLOOKUP(H6561,'Stage Order'!$A$2:$B$8,2,FALSE)</f>
        <v/>
      </c>
      <c r="N6561">
        <f>IF(G6561&lt;=1,"1. Under 1 hour",IF(G6561&lt;=24,"2. 1-24 hours",IF(G6561&lt;=72,"3. 1-3 days","4. Over 3 days")))</f>
        <v/>
      </c>
      <c r="O6561">
        <f>TEXT(B6561,"YYYY-MM")</f>
        <v/>
      </c>
    </row>
    <row r="6562">
      <c r="A6562" t="inlineStr">
        <is>
          <t>LD-306560</t>
        </is>
      </c>
      <c r="B6562" t="inlineStr">
        <is>
          <t>2026-05-22 17:35:00</t>
        </is>
      </c>
      <c r="C6562" t="inlineStr">
        <is>
          <t>Referral</t>
        </is>
      </c>
      <c r="D6562" t="inlineStr">
        <is>
          <t>Language Learning</t>
        </is>
      </c>
      <c r="E6562" t="inlineStr">
        <is>
          <t>South Region</t>
        </is>
      </c>
      <c r="F6562" t="inlineStr">
        <is>
          <t>Rep_12</t>
        </is>
      </c>
      <c r="G6562" t="n">
        <v>1.54</v>
      </c>
      <c r="H6562" t="inlineStr">
        <is>
          <t>Closed</t>
        </is>
      </c>
      <c r="I6562" t="inlineStr">
        <is>
          <t>Won</t>
        </is>
      </c>
      <c r="K6562" t="n">
        <v>317.97</v>
      </c>
      <c r="L6562" t="inlineStr">
        <is>
          <t>2026-07-06 05:42:31.306711</t>
        </is>
      </c>
      <c r="M6562">
        <f>VLOOKUP(H6562,'Stage Order'!$A$2:$B$8,2,FALSE)</f>
        <v/>
      </c>
      <c r="N6562">
        <f>IF(G6562&lt;=1,"1. Under 1 hour",IF(G6562&lt;=24,"2. 1-24 hours",IF(G6562&lt;=72,"3. 1-3 days","4. Over 3 days")))</f>
        <v/>
      </c>
      <c r="O6562">
        <f>TEXT(B6562,"YYYY-MM")</f>
        <v/>
      </c>
    </row>
    <row r="6563">
      <c r="A6563" t="inlineStr">
        <is>
          <t>LD-306561</t>
        </is>
      </c>
      <c r="B6563" t="inlineStr">
        <is>
          <t>2026-02-14 17:50:00</t>
        </is>
      </c>
      <c r="C6563" t="inlineStr">
        <is>
          <t>Referral</t>
        </is>
      </c>
      <c r="D6563" t="inlineStr">
        <is>
          <t>Coding for Kids</t>
        </is>
      </c>
      <c r="E6563" t="inlineStr">
        <is>
          <t>West Region</t>
        </is>
      </c>
      <c r="F6563" t="inlineStr">
        <is>
          <t>Rep_03</t>
        </is>
      </c>
      <c r="G6563" t="n">
        <v>3.59</v>
      </c>
      <c r="H6563" t="inlineStr">
        <is>
          <t>Closed</t>
        </is>
      </c>
      <c r="I6563" t="inlineStr">
        <is>
          <t>Won</t>
        </is>
      </c>
      <c r="K6563" t="n">
        <v>600.89</v>
      </c>
      <c r="L6563" t="inlineStr">
        <is>
          <t>2026-03-21 21:01:42.822850</t>
        </is>
      </c>
      <c r="M6563">
        <f>VLOOKUP(H6563,'Stage Order'!$A$2:$B$8,2,FALSE)</f>
        <v/>
      </c>
      <c r="N6563">
        <f>IF(G6563&lt;=1,"1. Under 1 hour",IF(G6563&lt;=24,"2. 1-24 hours",IF(G6563&lt;=72,"3. 1-3 days","4. Over 3 days")))</f>
        <v/>
      </c>
      <c r="O6563">
        <f>TEXT(B6563,"YYYY-MM")</f>
        <v/>
      </c>
    </row>
    <row r="6564">
      <c r="A6564" t="inlineStr">
        <is>
          <t>LD-306562</t>
        </is>
      </c>
      <c r="B6564" t="inlineStr">
        <is>
          <t>2025-09-29 08:33:00</t>
        </is>
      </c>
      <c r="C6564" t="inlineStr">
        <is>
          <t>Paid Search</t>
        </is>
      </c>
      <c r="D6564" t="inlineStr">
        <is>
          <t>Coding for Kids</t>
        </is>
      </c>
      <c r="E6564" t="inlineStr">
        <is>
          <t>International</t>
        </is>
      </c>
      <c r="F6564" t="inlineStr">
        <is>
          <t>Rep_05</t>
        </is>
      </c>
      <c r="G6564" t="n">
        <v>2.06</v>
      </c>
      <c r="H6564" t="inlineStr">
        <is>
          <t>Contacted</t>
        </is>
      </c>
      <c r="I6564" t="inlineStr">
        <is>
          <t>Open</t>
        </is>
      </c>
      <c r="M6564">
        <f>VLOOKUP(H6564,'Stage Order'!$A$2:$B$8,2,FALSE)</f>
        <v/>
      </c>
      <c r="N6564">
        <f>IF(G6564&lt;=1,"1. Under 1 hour",IF(G6564&lt;=24,"2. 1-24 hours",IF(G6564&lt;=72,"3. 1-3 days","4. Over 3 days")))</f>
        <v/>
      </c>
      <c r="O6564">
        <f>TEXT(B6564,"YYYY-MM")</f>
        <v/>
      </c>
    </row>
    <row r="6565">
      <c r="A6565" t="inlineStr">
        <is>
          <t>LD-306563</t>
        </is>
      </c>
      <c r="B6565" t="inlineStr">
        <is>
          <t>2025-04-15 10:10:00</t>
        </is>
      </c>
      <c r="C6565" t="inlineStr">
        <is>
          <t>Webinar</t>
        </is>
      </c>
      <c r="D6565" t="inlineStr">
        <is>
          <t>K-12 Math</t>
        </is>
      </c>
      <c r="E6565" t="inlineStr">
        <is>
          <t>North Region</t>
        </is>
      </c>
      <c r="F6565" t="inlineStr">
        <is>
          <t>Rep_01</t>
        </is>
      </c>
      <c r="G6565" t="n">
        <v>2.58</v>
      </c>
      <c r="H6565" t="inlineStr">
        <is>
          <t>Lead</t>
        </is>
      </c>
      <c r="I6565" t="inlineStr">
        <is>
          <t>Open</t>
        </is>
      </c>
      <c r="M6565">
        <f>VLOOKUP(H6565,'Stage Order'!$A$2:$B$8,2,FALSE)</f>
        <v/>
      </c>
      <c r="N6565">
        <f>IF(G6565&lt;=1,"1. Under 1 hour",IF(G6565&lt;=24,"2. 1-24 hours",IF(G6565&lt;=72,"3. 1-3 days","4. Over 3 days")))</f>
        <v/>
      </c>
      <c r="O6565">
        <f>TEXT(B6565,"YYYY-MM")</f>
        <v/>
      </c>
    </row>
    <row r="6566">
      <c r="A6566" t="inlineStr">
        <is>
          <t>LD-306564</t>
        </is>
      </c>
      <c r="B6566" t="inlineStr">
        <is>
          <t>2025-11-13 14:56:00</t>
        </is>
      </c>
      <c r="C6566" t="inlineStr">
        <is>
          <t>Referral</t>
        </is>
      </c>
      <c r="D6566" t="inlineStr">
        <is>
          <t>Competitive Exam Prep</t>
        </is>
      </c>
      <c r="E6566" t="inlineStr">
        <is>
          <t>International</t>
        </is>
      </c>
      <c r="F6566" t="inlineStr">
        <is>
          <t>Rep_15</t>
        </is>
      </c>
      <c r="G6566" t="n">
        <v>3.44</v>
      </c>
      <c r="H6566" t="inlineStr">
        <is>
          <t>Closed</t>
        </is>
      </c>
      <c r="I6566" t="inlineStr">
        <is>
          <t>Won</t>
        </is>
      </c>
      <c r="K6566" t="n">
        <v>982.17</v>
      </c>
      <c r="L6566" t="inlineStr">
        <is>
          <t>2025-12-19 13:03:58.682053</t>
        </is>
      </c>
      <c r="M6566">
        <f>VLOOKUP(H6566,'Stage Order'!$A$2:$B$8,2,FALSE)</f>
        <v/>
      </c>
      <c r="N6566">
        <f>IF(G6566&lt;=1,"1. Under 1 hour",IF(G6566&lt;=24,"2. 1-24 hours",IF(G6566&lt;=72,"3. 1-3 days","4. Over 3 days")))</f>
        <v/>
      </c>
      <c r="O6566">
        <f>TEXT(B6566,"YYYY-MM")</f>
        <v/>
      </c>
    </row>
    <row r="6567">
      <c r="A6567" t="inlineStr">
        <is>
          <t>LD-306565</t>
        </is>
      </c>
      <c r="B6567" t="inlineStr">
        <is>
          <t>2025-03-03 14:55:00</t>
        </is>
      </c>
      <c r="C6567" t="inlineStr">
        <is>
          <t>Cold Outreach</t>
        </is>
      </c>
      <c r="D6567" t="inlineStr">
        <is>
          <t>Language Learning</t>
        </is>
      </c>
      <c r="E6567" t="inlineStr">
        <is>
          <t>South Region</t>
        </is>
      </c>
      <c r="F6567" t="inlineStr">
        <is>
          <t>Rep_12</t>
        </is>
      </c>
      <c r="G6567" t="n">
        <v>2.34</v>
      </c>
      <c r="H6567" t="inlineStr">
        <is>
          <t>Lead</t>
        </is>
      </c>
      <c r="I6567" t="inlineStr">
        <is>
          <t>Open</t>
        </is>
      </c>
      <c r="M6567">
        <f>VLOOKUP(H6567,'Stage Order'!$A$2:$B$8,2,FALSE)</f>
        <v/>
      </c>
      <c r="N6567">
        <f>IF(G6567&lt;=1,"1. Under 1 hour",IF(G6567&lt;=24,"2. 1-24 hours",IF(G6567&lt;=72,"3. 1-3 days","4. Over 3 days")))</f>
        <v/>
      </c>
      <c r="O6567">
        <f>TEXT(B6567,"YYYY-MM")</f>
        <v/>
      </c>
    </row>
    <row r="6568">
      <c r="A6568" t="inlineStr">
        <is>
          <t>LD-306566</t>
        </is>
      </c>
      <c r="B6568" t="inlineStr">
        <is>
          <t>2025-06-29 11:01:00</t>
        </is>
      </c>
      <c r="C6568" t="inlineStr">
        <is>
          <t>Organic Search</t>
        </is>
      </c>
      <c r="D6568" t="inlineStr">
        <is>
          <t>Competitive Exam Prep</t>
        </is>
      </c>
      <c r="E6568" t="inlineStr">
        <is>
          <t>East Region</t>
        </is>
      </c>
      <c r="F6568" t="inlineStr">
        <is>
          <t>Rep_14</t>
        </is>
      </c>
      <c r="G6568" t="n">
        <v>8.23</v>
      </c>
      <c r="H6568" t="inlineStr">
        <is>
          <t>Contacted</t>
        </is>
      </c>
      <c r="I6568" t="inlineStr">
        <is>
          <t>Open</t>
        </is>
      </c>
      <c r="M6568">
        <f>VLOOKUP(H6568,'Stage Order'!$A$2:$B$8,2,FALSE)</f>
        <v/>
      </c>
      <c r="N6568">
        <f>IF(G6568&lt;=1,"1. Under 1 hour",IF(G6568&lt;=24,"2. 1-24 hours",IF(G6568&lt;=72,"3. 1-3 days","4. Over 3 days")))</f>
        <v/>
      </c>
      <c r="O6568">
        <f>TEXT(B6568,"YYYY-MM")</f>
        <v/>
      </c>
    </row>
    <row r="6569">
      <c r="A6569" t="inlineStr">
        <is>
          <t>LD-306567</t>
        </is>
      </c>
      <c r="B6569" t="inlineStr">
        <is>
          <t>2025-12-31 19:52:00</t>
        </is>
      </c>
      <c r="C6569" t="inlineStr">
        <is>
          <t>Partner Channel</t>
        </is>
      </c>
      <c r="D6569" t="inlineStr">
        <is>
          <t>K-12 Math</t>
        </is>
      </c>
      <c r="E6569" t="inlineStr">
        <is>
          <t>North Region</t>
        </is>
      </c>
      <c r="F6569" t="inlineStr">
        <is>
          <t>Rep_06</t>
        </is>
      </c>
      <c r="G6569" t="n">
        <v>6.47</v>
      </c>
      <c r="H6569" t="inlineStr">
        <is>
          <t>Lead</t>
        </is>
      </c>
      <c r="I6569" t="inlineStr">
        <is>
          <t>Open</t>
        </is>
      </c>
      <c r="M6569">
        <f>VLOOKUP(H6569,'Stage Order'!$A$2:$B$8,2,FALSE)</f>
        <v/>
      </c>
      <c r="N6569">
        <f>IF(G6569&lt;=1,"1. Under 1 hour",IF(G6569&lt;=24,"2. 1-24 hours",IF(G6569&lt;=72,"3. 1-3 days","4. Over 3 days")))</f>
        <v/>
      </c>
      <c r="O6569">
        <f>TEXT(B6569,"YYYY-MM")</f>
        <v/>
      </c>
    </row>
    <row r="6570">
      <c r="A6570" t="inlineStr">
        <is>
          <t>LD-306568</t>
        </is>
      </c>
      <c r="B6570" t="inlineStr">
        <is>
          <t>2026-03-05 10:33:00</t>
        </is>
      </c>
      <c r="C6570" t="inlineStr">
        <is>
          <t>Organic Search</t>
        </is>
      </c>
      <c r="D6570" t="inlineStr">
        <is>
          <t>Competitive Exam Prep</t>
        </is>
      </c>
      <c r="E6570" t="inlineStr">
        <is>
          <t>International</t>
        </is>
      </c>
      <c r="F6570" t="inlineStr">
        <is>
          <t>Rep_15</t>
        </is>
      </c>
      <c r="G6570" t="n">
        <v>4.48</v>
      </c>
      <c r="H6570" t="inlineStr">
        <is>
          <t>Contacted</t>
        </is>
      </c>
      <c r="I6570" t="inlineStr">
        <is>
          <t>Open</t>
        </is>
      </c>
      <c r="M6570">
        <f>VLOOKUP(H6570,'Stage Order'!$A$2:$B$8,2,FALSE)</f>
        <v/>
      </c>
      <c r="N6570">
        <f>IF(G6570&lt;=1,"1. Under 1 hour",IF(G6570&lt;=24,"2. 1-24 hours",IF(G6570&lt;=72,"3. 1-3 days","4. Over 3 days")))</f>
        <v/>
      </c>
      <c r="O6570">
        <f>TEXT(B6570,"YYYY-MM")</f>
        <v/>
      </c>
    </row>
    <row r="6571">
      <c r="A6571" t="inlineStr">
        <is>
          <t>LD-306569</t>
        </is>
      </c>
      <c r="B6571" t="inlineStr">
        <is>
          <t>2025-05-02 07:02:00</t>
        </is>
      </c>
      <c r="C6571" t="inlineStr">
        <is>
          <t>Social Media</t>
        </is>
      </c>
      <c r="D6571" t="inlineStr">
        <is>
          <t>K-12 Math</t>
        </is>
      </c>
      <c r="E6571" t="inlineStr">
        <is>
          <t>South Region</t>
        </is>
      </c>
      <c r="F6571" t="inlineStr">
        <is>
          <t>Rep_12</t>
        </is>
      </c>
      <c r="G6571" t="n">
        <v>8.06</v>
      </c>
      <c r="H6571" t="inlineStr">
        <is>
          <t>Contacted</t>
        </is>
      </c>
      <c r="I6571" t="inlineStr">
        <is>
          <t>Open</t>
        </is>
      </c>
      <c r="M6571">
        <f>VLOOKUP(H6571,'Stage Order'!$A$2:$B$8,2,FALSE)</f>
        <v/>
      </c>
      <c r="N6571">
        <f>IF(G6571&lt;=1,"1. Under 1 hour",IF(G6571&lt;=24,"2. 1-24 hours",IF(G6571&lt;=72,"3. 1-3 days","4. Over 3 days")))</f>
        <v/>
      </c>
      <c r="O6571">
        <f>TEXT(B6571,"YYYY-MM")</f>
        <v/>
      </c>
    </row>
    <row r="6572">
      <c r="A6572" t="inlineStr">
        <is>
          <t>LD-306570</t>
        </is>
      </c>
      <c r="B6572" t="inlineStr">
        <is>
          <t>2025-10-24 16:06:00</t>
        </is>
      </c>
      <c r="C6572" t="inlineStr">
        <is>
          <t>Cold Outreach</t>
        </is>
      </c>
      <c r="D6572" t="inlineStr">
        <is>
          <t>Language Learning</t>
        </is>
      </c>
      <c r="E6572" t="inlineStr">
        <is>
          <t>South Region</t>
        </is>
      </c>
      <c r="F6572" t="inlineStr">
        <is>
          <t>Rep_12</t>
        </is>
      </c>
      <c r="G6572" t="n">
        <v>1.36</v>
      </c>
      <c r="H6572" t="inlineStr">
        <is>
          <t>Contacted</t>
        </is>
      </c>
      <c r="I6572" t="inlineStr">
        <is>
          <t>Open</t>
        </is>
      </c>
      <c r="M6572">
        <f>VLOOKUP(H6572,'Stage Order'!$A$2:$B$8,2,FALSE)</f>
        <v/>
      </c>
      <c r="N6572">
        <f>IF(G6572&lt;=1,"1. Under 1 hour",IF(G6572&lt;=24,"2. 1-24 hours",IF(G6572&lt;=72,"3. 1-3 days","4. Over 3 days")))</f>
        <v/>
      </c>
      <c r="O6572">
        <f>TEXT(B6572,"YYYY-MM")</f>
        <v/>
      </c>
    </row>
    <row r="6573">
      <c r="A6573" t="inlineStr">
        <is>
          <t>LD-306571</t>
        </is>
      </c>
      <c r="B6573" t="inlineStr">
        <is>
          <t>2025-04-04 19:41:00</t>
        </is>
      </c>
      <c r="C6573" t="inlineStr">
        <is>
          <t>Organic Search</t>
        </is>
      </c>
      <c r="D6573" t="inlineStr">
        <is>
          <t>Coding for Kids</t>
        </is>
      </c>
      <c r="E6573" t="inlineStr">
        <is>
          <t>South Region</t>
        </is>
      </c>
      <c r="F6573" t="inlineStr">
        <is>
          <t>Rep_12</t>
        </is>
      </c>
      <c r="G6573" t="n">
        <v>4.55</v>
      </c>
      <c r="H6573" t="inlineStr">
        <is>
          <t>Contacted</t>
        </is>
      </c>
      <c r="I6573" t="inlineStr">
        <is>
          <t>Open</t>
        </is>
      </c>
      <c r="M6573">
        <f>VLOOKUP(H6573,'Stage Order'!$A$2:$B$8,2,FALSE)</f>
        <v/>
      </c>
      <c r="N6573">
        <f>IF(G6573&lt;=1,"1. Under 1 hour",IF(G6573&lt;=24,"2. 1-24 hours",IF(G6573&lt;=72,"3. 1-3 days","4. Over 3 days")))</f>
        <v/>
      </c>
      <c r="O6573">
        <f>TEXT(B6573,"YYYY-MM")</f>
        <v/>
      </c>
    </row>
    <row r="6574">
      <c r="A6574" t="inlineStr">
        <is>
          <t>LD-306572</t>
        </is>
      </c>
      <c r="B6574" t="inlineStr">
        <is>
          <t>2025-09-12 14:53:00</t>
        </is>
      </c>
      <c r="C6574" t="inlineStr">
        <is>
          <t>Cold Outreach</t>
        </is>
      </c>
      <c r="D6574" t="inlineStr">
        <is>
          <t>Coding for Kids</t>
        </is>
      </c>
      <c r="E6574" t="inlineStr">
        <is>
          <t>South Region</t>
        </is>
      </c>
      <c r="F6574" t="inlineStr">
        <is>
          <t>Rep_02</t>
        </is>
      </c>
      <c r="G6574" t="n">
        <v>1.09</v>
      </c>
      <c r="H6574" t="inlineStr">
        <is>
          <t>Lead</t>
        </is>
      </c>
      <c r="I6574" t="inlineStr">
        <is>
          <t>Open</t>
        </is>
      </c>
      <c r="M6574">
        <f>VLOOKUP(H6574,'Stage Order'!$A$2:$B$8,2,FALSE)</f>
        <v/>
      </c>
      <c r="N6574">
        <f>IF(G6574&lt;=1,"1. Under 1 hour",IF(G6574&lt;=24,"2. 1-24 hours",IF(G6574&lt;=72,"3. 1-3 days","4. Over 3 days")))</f>
        <v/>
      </c>
      <c r="O6574">
        <f>TEXT(B6574,"YYYY-MM")</f>
        <v/>
      </c>
    </row>
    <row r="6575">
      <c r="A6575" t="inlineStr">
        <is>
          <t>LD-306573</t>
        </is>
      </c>
      <c r="B6575" t="inlineStr">
        <is>
          <t>2025-12-09 10:59:00</t>
        </is>
      </c>
      <c r="C6575" t="inlineStr">
        <is>
          <t>Social Media</t>
        </is>
      </c>
      <c r="D6575" t="inlineStr">
        <is>
          <t>Study Abroad Prep</t>
        </is>
      </c>
      <c r="E6575" t="inlineStr">
        <is>
          <t>South Region</t>
        </is>
      </c>
      <c r="F6575" t="inlineStr">
        <is>
          <t>Rep_12</t>
        </is>
      </c>
      <c r="G6575" t="n">
        <v>1.02</v>
      </c>
      <c r="H6575" t="inlineStr">
        <is>
          <t>Contacted</t>
        </is>
      </c>
      <c r="I6575" t="inlineStr">
        <is>
          <t>Open</t>
        </is>
      </c>
      <c r="M6575">
        <f>VLOOKUP(H6575,'Stage Order'!$A$2:$B$8,2,FALSE)</f>
        <v/>
      </c>
      <c r="N6575">
        <f>IF(G6575&lt;=1,"1. Under 1 hour",IF(G6575&lt;=24,"2. 1-24 hours",IF(G6575&lt;=72,"3. 1-3 days","4. Over 3 days")))</f>
        <v/>
      </c>
      <c r="O6575">
        <f>TEXT(B6575,"YYYY-MM")</f>
        <v/>
      </c>
    </row>
    <row r="6576">
      <c r="A6576" t="inlineStr">
        <is>
          <t>LD-306574</t>
        </is>
      </c>
      <c r="B6576" t="inlineStr">
        <is>
          <t>2026-04-02 16:17:00</t>
        </is>
      </c>
      <c r="C6576" t="inlineStr">
        <is>
          <t>Webinar</t>
        </is>
      </c>
      <c r="D6576" t="inlineStr">
        <is>
          <t>Language Learning</t>
        </is>
      </c>
      <c r="E6576" t="inlineStr">
        <is>
          <t>North Region</t>
        </is>
      </c>
      <c r="F6576" t="inlineStr">
        <is>
          <t>Rep_06</t>
        </is>
      </c>
      <c r="G6576" t="n">
        <v>36.67</v>
      </c>
      <c r="H6576" t="inlineStr">
        <is>
          <t>Lead</t>
        </is>
      </c>
      <c r="I6576" t="inlineStr">
        <is>
          <t>Open</t>
        </is>
      </c>
      <c r="M6576">
        <f>VLOOKUP(H6576,'Stage Order'!$A$2:$B$8,2,FALSE)</f>
        <v/>
      </c>
      <c r="N6576">
        <f>IF(G6576&lt;=1,"1. Under 1 hour",IF(G6576&lt;=24,"2. 1-24 hours",IF(G6576&lt;=72,"3. 1-3 days","4. Over 3 days")))</f>
        <v/>
      </c>
      <c r="O6576">
        <f>TEXT(B6576,"YYYY-MM")</f>
        <v/>
      </c>
    </row>
    <row r="6577">
      <c r="A6577" t="inlineStr">
        <is>
          <t>LD-306575</t>
        </is>
      </c>
      <c r="B6577" t="inlineStr">
        <is>
          <t>2026-01-16 13:58:00</t>
        </is>
      </c>
      <c r="C6577" t="inlineStr">
        <is>
          <t>Organic Search</t>
        </is>
      </c>
      <c r="D6577" t="inlineStr">
        <is>
          <t>Study Abroad Prep</t>
        </is>
      </c>
      <c r="E6577" t="inlineStr">
        <is>
          <t>East Region</t>
        </is>
      </c>
      <c r="F6577" t="inlineStr">
        <is>
          <t>Rep_09</t>
        </is>
      </c>
      <c r="G6577" t="n">
        <v>1.45</v>
      </c>
      <c r="H6577" t="inlineStr">
        <is>
          <t>Lead</t>
        </is>
      </c>
      <c r="I6577" t="inlineStr">
        <is>
          <t>Open</t>
        </is>
      </c>
      <c r="M6577">
        <f>VLOOKUP(H6577,'Stage Order'!$A$2:$B$8,2,FALSE)</f>
        <v/>
      </c>
      <c r="N6577">
        <f>IF(G6577&lt;=1,"1. Under 1 hour",IF(G6577&lt;=24,"2. 1-24 hours",IF(G6577&lt;=72,"3. 1-3 days","4. Over 3 days")))</f>
        <v/>
      </c>
      <c r="O6577">
        <f>TEXT(B6577,"YYYY-MM")</f>
        <v/>
      </c>
    </row>
    <row r="6578">
      <c r="A6578" t="inlineStr">
        <is>
          <t>LD-306576</t>
        </is>
      </c>
      <c r="B6578" t="inlineStr">
        <is>
          <t>2025-10-10 14:29:00</t>
        </is>
      </c>
      <c r="C6578" t="inlineStr">
        <is>
          <t>Organic Search</t>
        </is>
      </c>
      <c r="D6578" t="inlineStr">
        <is>
          <t>Study Abroad Prep</t>
        </is>
      </c>
      <c r="E6578" t="inlineStr">
        <is>
          <t>West Region</t>
        </is>
      </c>
      <c r="F6578" t="inlineStr">
        <is>
          <t>Rep_13</t>
        </is>
      </c>
      <c r="G6578" t="n">
        <v>2.02</v>
      </c>
      <c r="H6578" t="inlineStr">
        <is>
          <t>Negotiation</t>
        </is>
      </c>
      <c r="I6578" t="inlineStr">
        <is>
          <t>Lost</t>
        </is>
      </c>
      <c r="J6578" t="inlineStr">
        <is>
          <t>Went With Competitor</t>
        </is>
      </c>
      <c r="K6578" t="n">
        <v>1455.04</v>
      </c>
      <c r="L6578" t="inlineStr">
        <is>
          <t>2025-11-24 20:32:49.954269</t>
        </is>
      </c>
      <c r="M6578">
        <f>VLOOKUP(H6578,'Stage Order'!$A$2:$B$8,2,FALSE)</f>
        <v/>
      </c>
      <c r="N6578">
        <f>IF(G6578&lt;=1,"1. Under 1 hour",IF(G6578&lt;=24,"2. 1-24 hours",IF(G6578&lt;=72,"3. 1-3 days","4. Over 3 days")))</f>
        <v/>
      </c>
      <c r="O6578">
        <f>TEXT(B6578,"YYYY-MM")</f>
        <v/>
      </c>
    </row>
    <row r="6579">
      <c r="A6579" t="inlineStr">
        <is>
          <t>LD-306577</t>
        </is>
      </c>
      <c r="B6579" t="inlineStr">
        <is>
          <t>2025-06-19 11:12:00</t>
        </is>
      </c>
      <c r="C6579" t="inlineStr">
        <is>
          <t>Paid Search</t>
        </is>
      </c>
      <c r="D6579" t="inlineStr">
        <is>
          <t>Coding for Kids</t>
        </is>
      </c>
      <c r="E6579" t="inlineStr">
        <is>
          <t>South Region</t>
        </is>
      </c>
      <c r="F6579" t="inlineStr">
        <is>
          <t>Rep_02</t>
        </is>
      </c>
      <c r="G6579" t="n">
        <v>5.15</v>
      </c>
      <c r="H6579" t="inlineStr">
        <is>
          <t>Demo Scheduled</t>
        </is>
      </c>
      <c r="I6579" t="inlineStr">
        <is>
          <t>Open</t>
        </is>
      </c>
      <c r="M6579">
        <f>VLOOKUP(H6579,'Stage Order'!$A$2:$B$8,2,FALSE)</f>
        <v/>
      </c>
      <c r="N6579">
        <f>IF(G6579&lt;=1,"1. Under 1 hour",IF(G6579&lt;=24,"2. 1-24 hours",IF(G6579&lt;=72,"3. 1-3 days","4. Over 3 days")))</f>
        <v/>
      </c>
      <c r="O6579">
        <f>TEXT(B6579,"YYYY-MM")</f>
        <v/>
      </c>
    </row>
    <row r="6580">
      <c r="A6580" t="inlineStr">
        <is>
          <t>LD-306578</t>
        </is>
      </c>
      <c r="B6580" t="inlineStr">
        <is>
          <t>2025-05-06 10:01:00</t>
        </is>
      </c>
      <c r="C6580" t="inlineStr">
        <is>
          <t>Social Media</t>
        </is>
      </c>
      <c r="D6580" t="inlineStr">
        <is>
          <t>Coding for Kids</t>
        </is>
      </c>
      <c r="E6580" t="inlineStr">
        <is>
          <t>West Region</t>
        </is>
      </c>
      <c r="F6580" t="inlineStr">
        <is>
          <t>Rep_13</t>
        </is>
      </c>
      <c r="G6580" t="n">
        <v>2.51</v>
      </c>
      <c r="H6580" t="inlineStr">
        <is>
          <t>Lead</t>
        </is>
      </c>
      <c r="I6580" t="inlineStr">
        <is>
          <t>Open</t>
        </is>
      </c>
      <c r="M6580">
        <f>VLOOKUP(H6580,'Stage Order'!$A$2:$B$8,2,FALSE)</f>
        <v/>
      </c>
      <c r="N6580">
        <f>IF(G6580&lt;=1,"1. Under 1 hour",IF(G6580&lt;=24,"2. 1-24 hours",IF(G6580&lt;=72,"3. 1-3 days","4. Over 3 days")))</f>
        <v/>
      </c>
      <c r="O6580">
        <f>TEXT(B6580,"YYYY-MM")</f>
        <v/>
      </c>
    </row>
    <row r="6581">
      <c r="A6581" t="inlineStr">
        <is>
          <t>LD-306579</t>
        </is>
      </c>
      <c r="B6581" t="inlineStr">
        <is>
          <t>2025-03-13 09:30:00</t>
        </is>
      </c>
      <c r="C6581" t="inlineStr">
        <is>
          <t>Organic Search</t>
        </is>
      </c>
      <c r="D6581" t="inlineStr">
        <is>
          <t>Study Abroad Prep</t>
        </is>
      </c>
      <c r="E6581" t="inlineStr">
        <is>
          <t>North Region</t>
        </is>
      </c>
      <c r="F6581" t="inlineStr">
        <is>
          <t>Rep_06</t>
        </is>
      </c>
      <c r="G6581" t="n">
        <v>1.28</v>
      </c>
      <c r="H6581" t="inlineStr">
        <is>
          <t>Demo Completed</t>
        </is>
      </c>
      <c r="I6581" t="inlineStr">
        <is>
          <t>Lost</t>
        </is>
      </c>
      <c r="J6581" t="inlineStr">
        <is>
          <t>Bad Timing</t>
        </is>
      </c>
      <c r="K6581" t="n">
        <v>1318.83</v>
      </c>
      <c r="L6581" t="inlineStr">
        <is>
          <t>2025-04-20 00:15:20.604083</t>
        </is>
      </c>
      <c r="M6581">
        <f>VLOOKUP(H6581,'Stage Order'!$A$2:$B$8,2,FALSE)</f>
        <v/>
      </c>
      <c r="N6581">
        <f>IF(G6581&lt;=1,"1. Under 1 hour",IF(G6581&lt;=24,"2. 1-24 hours",IF(G6581&lt;=72,"3. 1-3 days","4. Over 3 days")))</f>
        <v/>
      </c>
      <c r="O6581">
        <f>TEXT(B6581,"YYYY-MM")</f>
        <v/>
      </c>
    </row>
    <row r="6582">
      <c r="A6582" t="inlineStr">
        <is>
          <t>LD-306580</t>
        </is>
      </c>
      <c r="B6582" t="inlineStr">
        <is>
          <t>2025-01-02 19:41:00</t>
        </is>
      </c>
      <c r="C6582" t="inlineStr">
        <is>
          <t>Cold Outreach</t>
        </is>
      </c>
      <c r="D6582" t="inlineStr">
        <is>
          <t>Competitive Exam Prep</t>
        </is>
      </c>
      <c r="E6582" t="inlineStr">
        <is>
          <t>North Region</t>
        </is>
      </c>
      <c r="F6582" t="inlineStr">
        <is>
          <t>Rep_11</t>
        </is>
      </c>
      <c r="G6582" t="n">
        <v>1.18</v>
      </c>
      <c r="H6582" t="inlineStr">
        <is>
          <t>Contacted</t>
        </is>
      </c>
      <c r="I6582" t="inlineStr">
        <is>
          <t>Open</t>
        </is>
      </c>
      <c r="M6582">
        <f>VLOOKUP(H6582,'Stage Order'!$A$2:$B$8,2,FALSE)</f>
        <v/>
      </c>
      <c r="N6582">
        <f>IF(G6582&lt;=1,"1. Under 1 hour",IF(G6582&lt;=24,"2. 1-24 hours",IF(G6582&lt;=72,"3. 1-3 days","4. Over 3 days")))</f>
        <v/>
      </c>
      <c r="O6582">
        <f>TEXT(B6582,"YYYY-MM")</f>
        <v/>
      </c>
    </row>
    <row r="6583">
      <c r="A6583" t="inlineStr">
        <is>
          <t>LD-306581</t>
        </is>
      </c>
      <c r="B6583" t="inlineStr">
        <is>
          <t>2025-09-04 19:37:00</t>
        </is>
      </c>
      <c r="C6583" t="inlineStr">
        <is>
          <t>Referral</t>
        </is>
      </c>
      <c r="D6583" t="inlineStr">
        <is>
          <t>K-12 Math</t>
        </is>
      </c>
      <c r="E6583" t="inlineStr">
        <is>
          <t>North Region</t>
        </is>
      </c>
      <c r="F6583" t="inlineStr">
        <is>
          <t>Rep_11</t>
        </is>
      </c>
      <c r="G6583" t="n">
        <v>1.46</v>
      </c>
      <c r="H6583" t="inlineStr">
        <is>
          <t>Contacted</t>
        </is>
      </c>
      <c r="I6583" t="inlineStr">
        <is>
          <t>Open</t>
        </is>
      </c>
      <c r="M6583">
        <f>VLOOKUP(H6583,'Stage Order'!$A$2:$B$8,2,FALSE)</f>
        <v/>
      </c>
      <c r="N6583">
        <f>IF(G6583&lt;=1,"1. Under 1 hour",IF(G6583&lt;=24,"2. 1-24 hours",IF(G6583&lt;=72,"3. 1-3 days","4. Over 3 days")))</f>
        <v/>
      </c>
      <c r="O6583">
        <f>TEXT(B6583,"YYYY-MM")</f>
        <v/>
      </c>
    </row>
    <row r="6584">
      <c r="A6584" t="inlineStr">
        <is>
          <t>LD-306582</t>
        </is>
      </c>
      <c r="B6584" t="inlineStr">
        <is>
          <t>2025-08-21 10:55:00</t>
        </is>
      </c>
      <c r="C6584" t="inlineStr">
        <is>
          <t>Referral</t>
        </is>
      </c>
      <c r="D6584" t="inlineStr">
        <is>
          <t>Competitive Exam Prep</t>
        </is>
      </c>
      <c r="E6584" t="inlineStr">
        <is>
          <t>West Region</t>
        </is>
      </c>
      <c r="F6584" t="inlineStr">
        <is>
          <t>Rep_08</t>
        </is>
      </c>
      <c r="G6584" t="n">
        <v>1.78</v>
      </c>
      <c r="H6584" t="inlineStr">
        <is>
          <t>Closed</t>
        </is>
      </c>
      <c r="I6584" t="inlineStr">
        <is>
          <t>Won</t>
        </is>
      </c>
      <c r="K6584" t="n">
        <v>1013.19</v>
      </c>
      <c r="L6584" t="inlineStr">
        <is>
          <t>2025-09-14 06:15:18.412699</t>
        </is>
      </c>
      <c r="M6584">
        <f>VLOOKUP(H6584,'Stage Order'!$A$2:$B$8,2,FALSE)</f>
        <v/>
      </c>
      <c r="N6584">
        <f>IF(G6584&lt;=1,"1. Under 1 hour",IF(G6584&lt;=24,"2. 1-24 hours",IF(G6584&lt;=72,"3. 1-3 days","4. Over 3 days")))</f>
        <v/>
      </c>
      <c r="O6584">
        <f>TEXT(B6584,"YYYY-MM")</f>
        <v/>
      </c>
    </row>
    <row r="6585">
      <c r="A6585" t="inlineStr">
        <is>
          <t>LD-306583</t>
        </is>
      </c>
      <c r="B6585" t="inlineStr">
        <is>
          <t>2025-10-21 20:37:00</t>
        </is>
      </c>
      <c r="C6585" t="inlineStr">
        <is>
          <t>Webinar</t>
        </is>
      </c>
      <c r="D6585" t="inlineStr">
        <is>
          <t>Competitive Exam Prep</t>
        </is>
      </c>
      <c r="E6585" t="inlineStr">
        <is>
          <t>South Region</t>
        </is>
      </c>
      <c r="F6585" t="inlineStr">
        <is>
          <t>Rep_02</t>
        </is>
      </c>
      <c r="G6585" t="n">
        <v>2.06</v>
      </c>
      <c r="H6585" t="inlineStr">
        <is>
          <t>Closed</t>
        </is>
      </c>
      <c r="I6585" t="inlineStr">
        <is>
          <t>Won</t>
        </is>
      </c>
      <c r="K6585" t="n">
        <v>913.9299999999999</v>
      </c>
      <c r="L6585" t="inlineStr">
        <is>
          <t>2025-11-29 10:04:42.789817</t>
        </is>
      </c>
      <c r="M6585">
        <f>VLOOKUP(H6585,'Stage Order'!$A$2:$B$8,2,FALSE)</f>
        <v/>
      </c>
      <c r="N6585">
        <f>IF(G6585&lt;=1,"1. Under 1 hour",IF(G6585&lt;=24,"2. 1-24 hours",IF(G6585&lt;=72,"3. 1-3 days","4. Over 3 days")))</f>
        <v/>
      </c>
      <c r="O6585">
        <f>TEXT(B6585,"YYYY-MM")</f>
        <v/>
      </c>
    </row>
    <row r="6586">
      <c r="A6586" t="inlineStr">
        <is>
          <t>LD-306584</t>
        </is>
      </c>
      <c r="B6586" t="inlineStr">
        <is>
          <t>2025-08-25 07:18:00</t>
        </is>
      </c>
      <c r="C6586" t="inlineStr">
        <is>
          <t>Paid Search</t>
        </is>
      </c>
      <c r="D6586" t="inlineStr">
        <is>
          <t>Language Learning</t>
        </is>
      </c>
      <c r="E6586" t="inlineStr">
        <is>
          <t>North Region</t>
        </is>
      </c>
      <c r="F6586" t="inlineStr">
        <is>
          <t>Rep_01</t>
        </is>
      </c>
      <c r="G6586" t="n">
        <v>5.3</v>
      </c>
      <c r="H6586" t="inlineStr">
        <is>
          <t>Contacted</t>
        </is>
      </c>
      <c r="I6586" t="inlineStr">
        <is>
          <t>Open</t>
        </is>
      </c>
      <c r="M6586">
        <f>VLOOKUP(H6586,'Stage Order'!$A$2:$B$8,2,FALSE)</f>
        <v/>
      </c>
      <c r="N6586">
        <f>IF(G6586&lt;=1,"1. Under 1 hour",IF(G6586&lt;=24,"2. 1-24 hours",IF(G6586&lt;=72,"3. 1-3 days","4. Over 3 days")))</f>
        <v/>
      </c>
      <c r="O6586">
        <f>TEXT(B6586,"YYYY-MM")</f>
        <v/>
      </c>
    </row>
    <row r="6587">
      <c r="A6587" t="inlineStr">
        <is>
          <t>LD-306585</t>
        </is>
      </c>
      <c r="B6587" t="inlineStr">
        <is>
          <t>2025-03-10 08:23:00</t>
        </is>
      </c>
      <c r="C6587" t="inlineStr">
        <is>
          <t>Social Media</t>
        </is>
      </c>
      <c r="D6587" t="inlineStr">
        <is>
          <t>Language Learning</t>
        </is>
      </c>
      <c r="E6587" t="inlineStr">
        <is>
          <t>North Region</t>
        </is>
      </c>
      <c r="F6587" t="inlineStr">
        <is>
          <t>Rep_11</t>
        </is>
      </c>
      <c r="G6587" t="n">
        <v>52.76</v>
      </c>
      <c r="H6587" t="inlineStr">
        <is>
          <t>Lead</t>
        </is>
      </c>
      <c r="I6587" t="inlineStr">
        <is>
          <t>Open</t>
        </is>
      </c>
      <c r="M6587">
        <f>VLOOKUP(H6587,'Stage Order'!$A$2:$B$8,2,FALSE)</f>
        <v/>
      </c>
      <c r="N6587">
        <f>IF(G6587&lt;=1,"1. Under 1 hour",IF(G6587&lt;=24,"2. 1-24 hours",IF(G6587&lt;=72,"3. 1-3 days","4. Over 3 days")))</f>
        <v/>
      </c>
      <c r="O6587">
        <f>TEXT(B6587,"YYYY-MM")</f>
        <v/>
      </c>
    </row>
    <row r="6588">
      <c r="A6588" t="inlineStr">
        <is>
          <t>LD-306586</t>
        </is>
      </c>
      <c r="B6588" t="inlineStr">
        <is>
          <t>2025-09-15 20:08:00</t>
        </is>
      </c>
      <c r="C6588" t="inlineStr">
        <is>
          <t>Webinar</t>
        </is>
      </c>
      <c r="D6588" t="inlineStr">
        <is>
          <t>Language Learning</t>
        </is>
      </c>
      <c r="E6588" t="inlineStr">
        <is>
          <t>North Region</t>
        </is>
      </c>
      <c r="F6588" t="inlineStr">
        <is>
          <t>Rep_11</t>
        </is>
      </c>
      <c r="G6588" t="n">
        <v>1.62</v>
      </c>
      <c r="H6588" t="inlineStr">
        <is>
          <t>Negotiation</t>
        </is>
      </c>
      <c r="I6588" t="inlineStr">
        <is>
          <t>Lost</t>
        </is>
      </c>
      <c r="J6588" t="inlineStr">
        <is>
          <t>Went With Competitor</t>
        </is>
      </c>
      <c r="K6588" t="n">
        <v>382.45</v>
      </c>
      <c r="L6588" t="inlineStr">
        <is>
          <t>2025-11-11 16:42:08.398409</t>
        </is>
      </c>
      <c r="M6588">
        <f>VLOOKUP(H6588,'Stage Order'!$A$2:$B$8,2,FALSE)</f>
        <v/>
      </c>
      <c r="N6588">
        <f>IF(G6588&lt;=1,"1. Under 1 hour",IF(G6588&lt;=24,"2. 1-24 hours",IF(G6588&lt;=72,"3. 1-3 days","4. Over 3 days")))</f>
        <v/>
      </c>
      <c r="O6588">
        <f>TEXT(B6588,"YYYY-MM")</f>
        <v/>
      </c>
    </row>
    <row r="6589">
      <c r="A6589" t="inlineStr">
        <is>
          <t>LD-306587</t>
        </is>
      </c>
      <c r="B6589" t="inlineStr">
        <is>
          <t>2025-02-13 07:57:00</t>
        </is>
      </c>
      <c r="C6589" t="inlineStr">
        <is>
          <t>Social Media</t>
        </is>
      </c>
      <c r="D6589" t="inlineStr">
        <is>
          <t>Language Learning</t>
        </is>
      </c>
      <c r="E6589" t="inlineStr">
        <is>
          <t>South Region</t>
        </is>
      </c>
      <c r="F6589" t="inlineStr">
        <is>
          <t>Rep_12</t>
        </is>
      </c>
      <c r="G6589" t="n">
        <v>1.11</v>
      </c>
      <c r="H6589" t="inlineStr">
        <is>
          <t>Demo Completed</t>
        </is>
      </c>
      <c r="I6589" t="inlineStr">
        <is>
          <t>Lost</t>
        </is>
      </c>
      <c r="J6589" t="inlineStr">
        <is>
          <t>Bad Timing</t>
        </is>
      </c>
      <c r="K6589" t="n">
        <v>367.95</v>
      </c>
      <c r="L6589" t="inlineStr">
        <is>
          <t>2025-03-27 09:16:32.776376</t>
        </is>
      </c>
      <c r="M6589">
        <f>VLOOKUP(H6589,'Stage Order'!$A$2:$B$8,2,FALSE)</f>
        <v/>
      </c>
      <c r="N6589">
        <f>IF(G6589&lt;=1,"1. Under 1 hour",IF(G6589&lt;=24,"2. 1-24 hours",IF(G6589&lt;=72,"3. 1-3 days","4. Over 3 days")))</f>
        <v/>
      </c>
      <c r="O6589">
        <f>TEXT(B6589,"YYYY-MM")</f>
        <v/>
      </c>
    </row>
    <row r="6590">
      <c r="A6590" t="inlineStr">
        <is>
          <t>LD-306588</t>
        </is>
      </c>
      <c r="B6590" t="inlineStr">
        <is>
          <t>2025-10-01 14:01:00</t>
        </is>
      </c>
      <c r="C6590" t="inlineStr">
        <is>
          <t>Organic Search</t>
        </is>
      </c>
      <c r="D6590" t="inlineStr">
        <is>
          <t>Competitive Exam Prep</t>
        </is>
      </c>
      <c r="E6590" t="inlineStr">
        <is>
          <t>South Region</t>
        </is>
      </c>
      <c r="F6590" t="inlineStr">
        <is>
          <t>Rep_02</t>
        </is>
      </c>
      <c r="G6590" t="n">
        <v>3.02</v>
      </c>
      <c r="H6590" t="inlineStr">
        <is>
          <t>Demo Completed</t>
        </is>
      </c>
      <c r="I6590" t="inlineStr">
        <is>
          <t>Lost</t>
        </is>
      </c>
      <c r="J6590" t="inlineStr">
        <is>
          <t>Bad Timing</t>
        </is>
      </c>
      <c r="K6590" t="n">
        <v>841.67</v>
      </c>
      <c r="L6590" t="inlineStr">
        <is>
          <t>2025-11-03 21:10:10.540149</t>
        </is>
      </c>
      <c r="M6590">
        <f>VLOOKUP(H6590,'Stage Order'!$A$2:$B$8,2,FALSE)</f>
        <v/>
      </c>
      <c r="N6590">
        <f>IF(G6590&lt;=1,"1. Under 1 hour",IF(G6590&lt;=24,"2. 1-24 hours",IF(G6590&lt;=72,"3. 1-3 days","4. Over 3 days")))</f>
        <v/>
      </c>
      <c r="O6590">
        <f>TEXT(B6590,"YYYY-MM")</f>
        <v/>
      </c>
    </row>
    <row r="6591">
      <c r="A6591" t="inlineStr">
        <is>
          <t>LD-306589</t>
        </is>
      </c>
      <c r="B6591" t="inlineStr">
        <is>
          <t>2025-10-10 16:33:00</t>
        </is>
      </c>
      <c r="C6591" t="inlineStr">
        <is>
          <t>Referral</t>
        </is>
      </c>
      <c r="D6591" t="inlineStr">
        <is>
          <t>K-12 Math</t>
        </is>
      </c>
      <c r="E6591" t="inlineStr">
        <is>
          <t>West Region</t>
        </is>
      </c>
      <c r="F6591" t="inlineStr">
        <is>
          <t>Rep_03</t>
        </is>
      </c>
      <c r="G6591" t="n">
        <v>15.72</v>
      </c>
      <c r="H6591" t="inlineStr">
        <is>
          <t>Demo Completed</t>
        </is>
      </c>
      <c r="I6591" t="inlineStr">
        <is>
          <t>Lost</t>
        </is>
      </c>
      <c r="J6591" t="inlineStr">
        <is>
          <t>No Response / Ghosted</t>
        </is>
      </c>
      <c r="K6591" t="n">
        <v>515.62</v>
      </c>
      <c r="L6591" t="inlineStr">
        <is>
          <t>2025-11-20 06:48:18.756136</t>
        </is>
      </c>
      <c r="M6591">
        <f>VLOOKUP(H6591,'Stage Order'!$A$2:$B$8,2,FALSE)</f>
        <v/>
      </c>
      <c r="N6591">
        <f>IF(G6591&lt;=1,"1. Under 1 hour",IF(G6591&lt;=24,"2. 1-24 hours",IF(G6591&lt;=72,"3. 1-3 days","4. Over 3 days")))</f>
        <v/>
      </c>
      <c r="O6591">
        <f>TEXT(B6591,"YYYY-MM")</f>
        <v/>
      </c>
    </row>
    <row r="6592">
      <c r="A6592" t="inlineStr">
        <is>
          <t>LD-306590</t>
        </is>
      </c>
      <c r="B6592" t="inlineStr">
        <is>
          <t>2025-02-10 08:22:00</t>
        </is>
      </c>
      <c r="C6592" t="inlineStr">
        <is>
          <t>Cold Outreach</t>
        </is>
      </c>
      <c r="D6592" t="inlineStr">
        <is>
          <t>Coding for Kids</t>
        </is>
      </c>
      <c r="E6592" t="inlineStr">
        <is>
          <t>West Region</t>
        </is>
      </c>
      <c r="F6592" t="inlineStr">
        <is>
          <t>Rep_13</t>
        </is>
      </c>
      <c r="G6592" t="n">
        <v>8.07</v>
      </c>
      <c r="H6592" t="inlineStr">
        <is>
          <t>Lead</t>
        </is>
      </c>
      <c r="I6592" t="inlineStr">
        <is>
          <t>Open</t>
        </is>
      </c>
      <c r="M6592">
        <f>VLOOKUP(H6592,'Stage Order'!$A$2:$B$8,2,FALSE)</f>
        <v/>
      </c>
      <c r="N6592">
        <f>IF(G6592&lt;=1,"1. Under 1 hour",IF(G6592&lt;=24,"2. 1-24 hours",IF(G6592&lt;=72,"3. 1-3 days","4. Over 3 days")))</f>
        <v/>
      </c>
      <c r="O6592">
        <f>TEXT(B6592,"YYYY-MM")</f>
        <v/>
      </c>
    </row>
    <row r="6593">
      <c r="A6593" t="inlineStr">
        <is>
          <t>LD-306591</t>
        </is>
      </c>
      <c r="B6593" t="inlineStr">
        <is>
          <t>2025-10-24 18:54:00</t>
        </is>
      </c>
      <c r="C6593" t="inlineStr">
        <is>
          <t>Organic Search</t>
        </is>
      </c>
      <c r="D6593" t="inlineStr">
        <is>
          <t>K-12 Math</t>
        </is>
      </c>
      <c r="E6593" t="inlineStr">
        <is>
          <t>West Region</t>
        </is>
      </c>
      <c r="F6593" t="inlineStr">
        <is>
          <t>Rep_08</t>
        </is>
      </c>
      <c r="G6593" t="n">
        <v>1.57</v>
      </c>
      <c r="H6593" t="inlineStr">
        <is>
          <t>Closed</t>
        </is>
      </c>
      <c r="I6593" t="inlineStr">
        <is>
          <t>Won</t>
        </is>
      </c>
      <c r="K6593" t="n">
        <v>408.04</v>
      </c>
      <c r="L6593" t="inlineStr">
        <is>
          <t>2025-12-16 16:41:51.367521</t>
        </is>
      </c>
      <c r="M6593">
        <f>VLOOKUP(H6593,'Stage Order'!$A$2:$B$8,2,FALSE)</f>
        <v/>
      </c>
      <c r="N6593">
        <f>IF(G6593&lt;=1,"1. Under 1 hour",IF(G6593&lt;=24,"2. 1-24 hours",IF(G6593&lt;=72,"3. 1-3 days","4. Over 3 days")))</f>
        <v/>
      </c>
      <c r="O6593">
        <f>TEXT(B6593,"YYYY-MM")</f>
        <v/>
      </c>
    </row>
    <row r="6594">
      <c r="A6594" t="inlineStr">
        <is>
          <t>LD-306592</t>
        </is>
      </c>
      <c r="B6594" t="inlineStr">
        <is>
          <t>2025-07-03 15:07:00</t>
        </is>
      </c>
      <c r="C6594" t="inlineStr">
        <is>
          <t>Paid Search</t>
        </is>
      </c>
      <c r="D6594" t="inlineStr">
        <is>
          <t>Coding for Kids</t>
        </is>
      </c>
      <c r="E6594" t="inlineStr">
        <is>
          <t>West Region</t>
        </is>
      </c>
      <c r="F6594" t="inlineStr">
        <is>
          <t>Rep_08</t>
        </is>
      </c>
      <c r="G6594" t="n">
        <v>4.41</v>
      </c>
      <c r="H6594" t="inlineStr">
        <is>
          <t>Proposal Sent</t>
        </is>
      </c>
      <c r="I6594" t="inlineStr">
        <is>
          <t>Lost</t>
        </is>
      </c>
      <c r="J6594" t="inlineStr">
        <is>
          <t>Bad Timing</t>
        </is>
      </c>
      <c r="K6594" t="n">
        <v>670.6900000000001</v>
      </c>
      <c r="L6594" t="inlineStr">
        <is>
          <t>2025-08-17 01:41:20.137578</t>
        </is>
      </c>
      <c r="M6594">
        <f>VLOOKUP(H6594,'Stage Order'!$A$2:$B$8,2,FALSE)</f>
        <v/>
      </c>
      <c r="N6594">
        <f>IF(G6594&lt;=1,"1. Under 1 hour",IF(G6594&lt;=24,"2. 1-24 hours",IF(G6594&lt;=72,"3. 1-3 days","4. Over 3 days")))</f>
        <v/>
      </c>
      <c r="O6594">
        <f>TEXT(B6594,"YYYY-MM")</f>
        <v/>
      </c>
    </row>
    <row r="6595">
      <c r="A6595" t="inlineStr">
        <is>
          <t>LD-306593</t>
        </is>
      </c>
      <c r="B6595" t="inlineStr">
        <is>
          <t>2025-02-28 09:43:00</t>
        </is>
      </c>
      <c r="C6595" t="inlineStr">
        <is>
          <t>Referral</t>
        </is>
      </c>
      <c r="D6595" t="inlineStr">
        <is>
          <t>Coding for Kids</t>
        </is>
      </c>
      <c r="E6595" t="inlineStr">
        <is>
          <t>West Region</t>
        </is>
      </c>
      <c r="F6595" t="inlineStr">
        <is>
          <t>Rep_08</t>
        </is>
      </c>
      <c r="G6595" t="n">
        <v>2.35</v>
      </c>
      <c r="H6595" t="inlineStr">
        <is>
          <t>Lead</t>
        </is>
      </c>
      <c r="I6595" t="inlineStr">
        <is>
          <t>Open</t>
        </is>
      </c>
      <c r="M6595">
        <f>VLOOKUP(H6595,'Stage Order'!$A$2:$B$8,2,FALSE)</f>
        <v/>
      </c>
      <c r="N6595">
        <f>IF(G6595&lt;=1,"1. Under 1 hour",IF(G6595&lt;=24,"2. 1-24 hours",IF(G6595&lt;=72,"3. 1-3 days","4. Over 3 days")))</f>
        <v/>
      </c>
      <c r="O6595">
        <f>TEXT(B6595,"YYYY-MM")</f>
        <v/>
      </c>
    </row>
    <row r="6596">
      <c r="A6596" t="inlineStr">
        <is>
          <t>LD-306594</t>
        </is>
      </c>
      <c r="B6596" t="inlineStr">
        <is>
          <t>2025-07-15 13:29:00</t>
        </is>
      </c>
      <c r="C6596" t="inlineStr">
        <is>
          <t>Webinar</t>
        </is>
      </c>
      <c r="D6596" t="inlineStr">
        <is>
          <t>Language Learning</t>
        </is>
      </c>
      <c r="E6596" t="inlineStr">
        <is>
          <t>East Region</t>
        </is>
      </c>
      <c r="F6596" t="inlineStr">
        <is>
          <t>Rep_09</t>
        </is>
      </c>
      <c r="G6596" t="n">
        <v>1.07</v>
      </c>
      <c r="H6596" t="inlineStr">
        <is>
          <t>Closed</t>
        </is>
      </c>
      <c r="I6596" t="inlineStr">
        <is>
          <t>Won</t>
        </is>
      </c>
      <c r="K6596" t="n">
        <v>359.58</v>
      </c>
      <c r="L6596" t="inlineStr">
        <is>
          <t>2025-08-21 10:21:15.741732</t>
        </is>
      </c>
      <c r="M6596">
        <f>VLOOKUP(H6596,'Stage Order'!$A$2:$B$8,2,FALSE)</f>
        <v/>
      </c>
      <c r="N6596">
        <f>IF(G6596&lt;=1,"1. Under 1 hour",IF(G6596&lt;=24,"2. 1-24 hours",IF(G6596&lt;=72,"3. 1-3 days","4. Over 3 days")))</f>
        <v/>
      </c>
      <c r="O6596">
        <f>TEXT(B6596,"YYYY-MM")</f>
        <v/>
      </c>
    </row>
    <row r="6597">
      <c r="A6597" t="inlineStr">
        <is>
          <t>LD-306595</t>
        </is>
      </c>
      <c r="B6597" t="inlineStr">
        <is>
          <t>2025-07-29 09:06:00</t>
        </is>
      </c>
      <c r="C6597" t="inlineStr">
        <is>
          <t>Referral</t>
        </is>
      </c>
      <c r="D6597" t="inlineStr">
        <is>
          <t>K-12 Math</t>
        </is>
      </c>
      <c r="E6597" t="inlineStr">
        <is>
          <t>International</t>
        </is>
      </c>
      <c r="F6597" t="inlineStr">
        <is>
          <t>Rep_05</t>
        </is>
      </c>
      <c r="G6597" t="n">
        <v>1.9</v>
      </c>
      <c r="H6597" t="inlineStr">
        <is>
          <t>Negotiation</t>
        </is>
      </c>
      <c r="I6597" t="inlineStr">
        <is>
          <t>Lost</t>
        </is>
      </c>
      <c r="J6597" t="inlineStr">
        <is>
          <t>Went With Competitor</t>
        </is>
      </c>
      <c r="K6597" t="n">
        <v>459.28</v>
      </c>
      <c r="L6597" t="inlineStr">
        <is>
          <t>2025-09-05 19:59:46.055354</t>
        </is>
      </c>
      <c r="M6597">
        <f>VLOOKUP(H6597,'Stage Order'!$A$2:$B$8,2,FALSE)</f>
        <v/>
      </c>
      <c r="N6597">
        <f>IF(G6597&lt;=1,"1. Under 1 hour",IF(G6597&lt;=24,"2. 1-24 hours",IF(G6597&lt;=72,"3. 1-3 days","4. Over 3 days")))</f>
        <v/>
      </c>
      <c r="O6597">
        <f>TEXT(B6597,"YYYY-MM")</f>
        <v/>
      </c>
    </row>
    <row r="6598">
      <c r="A6598" t="inlineStr">
        <is>
          <t>LD-306596</t>
        </is>
      </c>
      <c r="B6598" t="inlineStr">
        <is>
          <t>2025-06-18 14:05:00</t>
        </is>
      </c>
      <c r="C6598" t="inlineStr">
        <is>
          <t>Organic Search</t>
        </is>
      </c>
      <c r="D6598" t="inlineStr">
        <is>
          <t>K-12 Math</t>
        </is>
      </c>
      <c r="E6598" t="inlineStr">
        <is>
          <t>North Region</t>
        </is>
      </c>
      <c r="F6598" t="inlineStr">
        <is>
          <t>Rep_11</t>
        </is>
      </c>
      <c r="G6598" t="n">
        <v>14.33</v>
      </c>
      <c r="H6598" t="inlineStr">
        <is>
          <t>Closed</t>
        </is>
      </c>
      <c r="I6598" t="inlineStr">
        <is>
          <t>Won</t>
        </is>
      </c>
      <c r="K6598" t="n">
        <v>455.06</v>
      </c>
      <c r="L6598" t="inlineStr">
        <is>
          <t>2025-07-25 09:16:52.783863</t>
        </is>
      </c>
      <c r="M6598">
        <f>VLOOKUP(H6598,'Stage Order'!$A$2:$B$8,2,FALSE)</f>
        <v/>
      </c>
      <c r="N6598">
        <f>IF(G6598&lt;=1,"1. Under 1 hour",IF(G6598&lt;=24,"2. 1-24 hours",IF(G6598&lt;=72,"3. 1-3 days","4. Over 3 days")))</f>
        <v/>
      </c>
      <c r="O6598">
        <f>TEXT(B6598,"YYYY-MM")</f>
        <v/>
      </c>
    </row>
    <row r="6599">
      <c r="A6599" t="inlineStr">
        <is>
          <t>LD-306597</t>
        </is>
      </c>
      <c r="B6599" t="inlineStr">
        <is>
          <t>2025-03-07 17:01:00</t>
        </is>
      </c>
      <c r="C6599" t="inlineStr">
        <is>
          <t>Paid Search</t>
        </is>
      </c>
      <c r="D6599" t="inlineStr">
        <is>
          <t>K-12 Math</t>
        </is>
      </c>
      <c r="E6599" t="inlineStr">
        <is>
          <t>South Region</t>
        </is>
      </c>
      <c r="F6599" t="inlineStr">
        <is>
          <t>Rep_12</t>
        </is>
      </c>
      <c r="G6599" t="n">
        <v>7.09</v>
      </c>
      <c r="H6599" t="inlineStr">
        <is>
          <t>Contacted</t>
        </is>
      </c>
      <c r="I6599" t="inlineStr">
        <is>
          <t>Open</t>
        </is>
      </c>
      <c r="M6599">
        <f>VLOOKUP(H6599,'Stage Order'!$A$2:$B$8,2,FALSE)</f>
        <v/>
      </c>
      <c r="N6599">
        <f>IF(G6599&lt;=1,"1. Under 1 hour",IF(G6599&lt;=24,"2. 1-24 hours",IF(G6599&lt;=72,"3. 1-3 days","4. Over 3 days")))</f>
        <v/>
      </c>
      <c r="O6599">
        <f>TEXT(B6599,"YYYY-MM")</f>
        <v/>
      </c>
    </row>
    <row r="6600">
      <c r="A6600" t="inlineStr">
        <is>
          <t>LD-306598</t>
        </is>
      </c>
      <c r="B6600" t="inlineStr">
        <is>
          <t>2026-06-29 14:21:00</t>
        </is>
      </c>
      <c r="C6600" t="inlineStr">
        <is>
          <t>Paid Search</t>
        </is>
      </c>
      <c r="D6600" t="inlineStr">
        <is>
          <t>Competitive Exam Prep</t>
        </is>
      </c>
      <c r="E6600" t="inlineStr">
        <is>
          <t>International</t>
        </is>
      </c>
      <c r="F6600" t="inlineStr">
        <is>
          <t>Rep_15</t>
        </is>
      </c>
      <c r="G6600" t="n">
        <v>1.24</v>
      </c>
      <c r="H6600" t="inlineStr">
        <is>
          <t>Lead</t>
        </is>
      </c>
      <c r="I6600" t="inlineStr">
        <is>
          <t>Open</t>
        </is>
      </c>
      <c r="M6600">
        <f>VLOOKUP(H6600,'Stage Order'!$A$2:$B$8,2,FALSE)</f>
        <v/>
      </c>
      <c r="N6600">
        <f>IF(G6600&lt;=1,"1. Under 1 hour",IF(G6600&lt;=24,"2. 1-24 hours",IF(G6600&lt;=72,"3. 1-3 days","4. Over 3 days")))</f>
        <v/>
      </c>
      <c r="O6600">
        <f>TEXT(B6600,"YYYY-MM")</f>
        <v/>
      </c>
    </row>
    <row r="6601">
      <c r="A6601" t="inlineStr">
        <is>
          <t>LD-306599</t>
        </is>
      </c>
      <c r="B6601" t="inlineStr">
        <is>
          <t>2025-11-14 17:57:00</t>
        </is>
      </c>
      <c r="C6601" t="inlineStr">
        <is>
          <t>Webinar</t>
        </is>
      </c>
      <c r="D6601" t="inlineStr">
        <is>
          <t>Coding for Kids</t>
        </is>
      </c>
      <c r="E6601" t="inlineStr">
        <is>
          <t>North Region</t>
        </is>
      </c>
      <c r="F6601" t="inlineStr">
        <is>
          <t>Rep_01</t>
        </is>
      </c>
      <c r="G6601" t="n">
        <v>4.05</v>
      </c>
      <c r="H6601" t="inlineStr">
        <is>
          <t>Contacted</t>
        </is>
      </c>
      <c r="I6601" t="inlineStr">
        <is>
          <t>Open</t>
        </is>
      </c>
      <c r="M6601">
        <f>VLOOKUP(H6601,'Stage Order'!$A$2:$B$8,2,FALSE)</f>
        <v/>
      </c>
      <c r="N6601">
        <f>IF(G6601&lt;=1,"1. Under 1 hour",IF(G6601&lt;=24,"2. 1-24 hours",IF(G6601&lt;=72,"3. 1-3 days","4. Over 3 days")))</f>
        <v/>
      </c>
      <c r="O6601">
        <f>TEXT(B6601,"YYYY-MM")</f>
        <v/>
      </c>
    </row>
    <row r="6602">
      <c r="A6602" t="inlineStr">
        <is>
          <t>LD-306600</t>
        </is>
      </c>
      <c r="B6602" t="inlineStr">
        <is>
          <t>2025-07-14 07:11:00</t>
        </is>
      </c>
      <c r="C6602" t="inlineStr">
        <is>
          <t>Referral</t>
        </is>
      </c>
      <c r="D6602" t="inlineStr">
        <is>
          <t>Coding for Kids</t>
        </is>
      </c>
      <c r="E6602" t="inlineStr">
        <is>
          <t>International</t>
        </is>
      </c>
      <c r="F6602" t="inlineStr">
        <is>
          <t>Rep_15</t>
        </is>
      </c>
      <c r="G6602" t="n">
        <v>2.93</v>
      </c>
      <c r="H6602" t="inlineStr">
        <is>
          <t>Closed</t>
        </is>
      </c>
      <c r="I6602" t="inlineStr">
        <is>
          <t>Won</t>
        </is>
      </c>
      <c r="K6602" t="n">
        <v>715.89</v>
      </c>
      <c r="L6602" t="inlineStr">
        <is>
          <t>2025-08-18 17:17:54.588287</t>
        </is>
      </c>
      <c r="M6602">
        <f>VLOOKUP(H6602,'Stage Order'!$A$2:$B$8,2,FALSE)</f>
        <v/>
      </c>
      <c r="N6602">
        <f>IF(G6602&lt;=1,"1. Under 1 hour",IF(G6602&lt;=24,"2. 1-24 hours",IF(G6602&lt;=72,"3. 1-3 days","4. Over 3 days")))</f>
        <v/>
      </c>
      <c r="O6602">
        <f>TEXT(B6602,"YYYY-MM")</f>
        <v/>
      </c>
    </row>
    <row r="6603">
      <c r="A6603" t="inlineStr">
        <is>
          <t>LD-306601</t>
        </is>
      </c>
      <c r="B6603" t="inlineStr">
        <is>
          <t>2026-04-05 10:51:00</t>
        </is>
      </c>
      <c r="C6603" t="inlineStr">
        <is>
          <t>Webinar</t>
        </is>
      </c>
      <c r="D6603" t="inlineStr">
        <is>
          <t>Competitive Exam Prep</t>
        </is>
      </c>
      <c r="E6603" t="inlineStr">
        <is>
          <t>North Region</t>
        </is>
      </c>
      <c r="F6603" t="inlineStr">
        <is>
          <t>Rep_06</t>
        </is>
      </c>
      <c r="G6603" t="n">
        <v>2.86</v>
      </c>
      <c r="H6603" t="inlineStr">
        <is>
          <t>Negotiation</t>
        </is>
      </c>
      <c r="I6603" t="inlineStr">
        <is>
          <t>Lost</t>
        </is>
      </c>
      <c r="J6603" t="inlineStr">
        <is>
          <t>Went With Competitor</t>
        </is>
      </c>
      <c r="K6603" t="n">
        <v>975.25</v>
      </c>
      <c r="L6603" t="inlineStr">
        <is>
          <t>2026-05-31 16:07:19.315316</t>
        </is>
      </c>
      <c r="M6603">
        <f>VLOOKUP(H6603,'Stage Order'!$A$2:$B$8,2,FALSE)</f>
        <v/>
      </c>
      <c r="N6603">
        <f>IF(G6603&lt;=1,"1. Under 1 hour",IF(G6603&lt;=24,"2. 1-24 hours",IF(G6603&lt;=72,"3. 1-3 days","4. Over 3 days")))</f>
        <v/>
      </c>
      <c r="O6603">
        <f>TEXT(B6603,"YYYY-MM")</f>
        <v/>
      </c>
    </row>
    <row r="6604">
      <c r="A6604" t="inlineStr">
        <is>
          <t>LD-306602</t>
        </is>
      </c>
      <c r="B6604" t="inlineStr">
        <is>
          <t>2025-06-17 18:43:00</t>
        </is>
      </c>
      <c r="C6604" t="inlineStr">
        <is>
          <t>Social Media</t>
        </is>
      </c>
      <c r="D6604" t="inlineStr">
        <is>
          <t>Competitive Exam Prep</t>
        </is>
      </c>
      <c r="E6604" t="inlineStr">
        <is>
          <t>North Region</t>
        </is>
      </c>
      <c r="F6604" t="inlineStr">
        <is>
          <t>Rep_06</t>
        </is>
      </c>
      <c r="G6604" t="n">
        <v>5.32</v>
      </c>
      <c r="H6604" t="inlineStr">
        <is>
          <t>Contacted</t>
        </is>
      </c>
      <c r="I6604" t="inlineStr">
        <is>
          <t>Open</t>
        </is>
      </c>
      <c r="M6604">
        <f>VLOOKUP(H6604,'Stage Order'!$A$2:$B$8,2,FALSE)</f>
        <v/>
      </c>
      <c r="N6604">
        <f>IF(G6604&lt;=1,"1. Under 1 hour",IF(G6604&lt;=24,"2. 1-24 hours",IF(G6604&lt;=72,"3. 1-3 days","4. Over 3 days")))</f>
        <v/>
      </c>
      <c r="O6604">
        <f>TEXT(B6604,"YYYY-MM")</f>
        <v/>
      </c>
    </row>
    <row r="6605">
      <c r="A6605" t="inlineStr">
        <is>
          <t>LD-306603</t>
        </is>
      </c>
      <c r="B6605" t="inlineStr">
        <is>
          <t>2026-02-25 13:59:00</t>
        </is>
      </c>
      <c r="C6605" t="inlineStr">
        <is>
          <t>Referral</t>
        </is>
      </c>
      <c r="D6605" t="inlineStr">
        <is>
          <t>Competitive Exam Prep</t>
        </is>
      </c>
      <c r="E6605" t="inlineStr">
        <is>
          <t>North Region</t>
        </is>
      </c>
      <c r="F6605" t="inlineStr">
        <is>
          <t>Rep_11</t>
        </is>
      </c>
      <c r="G6605" t="n">
        <v>3.62</v>
      </c>
      <c r="H6605" t="inlineStr">
        <is>
          <t>Closed</t>
        </is>
      </c>
      <c r="I6605" t="inlineStr">
        <is>
          <t>Won</t>
        </is>
      </c>
      <c r="K6605" t="n">
        <v>1185.19</v>
      </c>
      <c r="L6605" t="inlineStr">
        <is>
          <t>2026-04-01 21:51:39.802298</t>
        </is>
      </c>
      <c r="M6605">
        <f>VLOOKUP(H6605,'Stage Order'!$A$2:$B$8,2,FALSE)</f>
        <v/>
      </c>
      <c r="N6605">
        <f>IF(G6605&lt;=1,"1. Under 1 hour",IF(G6605&lt;=24,"2. 1-24 hours",IF(G6605&lt;=72,"3. 1-3 days","4. Over 3 days")))</f>
        <v/>
      </c>
      <c r="O6605">
        <f>TEXT(B6605,"YYYY-MM")</f>
        <v/>
      </c>
    </row>
    <row r="6606">
      <c r="A6606" t="inlineStr">
        <is>
          <t>LD-306604</t>
        </is>
      </c>
      <c r="B6606" t="inlineStr">
        <is>
          <t>2026-02-12 09:18:00</t>
        </is>
      </c>
      <c r="C6606" t="inlineStr">
        <is>
          <t>Paid Search</t>
        </is>
      </c>
      <c r="D6606" t="inlineStr">
        <is>
          <t>Language Learning</t>
        </is>
      </c>
      <c r="E6606" t="inlineStr">
        <is>
          <t>South Region</t>
        </is>
      </c>
      <c r="F6606" t="inlineStr">
        <is>
          <t>Rep_12</t>
        </is>
      </c>
      <c r="G6606" t="n">
        <v>8.93</v>
      </c>
      <c r="H6606" t="inlineStr">
        <is>
          <t>Lead</t>
        </is>
      </c>
      <c r="I6606" t="inlineStr">
        <is>
          <t>Open</t>
        </is>
      </c>
      <c r="M6606">
        <f>VLOOKUP(H6606,'Stage Order'!$A$2:$B$8,2,FALSE)</f>
        <v/>
      </c>
      <c r="N6606">
        <f>IF(G6606&lt;=1,"1. Under 1 hour",IF(G6606&lt;=24,"2. 1-24 hours",IF(G6606&lt;=72,"3. 1-3 days","4. Over 3 days")))</f>
        <v/>
      </c>
      <c r="O6606">
        <f>TEXT(B6606,"YYYY-MM")</f>
        <v/>
      </c>
    </row>
    <row r="6607">
      <c r="A6607" t="inlineStr">
        <is>
          <t>LD-306605</t>
        </is>
      </c>
      <c r="B6607" t="inlineStr">
        <is>
          <t>2025-08-01 09:36:00</t>
        </is>
      </c>
      <c r="C6607" t="inlineStr">
        <is>
          <t>Organic Search</t>
        </is>
      </c>
      <c r="D6607" t="inlineStr">
        <is>
          <t>Study Abroad Prep</t>
        </is>
      </c>
      <c r="E6607" t="inlineStr">
        <is>
          <t>North Region</t>
        </is>
      </c>
      <c r="F6607" t="inlineStr">
        <is>
          <t>Rep_11</t>
        </is>
      </c>
      <c r="G6607" t="n">
        <v>4.24</v>
      </c>
      <c r="H6607" t="inlineStr">
        <is>
          <t>Negotiation</t>
        </is>
      </c>
      <c r="I6607" t="inlineStr">
        <is>
          <t>Lost</t>
        </is>
      </c>
      <c r="J6607" t="inlineStr">
        <is>
          <t>Price Objection</t>
        </is>
      </c>
      <c r="K6607" t="n">
        <v>1579.15</v>
      </c>
      <c r="L6607" t="inlineStr">
        <is>
          <t>2025-09-01 00:12:27.440164</t>
        </is>
      </c>
      <c r="M6607">
        <f>VLOOKUP(H6607,'Stage Order'!$A$2:$B$8,2,FALSE)</f>
        <v/>
      </c>
      <c r="N6607">
        <f>IF(G6607&lt;=1,"1. Under 1 hour",IF(G6607&lt;=24,"2. 1-24 hours",IF(G6607&lt;=72,"3. 1-3 days","4. Over 3 days")))</f>
        <v/>
      </c>
      <c r="O6607">
        <f>TEXT(B6607,"YYYY-MM")</f>
        <v/>
      </c>
    </row>
    <row r="6608">
      <c r="A6608" t="inlineStr">
        <is>
          <t>LD-306606</t>
        </is>
      </c>
      <c r="B6608" t="inlineStr">
        <is>
          <t>2026-01-19 15:16:00</t>
        </is>
      </c>
      <c r="C6608" t="inlineStr">
        <is>
          <t>Referral</t>
        </is>
      </c>
      <c r="D6608" t="inlineStr">
        <is>
          <t>K-12 Math</t>
        </is>
      </c>
      <c r="E6608" t="inlineStr">
        <is>
          <t>North Region</t>
        </is>
      </c>
      <c r="F6608" t="inlineStr">
        <is>
          <t>Rep_11</t>
        </is>
      </c>
      <c r="G6608" t="n">
        <v>7.94</v>
      </c>
      <c r="H6608" t="inlineStr">
        <is>
          <t>Closed</t>
        </is>
      </c>
      <c r="I6608" t="inlineStr">
        <is>
          <t>Won</t>
        </is>
      </c>
      <c r="K6608" t="n">
        <v>576.96</v>
      </c>
      <c r="L6608" t="inlineStr">
        <is>
          <t>2026-02-21 15:00:56.997951</t>
        </is>
      </c>
      <c r="M6608">
        <f>VLOOKUP(H6608,'Stage Order'!$A$2:$B$8,2,FALSE)</f>
        <v/>
      </c>
      <c r="N6608">
        <f>IF(G6608&lt;=1,"1. Under 1 hour",IF(G6608&lt;=24,"2. 1-24 hours",IF(G6608&lt;=72,"3. 1-3 days","4. Over 3 days")))</f>
        <v/>
      </c>
      <c r="O6608">
        <f>TEXT(B6608,"YYYY-MM")</f>
        <v/>
      </c>
    </row>
    <row r="6609">
      <c r="A6609" t="inlineStr">
        <is>
          <t>LD-306607</t>
        </is>
      </c>
      <c r="B6609" t="inlineStr">
        <is>
          <t>2025-12-05 07:57:00</t>
        </is>
      </c>
      <c r="C6609" t="inlineStr">
        <is>
          <t>Referral</t>
        </is>
      </c>
      <c r="D6609" t="inlineStr">
        <is>
          <t>Language Learning</t>
        </is>
      </c>
      <c r="E6609" t="inlineStr">
        <is>
          <t>South Region</t>
        </is>
      </c>
      <c r="F6609" t="inlineStr">
        <is>
          <t>Rep_12</t>
        </is>
      </c>
      <c r="G6609" t="n">
        <v>1.66</v>
      </c>
      <c r="H6609" t="inlineStr">
        <is>
          <t>Closed</t>
        </is>
      </c>
      <c r="I6609" t="inlineStr">
        <is>
          <t>Won</t>
        </is>
      </c>
      <c r="K6609" t="n">
        <v>401.23</v>
      </c>
      <c r="L6609" t="inlineStr">
        <is>
          <t>2026-01-20 19:21:50.587426</t>
        </is>
      </c>
      <c r="M6609">
        <f>VLOOKUP(H6609,'Stage Order'!$A$2:$B$8,2,FALSE)</f>
        <v/>
      </c>
      <c r="N6609">
        <f>IF(G6609&lt;=1,"1. Under 1 hour",IF(G6609&lt;=24,"2. 1-24 hours",IF(G6609&lt;=72,"3. 1-3 days","4. Over 3 days")))</f>
        <v/>
      </c>
      <c r="O6609">
        <f>TEXT(B6609,"YYYY-MM")</f>
        <v/>
      </c>
    </row>
    <row r="6610">
      <c r="A6610" t="inlineStr">
        <is>
          <t>LD-306608</t>
        </is>
      </c>
      <c r="B6610" t="inlineStr">
        <is>
          <t>2026-02-03 10:56:00</t>
        </is>
      </c>
      <c r="C6610" t="inlineStr">
        <is>
          <t>Social Media</t>
        </is>
      </c>
      <c r="D6610" t="inlineStr">
        <is>
          <t>Coding for Kids</t>
        </is>
      </c>
      <c r="E6610" t="inlineStr">
        <is>
          <t>South Region</t>
        </is>
      </c>
      <c r="F6610" t="inlineStr">
        <is>
          <t>Rep_02</t>
        </is>
      </c>
      <c r="G6610" t="n">
        <v>13.33</v>
      </c>
      <c r="H6610" t="inlineStr">
        <is>
          <t>Proposal Sent</t>
        </is>
      </c>
      <c r="I6610" t="inlineStr">
        <is>
          <t>Lost</t>
        </is>
      </c>
      <c r="J6610" t="inlineStr">
        <is>
          <t>No Response / Ghosted</t>
        </is>
      </c>
      <c r="K6610" t="n">
        <v>632.35</v>
      </c>
      <c r="L6610" t="inlineStr">
        <is>
          <t>2026-03-03 14:39:06.575253</t>
        </is>
      </c>
      <c r="M6610">
        <f>VLOOKUP(H6610,'Stage Order'!$A$2:$B$8,2,FALSE)</f>
        <v/>
      </c>
      <c r="N6610">
        <f>IF(G6610&lt;=1,"1. Under 1 hour",IF(G6610&lt;=24,"2. 1-24 hours",IF(G6610&lt;=72,"3. 1-3 days","4. Over 3 days")))</f>
        <v/>
      </c>
      <c r="O6610">
        <f>TEXT(B6610,"YYYY-MM")</f>
        <v/>
      </c>
    </row>
    <row r="6611">
      <c r="A6611" t="inlineStr">
        <is>
          <t>LD-306609</t>
        </is>
      </c>
      <c r="B6611" t="inlineStr">
        <is>
          <t>2025-02-20 11:58:00</t>
        </is>
      </c>
      <c r="C6611" t="inlineStr">
        <is>
          <t>Paid Search</t>
        </is>
      </c>
      <c r="D6611" t="inlineStr">
        <is>
          <t>K-12 Math</t>
        </is>
      </c>
      <c r="E6611" t="inlineStr">
        <is>
          <t>South Region</t>
        </is>
      </c>
      <c r="F6611" t="inlineStr">
        <is>
          <t>Rep_07</t>
        </is>
      </c>
      <c r="G6611" t="n">
        <v>0.5</v>
      </c>
      <c r="H6611" t="inlineStr">
        <is>
          <t>Negotiation</t>
        </is>
      </c>
      <c r="I6611" t="inlineStr">
        <is>
          <t>Lost</t>
        </is>
      </c>
      <c r="J6611" t="inlineStr">
        <is>
          <t>Went With Competitor</t>
        </is>
      </c>
      <c r="K6611" t="n">
        <v>458.5</v>
      </c>
      <c r="L6611" t="inlineStr">
        <is>
          <t>2025-04-02 04:26:26.540516</t>
        </is>
      </c>
      <c r="M6611">
        <f>VLOOKUP(H6611,'Stage Order'!$A$2:$B$8,2,FALSE)</f>
        <v/>
      </c>
      <c r="N6611">
        <f>IF(G6611&lt;=1,"1. Under 1 hour",IF(G6611&lt;=24,"2. 1-24 hours",IF(G6611&lt;=72,"3. 1-3 days","4. Over 3 days")))</f>
        <v/>
      </c>
      <c r="O6611">
        <f>TEXT(B6611,"YYYY-MM")</f>
        <v/>
      </c>
    </row>
    <row r="6612">
      <c r="A6612" t="inlineStr">
        <is>
          <t>LD-306610</t>
        </is>
      </c>
      <c r="B6612" t="inlineStr">
        <is>
          <t>2025-06-26 07:21:00</t>
        </is>
      </c>
      <c r="C6612" t="inlineStr">
        <is>
          <t>Organic Search</t>
        </is>
      </c>
      <c r="D6612" t="inlineStr">
        <is>
          <t>Study Abroad Prep</t>
        </is>
      </c>
      <c r="E6612" t="inlineStr">
        <is>
          <t>South Region</t>
        </is>
      </c>
      <c r="F6612" t="inlineStr">
        <is>
          <t>Rep_07</t>
        </is>
      </c>
      <c r="G6612" t="n">
        <v>3.1</v>
      </c>
      <c r="H6612" t="inlineStr">
        <is>
          <t>Negotiation</t>
        </is>
      </c>
      <c r="I6612" t="inlineStr">
        <is>
          <t>Lost</t>
        </is>
      </c>
      <c r="J6612" t="inlineStr">
        <is>
          <t>Went With Competitor</t>
        </is>
      </c>
      <c r="K6612" t="n">
        <v>1352.41</v>
      </c>
      <c r="L6612" t="inlineStr">
        <is>
          <t>2025-08-08 17:16:29.991481</t>
        </is>
      </c>
      <c r="M6612">
        <f>VLOOKUP(H6612,'Stage Order'!$A$2:$B$8,2,FALSE)</f>
        <v/>
      </c>
      <c r="N6612">
        <f>IF(G6612&lt;=1,"1. Under 1 hour",IF(G6612&lt;=24,"2. 1-24 hours",IF(G6612&lt;=72,"3. 1-3 days","4. Over 3 days")))</f>
        <v/>
      </c>
      <c r="O6612">
        <f>TEXT(B6612,"YYYY-MM")</f>
        <v/>
      </c>
    </row>
    <row r="6613">
      <c r="A6613" t="inlineStr">
        <is>
          <t>LD-306611</t>
        </is>
      </c>
      <c r="B6613" t="inlineStr">
        <is>
          <t>2025-12-19 11:38:00</t>
        </is>
      </c>
      <c r="C6613" t="inlineStr">
        <is>
          <t>Organic Search</t>
        </is>
      </c>
      <c r="D6613" t="inlineStr">
        <is>
          <t>K-12 Math</t>
        </is>
      </c>
      <c r="E6613" t="inlineStr">
        <is>
          <t>East Region</t>
        </is>
      </c>
      <c r="F6613" t="inlineStr">
        <is>
          <t>Rep_09</t>
        </is>
      </c>
      <c r="G6613" t="n">
        <v>1.97</v>
      </c>
      <c r="H6613" t="inlineStr">
        <is>
          <t>Demo Scheduled</t>
        </is>
      </c>
      <c r="I6613" t="inlineStr">
        <is>
          <t>Open</t>
        </is>
      </c>
      <c r="M6613">
        <f>VLOOKUP(H6613,'Stage Order'!$A$2:$B$8,2,FALSE)</f>
        <v/>
      </c>
      <c r="N6613">
        <f>IF(G6613&lt;=1,"1. Under 1 hour",IF(G6613&lt;=24,"2. 1-24 hours",IF(G6613&lt;=72,"3. 1-3 days","4. Over 3 days")))</f>
        <v/>
      </c>
      <c r="O6613">
        <f>TEXT(B6613,"YYYY-MM")</f>
        <v/>
      </c>
    </row>
    <row r="6614">
      <c r="A6614" t="inlineStr">
        <is>
          <t>LD-306612</t>
        </is>
      </c>
      <c r="B6614" t="inlineStr">
        <is>
          <t>2026-02-17 09:08:00</t>
        </is>
      </c>
      <c r="C6614" t="inlineStr">
        <is>
          <t>Organic Search</t>
        </is>
      </c>
      <c r="D6614" t="inlineStr">
        <is>
          <t>Competitive Exam Prep</t>
        </is>
      </c>
      <c r="E6614" t="inlineStr">
        <is>
          <t>North Region</t>
        </is>
      </c>
      <c r="F6614" t="inlineStr">
        <is>
          <t>Rep_06</t>
        </is>
      </c>
      <c r="G6614" t="n">
        <v>2.97</v>
      </c>
      <c r="H6614" t="inlineStr">
        <is>
          <t>Contacted</t>
        </is>
      </c>
      <c r="I6614" t="inlineStr">
        <is>
          <t>Open</t>
        </is>
      </c>
      <c r="M6614">
        <f>VLOOKUP(H6614,'Stage Order'!$A$2:$B$8,2,FALSE)</f>
        <v/>
      </c>
      <c r="N6614">
        <f>IF(G6614&lt;=1,"1. Under 1 hour",IF(G6614&lt;=24,"2. 1-24 hours",IF(G6614&lt;=72,"3. 1-3 days","4. Over 3 days")))</f>
        <v/>
      </c>
      <c r="O6614">
        <f>TEXT(B6614,"YYYY-MM")</f>
        <v/>
      </c>
    </row>
    <row r="6615">
      <c r="A6615" t="inlineStr">
        <is>
          <t>LD-306613</t>
        </is>
      </c>
      <c r="B6615" t="inlineStr">
        <is>
          <t>2025-12-23 15:22:00</t>
        </is>
      </c>
      <c r="C6615" t="inlineStr">
        <is>
          <t>Organic Search</t>
        </is>
      </c>
      <c r="D6615" t="inlineStr">
        <is>
          <t>Competitive Exam Prep</t>
        </is>
      </c>
      <c r="E6615" t="inlineStr">
        <is>
          <t>North Region</t>
        </is>
      </c>
      <c r="F6615" t="inlineStr">
        <is>
          <t>Rep_11</t>
        </is>
      </c>
      <c r="G6615" t="n">
        <v>2.62</v>
      </c>
      <c r="H6615" t="inlineStr">
        <is>
          <t>Demo Completed</t>
        </is>
      </c>
      <c r="I6615" t="inlineStr">
        <is>
          <t>Lost</t>
        </is>
      </c>
      <c r="J6615" t="inlineStr">
        <is>
          <t>No Response / Ghosted</t>
        </is>
      </c>
      <c r="K6615" t="n">
        <v>833.2</v>
      </c>
      <c r="L6615" t="inlineStr">
        <is>
          <t>2026-01-27 13:02:57.311266</t>
        </is>
      </c>
      <c r="M6615">
        <f>VLOOKUP(H6615,'Stage Order'!$A$2:$B$8,2,FALSE)</f>
        <v/>
      </c>
      <c r="N6615">
        <f>IF(G6615&lt;=1,"1. Under 1 hour",IF(G6615&lt;=24,"2. 1-24 hours",IF(G6615&lt;=72,"3. 1-3 days","4. Over 3 days")))</f>
        <v/>
      </c>
      <c r="O6615">
        <f>TEXT(B6615,"YYYY-MM")</f>
        <v/>
      </c>
    </row>
    <row r="6616">
      <c r="A6616" t="inlineStr">
        <is>
          <t>LD-306614</t>
        </is>
      </c>
      <c r="B6616" t="inlineStr">
        <is>
          <t>2025-09-26 17:07:00</t>
        </is>
      </c>
      <c r="C6616" t="inlineStr">
        <is>
          <t>Paid Search</t>
        </is>
      </c>
      <c r="D6616" t="inlineStr">
        <is>
          <t>K-12 Math</t>
        </is>
      </c>
      <c r="E6616" t="inlineStr">
        <is>
          <t>West Region</t>
        </is>
      </c>
      <c r="F6616" t="inlineStr">
        <is>
          <t>Rep_08</t>
        </is>
      </c>
      <c r="G6616" t="n">
        <v>17.08</v>
      </c>
      <c r="H6616" t="inlineStr">
        <is>
          <t>Demo Completed</t>
        </is>
      </c>
      <c r="I6616" t="inlineStr">
        <is>
          <t>Lost</t>
        </is>
      </c>
      <c r="J6616" t="inlineStr">
        <is>
          <t>No Response / Ghosted</t>
        </is>
      </c>
      <c r="K6616" t="n">
        <v>587.0599999999999</v>
      </c>
      <c r="L6616" t="inlineStr">
        <is>
          <t>2025-11-09 06:17:24.366990</t>
        </is>
      </c>
      <c r="M6616">
        <f>VLOOKUP(H6616,'Stage Order'!$A$2:$B$8,2,FALSE)</f>
        <v/>
      </c>
      <c r="N6616">
        <f>IF(G6616&lt;=1,"1. Under 1 hour",IF(G6616&lt;=24,"2. 1-24 hours",IF(G6616&lt;=72,"3. 1-3 days","4. Over 3 days")))</f>
        <v/>
      </c>
      <c r="O6616">
        <f>TEXT(B6616,"YYYY-MM")</f>
        <v/>
      </c>
    </row>
    <row r="6617">
      <c r="A6617" t="inlineStr">
        <is>
          <t>LD-306615</t>
        </is>
      </c>
      <c r="B6617" t="inlineStr">
        <is>
          <t>2025-06-13 09:43:00</t>
        </is>
      </c>
      <c r="C6617" t="inlineStr">
        <is>
          <t>Social Media</t>
        </is>
      </c>
      <c r="D6617" t="inlineStr">
        <is>
          <t>K-12 Math</t>
        </is>
      </c>
      <c r="E6617" t="inlineStr">
        <is>
          <t>International</t>
        </is>
      </c>
      <c r="F6617" t="inlineStr">
        <is>
          <t>Rep_10</t>
        </is>
      </c>
      <c r="G6617" t="n">
        <v>0.98</v>
      </c>
      <c r="H6617" t="inlineStr">
        <is>
          <t>Lead</t>
        </is>
      </c>
      <c r="I6617" t="inlineStr">
        <is>
          <t>Open</t>
        </is>
      </c>
      <c r="M6617">
        <f>VLOOKUP(H6617,'Stage Order'!$A$2:$B$8,2,FALSE)</f>
        <v/>
      </c>
      <c r="N6617">
        <f>IF(G6617&lt;=1,"1. Under 1 hour",IF(G6617&lt;=24,"2. 1-24 hours",IF(G6617&lt;=72,"3. 1-3 days","4. Over 3 days")))</f>
        <v/>
      </c>
      <c r="O6617">
        <f>TEXT(B6617,"YYYY-MM")</f>
        <v/>
      </c>
    </row>
    <row r="6618">
      <c r="A6618" t="inlineStr">
        <is>
          <t>LD-306616</t>
        </is>
      </c>
      <c r="B6618" t="inlineStr">
        <is>
          <t>2025-10-05 12:19:00</t>
        </is>
      </c>
      <c r="C6618" t="inlineStr">
        <is>
          <t>Organic Search</t>
        </is>
      </c>
      <c r="D6618" t="inlineStr">
        <is>
          <t>Language Learning</t>
        </is>
      </c>
      <c r="E6618" t="inlineStr">
        <is>
          <t>North Region</t>
        </is>
      </c>
      <c r="F6618" t="inlineStr">
        <is>
          <t>Rep_06</t>
        </is>
      </c>
      <c r="G6618" t="n">
        <v>6.26</v>
      </c>
      <c r="H6618" t="inlineStr">
        <is>
          <t>Contacted</t>
        </is>
      </c>
      <c r="I6618" t="inlineStr">
        <is>
          <t>Open</t>
        </is>
      </c>
      <c r="M6618">
        <f>VLOOKUP(H6618,'Stage Order'!$A$2:$B$8,2,FALSE)</f>
        <v/>
      </c>
      <c r="N6618">
        <f>IF(G6618&lt;=1,"1. Under 1 hour",IF(G6618&lt;=24,"2. 1-24 hours",IF(G6618&lt;=72,"3. 1-3 days","4. Over 3 days")))</f>
        <v/>
      </c>
      <c r="O6618">
        <f>TEXT(B6618,"YYYY-MM")</f>
        <v/>
      </c>
    </row>
    <row r="6619">
      <c r="A6619" t="inlineStr">
        <is>
          <t>LD-306617</t>
        </is>
      </c>
      <c r="B6619" t="inlineStr">
        <is>
          <t>2025-11-10 18:43:00</t>
        </is>
      </c>
      <c r="C6619" t="inlineStr">
        <is>
          <t>Paid Search</t>
        </is>
      </c>
      <c r="D6619" t="inlineStr">
        <is>
          <t>K-12 Math</t>
        </is>
      </c>
      <c r="E6619" t="inlineStr">
        <is>
          <t>South Region</t>
        </is>
      </c>
      <c r="F6619" t="inlineStr">
        <is>
          <t>Rep_12</t>
        </is>
      </c>
      <c r="G6619" t="n">
        <v>1.7</v>
      </c>
      <c r="H6619" t="inlineStr">
        <is>
          <t>Contacted</t>
        </is>
      </c>
      <c r="I6619" t="inlineStr">
        <is>
          <t>Open</t>
        </is>
      </c>
      <c r="M6619">
        <f>VLOOKUP(H6619,'Stage Order'!$A$2:$B$8,2,FALSE)</f>
        <v/>
      </c>
      <c r="N6619">
        <f>IF(G6619&lt;=1,"1. Under 1 hour",IF(G6619&lt;=24,"2. 1-24 hours",IF(G6619&lt;=72,"3. 1-3 days","4. Over 3 days")))</f>
        <v/>
      </c>
      <c r="O6619">
        <f>TEXT(B6619,"YYYY-MM")</f>
        <v/>
      </c>
    </row>
    <row r="6620">
      <c r="A6620" t="inlineStr">
        <is>
          <t>LD-306618</t>
        </is>
      </c>
      <c r="B6620" t="inlineStr">
        <is>
          <t>2025-11-20 10:49:00</t>
        </is>
      </c>
      <c r="C6620" t="inlineStr">
        <is>
          <t>Paid Search</t>
        </is>
      </c>
      <c r="D6620" t="inlineStr">
        <is>
          <t>Language Learning</t>
        </is>
      </c>
      <c r="E6620" t="inlineStr">
        <is>
          <t>West Region</t>
        </is>
      </c>
      <c r="F6620" t="inlineStr">
        <is>
          <t>Rep_13</t>
        </is>
      </c>
      <c r="G6620" t="n">
        <v>4.92</v>
      </c>
      <c r="H6620" t="inlineStr">
        <is>
          <t>Demo Scheduled</t>
        </is>
      </c>
      <c r="I6620" t="inlineStr">
        <is>
          <t>Open</t>
        </is>
      </c>
      <c r="M6620">
        <f>VLOOKUP(H6620,'Stage Order'!$A$2:$B$8,2,FALSE)</f>
        <v/>
      </c>
      <c r="N6620">
        <f>IF(G6620&lt;=1,"1. Under 1 hour",IF(G6620&lt;=24,"2. 1-24 hours",IF(G6620&lt;=72,"3. 1-3 days","4. Over 3 days")))</f>
        <v/>
      </c>
      <c r="O6620">
        <f>TEXT(B6620,"YYYY-MM")</f>
        <v/>
      </c>
    </row>
    <row r="6621">
      <c r="A6621" t="inlineStr">
        <is>
          <t>LD-306619</t>
        </is>
      </c>
      <c r="B6621" t="inlineStr">
        <is>
          <t>2025-03-21 14:06:00</t>
        </is>
      </c>
      <c r="C6621" t="inlineStr">
        <is>
          <t>Paid Search</t>
        </is>
      </c>
      <c r="D6621" t="inlineStr">
        <is>
          <t>K-12 Math</t>
        </is>
      </c>
      <c r="E6621" t="inlineStr">
        <is>
          <t>West Region</t>
        </is>
      </c>
      <c r="F6621" t="inlineStr">
        <is>
          <t>Rep_13</t>
        </is>
      </c>
      <c r="G6621" t="n">
        <v>0.59</v>
      </c>
      <c r="H6621" t="inlineStr">
        <is>
          <t>Contacted</t>
        </is>
      </c>
      <c r="I6621" t="inlineStr">
        <is>
          <t>Open</t>
        </is>
      </c>
      <c r="M6621">
        <f>VLOOKUP(H6621,'Stage Order'!$A$2:$B$8,2,FALSE)</f>
        <v/>
      </c>
      <c r="N6621">
        <f>IF(G6621&lt;=1,"1. Under 1 hour",IF(G6621&lt;=24,"2. 1-24 hours",IF(G6621&lt;=72,"3. 1-3 days","4. Over 3 days")))</f>
        <v/>
      </c>
      <c r="O6621">
        <f>TEXT(B6621,"YYYY-MM")</f>
        <v/>
      </c>
    </row>
    <row r="6622">
      <c r="A6622" t="inlineStr">
        <is>
          <t>LD-306620</t>
        </is>
      </c>
      <c r="B6622" t="inlineStr">
        <is>
          <t>2026-06-05 14:09:00</t>
        </is>
      </c>
      <c r="C6622" t="inlineStr">
        <is>
          <t>Paid Search</t>
        </is>
      </c>
      <c r="D6622" t="inlineStr">
        <is>
          <t>Coding for Kids</t>
        </is>
      </c>
      <c r="E6622" t="inlineStr">
        <is>
          <t>South Region</t>
        </is>
      </c>
      <c r="F6622" t="inlineStr">
        <is>
          <t>Rep_02</t>
        </is>
      </c>
      <c r="G6622" t="n">
        <v>1.24</v>
      </c>
      <c r="H6622" t="inlineStr">
        <is>
          <t>Contacted</t>
        </is>
      </c>
      <c r="I6622" t="inlineStr">
        <is>
          <t>Open</t>
        </is>
      </c>
      <c r="M6622">
        <f>VLOOKUP(H6622,'Stage Order'!$A$2:$B$8,2,FALSE)</f>
        <v/>
      </c>
      <c r="N6622">
        <f>IF(G6622&lt;=1,"1. Under 1 hour",IF(G6622&lt;=24,"2. 1-24 hours",IF(G6622&lt;=72,"3. 1-3 days","4. Over 3 days")))</f>
        <v/>
      </c>
      <c r="O6622">
        <f>TEXT(B6622,"YYYY-MM")</f>
        <v/>
      </c>
    </row>
    <row r="6623">
      <c r="A6623" t="inlineStr">
        <is>
          <t>LD-306621</t>
        </is>
      </c>
      <c r="B6623" t="inlineStr">
        <is>
          <t>2025-12-02 10:52:00</t>
        </is>
      </c>
      <c r="C6623" t="inlineStr">
        <is>
          <t>Paid Search</t>
        </is>
      </c>
      <c r="D6623" t="inlineStr">
        <is>
          <t>Coding for Kids</t>
        </is>
      </c>
      <c r="E6623" t="inlineStr">
        <is>
          <t>International</t>
        </is>
      </c>
      <c r="F6623" t="inlineStr">
        <is>
          <t>Rep_10</t>
        </is>
      </c>
      <c r="G6623" t="n">
        <v>3.42</v>
      </c>
      <c r="H6623" t="inlineStr">
        <is>
          <t>Lead</t>
        </is>
      </c>
      <c r="I6623" t="inlineStr">
        <is>
          <t>Open</t>
        </is>
      </c>
      <c r="M6623">
        <f>VLOOKUP(H6623,'Stage Order'!$A$2:$B$8,2,FALSE)</f>
        <v/>
      </c>
      <c r="N6623">
        <f>IF(G6623&lt;=1,"1. Under 1 hour",IF(G6623&lt;=24,"2. 1-24 hours",IF(G6623&lt;=72,"3. 1-3 days","4. Over 3 days")))</f>
        <v/>
      </c>
      <c r="O6623">
        <f>TEXT(B6623,"YYYY-MM")</f>
        <v/>
      </c>
    </row>
    <row r="6624">
      <c r="A6624" t="inlineStr">
        <is>
          <t>LD-306622</t>
        </is>
      </c>
      <c r="B6624" t="inlineStr">
        <is>
          <t>2025-06-15 13:09:00</t>
        </is>
      </c>
      <c r="C6624" t="inlineStr">
        <is>
          <t>Cold Outreach</t>
        </is>
      </c>
      <c r="D6624" t="inlineStr">
        <is>
          <t>Coding for Kids</t>
        </is>
      </c>
      <c r="E6624" t="inlineStr">
        <is>
          <t>International</t>
        </is>
      </c>
      <c r="F6624" t="inlineStr">
        <is>
          <t>Rep_05</t>
        </is>
      </c>
      <c r="G6624" t="n">
        <v>3.76</v>
      </c>
      <c r="H6624" t="inlineStr">
        <is>
          <t>Lead</t>
        </is>
      </c>
      <c r="I6624" t="inlineStr">
        <is>
          <t>Open</t>
        </is>
      </c>
      <c r="M6624">
        <f>VLOOKUP(H6624,'Stage Order'!$A$2:$B$8,2,FALSE)</f>
        <v/>
      </c>
      <c r="N6624">
        <f>IF(G6624&lt;=1,"1. Under 1 hour",IF(G6624&lt;=24,"2. 1-24 hours",IF(G6624&lt;=72,"3. 1-3 days","4. Over 3 days")))</f>
        <v/>
      </c>
      <c r="O6624">
        <f>TEXT(B6624,"YYYY-MM")</f>
        <v/>
      </c>
    </row>
    <row r="6625">
      <c r="A6625" t="inlineStr">
        <is>
          <t>LD-306623</t>
        </is>
      </c>
      <c r="B6625" t="inlineStr">
        <is>
          <t>2026-06-05 11:16:00</t>
        </is>
      </c>
      <c r="C6625" t="inlineStr">
        <is>
          <t>Organic Search</t>
        </is>
      </c>
      <c r="D6625" t="inlineStr">
        <is>
          <t>Study Abroad Prep</t>
        </is>
      </c>
      <c r="E6625" t="inlineStr">
        <is>
          <t>North Region</t>
        </is>
      </c>
      <c r="F6625" t="inlineStr">
        <is>
          <t>Rep_11</t>
        </is>
      </c>
      <c r="G6625" t="n">
        <v>3.87</v>
      </c>
      <c r="H6625" t="inlineStr">
        <is>
          <t>Proposal Sent</t>
        </is>
      </c>
      <c r="I6625" t="inlineStr">
        <is>
          <t>Lost</t>
        </is>
      </c>
      <c r="J6625" t="inlineStr">
        <is>
          <t>Price Objection</t>
        </is>
      </c>
      <c r="K6625" t="n">
        <v>1549.12</v>
      </c>
      <c r="L6625" t="inlineStr">
        <is>
          <t>2026-07-16 00:30:21.343279</t>
        </is>
      </c>
      <c r="M6625">
        <f>VLOOKUP(H6625,'Stage Order'!$A$2:$B$8,2,FALSE)</f>
        <v/>
      </c>
      <c r="N6625">
        <f>IF(G6625&lt;=1,"1. Under 1 hour",IF(G6625&lt;=24,"2. 1-24 hours",IF(G6625&lt;=72,"3. 1-3 days","4. Over 3 days")))</f>
        <v/>
      </c>
      <c r="O6625">
        <f>TEXT(B6625,"YYYY-MM")</f>
        <v/>
      </c>
    </row>
    <row r="6626">
      <c r="A6626" t="inlineStr">
        <is>
          <t>LD-306624</t>
        </is>
      </c>
      <c r="B6626" t="inlineStr">
        <is>
          <t>2025-12-16 11:54:00</t>
        </is>
      </c>
      <c r="C6626" t="inlineStr">
        <is>
          <t>Cold Outreach</t>
        </is>
      </c>
      <c r="D6626" t="inlineStr">
        <is>
          <t>K-12 Math</t>
        </is>
      </c>
      <c r="E6626" t="inlineStr">
        <is>
          <t>East Region</t>
        </is>
      </c>
      <c r="F6626" t="inlineStr">
        <is>
          <t>Rep_14</t>
        </is>
      </c>
      <c r="G6626" t="n">
        <v>3.32</v>
      </c>
      <c r="H6626" t="inlineStr">
        <is>
          <t>Lead</t>
        </is>
      </c>
      <c r="I6626" t="inlineStr">
        <is>
          <t>Open</t>
        </is>
      </c>
      <c r="M6626">
        <f>VLOOKUP(H6626,'Stage Order'!$A$2:$B$8,2,FALSE)</f>
        <v/>
      </c>
      <c r="N6626">
        <f>IF(G6626&lt;=1,"1. Under 1 hour",IF(G6626&lt;=24,"2. 1-24 hours",IF(G6626&lt;=72,"3. 1-3 days","4. Over 3 days")))</f>
        <v/>
      </c>
      <c r="O6626">
        <f>TEXT(B6626,"YYYY-MM")</f>
        <v/>
      </c>
    </row>
    <row r="6627">
      <c r="A6627" t="inlineStr">
        <is>
          <t>LD-306625</t>
        </is>
      </c>
      <c r="B6627" t="inlineStr">
        <is>
          <t>2025-07-08 12:14:00</t>
        </is>
      </c>
      <c r="C6627" t="inlineStr">
        <is>
          <t>Paid Search</t>
        </is>
      </c>
      <c r="D6627" t="inlineStr">
        <is>
          <t>Study Abroad Prep</t>
        </is>
      </c>
      <c r="E6627" t="inlineStr">
        <is>
          <t>International</t>
        </is>
      </c>
      <c r="F6627" t="inlineStr">
        <is>
          <t>Rep_10</t>
        </is>
      </c>
      <c r="G6627" t="n">
        <v>1.64</v>
      </c>
      <c r="H6627" t="inlineStr">
        <is>
          <t>Lead</t>
        </is>
      </c>
      <c r="I6627" t="inlineStr">
        <is>
          <t>Open</t>
        </is>
      </c>
      <c r="M6627">
        <f>VLOOKUP(H6627,'Stage Order'!$A$2:$B$8,2,FALSE)</f>
        <v/>
      </c>
      <c r="N6627">
        <f>IF(G6627&lt;=1,"1. Under 1 hour",IF(G6627&lt;=24,"2. 1-24 hours",IF(G6627&lt;=72,"3. 1-3 days","4. Over 3 days")))</f>
        <v/>
      </c>
      <c r="O6627">
        <f>TEXT(B6627,"YYYY-MM")</f>
        <v/>
      </c>
    </row>
    <row r="6628">
      <c r="A6628" t="inlineStr">
        <is>
          <t>LD-306626</t>
        </is>
      </c>
      <c r="B6628" t="inlineStr">
        <is>
          <t>2025-08-22 07:48:00</t>
        </is>
      </c>
      <c r="C6628" t="inlineStr">
        <is>
          <t>Webinar</t>
        </is>
      </c>
      <c r="D6628" t="inlineStr">
        <is>
          <t>Language Learning</t>
        </is>
      </c>
      <c r="E6628" t="inlineStr">
        <is>
          <t>West Region</t>
        </is>
      </c>
      <c r="F6628" t="inlineStr">
        <is>
          <t>Rep_08</t>
        </is>
      </c>
      <c r="G6628" t="n">
        <v>9.34</v>
      </c>
      <c r="H6628" t="inlineStr">
        <is>
          <t>Contacted</t>
        </is>
      </c>
      <c r="I6628" t="inlineStr">
        <is>
          <t>Open</t>
        </is>
      </c>
      <c r="M6628">
        <f>VLOOKUP(H6628,'Stage Order'!$A$2:$B$8,2,FALSE)</f>
        <v/>
      </c>
      <c r="N6628">
        <f>IF(G6628&lt;=1,"1. Under 1 hour",IF(G6628&lt;=24,"2. 1-24 hours",IF(G6628&lt;=72,"3. 1-3 days","4. Over 3 days")))</f>
        <v/>
      </c>
      <c r="O6628">
        <f>TEXT(B6628,"YYYY-MM")</f>
        <v/>
      </c>
    </row>
    <row r="6629">
      <c r="A6629" t="inlineStr">
        <is>
          <t>LD-306627</t>
        </is>
      </c>
      <c r="B6629" t="inlineStr">
        <is>
          <t>2025-02-28 07:28:00</t>
        </is>
      </c>
      <c r="C6629" t="inlineStr">
        <is>
          <t>Organic Search</t>
        </is>
      </c>
      <c r="D6629" t="inlineStr">
        <is>
          <t>K-12 Math</t>
        </is>
      </c>
      <c r="E6629" t="inlineStr">
        <is>
          <t>North Region</t>
        </is>
      </c>
      <c r="F6629" t="inlineStr">
        <is>
          <t>Rep_11</t>
        </is>
      </c>
      <c r="G6629" t="n">
        <v>17.4</v>
      </c>
      <c r="H6629" t="inlineStr">
        <is>
          <t>Contacted</t>
        </is>
      </c>
      <c r="I6629" t="inlineStr">
        <is>
          <t>Open</t>
        </is>
      </c>
      <c r="M6629">
        <f>VLOOKUP(H6629,'Stage Order'!$A$2:$B$8,2,FALSE)</f>
        <v/>
      </c>
      <c r="N6629">
        <f>IF(G6629&lt;=1,"1. Under 1 hour",IF(G6629&lt;=24,"2. 1-24 hours",IF(G6629&lt;=72,"3. 1-3 days","4. Over 3 days")))</f>
        <v/>
      </c>
      <c r="O6629">
        <f>TEXT(B6629,"YYYY-MM")</f>
        <v/>
      </c>
    </row>
    <row r="6630">
      <c r="A6630" t="inlineStr">
        <is>
          <t>LD-306628</t>
        </is>
      </c>
      <c r="B6630" t="inlineStr">
        <is>
          <t>2025-04-15 20:46:00</t>
        </is>
      </c>
      <c r="C6630" t="inlineStr">
        <is>
          <t>Paid Search</t>
        </is>
      </c>
      <c r="D6630" t="inlineStr">
        <is>
          <t>Competitive Exam Prep</t>
        </is>
      </c>
      <c r="E6630" t="inlineStr">
        <is>
          <t>South Region</t>
        </is>
      </c>
      <c r="F6630" t="inlineStr">
        <is>
          <t>Rep_12</t>
        </is>
      </c>
      <c r="G6630" t="n">
        <v>3.74</v>
      </c>
      <c r="H6630" t="inlineStr">
        <is>
          <t>Closed</t>
        </is>
      </c>
      <c r="I6630" t="inlineStr">
        <is>
          <t>Won</t>
        </is>
      </c>
      <c r="K6630" t="n">
        <v>1114.12</v>
      </c>
      <c r="L6630" t="inlineStr">
        <is>
          <t>2025-06-01 02:50:10.745191</t>
        </is>
      </c>
      <c r="M6630">
        <f>VLOOKUP(H6630,'Stage Order'!$A$2:$B$8,2,FALSE)</f>
        <v/>
      </c>
      <c r="N6630">
        <f>IF(G6630&lt;=1,"1. Under 1 hour",IF(G6630&lt;=24,"2. 1-24 hours",IF(G6630&lt;=72,"3. 1-3 days","4. Over 3 days")))</f>
        <v/>
      </c>
      <c r="O6630">
        <f>TEXT(B6630,"YYYY-MM")</f>
        <v/>
      </c>
    </row>
    <row r="6631">
      <c r="A6631" t="inlineStr">
        <is>
          <t>LD-306629</t>
        </is>
      </c>
      <c r="B6631" t="inlineStr">
        <is>
          <t>2026-01-25 15:19:00</t>
        </is>
      </c>
      <c r="C6631" t="inlineStr">
        <is>
          <t>Social Media</t>
        </is>
      </c>
      <c r="D6631" t="inlineStr">
        <is>
          <t>Coding for Kids</t>
        </is>
      </c>
      <c r="E6631" t="inlineStr">
        <is>
          <t>West Region</t>
        </is>
      </c>
      <c r="F6631" t="inlineStr">
        <is>
          <t>Rep_08</t>
        </is>
      </c>
      <c r="G6631" t="n">
        <v>5.06</v>
      </c>
      <c r="H6631" t="inlineStr">
        <is>
          <t>Demo Completed</t>
        </is>
      </c>
      <c r="I6631" t="inlineStr">
        <is>
          <t>Lost</t>
        </is>
      </c>
      <c r="J6631" t="inlineStr">
        <is>
          <t>Bad Timing</t>
        </is>
      </c>
      <c r="K6631" t="n">
        <v>538.9299999999999</v>
      </c>
      <c r="L6631" t="inlineStr">
        <is>
          <t>2026-02-27 03:01:41.463981</t>
        </is>
      </c>
      <c r="M6631">
        <f>VLOOKUP(H6631,'Stage Order'!$A$2:$B$8,2,FALSE)</f>
        <v/>
      </c>
      <c r="N6631">
        <f>IF(G6631&lt;=1,"1. Under 1 hour",IF(G6631&lt;=24,"2. 1-24 hours",IF(G6631&lt;=72,"3. 1-3 days","4. Over 3 days")))</f>
        <v/>
      </c>
      <c r="O6631">
        <f>TEXT(B6631,"YYYY-MM")</f>
        <v/>
      </c>
    </row>
    <row r="6632">
      <c r="A6632" t="inlineStr">
        <is>
          <t>LD-306630</t>
        </is>
      </c>
      <c r="B6632" t="inlineStr">
        <is>
          <t>2025-08-01 19:23:00</t>
        </is>
      </c>
      <c r="C6632" t="inlineStr">
        <is>
          <t>Social Media</t>
        </is>
      </c>
      <c r="D6632" t="inlineStr">
        <is>
          <t>Study Abroad Prep</t>
        </is>
      </c>
      <c r="E6632" t="inlineStr">
        <is>
          <t>West Region</t>
        </is>
      </c>
      <c r="F6632" t="inlineStr">
        <is>
          <t>Rep_08</t>
        </is>
      </c>
      <c r="G6632" t="n">
        <v>1.16</v>
      </c>
      <c r="H6632" t="inlineStr">
        <is>
          <t>Contacted</t>
        </is>
      </c>
      <c r="I6632" t="inlineStr">
        <is>
          <t>Open</t>
        </is>
      </c>
      <c r="M6632">
        <f>VLOOKUP(H6632,'Stage Order'!$A$2:$B$8,2,FALSE)</f>
        <v/>
      </c>
      <c r="N6632">
        <f>IF(G6632&lt;=1,"1. Under 1 hour",IF(G6632&lt;=24,"2. 1-24 hours",IF(G6632&lt;=72,"3. 1-3 days","4. Over 3 days")))</f>
        <v/>
      </c>
      <c r="O6632">
        <f>TEXT(B6632,"YYYY-MM")</f>
        <v/>
      </c>
    </row>
    <row r="6633">
      <c r="A6633" t="inlineStr">
        <is>
          <t>LD-306631</t>
        </is>
      </c>
      <c r="B6633" t="inlineStr">
        <is>
          <t>2025-01-31 10:43:00</t>
        </is>
      </c>
      <c r="C6633" t="inlineStr">
        <is>
          <t>Social Media</t>
        </is>
      </c>
      <c r="D6633" t="inlineStr">
        <is>
          <t>K-12 Math</t>
        </is>
      </c>
      <c r="E6633" t="inlineStr">
        <is>
          <t>South Region</t>
        </is>
      </c>
      <c r="F6633" t="inlineStr">
        <is>
          <t>Rep_02</t>
        </is>
      </c>
      <c r="G6633" t="n">
        <v>3</v>
      </c>
      <c r="H6633" t="inlineStr">
        <is>
          <t>Contacted</t>
        </is>
      </c>
      <c r="I6633" t="inlineStr">
        <is>
          <t>Open</t>
        </is>
      </c>
      <c r="M6633">
        <f>VLOOKUP(H6633,'Stage Order'!$A$2:$B$8,2,FALSE)</f>
        <v/>
      </c>
      <c r="N6633">
        <f>IF(G6633&lt;=1,"1. Under 1 hour",IF(G6633&lt;=24,"2. 1-24 hours",IF(G6633&lt;=72,"3. 1-3 days","4. Over 3 days")))</f>
        <v/>
      </c>
      <c r="O6633">
        <f>TEXT(B6633,"YYYY-MM")</f>
        <v/>
      </c>
    </row>
    <row r="6634">
      <c r="A6634" t="inlineStr">
        <is>
          <t>LD-306632</t>
        </is>
      </c>
      <c r="B6634" t="inlineStr">
        <is>
          <t>2025-02-15 18:11:00</t>
        </is>
      </c>
      <c r="C6634" t="inlineStr">
        <is>
          <t>Referral</t>
        </is>
      </c>
      <c r="D6634" t="inlineStr">
        <is>
          <t>K-12 Math</t>
        </is>
      </c>
      <c r="E6634" t="inlineStr">
        <is>
          <t>North Region</t>
        </is>
      </c>
      <c r="F6634" t="inlineStr">
        <is>
          <t>Rep_11</t>
        </is>
      </c>
      <c r="G6634" t="n">
        <v>2.51</v>
      </c>
      <c r="H6634" t="inlineStr">
        <is>
          <t>Negotiation</t>
        </is>
      </c>
      <c r="I6634" t="inlineStr">
        <is>
          <t>Lost</t>
        </is>
      </c>
      <c r="J6634" t="inlineStr">
        <is>
          <t>Price Objection</t>
        </is>
      </c>
      <c r="K6634" t="n">
        <v>593.3</v>
      </c>
      <c r="L6634" t="inlineStr">
        <is>
          <t>2025-04-03 06:00:36.466614</t>
        </is>
      </c>
      <c r="M6634">
        <f>VLOOKUP(H6634,'Stage Order'!$A$2:$B$8,2,FALSE)</f>
        <v/>
      </c>
      <c r="N6634">
        <f>IF(G6634&lt;=1,"1. Under 1 hour",IF(G6634&lt;=24,"2. 1-24 hours",IF(G6634&lt;=72,"3. 1-3 days","4. Over 3 days")))</f>
        <v/>
      </c>
      <c r="O6634">
        <f>TEXT(B6634,"YYYY-MM")</f>
        <v/>
      </c>
    </row>
    <row r="6635">
      <c r="A6635" t="inlineStr">
        <is>
          <t>LD-306633</t>
        </is>
      </c>
      <c r="B6635" t="inlineStr">
        <is>
          <t>2025-11-08 19:37:00</t>
        </is>
      </c>
      <c r="C6635" t="inlineStr">
        <is>
          <t>Paid Search</t>
        </is>
      </c>
      <c r="D6635" t="inlineStr">
        <is>
          <t>Competitive Exam Prep</t>
        </is>
      </c>
      <c r="E6635" t="inlineStr">
        <is>
          <t>South Region</t>
        </is>
      </c>
      <c r="F6635" t="inlineStr">
        <is>
          <t>Rep_12</t>
        </is>
      </c>
      <c r="G6635" t="n">
        <v>9.81</v>
      </c>
      <c r="H6635" t="inlineStr">
        <is>
          <t>Lead</t>
        </is>
      </c>
      <c r="I6635" t="inlineStr">
        <is>
          <t>Open</t>
        </is>
      </c>
      <c r="M6635">
        <f>VLOOKUP(H6635,'Stage Order'!$A$2:$B$8,2,FALSE)</f>
        <v/>
      </c>
      <c r="N6635">
        <f>IF(G6635&lt;=1,"1. Under 1 hour",IF(G6635&lt;=24,"2. 1-24 hours",IF(G6635&lt;=72,"3. 1-3 days","4. Over 3 days")))</f>
        <v/>
      </c>
      <c r="O6635">
        <f>TEXT(B6635,"YYYY-MM")</f>
        <v/>
      </c>
    </row>
    <row r="6636">
      <c r="A6636" t="inlineStr">
        <is>
          <t>LD-306634</t>
        </is>
      </c>
      <c r="B6636" t="inlineStr">
        <is>
          <t>2026-01-02 16:28:00</t>
        </is>
      </c>
      <c r="C6636" t="inlineStr">
        <is>
          <t>Organic Search</t>
        </is>
      </c>
      <c r="D6636" t="inlineStr">
        <is>
          <t>Coding for Kids</t>
        </is>
      </c>
      <c r="E6636" t="inlineStr">
        <is>
          <t>North Region</t>
        </is>
      </c>
      <c r="F6636" t="inlineStr">
        <is>
          <t>Rep_11</t>
        </is>
      </c>
      <c r="G6636" t="n">
        <v>1.47</v>
      </c>
      <c r="H6636" t="inlineStr">
        <is>
          <t>Closed</t>
        </is>
      </c>
      <c r="I6636" t="inlineStr">
        <is>
          <t>Won</t>
        </is>
      </c>
      <c r="K6636" t="n">
        <v>712.4</v>
      </c>
      <c r="L6636" t="inlineStr">
        <is>
          <t>2026-02-17 04:30:37.381480</t>
        </is>
      </c>
      <c r="M6636">
        <f>VLOOKUP(H6636,'Stage Order'!$A$2:$B$8,2,FALSE)</f>
        <v/>
      </c>
      <c r="N6636">
        <f>IF(G6636&lt;=1,"1. Under 1 hour",IF(G6636&lt;=24,"2. 1-24 hours",IF(G6636&lt;=72,"3. 1-3 days","4. Over 3 days")))</f>
        <v/>
      </c>
      <c r="O6636">
        <f>TEXT(B6636,"YYYY-MM")</f>
        <v/>
      </c>
    </row>
    <row r="6637">
      <c r="A6637" t="inlineStr">
        <is>
          <t>LD-306635</t>
        </is>
      </c>
      <c r="B6637" t="inlineStr">
        <is>
          <t>2025-11-03 15:13:00</t>
        </is>
      </c>
      <c r="C6637" t="inlineStr">
        <is>
          <t>Referral</t>
        </is>
      </c>
      <c r="D6637" t="inlineStr">
        <is>
          <t>Coding for Kids</t>
        </is>
      </c>
      <c r="E6637" t="inlineStr">
        <is>
          <t>West Region</t>
        </is>
      </c>
      <c r="F6637" t="inlineStr">
        <is>
          <t>Rep_08</t>
        </is>
      </c>
      <c r="G6637" t="n">
        <v>1.75</v>
      </c>
      <c r="H6637" t="inlineStr">
        <is>
          <t>Lead</t>
        </is>
      </c>
      <c r="I6637" t="inlineStr">
        <is>
          <t>Open</t>
        </is>
      </c>
      <c r="M6637">
        <f>VLOOKUP(H6637,'Stage Order'!$A$2:$B$8,2,FALSE)</f>
        <v/>
      </c>
      <c r="N6637">
        <f>IF(G6637&lt;=1,"1. Under 1 hour",IF(G6637&lt;=24,"2. 1-24 hours",IF(G6637&lt;=72,"3. 1-3 days","4. Over 3 days")))</f>
        <v/>
      </c>
      <c r="O6637">
        <f>TEXT(B6637,"YYYY-MM")</f>
        <v/>
      </c>
    </row>
    <row r="6638">
      <c r="A6638" t="inlineStr">
        <is>
          <t>LD-306636</t>
        </is>
      </c>
      <c r="B6638" t="inlineStr">
        <is>
          <t>2025-12-12 09:22:00</t>
        </is>
      </c>
      <c r="C6638" t="inlineStr">
        <is>
          <t>Social Media</t>
        </is>
      </c>
      <c r="D6638" t="inlineStr">
        <is>
          <t>Coding for Kids</t>
        </is>
      </c>
      <c r="E6638" t="inlineStr">
        <is>
          <t>East Region</t>
        </is>
      </c>
      <c r="F6638" t="inlineStr">
        <is>
          <t>Rep_09</t>
        </is>
      </c>
      <c r="G6638" t="n">
        <v>13.12</v>
      </c>
      <c r="H6638" t="inlineStr">
        <is>
          <t>Lead</t>
        </is>
      </c>
      <c r="I6638" t="inlineStr">
        <is>
          <t>Open</t>
        </is>
      </c>
      <c r="M6638">
        <f>VLOOKUP(H6638,'Stage Order'!$A$2:$B$8,2,FALSE)</f>
        <v/>
      </c>
      <c r="N6638">
        <f>IF(G6638&lt;=1,"1. Under 1 hour",IF(G6638&lt;=24,"2. 1-24 hours",IF(G6638&lt;=72,"3. 1-3 days","4. Over 3 days")))</f>
        <v/>
      </c>
      <c r="O6638">
        <f>TEXT(B6638,"YYYY-MM")</f>
        <v/>
      </c>
    </row>
    <row r="6639">
      <c r="A6639" t="inlineStr">
        <is>
          <t>LD-306637</t>
        </is>
      </c>
      <c r="B6639" t="inlineStr">
        <is>
          <t>2026-01-16 16:49:00</t>
        </is>
      </c>
      <c r="C6639" t="inlineStr">
        <is>
          <t>Paid Search</t>
        </is>
      </c>
      <c r="D6639" t="inlineStr">
        <is>
          <t>Coding for Kids</t>
        </is>
      </c>
      <c r="E6639" t="inlineStr">
        <is>
          <t>East Region</t>
        </is>
      </c>
      <c r="F6639" t="inlineStr">
        <is>
          <t>Rep_14</t>
        </is>
      </c>
      <c r="G6639" t="n">
        <v>3.66</v>
      </c>
      <c r="H6639" t="inlineStr">
        <is>
          <t>Demo Completed</t>
        </is>
      </c>
      <c r="I6639" t="inlineStr">
        <is>
          <t>Lost</t>
        </is>
      </c>
      <c r="J6639" t="inlineStr">
        <is>
          <t>Bad Timing</t>
        </is>
      </c>
      <c r="K6639" t="n">
        <v>627.21</v>
      </c>
      <c r="L6639" t="inlineStr">
        <is>
          <t>2026-02-06 04:21:56.393852</t>
        </is>
      </c>
      <c r="M6639">
        <f>VLOOKUP(H6639,'Stage Order'!$A$2:$B$8,2,FALSE)</f>
        <v/>
      </c>
      <c r="N6639">
        <f>IF(G6639&lt;=1,"1. Under 1 hour",IF(G6639&lt;=24,"2. 1-24 hours",IF(G6639&lt;=72,"3. 1-3 days","4. Over 3 days")))</f>
        <v/>
      </c>
      <c r="O6639">
        <f>TEXT(B6639,"YYYY-MM")</f>
        <v/>
      </c>
    </row>
    <row r="6640">
      <c r="A6640" t="inlineStr">
        <is>
          <t>LD-306638</t>
        </is>
      </c>
      <c r="B6640" t="inlineStr">
        <is>
          <t>2026-03-29 17:46:00</t>
        </is>
      </c>
      <c r="C6640" t="inlineStr">
        <is>
          <t>Webinar</t>
        </is>
      </c>
      <c r="D6640" t="inlineStr">
        <is>
          <t>Competitive Exam Prep</t>
        </is>
      </c>
      <c r="E6640" t="inlineStr">
        <is>
          <t>North Region</t>
        </is>
      </c>
      <c r="F6640" t="inlineStr">
        <is>
          <t>Rep_01</t>
        </is>
      </c>
      <c r="G6640" t="n">
        <v>3.8</v>
      </c>
      <c r="H6640" t="inlineStr">
        <is>
          <t>Negotiation</t>
        </is>
      </c>
      <c r="I6640" t="inlineStr">
        <is>
          <t>Lost</t>
        </is>
      </c>
      <c r="J6640" t="inlineStr">
        <is>
          <t>Went With Competitor</t>
        </is>
      </c>
      <c r="K6640" t="n">
        <v>942.39</v>
      </c>
      <c r="L6640" t="inlineStr">
        <is>
          <t>2026-04-28 22:42:06.293043</t>
        </is>
      </c>
      <c r="M6640">
        <f>VLOOKUP(H6640,'Stage Order'!$A$2:$B$8,2,FALSE)</f>
        <v/>
      </c>
      <c r="N6640">
        <f>IF(G6640&lt;=1,"1. Under 1 hour",IF(G6640&lt;=24,"2. 1-24 hours",IF(G6640&lt;=72,"3. 1-3 days","4. Over 3 days")))</f>
        <v/>
      </c>
      <c r="O6640">
        <f>TEXT(B6640,"YYYY-MM")</f>
        <v/>
      </c>
    </row>
    <row r="6641">
      <c r="A6641" t="inlineStr">
        <is>
          <t>LD-306639</t>
        </is>
      </c>
      <c r="B6641" t="inlineStr">
        <is>
          <t>2025-02-01 15:52:00</t>
        </is>
      </c>
      <c r="C6641" t="inlineStr">
        <is>
          <t>Social Media</t>
        </is>
      </c>
      <c r="D6641" t="inlineStr">
        <is>
          <t>K-12 Math</t>
        </is>
      </c>
      <c r="E6641" t="inlineStr">
        <is>
          <t>West Region</t>
        </is>
      </c>
      <c r="F6641" t="inlineStr">
        <is>
          <t>Rep_08</t>
        </is>
      </c>
      <c r="G6641" t="n">
        <v>0.66</v>
      </c>
      <c r="H6641" t="inlineStr">
        <is>
          <t>Closed</t>
        </is>
      </c>
      <c r="I6641" t="inlineStr">
        <is>
          <t>Won</t>
        </is>
      </c>
      <c r="K6641" t="n">
        <v>489.29</v>
      </c>
      <c r="L6641" t="inlineStr">
        <is>
          <t>2025-03-13 23:41:15.151996</t>
        </is>
      </c>
      <c r="M6641">
        <f>VLOOKUP(H6641,'Stage Order'!$A$2:$B$8,2,FALSE)</f>
        <v/>
      </c>
      <c r="N6641">
        <f>IF(G6641&lt;=1,"1. Under 1 hour",IF(G6641&lt;=24,"2. 1-24 hours",IF(G6641&lt;=72,"3. 1-3 days","4. Over 3 days")))</f>
        <v/>
      </c>
      <c r="O6641">
        <f>TEXT(B6641,"YYYY-MM")</f>
        <v/>
      </c>
    </row>
    <row r="6642">
      <c r="A6642" t="inlineStr">
        <is>
          <t>LD-306640</t>
        </is>
      </c>
      <c r="B6642" t="inlineStr">
        <is>
          <t>2026-04-10 17:15:00</t>
        </is>
      </c>
      <c r="C6642" t="inlineStr">
        <is>
          <t>Paid Search</t>
        </is>
      </c>
      <c r="D6642" t="inlineStr">
        <is>
          <t>Language Learning</t>
        </is>
      </c>
      <c r="E6642" t="inlineStr">
        <is>
          <t>East Region</t>
        </is>
      </c>
      <c r="F6642" t="inlineStr">
        <is>
          <t>Rep_04</t>
        </is>
      </c>
      <c r="G6642" t="n">
        <v>3.61</v>
      </c>
      <c r="H6642" t="inlineStr">
        <is>
          <t>Contacted</t>
        </is>
      </c>
      <c r="I6642" t="inlineStr">
        <is>
          <t>Open</t>
        </is>
      </c>
      <c r="M6642">
        <f>VLOOKUP(H6642,'Stage Order'!$A$2:$B$8,2,FALSE)</f>
        <v/>
      </c>
      <c r="N6642">
        <f>IF(G6642&lt;=1,"1. Under 1 hour",IF(G6642&lt;=24,"2. 1-24 hours",IF(G6642&lt;=72,"3. 1-3 days","4. Over 3 days")))</f>
        <v/>
      </c>
      <c r="O6642">
        <f>TEXT(B6642,"YYYY-MM")</f>
        <v/>
      </c>
    </row>
    <row r="6643">
      <c r="A6643" t="inlineStr">
        <is>
          <t>LD-306641</t>
        </is>
      </c>
      <c r="B6643" t="inlineStr">
        <is>
          <t>2025-05-28 20:17:00</t>
        </is>
      </c>
      <c r="C6643" t="inlineStr">
        <is>
          <t>Referral</t>
        </is>
      </c>
      <c r="D6643" t="inlineStr">
        <is>
          <t>Coding for Kids</t>
        </is>
      </c>
      <c r="E6643" t="inlineStr">
        <is>
          <t>West Region</t>
        </is>
      </c>
      <c r="F6643" t="inlineStr">
        <is>
          <t>Rep_08</t>
        </is>
      </c>
      <c r="G6643" t="n">
        <v>0.52</v>
      </c>
      <c r="H6643" t="inlineStr">
        <is>
          <t>Closed</t>
        </is>
      </c>
      <c r="I6643" t="inlineStr">
        <is>
          <t>Won</t>
        </is>
      </c>
      <c r="K6643" t="n">
        <v>585.41</v>
      </c>
      <c r="L6643" t="inlineStr">
        <is>
          <t>2025-07-03 16:40:31.493362</t>
        </is>
      </c>
      <c r="M6643">
        <f>VLOOKUP(H6643,'Stage Order'!$A$2:$B$8,2,FALSE)</f>
        <v/>
      </c>
      <c r="N6643">
        <f>IF(G6643&lt;=1,"1. Under 1 hour",IF(G6643&lt;=24,"2. 1-24 hours",IF(G6643&lt;=72,"3. 1-3 days","4. Over 3 days")))</f>
        <v/>
      </c>
      <c r="O6643">
        <f>TEXT(B6643,"YYYY-MM")</f>
        <v/>
      </c>
    </row>
    <row r="6644">
      <c r="A6644" t="inlineStr">
        <is>
          <t>LD-306642</t>
        </is>
      </c>
      <c r="B6644" t="inlineStr">
        <is>
          <t>2025-02-25 20:59:00</t>
        </is>
      </c>
      <c r="C6644" t="inlineStr">
        <is>
          <t>Referral</t>
        </is>
      </c>
      <c r="D6644" t="inlineStr">
        <is>
          <t>Study Abroad Prep</t>
        </is>
      </c>
      <c r="E6644" t="inlineStr">
        <is>
          <t>North Region</t>
        </is>
      </c>
      <c r="F6644" t="inlineStr">
        <is>
          <t>Rep_11</t>
        </is>
      </c>
      <c r="G6644" t="n">
        <v>5.22</v>
      </c>
      <c r="H6644" t="inlineStr">
        <is>
          <t>Negotiation</t>
        </is>
      </c>
      <c r="I6644" t="inlineStr">
        <is>
          <t>Lost</t>
        </is>
      </c>
      <c r="J6644" t="inlineStr">
        <is>
          <t>Went With Competitor</t>
        </is>
      </c>
      <c r="K6644" t="n">
        <v>1646.09</v>
      </c>
      <c r="L6644" t="inlineStr">
        <is>
          <t>2025-04-13 15:55:43.596043</t>
        </is>
      </c>
      <c r="M6644">
        <f>VLOOKUP(H6644,'Stage Order'!$A$2:$B$8,2,FALSE)</f>
        <v/>
      </c>
      <c r="N6644">
        <f>IF(G6644&lt;=1,"1. Under 1 hour",IF(G6644&lt;=24,"2. 1-24 hours",IF(G6644&lt;=72,"3. 1-3 days","4. Over 3 days")))</f>
        <v/>
      </c>
      <c r="O6644">
        <f>TEXT(B6644,"YYYY-MM")</f>
        <v/>
      </c>
    </row>
    <row r="6645">
      <c r="A6645" t="inlineStr">
        <is>
          <t>LD-306643</t>
        </is>
      </c>
      <c r="B6645" t="inlineStr">
        <is>
          <t>2025-05-23 11:38:00</t>
        </is>
      </c>
      <c r="C6645" t="inlineStr">
        <is>
          <t>Partner Channel</t>
        </is>
      </c>
      <c r="D6645" t="inlineStr">
        <is>
          <t>Coding for Kids</t>
        </is>
      </c>
      <c r="E6645" t="inlineStr">
        <is>
          <t>International</t>
        </is>
      </c>
      <c r="F6645" t="inlineStr">
        <is>
          <t>Rep_05</t>
        </is>
      </c>
      <c r="G6645" t="n">
        <v>1.63</v>
      </c>
      <c r="H6645" t="inlineStr">
        <is>
          <t>Contacted</t>
        </is>
      </c>
      <c r="I6645" t="inlineStr">
        <is>
          <t>Open</t>
        </is>
      </c>
      <c r="M6645">
        <f>VLOOKUP(H6645,'Stage Order'!$A$2:$B$8,2,FALSE)</f>
        <v/>
      </c>
      <c r="N6645">
        <f>IF(G6645&lt;=1,"1. Under 1 hour",IF(G6645&lt;=24,"2. 1-24 hours",IF(G6645&lt;=72,"3. 1-3 days","4. Over 3 days")))</f>
        <v/>
      </c>
      <c r="O6645">
        <f>TEXT(B6645,"YYYY-MM")</f>
        <v/>
      </c>
    </row>
    <row r="6646">
      <c r="A6646" t="inlineStr">
        <is>
          <t>LD-306644</t>
        </is>
      </c>
      <c r="B6646" t="inlineStr">
        <is>
          <t>2026-03-19 08:51:00</t>
        </is>
      </c>
      <c r="C6646" t="inlineStr">
        <is>
          <t>Paid Search</t>
        </is>
      </c>
      <c r="D6646" t="inlineStr">
        <is>
          <t>K-12 Math</t>
        </is>
      </c>
      <c r="E6646" t="inlineStr">
        <is>
          <t>South Region</t>
        </is>
      </c>
      <c r="F6646" t="inlineStr">
        <is>
          <t>Rep_07</t>
        </is>
      </c>
      <c r="G6646" t="n">
        <v>2.85</v>
      </c>
      <c r="H6646" t="inlineStr">
        <is>
          <t>Negotiation</t>
        </is>
      </c>
      <c r="I6646" t="inlineStr">
        <is>
          <t>Lost</t>
        </is>
      </c>
      <c r="J6646" t="inlineStr">
        <is>
          <t>No Response / Ghosted</t>
        </is>
      </c>
      <c r="K6646" t="n">
        <v>549.6</v>
      </c>
      <c r="L6646" t="inlineStr">
        <is>
          <t>2026-05-01 03:33:44.759133</t>
        </is>
      </c>
      <c r="M6646">
        <f>VLOOKUP(H6646,'Stage Order'!$A$2:$B$8,2,FALSE)</f>
        <v/>
      </c>
      <c r="N6646">
        <f>IF(G6646&lt;=1,"1. Under 1 hour",IF(G6646&lt;=24,"2. 1-24 hours",IF(G6646&lt;=72,"3. 1-3 days","4. Over 3 days")))</f>
        <v/>
      </c>
      <c r="O6646">
        <f>TEXT(B6646,"YYYY-MM")</f>
        <v/>
      </c>
    </row>
    <row r="6647">
      <c r="A6647" t="inlineStr">
        <is>
          <t>LD-306645</t>
        </is>
      </c>
      <c r="B6647" t="inlineStr">
        <is>
          <t>2025-10-31 08:42:00</t>
        </is>
      </c>
      <c r="C6647" t="inlineStr">
        <is>
          <t>Organic Search</t>
        </is>
      </c>
      <c r="D6647" t="inlineStr">
        <is>
          <t>Competitive Exam Prep</t>
        </is>
      </c>
      <c r="E6647" t="inlineStr">
        <is>
          <t>West Region</t>
        </is>
      </c>
      <c r="F6647" t="inlineStr">
        <is>
          <t>Rep_13</t>
        </is>
      </c>
      <c r="G6647" t="n">
        <v>2.43</v>
      </c>
      <c r="H6647" t="inlineStr">
        <is>
          <t>Contacted</t>
        </is>
      </c>
      <c r="I6647" t="inlineStr">
        <is>
          <t>Open</t>
        </is>
      </c>
      <c r="M6647">
        <f>VLOOKUP(H6647,'Stage Order'!$A$2:$B$8,2,FALSE)</f>
        <v/>
      </c>
      <c r="N6647">
        <f>IF(G6647&lt;=1,"1. Under 1 hour",IF(G6647&lt;=24,"2. 1-24 hours",IF(G6647&lt;=72,"3. 1-3 days","4. Over 3 days")))</f>
        <v/>
      </c>
      <c r="O6647">
        <f>TEXT(B6647,"YYYY-MM")</f>
        <v/>
      </c>
    </row>
    <row r="6648">
      <c r="A6648" t="inlineStr">
        <is>
          <t>LD-306646</t>
        </is>
      </c>
      <c r="B6648" t="inlineStr">
        <is>
          <t>2025-05-30 13:39:00</t>
        </is>
      </c>
      <c r="C6648" t="inlineStr">
        <is>
          <t>Referral</t>
        </is>
      </c>
      <c r="D6648" t="inlineStr">
        <is>
          <t>Language Learning</t>
        </is>
      </c>
      <c r="E6648" t="inlineStr">
        <is>
          <t>East Region</t>
        </is>
      </c>
      <c r="F6648" t="inlineStr">
        <is>
          <t>Rep_09</t>
        </is>
      </c>
      <c r="G6648" t="n">
        <v>1.83</v>
      </c>
      <c r="H6648" t="inlineStr">
        <is>
          <t>Negotiation</t>
        </is>
      </c>
      <c r="I6648" t="inlineStr">
        <is>
          <t>Lost</t>
        </is>
      </c>
      <c r="J6648" t="inlineStr">
        <is>
          <t>Price Objection</t>
        </is>
      </c>
      <c r="K6648" t="n">
        <v>393.89</v>
      </c>
      <c r="L6648" t="inlineStr">
        <is>
          <t>2025-07-18 09:02:41.238490</t>
        </is>
      </c>
      <c r="M6648">
        <f>VLOOKUP(H6648,'Stage Order'!$A$2:$B$8,2,FALSE)</f>
        <v/>
      </c>
      <c r="N6648">
        <f>IF(G6648&lt;=1,"1. Under 1 hour",IF(G6648&lt;=24,"2. 1-24 hours",IF(G6648&lt;=72,"3. 1-3 days","4. Over 3 days")))</f>
        <v/>
      </c>
      <c r="O6648">
        <f>TEXT(B6648,"YYYY-MM")</f>
        <v/>
      </c>
    </row>
    <row r="6649">
      <c r="A6649" t="inlineStr">
        <is>
          <t>LD-306647</t>
        </is>
      </c>
      <c r="B6649" t="inlineStr">
        <is>
          <t>2025-05-06 18:00:00</t>
        </is>
      </c>
      <c r="C6649" t="inlineStr">
        <is>
          <t>Paid Search</t>
        </is>
      </c>
      <c r="D6649" t="inlineStr">
        <is>
          <t>K-12 Math</t>
        </is>
      </c>
      <c r="E6649" t="inlineStr">
        <is>
          <t>North Region</t>
        </is>
      </c>
      <c r="F6649" t="inlineStr">
        <is>
          <t>Rep_06</t>
        </is>
      </c>
      <c r="G6649" t="n">
        <v>6.83</v>
      </c>
      <c r="H6649" t="inlineStr">
        <is>
          <t>Contacted</t>
        </is>
      </c>
      <c r="I6649" t="inlineStr">
        <is>
          <t>Open</t>
        </is>
      </c>
      <c r="M6649">
        <f>VLOOKUP(H6649,'Stage Order'!$A$2:$B$8,2,FALSE)</f>
        <v/>
      </c>
      <c r="N6649">
        <f>IF(G6649&lt;=1,"1. Under 1 hour",IF(G6649&lt;=24,"2. 1-24 hours",IF(G6649&lt;=72,"3. 1-3 days","4. Over 3 days")))</f>
        <v/>
      </c>
      <c r="O6649">
        <f>TEXT(B6649,"YYYY-MM")</f>
        <v/>
      </c>
    </row>
    <row r="6650">
      <c r="A6650" t="inlineStr">
        <is>
          <t>LD-306648</t>
        </is>
      </c>
      <c r="B6650" t="inlineStr">
        <is>
          <t>2025-12-23 11:29:00</t>
        </is>
      </c>
      <c r="C6650" t="inlineStr">
        <is>
          <t>Organic Search</t>
        </is>
      </c>
      <c r="D6650" t="inlineStr">
        <is>
          <t>K-12 Math</t>
        </is>
      </c>
      <c r="E6650" t="inlineStr">
        <is>
          <t>South Region</t>
        </is>
      </c>
      <c r="F6650" t="inlineStr">
        <is>
          <t>Rep_02</t>
        </is>
      </c>
      <c r="G6650" t="n">
        <v>0.25</v>
      </c>
      <c r="H6650" t="inlineStr">
        <is>
          <t>Closed</t>
        </is>
      </c>
      <c r="I6650" t="inlineStr">
        <is>
          <t>Won</t>
        </is>
      </c>
      <c r="K6650" t="n">
        <v>574.12</v>
      </c>
      <c r="L6650" t="inlineStr">
        <is>
          <t>2026-01-31 04:00:16.526033</t>
        </is>
      </c>
      <c r="M6650">
        <f>VLOOKUP(H6650,'Stage Order'!$A$2:$B$8,2,FALSE)</f>
        <v/>
      </c>
      <c r="N6650">
        <f>IF(G6650&lt;=1,"1. Under 1 hour",IF(G6650&lt;=24,"2. 1-24 hours",IF(G6650&lt;=72,"3. 1-3 days","4. Over 3 days")))</f>
        <v/>
      </c>
      <c r="O6650">
        <f>TEXT(B6650,"YYYY-MM")</f>
        <v/>
      </c>
    </row>
    <row r="6651">
      <c r="A6651" t="inlineStr">
        <is>
          <t>LD-306649</t>
        </is>
      </c>
      <c r="B6651" t="inlineStr">
        <is>
          <t>2025-11-27 11:23:00</t>
        </is>
      </c>
      <c r="C6651" t="inlineStr">
        <is>
          <t>Paid Search</t>
        </is>
      </c>
      <c r="D6651" t="inlineStr">
        <is>
          <t>K-12 Math</t>
        </is>
      </c>
      <c r="E6651" t="inlineStr">
        <is>
          <t>South Region</t>
        </is>
      </c>
      <c r="F6651" t="inlineStr">
        <is>
          <t>Rep_07</t>
        </is>
      </c>
      <c r="G6651" t="n">
        <v>3.02</v>
      </c>
      <c r="H6651" t="inlineStr">
        <is>
          <t>Negotiation</t>
        </is>
      </c>
      <c r="I6651" t="inlineStr">
        <is>
          <t>Lost</t>
        </is>
      </c>
      <c r="J6651" t="inlineStr">
        <is>
          <t>Price Objection</t>
        </is>
      </c>
      <c r="K6651" t="n">
        <v>552.9400000000001</v>
      </c>
      <c r="L6651" t="inlineStr">
        <is>
          <t>2026-01-12 03:44:58.078760</t>
        </is>
      </c>
      <c r="M6651">
        <f>VLOOKUP(H6651,'Stage Order'!$A$2:$B$8,2,FALSE)</f>
        <v/>
      </c>
      <c r="N6651">
        <f>IF(G6651&lt;=1,"1. Under 1 hour",IF(G6651&lt;=24,"2. 1-24 hours",IF(G6651&lt;=72,"3. 1-3 days","4. Over 3 days")))</f>
        <v/>
      </c>
      <c r="O6651">
        <f>TEXT(B6651,"YYYY-MM")</f>
        <v/>
      </c>
    </row>
    <row r="6652">
      <c r="A6652" t="inlineStr">
        <is>
          <t>LD-306650</t>
        </is>
      </c>
      <c r="B6652" t="inlineStr">
        <is>
          <t>2025-08-01 13:48:00</t>
        </is>
      </c>
      <c r="C6652" t="inlineStr">
        <is>
          <t>Organic Search</t>
        </is>
      </c>
      <c r="D6652" t="inlineStr">
        <is>
          <t>Language Learning</t>
        </is>
      </c>
      <c r="E6652" t="inlineStr">
        <is>
          <t>East Region</t>
        </is>
      </c>
      <c r="F6652" t="inlineStr">
        <is>
          <t>Rep_04</t>
        </is>
      </c>
      <c r="G6652" t="n">
        <v>0.57</v>
      </c>
      <c r="H6652" t="inlineStr">
        <is>
          <t>Demo Completed</t>
        </is>
      </c>
      <c r="I6652" t="inlineStr">
        <is>
          <t>Lost</t>
        </is>
      </c>
      <c r="J6652" t="inlineStr">
        <is>
          <t>No Response / Ghosted</t>
        </is>
      </c>
      <c r="K6652" t="n">
        <v>349.05</v>
      </c>
      <c r="L6652" t="inlineStr">
        <is>
          <t>2025-08-24 14:22:56.956144</t>
        </is>
      </c>
      <c r="M6652">
        <f>VLOOKUP(H6652,'Stage Order'!$A$2:$B$8,2,FALSE)</f>
        <v/>
      </c>
      <c r="N6652">
        <f>IF(G6652&lt;=1,"1. Under 1 hour",IF(G6652&lt;=24,"2. 1-24 hours",IF(G6652&lt;=72,"3. 1-3 days","4. Over 3 days")))</f>
        <v/>
      </c>
      <c r="O6652">
        <f>TEXT(B6652,"YYYY-MM")</f>
        <v/>
      </c>
    </row>
    <row r="6653">
      <c r="A6653" t="inlineStr">
        <is>
          <t>LD-306651</t>
        </is>
      </c>
      <c r="B6653" t="inlineStr">
        <is>
          <t>2025-08-16 07:13:00</t>
        </is>
      </c>
      <c r="C6653" t="inlineStr">
        <is>
          <t>Organic Search</t>
        </is>
      </c>
      <c r="D6653" t="inlineStr">
        <is>
          <t>Competitive Exam Prep</t>
        </is>
      </c>
      <c r="E6653" t="inlineStr">
        <is>
          <t>South Region</t>
        </is>
      </c>
      <c r="F6653" t="inlineStr">
        <is>
          <t>Rep_12</t>
        </is>
      </c>
      <c r="G6653" t="n">
        <v>1.4</v>
      </c>
      <c r="H6653" t="inlineStr">
        <is>
          <t>Contacted</t>
        </is>
      </c>
      <c r="I6653" t="inlineStr">
        <is>
          <t>Open</t>
        </is>
      </c>
      <c r="M6653">
        <f>VLOOKUP(H6653,'Stage Order'!$A$2:$B$8,2,FALSE)</f>
        <v/>
      </c>
      <c r="N6653">
        <f>IF(G6653&lt;=1,"1. Under 1 hour",IF(G6653&lt;=24,"2. 1-24 hours",IF(G6653&lt;=72,"3. 1-3 days","4. Over 3 days")))</f>
        <v/>
      </c>
      <c r="O6653">
        <f>TEXT(B6653,"YYYY-MM")</f>
        <v/>
      </c>
    </row>
    <row r="6654">
      <c r="A6654" t="inlineStr">
        <is>
          <t>LD-306652</t>
        </is>
      </c>
      <c r="B6654" t="inlineStr">
        <is>
          <t>2025-05-03 20:25:00</t>
        </is>
      </c>
      <c r="C6654" t="inlineStr">
        <is>
          <t>Paid Search</t>
        </is>
      </c>
      <c r="D6654" t="inlineStr">
        <is>
          <t>K-12 Math</t>
        </is>
      </c>
      <c r="E6654" t="inlineStr">
        <is>
          <t>West Region</t>
        </is>
      </c>
      <c r="F6654" t="inlineStr">
        <is>
          <t>Rep_03</t>
        </is>
      </c>
      <c r="G6654" t="n">
        <v>2.12</v>
      </c>
      <c r="H6654" t="inlineStr">
        <is>
          <t>Negotiation</t>
        </is>
      </c>
      <c r="I6654" t="inlineStr">
        <is>
          <t>Lost</t>
        </is>
      </c>
      <c r="J6654" t="inlineStr">
        <is>
          <t>Went With Competitor</t>
        </is>
      </c>
      <c r="K6654" t="n">
        <v>456.22</v>
      </c>
      <c r="L6654" t="inlineStr">
        <is>
          <t>2025-06-25 11:49:19.331222</t>
        </is>
      </c>
      <c r="M6654">
        <f>VLOOKUP(H6654,'Stage Order'!$A$2:$B$8,2,FALSE)</f>
        <v/>
      </c>
      <c r="N6654">
        <f>IF(G6654&lt;=1,"1. Under 1 hour",IF(G6654&lt;=24,"2. 1-24 hours",IF(G6654&lt;=72,"3. 1-3 days","4. Over 3 days")))</f>
        <v/>
      </c>
      <c r="O6654">
        <f>TEXT(B6654,"YYYY-MM")</f>
        <v/>
      </c>
    </row>
    <row r="6655">
      <c r="A6655" t="inlineStr">
        <is>
          <t>LD-306653</t>
        </is>
      </c>
      <c r="B6655" t="inlineStr">
        <is>
          <t>2026-06-26 17:35:00</t>
        </is>
      </c>
      <c r="C6655" t="inlineStr">
        <is>
          <t>Referral</t>
        </is>
      </c>
      <c r="D6655" t="inlineStr">
        <is>
          <t>Coding for Kids</t>
        </is>
      </c>
      <c r="E6655" t="inlineStr">
        <is>
          <t>North Region</t>
        </is>
      </c>
      <c r="F6655" t="inlineStr">
        <is>
          <t>Rep_06</t>
        </is>
      </c>
      <c r="G6655" t="n">
        <v>10.37</v>
      </c>
      <c r="H6655" t="inlineStr">
        <is>
          <t>Contacted</t>
        </is>
      </c>
      <c r="I6655" t="inlineStr">
        <is>
          <t>Open</t>
        </is>
      </c>
      <c r="M6655">
        <f>VLOOKUP(H6655,'Stage Order'!$A$2:$B$8,2,FALSE)</f>
        <v/>
      </c>
      <c r="N6655">
        <f>IF(G6655&lt;=1,"1. Under 1 hour",IF(G6655&lt;=24,"2. 1-24 hours",IF(G6655&lt;=72,"3. 1-3 days","4. Over 3 days")))</f>
        <v/>
      </c>
      <c r="O6655">
        <f>TEXT(B6655,"YYYY-MM")</f>
        <v/>
      </c>
    </row>
    <row r="6656">
      <c r="A6656" t="inlineStr">
        <is>
          <t>LD-306654</t>
        </is>
      </c>
      <c r="B6656" t="inlineStr">
        <is>
          <t>2025-12-12 09:25:00</t>
        </is>
      </c>
      <c r="C6656" t="inlineStr">
        <is>
          <t>Organic Search</t>
        </is>
      </c>
      <c r="D6656" t="inlineStr">
        <is>
          <t>K-12 Math</t>
        </is>
      </c>
      <c r="E6656" t="inlineStr">
        <is>
          <t>East Region</t>
        </is>
      </c>
      <c r="F6656" t="inlineStr">
        <is>
          <t>Rep_04</t>
        </is>
      </c>
      <c r="G6656" t="n">
        <v>0.68</v>
      </c>
      <c r="H6656" t="inlineStr">
        <is>
          <t>Lead</t>
        </is>
      </c>
      <c r="I6656" t="inlineStr">
        <is>
          <t>Open</t>
        </is>
      </c>
      <c r="M6656">
        <f>VLOOKUP(H6656,'Stage Order'!$A$2:$B$8,2,FALSE)</f>
        <v/>
      </c>
      <c r="N6656">
        <f>IF(G6656&lt;=1,"1. Under 1 hour",IF(G6656&lt;=24,"2. 1-24 hours",IF(G6656&lt;=72,"3. 1-3 days","4. Over 3 days")))</f>
        <v/>
      </c>
      <c r="O6656">
        <f>TEXT(B6656,"YYYY-MM")</f>
        <v/>
      </c>
    </row>
    <row r="6657">
      <c r="A6657" t="inlineStr">
        <is>
          <t>LD-306655</t>
        </is>
      </c>
      <c r="B6657" t="inlineStr">
        <is>
          <t>2026-01-16 14:58:00</t>
        </is>
      </c>
      <c r="C6657" t="inlineStr">
        <is>
          <t>Paid Search</t>
        </is>
      </c>
      <c r="D6657" t="inlineStr">
        <is>
          <t>Competitive Exam Prep</t>
        </is>
      </c>
      <c r="E6657" t="inlineStr">
        <is>
          <t>West Region</t>
        </is>
      </c>
      <c r="F6657" t="inlineStr">
        <is>
          <t>Rep_13</t>
        </is>
      </c>
      <c r="G6657" t="n">
        <v>18.93</v>
      </c>
      <c r="H6657" t="inlineStr">
        <is>
          <t>Contacted</t>
        </is>
      </c>
      <c r="I6657" t="inlineStr">
        <is>
          <t>Open</t>
        </is>
      </c>
      <c r="M6657">
        <f>VLOOKUP(H6657,'Stage Order'!$A$2:$B$8,2,FALSE)</f>
        <v/>
      </c>
      <c r="N6657">
        <f>IF(G6657&lt;=1,"1. Under 1 hour",IF(G6657&lt;=24,"2. 1-24 hours",IF(G6657&lt;=72,"3. 1-3 days","4. Over 3 days")))</f>
        <v/>
      </c>
      <c r="O6657">
        <f>TEXT(B6657,"YYYY-MM")</f>
        <v/>
      </c>
    </row>
    <row r="6658">
      <c r="A6658" t="inlineStr">
        <is>
          <t>LD-306656</t>
        </is>
      </c>
      <c r="B6658" t="inlineStr">
        <is>
          <t>2026-05-18 12:31:00</t>
        </is>
      </c>
      <c r="C6658" t="inlineStr">
        <is>
          <t>Webinar</t>
        </is>
      </c>
      <c r="D6658" t="inlineStr">
        <is>
          <t>Language Learning</t>
        </is>
      </c>
      <c r="E6658" t="inlineStr">
        <is>
          <t>West Region</t>
        </is>
      </c>
      <c r="F6658" t="inlineStr">
        <is>
          <t>Rep_03</t>
        </is>
      </c>
      <c r="G6658" t="n">
        <v>2.8</v>
      </c>
      <c r="H6658" t="inlineStr">
        <is>
          <t>Demo Completed</t>
        </is>
      </c>
      <c r="I6658" t="inlineStr">
        <is>
          <t>Lost</t>
        </is>
      </c>
      <c r="J6658" t="inlineStr">
        <is>
          <t>Price Objection</t>
        </is>
      </c>
      <c r="K6658" t="n">
        <v>323.17</v>
      </c>
      <c r="L6658" t="inlineStr">
        <is>
          <t>2026-06-08 17:03:02.525680</t>
        </is>
      </c>
      <c r="M6658">
        <f>VLOOKUP(H6658,'Stage Order'!$A$2:$B$8,2,FALSE)</f>
        <v/>
      </c>
      <c r="N6658">
        <f>IF(G6658&lt;=1,"1. Under 1 hour",IF(G6658&lt;=24,"2. 1-24 hours",IF(G6658&lt;=72,"3. 1-3 days","4. Over 3 days")))</f>
        <v/>
      </c>
      <c r="O6658">
        <f>TEXT(B6658,"YYYY-MM")</f>
        <v/>
      </c>
    </row>
    <row r="6659">
      <c r="A6659" t="inlineStr">
        <is>
          <t>LD-306657</t>
        </is>
      </c>
      <c r="B6659" t="inlineStr">
        <is>
          <t>2025-01-27 20:34:00</t>
        </is>
      </c>
      <c r="C6659" t="inlineStr">
        <is>
          <t>Organic Search</t>
        </is>
      </c>
      <c r="D6659" t="inlineStr">
        <is>
          <t>Coding for Kids</t>
        </is>
      </c>
      <c r="E6659" t="inlineStr">
        <is>
          <t>North Region</t>
        </is>
      </c>
      <c r="F6659" t="inlineStr">
        <is>
          <t>Rep_01</t>
        </is>
      </c>
      <c r="G6659" t="n">
        <v>1.67</v>
      </c>
      <c r="H6659" t="inlineStr">
        <is>
          <t>Lead</t>
        </is>
      </c>
      <c r="I6659" t="inlineStr">
        <is>
          <t>Open</t>
        </is>
      </c>
      <c r="M6659">
        <f>VLOOKUP(H6659,'Stage Order'!$A$2:$B$8,2,FALSE)</f>
        <v/>
      </c>
      <c r="N6659">
        <f>IF(G6659&lt;=1,"1. Under 1 hour",IF(G6659&lt;=24,"2. 1-24 hours",IF(G6659&lt;=72,"3. 1-3 days","4. Over 3 days")))</f>
        <v/>
      </c>
      <c r="O6659">
        <f>TEXT(B6659,"YYYY-MM")</f>
        <v/>
      </c>
    </row>
    <row r="6660">
      <c r="A6660" t="inlineStr">
        <is>
          <t>LD-306658</t>
        </is>
      </c>
      <c r="B6660" t="inlineStr">
        <is>
          <t>2026-01-16 14:49:00</t>
        </is>
      </c>
      <c r="C6660" t="inlineStr">
        <is>
          <t>Organic Search</t>
        </is>
      </c>
      <c r="D6660" t="inlineStr">
        <is>
          <t>K-12 Math</t>
        </is>
      </c>
      <c r="E6660" t="inlineStr">
        <is>
          <t>North Region</t>
        </is>
      </c>
      <c r="F6660" t="inlineStr">
        <is>
          <t>Rep_01</t>
        </is>
      </c>
      <c r="G6660" t="n">
        <v>1.4</v>
      </c>
      <c r="H6660" t="inlineStr">
        <is>
          <t>Contacted</t>
        </is>
      </c>
      <c r="I6660" t="inlineStr">
        <is>
          <t>Open</t>
        </is>
      </c>
      <c r="M6660">
        <f>VLOOKUP(H6660,'Stage Order'!$A$2:$B$8,2,FALSE)</f>
        <v/>
      </c>
      <c r="N6660">
        <f>IF(G6660&lt;=1,"1. Under 1 hour",IF(G6660&lt;=24,"2. 1-24 hours",IF(G6660&lt;=72,"3. 1-3 days","4. Over 3 days")))</f>
        <v/>
      </c>
      <c r="O6660">
        <f>TEXT(B6660,"YYYY-MM")</f>
        <v/>
      </c>
    </row>
    <row r="6661">
      <c r="A6661" t="inlineStr">
        <is>
          <t>LD-306659</t>
        </is>
      </c>
      <c r="B6661" t="inlineStr">
        <is>
          <t>2025-01-11 16:34:00</t>
        </is>
      </c>
      <c r="C6661" t="inlineStr">
        <is>
          <t>Paid Search</t>
        </is>
      </c>
      <c r="D6661" t="inlineStr">
        <is>
          <t>K-12 Math</t>
        </is>
      </c>
      <c r="E6661" t="inlineStr">
        <is>
          <t>North Region</t>
        </is>
      </c>
      <c r="F6661" t="inlineStr">
        <is>
          <t>Rep_01</t>
        </is>
      </c>
      <c r="G6661" t="n">
        <v>2.93</v>
      </c>
      <c r="H6661" t="inlineStr">
        <is>
          <t>Contacted</t>
        </is>
      </c>
      <c r="I6661" t="inlineStr">
        <is>
          <t>Open</t>
        </is>
      </c>
      <c r="M6661">
        <f>VLOOKUP(H6661,'Stage Order'!$A$2:$B$8,2,FALSE)</f>
        <v/>
      </c>
      <c r="N6661">
        <f>IF(G6661&lt;=1,"1. Under 1 hour",IF(G6661&lt;=24,"2. 1-24 hours",IF(G6661&lt;=72,"3. 1-3 days","4. Over 3 days")))</f>
        <v/>
      </c>
      <c r="O6661">
        <f>TEXT(B6661,"YYYY-MM")</f>
        <v/>
      </c>
    </row>
    <row r="6662">
      <c r="A6662" t="inlineStr">
        <is>
          <t>LD-306660</t>
        </is>
      </c>
      <c r="B6662" t="inlineStr">
        <is>
          <t>2026-03-15 09:37:00</t>
        </is>
      </c>
      <c r="C6662" t="inlineStr">
        <is>
          <t>Referral</t>
        </is>
      </c>
      <c r="D6662" t="inlineStr">
        <is>
          <t>Competitive Exam Prep</t>
        </is>
      </c>
      <c r="E6662" t="inlineStr">
        <is>
          <t>South Region</t>
        </is>
      </c>
      <c r="F6662" t="inlineStr">
        <is>
          <t>Rep_07</t>
        </is>
      </c>
      <c r="G6662" t="n">
        <v>4.12</v>
      </c>
      <c r="H6662" t="inlineStr">
        <is>
          <t>Closed</t>
        </is>
      </c>
      <c r="I6662" t="inlineStr">
        <is>
          <t>Won</t>
        </is>
      </c>
      <c r="K6662" t="n">
        <v>841.2</v>
      </c>
      <c r="L6662" t="inlineStr">
        <is>
          <t>2026-04-28 04:06:25.114579</t>
        </is>
      </c>
      <c r="M6662">
        <f>VLOOKUP(H6662,'Stage Order'!$A$2:$B$8,2,FALSE)</f>
        <v/>
      </c>
      <c r="N6662">
        <f>IF(G6662&lt;=1,"1. Under 1 hour",IF(G6662&lt;=24,"2. 1-24 hours",IF(G6662&lt;=72,"3. 1-3 days","4. Over 3 days")))</f>
        <v/>
      </c>
      <c r="O6662">
        <f>TEXT(B6662,"YYYY-MM")</f>
        <v/>
      </c>
    </row>
    <row r="6663">
      <c r="A6663" t="inlineStr">
        <is>
          <t>LD-306661</t>
        </is>
      </c>
      <c r="B6663" t="inlineStr">
        <is>
          <t>2025-01-10 10:25:00</t>
        </is>
      </c>
      <c r="C6663" t="inlineStr">
        <is>
          <t>Organic Search</t>
        </is>
      </c>
      <c r="D6663" t="inlineStr">
        <is>
          <t>Language Learning</t>
        </is>
      </c>
      <c r="E6663" t="inlineStr">
        <is>
          <t>North Region</t>
        </is>
      </c>
      <c r="F6663" t="inlineStr">
        <is>
          <t>Rep_01</t>
        </is>
      </c>
      <c r="G6663" t="n">
        <v>1.18</v>
      </c>
      <c r="H6663" t="inlineStr">
        <is>
          <t>Contacted</t>
        </is>
      </c>
      <c r="I6663" t="inlineStr">
        <is>
          <t>Open</t>
        </is>
      </c>
      <c r="M6663">
        <f>VLOOKUP(H6663,'Stage Order'!$A$2:$B$8,2,FALSE)</f>
        <v/>
      </c>
      <c r="N6663">
        <f>IF(G6663&lt;=1,"1. Under 1 hour",IF(G6663&lt;=24,"2. 1-24 hours",IF(G6663&lt;=72,"3. 1-3 days","4. Over 3 days")))</f>
        <v/>
      </c>
      <c r="O6663">
        <f>TEXT(B6663,"YYYY-MM")</f>
        <v/>
      </c>
    </row>
    <row r="6664">
      <c r="A6664" t="inlineStr">
        <is>
          <t>LD-306662</t>
        </is>
      </c>
      <c r="B6664" t="inlineStr">
        <is>
          <t>2025-01-03 20:59:00</t>
        </is>
      </c>
      <c r="C6664" t="inlineStr">
        <is>
          <t>Organic Search</t>
        </is>
      </c>
      <c r="D6664" t="inlineStr">
        <is>
          <t>Language Learning</t>
        </is>
      </c>
      <c r="E6664" t="inlineStr">
        <is>
          <t>South Region</t>
        </is>
      </c>
      <c r="F6664" t="inlineStr">
        <is>
          <t>Rep_07</t>
        </is>
      </c>
      <c r="G6664" t="n">
        <v>2.41</v>
      </c>
      <c r="H6664" t="inlineStr">
        <is>
          <t>Contacted</t>
        </is>
      </c>
      <c r="I6664" t="inlineStr">
        <is>
          <t>Open</t>
        </is>
      </c>
      <c r="M6664">
        <f>VLOOKUP(H6664,'Stage Order'!$A$2:$B$8,2,FALSE)</f>
        <v/>
      </c>
      <c r="N6664">
        <f>IF(G6664&lt;=1,"1. Under 1 hour",IF(G6664&lt;=24,"2. 1-24 hours",IF(G6664&lt;=72,"3. 1-3 days","4. Over 3 days")))</f>
        <v/>
      </c>
      <c r="O6664">
        <f>TEXT(B6664,"YYYY-MM")</f>
        <v/>
      </c>
    </row>
    <row r="6665">
      <c r="A6665" t="inlineStr">
        <is>
          <t>LD-306663</t>
        </is>
      </c>
      <c r="B6665" t="inlineStr">
        <is>
          <t>2025-09-16 10:11:00</t>
        </is>
      </c>
      <c r="C6665" t="inlineStr">
        <is>
          <t>Social Media</t>
        </is>
      </c>
      <c r="D6665" t="inlineStr">
        <is>
          <t>Coding for Kids</t>
        </is>
      </c>
      <c r="E6665" t="inlineStr">
        <is>
          <t>West Region</t>
        </is>
      </c>
      <c r="F6665" t="inlineStr">
        <is>
          <t>Rep_03</t>
        </is>
      </c>
      <c r="G6665" t="n">
        <v>1.49</v>
      </c>
      <c r="H6665" t="inlineStr">
        <is>
          <t>Lead</t>
        </is>
      </c>
      <c r="I6665" t="inlineStr">
        <is>
          <t>Open</t>
        </is>
      </c>
      <c r="M6665">
        <f>VLOOKUP(H6665,'Stage Order'!$A$2:$B$8,2,FALSE)</f>
        <v/>
      </c>
      <c r="N6665">
        <f>IF(G6665&lt;=1,"1. Under 1 hour",IF(G6665&lt;=24,"2. 1-24 hours",IF(G6665&lt;=72,"3. 1-3 days","4. Over 3 days")))</f>
        <v/>
      </c>
      <c r="O6665">
        <f>TEXT(B6665,"YYYY-MM")</f>
        <v/>
      </c>
    </row>
    <row r="6666">
      <c r="A6666" t="inlineStr">
        <is>
          <t>LD-306664</t>
        </is>
      </c>
      <c r="B6666" t="inlineStr">
        <is>
          <t>2026-05-18 12:39:00</t>
        </is>
      </c>
      <c r="C6666" t="inlineStr">
        <is>
          <t>Social Media</t>
        </is>
      </c>
      <c r="D6666" t="inlineStr">
        <is>
          <t>Competitive Exam Prep</t>
        </is>
      </c>
      <c r="E6666" t="inlineStr">
        <is>
          <t>West Region</t>
        </is>
      </c>
      <c r="F6666" t="inlineStr">
        <is>
          <t>Rep_08</t>
        </is>
      </c>
      <c r="G6666" t="n">
        <v>1.45</v>
      </c>
      <c r="H6666" t="inlineStr">
        <is>
          <t>Contacted</t>
        </is>
      </c>
      <c r="I6666" t="inlineStr">
        <is>
          <t>Open</t>
        </is>
      </c>
      <c r="M6666">
        <f>VLOOKUP(H6666,'Stage Order'!$A$2:$B$8,2,FALSE)</f>
        <v/>
      </c>
      <c r="N6666">
        <f>IF(G6666&lt;=1,"1. Under 1 hour",IF(G6666&lt;=24,"2. 1-24 hours",IF(G6666&lt;=72,"3. 1-3 days","4. Over 3 days")))</f>
        <v/>
      </c>
      <c r="O6666">
        <f>TEXT(B6666,"YYYY-MM")</f>
        <v/>
      </c>
    </row>
    <row r="6667">
      <c r="A6667" t="inlineStr">
        <is>
          <t>LD-306665</t>
        </is>
      </c>
      <c r="B6667" t="inlineStr">
        <is>
          <t>2025-10-22 07:34:00</t>
        </is>
      </c>
      <c r="C6667" t="inlineStr">
        <is>
          <t>Paid Search</t>
        </is>
      </c>
      <c r="D6667" t="inlineStr">
        <is>
          <t>Competitive Exam Prep</t>
        </is>
      </c>
      <c r="E6667" t="inlineStr">
        <is>
          <t>West Region</t>
        </is>
      </c>
      <c r="F6667" t="inlineStr">
        <is>
          <t>Rep_13</t>
        </is>
      </c>
      <c r="G6667" t="n">
        <v>1.9</v>
      </c>
      <c r="H6667" t="inlineStr">
        <is>
          <t>Demo Completed</t>
        </is>
      </c>
      <c r="I6667" t="inlineStr">
        <is>
          <t>Lost</t>
        </is>
      </c>
      <c r="J6667" t="inlineStr">
        <is>
          <t>Bad Timing</t>
        </is>
      </c>
      <c r="K6667" t="n">
        <v>827.54</v>
      </c>
      <c r="L6667" t="inlineStr">
        <is>
          <t>2025-11-25 21:05:22.132023</t>
        </is>
      </c>
      <c r="M6667">
        <f>VLOOKUP(H6667,'Stage Order'!$A$2:$B$8,2,FALSE)</f>
        <v/>
      </c>
      <c r="N6667">
        <f>IF(G6667&lt;=1,"1. Under 1 hour",IF(G6667&lt;=24,"2. 1-24 hours",IF(G6667&lt;=72,"3. 1-3 days","4. Over 3 days")))</f>
        <v/>
      </c>
      <c r="O6667">
        <f>TEXT(B6667,"YYYY-MM")</f>
        <v/>
      </c>
    </row>
    <row r="6668">
      <c r="A6668" t="inlineStr">
        <is>
          <t>LD-306666</t>
        </is>
      </c>
      <c r="B6668" t="inlineStr">
        <is>
          <t>2026-06-04 09:03:00</t>
        </is>
      </c>
      <c r="C6668" t="inlineStr">
        <is>
          <t>Webinar</t>
        </is>
      </c>
      <c r="D6668" t="inlineStr">
        <is>
          <t>Coding for Kids</t>
        </is>
      </c>
      <c r="E6668" t="inlineStr">
        <is>
          <t>South Region</t>
        </is>
      </c>
      <c r="F6668" t="inlineStr">
        <is>
          <t>Rep_02</t>
        </is>
      </c>
      <c r="G6668" t="n">
        <v>3.68</v>
      </c>
      <c r="H6668" t="inlineStr">
        <is>
          <t>Contacted</t>
        </is>
      </c>
      <c r="I6668" t="inlineStr">
        <is>
          <t>Open</t>
        </is>
      </c>
      <c r="M6668">
        <f>VLOOKUP(H6668,'Stage Order'!$A$2:$B$8,2,FALSE)</f>
        <v/>
      </c>
      <c r="N6668">
        <f>IF(G6668&lt;=1,"1. Under 1 hour",IF(G6668&lt;=24,"2. 1-24 hours",IF(G6668&lt;=72,"3. 1-3 days","4. Over 3 days")))</f>
        <v/>
      </c>
      <c r="O6668">
        <f>TEXT(B6668,"YYYY-MM")</f>
        <v/>
      </c>
    </row>
    <row r="6669">
      <c r="A6669" t="inlineStr">
        <is>
          <t>LD-306667</t>
        </is>
      </c>
      <c r="B6669" t="inlineStr">
        <is>
          <t>2025-04-26 11:50:00</t>
        </is>
      </c>
      <c r="C6669" t="inlineStr">
        <is>
          <t>Organic Search</t>
        </is>
      </c>
      <c r="D6669" t="inlineStr">
        <is>
          <t>Language Learning</t>
        </is>
      </c>
      <c r="E6669" t="inlineStr">
        <is>
          <t>West Region</t>
        </is>
      </c>
      <c r="F6669" t="inlineStr">
        <is>
          <t>Rep_08</t>
        </is>
      </c>
      <c r="G6669" t="n">
        <v>1.45</v>
      </c>
      <c r="H6669" t="inlineStr">
        <is>
          <t>Closed</t>
        </is>
      </c>
      <c r="I6669" t="inlineStr">
        <is>
          <t>Won</t>
        </is>
      </c>
      <c r="K6669" t="n">
        <v>402.36</v>
      </c>
      <c r="L6669" t="inlineStr">
        <is>
          <t>2025-06-12 22:47:22.579111</t>
        </is>
      </c>
      <c r="M6669">
        <f>VLOOKUP(H6669,'Stage Order'!$A$2:$B$8,2,FALSE)</f>
        <v/>
      </c>
      <c r="N6669">
        <f>IF(G6669&lt;=1,"1. Under 1 hour",IF(G6669&lt;=24,"2. 1-24 hours",IF(G6669&lt;=72,"3. 1-3 days","4. Over 3 days")))</f>
        <v/>
      </c>
      <c r="O6669">
        <f>TEXT(B6669,"YYYY-MM")</f>
        <v/>
      </c>
    </row>
    <row r="6670">
      <c r="A6670" t="inlineStr">
        <is>
          <t>LD-306668</t>
        </is>
      </c>
      <c r="B6670" t="inlineStr">
        <is>
          <t>2025-09-02 10:48:00</t>
        </is>
      </c>
      <c r="C6670" t="inlineStr">
        <is>
          <t>Partner Channel</t>
        </is>
      </c>
      <c r="D6670" t="inlineStr">
        <is>
          <t>K-12 Math</t>
        </is>
      </c>
      <c r="E6670" t="inlineStr">
        <is>
          <t>North Region</t>
        </is>
      </c>
      <c r="F6670" t="inlineStr">
        <is>
          <t>Rep_06</t>
        </is>
      </c>
      <c r="G6670" t="n">
        <v>1.37</v>
      </c>
      <c r="H6670" t="inlineStr">
        <is>
          <t>Contacted</t>
        </is>
      </c>
      <c r="I6670" t="inlineStr">
        <is>
          <t>Open</t>
        </is>
      </c>
      <c r="M6670">
        <f>VLOOKUP(H6670,'Stage Order'!$A$2:$B$8,2,FALSE)</f>
        <v/>
      </c>
      <c r="N6670">
        <f>IF(G6670&lt;=1,"1. Under 1 hour",IF(G6670&lt;=24,"2. 1-24 hours",IF(G6670&lt;=72,"3. 1-3 days","4. Over 3 days")))</f>
        <v/>
      </c>
      <c r="O6670">
        <f>TEXT(B6670,"YYYY-MM")</f>
        <v/>
      </c>
    </row>
    <row r="6671">
      <c r="A6671" t="inlineStr">
        <is>
          <t>LD-306669</t>
        </is>
      </c>
      <c r="B6671" t="inlineStr">
        <is>
          <t>2025-04-04 20:16:00</t>
        </is>
      </c>
      <c r="C6671" t="inlineStr">
        <is>
          <t>Cold Outreach</t>
        </is>
      </c>
      <c r="D6671" t="inlineStr">
        <is>
          <t>Study Abroad Prep</t>
        </is>
      </c>
      <c r="E6671" t="inlineStr">
        <is>
          <t>West Region</t>
        </is>
      </c>
      <c r="F6671" t="inlineStr">
        <is>
          <t>Rep_03</t>
        </is>
      </c>
      <c r="G6671" t="n">
        <v>2.06</v>
      </c>
      <c r="H6671" t="inlineStr">
        <is>
          <t>Lead</t>
        </is>
      </c>
      <c r="I6671" t="inlineStr">
        <is>
          <t>Open</t>
        </is>
      </c>
      <c r="M6671">
        <f>VLOOKUP(H6671,'Stage Order'!$A$2:$B$8,2,FALSE)</f>
        <v/>
      </c>
      <c r="N6671">
        <f>IF(G6671&lt;=1,"1. Under 1 hour",IF(G6671&lt;=24,"2. 1-24 hours",IF(G6671&lt;=72,"3. 1-3 days","4. Over 3 days")))</f>
        <v/>
      </c>
      <c r="O6671">
        <f>TEXT(B6671,"YYYY-MM")</f>
        <v/>
      </c>
    </row>
    <row r="6672">
      <c r="A6672" t="inlineStr">
        <is>
          <t>LD-306670</t>
        </is>
      </c>
      <c r="B6672" t="inlineStr">
        <is>
          <t>2026-03-23 15:57:00</t>
        </is>
      </c>
      <c r="C6672" t="inlineStr">
        <is>
          <t>Partner Channel</t>
        </is>
      </c>
      <c r="D6672" t="inlineStr">
        <is>
          <t>K-12 Math</t>
        </is>
      </c>
      <c r="E6672" t="inlineStr">
        <is>
          <t>North Region</t>
        </is>
      </c>
      <c r="F6672" t="inlineStr">
        <is>
          <t>Rep_11</t>
        </is>
      </c>
      <c r="G6672" t="n">
        <v>2.91</v>
      </c>
      <c r="H6672" t="inlineStr">
        <is>
          <t>Closed</t>
        </is>
      </c>
      <c r="I6672" t="inlineStr">
        <is>
          <t>Won</t>
        </is>
      </c>
      <c r="K6672" t="n">
        <v>598.8200000000001</v>
      </c>
      <c r="L6672" t="inlineStr">
        <is>
          <t>2026-04-24 03:39:52.449971</t>
        </is>
      </c>
      <c r="M6672">
        <f>VLOOKUP(H6672,'Stage Order'!$A$2:$B$8,2,FALSE)</f>
        <v/>
      </c>
      <c r="N6672">
        <f>IF(G6672&lt;=1,"1. Under 1 hour",IF(G6672&lt;=24,"2. 1-24 hours",IF(G6672&lt;=72,"3. 1-3 days","4. Over 3 days")))</f>
        <v/>
      </c>
      <c r="O6672">
        <f>TEXT(B6672,"YYYY-MM")</f>
        <v/>
      </c>
    </row>
    <row r="6673">
      <c r="A6673" t="inlineStr">
        <is>
          <t>LD-306671</t>
        </is>
      </c>
      <c r="B6673" t="inlineStr">
        <is>
          <t>2025-06-04 19:22:00</t>
        </is>
      </c>
      <c r="C6673" t="inlineStr">
        <is>
          <t>Paid Search</t>
        </is>
      </c>
      <c r="D6673" t="inlineStr">
        <is>
          <t>Competitive Exam Prep</t>
        </is>
      </c>
      <c r="E6673" t="inlineStr">
        <is>
          <t>South Region</t>
        </is>
      </c>
      <c r="F6673" t="inlineStr">
        <is>
          <t>Rep_02</t>
        </is>
      </c>
      <c r="G6673" t="n">
        <v>2.32</v>
      </c>
      <c r="H6673" t="inlineStr">
        <is>
          <t>Demo Completed</t>
        </is>
      </c>
      <c r="I6673" t="inlineStr">
        <is>
          <t>Lost</t>
        </is>
      </c>
      <c r="J6673" t="inlineStr">
        <is>
          <t>No Response / Ghosted</t>
        </is>
      </c>
      <c r="K6673" t="n">
        <v>1153.78</v>
      </c>
      <c r="L6673" t="inlineStr">
        <is>
          <t>2025-07-01 20:10:20.611355</t>
        </is>
      </c>
      <c r="M6673">
        <f>VLOOKUP(H6673,'Stage Order'!$A$2:$B$8,2,FALSE)</f>
        <v/>
      </c>
      <c r="N6673">
        <f>IF(G6673&lt;=1,"1. Under 1 hour",IF(G6673&lt;=24,"2. 1-24 hours",IF(G6673&lt;=72,"3. 1-3 days","4. Over 3 days")))</f>
        <v/>
      </c>
      <c r="O6673">
        <f>TEXT(B6673,"YYYY-MM")</f>
        <v/>
      </c>
    </row>
    <row r="6674">
      <c r="A6674" t="inlineStr">
        <is>
          <t>LD-306672</t>
        </is>
      </c>
      <c r="B6674" t="inlineStr">
        <is>
          <t>2025-02-08 08:50:00</t>
        </is>
      </c>
      <c r="C6674" t="inlineStr">
        <is>
          <t>Organic Search</t>
        </is>
      </c>
      <c r="D6674" t="inlineStr">
        <is>
          <t>Competitive Exam Prep</t>
        </is>
      </c>
      <c r="E6674" t="inlineStr">
        <is>
          <t>South Region</t>
        </is>
      </c>
      <c r="F6674" t="inlineStr">
        <is>
          <t>Rep_07</t>
        </is>
      </c>
      <c r="G6674" t="n">
        <v>1.28</v>
      </c>
      <c r="H6674" t="inlineStr">
        <is>
          <t>Negotiation</t>
        </is>
      </c>
      <c r="I6674" t="inlineStr">
        <is>
          <t>Lost</t>
        </is>
      </c>
      <c r="J6674" t="inlineStr">
        <is>
          <t>Price Objection</t>
        </is>
      </c>
      <c r="K6674" t="n">
        <v>821.58</v>
      </c>
      <c r="L6674" t="inlineStr">
        <is>
          <t>2025-03-29 02:51:51.162605</t>
        </is>
      </c>
      <c r="M6674">
        <f>VLOOKUP(H6674,'Stage Order'!$A$2:$B$8,2,FALSE)</f>
        <v/>
      </c>
      <c r="N6674">
        <f>IF(G6674&lt;=1,"1. Under 1 hour",IF(G6674&lt;=24,"2. 1-24 hours",IF(G6674&lt;=72,"3. 1-3 days","4. Over 3 days")))</f>
        <v/>
      </c>
      <c r="O6674">
        <f>TEXT(B6674,"YYYY-MM")</f>
        <v/>
      </c>
    </row>
    <row r="6675">
      <c r="A6675" t="inlineStr">
        <is>
          <t>LD-306673</t>
        </is>
      </c>
      <c r="B6675" t="inlineStr">
        <is>
          <t>2026-04-16 17:50:00</t>
        </is>
      </c>
      <c r="C6675" t="inlineStr">
        <is>
          <t>Paid Search</t>
        </is>
      </c>
      <c r="D6675" t="inlineStr">
        <is>
          <t>K-12 Math</t>
        </is>
      </c>
      <c r="E6675" t="inlineStr">
        <is>
          <t>West Region</t>
        </is>
      </c>
      <c r="F6675" t="inlineStr">
        <is>
          <t>Rep_03</t>
        </is>
      </c>
      <c r="G6675" t="n">
        <v>18.47</v>
      </c>
      <c r="H6675" t="inlineStr">
        <is>
          <t>Demo Completed</t>
        </is>
      </c>
      <c r="I6675" t="inlineStr">
        <is>
          <t>Lost</t>
        </is>
      </c>
      <c r="J6675" t="inlineStr">
        <is>
          <t>Price Objection</t>
        </is>
      </c>
      <c r="K6675" t="n">
        <v>460.4</v>
      </c>
      <c r="L6675" t="inlineStr">
        <is>
          <t>2026-05-16 19:55:59.979144</t>
        </is>
      </c>
      <c r="M6675">
        <f>VLOOKUP(H6675,'Stage Order'!$A$2:$B$8,2,FALSE)</f>
        <v/>
      </c>
      <c r="N6675">
        <f>IF(G6675&lt;=1,"1. Under 1 hour",IF(G6675&lt;=24,"2. 1-24 hours",IF(G6675&lt;=72,"3. 1-3 days","4. Over 3 days")))</f>
        <v/>
      </c>
      <c r="O6675">
        <f>TEXT(B6675,"YYYY-MM")</f>
        <v/>
      </c>
    </row>
    <row r="6676">
      <c r="A6676" t="inlineStr">
        <is>
          <t>LD-306674</t>
        </is>
      </c>
      <c r="B6676" t="inlineStr">
        <is>
          <t>2025-03-21 18:08:00</t>
        </is>
      </c>
      <c r="C6676" t="inlineStr">
        <is>
          <t>Organic Search</t>
        </is>
      </c>
      <c r="D6676" t="inlineStr">
        <is>
          <t>Coding for Kids</t>
        </is>
      </c>
      <c r="E6676" t="inlineStr">
        <is>
          <t>North Region</t>
        </is>
      </c>
      <c r="F6676" t="inlineStr">
        <is>
          <t>Rep_11</t>
        </is>
      </c>
      <c r="G6676" t="n">
        <v>5.27</v>
      </c>
      <c r="H6676" t="inlineStr">
        <is>
          <t>Negotiation</t>
        </is>
      </c>
      <c r="I6676" t="inlineStr">
        <is>
          <t>Lost</t>
        </is>
      </c>
      <c r="J6676" t="inlineStr">
        <is>
          <t>Bad Timing</t>
        </is>
      </c>
      <c r="K6676" t="n">
        <v>627.65</v>
      </c>
      <c r="L6676" t="inlineStr">
        <is>
          <t>2025-05-13 22:58:43.863610</t>
        </is>
      </c>
      <c r="M6676">
        <f>VLOOKUP(H6676,'Stage Order'!$A$2:$B$8,2,FALSE)</f>
        <v/>
      </c>
      <c r="N6676">
        <f>IF(G6676&lt;=1,"1. Under 1 hour",IF(G6676&lt;=24,"2. 1-24 hours",IF(G6676&lt;=72,"3. 1-3 days","4. Over 3 days")))</f>
        <v/>
      </c>
      <c r="O6676">
        <f>TEXT(B6676,"YYYY-MM")</f>
        <v/>
      </c>
    </row>
    <row r="6677">
      <c r="A6677" t="inlineStr">
        <is>
          <t>LD-306675</t>
        </is>
      </c>
      <c r="B6677" t="inlineStr">
        <is>
          <t>2025-09-06 17:04:00</t>
        </is>
      </c>
      <c r="C6677" t="inlineStr">
        <is>
          <t>Paid Search</t>
        </is>
      </c>
      <c r="D6677" t="inlineStr">
        <is>
          <t>K-12 Math</t>
        </is>
      </c>
      <c r="E6677" t="inlineStr">
        <is>
          <t>East Region</t>
        </is>
      </c>
      <c r="F6677" t="inlineStr">
        <is>
          <t>Rep_09</t>
        </is>
      </c>
      <c r="G6677" t="n">
        <v>3.27</v>
      </c>
      <c r="H6677" t="inlineStr">
        <is>
          <t>Contacted</t>
        </is>
      </c>
      <c r="I6677" t="inlineStr">
        <is>
          <t>Open</t>
        </is>
      </c>
      <c r="M6677">
        <f>VLOOKUP(H6677,'Stage Order'!$A$2:$B$8,2,FALSE)</f>
        <v/>
      </c>
      <c r="N6677">
        <f>IF(G6677&lt;=1,"1. Under 1 hour",IF(G6677&lt;=24,"2. 1-24 hours",IF(G6677&lt;=72,"3. 1-3 days","4. Over 3 days")))</f>
        <v/>
      </c>
      <c r="O6677">
        <f>TEXT(B6677,"YYYY-MM")</f>
        <v/>
      </c>
    </row>
    <row r="6678">
      <c r="A6678" t="inlineStr">
        <is>
          <t>LD-306676</t>
        </is>
      </c>
      <c r="B6678" t="inlineStr">
        <is>
          <t>2025-06-08 09:23:00</t>
        </is>
      </c>
      <c r="C6678" t="inlineStr">
        <is>
          <t>Organic Search</t>
        </is>
      </c>
      <c r="D6678" t="inlineStr">
        <is>
          <t>Coding for Kids</t>
        </is>
      </c>
      <c r="E6678" t="inlineStr">
        <is>
          <t>East Region</t>
        </is>
      </c>
      <c r="F6678" t="inlineStr">
        <is>
          <t>Rep_09</t>
        </is>
      </c>
      <c r="G6678" t="n">
        <v>2.19</v>
      </c>
      <c r="H6678" t="inlineStr">
        <is>
          <t>Contacted</t>
        </is>
      </c>
      <c r="I6678" t="inlineStr">
        <is>
          <t>Open</t>
        </is>
      </c>
      <c r="M6678">
        <f>VLOOKUP(H6678,'Stage Order'!$A$2:$B$8,2,FALSE)</f>
        <v/>
      </c>
      <c r="N6678">
        <f>IF(G6678&lt;=1,"1. Under 1 hour",IF(G6678&lt;=24,"2. 1-24 hours",IF(G6678&lt;=72,"3. 1-3 days","4. Over 3 days")))</f>
        <v/>
      </c>
      <c r="O6678">
        <f>TEXT(B6678,"YYYY-MM")</f>
        <v/>
      </c>
    </row>
    <row r="6679">
      <c r="A6679" t="inlineStr">
        <is>
          <t>LD-306677</t>
        </is>
      </c>
      <c r="B6679" t="inlineStr">
        <is>
          <t>2025-07-11 20:19:00</t>
        </is>
      </c>
      <c r="C6679" t="inlineStr">
        <is>
          <t>Webinar</t>
        </is>
      </c>
      <c r="D6679" t="inlineStr">
        <is>
          <t>K-12 Math</t>
        </is>
      </c>
      <c r="E6679" t="inlineStr">
        <is>
          <t>North Region</t>
        </is>
      </c>
      <c r="F6679" t="inlineStr">
        <is>
          <t>Rep_01</t>
        </is>
      </c>
      <c r="G6679" t="n">
        <v>20.98</v>
      </c>
      <c r="H6679" t="inlineStr">
        <is>
          <t>Contacted</t>
        </is>
      </c>
      <c r="I6679" t="inlineStr">
        <is>
          <t>Open</t>
        </is>
      </c>
      <c r="M6679">
        <f>VLOOKUP(H6679,'Stage Order'!$A$2:$B$8,2,FALSE)</f>
        <v/>
      </c>
      <c r="N6679">
        <f>IF(G6679&lt;=1,"1. Under 1 hour",IF(G6679&lt;=24,"2. 1-24 hours",IF(G6679&lt;=72,"3. 1-3 days","4. Over 3 days")))</f>
        <v/>
      </c>
      <c r="O6679">
        <f>TEXT(B6679,"YYYY-MM")</f>
        <v/>
      </c>
    </row>
    <row r="6680">
      <c r="A6680" t="inlineStr">
        <is>
          <t>LD-306678</t>
        </is>
      </c>
      <c r="B6680" t="inlineStr">
        <is>
          <t>2025-03-25 20:57:00</t>
        </is>
      </c>
      <c r="C6680" t="inlineStr">
        <is>
          <t>Organic Search</t>
        </is>
      </c>
      <c r="D6680" t="inlineStr">
        <is>
          <t>K-12 Math</t>
        </is>
      </c>
      <c r="E6680" t="inlineStr">
        <is>
          <t>North Region</t>
        </is>
      </c>
      <c r="F6680" t="inlineStr">
        <is>
          <t>Rep_06</t>
        </is>
      </c>
      <c r="G6680" t="n">
        <v>0.61</v>
      </c>
      <c r="H6680" t="inlineStr">
        <is>
          <t>Proposal Sent</t>
        </is>
      </c>
      <c r="I6680" t="inlineStr">
        <is>
          <t>Lost</t>
        </is>
      </c>
      <c r="J6680" t="inlineStr">
        <is>
          <t>No Response / Ghosted</t>
        </is>
      </c>
      <c r="K6680" t="n">
        <v>468.14</v>
      </c>
      <c r="L6680" t="inlineStr">
        <is>
          <t>2025-04-24 09:31:56.431720</t>
        </is>
      </c>
      <c r="M6680">
        <f>VLOOKUP(H6680,'Stage Order'!$A$2:$B$8,2,FALSE)</f>
        <v/>
      </c>
      <c r="N6680">
        <f>IF(G6680&lt;=1,"1. Under 1 hour",IF(G6680&lt;=24,"2. 1-24 hours",IF(G6680&lt;=72,"3. 1-3 days","4. Over 3 days")))</f>
        <v/>
      </c>
      <c r="O6680">
        <f>TEXT(B6680,"YYYY-MM")</f>
        <v/>
      </c>
    </row>
    <row r="6681">
      <c r="A6681" t="inlineStr">
        <is>
          <t>LD-306679</t>
        </is>
      </c>
      <c r="B6681" t="inlineStr">
        <is>
          <t>2025-04-18 08:39:00</t>
        </is>
      </c>
      <c r="C6681" t="inlineStr">
        <is>
          <t>Organic Search</t>
        </is>
      </c>
      <c r="D6681" t="inlineStr">
        <is>
          <t>Study Abroad Prep</t>
        </is>
      </c>
      <c r="E6681" t="inlineStr">
        <is>
          <t>West Region</t>
        </is>
      </c>
      <c r="F6681" t="inlineStr">
        <is>
          <t>Rep_08</t>
        </is>
      </c>
      <c r="G6681" t="n">
        <v>8.07</v>
      </c>
      <c r="H6681" t="inlineStr">
        <is>
          <t>Closed</t>
        </is>
      </c>
      <c r="I6681" t="inlineStr">
        <is>
          <t>Won</t>
        </is>
      </c>
      <c r="K6681" t="n">
        <v>1598.11</v>
      </c>
      <c r="L6681" t="inlineStr">
        <is>
          <t>2025-06-06 01:23:08.628963</t>
        </is>
      </c>
      <c r="M6681">
        <f>VLOOKUP(H6681,'Stage Order'!$A$2:$B$8,2,FALSE)</f>
        <v/>
      </c>
      <c r="N6681">
        <f>IF(G6681&lt;=1,"1. Under 1 hour",IF(G6681&lt;=24,"2. 1-24 hours",IF(G6681&lt;=72,"3. 1-3 days","4. Over 3 days")))</f>
        <v/>
      </c>
      <c r="O6681">
        <f>TEXT(B6681,"YYYY-MM")</f>
        <v/>
      </c>
    </row>
    <row r="6682">
      <c r="A6682" t="inlineStr">
        <is>
          <t>LD-306680</t>
        </is>
      </c>
      <c r="B6682" t="inlineStr">
        <is>
          <t>2026-04-06 11:35:00</t>
        </is>
      </c>
      <c r="C6682" t="inlineStr">
        <is>
          <t>Organic Search</t>
        </is>
      </c>
      <c r="D6682" t="inlineStr">
        <is>
          <t>Language Learning</t>
        </is>
      </c>
      <c r="E6682" t="inlineStr">
        <is>
          <t>West Region</t>
        </is>
      </c>
      <c r="F6682" t="inlineStr">
        <is>
          <t>Rep_13</t>
        </is>
      </c>
      <c r="G6682" t="n">
        <v>1.6</v>
      </c>
      <c r="H6682" t="inlineStr">
        <is>
          <t>Contacted</t>
        </is>
      </c>
      <c r="I6682" t="inlineStr">
        <is>
          <t>Open</t>
        </is>
      </c>
      <c r="M6682">
        <f>VLOOKUP(H6682,'Stage Order'!$A$2:$B$8,2,FALSE)</f>
        <v/>
      </c>
      <c r="N6682">
        <f>IF(G6682&lt;=1,"1. Under 1 hour",IF(G6682&lt;=24,"2. 1-24 hours",IF(G6682&lt;=72,"3. 1-3 days","4. Over 3 days")))</f>
        <v/>
      </c>
      <c r="O6682">
        <f>TEXT(B6682,"YYYY-MM")</f>
        <v/>
      </c>
    </row>
    <row r="6683">
      <c r="A6683" t="inlineStr">
        <is>
          <t>LD-306681</t>
        </is>
      </c>
      <c r="B6683" t="inlineStr">
        <is>
          <t>2026-04-23 09:07:00</t>
        </is>
      </c>
      <c r="C6683" t="inlineStr">
        <is>
          <t>Social Media</t>
        </is>
      </c>
      <c r="D6683" t="inlineStr">
        <is>
          <t>K-12 Math</t>
        </is>
      </c>
      <c r="E6683" t="inlineStr">
        <is>
          <t>North Region</t>
        </is>
      </c>
      <c r="F6683" t="inlineStr">
        <is>
          <t>Rep_11</t>
        </is>
      </c>
      <c r="G6683" t="n">
        <v>1.31</v>
      </c>
      <c r="H6683" t="inlineStr">
        <is>
          <t>Demo Completed</t>
        </is>
      </c>
      <c r="I6683" t="inlineStr">
        <is>
          <t>Lost</t>
        </is>
      </c>
      <c r="J6683" t="inlineStr">
        <is>
          <t>Budget Not Approved</t>
        </is>
      </c>
      <c r="K6683" t="n">
        <v>535.24</v>
      </c>
      <c r="L6683" t="inlineStr">
        <is>
          <t>2026-05-18 05:28:49.113225</t>
        </is>
      </c>
      <c r="M6683">
        <f>VLOOKUP(H6683,'Stage Order'!$A$2:$B$8,2,FALSE)</f>
        <v/>
      </c>
      <c r="N6683">
        <f>IF(G6683&lt;=1,"1. Under 1 hour",IF(G6683&lt;=24,"2. 1-24 hours",IF(G6683&lt;=72,"3. 1-3 days","4. Over 3 days")))</f>
        <v/>
      </c>
      <c r="O6683">
        <f>TEXT(B6683,"YYYY-MM")</f>
        <v/>
      </c>
    </row>
    <row r="6684">
      <c r="A6684" t="inlineStr">
        <is>
          <t>LD-306682</t>
        </is>
      </c>
      <c r="B6684" t="inlineStr">
        <is>
          <t>2025-04-12 13:44:00</t>
        </is>
      </c>
      <c r="C6684" t="inlineStr">
        <is>
          <t>Referral</t>
        </is>
      </c>
      <c r="D6684" t="inlineStr">
        <is>
          <t>K-12 Math</t>
        </is>
      </c>
      <c r="E6684" t="inlineStr">
        <is>
          <t>South Region</t>
        </is>
      </c>
      <c r="F6684" t="inlineStr">
        <is>
          <t>Rep_07</t>
        </is>
      </c>
      <c r="G6684" t="n">
        <v>3.09</v>
      </c>
      <c r="H6684" t="inlineStr">
        <is>
          <t>Closed</t>
        </is>
      </c>
      <c r="I6684" t="inlineStr">
        <is>
          <t>Won</t>
        </is>
      </c>
      <c r="K6684" t="n">
        <v>503.42</v>
      </c>
      <c r="L6684" t="inlineStr">
        <is>
          <t>2025-05-18 01:44:41.584493</t>
        </is>
      </c>
      <c r="M6684">
        <f>VLOOKUP(H6684,'Stage Order'!$A$2:$B$8,2,FALSE)</f>
        <v/>
      </c>
      <c r="N6684">
        <f>IF(G6684&lt;=1,"1. Under 1 hour",IF(G6684&lt;=24,"2. 1-24 hours",IF(G6684&lt;=72,"3. 1-3 days","4. Over 3 days")))</f>
        <v/>
      </c>
      <c r="O6684">
        <f>TEXT(B6684,"YYYY-MM")</f>
        <v/>
      </c>
    </row>
    <row r="6685">
      <c r="A6685" t="inlineStr">
        <is>
          <t>LD-306683</t>
        </is>
      </c>
      <c r="B6685" t="inlineStr">
        <is>
          <t>2025-04-30 13:45:00</t>
        </is>
      </c>
      <c r="C6685" t="inlineStr">
        <is>
          <t>Paid Search</t>
        </is>
      </c>
      <c r="D6685" t="inlineStr">
        <is>
          <t>Competitive Exam Prep</t>
        </is>
      </c>
      <c r="E6685" t="inlineStr">
        <is>
          <t>North Region</t>
        </is>
      </c>
      <c r="F6685" t="inlineStr">
        <is>
          <t>Rep_06</t>
        </is>
      </c>
      <c r="G6685" t="n">
        <v>6.17</v>
      </c>
      <c r="H6685" t="inlineStr">
        <is>
          <t>Contacted</t>
        </is>
      </c>
      <c r="I6685" t="inlineStr">
        <is>
          <t>Open</t>
        </is>
      </c>
      <c r="M6685">
        <f>VLOOKUP(H6685,'Stage Order'!$A$2:$B$8,2,FALSE)</f>
        <v/>
      </c>
      <c r="N6685">
        <f>IF(G6685&lt;=1,"1. Under 1 hour",IF(G6685&lt;=24,"2. 1-24 hours",IF(G6685&lt;=72,"3. 1-3 days","4. Over 3 days")))</f>
        <v/>
      </c>
      <c r="O6685">
        <f>TEXT(B6685,"YYYY-MM")</f>
        <v/>
      </c>
    </row>
    <row r="6686">
      <c r="A6686" t="inlineStr">
        <is>
          <t>LD-306684</t>
        </is>
      </c>
      <c r="B6686" t="inlineStr">
        <is>
          <t>2026-02-10 08:55:00</t>
        </is>
      </c>
      <c r="C6686" t="inlineStr">
        <is>
          <t>Paid Search</t>
        </is>
      </c>
      <c r="D6686" t="inlineStr">
        <is>
          <t>K-12 Math</t>
        </is>
      </c>
      <c r="E6686" t="inlineStr">
        <is>
          <t>South Region</t>
        </is>
      </c>
      <c r="F6686" t="inlineStr">
        <is>
          <t>Rep_07</t>
        </is>
      </c>
      <c r="G6686" t="n">
        <v>0.55</v>
      </c>
      <c r="H6686" t="inlineStr">
        <is>
          <t>Contacted</t>
        </is>
      </c>
      <c r="I6686" t="inlineStr">
        <is>
          <t>Open</t>
        </is>
      </c>
      <c r="M6686">
        <f>VLOOKUP(H6686,'Stage Order'!$A$2:$B$8,2,FALSE)</f>
        <v/>
      </c>
      <c r="N6686">
        <f>IF(G6686&lt;=1,"1. Under 1 hour",IF(G6686&lt;=24,"2. 1-24 hours",IF(G6686&lt;=72,"3. 1-3 days","4. Over 3 days")))</f>
        <v/>
      </c>
      <c r="O6686">
        <f>TEXT(B6686,"YYYY-MM")</f>
        <v/>
      </c>
    </row>
    <row r="6687">
      <c r="A6687" t="inlineStr">
        <is>
          <t>LD-306685</t>
        </is>
      </c>
      <c r="B6687" t="inlineStr">
        <is>
          <t>2025-09-07 16:12:00</t>
        </is>
      </c>
      <c r="C6687" t="inlineStr">
        <is>
          <t>Social Media</t>
        </is>
      </c>
      <c r="D6687" t="inlineStr">
        <is>
          <t>Coding for Kids</t>
        </is>
      </c>
      <c r="E6687" t="inlineStr">
        <is>
          <t>South Region</t>
        </is>
      </c>
      <c r="F6687" t="inlineStr">
        <is>
          <t>Rep_02</t>
        </is>
      </c>
      <c r="G6687" t="n">
        <v>4.73</v>
      </c>
      <c r="H6687" t="inlineStr">
        <is>
          <t>Demo Scheduled</t>
        </is>
      </c>
      <c r="I6687" t="inlineStr">
        <is>
          <t>Open</t>
        </is>
      </c>
      <c r="M6687">
        <f>VLOOKUP(H6687,'Stage Order'!$A$2:$B$8,2,FALSE)</f>
        <v/>
      </c>
      <c r="N6687">
        <f>IF(G6687&lt;=1,"1. Under 1 hour",IF(G6687&lt;=24,"2. 1-24 hours",IF(G6687&lt;=72,"3. 1-3 days","4. Over 3 days")))</f>
        <v/>
      </c>
      <c r="O6687">
        <f>TEXT(B6687,"YYYY-MM")</f>
        <v/>
      </c>
    </row>
    <row r="6688">
      <c r="A6688" t="inlineStr">
        <is>
          <t>LD-306686</t>
        </is>
      </c>
      <c r="B6688" t="inlineStr">
        <is>
          <t>2025-05-23 10:54:00</t>
        </is>
      </c>
      <c r="C6688" t="inlineStr">
        <is>
          <t>Webinar</t>
        </is>
      </c>
      <c r="D6688" t="inlineStr">
        <is>
          <t>Coding for Kids</t>
        </is>
      </c>
      <c r="E6688" t="inlineStr">
        <is>
          <t>South Region</t>
        </is>
      </c>
      <c r="F6688" t="inlineStr">
        <is>
          <t>Rep_02</t>
        </is>
      </c>
      <c r="G6688" t="n">
        <v>17.35</v>
      </c>
      <c r="H6688" t="inlineStr">
        <is>
          <t>Closed</t>
        </is>
      </c>
      <c r="I6688" t="inlineStr">
        <is>
          <t>Won</t>
        </is>
      </c>
      <c r="K6688" t="n">
        <v>671.04</v>
      </c>
      <c r="L6688" t="inlineStr">
        <is>
          <t>2025-06-22 05:38:26.567546</t>
        </is>
      </c>
      <c r="M6688">
        <f>VLOOKUP(H6688,'Stage Order'!$A$2:$B$8,2,FALSE)</f>
        <v/>
      </c>
      <c r="N6688">
        <f>IF(G6688&lt;=1,"1. Under 1 hour",IF(G6688&lt;=24,"2. 1-24 hours",IF(G6688&lt;=72,"3. 1-3 days","4. Over 3 days")))</f>
        <v/>
      </c>
      <c r="O6688">
        <f>TEXT(B6688,"YYYY-MM")</f>
        <v/>
      </c>
    </row>
    <row r="6689">
      <c r="A6689" t="inlineStr">
        <is>
          <t>LD-306687</t>
        </is>
      </c>
      <c r="B6689" t="inlineStr">
        <is>
          <t>2025-04-24 08:05:00</t>
        </is>
      </c>
      <c r="C6689" t="inlineStr">
        <is>
          <t>Referral</t>
        </is>
      </c>
      <c r="D6689" t="inlineStr">
        <is>
          <t>Language Learning</t>
        </is>
      </c>
      <c r="E6689" t="inlineStr">
        <is>
          <t>South Region</t>
        </is>
      </c>
      <c r="F6689" t="inlineStr">
        <is>
          <t>Rep_12</t>
        </is>
      </c>
      <c r="G6689" t="n">
        <v>6.7</v>
      </c>
      <c r="H6689" t="inlineStr">
        <is>
          <t>Closed</t>
        </is>
      </c>
      <c r="I6689" t="inlineStr">
        <is>
          <t>Won</t>
        </is>
      </c>
      <c r="K6689" t="n">
        <v>397.51</v>
      </c>
      <c r="L6689" t="inlineStr">
        <is>
          <t>2025-06-04 15:50:09.561477</t>
        </is>
      </c>
      <c r="M6689">
        <f>VLOOKUP(H6689,'Stage Order'!$A$2:$B$8,2,FALSE)</f>
        <v/>
      </c>
      <c r="N6689">
        <f>IF(G6689&lt;=1,"1. Under 1 hour",IF(G6689&lt;=24,"2. 1-24 hours",IF(G6689&lt;=72,"3. 1-3 days","4. Over 3 days")))</f>
        <v/>
      </c>
      <c r="O6689">
        <f>TEXT(B6689,"YYYY-MM")</f>
        <v/>
      </c>
    </row>
    <row r="6690">
      <c r="A6690" t="inlineStr">
        <is>
          <t>LD-306688</t>
        </is>
      </c>
      <c r="B6690" t="inlineStr">
        <is>
          <t>2025-07-02 08:37:00</t>
        </is>
      </c>
      <c r="C6690" t="inlineStr">
        <is>
          <t>Cold Outreach</t>
        </is>
      </c>
      <c r="D6690" t="inlineStr">
        <is>
          <t>Competitive Exam Prep</t>
        </is>
      </c>
      <c r="E6690" t="inlineStr">
        <is>
          <t>South Region</t>
        </is>
      </c>
      <c r="F6690" t="inlineStr">
        <is>
          <t>Rep_02</t>
        </is>
      </c>
      <c r="G6690" t="n">
        <v>1.54</v>
      </c>
      <c r="H6690" t="inlineStr">
        <is>
          <t>Lead</t>
        </is>
      </c>
      <c r="I6690" t="inlineStr">
        <is>
          <t>Open</t>
        </is>
      </c>
      <c r="M6690">
        <f>VLOOKUP(H6690,'Stage Order'!$A$2:$B$8,2,FALSE)</f>
        <v/>
      </c>
      <c r="N6690">
        <f>IF(G6690&lt;=1,"1. Under 1 hour",IF(G6690&lt;=24,"2. 1-24 hours",IF(G6690&lt;=72,"3. 1-3 days","4. Over 3 days")))</f>
        <v/>
      </c>
      <c r="O6690">
        <f>TEXT(B6690,"YYYY-MM")</f>
        <v/>
      </c>
    </row>
    <row r="6691">
      <c r="A6691" t="inlineStr">
        <is>
          <t>LD-306689</t>
        </is>
      </c>
      <c r="B6691" t="inlineStr">
        <is>
          <t>2026-03-26 19:02:00</t>
        </is>
      </c>
      <c r="C6691" t="inlineStr">
        <is>
          <t>Organic Search</t>
        </is>
      </c>
      <c r="D6691" t="inlineStr">
        <is>
          <t>K-12 Math</t>
        </is>
      </c>
      <c r="E6691" t="inlineStr">
        <is>
          <t>North Region</t>
        </is>
      </c>
      <c r="F6691" t="inlineStr">
        <is>
          <t>Rep_11</t>
        </is>
      </c>
      <c r="G6691" t="n">
        <v>11.37</v>
      </c>
      <c r="H6691" t="inlineStr">
        <is>
          <t>Negotiation</t>
        </is>
      </c>
      <c r="I6691" t="inlineStr">
        <is>
          <t>Lost</t>
        </is>
      </c>
      <c r="J6691" t="inlineStr">
        <is>
          <t>Budget Not Approved</t>
        </is>
      </c>
      <c r="K6691" t="n">
        <v>589.3099999999999</v>
      </c>
      <c r="L6691" t="inlineStr">
        <is>
          <t>2026-05-11 09:32:23.923941</t>
        </is>
      </c>
      <c r="M6691">
        <f>VLOOKUP(H6691,'Stage Order'!$A$2:$B$8,2,FALSE)</f>
        <v/>
      </c>
      <c r="N6691">
        <f>IF(G6691&lt;=1,"1. Under 1 hour",IF(G6691&lt;=24,"2. 1-24 hours",IF(G6691&lt;=72,"3. 1-3 days","4. Over 3 days")))</f>
        <v/>
      </c>
      <c r="O6691">
        <f>TEXT(B6691,"YYYY-MM")</f>
        <v/>
      </c>
    </row>
    <row r="6692">
      <c r="A6692" t="inlineStr">
        <is>
          <t>LD-306690</t>
        </is>
      </c>
      <c r="B6692" t="inlineStr">
        <is>
          <t>2025-11-28 17:22:00</t>
        </is>
      </c>
      <c r="C6692" t="inlineStr">
        <is>
          <t>Webinar</t>
        </is>
      </c>
      <c r="D6692" t="inlineStr">
        <is>
          <t>K-12 Math</t>
        </is>
      </c>
      <c r="E6692" t="inlineStr">
        <is>
          <t>East Region</t>
        </is>
      </c>
      <c r="F6692" t="inlineStr">
        <is>
          <t>Rep_14</t>
        </is>
      </c>
      <c r="G6692" t="n">
        <v>20.45</v>
      </c>
      <c r="H6692" t="inlineStr">
        <is>
          <t>Proposal Sent</t>
        </is>
      </c>
      <c r="I6692" t="inlineStr">
        <is>
          <t>Lost</t>
        </is>
      </c>
      <c r="J6692" t="inlineStr">
        <is>
          <t>Price Objection</t>
        </is>
      </c>
      <c r="K6692" t="n">
        <v>461.07</v>
      </c>
      <c r="L6692" t="inlineStr">
        <is>
          <t>2026-01-10 21:23:51.979148</t>
        </is>
      </c>
      <c r="M6692">
        <f>VLOOKUP(H6692,'Stage Order'!$A$2:$B$8,2,FALSE)</f>
        <v/>
      </c>
      <c r="N6692">
        <f>IF(G6692&lt;=1,"1. Under 1 hour",IF(G6692&lt;=24,"2. 1-24 hours",IF(G6692&lt;=72,"3. 1-3 days","4. Over 3 days")))</f>
        <v/>
      </c>
      <c r="O6692">
        <f>TEXT(B6692,"YYYY-MM")</f>
        <v/>
      </c>
    </row>
    <row r="6693">
      <c r="A6693" t="inlineStr">
        <is>
          <t>LD-306691</t>
        </is>
      </c>
      <c r="B6693" t="inlineStr">
        <is>
          <t>2026-02-13 10:45:00</t>
        </is>
      </c>
      <c r="C6693" t="inlineStr">
        <is>
          <t>Organic Search</t>
        </is>
      </c>
      <c r="D6693" t="inlineStr">
        <is>
          <t>Language Learning</t>
        </is>
      </c>
      <c r="E6693" t="inlineStr">
        <is>
          <t>South Region</t>
        </is>
      </c>
      <c r="F6693" t="inlineStr">
        <is>
          <t>Rep_02</t>
        </is>
      </c>
      <c r="G6693" t="n">
        <v>1.8</v>
      </c>
      <c r="H6693" t="inlineStr">
        <is>
          <t>Closed</t>
        </is>
      </c>
      <c r="I6693" t="inlineStr">
        <is>
          <t>Won</t>
        </is>
      </c>
      <c r="K6693" t="n">
        <v>409.07</v>
      </c>
      <c r="L6693" t="inlineStr">
        <is>
          <t>2026-03-27 21:35:43.774699</t>
        </is>
      </c>
      <c r="M6693">
        <f>VLOOKUP(H6693,'Stage Order'!$A$2:$B$8,2,FALSE)</f>
        <v/>
      </c>
      <c r="N6693">
        <f>IF(G6693&lt;=1,"1. Under 1 hour",IF(G6693&lt;=24,"2. 1-24 hours",IF(G6693&lt;=72,"3. 1-3 days","4. Over 3 days")))</f>
        <v/>
      </c>
      <c r="O6693">
        <f>TEXT(B6693,"YYYY-MM")</f>
        <v/>
      </c>
    </row>
    <row r="6694">
      <c r="A6694" t="inlineStr">
        <is>
          <t>LD-306692</t>
        </is>
      </c>
      <c r="B6694" t="inlineStr">
        <is>
          <t>2025-08-07 07:15:00</t>
        </is>
      </c>
      <c r="C6694" t="inlineStr">
        <is>
          <t>Organic Search</t>
        </is>
      </c>
      <c r="D6694" t="inlineStr">
        <is>
          <t>Competitive Exam Prep</t>
        </is>
      </c>
      <c r="E6694" t="inlineStr">
        <is>
          <t>West Region</t>
        </is>
      </c>
      <c r="F6694" t="inlineStr">
        <is>
          <t>Rep_13</t>
        </is>
      </c>
      <c r="G6694" t="n">
        <v>4.79</v>
      </c>
      <c r="H6694" t="inlineStr">
        <is>
          <t>Closed</t>
        </is>
      </c>
      <c r="I6694" t="inlineStr">
        <is>
          <t>Won</t>
        </is>
      </c>
      <c r="K6694" t="n">
        <v>904.54</v>
      </c>
      <c r="L6694" t="inlineStr">
        <is>
          <t>2025-09-23 06:56:25.023772</t>
        </is>
      </c>
      <c r="M6694">
        <f>VLOOKUP(H6694,'Stage Order'!$A$2:$B$8,2,FALSE)</f>
        <v/>
      </c>
      <c r="N6694">
        <f>IF(G6694&lt;=1,"1. Under 1 hour",IF(G6694&lt;=24,"2. 1-24 hours",IF(G6694&lt;=72,"3. 1-3 days","4. Over 3 days")))</f>
        <v/>
      </c>
      <c r="O6694">
        <f>TEXT(B6694,"YYYY-MM")</f>
        <v/>
      </c>
    </row>
    <row r="6695">
      <c r="A6695" t="inlineStr">
        <is>
          <t>LD-306693</t>
        </is>
      </c>
      <c r="B6695" t="inlineStr">
        <is>
          <t>2026-02-20 13:30:00</t>
        </is>
      </c>
      <c r="C6695" t="inlineStr">
        <is>
          <t>Webinar</t>
        </is>
      </c>
      <c r="D6695" t="inlineStr">
        <is>
          <t>Language Learning</t>
        </is>
      </c>
      <c r="E6695" t="inlineStr">
        <is>
          <t>North Region</t>
        </is>
      </c>
      <c r="F6695" t="inlineStr">
        <is>
          <t>Rep_11</t>
        </is>
      </c>
      <c r="G6695" t="n">
        <v>3.04</v>
      </c>
      <c r="H6695" t="inlineStr">
        <is>
          <t>Contacted</t>
        </is>
      </c>
      <c r="I6695" t="inlineStr">
        <is>
          <t>Open</t>
        </is>
      </c>
      <c r="M6695">
        <f>VLOOKUP(H6695,'Stage Order'!$A$2:$B$8,2,FALSE)</f>
        <v/>
      </c>
      <c r="N6695">
        <f>IF(G6695&lt;=1,"1. Under 1 hour",IF(G6695&lt;=24,"2. 1-24 hours",IF(G6695&lt;=72,"3. 1-3 days","4. Over 3 days")))</f>
        <v/>
      </c>
      <c r="O6695">
        <f>TEXT(B6695,"YYYY-MM")</f>
        <v/>
      </c>
    </row>
    <row r="6696">
      <c r="A6696" t="inlineStr">
        <is>
          <t>LD-306694</t>
        </is>
      </c>
      <c r="B6696" t="inlineStr">
        <is>
          <t>2025-07-28 14:48:00</t>
        </is>
      </c>
      <c r="C6696" t="inlineStr">
        <is>
          <t>Social Media</t>
        </is>
      </c>
      <c r="D6696" t="inlineStr">
        <is>
          <t>K-12 Math</t>
        </is>
      </c>
      <c r="E6696" t="inlineStr">
        <is>
          <t>West Region</t>
        </is>
      </c>
      <c r="F6696" t="inlineStr">
        <is>
          <t>Rep_03</t>
        </is>
      </c>
      <c r="G6696" t="n">
        <v>7.5</v>
      </c>
      <c r="H6696" t="inlineStr">
        <is>
          <t>Lead</t>
        </is>
      </c>
      <c r="I6696" t="inlineStr">
        <is>
          <t>Open</t>
        </is>
      </c>
      <c r="M6696">
        <f>VLOOKUP(H6696,'Stage Order'!$A$2:$B$8,2,FALSE)</f>
        <v/>
      </c>
      <c r="N6696">
        <f>IF(G6696&lt;=1,"1. Under 1 hour",IF(G6696&lt;=24,"2. 1-24 hours",IF(G6696&lt;=72,"3. 1-3 days","4. Over 3 days")))</f>
        <v/>
      </c>
      <c r="O6696">
        <f>TEXT(B6696,"YYYY-MM")</f>
        <v/>
      </c>
    </row>
    <row r="6697">
      <c r="A6697" t="inlineStr">
        <is>
          <t>LD-306695</t>
        </is>
      </c>
      <c r="B6697" t="inlineStr">
        <is>
          <t>2025-12-05 15:45:00</t>
        </is>
      </c>
      <c r="C6697" t="inlineStr">
        <is>
          <t>Organic Search</t>
        </is>
      </c>
      <c r="D6697" t="inlineStr">
        <is>
          <t>Language Learning</t>
        </is>
      </c>
      <c r="E6697" t="inlineStr">
        <is>
          <t>West Region</t>
        </is>
      </c>
      <c r="F6697" t="inlineStr">
        <is>
          <t>Rep_08</t>
        </is>
      </c>
      <c r="G6697" t="n">
        <v>0.92</v>
      </c>
      <c r="H6697" t="inlineStr">
        <is>
          <t>Contacted</t>
        </is>
      </c>
      <c r="I6697" t="inlineStr">
        <is>
          <t>Open</t>
        </is>
      </c>
      <c r="M6697">
        <f>VLOOKUP(H6697,'Stage Order'!$A$2:$B$8,2,FALSE)</f>
        <v/>
      </c>
      <c r="N6697">
        <f>IF(G6697&lt;=1,"1. Under 1 hour",IF(G6697&lt;=24,"2. 1-24 hours",IF(G6697&lt;=72,"3. 1-3 days","4. Over 3 days")))</f>
        <v/>
      </c>
      <c r="O6697">
        <f>TEXT(B6697,"YYYY-MM")</f>
        <v/>
      </c>
    </row>
    <row r="6698">
      <c r="A6698" t="inlineStr">
        <is>
          <t>LD-306696</t>
        </is>
      </c>
      <c r="B6698" t="inlineStr">
        <is>
          <t>2025-01-03 07:37:00</t>
        </is>
      </c>
      <c r="C6698" t="inlineStr">
        <is>
          <t>Partner Channel</t>
        </is>
      </c>
      <c r="D6698" t="inlineStr">
        <is>
          <t>K-12 Math</t>
        </is>
      </c>
      <c r="E6698" t="inlineStr">
        <is>
          <t>South Region</t>
        </is>
      </c>
      <c r="F6698" t="inlineStr">
        <is>
          <t>Rep_02</t>
        </is>
      </c>
      <c r="G6698" t="n">
        <v>2.13</v>
      </c>
      <c r="H6698" t="inlineStr">
        <is>
          <t>Lead</t>
        </is>
      </c>
      <c r="I6698" t="inlineStr">
        <is>
          <t>Open</t>
        </is>
      </c>
      <c r="M6698">
        <f>VLOOKUP(H6698,'Stage Order'!$A$2:$B$8,2,FALSE)</f>
        <v/>
      </c>
      <c r="N6698">
        <f>IF(G6698&lt;=1,"1. Under 1 hour",IF(G6698&lt;=24,"2. 1-24 hours",IF(G6698&lt;=72,"3. 1-3 days","4. Over 3 days")))</f>
        <v/>
      </c>
      <c r="O6698">
        <f>TEXT(B6698,"YYYY-MM")</f>
        <v/>
      </c>
    </row>
    <row r="6699">
      <c r="A6699" t="inlineStr">
        <is>
          <t>LD-306697</t>
        </is>
      </c>
      <c r="B6699" t="inlineStr">
        <is>
          <t>2025-11-04 17:38:00</t>
        </is>
      </c>
      <c r="C6699" t="inlineStr">
        <is>
          <t>Webinar</t>
        </is>
      </c>
      <c r="D6699" t="inlineStr">
        <is>
          <t>Competitive Exam Prep</t>
        </is>
      </c>
      <c r="E6699" t="inlineStr">
        <is>
          <t>East Region</t>
        </is>
      </c>
      <c r="F6699" t="inlineStr">
        <is>
          <t>Rep_04</t>
        </is>
      </c>
      <c r="G6699" t="n">
        <v>3.75</v>
      </c>
      <c r="H6699" t="inlineStr">
        <is>
          <t>Lead</t>
        </is>
      </c>
      <c r="I6699" t="inlineStr">
        <is>
          <t>Open</t>
        </is>
      </c>
      <c r="M6699">
        <f>VLOOKUP(H6699,'Stage Order'!$A$2:$B$8,2,FALSE)</f>
        <v/>
      </c>
      <c r="N6699">
        <f>IF(G6699&lt;=1,"1. Under 1 hour",IF(G6699&lt;=24,"2. 1-24 hours",IF(G6699&lt;=72,"3. 1-3 days","4. Over 3 days")))</f>
        <v/>
      </c>
      <c r="O6699">
        <f>TEXT(B6699,"YYYY-MM")</f>
        <v/>
      </c>
    </row>
    <row r="6700">
      <c r="A6700" t="inlineStr">
        <is>
          <t>LD-306698</t>
        </is>
      </c>
      <c r="B6700" t="inlineStr">
        <is>
          <t>2025-08-30 13:27:00</t>
        </is>
      </c>
      <c r="C6700" t="inlineStr">
        <is>
          <t>Organic Search</t>
        </is>
      </c>
      <c r="D6700" t="inlineStr">
        <is>
          <t>Language Learning</t>
        </is>
      </c>
      <c r="E6700" t="inlineStr">
        <is>
          <t>West Region</t>
        </is>
      </c>
      <c r="F6700" t="inlineStr">
        <is>
          <t>Rep_13</t>
        </is>
      </c>
      <c r="G6700" t="n">
        <v>0.46</v>
      </c>
      <c r="H6700" t="inlineStr">
        <is>
          <t>Closed</t>
        </is>
      </c>
      <c r="I6700" t="inlineStr">
        <is>
          <t>Won</t>
        </is>
      </c>
      <c r="K6700" t="n">
        <v>310.19</v>
      </c>
      <c r="L6700" t="inlineStr">
        <is>
          <t>2025-10-02 10:33:17.438891</t>
        </is>
      </c>
      <c r="M6700">
        <f>VLOOKUP(H6700,'Stage Order'!$A$2:$B$8,2,FALSE)</f>
        <v/>
      </c>
      <c r="N6700">
        <f>IF(G6700&lt;=1,"1. Under 1 hour",IF(G6700&lt;=24,"2. 1-24 hours",IF(G6700&lt;=72,"3. 1-3 days","4. Over 3 days")))</f>
        <v/>
      </c>
      <c r="O6700">
        <f>TEXT(B6700,"YYYY-MM")</f>
        <v/>
      </c>
    </row>
    <row r="6701">
      <c r="A6701" t="inlineStr">
        <is>
          <t>LD-306699</t>
        </is>
      </c>
      <c r="B6701" t="inlineStr">
        <is>
          <t>2026-05-22 20:20:00</t>
        </is>
      </c>
      <c r="C6701" t="inlineStr">
        <is>
          <t>Social Media</t>
        </is>
      </c>
      <c r="D6701" t="inlineStr">
        <is>
          <t>Language Learning</t>
        </is>
      </c>
      <c r="E6701" t="inlineStr">
        <is>
          <t>South Region</t>
        </is>
      </c>
      <c r="F6701" t="inlineStr">
        <is>
          <t>Rep_07</t>
        </is>
      </c>
      <c r="G6701" t="n">
        <v>6.3</v>
      </c>
      <c r="H6701" t="inlineStr">
        <is>
          <t>Lead</t>
        </is>
      </c>
      <c r="I6701" t="inlineStr">
        <is>
          <t>Open</t>
        </is>
      </c>
      <c r="M6701">
        <f>VLOOKUP(H6701,'Stage Order'!$A$2:$B$8,2,FALSE)</f>
        <v/>
      </c>
      <c r="N6701">
        <f>IF(G6701&lt;=1,"1. Under 1 hour",IF(G6701&lt;=24,"2. 1-24 hours",IF(G6701&lt;=72,"3. 1-3 days","4. Over 3 days")))</f>
        <v/>
      </c>
      <c r="O6701">
        <f>TEXT(B6701,"YYYY-MM")</f>
        <v/>
      </c>
    </row>
    <row r="6702">
      <c r="A6702" t="inlineStr">
        <is>
          <t>LD-306700</t>
        </is>
      </c>
      <c r="B6702" t="inlineStr">
        <is>
          <t>2025-07-17 14:10:00</t>
        </is>
      </c>
      <c r="C6702" t="inlineStr">
        <is>
          <t>Cold Outreach</t>
        </is>
      </c>
      <c r="D6702" t="inlineStr">
        <is>
          <t>Study Abroad Prep</t>
        </is>
      </c>
      <c r="E6702" t="inlineStr">
        <is>
          <t>North Region</t>
        </is>
      </c>
      <c r="F6702" t="inlineStr">
        <is>
          <t>Rep_06</t>
        </is>
      </c>
      <c r="G6702" t="n">
        <v>2.38</v>
      </c>
      <c r="H6702" t="inlineStr">
        <is>
          <t>Contacted</t>
        </is>
      </c>
      <c r="I6702" t="inlineStr">
        <is>
          <t>Open</t>
        </is>
      </c>
      <c r="M6702">
        <f>VLOOKUP(H6702,'Stage Order'!$A$2:$B$8,2,FALSE)</f>
        <v/>
      </c>
      <c r="N6702">
        <f>IF(G6702&lt;=1,"1. Under 1 hour",IF(G6702&lt;=24,"2. 1-24 hours",IF(G6702&lt;=72,"3. 1-3 days","4. Over 3 days")))</f>
        <v/>
      </c>
      <c r="O6702">
        <f>TEXT(B6702,"YYYY-MM")</f>
        <v/>
      </c>
    </row>
    <row r="6703">
      <c r="A6703" t="inlineStr">
        <is>
          <t>LD-306701</t>
        </is>
      </c>
      <c r="B6703" t="inlineStr">
        <is>
          <t>2025-07-27 11:17:00</t>
        </is>
      </c>
      <c r="C6703" t="inlineStr">
        <is>
          <t>Referral</t>
        </is>
      </c>
      <c r="D6703" t="inlineStr">
        <is>
          <t>Coding for Kids</t>
        </is>
      </c>
      <c r="E6703" t="inlineStr">
        <is>
          <t>South Region</t>
        </is>
      </c>
      <c r="F6703" t="inlineStr">
        <is>
          <t>Rep_02</t>
        </is>
      </c>
      <c r="G6703" t="n">
        <v>1.8</v>
      </c>
      <c r="H6703" t="inlineStr">
        <is>
          <t>Contacted</t>
        </is>
      </c>
      <c r="I6703" t="inlineStr">
        <is>
          <t>Open</t>
        </is>
      </c>
      <c r="M6703">
        <f>VLOOKUP(H6703,'Stage Order'!$A$2:$B$8,2,FALSE)</f>
        <v/>
      </c>
      <c r="N6703">
        <f>IF(G6703&lt;=1,"1. Under 1 hour",IF(G6703&lt;=24,"2. 1-24 hours",IF(G6703&lt;=72,"3. 1-3 days","4. Over 3 days")))</f>
        <v/>
      </c>
      <c r="O6703">
        <f>TEXT(B6703,"YYYY-MM")</f>
        <v/>
      </c>
    </row>
    <row r="6704">
      <c r="A6704" t="inlineStr">
        <is>
          <t>LD-306702</t>
        </is>
      </c>
      <c r="B6704" t="inlineStr">
        <is>
          <t>2025-07-04 11:51:00</t>
        </is>
      </c>
      <c r="C6704" t="inlineStr">
        <is>
          <t>Webinar</t>
        </is>
      </c>
      <c r="D6704" t="inlineStr">
        <is>
          <t>Competitive Exam Prep</t>
        </is>
      </c>
      <c r="E6704" t="inlineStr">
        <is>
          <t>North Region</t>
        </is>
      </c>
      <c r="F6704" t="inlineStr">
        <is>
          <t>Rep_06</t>
        </is>
      </c>
      <c r="G6704" t="n">
        <v>0.85</v>
      </c>
      <c r="H6704" t="inlineStr">
        <is>
          <t>Contacted</t>
        </is>
      </c>
      <c r="I6704" t="inlineStr">
        <is>
          <t>Open</t>
        </is>
      </c>
      <c r="M6704">
        <f>VLOOKUP(H6704,'Stage Order'!$A$2:$B$8,2,FALSE)</f>
        <v/>
      </c>
      <c r="N6704">
        <f>IF(G6704&lt;=1,"1. Under 1 hour",IF(G6704&lt;=24,"2. 1-24 hours",IF(G6704&lt;=72,"3. 1-3 days","4. Over 3 days")))</f>
        <v/>
      </c>
      <c r="O6704">
        <f>TEXT(B6704,"YYYY-MM")</f>
        <v/>
      </c>
    </row>
    <row r="6705">
      <c r="A6705" t="inlineStr">
        <is>
          <t>LD-306703</t>
        </is>
      </c>
      <c r="B6705" t="inlineStr">
        <is>
          <t>2026-05-18 16:30:00</t>
        </is>
      </c>
      <c r="C6705" t="inlineStr">
        <is>
          <t>Webinar</t>
        </is>
      </c>
      <c r="D6705" t="inlineStr">
        <is>
          <t>K-12 Math</t>
        </is>
      </c>
      <c r="E6705" t="inlineStr">
        <is>
          <t>East Region</t>
        </is>
      </c>
      <c r="F6705" t="inlineStr">
        <is>
          <t>Rep_09</t>
        </is>
      </c>
      <c r="G6705" t="n">
        <v>1.52</v>
      </c>
      <c r="H6705" t="inlineStr">
        <is>
          <t>Negotiation</t>
        </is>
      </c>
      <c r="I6705" t="inlineStr">
        <is>
          <t>Lost</t>
        </is>
      </c>
      <c r="J6705" t="inlineStr">
        <is>
          <t>No Response / Ghosted</t>
        </is>
      </c>
      <c r="K6705" t="n">
        <v>521.11</v>
      </c>
      <c r="L6705" t="inlineStr">
        <is>
          <t>2026-06-25 04:58:17.828968</t>
        </is>
      </c>
      <c r="M6705">
        <f>VLOOKUP(H6705,'Stage Order'!$A$2:$B$8,2,FALSE)</f>
        <v/>
      </c>
      <c r="N6705">
        <f>IF(G6705&lt;=1,"1. Under 1 hour",IF(G6705&lt;=24,"2. 1-24 hours",IF(G6705&lt;=72,"3. 1-3 days","4. Over 3 days")))</f>
        <v/>
      </c>
      <c r="O6705">
        <f>TEXT(B6705,"YYYY-MM")</f>
        <v/>
      </c>
    </row>
    <row r="6706">
      <c r="A6706" t="inlineStr">
        <is>
          <t>LD-306704</t>
        </is>
      </c>
      <c r="B6706" t="inlineStr">
        <is>
          <t>2025-09-27 11:28:00</t>
        </is>
      </c>
      <c r="C6706" t="inlineStr">
        <is>
          <t>Paid Search</t>
        </is>
      </c>
      <c r="D6706" t="inlineStr">
        <is>
          <t>Coding for Kids</t>
        </is>
      </c>
      <c r="E6706" t="inlineStr">
        <is>
          <t>South Region</t>
        </is>
      </c>
      <c r="F6706" t="inlineStr">
        <is>
          <t>Rep_07</t>
        </is>
      </c>
      <c r="G6706" t="n">
        <v>0.53</v>
      </c>
      <c r="H6706" t="inlineStr">
        <is>
          <t>Contacted</t>
        </is>
      </c>
      <c r="I6706" t="inlineStr">
        <is>
          <t>Open</t>
        </is>
      </c>
      <c r="M6706">
        <f>VLOOKUP(H6706,'Stage Order'!$A$2:$B$8,2,FALSE)</f>
        <v/>
      </c>
      <c r="N6706">
        <f>IF(G6706&lt;=1,"1. Under 1 hour",IF(G6706&lt;=24,"2. 1-24 hours",IF(G6706&lt;=72,"3. 1-3 days","4. Over 3 days")))</f>
        <v/>
      </c>
      <c r="O6706">
        <f>TEXT(B6706,"YYYY-MM")</f>
        <v/>
      </c>
    </row>
    <row r="6707">
      <c r="A6707" t="inlineStr">
        <is>
          <t>LD-306705</t>
        </is>
      </c>
      <c r="B6707" t="inlineStr">
        <is>
          <t>2025-04-21 08:53:00</t>
        </is>
      </c>
      <c r="C6707" t="inlineStr">
        <is>
          <t>Paid Search</t>
        </is>
      </c>
      <c r="D6707" t="inlineStr">
        <is>
          <t>Coding for Kids</t>
        </is>
      </c>
      <c r="E6707" t="inlineStr">
        <is>
          <t>South Region</t>
        </is>
      </c>
      <c r="F6707" t="inlineStr">
        <is>
          <t>Rep_12</t>
        </is>
      </c>
      <c r="G6707" t="n">
        <v>0.43</v>
      </c>
      <c r="H6707" t="inlineStr">
        <is>
          <t>Closed</t>
        </is>
      </c>
      <c r="I6707" t="inlineStr">
        <is>
          <t>Won</t>
        </is>
      </c>
      <c r="K6707" t="n">
        <v>609.51</v>
      </c>
      <c r="L6707" t="inlineStr">
        <is>
          <t>2025-05-30 02:49:00.243191</t>
        </is>
      </c>
      <c r="M6707">
        <f>VLOOKUP(H6707,'Stage Order'!$A$2:$B$8,2,FALSE)</f>
        <v/>
      </c>
      <c r="N6707">
        <f>IF(G6707&lt;=1,"1. Under 1 hour",IF(G6707&lt;=24,"2. 1-24 hours",IF(G6707&lt;=72,"3. 1-3 days","4. Over 3 days")))</f>
        <v/>
      </c>
      <c r="O6707">
        <f>TEXT(B6707,"YYYY-MM")</f>
        <v/>
      </c>
    </row>
    <row r="6708">
      <c r="A6708" t="inlineStr">
        <is>
          <t>LD-306706</t>
        </is>
      </c>
      <c r="B6708" t="inlineStr">
        <is>
          <t>2025-08-01 08:54:00</t>
        </is>
      </c>
      <c r="C6708" t="inlineStr">
        <is>
          <t>Cold Outreach</t>
        </is>
      </c>
      <c r="D6708" t="inlineStr">
        <is>
          <t>Study Abroad Prep</t>
        </is>
      </c>
      <c r="E6708" t="inlineStr">
        <is>
          <t>West Region</t>
        </is>
      </c>
      <c r="F6708" t="inlineStr">
        <is>
          <t>Rep_13</t>
        </is>
      </c>
      <c r="G6708" t="n">
        <v>17.24</v>
      </c>
      <c r="H6708" t="inlineStr">
        <is>
          <t>Contacted</t>
        </is>
      </c>
      <c r="I6708" t="inlineStr">
        <is>
          <t>Open</t>
        </is>
      </c>
      <c r="M6708">
        <f>VLOOKUP(H6708,'Stage Order'!$A$2:$B$8,2,FALSE)</f>
        <v/>
      </c>
      <c r="N6708">
        <f>IF(G6708&lt;=1,"1. Under 1 hour",IF(G6708&lt;=24,"2. 1-24 hours",IF(G6708&lt;=72,"3. 1-3 days","4. Over 3 days")))</f>
        <v/>
      </c>
      <c r="O6708">
        <f>TEXT(B6708,"YYYY-MM")</f>
        <v/>
      </c>
    </row>
    <row r="6709">
      <c r="A6709" t="inlineStr">
        <is>
          <t>LD-306707</t>
        </is>
      </c>
      <c r="B6709" t="inlineStr">
        <is>
          <t>2025-08-05 14:52:00</t>
        </is>
      </c>
      <c r="C6709" t="inlineStr">
        <is>
          <t>Referral</t>
        </is>
      </c>
      <c r="D6709" t="inlineStr">
        <is>
          <t>Coding for Kids</t>
        </is>
      </c>
      <c r="E6709" t="inlineStr">
        <is>
          <t>South Region</t>
        </is>
      </c>
      <c r="F6709" t="inlineStr">
        <is>
          <t>Rep_07</t>
        </is>
      </c>
      <c r="G6709" t="n">
        <v>6.46</v>
      </c>
      <c r="H6709" t="inlineStr">
        <is>
          <t>Closed</t>
        </is>
      </c>
      <c r="I6709" t="inlineStr">
        <is>
          <t>Won</t>
        </is>
      </c>
      <c r="K6709" t="n">
        <v>566.24</v>
      </c>
      <c r="L6709" t="inlineStr">
        <is>
          <t>2025-09-08 11:41:18.824246</t>
        </is>
      </c>
      <c r="M6709">
        <f>VLOOKUP(H6709,'Stage Order'!$A$2:$B$8,2,FALSE)</f>
        <v/>
      </c>
      <c r="N6709">
        <f>IF(G6709&lt;=1,"1. Under 1 hour",IF(G6709&lt;=24,"2. 1-24 hours",IF(G6709&lt;=72,"3. 1-3 days","4. Over 3 days")))</f>
        <v/>
      </c>
      <c r="O6709">
        <f>TEXT(B6709,"YYYY-MM")</f>
        <v/>
      </c>
    </row>
    <row r="6710">
      <c r="A6710" t="inlineStr">
        <is>
          <t>LD-306708</t>
        </is>
      </c>
      <c r="B6710" t="inlineStr">
        <is>
          <t>2025-03-01 13:02:00</t>
        </is>
      </c>
      <c r="C6710" t="inlineStr">
        <is>
          <t>Cold Outreach</t>
        </is>
      </c>
      <c r="D6710" t="inlineStr">
        <is>
          <t>Coding for Kids</t>
        </is>
      </c>
      <c r="E6710" t="inlineStr">
        <is>
          <t>North Region</t>
        </is>
      </c>
      <c r="F6710" t="inlineStr">
        <is>
          <t>Rep_01</t>
        </is>
      </c>
      <c r="G6710" t="n">
        <v>1.84</v>
      </c>
      <c r="H6710" t="inlineStr">
        <is>
          <t>Contacted</t>
        </is>
      </c>
      <c r="I6710" t="inlineStr">
        <is>
          <t>Open</t>
        </is>
      </c>
      <c r="M6710">
        <f>VLOOKUP(H6710,'Stage Order'!$A$2:$B$8,2,FALSE)</f>
        <v/>
      </c>
      <c r="N6710">
        <f>IF(G6710&lt;=1,"1. Under 1 hour",IF(G6710&lt;=24,"2. 1-24 hours",IF(G6710&lt;=72,"3. 1-3 days","4. Over 3 days")))</f>
        <v/>
      </c>
      <c r="O6710">
        <f>TEXT(B6710,"YYYY-MM")</f>
        <v/>
      </c>
    </row>
    <row r="6711">
      <c r="A6711" t="inlineStr">
        <is>
          <t>LD-306709</t>
        </is>
      </c>
      <c r="B6711" t="inlineStr">
        <is>
          <t>2025-06-02 20:21:00</t>
        </is>
      </c>
      <c r="C6711" t="inlineStr">
        <is>
          <t>Partner Channel</t>
        </is>
      </c>
      <c r="D6711" t="inlineStr">
        <is>
          <t>Competitive Exam Prep</t>
        </is>
      </c>
      <c r="E6711" t="inlineStr">
        <is>
          <t>West Region</t>
        </is>
      </c>
      <c r="F6711" t="inlineStr">
        <is>
          <t>Rep_08</t>
        </is>
      </c>
      <c r="G6711" t="n">
        <v>2.76</v>
      </c>
      <c r="H6711" t="inlineStr">
        <is>
          <t>Contacted</t>
        </is>
      </c>
      <c r="I6711" t="inlineStr">
        <is>
          <t>Open</t>
        </is>
      </c>
      <c r="M6711">
        <f>VLOOKUP(H6711,'Stage Order'!$A$2:$B$8,2,FALSE)</f>
        <v/>
      </c>
      <c r="N6711">
        <f>IF(G6711&lt;=1,"1. Under 1 hour",IF(G6711&lt;=24,"2. 1-24 hours",IF(G6711&lt;=72,"3. 1-3 days","4. Over 3 days")))</f>
        <v/>
      </c>
      <c r="O6711">
        <f>TEXT(B6711,"YYYY-MM")</f>
        <v/>
      </c>
    </row>
    <row r="6712">
      <c r="A6712" t="inlineStr">
        <is>
          <t>LD-306710</t>
        </is>
      </c>
      <c r="B6712" t="inlineStr">
        <is>
          <t>2026-06-23 08:21:00</t>
        </is>
      </c>
      <c r="C6712" t="inlineStr">
        <is>
          <t>Webinar</t>
        </is>
      </c>
      <c r="D6712" t="inlineStr">
        <is>
          <t>Language Learning</t>
        </is>
      </c>
      <c r="E6712" t="inlineStr">
        <is>
          <t>International</t>
        </is>
      </c>
      <c r="F6712" t="inlineStr">
        <is>
          <t>Rep_15</t>
        </is>
      </c>
      <c r="G6712" t="n">
        <v>6.03</v>
      </c>
      <c r="H6712" t="inlineStr">
        <is>
          <t>Proposal Sent</t>
        </is>
      </c>
      <c r="I6712" t="inlineStr">
        <is>
          <t>Lost</t>
        </is>
      </c>
      <c r="J6712" t="inlineStr">
        <is>
          <t>Bad Timing</t>
        </is>
      </c>
      <c r="K6712" t="n">
        <v>296.61</v>
      </c>
      <c r="L6712" t="inlineStr">
        <is>
          <t>2026-08-03 16:24:37.420351</t>
        </is>
      </c>
      <c r="M6712">
        <f>VLOOKUP(H6712,'Stage Order'!$A$2:$B$8,2,FALSE)</f>
        <v/>
      </c>
      <c r="N6712">
        <f>IF(G6712&lt;=1,"1. Under 1 hour",IF(G6712&lt;=24,"2. 1-24 hours",IF(G6712&lt;=72,"3. 1-3 days","4. Over 3 days")))</f>
        <v/>
      </c>
      <c r="O6712">
        <f>TEXT(B6712,"YYYY-MM")</f>
        <v/>
      </c>
    </row>
    <row r="6713">
      <c r="A6713" t="inlineStr">
        <is>
          <t>LD-306711</t>
        </is>
      </c>
      <c r="B6713" t="inlineStr">
        <is>
          <t>2025-10-27 20:32:00</t>
        </is>
      </c>
      <c r="C6713" t="inlineStr">
        <is>
          <t>Partner Channel</t>
        </is>
      </c>
      <c r="D6713" t="inlineStr">
        <is>
          <t>K-12 Math</t>
        </is>
      </c>
      <c r="E6713" t="inlineStr">
        <is>
          <t>West Region</t>
        </is>
      </c>
      <c r="F6713" t="inlineStr">
        <is>
          <t>Rep_03</t>
        </is>
      </c>
      <c r="G6713" t="n">
        <v>4.66</v>
      </c>
      <c r="H6713" t="inlineStr">
        <is>
          <t>Contacted</t>
        </is>
      </c>
      <c r="I6713" t="inlineStr">
        <is>
          <t>Open</t>
        </is>
      </c>
      <c r="M6713">
        <f>VLOOKUP(H6713,'Stage Order'!$A$2:$B$8,2,FALSE)</f>
        <v/>
      </c>
      <c r="N6713">
        <f>IF(G6713&lt;=1,"1. Under 1 hour",IF(G6713&lt;=24,"2. 1-24 hours",IF(G6713&lt;=72,"3. 1-3 days","4. Over 3 days")))</f>
        <v/>
      </c>
      <c r="O6713">
        <f>TEXT(B6713,"YYYY-MM")</f>
        <v/>
      </c>
    </row>
    <row r="6714">
      <c r="A6714" t="inlineStr">
        <is>
          <t>LD-306712</t>
        </is>
      </c>
      <c r="B6714" t="inlineStr">
        <is>
          <t>2025-08-18 07:55:00</t>
        </is>
      </c>
      <c r="C6714" t="inlineStr">
        <is>
          <t>Referral</t>
        </is>
      </c>
      <c r="D6714" t="inlineStr">
        <is>
          <t>K-12 Math</t>
        </is>
      </c>
      <c r="E6714" t="inlineStr">
        <is>
          <t>South Region</t>
        </is>
      </c>
      <c r="F6714" t="inlineStr">
        <is>
          <t>Rep_07</t>
        </is>
      </c>
      <c r="G6714" t="n">
        <v>6.34</v>
      </c>
      <c r="H6714" t="inlineStr">
        <is>
          <t>Contacted</t>
        </is>
      </c>
      <c r="I6714" t="inlineStr">
        <is>
          <t>Open</t>
        </is>
      </c>
      <c r="M6714">
        <f>VLOOKUP(H6714,'Stage Order'!$A$2:$B$8,2,FALSE)</f>
        <v/>
      </c>
      <c r="N6714">
        <f>IF(G6714&lt;=1,"1. Under 1 hour",IF(G6714&lt;=24,"2. 1-24 hours",IF(G6714&lt;=72,"3. 1-3 days","4. Over 3 days")))</f>
        <v/>
      </c>
      <c r="O6714">
        <f>TEXT(B6714,"YYYY-MM")</f>
        <v/>
      </c>
    </row>
    <row r="6715">
      <c r="A6715" t="inlineStr">
        <is>
          <t>LD-306713</t>
        </is>
      </c>
      <c r="B6715" t="inlineStr">
        <is>
          <t>2025-01-24 14:55:00</t>
        </is>
      </c>
      <c r="C6715" t="inlineStr">
        <is>
          <t>Social Media</t>
        </is>
      </c>
      <c r="D6715" t="inlineStr">
        <is>
          <t>Language Learning</t>
        </is>
      </c>
      <c r="E6715" t="inlineStr">
        <is>
          <t>West Region</t>
        </is>
      </c>
      <c r="F6715" t="inlineStr">
        <is>
          <t>Rep_08</t>
        </is>
      </c>
      <c r="G6715" t="n">
        <v>2.56</v>
      </c>
      <c r="H6715" t="inlineStr">
        <is>
          <t>Negotiation</t>
        </is>
      </c>
      <c r="I6715" t="inlineStr">
        <is>
          <t>Lost</t>
        </is>
      </c>
      <c r="J6715" t="inlineStr">
        <is>
          <t>Budget Not Approved</t>
        </is>
      </c>
      <c r="K6715" t="n">
        <v>379.23</v>
      </c>
      <c r="L6715" t="inlineStr">
        <is>
          <t>2025-03-14 19:27:47.537191</t>
        </is>
      </c>
      <c r="M6715">
        <f>VLOOKUP(H6715,'Stage Order'!$A$2:$B$8,2,FALSE)</f>
        <v/>
      </c>
      <c r="N6715">
        <f>IF(G6715&lt;=1,"1. Under 1 hour",IF(G6715&lt;=24,"2. 1-24 hours",IF(G6715&lt;=72,"3. 1-3 days","4. Over 3 days")))</f>
        <v/>
      </c>
      <c r="O6715">
        <f>TEXT(B6715,"YYYY-MM")</f>
        <v/>
      </c>
    </row>
    <row r="6716">
      <c r="A6716" t="inlineStr">
        <is>
          <t>LD-306714</t>
        </is>
      </c>
      <c r="B6716" t="inlineStr">
        <is>
          <t>2025-12-05 20:24:00</t>
        </is>
      </c>
      <c r="C6716" t="inlineStr">
        <is>
          <t>Referral</t>
        </is>
      </c>
      <c r="D6716" t="inlineStr">
        <is>
          <t>K-12 Math</t>
        </is>
      </c>
      <c r="E6716" t="inlineStr">
        <is>
          <t>South Region</t>
        </is>
      </c>
      <c r="F6716" t="inlineStr">
        <is>
          <t>Rep_12</t>
        </is>
      </c>
      <c r="G6716" t="n">
        <v>3.06</v>
      </c>
      <c r="H6716" t="inlineStr">
        <is>
          <t>Closed</t>
        </is>
      </c>
      <c r="I6716" t="inlineStr">
        <is>
          <t>Won</t>
        </is>
      </c>
      <c r="K6716" t="n">
        <v>454.96</v>
      </c>
      <c r="L6716" t="inlineStr">
        <is>
          <t>2026-01-26 09:42:38.793395</t>
        </is>
      </c>
      <c r="M6716">
        <f>VLOOKUP(H6716,'Stage Order'!$A$2:$B$8,2,FALSE)</f>
        <v/>
      </c>
      <c r="N6716">
        <f>IF(G6716&lt;=1,"1. Under 1 hour",IF(G6716&lt;=24,"2. 1-24 hours",IF(G6716&lt;=72,"3. 1-3 days","4. Over 3 days")))</f>
        <v/>
      </c>
      <c r="O6716">
        <f>TEXT(B6716,"YYYY-MM")</f>
        <v/>
      </c>
    </row>
    <row r="6717">
      <c r="A6717" t="inlineStr">
        <is>
          <t>LD-306715</t>
        </is>
      </c>
      <c r="B6717" t="inlineStr">
        <is>
          <t>2025-08-28 13:57:00</t>
        </is>
      </c>
      <c r="C6717" t="inlineStr">
        <is>
          <t>Referral</t>
        </is>
      </c>
      <c r="D6717" t="inlineStr">
        <is>
          <t>K-12 Math</t>
        </is>
      </c>
      <c r="E6717" t="inlineStr">
        <is>
          <t>North Region</t>
        </is>
      </c>
      <c r="F6717" t="inlineStr">
        <is>
          <t>Rep_01</t>
        </is>
      </c>
      <c r="G6717" t="n">
        <v>2.01</v>
      </c>
      <c r="H6717" t="inlineStr">
        <is>
          <t>Contacted</t>
        </is>
      </c>
      <c r="I6717" t="inlineStr">
        <is>
          <t>Open</t>
        </is>
      </c>
      <c r="M6717">
        <f>VLOOKUP(H6717,'Stage Order'!$A$2:$B$8,2,FALSE)</f>
        <v/>
      </c>
      <c r="N6717">
        <f>IF(G6717&lt;=1,"1. Under 1 hour",IF(G6717&lt;=24,"2. 1-24 hours",IF(G6717&lt;=72,"3. 1-3 days","4. Over 3 days")))</f>
        <v/>
      </c>
      <c r="O6717">
        <f>TEXT(B6717,"YYYY-MM")</f>
        <v/>
      </c>
    </row>
    <row r="6718">
      <c r="A6718" t="inlineStr">
        <is>
          <t>LD-306716</t>
        </is>
      </c>
      <c r="B6718" t="inlineStr">
        <is>
          <t>2025-11-20 20:01:00</t>
        </is>
      </c>
      <c r="C6718" t="inlineStr">
        <is>
          <t>Cold Outreach</t>
        </is>
      </c>
      <c r="D6718" t="inlineStr">
        <is>
          <t>Competitive Exam Prep</t>
        </is>
      </c>
      <c r="E6718" t="inlineStr">
        <is>
          <t>East Region</t>
        </is>
      </c>
      <c r="F6718" t="inlineStr">
        <is>
          <t>Rep_04</t>
        </is>
      </c>
      <c r="G6718" t="n">
        <v>6.46</v>
      </c>
      <c r="H6718" t="inlineStr">
        <is>
          <t>Lead</t>
        </is>
      </c>
      <c r="I6718" t="inlineStr">
        <is>
          <t>Open</t>
        </is>
      </c>
      <c r="M6718">
        <f>VLOOKUP(H6718,'Stage Order'!$A$2:$B$8,2,FALSE)</f>
        <v/>
      </c>
      <c r="N6718">
        <f>IF(G6718&lt;=1,"1. Under 1 hour",IF(G6718&lt;=24,"2. 1-24 hours",IF(G6718&lt;=72,"3. 1-3 days","4. Over 3 days")))</f>
        <v/>
      </c>
      <c r="O6718">
        <f>TEXT(B6718,"YYYY-MM")</f>
        <v/>
      </c>
    </row>
    <row r="6719">
      <c r="A6719" t="inlineStr">
        <is>
          <t>LD-306717</t>
        </is>
      </c>
      <c r="B6719" t="inlineStr">
        <is>
          <t>2025-06-05 16:19:00</t>
        </is>
      </c>
      <c r="C6719" t="inlineStr">
        <is>
          <t>Referral</t>
        </is>
      </c>
      <c r="D6719" t="inlineStr">
        <is>
          <t>Competitive Exam Prep</t>
        </is>
      </c>
      <c r="E6719" t="inlineStr">
        <is>
          <t>East Region</t>
        </is>
      </c>
      <c r="F6719" t="inlineStr">
        <is>
          <t>Rep_04</t>
        </is>
      </c>
      <c r="G6719" t="n">
        <v>1.31</v>
      </c>
      <c r="H6719" t="inlineStr">
        <is>
          <t>Contacted</t>
        </is>
      </c>
      <c r="I6719" t="inlineStr">
        <is>
          <t>Open</t>
        </is>
      </c>
      <c r="M6719">
        <f>VLOOKUP(H6719,'Stage Order'!$A$2:$B$8,2,FALSE)</f>
        <v/>
      </c>
      <c r="N6719">
        <f>IF(G6719&lt;=1,"1. Under 1 hour",IF(G6719&lt;=24,"2. 1-24 hours",IF(G6719&lt;=72,"3. 1-3 days","4. Over 3 days")))</f>
        <v/>
      </c>
      <c r="O6719">
        <f>TEXT(B6719,"YYYY-MM")</f>
        <v/>
      </c>
    </row>
    <row r="6720">
      <c r="A6720" t="inlineStr">
        <is>
          <t>LD-306718</t>
        </is>
      </c>
      <c r="B6720" t="inlineStr">
        <is>
          <t>2025-08-01 19:17:00</t>
        </is>
      </c>
      <c r="C6720" t="inlineStr">
        <is>
          <t>Cold Outreach</t>
        </is>
      </c>
      <c r="D6720" t="inlineStr">
        <is>
          <t>Competitive Exam Prep</t>
        </is>
      </c>
      <c r="E6720" t="inlineStr">
        <is>
          <t>East Region</t>
        </is>
      </c>
      <c r="F6720" t="inlineStr">
        <is>
          <t>Rep_14</t>
        </is>
      </c>
      <c r="G6720" t="n">
        <v>1.72</v>
      </c>
      <c r="H6720" t="inlineStr">
        <is>
          <t>Demo Scheduled</t>
        </is>
      </c>
      <c r="I6720" t="inlineStr">
        <is>
          <t>Open</t>
        </is>
      </c>
      <c r="M6720">
        <f>VLOOKUP(H6720,'Stage Order'!$A$2:$B$8,2,FALSE)</f>
        <v/>
      </c>
      <c r="N6720">
        <f>IF(G6720&lt;=1,"1. Under 1 hour",IF(G6720&lt;=24,"2. 1-24 hours",IF(G6720&lt;=72,"3. 1-3 days","4. Over 3 days")))</f>
        <v/>
      </c>
      <c r="O6720">
        <f>TEXT(B6720,"YYYY-MM")</f>
        <v/>
      </c>
    </row>
    <row r="6721">
      <c r="A6721" t="inlineStr">
        <is>
          <t>LD-306719</t>
        </is>
      </c>
      <c r="B6721" t="inlineStr">
        <is>
          <t>2026-03-27 17:16:00</t>
        </is>
      </c>
      <c r="C6721" t="inlineStr">
        <is>
          <t>Paid Search</t>
        </is>
      </c>
      <c r="D6721" t="inlineStr">
        <is>
          <t>K-12 Math</t>
        </is>
      </c>
      <c r="E6721" t="inlineStr">
        <is>
          <t>International</t>
        </is>
      </c>
      <c r="F6721" t="inlineStr">
        <is>
          <t>Rep_05</t>
        </is>
      </c>
      <c r="G6721" t="n">
        <v>7.69</v>
      </c>
      <c r="H6721" t="inlineStr">
        <is>
          <t>Proposal Sent</t>
        </is>
      </c>
      <c r="I6721" t="inlineStr">
        <is>
          <t>Lost</t>
        </is>
      </c>
      <c r="J6721" t="inlineStr">
        <is>
          <t>Bad Timing</t>
        </is>
      </c>
      <c r="K6721" t="n">
        <v>547.05</v>
      </c>
      <c r="L6721" t="inlineStr">
        <is>
          <t>2026-05-04 11:58:33.567575</t>
        </is>
      </c>
      <c r="M6721">
        <f>VLOOKUP(H6721,'Stage Order'!$A$2:$B$8,2,FALSE)</f>
        <v/>
      </c>
      <c r="N6721">
        <f>IF(G6721&lt;=1,"1. Under 1 hour",IF(G6721&lt;=24,"2. 1-24 hours",IF(G6721&lt;=72,"3. 1-3 days","4. Over 3 days")))</f>
        <v/>
      </c>
      <c r="O6721">
        <f>TEXT(B6721,"YYYY-MM")</f>
        <v/>
      </c>
    </row>
    <row r="6722">
      <c r="A6722" t="inlineStr">
        <is>
          <t>LD-306720</t>
        </is>
      </c>
      <c r="B6722" t="inlineStr">
        <is>
          <t>2025-11-27 13:32:00</t>
        </is>
      </c>
      <c r="C6722" t="inlineStr">
        <is>
          <t>Referral</t>
        </is>
      </c>
      <c r="D6722" t="inlineStr">
        <is>
          <t>Coding for Kids</t>
        </is>
      </c>
      <c r="E6722" t="inlineStr">
        <is>
          <t>North Region</t>
        </is>
      </c>
      <c r="F6722" t="inlineStr">
        <is>
          <t>Rep_01</t>
        </is>
      </c>
      <c r="G6722" t="n">
        <v>3.22</v>
      </c>
      <c r="H6722" t="inlineStr">
        <is>
          <t>Closed</t>
        </is>
      </c>
      <c r="I6722" t="inlineStr">
        <is>
          <t>Won</t>
        </is>
      </c>
      <c r="K6722" t="n">
        <v>732.9</v>
      </c>
      <c r="L6722" t="inlineStr">
        <is>
          <t>2025-12-20 05:40:43.243629</t>
        </is>
      </c>
      <c r="M6722">
        <f>VLOOKUP(H6722,'Stage Order'!$A$2:$B$8,2,FALSE)</f>
        <v/>
      </c>
      <c r="N6722">
        <f>IF(G6722&lt;=1,"1. Under 1 hour",IF(G6722&lt;=24,"2. 1-24 hours",IF(G6722&lt;=72,"3. 1-3 days","4. Over 3 days")))</f>
        <v/>
      </c>
      <c r="O6722">
        <f>TEXT(B6722,"YYYY-MM")</f>
        <v/>
      </c>
    </row>
    <row r="6723">
      <c r="A6723" t="inlineStr">
        <is>
          <t>LD-306721</t>
        </is>
      </c>
      <c r="B6723" t="inlineStr">
        <is>
          <t>2026-06-02 17:28:00</t>
        </is>
      </c>
      <c r="C6723" t="inlineStr">
        <is>
          <t>Social Media</t>
        </is>
      </c>
      <c r="D6723" t="inlineStr">
        <is>
          <t>Language Learning</t>
        </is>
      </c>
      <c r="E6723" t="inlineStr">
        <is>
          <t>West Region</t>
        </is>
      </c>
      <c r="F6723" t="inlineStr">
        <is>
          <t>Rep_08</t>
        </is>
      </c>
      <c r="G6723" t="n">
        <v>6.76</v>
      </c>
      <c r="H6723" t="inlineStr">
        <is>
          <t>Negotiation</t>
        </is>
      </c>
      <c r="I6723" t="inlineStr">
        <is>
          <t>Lost</t>
        </is>
      </c>
      <c r="J6723" t="inlineStr">
        <is>
          <t>No Response / Ghosted</t>
        </is>
      </c>
      <c r="K6723" t="n">
        <v>388.42</v>
      </c>
      <c r="L6723" t="inlineStr">
        <is>
          <t>2026-07-11 05:03:23.404993</t>
        </is>
      </c>
      <c r="M6723">
        <f>VLOOKUP(H6723,'Stage Order'!$A$2:$B$8,2,FALSE)</f>
        <v/>
      </c>
      <c r="N6723">
        <f>IF(G6723&lt;=1,"1. Under 1 hour",IF(G6723&lt;=24,"2. 1-24 hours",IF(G6723&lt;=72,"3. 1-3 days","4. Over 3 days")))</f>
        <v/>
      </c>
      <c r="O6723">
        <f>TEXT(B6723,"YYYY-MM")</f>
        <v/>
      </c>
    </row>
    <row r="6724">
      <c r="A6724" t="inlineStr">
        <is>
          <t>LD-306722</t>
        </is>
      </c>
      <c r="B6724" t="inlineStr">
        <is>
          <t>2026-02-26 20:08:00</t>
        </is>
      </c>
      <c r="C6724" t="inlineStr">
        <is>
          <t>Partner Channel</t>
        </is>
      </c>
      <c r="D6724" t="inlineStr">
        <is>
          <t>Language Learning</t>
        </is>
      </c>
      <c r="E6724" t="inlineStr">
        <is>
          <t>South Region</t>
        </is>
      </c>
      <c r="F6724" t="inlineStr">
        <is>
          <t>Rep_07</t>
        </is>
      </c>
      <c r="G6724" t="n">
        <v>4.53</v>
      </c>
      <c r="H6724" t="inlineStr">
        <is>
          <t>Contacted</t>
        </is>
      </c>
      <c r="I6724" t="inlineStr">
        <is>
          <t>Open</t>
        </is>
      </c>
      <c r="M6724">
        <f>VLOOKUP(H6724,'Stage Order'!$A$2:$B$8,2,FALSE)</f>
        <v/>
      </c>
      <c r="N6724">
        <f>IF(G6724&lt;=1,"1. Under 1 hour",IF(G6724&lt;=24,"2. 1-24 hours",IF(G6724&lt;=72,"3. 1-3 days","4. Over 3 days")))</f>
        <v/>
      </c>
      <c r="O6724">
        <f>TEXT(B6724,"YYYY-MM")</f>
        <v/>
      </c>
    </row>
    <row r="6725">
      <c r="A6725" t="inlineStr">
        <is>
          <t>LD-306723</t>
        </is>
      </c>
      <c r="B6725" t="inlineStr">
        <is>
          <t>2025-05-09 14:28:00</t>
        </is>
      </c>
      <c r="C6725" t="inlineStr">
        <is>
          <t>Partner Channel</t>
        </is>
      </c>
      <c r="D6725" t="inlineStr">
        <is>
          <t>Coding for Kids</t>
        </is>
      </c>
      <c r="E6725" t="inlineStr">
        <is>
          <t>International</t>
        </is>
      </c>
      <c r="F6725" t="inlineStr">
        <is>
          <t>Rep_15</t>
        </is>
      </c>
      <c r="G6725" t="n">
        <v>3.7</v>
      </c>
      <c r="H6725" t="inlineStr">
        <is>
          <t>Closed</t>
        </is>
      </c>
      <c r="I6725" t="inlineStr">
        <is>
          <t>Won</t>
        </is>
      </c>
      <c r="K6725" t="n">
        <v>649.5700000000001</v>
      </c>
      <c r="L6725" t="inlineStr">
        <is>
          <t>2025-06-10 14:27:11.471401</t>
        </is>
      </c>
      <c r="M6725">
        <f>VLOOKUP(H6725,'Stage Order'!$A$2:$B$8,2,FALSE)</f>
        <v/>
      </c>
      <c r="N6725">
        <f>IF(G6725&lt;=1,"1. Under 1 hour",IF(G6725&lt;=24,"2. 1-24 hours",IF(G6725&lt;=72,"3. 1-3 days","4. Over 3 days")))</f>
        <v/>
      </c>
      <c r="O6725">
        <f>TEXT(B6725,"YYYY-MM")</f>
        <v/>
      </c>
    </row>
    <row r="6726">
      <c r="A6726" t="inlineStr">
        <is>
          <t>LD-306724</t>
        </is>
      </c>
      <c r="B6726" t="inlineStr">
        <is>
          <t>2025-08-29 15:23:00</t>
        </is>
      </c>
      <c r="C6726" t="inlineStr">
        <is>
          <t>Referral</t>
        </is>
      </c>
      <c r="D6726" t="inlineStr">
        <is>
          <t>Competitive Exam Prep</t>
        </is>
      </c>
      <c r="E6726" t="inlineStr">
        <is>
          <t>West Region</t>
        </is>
      </c>
      <c r="F6726" t="inlineStr">
        <is>
          <t>Rep_08</t>
        </is>
      </c>
      <c r="G6726" t="n">
        <v>6.85</v>
      </c>
      <c r="H6726" t="inlineStr">
        <is>
          <t>Closed</t>
        </is>
      </c>
      <c r="I6726" t="inlineStr">
        <is>
          <t>Won</t>
        </is>
      </c>
      <c r="K6726" t="n">
        <v>873.26</v>
      </c>
      <c r="L6726" t="inlineStr">
        <is>
          <t>2025-10-09 05:28:39.417024</t>
        </is>
      </c>
      <c r="M6726">
        <f>VLOOKUP(H6726,'Stage Order'!$A$2:$B$8,2,FALSE)</f>
        <v/>
      </c>
      <c r="N6726">
        <f>IF(G6726&lt;=1,"1. Under 1 hour",IF(G6726&lt;=24,"2. 1-24 hours",IF(G6726&lt;=72,"3. 1-3 days","4. Over 3 days")))</f>
        <v/>
      </c>
      <c r="O6726">
        <f>TEXT(B6726,"YYYY-MM")</f>
        <v/>
      </c>
    </row>
    <row r="6727">
      <c r="A6727" t="inlineStr">
        <is>
          <t>LD-306725</t>
        </is>
      </c>
      <c r="B6727" t="inlineStr">
        <is>
          <t>2025-04-04 10:47:00</t>
        </is>
      </c>
      <c r="C6727" t="inlineStr">
        <is>
          <t>Organic Search</t>
        </is>
      </c>
      <c r="D6727" t="inlineStr">
        <is>
          <t>Study Abroad Prep</t>
        </is>
      </c>
      <c r="E6727" t="inlineStr">
        <is>
          <t>South Region</t>
        </is>
      </c>
      <c r="F6727" t="inlineStr">
        <is>
          <t>Rep_02</t>
        </is>
      </c>
      <c r="G6727" t="n">
        <v>7.64</v>
      </c>
      <c r="H6727" t="inlineStr">
        <is>
          <t>Contacted</t>
        </is>
      </c>
      <c r="I6727" t="inlineStr">
        <is>
          <t>Open</t>
        </is>
      </c>
      <c r="M6727">
        <f>VLOOKUP(H6727,'Stage Order'!$A$2:$B$8,2,FALSE)</f>
        <v/>
      </c>
      <c r="N6727">
        <f>IF(G6727&lt;=1,"1. Under 1 hour",IF(G6727&lt;=24,"2. 1-24 hours",IF(G6727&lt;=72,"3. 1-3 days","4. Over 3 days")))</f>
        <v/>
      </c>
      <c r="O6727">
        <f>TEXT(B6727,"YYYY-MM")</f>
        <v/>
      </c>
    </row>
    <row r="6728">
      <c r="A6728" t="inlineStr">
        <is>
          <t>LD-306726</t>
        </is>
      </c>
      <c r="B6728" t="inlineStr">
        <is>
          <t>2026-01-28 12:32:00</t>
        </is>
      </c>
      <c r="C6728" t="inlineStr">
        <is>
          <t>Referral</t>
        </is>
      </c>
      <c r="D6728" t="inlineStr">
        <is>
          <t>Study Abroad Prep</t>
        </is>
      </c>
      <c r="E6728" t="inlineStr">
        <is>
          <t>International</t>
        </is>
      </c>
      <c r="F6728" t="inlineStr">
        <is>
          <t>Rep_15</t>
        </is>
      </c>
      <c r="G6728" t="n">
        <v>3.26</v>
      </c>
      <c r="H6728" t="inlineStr">
        <is>
          <t>Contacted</t>
        </is>
      </c>
      <c r="I6728" t="inlineStr">
        <is>
          <t>Open</t>
        </is>
      </c>
      <c r="M6728">
        <f>VLOOKUP(H6728,'Stage Order'!$A$2:$B$8,2,FALSE)</f>
        <v/>
      </c>
      <c r="N6728">
        <f>IF(G6728&lt;=1,"1. Under 1 hour",IF(G6728&lt;=24,"2. 1-24 hours",IF(G6728&lt;=72,"3. 1-3 days","4. Over 3 days")))</f>
        <v/>
      </c>
      <c r="O6728">
        <f>TEXT(B6728,"YYYY-MM")</f>
        <v/>
      </c>
    </row>
    <row r="6729">
      <c r="A6729" t="inlineStr">
        <is>
          <t>LD-306727</t>
        </is>
      </c>
      <c r="B6729" t="inlineStr">
        <is>
          <t>2025-04-03 13:03:00</t>
        </is>
      </c>
      <c r="C6729" t="inlineStr">
        <is>
          <t>Social Media</t>
        </is>
      </c>
      <c r="D6729" t="inlineStr">
        <is>
          <t>K-12 Math</t>
        </is>
      </c>
      <c r="E6729" t="inlineStr">
        <is>
          <t>East Region</t>
        </is>
      </c>
      <c r="F6729" t="inlineStr">
        <is>
          <t>Rep_09</t>
        </is>
      </c>
      <c r="G6729" t="n">
        <v>2.65</v>
      </c>
      <c r="H6729" t="inlineStr">
        <is>
          <t>Contacted</t>
        </is>
      </c>
      <c r="I6729" t="inlineStr">
        <is>
          <t>Open</t>
        </is>
      </c>
      <c r="M6729">
        <f>VLOOKUP(H6729,'Stage Order'!$A$2:$B$8,2,FALSE)</f>
        <v/>
      </c>
      <c r="N6729">
        <f>IF(G6729&lt;=1,"1. Under 1 hour",IF(G6729&lt;=24,"2. 1-24 hours",IF(G6729&lt;=72,"3. 1-3 days","4. Over 3 days")))</f>
        <v/>
      </c>
      <c r="O6729">
        <f>TEXT(B6729,"YYYY-MM")</f>
        <v/>
      </c>
    </row>
    <row r="6730">
      <c r="A6730" t="inlineStr">
        <is>
          <t>LD-306728</t>
        </is>
      </c>
      <c r="B6730" t="inlineStr">
        <is>
          <t>2026-05-29 16:27:00</t>
        </is>
      </c>
      <c r="C6730" t="inlineStr">
        <is>
          <t>Cold Outreach</t>
        </is>
      </c>
      <c r="D6730" t="inlineStr">
        <is>
          <t>Study Abroad Prep</t>
        </is>
      </c>
      <c r="E6730" t="inlineStr">
        <is>
          <t>West Region</t>
        </is>
      </c>
      <c r="F6730" t="inlineStr">
        <is>
          <t>Rep_03</t>
        </is>
      </c>
      <c r="G6730" t="n">
        <v>0.74</v>
      </c>
      <c r="H6730" t="inlineStr">
        <is>
          <t>Contacted</t>
        </is>
      </c>
      <c r="I6730" t="inlineStr">
        <is>
          <t>Open</t>
        </is>
      </c>
      <c r="M6730">
        <f>VLOOKUP(H6730,'Stage Order'!$A$2:$B$8,2,FALSE)</f>
        <v/>
      </c>
      <c r="N6730">
        <f>IF(G6730&lt;=1,"1. Under 1 hour",IF(G6730&lt;=24,"2. 1-24 hours",IF(G6730&lt;=72,"3. 1-3 days","4. Over 3 days")))</f>
        <v/>
      </c>
      <c r="O6730">
        <f>TEXT(B6730,"YYYY-MM")</f>
        <v/>
      </c>
    </row>
    <row r="6731">
      <c r="A6731" t="inlineStr">
        <is>
          <t>LD-306729</t>
        </is>
      </c>
      <c r="B6731" t="inlineStr">
        <is>
          <t>2025-04-18 09:45:00</t>
        </is>
      </c>
      <c r="C6731" t="inlineStr">
        <is>
          <t>Webinar</t>
        </is>
      </c>
      <c r="D6731" t="inlineStr">
        <is>
          <t>K-12 Math</t>
        </is>
      </c>
      <c r="E6731" t="inlineStr">
        <is>
          <t>International</t>
        </is>
      </c>
      <c r="F6731" t="inlineStr">
        <is>
          <t>Rep_05</t>
        </is>
      </c>
      <c r="G6731" t="n">
        <v>2.28</v>
      </c>
      <c r="H6731" t="inlineStr">
        <is>
          <t>Negotiation</t>
        </is>
      </c>
      <c r="I6731" t="inlineStr">
        <is>
          <t>Lost</t>
        </is>
      </c>
      <c r="J6731" t="inlineStr">
        <is>
          <t>Price Objection</t>
        </is>
      </c>
      <c r="K6731" t="n">
        <v>524.24</v>
      </c>
      <c r="L6731" t="inlineStr">
        <is>
          <t>2025-05-26 09:29:20.663551</t>
        </is>
      </c>
      <c r="M6731">
        <f>VLOOKUP(H6731,'Stage Order'!$A$2:$B$8,2,FALSE)</f>
        <v/>
      </c>
      <c r="N6731">
        <f>IF(G6731&lt;=1,"1. Under 1 hour",IF(G6731&lt;=24,"2. 1-24 hours",IF(G6731&lt;=72,"3. 1-3 days","4. Over 3 days")))</f>
        <v/>
      </c>
      <c r="O6731">
        <f>TEXT(B6731,"YYYY-MM")</f>
        <v/>
      </c>
    </row>
    <row r="6732">
      <c r="A6732" t="inlineStr">
        <is>
          <t>LD-306730</t>
        </is>
      </c>
      <c r="B6732" t="inlineStr">
        <is>
          <t>2026-01-16 08:24:00</t>
        </is>
      </c>
      <c r="C6732" t="inlineStr">
        <is>
          <t>Referral</t>
        </is>
      </c>
      <c r="D6732" t="inlineStr">
        <is>
          <t>Competitive Exam Prep</t>
        </is>
      </c>
      <c r="E6732" t="inlineStr">
        <is>
          <t>North Region</t>
        </is>
      </c>
      <c r="F6732" t="inlineStr">
        <is>
          <t>Rep_11</t>
        </is>
      </c>
      <c r="G6732" t="n">
        <v>2.7</v>
      </c>
      <c r="H6732" t="inlineStr">
        <is>
          <t>Contacted</t>
        </is>
      </c>
      <c r="I6732" t="inlineStr">
        <is>
          <t>Open</t>
        </is>
      </c>
      <c r="M6732">
        <f>VLOOKUP(H6732,'Stage Order'!$A$2:$B$8,2,FALSE)</f>
        <v/>
      </c>
      <c r="N6732">
        <f>IF(G6732&lt;=1,"1. Under 1 hour",IF(G6732&lt;=24,"2. 1-24 hours",IF(G6732&lt;=72,"3. 1-3 days","4. Over 3 days")))</f>
        <v/>
      </c>
      <c r="O6732">
        <f>TEXT(B6732,"YYYY-MM")</f>
        <v/>
      </c>
    </row>
    <row r="6733">
      <c r="A6733" t="inlineStr">
        <is>
          <t>LD-306731</t>
        </is>
      </c>
      <c r="B6733" t="inlineStr">
        <is>
          <t>2025-05-30 08:08:00</t>
        </is>
      </c>
      <c r="C6733" t="inlineStr">
        <is>
          <t>Webinar</t>
        </is>
      </c>
      <c r="D6733" t="inlineStr">
        <is>
          <t>Language Learning</t>
        </is>
      </c>
      <c r="E6733" t="inlineStr">
        <is>
          <t>West Region</t>
        </is>
      </c>
      <c r="F6733" t="inlineStr">
        <is>
          <t>Rep_03</t>
        </is>
      </c>
      <c r="G6733" t="n">
        <v>4.09</v>
      </c>
      <c r="H6733" t="inlineStr">
        <is>
          <t>Closed</t>
        </is>
      </c>
      <c r="I6733" t="inlineStr">
        <is>
          <t>Won</t>
        </is>
      </c>
      <c r="K6733" t="n">
        <v>407.19</v>
      </c>
      <c r="L6733" t="inlineStr">
        <is>
          <t>2025-07-11 07:43:00.872173</t>
        </is>
      </c>
      <c r="M6733">
        <f>VLOOKUP(H6733,'Stage Order'!$A$2:$B$8,2,FALSE)</f>
        <v/>
      </c>
      <c r="N6733">
        <f>IF(G6733&lt;=1,"1. Under 1 hour",IF(G6733&lt;=24,"2. 1-24 hours",IF(G6733&lt;=72,"3. 1-3 days","4. Over 3 days")))</f>
        <v/>
      </c>
      <c r="O6733">
        <f>TEXT(B6733,"YYYY-MM")</f>
        <v/>
      </c>
    </row>
    <row r="6734">
      <c r="A6734" t="inlineStr">
        <is>
          <t>LD-306732</t>
        </is>
      </c>
      <c r="B6734" t="inlineStr">
        <is>
          <t>2025-10-24 11:13:00</t>
        </is>
      </c>
      <c r="C6734" t="inlineStr">
        <is>
          <t>Organic Search</t>
        </is>
      </c>
      <c r="D6734" t="inlineStr">
        <is>
          <t>Coding for Kids</t>
        </is>
      </c>
      <c r="E6734" t="inlineStr">
        <is>
          <t>South Region</t>
        </is>
      </c>
      <c r="F6734" t="inlineStr">
        <is>
          <t>Rep_02</t>
        </is>
      </c>
      <c r="G6734" t="n">
        <v>1.86</v>
      </c>
      <c r="H6734" t="inlineStr">
        <is>
          <t>Demo Completed</t>
        </is>
      </c>
      <c r="I6734" t="inlineStr">
        <is>
          <t>Lost</t>
        </is>
      </c>
      <c r="J6734" t="inlineStr">
        <is>
          <t>Went With Competitor</t>
        </is>
      </c>
      <c r="K6734" t="n">
        <v>633.71</v>
      </c>
      <c r="L6734" t="inlineStr">
        <is>
          <t>2025-11-25 20:45:22.504391</t>
        </is>
      </c>
      <c r="M6734">
        <f>VLOOKUP(H6734,'Stage Order'!$A$2:$B$8,2,FALSE)</f>
        <v/>
      </c>
      <c r="N6734">
        <f>IF(G6734&lt;=1,"1. Under 1 hour",IF(G6734&lt;=24,"2. 1-24 hours",IF(G6734&lt;=72,"3. 1-3 days","4. Over 3 days")))</f>
        <v/>
      </c>
      <c r="O6734">
        <f>TEXT(B6734,"YYYY-MM")</f>
        <v/>
      </c>
    </row>
    <row r="6735">
      <c r="A6735" t="inlineStr">
        <is>
          <t>LD-306733</t>
        </is>
      </c>
      <c r="B6735" t="inlineStr">
        <is>
          <t>2025-04-17 10:13:00</t>
        </is>
      </c>
      <c r="C6735" t="inlineStr">
        <is>
          <t>Social Media</t>
        </is>
      </c>
      <c r="D6735" t="inlineStr">
        <is>
          <t>Coding for Kids</t>
        </is>
      </c>
      <c r="E6735" t="inlineStr">
        <is>
          <t>North Region</t>
        </is>
      </c>
      <c r="F6735" t="inlineStr">
        <is>
          <t>Rep_11</t>
        </is>
      </c>
      <c r="G6735" t="n">
        <v>2.94</v>
      </c>
      <c r="H6735" t="inlineStr">
        <is>
          <t>Lead</t>
        </is>
      </c>
      <c r="I6735" t="inlineStr">
        <is>
          <t>Open</t>
        </is>
      </c>
      <c r="M6735">
        <f>VLOOKUP(H6735,'Stage Order'!$A$2:$B$8,2,FALSE)</f>
        <v/>
      </c>
      <c r="N6735">
        <f>IF(G6735&lt;=1,"1. Under 1 hour",IF(G6735&lt;=24,"2. 1-24 hours",IF(G6735&lt;=72,"3. 1-3 days","4. Over 3 days")))</f>
        <v/>
      </c>
      <c r="O6735">
        <f>TEXT(B6735,"YYYY-MM")</f>
        <v/>
      </c>
    </row>
    <row r="6736">
      <c r="A6736" t="inlineStr">
        <is>
          <t>LD-306734</t>
        </is>
      </c>
      <c r="B6736" t="inlineStr">
        <is>
          <t>2025-06-23 20:44:00</t>
        </is>
      </c>
      <c r="C6736" t="inlineStr">
        <is>
          <t>Social Media</t>
        </is>
      </c>
      <c r="D6736" t="inlineStr">
        <is>
          <t>Coding for Kids</t>
        </is>
      </c>
      <c r="E6736" t="inlineStr">
        <is>
          <t>South Region</t>
        </is>
      </c>
      <c r="F6736" t="inlineStr">
        <is>
          <t>Rep_07</t>
        </is>
      </c>
      <c r="G6736" t="n">
        <v>9.15</v>
      </c>
      <c r="H6736" t="inlineStr">
        <is>
          <t>Contacted</t>
        </is>
      </c>
      <c r="I6736" t="inlineStr">
        <is>
          <t>Open</t>
        </is>
      </c>
      <c r="M6736">
        <f>VLOOKUP(H6736,'Stage Order'!$A$2:$B$8,2,FALSE)</f>
        <v/>
      </c>
      <c r="N6736">
        <f>IF(G6736&lt;=1,"1. Under 1 hour",IF(G6736&lt;=24,"2. 1-24 hours",IF(G6736&lt;=72,"3. 1-3 days","4. Over 3 days")))</f>
        <v/>
      </c>
      <c r="O6736">
        <f>TEXT(B6736,"YYYY-MM")</f>
        <v/>
      </c>
    </row>
    <row r="6737">
      <c r="A6737" t="inlineStr">
        <is>
          <t>LD-306735</t>
        </is>
      </c>
      <c r="B6737" t="inlineStr">
        <is>
          <t>2025-09-22 18:50:00</t>
        </is>
      </c>
      <c r="C6737" t="inlineStr">
        <is>
          <t>Organic Search</t>
        </is>
      </c>
      <c r="D6737" t="inlineStr">
        <is>
          <t>K-12 Math</t>
        </is>
      </c>
      <c r="E6737" t="inlineStr">
        <is>
          <t>North Region</t>
        </is>
      </c>
      <c r="F6737" t="inlineStr">
        <is>
          <t>Rep_01</t>
        </is>
      </c>
      <c r="G6737" t="n">
        <v>4.07</v>
      </c>
      <c r="H6737" t="inlineStr">
        <is>
          <t>Contacted</t>
        </is>
      </c>
      <c r="I6737" t="inlineStr">
        <is>
          <t>Open</t>
        </is>
      </c>
      <c r="M6737">
        <f>VLOOKUP(H6737,'Stage Order'!$A$2:$B$8,2,FALSE)</f>
        <v/>
      </c>
      <c r="N6737">
        <f>IF(G6737&lt;=1,"1. Under 1 hour",IF(G6737&lt;=24,"2. 1-24 hours",IF(G6737&lt;=72,"3. 1-3 days","4. Over 3 days")))</f>
        <v/>
      </c>
      <c r="O6737">
        <f>TEXT(B6737,"YYYY-MM")</f>
        <v/>
      </c>
    </row>
    <row r="6738">
      <c r="A6738" t="inlineStr">
        <is>
          <t>LD-306736</t>
        </is>
      </c>
      <c r="B6738" t="inlineStr">
        <is>
          <t>2025-04-04 08:07:00</t>
        </is>
      </c>
      <c r="C6738" t="inlineStr">
        <is>
          <t>Organic Search</t>
        </is>
      </c>
      <c r="D6738" t="inlineStr">
        <is>
          <t>Coding for Kids</t>
        </is>
      </c>
      <c r="E6738" t="inlineStr">
        <is>
          <t>South Region</t>
        </is>
      </c>
      <c r="F6738" t="inlineStr">
        <is>
          <t>Rep_07</t>
        </is>
      </c>
      <c r="G6738" t="n">
        <v>1.55</v>
      </c>
      <c r="H6738" t="inlineStr">
        <is>
          <t>Contacted</t>
        </is>
      </c>
      <c r="I6738" t="inlineStr">
        <is>
          <t>Open</t>
        </is>
      </c>
      <c r="M6738">
        <f>VLOOKUP(H6738,'Stage Order'!$A$2:$B$8,2,FALSE)</f>
        <v/>
      </c>
      <c r="N6738">
        <f>IF(G6738&lt;=1,"1. Under 1 hour",IF(G6738&lt;=24,"2. 1-24 hours",IF(G6738&lt;=72,"3. 1-3 days","4. Over 3 days")))</f>
        <v/>
      </c>
      <c r="O6738">
        <f>TEXT(B6738,"YYYY-MM")</f>
        <v/>
      </c>
    </row>
    <row r="6739">
      <c r="A6739" t="inlineStr">
        <is>
          <t>LD-306737</t>
        </is>
      </c>
      <c r="B6739" t="inlineStr">
        <is>
          <t>2026-06-01 20:04:00</t>
        </is>
      </c>
      <c r="C6739" t="inlineStr">
        <is>
          <t>Webinar</t>
        </is>
      </c>
      <c r="D6739" t="inlineStr">
        <is>
          <t>Language Learning</t>
        </is>
      </c>
      <c r="E6739" t="inlineStr">
        <is>
          <t>International</t>
        </is>
      </c>
      <c r="F6739" t="inlineStr">
        <is>
          <t>Rep_05</t>
        </is>
      </c>
      <c r="G6739" t="n">
        <v>3.81</v>
      </c>
      <c r="H6739" t="inlineStr">
        <is>
          <t>Demo Completed</t>
        </is>
      </c>
      <c r="I6739" t="inlineStr">
        <is>
          <t>Lost</t>
        </is>
      </c>
      <c r="J6739" t="inlineStr">
        <is>
          <t>Went With Competitor</t>
        </is>
      </c>
      <c r="K6739" t="n">
        <v>359.83</v>
      </c>
      <c r="L6739" t="inlineStr">
        <is>
          <t>2026-06-27 18:42:31.496213</t>
        </is>
      </c>
      <c r="M6739">
        <f>VLOOKUP(H6739,'Stage Order'!$A$2:$B$8,2,FALSE)</f>
        <v/>
      </c>
      <c r="N6739">
        <f>IF(G6739&lt;=1,"1. Under 1 hour",IF(G6739&lt;=24,"2. 1-24 hours",IF(G6739&lt;=72,"3. 1-3 days","4. Over 3 days")))</f>
        <v/>
      </c>
      <c r="O6739">
        <f>TEXT(B6739,"YYYY-MM")</f>
        <v/>
      </c>
    </row>
    <row r="6740">
      <c r="A6740" t="inlineStr">
        <is>
          <t>LD-306738</t>
        </is>
      </c>
      <c r="B6740" t="inlineStr">
        <is>
          <t>2026-04-13 08:03:00</t>
        </is>
      </c>
      <c r="C6740" t="inlineStr">
        <is>
          <t>Webinar</t>
        </is>
      </c>
      <c r="D6740" t="inlineStr">
        <is>
          <t>Study Abroad Prep</t>
        </is>
      </c>
      <c r="E6740" t="inlineStr">
        <is>
          <t>South Region</t>
        </is>
      </c>
      <c r="F6740" t="inlineStr">
        <is>
          <t>Rep_02</t>
        </is>
      </c>
      <c r="G6740" t="n">
        <v>1.59</v>
      </c>
      <c r="H6740" t="inlineStr">
        <is>
          <t>Closed</t>
        </is>
      </c>
      <c r="I6740" t="inlineStr">
        <is>
          <t>Won</t>
        </is>
      </c>
      <c r="K6740" t="n">
        <v>1525.99</v>
      </c>
      <c r="L6740" t="inlineStr">
        <is>
          <t>2026-05-13 09:15:07.594603</t>
        </is>
      </c>
      <c r="M6740">
        <f>VLOOKUP(H6740,'Stage Order'!$A$2:$B$8,2,FALSE)</f>
        <v/>
      </c>
      <c r="N6740">
        <f>IF(G6740&lt;=1,"1. Under 1 hour",IF(G6740&lt;=24,"2. 1-24 hours",IF(G6740&lt;=72,"3. 1-3 days","4. Over 3 days")))</f>
        <v/>
      </c>
      <c r="O6740">
        <f>TEXT(B6740,"YYYY-MM")</f>
        <v/>
      </c>
    </row>
    <row r="6741">
      <c r="A6741" t="inlineStr">
        <is>
          <t>LD-306739</t>
        </is>
      </c>
      <c r="B6741" t="inlineStr">
        <is>
          <t>2025-07-15 13:27:00</t>
        </is>
      </c>
      <c r="C6741" t="inlineStr">
        <is>
          <t>Social Media</t>
        </is>
      </c>
      <c r="D6741" t="inlineStr">
        <is>
          <t>Competitive Exam Prep</t>
        </is>
      </c>
      <c r="E6741" t="inlineStr">
        <is>
          <t>North Region</t>
        </is>
      </c>
      <c r="F6741" t="inlineStr">
        <is>
          <t>Rep_11</t>
        </is>
      </c>
      <c r="G6741" t="n">
        <v>7.29</v>
      </c>
      <c r="H6741" t="inlineStr">
        <is>
          <t>Demo Completed</t>
        </is>
      </c>
      <c r="I6741" t="inlineStr">
        <is>
          <t>Lost</t>
        </is>
      </c>
      <c r="J6741" t="inlineStr">
        <is>
          <t>Bad Timing</t>
        </is>
      </c>
      <c r="K6741" t="n">
        <v>1087.33</v>
      </c>
      <c r="L6741" t="inlineStr">
        <is>
          <t>2025-08-11 16:06:58.674649</t>
        </is>
      </c>
      <c r="M6741">
        <f>VLOOKUP(H6741,'Stage Order'!$A$2:$B$8,2,FALSE)</f>
        <v/>
      </c>
      <c r="N6741">
        <f>IF(G6741&lt;=1,"1. Under 1 hour",IF(G6741&lt;=24,"2. 1-24 hours",IF(G6741&lt;=72,"3. 1-3 days","4. Over 3 days")))</f>
        <v/>
      </c>
      <c r="O6741">
        <f>TEXT(B6741,"YYYY-MM")</f>
        <v/>
      </c>
    </row>
    <row r="6742">
      <c r="A6742" t="inlineStr">
        <is>
          <t>LD-306740</t>
        </is>
      </c>
      <c r="B6742" t="inlineStr">
        <is>
          <t>2026-05-15 18:14:00</t>
        </is>
      </c>
      <c r="C6742" t="inlineStr">
        <is>
          <t>Social Media</t>
        </is>
      </c>
      <c r="D6742" t="inlineStr">
        <is>
          <t>Competitive Exam Prep</t>
        </is>
      </c>
      <c r="E6742" t="inlineStr">
        <is>
          <t>South Region</t>
        </is>
      </c>
      <c r="F6742" t="inlineStr">
        <is>
          <t>Rep_12</t>
        </is>
      </c>
      <c r="G6742" t="n">
        <v>2.05</v>
      </c>
      <c r="H6742" t="inlineStr">
        <is>
          <t>Lead</t>
        </is>
      </c>
      <c r="I6742" t="inlineStr">
        <is>
          <t>Open</t>
        </is>
      </c>
      <c r="M6742">
        <f>VLOOKUP(H6742,'Stage Order'!$A$2:$B$8,2,FALSE)</f>
        <v/>
      </c>
      <c r="N6742">
        <f>IF(G6742&lt;=1,"1. Under 1 hour",IF(G6742&lt;=24,"2. 1-24 hours",IF(G6742&lt;=72,"3. 1-3 days","4. Over 3 days")))</f>
        <v/>
      </c>
      <c r="O6742">
        <f>TEXT(B6742,"YYYY-MM")</f>
        <v/>
      </c>
    </row>
    <row r="6743">
      <c r="A6743" t="inlineStr">
        <is>
          <t>LD-306741</t>
        </is>
      </c>
      <c r="B6743" t="inlineStr">
        <is>
          <t>2025-05-30 15:51:00</t>
        </is>
      </c>
      <c r="C6743" t="inlineStr">
        <is>
          <t>Partner Channel</t>
        </is>
      </c>
      <c r="D6743" t="inlineStr">
        <is>
          <t>Competitive Exam Prep</t>
        </is>
      </c>
      <c r="E6743" t="inlineStr">
        <is>
          <t>West Region</t>
        </is>
      </c>
      <c r="F6743" t="inlineStr">
        <is>
          <t>Rep_03</t>
        </is>
      </c>
      <c r="G6743" t="n">
        <v>2.01</v>
      </c>
      <c r="H6743" t="inlineStr">
        <is>
          <t>Contacted</t>
        </is>
      </c>
      <c r="I6743" t="inlineStr">
        <is>
          <t>Open</t>
        </is>
      </c>
      <c r="M6743">
        <f>VLOOKUP(H6743,'Stage Order'!$A$2:$B$8,2,FALSE)</f>
        <v/>
      </c>
      <c r="N6743">
        <f>IF(G6743&lt;=1,"1. Under 1 hour",IF(G6743&lt;=24,"2. 1-24 hours",IF(G6743&lt;=72,"3. 1-3 days","4. Over 3 days")))</f>
        <v/>
      </c>
      <c r="O6743">
        <f>TEXT(B6743,"YYYY-MM")</f>
        <v/>
      </c>
    </row>
    <row r="6744">
      <c r="A6744" t="inlineStr">
        <is>
          <t>LD-306742</t>
        </is>
      </c>
      <c r="B6744" t="inlineStr">
        <is>
          <t>2025-11-07 12:05:00</t>
        </is>
      </c>
      <c r="C6744" t="inlineStr">
        <is>
          <t>Organic Search</t>
        </is>
      </c>
      <c r="D6744" t="inlineStr">
        <is>
          <t>Competitive Exam Prep</t>
        </is>
      </c>
      <c r="E6744" t="inlineStr">
        <is>
          <t>East Region</t>
        </is>
      </c>
      <c r="F6744" t="inlineStr">
        <is>
          <t>Rep_09</t>
        </is>
      </c>
      <c r="G6744" t="n">
        <v>3.2</v>
      </c>
      <c r="H6744" t="inlineStr">
        <is>
          <t>Lead</t>
        </is>
      </c>
      <c r="I6744" t="inlineStr">
        <is>
          <t>Open</t>
        </is>
      </c>
      <c r="M6744">
        <f>VLOOKUP(H6744,'Stage Order'!$A$2:$B$8,2,FALSE)</f>
        <v/>
      </c>
      <c r="N6744">
        <f>IF(G6744&lt;=1,"1. Under 1 hour",IF(G6744&lt;=24,"2. 1-24 hours",IF(G6744&lt;=72,"3. 1-3 days","4. Over 3 days")))</f>
        <v/>
      </c>
      <c r="O6744">
        <f>TEXT(B6744,"YYYY-MM")</f>
        <v/>
      </c>
    </row>
    <row r="6745">
      <c r="A6745" t="inlineStr">
        <is>
          <t>LD-306743</t>
        </is>
      </c>
      <c r="B6745" t="inlineStr">
        <is>
          <t>2025-12-11 12:17:00</t>
        </is>
      </c>
      <c r="C6745" t="inlineStr">
        <is>
          <t>Paid Search</t>
        </is>
      </c>
      <c r="D6745" t="inlineStr">
        <is>
          <t>K-12 Math</t>
        </is>
      </c>
      <c r="E6745" t="inlineStr">
        <is>
          <t>West Region</t>
        </is>
      </c>
      <c r="F6745" t="inlineStr">
        <is>
          <t>Rep_03</t>
        </is>
      </c>
      <c r="G6745" t="n">
        <v>4.02</v>
      </c>
      <c r="H6745" t="inlineStr">
        <is>
          <t>Lead</t>
        </is>
      </c>
      <c r="I6745" t="inlineStr">
        <is>
          <t>Open</t>
        </is>
      </c>
      <c r="M6745">
        <f>VLOOKUP(H6745,'Stage Order'!$A$2:$B$8,2,FALSE)</f>
        <v/>
      </c>
      <c r="N6745">
        <f>IF(G6745&lt;=1,"1. Under 1 hour",IF(G6745&lt;=24,"2. 1-24 hours",IF(G6745&lt;=72,"3. 1-3 days","4. Over 3 days")))</f>
        <v/>
      </c>
      <c r="O6745">
        <f>TEXT(B6745,"YYYY-MM")</f>
        <v/>
      </c>
    </row>
    <row r="6746">
      <c r="A6746" t="inlineStr">
        <is>
          <t>LD-306744</t>
        </is>
      </c>
      <c r="B6746" t="inlineStr">
        <is>
          <t>2025-05-24 19:43:00</t>
        </is>
      </c>
      <c r="C6746" t="inlineStr">
        <is>
          <t>Referral</t>
        </is>
      </c>
      <c r="D6746" t="inlineStr">
        <is>
          <t>K-12 Math</t>
        </is>
      </c>
      <c r="E6746" t="inlineStr">
        <is>
          <t>North Region</t>
        </is>
      </c>
      <c r="F6746" t="inlineStr">
        <is>
          <t>Rep_06</t>
        </is>
      </c>
      <c r="G6746" t="n">
        <v>3.54</v>
      </c>
      <c r="H6746" t="inlineStr">
        <is>
          <t>Proposal Sent</t>
        </is>
      </c>
      <c r="I6746" t="inlineStr">
        <is>
          <t>Lost</t>
        </is>
      </c>
      <c r="J6746" t="inlineStr">
        <is>
          <t>Bad Timing</t>
        </is>
      </c>
      <c r="K6746" t="n">
        <v>511.98</v>
      </c>
      <c r="L6746" t="inlineStr">
        <is>
          <t>2025-06-27 08:06:12.981907</t>
        </is>
      </c>
      <c r="M6746">
        <f>VLOOKUP(H6746,'Stage Order'!$A$2:$B$8,2,FALSE)</f>
        <v/>
      </c>
      <c r="N6746">
        <f>IF(G6746&lt;=1,"1. Under 1 hour",IF(G6746&lt;=24,"2. 1-24 hours",IF(G6746&lt;=72,"3. 1-3 days","4. Over 3 days")))</f>
        <v/>
      </c>
      <c r="O6746">
        <f>TEXT(B6746,"YYYY-MM")</f>
        <v/>
      </c>
    </row>
    <row r="6747">
      <c r="A6747" t="inlineStr">
        <is>
          <t>LD-306745</t>
        </is>
      </c>
      <c r="B6747" t="inlineStr">
        <is>
          <t>2026-06-09 19:25:00</t>
        </is>
      </c>
      <c r="C6747" t="inlineStr">
        <is>
          <t>Partner Channel</t>
        </is>
      </c>
      <c r="D6747" t="inlineStr">
        <is>
          <t>Competitive Exam Prep</t>
        </is>
      </c>
      <c r="E6747" t="inlineStr">
        <is>
          <t>North Region</t>
        </is>
      </c>
      <c r="F6747" t="inlineStr">
        <is>
          <t>Rep_06</t>
        </is>
      </c>
      <c r="G6747" t="n">
        <v>1.4</v>
      </c>
      <c r="H6747" t="inlineStr">
        <is>
          <t>Lead</t>
        </is>
      </c>
      <c r="I6747" t="inlineStr">
        <is>
          <t>Open</t>
        </is>
      </c>
      <c r="M6747">
        <f>VLOOKUP(H6747,'Stage Order'!$A$2:$B$8,2,FALSE)</f>
        <v/>
      </c>
      <c r="N6747">
        <f>IF(G6747&lt;=1,"1. Under 1 hour",IF(G6747&lt;=24,"2. 1-24 hours",IF(G6747&lt;=72,"3. 1-3 days","4. Over 3 days")))</f>
        <v/>
      </c>
      <c r="O6747">
        <f>TEXT(B6747,"YYYY-MM")</f>
        <v/>
      </c>
    </row>
    <row r="6748">
      <c r="A6748" t="inlineStr">
        <is>
          <t>LD-306746</t>
        </is>
      </c>
      <c r="B6748" t="inlineStr">
        <is>
          <t>2025-11-24 20:20:00</t>
        </is>
      </c>
      <c r="C6748" t="inlineStr">
        <is>
          <t>Paid Search</t>
        </is>
      </c>
      <c r="D6748" t="inlineStr">
        <is>
          <t>Competitive Exam Prep</t>
        </is>
      </c>
      <c r="E6748" t="inlineStr">
        <is>
          <t>West Region</t>
        </is>
      </c>
      <c r="F6748" t="inlineStr">
        <is>
          <t>Rep_13</t>
        </is>
      </c>
      <c r="G6748" t="n">
        <v>5.3</v>
      </c>
      <c r="H6748" t="inlineStr">
        <is>
          <t>Closed</t>
        </is>
      </c>
      <c r="I6748" t="inlineStr">
        <is>
          <t>Won</t>
        </is>
      </c>
      <c r="K6748" t="n">
        <v>1114.31</v>
      </c>
      <c r="L6748" t="inlineStr">
        <is>
          <t>2025-12-21 20:18:39.786926</t>
        </is>
      </c>
      <c r="M6748">
        <f>VLOOKUP(H6748,'Stage Order'!$A$2:$B$8,2,FALSE)</f>
        <v/>
      </c>
      <c r="N6748">
        <f>IF(G6748&lt;=1,"1. Under 1 hour",IF(G6748&lt;=24,"2. 1-24 hours",IF(G6748&lt;=72,"3. 1-3 days","4. Over 3 days")))</f>
        <v/>
      </c>
      <c r="O6748">
        <f>TEXT(B6748,"YYYY-MM")</f>
        <v/>
      </c>
    </row>
    <row r="6749">
      <c r="A6749" t="inlineStr">
        <is>
          <t>LD-306747</t>
        </is>
      </c>
      <c r="B6749" t="inlineStr">
        <is>
          <t>2025-11-07 11:55:00</t>
        </is>
      </c>
      <c r="C6749" t="inlineStr">
        <is>
          <t>Organic Search</t>
        </is>
      </c>
      <c r="D6749" t="inlineStr">
        <is>
          <t>Coding for Kids</t>
        </is>
      </c>
      <c r="E6749" t="inlineStr">
        <is>
          <t>South Region</t>
        </is>
      </c>
      <c r="F6749" t="inlineStr">
        <is>
          <t>Rep_02</t>
        </is>
      </c>
      <c r="G6749" t="n">
        <v>1.17</v>
      </c>
      <c r="H6749" t="inlineStr">
        <is>
          <t>Contacted</t>
        </is>
      </c>
      <c r="I6749" t="inlineStr">
        <is>
          <t>Open</t>
        </is>
      </c>
      <c r="M6749">
        <f>VLOOKUP(H6749,'Stage Order'!$A$2:$B$8,2,FALSE)</f>
        <v/>
      </c>
      <c r="N6749">
        <f>IF(G6749&lt;=1,"1. Under 1 hour",IF(G6749&lt;=24,"2. 1-24 hours",IF(G6749&lt;=72,"3. 1-3 days","4. Over 3 days")))</f>
        <v/>
      </c>
      <c r="O6749">
        <f>TEXT(B6749,"YYYY-MM")</f>
        <v/>
      </c>
    </row>
    <row r="6750">
      <c r="A6750" t="inlineStr">
        <is>
          <t>LD-306748</t>
        </is>
      </c>
      <c r="B6750" t="inlineStr">
        <is>
          <t>2026-03-15 17:14:00</t>
        </is>
      </c>
      <c r="C6750" t="inlineStr">
        <is>
          <t>Social Media</t>
        </is>
      </c>
      <c r="D6750" t="inlineStr">
        <is>
          <t>K-12 Math</t>
        </is>
      </c>
      <c r="E6750" t="inlineStr">
        <is>
          <t>West Region</t>
        </is>
      </c>
      <c r="F6750" t="inlineStr">
        <is>
          <t>Rep_13</t>
        </is>
      </c>
      <c r="G6750" t="n">
        <v>5.27</v>
      </c>
      <c r="H6750" t="inlineStr">
        <is>
          <t>Contacted</t>
        </is>
      </c>
      <c r="I6750" t="inlineStr">
        <is>
          <t>Open</t>
        </is>
      </c>
      <c r="M6750">
        <f>VLOOKUP(H6750,'Stage Order'!$A$2:$B$8,2,FALSE)</f>
        <v/>
      </c>
      <c r="N6750">
        <f>IF(G6750&lt;=1,"1. Under 1 hour",IF(G6750&lt;=24,"2. 1-24 hours",IF(G6750&lt;=72,"3. 1-3 days","4. Over 3 days")))</f>
        <v/>
      </c>
      <c r="O6750">
        <f>TEXT(B6750,"YYYY-MM")</f>
        <v/>
      </c>
    </row>
    <row r="6751">
      <c r="A6751" t="inlineStr">
        <is>
          <t>LD-306749</t>
        </is>
      </c>
      <c r="B6751" t="inlineStr">
        <is>
          <t>2025-10-10 11:08:00</t>
        </is>
      </c>
      <c r="C6751" t="inlineStr">
        <is>
          <t>Organic Search</t>
        </is>
      </c>
      <c r="D6751" t="inlineStr">
        <is>
          <t>K-12 Math</t>
        </is>
      </c>
      <c r="E6751" t="inlineStr">
        <is>
          <t>East Region</t>
        </is>
      </c>
      <c r="F6751" t="inlineStr">
        <is>
          <t>Rep_14</t>
        </is>
      </c>
      <c r="G6751" t="n">
        <v>4.22</v>
      </c>
      <c r="H6751" t="inlineStr">
        <is>
          <t>Demo Completed</t>
        </is>
      </c>
      <c r="I6751" t="inlineStr">
        <is>
          <t>Lost</t>
        </is>
      </c>
      <c r="J6751" t="inlineStr">
        <is>
          <t>No Response / Ghosted</t>
        </is>
      </c>
      <c r="K6751" t="n">
        <v>533.03</v>
      </c>
      <c r="L6751" t="inlineStr">
        <is>
          <t>2025-11-18 09:37:56.693291</t>
        </is>
      </c>
      <c r="M6751">
        <f>VLOOKUP(H6751,'Stage Order'!$A$2:$B$8,2,FALSE)</f>
        <v/>
      </c>
      <c r="N6751">
        <f>IF(G6751&lt;=1,"1. Under 1 hour",IF(G6751&lt;=24,"2. 1-24 hours",IF(G6751&lt;=72,"3. 1-3 days","4. Over 3 days")))</f>
        <v/>
      </c>
      <c r="O6751">
        <f>TEXT(B6751,"YYYY-MM")</f>
        <v/>
      </c>
    </row>
    <row r="6752">
      <c r="A6752" t="inlineStr">
        <is>
          <t>LD-306750</t>
        </is>
      </c>
      <c r="B6752" t="inlineStr">
        <is>
          <t>2025-08-06 19:01:00</t>
        </is>
      </c>
      <c r="C6752" t="inlineStr">
        <is>
          <t>Cold Outreach</t>
        </is>
      </c>
      <c r="D6752" t="inlineStr">
        <is>
          <t>Coding for Kids</t>
        </is>
      </c>
      <c r="E6752" t="inlineStr">
        <is>
          <t>South Region</t>
        </is>
      </c>
      <c r="F6752" t="inlineStr">
        <is>
          <t>Rep_07</t>
        </is>
      </c>
      <c r="G6752" t="n">
        <v>2.9</v>
      </c>
      <c r="H6752" t="inlineStr">
        <is>
          <t>Lead</t>
        </is>
      </c>
      <c r="I6752" t="inlineStr">
        <is>
          <t>Open</t>
        </is>
      </c>
      <c r="M6752">
        <f>VLOOKUP(H6752,'Stage Order'!$A$2:$B$8,2,FALSE)</f>
        <v/>
      </c>
      <c r="N6752">
        <f>IF(G6752&lt;=1,"1. Under 1 hour",IF(G6752&lt;=24,"2. 1-24 hours",IF(G6752&lt;=72,"3. 1-3 days","4. Over 3 days")))</f>
        <v/>
      </c>
      <c r="O6752">
        <f>TEXT(B6752,"YYYY-MM")</f>
        <v/>
      </c>
    </row>
    <row r="6753">
      <c r="A6753" t="inlineStr">
        <is>
          <t>LD-306751</t>
        </is>
      </c>
      <c r="B6753" t="inlineStr">
        <is>
          <t>2025-02-14 10:23:00</t>
        </is>
      </c>
      <c r="C6753" t="inlineStr">
        <is>
          <t>Cold Outreach</t>
        </is>
      </c>
      <c r="D6753" t="inlineStr">
        <is>
          <t>Competitive Exam Prep</t>
        </is>
      </c>
      <c r="E6753" t="inlineStr">
        <is>
          <t>South Region</t>
        </is>
      </c>
      <c r="F6753" t="inlineStr">
        <is>
          <t>Rep_02</t>
        </is>
      </c>
      <c r="G6753" t="n">
        <v>1.76</v>
      </c>
      <c r="H6753" t="inlineStr">
        <is>
          <t>Lead</t>
        </is>
      </c>
      <c r="I6753" t="inlineStr">
        <is>
          <t>Open</t>
        </is>
      </c>
      <c r="M6753">
        <f>VLOOKUP(H6753,'Stage Order'!$A$2:$B$8,2,FALSE)</f>
        <v/>
      </c>
      <c r="N6753">
        <f>IF(G6753&lt;=1,"1. Under 1 hour",IF(G6753&lt;=24,"2. 1-24 hours",IF(G6753&lt;=72,"3. 1-3 days","4. Over 3 days")))</f>
        <v/>
      </c>
      <c r="O6753">
        <f>TEXT(B6753,"YYYY-MM")</f>
        <v/>
      </c>
    </row>
    <row r="6754">
      <c r="A6754" t="inlineStr">
        <is>
          <t>LD-306752</t>
        </is>
      </c>
      <c r="B6754" t="inlineStr">
        <is>
          <t>2025-07-20 20:01:00</t>
        </is>
      </c>
      <c r="C6754" t="inlineStr">
        <is>
          <t>Organic Search</t>
        </is>
      </c>
      <c r="D6754" t="inlineStr">
        <is>
          <t>Coding for Kids</t>
        </is>
      </c>
      <c r="E6754" t="inlineStr">
        <is>
          <t>South Region</t>
        </is>
      </c>
      <c r="F6754" t="inlineStr">
        <is>
          <t>Rep_02</t>
        </is>
      </c>
      <c r="G6754" t="n">
        <v>4.42</v>
      </c>
      <c r="H6754" t="inlineStr">
        <is>
          <t>Contacted</t>
        </is>
      </c>
      <c r="I6754" t="inlineStr">
        <is>
          <t>Open</t>
        </is>
      </c>
      <c r="M6754">
        <f>VLOOKUP(H6754,'Stage Order'!$A$2:$B$8,2,FALSE)</f>
        <v/>
      </c>
      <c r="N6754">
        <f>IF(G6754&lt;=1,"1. Under 1 hour",IF(G6754&lt;=24,"2. 1-24 hours",IF(G6754&lt;=72,"3. 1-3 days","4. Over 3 days")))</f>
        <v/>
      </c>
      <c r="O6754">
        <f>TEXT(B6754,"YYYY-MM")</f>
        <v/>
      </c>
    </row>
    <row r="6755">
      <c r="A6755" t="inlineStr">
        <is>
          <t>LD-306753</t>
        </is>
      </c>
      <c r="B6755" t="inlineStr">
        <is>
          <t>2025-02-07 14:52:00</t>
        </is>
      </c>
      <c r="C6755" t="inlineStr">
        <is>
          <t>Referral</t>
        </is>
      </c>
      <c r="D6755" t="inlineStr">
        <is>
          <t>Coding for Kids</t>
        </is>
      </c>
      <c r="E6755" t="inlineStr">
        <is>
          <t>East Region</t>
        </is>
      </c>
      <c r="F6755" t="inlineStr">
        <is>
          <t>Rep_14</t>
        </is>
      </c>
      <c r="G6755" t="n">
        <v>17.94</v>
      </c>
      <c r="H6755" t="inlineStr">
        <is>
          <t>Contacted</t>
        </is>
      </c>
      <c r="I6755" t="inlineStr">
        <is>
          <t>Open</t>
        </is>
      </c>
      <c r="M6755">
        <f>VLOOKUP(H6755,'Stage Order'!$A$2:$B$8,2,FALSE)</f>
        <v/>
      </c>
      <c r="N6755">
        <f>IF(G6755&lt;=1,"1. Under 1 hour",IF(G6755&lt;=24,"2. 1-24 hours",IF(G6755&lt;=72,"3. 1-3 days","4. Over 3 days")))</f>
        <v/>
      </c>
      <c r="O6755">
        <f>TEXT(B6755,"YYYY-MM")</f>
        <v/>
      </c>
    </row>
    <row r="6756">
      <c r="A6756" t="inlineStr">
        <is>
          <t>LD-306754</t>
        </is>
      </c>
      <c r="B6756" t="inlineStr">
        <is>
          <t>2026-06-05 17:46:00</t>
        </is>
      </c>
      <c r="C6756" t="inlineStr">
        <is>
          <t>Organic Search</t>
        </is>
      </c>
      <c r="D6756" t="inlineStr">
        <is>
          <t>K-12 Math</t>
        </is>
      </c>
      <c r="E6756" t="inlineStr">
        <is>
          <t>North Region</t>
        </is>
      </c>
      <c r="F6756" t="inlineStr">
        <is>
          <t>Rep_06</t>
        </is>
      </c>
      <c r="G6756" t="n">
        <v>2.33</v>
      </c>
      <c r="H6756" t="inlineStr">
        <is>
          <t>Contacted</t>
        </is>
      </c>
      <c r="I6756" t="inlineStr">
        <is>
          <t>Open</t>
        </is>
      </c>
      <c r="M6756">
        <f>VLOOKUP(H6756,'Stage Order'!$A$2:$B$8,2,FALSE)</f>
        <v/>
      </c>
      <c r="N6756">
        <f>IF(G6756&lt;=1,"1. Under 1 hour",IF(G6756&lt;=24,"2. 1-24 hours",IF(G6756&lt;=72,"3. 1-3 days","4. Over 3 days")))</f>
        <v/>
      </c>
      <c r="O6756">
        <f>TEXT(B6756,"YYYY-MM")</f>
        <v/>
      </c>
    </row>
    <row r="6757">
      <c r="A6757" t="inlineStr">
        <is>
          <t>LD-306755</t>
        </is>
      </c>
      <c r="B6757" t="inlineStr">
        <is>
          <t>2025-10-09 18:24:00</t>
        </is>
      </c>
      <c r="C6757" t="inlineStr">
        <is>
          <t>Referral</t>
        </is>
      </c>
      <c r="D6757" t="inlineStr">
        <is>
          <t>Coding for Kids</t>
        </is>
      </c>
      <c r="E6757" t="inlineStr">
        <is>
          <t>East Region</t>
        </is>
      </c>
      <c r="F6757" t="inlineStr">
        <is>
          <t>Rep_14</t>
        </is>
      </c>
      <c r="G6757" t="n">
        <v>2.97</v>
      </c>
      <c r="H6757" t="inlineStr">
        <is>
          <t>Contacted</t>
        </is>
      </c>
      <c r="I6757" t="inlineStr">
        <is>
          <t>Open</t>
        </is>
      </c>
      <c r="M6757">
        <f>VLOOKUP(H6757,'Stage Order'!$A$2:$B$8,2,FALSE)</f>
        <v/>
      </c>
      <c r="N6757">
        <f>IF(G6757&lt;=1,"1. Under 1 hour",IF(G6757&lt;=24,"2. 1-24 hours",IF(G6757&lt;=72,"3. 1-3 days","4. Over 3 days")))</f>
        <v/>
      </c>
      <c r="O6757">
        <f>TEXT(B6757,"YYYY-MM")</f>
        <v/>
      </c>
    </row>
    <row r="6758">
      <c r="A6758" t="inlineStr">
        <is>
          <t>LD-306756</t>
        </is>
      </c>
      <c r="B6758" t="inlineStr">
        <is>
          <t>2025-01-21 15:52:00</t>
        </is>
      </c>
      <c r="C6758" t="inlineStr">
        <is>
          <t>Paid Search</t>
        </is>
      </c>
      <c r="D6758" t="inlineStr">
        <is>
          <t>Language Learning</t>
        </is>
      </c>
      <c r="E6758" t="inlineStr">
        <is>
          <t>West Region</t>
        </is>
      </c>
      <c r="F6758" t="inlineStr">
        <is>
          <t>Rep_03</t>
        </is>
      </c>
      <c r="G6758" t="n">
        <v>24.85</v>
      </c>
      <c r="H6758" t="inlineStr">
        <is>
          <t>Contacted</t>
        </is>
      </c>
      <c r="I6758" t="inlineStr">
        <is>
          <t>Open</t>
        </is>
      </c>
      <c r="M6758">
        <f>VLOOKUP(H6758,'Stage Order'!$A$2:$B$8,2,FALSE)</f>
        <v/>
      </c>
      <c r="N6758">
        <f>IF(G6758&lt;=1,"1. Under 1 hour",IF(G6758&lt;=24,"2. 1-24 hours",IF(G6758&lt;=72,"3. 1-3 days","4. Over 3 days")))</f>
        <v/>
      </c>
      <c r="O6758">
        <f>TEXT(B6758,"YYYY-MM")</f>
        <v/>
      </c>
    </row>
    <row r="6759">
      <c r="A6759" t="inlineStr">
        <is>
          <t>LD-306757</t>
        </is>
      </c>
      <c r="B6759" t="inlineStr">
        <is>
          <t>2025-06-30 18:44:00</t>
        </is>
      </c>
      <c r="C6759" t="inlineStr">
        <is>
          <t>Cold Outreach</t>
        </is>
      </c>
      <c r="D6759" t="inlineStr">
        <is>
          <t>Coding for Kids</t>
        </is>
      </c>
      <c r="E6759" t="inlineStr">
        <is>
          <t>West Region</t>
        </is>
      </c>
      <c r="F6759" t="inlineStr">
        <is>
          <t>Rep_03</t>
        </is>
      </c>
      <c r="G6759" t="n">
        <v>0.5600000000000001</v>
      </c>
      <c r="H6759" t="inlineStr">
        <is>
          <t>Lead</t>
        </is>
      </c>
      <c r="I6759" t="inlineStr">
        <is>
          <t>Open</t>
        </is>
      </c>
      <c r="M6759">
        <f>VLOOKUP(H6759,'Stage Order'!$A$2:$B$8,2,FALSE)</f>
        <v/>
      </c>
      <c r="N6759">
        <f>IF(G6759&lt;=1,"1. Under 1 hour",IF(G6759&lt;=24,"2. 1-24 hours",IF(G6759&lt;=72,"3. 1-3 days","4. Over 3 days")))</f>
        <v/>
      </c>
      <c r="O6759">
        <f>TEXT(B6759,"YYYY-MM")</f>
        <v/>
      </c>
    </row>
    <row r="6760">
      <c r="A6760" t="inlineStr">
        <is>
          <t>LD-306758</t>
        </is>
      </c>
      <c r="B6760" t="inlineStr">
        <is>
          <t>2025-07-07 18:35:00</t>
        </is>
      </c>
      <c r="C6760" t="inlineStr">
        <is>
          <t>Organic Search</t>
        </is>
      </c>
      <c r="D6760" t="inlineStr">
        <is>
          <t>K-12 Math</t>
        </is>
      </c>
      <c r="E6760" t="inlineStr">
        <is>
          <t>East Region</t>
        </is>
      </c>
      <c r="F6760" t="inlineStr">
        <is>
          <t>Rep_04</t>
        </is>
      </c>
      <c r="G6760" t="n">
        <v>16.96</v>
      </c>
      <c r="H6760" t="inlineStr">
        <is>
          <t>Contacted</t>
        </is>
      </c>
      <c r="I6760" t="inlineStr">
        <is>
          <t>Open</t>
        </is>
      </c>
      <c r="M6760">
        <f>VLOOKUP(H6760,'Stage Order'!$A$2:$B$8,2,FALSE)</f>
        <v/>
      </c>
      <c r="N6760">
        <f>IF(G6760&lt;=1,"1. Under 1 hour",IF(G6760&lt;=24,"2. 1-24 hours",IF(G6760&lt;=72,"3. 1-3 days","4. Over 3 days")))</f>
        <v/>
      </c>
      <c r="O6760">
        <f>TEXT(B6760,"YYYY-MM")</f>
        <v/>
      </c>
    </row>
    <row r="6761">
      <c r="A6761" t="inlineStr">
        <is>
          <t>LD-306759</t>
        </is>
      </c>
      <c r="B6761" t="inlineStr">
        <is>
          <t>2026-03-31 18:52:00</t>
        </is>
      </c>
      <c r="C6761" t="inlineStr">
        <is>
          <t>Organic Search</t>
        </is>
      </c>
      <c r="D6761" t="inlineStr">
        <is>
          <t>K-12 Math</t>
        </is>
      </c>
      <c r="E6761" t="inlineStr">
        <is>
          <t>North Region</t>
        </is>
      </c>
      <c r="F6761" t="inlineStr">
        <is>
          <t>Rep_01</t>
        </is>
      </c>
      <c r="G6761" t="n">
        <v>2.83</v>
      </c>
      <c r="H6761" t="inlineStr">
        <is>
          <t>Contacted</t>
        </is>
      </c>
      <c r="I6761" t="inlineStr">
        <is>
          <t>Open</t>
        </is>
      </c>
      <c r="M6761">
        <f>VLOOKUP(H6761,'Stage Order'!$A$2:$B$8,2,FALSE)</f>
        <v/>
      </c>
      <c r="N6761">
        <f>IF(G6761&lt;=1,"1. Under 1 hour",IF(G6761&lt;=24,"2. 1-24 hours",IF(G6761&lt;=72,"3. 1-3 days","4. Over 3 days")))</f>
        <v/>
      </c>
      <c r="O6761">
        <f>TEXT(B6761,"YYYY-MM")</f>
        <v/>
      </c>
    </row>
    <row r="6762">
      <c r="A6762" t="inlineStr">
        <is>
          <t>LD-306760</t>
        </is>
      </c>
      <c r="B6762" t="inlineStr">
        <is>
          <t>2025-03-20 18:56:00</t>
        </is>
      </c>
      <c r="C6762" t="inlineStr">
        <is>
          <t>Referral</t>
        </is>
      </c>
      <c r="D6762" t="inlineStr">
        <is>
          <t>Language Learning</t>
        </is>
      </c>
      <c r="E6762" t="inlineStr">
        <is>
          <t>West Region</t>
        </is>
      </c>
      <c r="F6762" t="inlineStr">
        <is>
          <t>Rep_13</t>
        </is>
      </c>
      <c r="G6762" t="n">
        <v>4.42</v>
      </c>
      <c r="H6762" t="inlineStr">
        <is>
          <t>Contacted</t>
        </is>
      </c>
      <c r="I6762" t="inlineStr">
        <is>
          <t>Open</t>
        </is>
      </c>
      <c r="M6762">
        <f>VLOOKUP(H6762,'Stage Order'!$A$2:$B$8,2,FALSE)</f>
        <v/>
      </c>
      <c r="N6762">
        <f>IF(G6762&lt;=1,"1. Under 1 hour",IF(G6762&lt;=24,"2. 1-24 hours",IF(G6762&lt;=72,"3. 1-3 days","4. Over 3 days")))</f>
        <v/>
      </c>
      <c r="O6762">
        <f>TEXT(B6762,"YYYY-MM")</f>
        <v/>
      </c>
    </row>
    <row r="6763">
      <c r="A6763" t="inlineStr">
        <is>
          <t>LD-306761</t>
        </is>
      </c>
      <c r="B6763" t="inlineStr">
        <is>
          <t>2025-07-21 18:02:00</t>
        </is>
      </c>
      <c r="C6763" t="inlineStr">
        <is>
          <t>Webinar</t>
        </is>
      </c>
      <c r="D6763" t="inlineStr">
        <is>
          <t>Study Abroad Prep</t>
        </is>
      </c>
      <c r="E6763" t="inlineStr">
        <is>
          <t>South Region</t>
        </is>
      </c>
      <c r="F6763" t="inlineStr">
        <is>
          <t>Rep_12</t>
        </is>
      </c>
      <c r="G6763" t="n">
        <v>1.19</v>
      </c>
      <c r="H6763" t="inlineStr">
        <is>
          <t>Contacted</t>
        </is>
      </c>
      <c r="I6763" t="inlineStr">
        <is>
          <t>Open</t>
        </is>
      </c>
      <c r="M6763">
        <f>VLOOKUP(H6763,'Stage Order'!$A$2:$B$8,2,FALSE)</f>
        <v/>
      </c>
      <c r="N6763">
        <f>IF(G6763&lt;=1,"1. Under 1 hour",IF(G6763&lt;=24,"2. 1-24 hours",IF(G6763&lt;=72,"3. 1-3 days","4. Over 3 days")))</f>
        <v/>
      </c>
      <c r="O6763">
        <f>TEXT(B6763,"YYYY-MM")</f>
        <v/>
      </c>
    </row>
    <row r="6764">
      <c r="A6764" t="inlineStr">
        <is>
          <t>LD-306762</t>
        </is>
      </c>
      <c r="B6764" t="inlineStr">
        <is>
          <t>2025-01-30 12:38:00</t>
        </is>
      </c>
      <c r="C6764" t="inlineStr">
        <is>
          <t>Partner Channel</t>
        </is>
      </c>
      <c r="D6764" t="inlineStr">
        <is>
          <t>Study Abroad Prep</t>
        </is>
      </c>
      <c r="E6764" t="inlineStr">
        <is>
          <t>International</t>
        </is>
      </c>
      <c r="F6764" t="inlineStr">
        <is>
          <t>Rep_05</t>
        </is>
      </c>
      <c r="G6764" t="n">
        <v>3.13</v>
      </c>
      <c r="H6764" t="inlineStr">
        <is>
          <t>Contacted</t>
        </is>
      </c>
      <c r="I6764" t="inlineStr">
        <is>
          <t>Open</t>
        </is>
      </c>
      <c r="M6764">
        <f>VLOOKUP(H6764,'Stage Order'!$A$2:$B$8,2,FALSE)</f>
        <v/>
      </c>
      <c r="N6764">
        <f>IF(G6764&lt;=1,"1. Under 1 hour",IF(G6764&lt;=24,"2. 1-24 hours",IF(G6764&lt;=72,"3. 1-3 days","4. Over 3 days")))</f>
        <v/>
      </c>
      <c r="O6764">
        <f>TEXT(B6764,"YYYY-MM")</f>
        <v/>
      </c>
    </row>
    <row r="6765">
      <c r="A6765" t="inlineStr">
        <is>
          <t>LD-306763</t>
        </is>
      </c>
      <c r="B6765" t="inlineStr">
        <is>
          <t>2026-03-30 08:30:00</t>
        </is>
      </c>
      <c r="C6765" t="inlineStr">
        <is>
          <t>Organic Search</t>
        </is>
      </c>
      <c r="D6765" t="inlineStr">
        <is>
          <t>Study Abroad Prep</t>
        </is>
      </c>
      <c r="E6765" t="inlineStr">
        <is>
          <t>North Region</t>
        </is>
      </c>
      <c r="F6765" t="inlineStr">
        <is>
          <t>Rep_11</t>
        </is>
      </c>
      <c r="G6765" t="n">
        <v>5.36</v>
      </c>
      <c r="H6765" t="inlineStr">
        <is>
          <t>Contacted</t>
        </is>
      </c>
      <c r="I6765" t="inlineStr">
        <is>
          <t>Open</t>
        </is>
      </c>
      <c r="M6765">
        <f>VLOOKUP(H6765,'Stage Order'!$A$2:$B$8,2,FALSE)</f>
        <v/>
      </c>
      <c r="N6765">
        <f>IF(G6765&lt;=1,"1. Under 1 hour",IF(G6765&lt;=24,"2. 1-24 hours",IF(G6765&lt;=72,"3. 1-3 days","4. Over 3 days")))</f>
        <v/>
      </c>
      <c r="O6765">
        <f>TEXT(B6765,"YYYY-MM")</f>
        <v/>
      </c>
    </row>
    <row r="6766">
      <c r="A6766" t="inlineStr">
        <is>
          <t>LD-306764</t>
        </is>
      </c>
      <c r="B6766" t="inlineStr">
        <is>
          <t>2025-04-10 10:30:00</t>
        </is>
      </c>
      <c r="C6766" t="inlineStr">
        <is>
          <t>Partner Channel</t>
        </is>
      </c>
      <c r="D6766" t="inlineStr">
        <is>
          <t>K-12 Math</t>
        </is>
      </c>
      <c r="E6766" t="inlineStr">
        <is>
          <t>East Region</t>
        </is>
      </c>
      <c r="F6766" t="inlineStr">
        <is>
          <t>Rep_14</t>
        </is>
      </c>
      <c r="G6766" t="n">
        <v>8.15</v>
      </c>
      <c r="H6766" t="inlineStr">
        <is>
          <t>Lead</t>
        </is>
      </c>
      <c r="I6766" t="inlineStr">
        <is>
          <t>Open</t>
        </is>
      </c>
      <c r="M6766">
        <f>VLOOKUP(H6766,'Stage Order'!$A$2:$B$8,2,FALSE)</f>
        <v/>
      </c>
      <c r="N6766">
        <f>IF(G6766&lt;=1,"1. Under 1 hour",IF(G6766&lt;=24,"2. 1-24 hours",IF(G6766&lt;=72,"3. 1-3 days","4. Over 3 days")))</f>
        <v/>
      </c>
      <c r="O6766">
        <f>TEXT(B6766,"YYYY-MM")</f>
        <v/>
      </c>
    </row>
    <row r="6767">
      <c r="A6767" t="inlineStr">
        <is>
          <t>LD-306765</t>
        </is>
      </c>
      <c r="B6767" t="inlineStr">
        <is>
          <t>2025-05-22 11:55:00</t>
        </is>
      </c>
      <c r="C6767" t="inlineStr">
        <is>
          <t>Social Media</t>
        </is>
      </c>
      <c r="D6767" t="inlineStr">
        <is>
          <t>K-12 Math</t>
        </is>
      </c>
      <c r="E6767" t="inlineStr">
        <is>
          <t>North Region</t>
        </is>
      </c>
      <c r="F6767" t="inlineStr">
        <is>
          <t>Rep_11</t>
        </is>
      </c>
      <c r="G6767" t="n">
        <v>3.88</v>
      </c>
      <c r="H6767" t="inlineStr">
        <is>
          <t>Contacted</t>
        </is>
      </c>
      <c r="I6767" t="inlineStr">
        <is>
          <t>Open</t>
        </is>
      </c>
      <c r="M6767">
        <f>VLOOKUP(H6767,'Stage Order'!$A$2:$B$8,2,FALSE)</f>
        <v/>
      </c>
      <c r="N6767">
        <f>IF(G6767&lt;=1,"1. Under 1 hour",IF(G6767&lt;=24,"2. 1-24 hours",IF(G6767&lt;=72,"3. 1-3 days","4. Over 3 days")))</f>
        <v/>
      </c>
      <c r="O6767">
        <f>TEXT(B6767,"YYYY-MM")</f>
        <v/>
      </c>
    </row>
    <row r="6768">
      <c r="A6768" t="inlineStr">
        <is>
          <t>LD-306766</t>
        </is>
      </c>
      <c r="B6768" t="inlineStr">
        <is>
          <t>2026-05-13 20:38:00</t>
        </is>
      </c>
      <c r="C6768" t="inlineStr">
        <is>
          <t>Referral</t>
        </is>
      </c>
      <c r="D6768" t="inlineStr">
        <is>
          <t>Study Abroad Prep</t>
        </is>
      </c>
      <c r="E6768" t="inlineStr">
        <is>
          <t>West Region</t>
        </is>
      </c>
      <c r="F6768" t="inlineStr">
        <is>
          <t>Rep_08</t>
        </is>
      </c>
      <c r="G6768" t="n">
        <v>0.9</v>
      </c>
      <c r="H6768" t="inlineStr">
        <is>
          <t>Closed</t>
        </is>
      </c>
      <c r="I6768" t="inlineStr">
        <is>
          <t>Won</t>
        </is>
      </c>
      <c r="K6768" t="n">
        <v>1673.4</v>
      </c>
      <c r="L6768" t="inlineStr">
        <is>
          <t>2026-07-04 15:59:00.880591</t>
        </is>
      </c>
      <c r="M6768">
        <f>VLOOKUP(H6768,'Stage Order'!$A$2:$B$8,2,FALSE)</f>
        <v/>
      </c>
      <c r="N6768">
        <f>IF(G6768&lt;=1,"1. Under 1 hour",IF(G6768&lt;=24,"2. 1-24 hours",IF(G6768&lt;=72,"3. 1-3 days","4. Over 3 days")))</f>
        <v/>
      </c>
      <c r="O6768">
        <f>TEXT(B6768,"YYYY-MM")</f>
        <v/>
      </c>
    </row>
    <row r="6769">
      <c r="A6769" t="inlineStr">
        <is>
          <t>LD-306767</t>
        </is>
      </c>
      <c r="B6769" t="inlineStr">
        <is>
          <t>2025-04-22 15:17:00</t>
        </is>
      </c>
      <c r="C6769" t="inlineStr">
        <is>
          <t>Paid Search</t>
        </is>
      </c>
      <c r="D6769" t="inlineStr">
        <is>
          <t>Coding for Kids</t>
        </is>
      </c>
      <c r="E6769" t="inlineStr">
        <is>
          <t>West Region</t>
        </is>
      </c>
      <c r="F6769" t="inlineStr">
        <is>
          <t>Rep_13</t>
        </is>
      </c>
      <c r="G6769" t="n">
        <v>2.12</v>
      </c>
      <c r="H6769" t="inlineStr">
        <is>
          <t>Proposal Sent</t>
        </is>
      </c>
      <c r="I6769" t="inlineStr">
        <is>
          <t>Lost</t>
        </is>
      </c>
      <c r="J6769" t="inlineStr">
        <is>
          <t>Bad Timing</t>
        </is>
      </c>
      <c r="K6769" t="n">
        <v>731.08</v>
      </c>
      <c r="L6769" t="inlineStr">
        <is>
          <t>2025-06-03 01:18:22.156849</t>
        </is>
      </c>
      <c r="M6769">
        <f>VLOOKUP(H6769,'Stage Order'!$A$2:$B$8,2,FALSE)</f>
        <v/>
      </c>
      <c r="N6769">
        <f>IF(G6769&lt;=1,"1. Under 1 hour",IF(G6769&lt;=24,"2. 1-24 hours",IF(G6769&lt;=72,"3. 1-3 days","4. Over 3 days")))</f>
        <v/>
      </c>
      <c r="O6769">
        <f>TEXT(B6769,"YYYY-MM")</f>
        <v/>
      </c>
    </row>
    <row r="6770">
      <c r="A6770" t="inlineStr">
        <is>
          <t>LD-306768</t>
        </is>
      </c>
      <c r="B6770" t="inlineStr">
        <is>
          <t>2025-07-15 11:44:00</t>
        </is>
      </c>
      <c r="C6770" t="inlineStr">
        <is>
          <t>Social Media</t>
        </is>
      </c>
      <c r="D6770" t="inlineStr">
        <is>
          <t>Language Learning</t>
        </is>
      </c>
      <c r="E6770" t="inlineStr">
        <is>
          <t>East Region</t>
        </is>
      </c>
      <c r="F6770" t="inlineStr">
        <is>
          <t>Rep_14</t>
        </is>
      </c>
      <c r="G6770" t="n">
        <v>4.94</v>
      </c>
      <c r="H6770" t="inlineStr">
        <is>
          <t>Lead</t>
        </is>
      </c>
      <c r="I6770" t="inlineStr">
        <is>
          <t>Open</t>
        </is>
      </c>
      <c r="M6770">
        <f>VLOOKUP(H6770,'Stage Order'!$A$2:$B$8,2,FALSE)</f>
        <v/>
      </c>
      <c r="N6770">
        <f>IF(G6770&lt;=1,"1. Under 1 hour",IF(G6770&lt;=24,"2. 1-24 hours",IF(G6770&lt;=72,"3. 1-3 days","4. Over 3 days")))</f>
        <v/>
      </c>
      <c r="O6770">
        <f>TEXT(B6770,"YYYY-MM")</f>
        <v/>
      </c>
    </row>
    <row r="6771">
      <c r="A6771" t="inlineStr">
        <is>
          <t>LD-306769</t>
        </is>
      </c>
      <c r="B6771" t="inlineStr">
        <is>
          <t>2026-03-04 16:34:00</t>
        </is>
      </c>
      <c r="C6771" t="inlineStr">
        <is>
          <t>Paid Search</t>
        </is>
      </c>
      <c r="D6771" t="inlineStr">
        <is>
          <t>Language Learning</t>
        </is>
      </c>
      <c r="E6771" t="inlineStr">
        <is>
          <t>East Region</t>
        </is>
      </c>
      <c r="F6771" t="inlineStr">
        <is>
          <t>Rep_09</t>
        </is>
      </c>
      <c r="G6771" t="n">
        <v>14.17</v>
      </c>
      <c r="H6771" t="inlineStr">
        <is>
          <t>Lead</t>
        </is>
      </c>
      <c r="I6771" t="inlineStr">
        <is>
          <t>Open</t>
        </is>
      </c>
      <c r="M6771">
        <f>VLOOKUP(H6771,'Stage Order'!$A$2:$B$8,2,FALSE)</f>
        <v/>
      </c>
      <c r="N6771">
        <f>IF(G6771&lt;=1,"1. Under 1 hour",IF(G6771&lt;=24,"2. 1-24 hours",IF(G6771&lt;=72,"3. 1-3 days","4. Over 3 days")))</f>
        <v/>
      </c>
      <c r="O6771">
        <f>TEXT(B6771,"YYYY-MM")</f>
        <v/>
      </c>
    </row>
    <row r="6772">
      <c r="A6772" t="inlineStr">
        <is>
          <t>LD-306770</t>
        </is>
      </c>
      <c r="B6772" t="inlineStr">
        <is>
          <t>2026-04-05 14:38:00</t>
        </is>
      </c>
      <c r="C6772" t="inlineStr">
        <is>
          <t>Social Media</t>
        </is>
      </c>
      <c r="D6772" t="inlineStr">
        <is>
          <t>Competitive Exam Prep</t>
        </is>
      </c>
      <c r="E6772" t="inlineStr">
        <is>
          <t>North Region</t>
        </is>
      </c>
      <c r="F6772" t="inlineStr">
        <is>
          <t>Rep_01</t>
        </is>
      </c>
      <c r="G6772" t="n">
        <v>1.34</v>
      </c>
      <c r="H6772" t="inlineStr">
        <is>
          <t>Closed</t>
        </is>
      </c>
      <c r="I6772" t="inlineStr">
        <is>
          <t>Won</t>
        </is>
      </c>
      <c r="K6772" t="n">
        <v>1023.98</v>
      </c>
      <c r="L6772" t="inlineStr">
        <is>
          <t>2026-05-15 12:18:41.570449</t>
        </is>
      </c>
      <c r="M6772">
        <f>VLOOKUP(H6772,'Stage Order'!$A$2:$B$8,2,FALSE)</f>
        <v/>
      </c>
      <c r="N6772">
        <f>IF(G6772&lt;=1,"1. Under 1 hour",IF(G6772&lt;=24,"2. 1-24 hours",IF(G6772&lt;=72,"3. 1-3 days","4. Over 3 days")))</f>
        <v/>
      </c>
      <c r="O6772">
        <f>TEXT(B6772,"YYYY-MM")</f>
        <v/>
      </c>
    </row>
    <row r="6773">
      <c r="A6773" t="inlineStr">
        <is>
          <t>LD-306771</t>
        </is>
      </c>
      <c r="B6773" t="inlineStr">
        <is>
          <t>2025-08-11 15:57:00</t>
        </is>
      </c>
      <c r="C6773" t="inlineStr">
        <is>
          <t>Cold Outreach</t>
        </is>
      </c>
      <c r="D6773" t="inlineStr">
        <is>
          <t>Coding for Kids</t>
        </is>
      </c>
      <c r="E6773" t="inlineStr">
        <is>
          <t>East Region</t>
        </is>
      </c>
      <c r="F6773" t="inlineStr">
        <is>
          <t>Rep_09</t>
        </is>
      </c>
      <c r="G6773" t="n">
        <v>2.91</v>
      </c>
      <c r="H6773" t="inlineStr">
        <is>
          <t>Demo Completed</t>
        </is>
      </c>
      <c r="I6773" t="inlineStr">
        <is>
          <t>Lost</t>
        </is>
      </c>
      <c r="J6773" t="inlineStr">
        <is>
          <t>Budget Not Approved</t>
        </is>
      </c>
      <c r="K6773" t="n">
        <v>769.63</v>
      </c>
      <c r="L6773" t="inlineStr">
        <is>
          <t>2025-09-11 07:28:10.441026</t>
        </is>
      </c>
      <c r="M6773">
        <f>VLOOKUP(H6773,'Stage Order'!$A$2:$B$8,2,FALSE)</f>
        <v/>
      </c>
      <c r="N6773">
        <f>IF(G6773&lt;=1,"1. Under 1 hour",IF(G6773&lt;=24,"2. 1-24 hours",IF(G6773&lt;=72,"3. 1-3 days","4. Over 3 days")))</f>
        <v/>
      </c>
      <c r="O6773">
        <f>TEXT(B6773,"YYYY-MM")</f>
        <v/>
      </c>
    </row>
    <row r="6774">
      <c r="A6774" t="inlineStr">
        <is>
          <t>LD-306772</t>
        </is>
      </c>
      <c r="B6774" t="inlineStr">
        <is>
          <t>2026-05-24 20:19:00</t>
        </is>
      </c>
      <c r="C6774" t="inlineStr">
        <is>
          <t>Organic Search</t>
        </is>
      </c>
      <c r="D6774" t="inlineStr">
        <is>
          <t>Study Abroad Prep</t>
        </is>
      </c>
      <c r="E6774" t="inlineStr">
        <is>
          <t>North Region</t>
        </is>
      </c>
      <c r="F6774" t="inlineStr">
        <is>
          <t>Rep_01</t>
        </is>
      </c>
      <c r="G6774" t="n">
        <v>5.44</v>
      </c>
      <c r="H6774" t="inlineStr">
        <is>
          <t>Contacted</t>
        </is>
      </c>
      <c r="I6774" t="inlineStr">
        <is>
          <t>Open</t>
        </is>
      </c>
      <c r="M6774">
        <f>VLOOKUP(H6774,'Stage Order'!$A$2:$B$8,2,FALSE)</f>
        <v/>
      </c>
      <c r="N6774">
        <f>IF(G6774&lt;=1,"1. Under 1 hour",IF(G6774&lt;=24,"2. 1-24 hours",IF(G6774&lt;=72,"3. 1-3 days","4. Over 3 days")))</f>
        <v/>
      </c>
      <c r="O6774">
        <f>TEXT(B6774,"YYYY-MM")</f>
        <v/>
      </c>
    </row>
    <row r="6775">
      <c r="A6775" t="inlineStr">
        <is>
          <t>LD-306773</t>
        </is>
      </c>
      <c r="B6775" t="inlineStr">
        <is>
          <t>2026-02-02 19:39:00</t>
        </is>
      </c>
      <c r="C6775" t="inlineStr">
        <is>
          <t>Webinar</t>
        </is>
      </c>
      <c r="D6775" t="inlineStr">
        <is>
          <t>K-12 Math</t>
        </is>
      </c>
      <c r="E6775" t="inlineStr">
        <is>
          <t>West Region</t>
        </is>
      </c>
      <c r="F6775" t="inlineStr">
        <is>
          <t>Rep_03</t>
        </is>
      </c>
      <c r="G6775" t="n">
        <v>2.21</v>
      </c>
      <c r="H6775" t="inlineStr">
        <is>
          <t>Contacted</t>
        </is>
      </c>
      <c r="I6775" t="inlineStr">
        <is>
          <t>Open</t>
        </is>
      </c>
      <c r="M6775">
        <f>VLOOKUP(H6775,'Stage Order'!$A$2:$B$8,2,FALSE)</f>
        <v/>
      </c>
      <c r="N6775">
        <f>IF(G6775&lt;=1,"1. Under 1 hour",IF(G6775&lt;=24,"2. 1-24 hours",IF(G6775&lt;=72,"3. 1-3 days","4. Over 3 days")))</f>
        <v/>
      </c>
      <c r="O6775">
        <f>TEXT(B6775,"YYYY-MM")</f>
        <v/>
      </c>
    </row>
    <row r="6776">
      <c r="A6776" t="inlineStr">
        <is>
          <t>LD-306774</t>
        </is>
      </c>
      <c r="B6776" t="inlineStr">
        <is>
          <t>2025-03-22 09:34:00</t>
        </is>
      </c>
      <c r="C6776" t="inlineStr">
        <is>
          <t>Social Media</t>
        </is>
      </c>
      <c r="D6776" t="inlineStr">
        <is>
          <t>K-12 Math</t>
        </is>
      </c>
      <c r="E6776" t="inlineStr">
        <is>
          <t>North Region</t>
        </is>
      </c>
      <c r="F6776" t="inlineStr">
        <is>
          <t>Rep_01</t>
        </is>
      </c>
      <c r="G6776" t="n">
        <v>1.11</v>
      </c>
      <c r="H6776" t="inlineStr">
        <is>
          <t>Demo Completed</t>
        </is>
      </c>
      <c r="I6776" t="inlineStr">
        <is>
          <t>Lost</t>
        </is>
      </c>
      <c r="J6776" t="inlineStr">
        <is>
          <t>No Response / Ghosted</t>
        </is>
      </c>
      <c r="K6776" t="n">
        <v>596.3</v>
      </c>
      <c r="L6776" t="inlineStr">
        <is>
          <t>2025-04-08 23:16:46.760608</t>
        </is>
      </c>
      <c r="M6776">
        <f>VLOOKUP(H6776,'Stage Order'!$A$2:$B$8,2,FALSE)</f>
        <v/>
      </c>
      <c r="N6776">
        <f>IF(G6776&lt;=1,"1. Under 1 hour",IF(G6776&lt;=24,"2. 1-24 hours",IF(G6776&lt;=72,"3. 1-3 days","4. Over 3 days")))</f>
        <v/>
      </c>
      <c r="O6776">
        <f>TEXT(B6776,"YYYY-MM")</f>
        <v/>
      </c>
    </row>
    <row r="6777">
      <c r="A6777" t="inlineStr">
        <is>
          <t>LD-306775</t>
        </is>
      </c>
      <c r="B6777" t="inlineStr">
        <is>
          <t>2025-11-10 15:01:00</t>
        </is>
      </c>
      <c r="C6777" t="inlineStr">
        <is>
          <t>Organic Search</t>
        </is>
      </c>
      <c r="D6777" t="inlineStr">
        <is>
          <t>Coding for Kids</t>
        </is>
      </c>
      <c r="E6777" t="inlineStr">
        <is>
          <t>International</t>
        </is>
      </c>
      <c r="F6777" t="inlineStr">
        <is>
          <t>Rep_05</t>
        </is>
      </c>
      <c r="G6777" t="n">
        <v>2.97</v>
      </c>
      <c r="H6777" t="inlineStr">
        <is>
          <t>Contacted</t>
        </is>
      </c>
      <c r="I6777" t="inlineStr">
        <is>
          <t>Open</t>
        </is>
      </c>
      <c r="M6777">
        <f>VLOOKUP(H6777,'Stage Order'!$A$2:$B$8,2,FALSE)</f>
        <v/>
      </c>
      <c r="N6777">
        <f>IF(G6777&lt;=1,"1. Under 1 hour",IF(G6777&lt;=24,"2. 1-24 hours",IF(G6777&lt;=72,"3. 1-3 days","4. Over 3 days")))</f>
        <v/>
      </c>
      <c r="O6777">
        <f>TEXT(B6777,"YYYY-MM")</f>
        <v/>
      </c>
    </row>
    <row r="6778">
      <c r="A6778" t="inlineStr">
        <is>
          <t>LD-306776</t>
        </is>
      </c>
      <c r="B6778" t="inlineStr">
        <is>
          <t>2025-05-28 15:19:00</t>
        </is>
      </c>
      <c r="C6778" t="inlineStr">
        <is>
          <t>Referral</t>
        </is>
      </c>
      <c r="D6778" t="inlineStr">
        <is>
          <t>K-12 Math</t>
        </is>
      </c>
      <c r="E6778" t="inlineStr">
        <is>
          <t>East Region</t>
        </is>
      </c>
      <c r="F6778" t="inlineStr">
        <is>
          <t>Rep_04</t>
        </is>
      </c>
      <c r="G6778" t="n">
        <v>0.44</v>
      </c>
      <c r="H6778" t="inlineStr">
        <is>
          <t>Contacted</t>
        </is>
      </c>
      <c r="I6778" t="inlineStr">
        <is>
          <t>Open</t>
        </is>
      </c>
      <c r="M6778">
        <f>VLOOKUP(H6778,'Stage Order'!$A$2:$B$8,2,FALSE)</f>
        <v/>
      </c>
      <c r="N6778">
        <f>IF(G6778&lt;=1,"1. Under 1 hour",IF(G6778&lt;=24,"2. 1-24 hours",IF(G6778&lt;=72,"3. 1-3 days","4. Over 3 days")))</f>
        <v/>
      </c>
      <c r="O6778">
        <f>TEXT(B6778,"YYYY-MM")</f>
        <v/>
      </c>
    </row>
    <row r="6779">
      <c r="A6779" t="inlineStr">
        <is>
          <t>LD-306777</t>
        </is>
      </c>
      <c r="B6779" t="inlineStr">
        <is>
          <t>2025-12-25 13:53:00</t>
        </is>
      </c>
      <c r="C6779" t="inlineStr">
        <is>
          <t>Partner Channel</t>
        </is>
      </c>
      <c r="D6779" t="inlineStr">
        <is>
          <t>K-12 Math</t>
        </is>
      </c>
      <c r="E6779" t="inlineStr">
        <is>
          <t>North Region</t>
        </is>
      </c>
      <c r="F6779" t="inlineStr">
        <is>
          <t>Rep_11</t>
        </is>
      </c>
      <c r="G6779" t="n">
        <v>0.87</v>
      </c>
      <c r="H6779" t="inlineStr">
        <is>
          <t>Contacted</t>
        </is>
      </c>
      <c r="I6779" t="inlineStr">
        <is>
          <t>Open</t>
        </is>
      </c>
      <c r="M6779">
        <f>VLOOKUP(H6779,'Stage Order'!$A$2:$B$8,2,FALSE)</f>
        <v/>
      </c>
      <c r="N6779">
        <f>IF(G6779&lt;=1,"1. Under 1 hour",IF(G6779&lt;=24,"2. 1-24 hours",IF(G6779&lt;=72,"3. 1-3 days","4. Over 3 days")))</f>
        <v/>
      </c>
      <c r="O6779">
        <f>TEXT(B6779,"YYYY-MM")</f>
        <v/>
      </c>
    </row>
    <row r="6780">
      <c r="A6780" t="inlineStr">
        <is>
          <t>LD-306778</t>
        </is>
      </c>
      <c r="B6780" t="inlineStr">
        <is>
          <t>2025-12-25 12:02:00</t>
        </is>
      </c>
      <c r="C6780" t="inlineStr">
        <is>
          <t>Webinar</t>
        </is>
      </c>
      <c r="D6780" t="inlineStr">
        <is>
          <t>Competitive Exam Prep</t>
        </is>
      </c>
      <c r="E6780" t="inlineStr">
        <is>
          <t>East Region</t>
        </is>
      </c>
      <c r="F6780" t="inlineStr">
        <is>
          <t>Rep_14</t>
        </is>
      </c>
      <c r="G6780" t="n">
        <v>5.65</v>
      </c>
      <c r="H6780" t="inlineStr">
        <is>
          <t>Contacted</t>
        </is>
      </c>
      <c r="I6780" t="inlineStr">
        <is>
          <t>Open</t>
        </is>
      </c>
      <c r="M6780">
        <f>VLOOKUP(H6780,'Stage Order'!$A$2:$B$8,2,FALSE)</f>
        <v/>
      </c>
      <c r="N6780">
        <f>IF(G6780&lt;=1,"1. Under 1 hour",IF(G6780&lt;=24,"2. 1-24 hours",IF(G6780&lt;=72,"3. 1-3 days","4. Over 3 days")))</f>
        <v/>
      </c>
      <c r="O6780">
        <f>TEXT(B6780,"YYYY-MM")</f>
        <v/>
      </c>
    </row>
    <row r="6781">
      <c r="A6781" t="inlineStr">
        <is>
          <t>LD-306779</t>
        </is>
      </c>
      <c r="B6781" t="inlineStr">
        <is>
          <t>2025-06-15 15:05:00</t>
        </is>
      </c>
      <c r="C6781" t="inlineStr">
        <is>
          <t>Social Media</t>
        </is>
      </c>
      <c r="D6781" t="inlineStr">
        <is>
          <t>Study Abroad Prep</t>
        </is>
      </c>
      <c r="E6781" t="inlineStr">
        <is>
          <t>International</t>
        </is>
      </c>
      <c r="F6781" t="inlineStr">
        <is>
          <t>Rep_05</t>
        </is>
      </c>
      <c r="G6781" t="n">
        <v>3.82</v>
      </c>
      <c r="H6781" t="inlineStr">
        <is>
          <t>Contacted</t>
        </is>
      </c>
      <c r="I6781" t="inlineStr">
        <is>
          <t>Open</t>
        </is>
      </c>
      <c r="M6781">
        <f>VLOOKUP(H6781,'Stage Order'!$A$2:$B$8,2,FALSE)</f>
        <v/>
      </c>
      <c r="N6781">
        <f>IF(G6781&lt;=1,"1. Under 1 hour",IF(G6781&lt;=24,"2. 1-24 hours",IF(G6781&lt;=72,"3. 1-3 days","4. Over 3 days")))</f>
        <v/>
      </c>
      <c r="O6781">
        <f>TEXT(B6781,"YYYY-MM")</f>
        <v/>
      </c>
    </row>
    <row r="6782">
      <c r="A6782" t="inlineStr">
        <is>
          <t>LD-306780</t>
        </is>
      </c>
      <c r="B6782" t="inlineStr">
        <is>
          <t>2025-01-31 12:03:00</t>
        </is>
      </c>
      <c r="C6782" t="inlineStr">
        <is>
          <t>Social Media</t>
        </is>
      </c>
      <c r="D6782" t="inlineStr">
        <is>
          <t>Study Abroad Prep</t>
        </is>
      </c>
      <c r="E6782" t="inlineStr">
        <is>
          <t>South Region</t>
        </is>
      </c>
      <c r="F6782" t="inlineStr">
        <is>
          <t>Rep_12</t>
        </is>
      </c>
      <c r="G6782" t="n">
        <v>2.57</v>
      </c>
      <c r="H6782" t="inlineStr">
        <is>
          <t>Contacted</t>
        </is>
      </c>
      <c r="I6782" t="inlineStr">
        <is>
          <t>Open</t>
        </is>
      </c>
      <c r="M6782">
        <f>VLOOKUP(H6782,'Stage Order'!$A$2:$B$8,2,FALSE)</f>
        <v/>
      </c>
      <c r="N6782">
        <f>IF(G6782&lt;=1,"1. Under 1 hour",IF(G6782&lt;=24,"2. 1-24 hours",IF(G6782&lt;=72,"3. 1-3 days","4. Over 3 days")))</f>
        <v/>
      </c>
      <c r="O6782">
        <f>TEXT(B6782,"YYYY-MM")</f>
        <v/>
      </c>
    </row>
    <row r="6783">
      <c r="A6783" t="inlineStr">
        <is>
          <t>LD-306781</t>
        </is>
      </c>
      <c r="B6783" t="inlineStr">
        <is>
          <t>2026-01-19 16:41:00</t>
        </is>
      </c>
      <c r="C6783" t="inlineStr">
        <is>
          <t>Webinar</t>
        </is>
      </c>
      <c r="D6783" t="inlineStr">
        <is>
          <t>K-12 Math</t>
        </is>
      </c>
      <c r="E6783" t="inlineStr">
        <is>
          <t>North Region</t>
        </is>
      </c>
      <c r="F6783" t="inlineStr">
        <is>
          <t>Rep_01</t>
        </is>
      </c>
      <c r="G6783" t="n">
        <v>1.22</v>
      </c>
      <c r="H6783" t="inlineStr">
        <is>
          <t>Contacted</t>
        </is>
      </c>
      <c r="I6783" t="inlineStr">
        <is>
          <t>Open</t>
        </is>
      </c>
      <c r="M6783">
        <f>VLOOKUP(H6783,'Stage Order'!$A$2:$B$8,2,FALSE)</f>
        <v/>
      </c>
      <c r="N6783">
        <f>IF(G6783&lt;=1,"1. Under 1 hour",IF(G6783&lt;=24,"2. 1-24 hours",IF(G6783&lt;=72,"3. 1-3 days","4. Over 3 days")))</f>
        <v/>
      </c>
      <c r="O6783">
        <f>TEXT(B6783,"YYYY-MM")</f>
        <v/>
      </c>
    </row>
    <row r="6784">
      <c r="A6784" t="inlineStr">
        <is>
          <t>LD-306782</t>
        </is>
      </c>
      <c r="B6784" t="inlineStr">
        <is>
          <t>2025-11-19 14:47:00</t>
        </is>
      </c>
      <c r="C6784" t="inlineStr">
        <is>
          <t>Paid Search</t>
        </is>
      </c>
      <c r="D6784" t="inlineStr">
        <is>
          <t>Coding for Kids</t>
        </is>
      </c>
      <c r="E6784" t="inlineStr">
        <is>
          <t>South Region</t>
        </is>
      </c>
      <c r="F6784" t="inlineStr">
        <is>
          <t>Rep_02</t>
        </is>
      </c>
      <c r="G6784" t="n">
        <v>5.82</v>
      </c>
      <c r="H6784" t="inlineStr">
        <is>
          <t>Demo Completed</t>
        </is>
      </c>
      <c r="I6784" t="inlineStr">
        <is>
          <t>Lost</t>
        </is>
      </c>
      <c r="J6784" t="inlineStr">
        <is>
          <t>Bad Timing</t>
        </is>
      </c>
      <c r="K6784" t="n">
        <v>599.51</v>
      </c>
      <c r="L6784" t="inlineStr">
        <is>
          <t>2025-12-29 14:16:19.664540</t>
        </is>
      </c>
      <c r="M6784">
        <f>VLOOKUP(H6784,'Stage Order'!$A$2:$B$8,2,FALSE)</f>
        <v/>
      </c>
      <c r="N6784">
        <f>IF(G6784&lt;=1,"1. Under 1 hour",IF(G6784&lt;=24,"2. 1-24 hours",IF(G6784&lt;=72,"3. 1-3 days","4. Over 3 days")))</f>
        <v/>
      </c>
      <c r="O6784">
        <f>TEXT(B6784,"YYYY-MM")</f>
        <v/>
      </c>
    </row>
    <row r="6785">
      <c r="A6785" t="inlineStr">
        <is>
          <t>LD-306783</t>
        </is>
      </c>
      <c r="B6785" t="inlineStr">
        <is>
          <t>2025-03-14 17:51:00</t>
        </is>
      </c>
      <c r="C6785" t="inlineStr">
        <is>
          <t>Paid Search</t>
        </is>
      </c>
      <c r="D6785" t="inlineStr">
        <is>
          <t>Coding for Kids</t>
        </is>
      </c>
      <c r="E6785" t="inlineStr">
        <is>
          <t>East Region</t>
        </is>
      </c>
      <c r="F6785" t="inlineStr">
        <is>
          <t>Rep_14</t>
        </is>
      </c>
      <c r="G6785" t="n">
        <v>0.57</v>
      </c>
      <c r="H6785" t="inlineStr">
        <is>
          <t>Contacted</t>
        </is>
      </c>
      <c r="I6785" t="inlineStr">
        <is>
          <t>Open</t>
        </is>
      </c>
      <c r="M6785">
        <f>VLOOKUP(H6785,'Stage Order'!$A$2:$B$8,2,FALSE)</f>
        <v/>
      </c>
      <c r="N6785">
        <f>IF(G6785&lt;=1,"1. Under 1 hour",IF(G6785&lt;=24,"2. 1-24 hours",IF(G6785&lt;=72,"3. 1-3 days","4. Over 3 days")))</f>
        <v/>
      </c>
      <c r="O6785">
        <f>TEXT(B6785,"YYYY-MM")</f>
        <v/>
      </c>
    </row>
    <row r="6786">
      <c r="A6786" t="inlineStr">
        <is>
          <t>LD-306784</t>
        </is>
      </c>
      <c r="B6786" t="inlineStr">
        <is>
          <t>2025-08-27 14:53:00</t>
        </is>
      </c>
      <c r="C6786" t="inlineStr">
        <is>
          <t>Webinar</t>
        </is>
      </c>
      <c r="D6786" t="inlineStr">
        <is>
          <t>Competitive Exam Prep</t>
        </is>
      </c>
      <c r="E6786" t="inlineStr">
        <is>
          <t>West Region</t>
        </is>
      </c>
      <c r="F6786" t="inlineStr">
        <is>
          <t>Rep_03</t>
        </is>
      </c>
      <c r="G6786" t="n">
        <v>1.71</v>
      </c>
      <c r="H6786" t="inlineStr">
        <is>
          <t>Closed</t>
        </is>
      </c>
      <c r="I6786" t="inlineStr">
        <is>
          <t>Won</t>
        </is>
      </c>
      <c r="K6786" t="n">
        <v>893.76</v>
      </c>
      <c r="L6786" t="inlineStr">
        <is>
          <t>2025-09-29 05:29:15.896397</t>
        </is>
      </c>
      <c r="M6786">
        <f>VLOOKUP(H6786,'Stage Order'!$A$2:$B$8,2,FALSE)</f>
        <v/>
      </c>
      <c r="N6786">
        <f>IF(G6786&lt;=1,"1. Under 1 hour",IF(G6786&lt;=24,"2. 1-24 hours",IF(G6786&lt;=72,"3. 1-3 days","4. Over 3 days")))</f>
        <v/>
      </c>
      <c r="O6786">
        <f>TEXT(B6786,"YYYY-MM")</f>
        <v/>
      </c>
    </row>
    <row r="6787">
      <c r="A6787" t="inlineStr">
        <is>
          <t>LD-306785</t>
        </is>
      </c>
      <c r="B6787" t="inlineStr">
        <is>
          <t>2025-11-25 11:10:00</t>
        </is>
      </c>
      <c r="C6787" t="inlineStr">
        <is>
          <t>Organic Search</t>
        </is>
      </c>
      <c r="D6787" t="inlineStr">
        <is>
          <t>K-12 Math</t>
        </is>
      </c>
      <c r="E6787" t="inlineStr">
        <is>
          <t>West Region</t>
        </is>
      </c>
      <c r="F6787" t="inlineStr">
        <is>
          <t>Rep_13</t>
        </is>
      </c>
      <c r="G6787" t="n">
        <v>6.78</v>
      </c>
      <c r="H6787" t="inlineStr">
        <is>
          <t>Contacted</t>
        </is>
      </c>
      <c r="I6787" t="inlineStr">
        <is>
          <t>Open</t>
        </is>
      </c>
      <c r="M6787">
        <f>VLOOKUP(H6787,'Stage Order'!$A$2:$B$8,2,FALSE)</f>
        <v/>
      </c>
      <c r="N6787">
        <f>IF(G6787&lt;=1,"1. Under 1 hour",IF(G6787&lt;=24,"2. 1-24 hours",IF(G6787&lt;=72,"3. 1-3 days","4. Over 3 days")))</f>
        <v/>
      </c>
      <c r="O6787">
        <f>TEXT(B6787,"YYYY-MM")</f>
        <v/>
      </c>
    </row>
    <row r="6788">
      <c r="A6788" t="inlineStr">
        <is>
          <t>LD-306786</t>
        </is>
      </c>
      <c r="B6788" t="inlineStr">
        <is>
          <t>2025-10-31 13:30:00</t>
        </is>
      </c>
      <c r="C6788" t="inlineStr">
        <is>
          <t>Webinar</t>
        </is>
      </c>
      <c r="D6788" t="inlineStr">
        <is>
          <t>K-12 Math</t>
        </is>
      </c>
      <c r="E6788" t="inlineStr">
        <is>
          <t>North Region</t>
        </is>
      </c>
      <c r="F6788" t="inlineStr">
        <is>
          <t>Rep_01</t>
        </is>
      </c>
      <c r="G6788" t="n">
        <v>2.33</v>
      </c>
      <c r="H6788" t="inlineStr">
        <is>
          <t>Proposal Sent</t>
        </is>
      </c>
      <c r="I6788" t="inlineStr">
        <is>
          <t>Lost</t>
        </is>
      </c>
      <c r="J6788" t="inlineStr">
        <is>
          <t>Bad Timing</t>
        </is>
      </c>
      <c r="K6788" t="n">
        <v>419.75</v>
      </c>
      <c r="L6788" t="inlineStr">
        <is>
          <t>2025-12-17 14:43:38.871895</t>
        </is>
      </c>
      <c r="M6788">
        <f>VLOOKUP(H6788,'Stage Order'!$A$2:$B$8,2,FALSE)</f>
        <v/>
      </c>
      <c r="N6788">
        <f>IF(G6788&lt;=1,"1. Under 1 hour",IF(G6788&lt;=24,"2. 1-24 hours",IF(G6788&lt;=72,"3. 1-3 days","4. Over 3 days")))</f>
        <v/>
      </c>
      <c r="O6788">
        <f>TEXT(B6788,"YYYY-MM")</f>
        <v/>
      </c>
    </row>
    <row r="6789">
      <c r="A6789" t="inlineStr">
        <is>
          <t>LD-306787</t>
        </is>
      </c>
      <c r="B6789" t="inlineStr">
        <is>
          <t>2025-02-19 11:22:00</t>
        </is>
      </c>
      <c r="C6789" t="inlineStr">
        <is>
          <t>Organic Search</t>
        </is>
      </c>
      <c r="D6789" t="inlineStr">
        <is>
          <t>Competitive Exam Prep</t>
        </is>
      </c>
      <c r="E6789" t="inlineStr">
        <is>
          <t>South Region</t>
        </is>
      </c>
      <c r="F6789" t="inlineStr">
        <is>
          <t>Rep_12</t>
        </is>
      </c>
      <c r="G6789" t="n">
        <v>6.12</v>
      </c>
      <c r="H6789" t="inlineStr">
        <is>
          <t>Contacted</t>
        </is>
      </c>
      <c r="I6789" t="inlineStr">
        <is>
          <t>Open</t>
        </is>
      </c>
      <c r="M6789">
        <f>VLOOKUP(H6789,'Stage Order'!$A$2:$B$8,2,FALSE)</f>
        <v/>
      </c>
      <c r="N6789">
        <f>IF(G6789&lt;=1,"1. Under 1 hour",IF(G6789&lt;=24,"2. 1-24 hours",IF(G6789&lt;=72,"3. 1-3 days","4. Over 3 days")))</f>
        <v/>
      </c>
      <c r="O6789">
        <f>TEXT(B6789,"YYYY-MM")</f>
        <v/>
      </c>
    </row>
    <row r="6790">
      <c r="A6790" t="inlineStr">
        <is>
          <t>LD-306788</t>
        </is>
      </c>
      <c r="B6790" t="inlineStr">
        <is>
          <t>2025-07-31 19:35:00</t>
        </is>
      </c>
      <c r="C6790" t="inlineStr">
        <is>
          <t>Cold Outreach</t>
        </is>
      </c>
      <c r="D6790" t="inlineStr">
        <is>
          <t>Study Abroad Prep</t>
        </is>
      </c>
      <c r="E6790" t="inlineStr">
        <is>
          <t>West Region</t>
        </is>
      </c>
      <c r="F6790" t="inlineStr">
        <is>
          <t>Rep_08</t>
        </is>
      </c>
      <c r="G6790" t="n">
        <v>7.25</v>
      </c>
      <c r="H6790" t="inlineStr">
        <is>
          <t>Demo Scheduled</t>
        </is>
      </c>
      <c r="I6790" t="inlineStr">
        <is>
          <t>Open</t>
        </is>
      </c>
      <c r="M6790">
        <f>VLOOKUP(H6790,'Stage Order'!$A$2:$B$8,2,FALSE)</f>
        <v/>
      </c>
      <c r="N6790">
        <f>IF(G6790&lt;=1,"1. Under 1 hour",IF(G6790&lt;=24,"2. 1-24 hours",IF(G6790&lt;=72,"3. 1-3 days","4. Over 3 days")))</f>
        <v/>
      </c>
      <c r="O6790">
        <f>TEXT(B6790,"YYYY-MM")</f>
        <v/>
      </c>
    </row>
    <row r="6791">
      <c r="A6791" t="inlineStr">
        <is>
          <t>LD-306789</t>
        </is>
      </c>
      <c r="B6791" t="inlineStr">
        <is>
          <t>2026-01-27 11:16:00</t>
        </is>
      </c>
      <c r="C6791" t="inlineStr">
        <is>
          <t>Paid Search</t>
        </is>
      </c>
      <c r="D6791" t="inlineStr">
        <is>
          <t>K-12 Math</t>
        </is>
      </c>
      <c r="E6791" t="inlineStr">
        <is>
          <t>North Region</t>
        </is>
      </c>
      <c r="F6791" t="inlineStr">
        <is>
          <t>Rep_06</t>
        </is>
      </c>
      <c r="G6791" t="n">
        <v>1.37</v>
      </c>
      <c r="H6791" t="inlineStr">
        <is>
          <t>Contacted</t>
        </is>
      </c>
      <c r="I6791" t="inlineStr">
        <is>
          <t>Open</t>
        </is>
      </c>
      <c r="M6791">
        <f>VLOOKUP(H6791,'Stage Order'!$A$2:$B$8,2,FALSE)</f>
        <v/>
      </c>
      <c r="N6791">
        <f>IF(G6791&lt;=1,"1. Under 1 hour",IF(G6791&lt;=24,"2. 1-24 hours",IF(G6791&lt;=72,"3. 1-3 days","4. Over 3 days")))</f>
        <v/>
      </c>
      <c r="O6791">
        <f>TEXT(B6791,"YYYY-MM")</f>
        <v/>
      </c>
    </row>
    <row r="6792">
      <c r="A6792" t="inlineStr">
        <is>
          <t>LD-306790</t>
        </is>
      </c>
      <c r="B6792" t="inlineStr">
        <is>
          <t>2025-03-06 13:08:00</t>
        </is>
      </c>
      <c r="C6792" t="inlineStr">
        <is>
          <t>Social Media</t>
        </is>
      </c>
      <c r="D6792" t="inlineStr">
        <is>
          <t>Coding for Kids</t>
        </is>
      </c>
      <c r="E6792" t="inlineStr">
        <is>
          <t>East Region</t>
        </is>
      </c>
      <c r="F6792" t="inlineStr">
        <is>
          <t>Rep_14</t>
        </is>
      </c>
      <c r="G6792" t="n">
        <v>1.83</v>
      </c>
      <c r="H6792" t="inlineStr">
        <is>
          <t>Contacted</t>
        </is>
      </c>
      <c r="I6792" t="inlineStr">
        <is>
          <t>Open</t>
        </is>
      </c>
      <c r="M6792">
        <f>VLOOKUP(H6792,'Stage Order'!$A$2:$B$8,2,FALSE)</f>
        <v/>
      </c>
      <c r="N6792">
        <f>IF(G6792&lt;=1,"1. Under 1 hour",IF(G6792&lt;=24,"2. 1-24 hours",IF(G6792&lt;=72,"3. 1-3 days","4. Over 3 days")))</f>
        <v/>
      </c>
      <c r="O6792">
        <f>TEXT(B6792,"YYYY-MM")</f>
        <v/>
      </c>
    </row>
    <row r="6793">
      <c r="A6793" t="inlineStr">
        <is>
          <t>LD-306791</t>
        </is>
      </c>
      <c r="B6793" t="inlineStr">
        <is>
          <t>2025-09-23 09:07:00</t>
        </is>
      </c>
      <c r="C6793" t="inlineStr">
        <is>
          <t>Organic Search</t>
        </is>
      </c>
      <c r="D6793" t="inlineStr">
        <is>
          <t>Study Abroad Prep</t>
        </is>
      </c>
      <c r="E6793" t="inlineStr">
        <is>
          <t>South Region</t>
        </is>
      </c>
      <c r="F6793" t="inlineStr">
        <is>
          <t>Rep_07</t>
        </is>
      </c>
      <c r="G6793" t="n">
        <v>3.44</v>
      </c>
      <c r="H6793" t="inlineStr">
        <is>
          <t>Contacted</t>
        </is>
      </c>
      <c r="I6793" t="inlineStr">
        <is>
          <t>Open</t>
        </is>
      </c>
      <c r="M6793">
        <f>VLOOKUP(H6793,'Stage Order'!$A$2:$B$8,2,FALSE)</f>
        <v/>
      </c>
      <c r="N6793">
        <f>IF(G6793&lt;=1,"1. Under 1 hour",IF(G6793&lt;=24,"2. 1-24 hours",IF(G6793&lt;=72,"3. 1-3 days","4. Over 3 days")))</f>
        <v/>
      </c>
      <c r="O6793">
        <f>TEXT(B6793,"YYYY-MM")</f>
        <v/>
      </c>
    </row>
    <row r="6794">
      <c r="A6794" t="inlineStr">
        <is>
          <t>LD-306792</t>
        </is>
      </c>
      <c r="B6794" t="inlineStr">
        <is>
          <t>2025-12-03 15:47:00</t>
        </is>
      </c>
      <c r="C6794" t="inlineStr">
        <is>
          <t>Paid Search</t>
        </is>
      </c>
      <c r="D6794" t="inlineStr">
        <is>
          <t>Coding for Kids</t>
        </is>
      </c>
      <c r="E6794" t="inlineStr">
        <is>
          <t>South Region</t>
        </is>
      </c>
      <c r="F6794" t="inlineStr">
        <is>
          <t>Rep_12</t>
        </is>
      </c>
      <c r="G6794" t="n">
        <v>4.76</v>
      </c>
      <c r="H6794" t="inlineStr">
        <is>
          <t>Negotiation</t>
        </is>
      </c>
      <c r="I6794" t="inlineStr">
        <is>
          <t>Lost</t>
        </is>
      </c>
      <c r="J6794" t="inlineStr">
        <is>
          <t>Bad Timing</t>
        </is>
      </c>
      <c r="K6794" t="n">
        <v>685.71</v>
      </c>
      <c r="L6794" t="inlineStr">
        <is>
          <t>2026-01-10 22:10:57.037970</t>
        </is>
      </c>
      <c r="M6794">
        <f>VLOOKUP(H6794,'Stage Order'!$A$2:$B$8,2,FALSE)</f>
        <v/>
      </c>
      <c r="N6794">
        <f>IF(G6794&lt;=1,"1. Under 1 hour",IF(G6794&lt;=24,"2. 1-24 hours",IF(G6794&lt;=72,"3. 1-3 days","4. Over 3 days")))</f>
        <v/>
      </c>
      <c r="O6794">
        <f>TEXT(B6794,"YYYY-MM")</f>
        <v/>
      </c>
    </row>
    <row r="6795">
      <c r="A6795" t="inlineStr">
        <is>
          <t>LD-306793</t>
        </is>
      </c>
      <c r="B6795" t="inlineStr">
        <is>
          <t>2025-03-26 16:00:00</t>
        </is>
      </c>
      <c r="C6795" t="inlineStr">
        <is>
          <t>Social Media</t>
        </is>
      </c>
      <c r="D6795" t="inlineStr">
        <is>
          <t>Coding for Kids</t>
        </is>
      </c>
      <c r="E6795" t="inlineStr">
        <is>
          <t>International</t>
        </is>
      </c>
      <c r="F6795" t="inlineStr">
        <is>
          <t>Rep_15</t>
        </is>
      </c>
      <c r="G6795" t="n">
        <v>1.15</v>
      </c>
      <c r="H6795" t="inlineStr">
        <is>
          <t>Proposal Sent</t>
        </is>
      </c>
      <c r="I6795" t="inlineStr">
        <is>
          <t>Lost</t>
        </is>
      </c>
      <c r="J6795" t="inlineStr">
        <is>
          <t>No Response / Ghosted</t>
        </is>
      </c>
      <c r="K6795" t="n">
        <v>603.87</v>
      </c>
      <c r="L6795" t="inlineStr">
        <is>
          <t>2025-04-28 05:48:30.144243</t>
        </is>
      </c>
      <c r="M6795">
        <f>VLOOKUP(H6795,'Stage Order'!$A$2:$B$8,2,FALSE)</f>
        <v/>
      </c>
      <c r="N6795">
        <f>IF(G6795&lt;=1,"1. Under 1 hour",IF(G6795&lt;=24,"2. 1-24 hours",IF(G6795&lt;=72,"3. 1-3 days","4. Over 3 days")))</f>
        <v/>
      </c>
      <c r="O6795">
        <f>TEXT(B6795,"YYYY-MM")</f>
        <v/>
      </c>
    </row>
    <row r="6796">
      <c r="A6796" t="inlineStr">
        <is>
          <t>LD-306794</t>
        </is>
      </c>
      <c r="B6796" t="inlineStr">
        <is>
          <t>2025-03-04 20:37:00</t>
        </is>
      </c>
      <c r="C6796" t="inlineStr">
        <is>
          <t>Cold Outreach</t>
        </is>
      </c>
      <c r="D6796" t="inlineStr">
        <is>
          <t>Competitive Exam Prep</t>
        </is>
      </c>
      <c r="E6796" t="inlineStr">
        <is>
          <t>North Region</t>
        </is>
      </c>
      <c r="F6796" t="inlineStr">
        <is>
          <t>Rep_11</t>
        </is>
      </c>
      <c r="G6796" t="n">
        <v>0.7</v>
      </c>
      <c r="H6796" t="inlineStr">
        <is>
          <t>Contacted</t>
        </is>
      </c>
      <c r="I6796" t="inlineStr">
        <is>
          <t>Open</t>
        </is>
      </c>
      <c r="M6796">
        <f>VLOOKUP(H6796,'Stage Order'!$A$2:$B$8,2,FALSE)</f>
        <v/>
      </c>
      <c r="N6796">
        <f>IF(G6796&lt;=1,"1. Under 1 hour",IF(G6796&lt;=24,"2. 1-24 hours",IF(G6796&lt;=72,"3. 1-3 days","4. Over 3 days")))</f>
        <v/>
      </c>
      <c r="O6796">
        <f>TEXT(B6796,"YYYY-MM")</f>
        <v/>
      </c>
    </row>
    <row r="6797">
      <c r="A6797" t="inlineStr">
        <is>
          <t>LD-306795</t>
        </is>
      </c>
      <c r="B6797" t="inlineStr">
        <is>
          <t>2026-04-17 20:04:00</t>
        </is>
      </c>
      <c r="C6797" t="inlineStr">
        <is>
          <t>Paid Search</t>
        </is>
      </c>
      <c r="D6797" t="inlineStr">
        <is>
          <t>Study Abroad Prep</t>
        </is>
      </c>
      <c r="E6797" t="inlineStr">
        <is>
          <t>North Region</t>
        </is>
      </c>
      <c r="F6797" t="inlineStr">
        <is>
          <t>Rep_11</t>
        </is>
      </c>
      <c r="G6797" t="n">
        <v>2.89</v>
      </c>
      <c r="H6797" t="inlineStr">
        <is>
          <t>Contacted</t>
        </is>
      </c>
      <c r="I6797" t="inlineStr">
        <is>
          <t>Open</t>
        </is>
      </c>
      <c r="M6797">
        <f>VLOOKUP(H6797,'Stage Order'!$A$2:$B$8,2,FALSE)</f>
        <v/>
      </c>
      <c r="N6797">
        <f>IF(G6797&lt;=1,"1. Under 1 hour",IF(G6797&lt;=24,"2. 1-24 hours",IF(G6797&lt;=72,"3. 1-3 days","4. Over 3 days")))</f>
        <v/>
      </c>
      <c r="O6797">
        <f>TEXT(B6797,"YYYY-MM")</f>
        <v/>
      </c>
    </row>
    <row r="6798">
      <c r="A6798" t="inlineStr">
        <is>
          <t>LD-306796</t>
        </is>
      </c>
      <c r="B6798" t="inlineStr">
        <is>
          <t>2026-02-25 20:16:00</t>
        </is>
      </c>
      <c r="C6798" t="inlineStr">
        <is>
          <t>Partner Channel</t>
        </is>
      </c>
      <c r="D6798" t="inlineStr">
        <is>
          <t>Study Abroad Prep</t>
        </is>
      </c>
      <c r="E6798" t="inlineStr">
        <is>
          <t>West Region</t>
        </is>
      </c>
      <c r="F6798" t="inlineStr">
        <is>
          <t>Rep_08</t>
        </is>
      </c>
      <c r="G6798" t="n">
        <v>7.09</v>
      </c>
      <c r="H6798" t="inlineStr">
        <is>
          <t>Contacted</t>
        </is>
      </c>
      <c r="I6798" t="inlineStr">
        <is>
          <t>Open</t>
        </is>
      </c>
      <c r="M6798">
        <f>VLOOKUP(H6798,'Stage Order'!$A$2:$B$8,2,FALSE)</f>
        <v/>
      </c>
      <c r="N6798">
        <f>IF(G6798&lt;=1,"1. Under 1 hour",IF(G6798&lt;=24,"2. 1-24 hours",IF(G6798&lt;=72,"3. 1-3 days","4. Over 3 days")))</f>
        <v/>
      </c>
      <c r="O6798">
        <f>TEXT(B6798,"YYYY-MM")</f>
        <v/>
      </c>
    </row>
    <row r="6799">
      <c r="A6799" t="inlineStr">
        <is>
          <t>LD-306797</t>
        </is>
      </c>
      <c r="B6799" t="inlineStr">
        <is>
          <t>2026-01-21 12:44:00</t>
        </is>
      </c>
      <c r="C6799" t="inlineStr">
        <is>
          <t>Organic Search</t>
        </is>
      </c>
      <c r="D6799" t="inlineStr">
        <is>
          <t>K-12 Math</t>
        </is>
      </c>
      <c r="E6799" t="inlineStr">
        <is>
          <t>North Region</t>
        </is>
      </c>
      <c r="F6799" t="inlineStr">
        <is>
          <t>Rep_11</t>
        </is>
      </c>
      <c r="G6799" t="n">
        <v>3.88</v>
      </c>
      <c r="H6799" t="inlineStr">
        <is>
          <t>Negotiation</t>
        </is>
      </c>
      <c r="I6799" t="inlineStr">
        <is>
          <t>Lost</t>
        </is>
      </c>
      <c r="J6799" t="inlineStr">
        <is>
          <t>Price Objection</t>
        </is>
      </c>
      <c r="K6799" t="n">
        <v>422.53</v>
      </c>
      <c r="L6799" t="inlineStr">
        <is>
          <t>2026-02-22 02:48:25.355412</t>
        </is>
      </c>
      <c r="M6799">
        <f>VLOOKUP(H6799,'Stage Order'!$A$2:$B$8,2,FALSE)</f>
        <v/>
      </c>
      <c r="N6799">
        <f>IF(G6799&lt;=1,"1. Under 1 hour",IF(G6799&lt;=24,"2. 1-24 hours",IF(G6799&lt;=72,"3. 1-3 days","4. Over 3 days")))</f>
        <v/>
      </c>
      <c r="O6799">
        <f>TEXT(B6799,"YYYY-MM")</f>
        <v/>
      </c>
    </row>
    <row r="6800">
      <c r="A6800" t="inlineStr">
        <is>
          <t>LD-306798</t>
        </is>
      </c>
      <c r="B6800" t="inlineStr">
        <is>
          <t>2025-06-12 09:37:00</t>
        </is>
      </c>
      <c r="C6800" t="inlineStr">
        <is>
          <t>Paid Search</t>
        </is>
      </c>
      <c r="D6800" t="inlineStr">
        <is>
          <t>Competitive Exam Prep</t>
        </is>
      </c>
      <c r="E6800" t="inlineStr">
        <is>
          <t>North Region</t>
        </is>
      </c>
      <c r="F6800" t="inlineStr">
        <is>
          <t>Rep_11</t>
        </is>
      </c>
      <c r="G6800" t="n">
        <v>1.35</v>
      </c>
      <c r="H6800" t="inlineStr">
        <is>
          <t>Contacted</t>
        </is>
      </c>
      <c r="I6800" t="inlineStr">
        <is>
          <t>Open</t>
        </is>
      </c>
      <c r="M6800">
        <f>VLOOKUP(H6800,'Stage Order'!$A$2:$B$8,2,FALSE)</f>
        <v/>
      </c>
      <c r="N6800">
        <f>IF(G6800&lt;=1,"1. Under 1 hour",IF(G6800&lt;=24,"2. 1-24 hours",IF(G6800&lt;=72,"3. 1-3 days","4. Over 3 days")))</f>
        <v/>
      </c>
      <c r="O6800">
        <f>TEXT(B6800,"YYYY-MM")</f>
        <v/>
      </c>
    </row>
    <row r="6801">
      <c r="A6801" t="inlineStr">
        <is>
          <t>LD-306799</t>
        </is>
      </c>
      <c r="B6801" t="inlineStr">
        <is>
          <t>2025-04-11 17:28:00</t>
        </is>
      </c>
      <c r="C6801" t="inlineStr">
        <is>
          <t>Cold Outreach</t>
        </is>
      </c>
      <c r="D6801" t="inlineStr">
        <is>
          <t>Language Learning</t>
        </is>
      </c>
      <c r="E6801" t="inlineStr">
        <is>
          <t>North Region</t>
        </is>
      </c>
      <c r="F6801" t="inlineStr">
        <is>
          <t>Rep_01</t>
        </is>
      </c>
      <c r="G6801" t="n">
        <v>3.04</v>
      </c>
      <c r="H6801" t="inlineStr">
        <is>
          <t>Contacted</t>
        </is>
      </c>
      <c r="I6801" t="inlineStr">
        <is>
          <t>Open</t>
        </is>
      </c>
      <c r="M6801">
        <f>VLOOKUP(H6801,'Stage Order'!$A$2:$B$8,2,FALSE)</f>
        <v/>
      </c>
      <c r="N6801">
        <f>IF(G6801&lt;=1,"1. Under 1 hour",IF(G6801&lt;=24,"2. 1-24 hours",IF(G6801&lt;=72,"3. 1-3 days","4. Over 3 days")))</f>
        <v/>
      </c>
      <c r="O6801">
        <f>TEXT(B6801,"YYYY-MM")</f>
        <v/>
      </c>
    </row>
    <row r="6802">
      <c r="A6802" t="inlineStr">
        <is>
          <t>LD-306800</t>
        </is>
      </c>
      <c r="B6802" t="inlineStr">
        <is>
          <t>2025-06-20 08:46:00</t>
        </is>
      </c>
      <c r="C6802" t="inlineStr">
        <is>
          <t>Paid Search</t>
        </is>
      </c>
      <c r="D6802" t="inlineStr">
        <is>
          <t>Coding for Kids</t>
        </is>
      </c>
      <c r="E6802" t="inlineStr">
        <is>
          <t>North Region</t>
        </is>
      </c>
      <c r="F6802" t="inlineStr">
        <is>
          <t>Rep_06</t>
        </is>
      </c>
      <c r="G6802" t="n">
        <v>0.8100000000000001</v>
      </c>
      <c r="H6802" t="inlineStr">
        <is>
          <t>Closed</t>
        </is>
      </c>
      <c r="I6802" t="inlineStr">
        <is>
          <t>Won</t>
        </is>
      </c>
      <c r="K6802" t="n">
        <v>619.21</v>
      </c>
      <c r="L6802" t="inlineStr">
        <is>
          <t>2025-07-29 17:45:54.825932</t>
        </is>
      </c>
      <c r="M6802">
        <f>VLOOKUP(H6802,'Stage Order'!$A$2:$B$8,2,FALSE)</f>
        <v/>
      </c>
      <c r="N6802">
        <f>IF(G6802&lt;=1,"1. Under 1 hour",IF(G6802&lt;=24,"2. 1-24 hours",IF(G6802&lt;=72,"3. 1-3 days","4. Over 3 days")))</f>
        <v/>
      </c>
      <c r="O6802">
        <f>TEXT(B6802,"YYYY-MM")</f>
        <v/>
      </c>
    </row>
    <row r="6803">
      <c r="A6803" t="inlineStr">
        <is>
          <t>LD-306801</t>
        </is>
      </c>
      <c r="B6803" t="inlineStr">
        <is>
          <t>2025-03-06 19:15:00</t>
        </is>
      </c>
      <c r="C6803" t="inlineStr">
        <is>
          <t>Organic Search</t>
        </is>
      </c>
      <c r="D6803" t="inlineStr">
        <is>
          <t>Competitive Exam Prep</t>
        </is>
      </c>
      <c r="E6803" t="inlineStr">
        <is>
          <t>International</t>
        </is>
      </c>
      <c r="F6803" t="inlineStr">
        <is>
          <t>Rep_10</t>
        </is>
      </c>
      <c r="G6803" t="n">
        <v>9.039999999999999</v>
      </c>
      <c r="H6803" t="inlineStr">
        <is>
          <t>Lead</t>
        </is>
      </c>
      <c r="I6803" t="inlineStr">
        <is>
          <t>Open</t>
        </is>
      </c>
      <c r="M6803">
        <f>VLOOKUP(H6803,'Stage Order'!$A$2:$B$8,2,FALSE)</f>
        <v/>
      </c>
      <c r="N6803">
        <f>IF(G6803&lt;=1,"1. Under 1 hour",IF(G6803&lt;=24,"2. 1-24 hours",IF(G6803&lt;=72,"3. 1-3 days","4. Over 3 days")))</f>
        <v/>
      </c>
      <c r="O6803">
        <f>TEXT(B6803,"YYYY-MM")</f>
        <v/>
      </c>
    </row>
    <row r="6804">
      <c r="A6804" t="inlineStr">
        <is>
          <t>LD-306802</t>
        </is>
      </c>
      <c r="B6804" t="inlineStr">
        <is>
          <t>2026-02-10 18:57:00</t>
        </is>
      </c>
      <c r="C6804" t="inlineStr">
        <is>
          <t>Cold Outreach</t>
        </is>
      </c>
      <c r="D6804" t="inlineStr">
        <is>
          <t>K-12 Math</t>
        </is>
      </c>
      <c r="E6804" t="inlineStr">
        <is>
          <t>International</t>
        </is>
      </c>
      <c r="F6804" t="inlineStr">
        <is>
          <t>Rep_05</t>
        </is>
      </c>
      <c r="G6804" t="n">
        <v>1.48</v>
      </c>
      <c r="H6804" t="inlineStr">
        <is>
          <t>Lead</t>
        </is>
      </c>
      <c r="I6804" t="inlineStr">
        <is>
          <t>Open</t>
        </is>
      </c>
      <c r="M6804">
        <f>VLOOKUP(H6804,'Stage Order'!$A$2:$B$8,2,FALSE)</f>
        <v/>
      </c>
      <c r="N6804">
        <f>IF(G6804&lt;=1,"1. Under 1 hour",IF(G6804&lt;=24,"2. 1-24 hours",IF(G6804&lt;=72,"3. 1-3 days","4. Over 3 days")))</f>
        <v/>
      </c>
      <c r="O6804">
        <f>TEXT(B6804,"YYYY-MM")</f>
        <v/>
      </c>
    </row>
    <row r="6805">
      <c r="A6805" t="inlineStr">
        <is>
          <t>LD-306803</t>
        </is>
      </c>
      <c r="B6805" t="inlineStr">
        <is>
          <t>2025-05-08 12:13:00</t>
        </is>
      </c>
      <c r="C6805" t="inlineStr">
        <is>
          <t>Paid Search</t>
        </is>
      </c>
      <c r="D6805" t="inlineStr">
        <is>
          <t>Competitive Exam Prep</t>
        </is>
      </c>
      <c r="E6805" t="inlineStr">
        <is>
          <t>International</t>
        </is>
      </c>
      <c r="F6805" t="inlineStr">
        <is>
          <t>Rep_15</t>
        </is>
      </c>
      <c r="G6805" t="n">
        <v>5.84</v>
      </c>
      <c r="H6805" t="inlineStr">
        <is>
          <t>Contacted</t>
        </is>
      </c>
      <c r="I6805" t="inlineStr">
        <is>
          <t>Open</t>
        </is>
      </c>
      <c r="M6805">
        <f>VLOOKUP(H6805,'Stage Order'!$A$2:$B$8,2,FALSE)</f>
        <v/>
      </c>
      <c r="N6805">
        <f>IF(G6805&lt;=1,"1. Under 1 hour",IF(G6805&lt;=24,"2. 1-24 hours",IF(G6805&lt;=72,"3. 1-3 days","4. Over 3 days")))</f>
        <v/>
      </c>
      <c r="O6805">
        <f>TEXT(B6805,"YYYY-MM")</f>
        <v/>
      </c>
    </row>
    <row r="6806">
      <c r="A6806" t="inlineStr">
        <is>
          <t>LD-306804</t>
        </is>
      </c>
      <c r="B6806" t="inlineStr">
        <is>
          <t>2025-06-20 10:11:00</t>
        </is>
      </c>
      <c r="C6806" t="inlineStr">
        <is>
          <t>Referral</t>
        </is>
      </c>
      <c r="D6806" t="inlineStr">
        <is>
          <t>Language Learning</t>
        </is>
      </c>
      <c r="E6806" t="inlineStr">
        <is>
          <t>International</t>
        </is>
      </c>
      <c r="F6806" t="inlineStr">
        <is>
          <t>Rep_10</t>
        </is>
      </c>
      <c r="G6806" t="n">
        <v>3.62</v>
      </c>
      <c r="H6806" t="inlineStr">
        <is>
          <t>Closed</t>
        </is>
      </c>
      <c r="I6806" t="inlineStr">
        <is>
          <t>Won</t>
        </is>
      </c>
      <c r="K6806" t="n">
        <v>289.07</v>
      </c>
      <c r="L6806" t="inlineStr">
        <is>
          <t>2025-07-21 16:18:46.565431</t>
        </is>
      </c>
      <c r="M6806">
        <f>VLOOKUP(H6806,'Stage Order'!$A$2:$B$8,2,FALSE)</f>
        <v/>
      </c>
      <c r="N6806">
        <f>IF(G6806&lt;=1,"1. Under 1 hour",IF(G6806&lt;=24,"2. 1-24 hours",IF(G6806&lt;=72,"3. 1-3 days","4. Over 3 days")))</f>
        <v/>
      </c>
      <c r="O6806">
        <f>TEXT(B6806,"YYYY-MM")</f>
        <v/>
      </c>
    </row>
    <row r="6807">
      <c r="A6807" t="inlineStr">
        <is>
          <t>LD-306805</t>
        </is>
      </c>
      <c r="B6807" t="inlineStr">
        <is>
          <t>2025-10-03 08:06:00</t>
        </is>
      </c>
      <c r="C6807" t="inlineStr">
        <is>
          <t>Partner Channel</t>
        </is>
      </c>
      <c r="D6807" t="inlineStr">
        <is>
          <t>Competitive Exam Prep</t>
        </is>
      </c>
      <c r="E6807" t="inlineStr">
        <is>
          <t>East Region</t>
        </is>
      </c>
      <c r="F6807" t="inlineStr">
        <is>
          <t>Rep_04</t>
        </is>
      </c>
      <c r="G6807" t="n">
        <v>1.47</v>
      </c>
      <c r="H6807" t="inlineStr">
        <is>
          <t>Contacted</t>
        </is>
      </c>
      <c r="I6807" t="inlineStr">
        <is>
          <t>Open</t>
        </is>
      </c>
      <c r="M6807">
        <f>VLOOKUP(H6807,'Stage Order'!$A$2:$B$8,2,FALSE)</f>
        <v/>
      </c>
      <c r="N6807">
        <f>IF(G6807&lt;=1,"1. Under 1 hour",IF(G6807&lt;=24,"2. 1-24 hours",IF(G6807&lt;=72,"3. 1-3 days","4. Over 3 days")))</f>
        <v/>
      </c>
      <c r="O6807">
        <f>TEXT(B6807,"YYYY-MM")</f>
        <v/>
      </c>
    </row>
    <row r="6808">
      <c r="A6808" t="inlineStr">
        <is>
          <t>LD-306806</t>
        </is>
      </c>
      <c r="B6808" t="inlineStr">
        <is>
          <t>2025-03-14 09:12:00</t>
        </is>
      </c>
      <c r="C6808" t="inlineStr">
        <is>
          <t>Paid Search</t>
        </is>
      </c>
      <c r="D6808" t="inlineStr">
        <is>
          <t>Competitive Exam Prep</t>
        </is>
      </c>
      <c r="E6808" t="inlineStr">
        <is>
          <t>East Region</t>
        </is>
      </c>
      <c r="F6808" t="inlineStr">
        <is>
          <t>Rep_14</t>
        </is>
      </c>
      <c r="G6808" t="n">
        <v>1.72</v>
      </c>
      <c r="H6808" t="inlineStr">
        <is>
          <t>Lead</t>
        </is>
      </c>
      <c r="I6808" t="inlineStr">
        <is>
          <t>Open</t>
        </is>
      </c>
      <c r="M6808">
        <f>VLOOKUP(H6808,'Stage Order'!$A$2:$B$8,2,FALSE)</f>
        <v/>
      </c>
      <c r="N6808">
        <f>IF(G6808&lt;=1,"1. Under 1 hour",IF(G6808&lt;=24,"2. 1-24 hours",IF(G6808&lt;=72,"3. 1-3 days","4. Over 3 days")))</f>
        <v/>
      </c>
      <c r="O6808">
        <f>TEXT(B6808,"YYYY-MM")</f>
        <v/>
      </c>
    </row>
    <row r="6809">
      <c r="A6809" t="inlineStr">
        <is>
          <t>LD-306807</t>
        </is>
      </c>
      <c r="B6809" t="inlineStr">
        <is>
          <t>2026-01-07 13:28:00</t>
        </is>
      </c>
      <c r="C6809" t="inlineStr">
        <is>
          <t>Social Media</t>
        </is>
      </c>
      <c r="D6809" t="inlineStr">
        <is>
          <t>Competitive Exam Prep</t>
        </is>
      </c>
      <c r="E6809" t="inlineStr">
        <is>
          <t>East Region</t>
        </is>
      </c>
      <c r="F6809" t="inlineStr">
        <is>
          <t>Rep_14</t>
        </is>
      </c>
      <c r="G6809" t="n">
        <v>1.28</v>
      </c>
      <c r="H6809" t="inlineStr">
        <is>
          <t>Contacted</t>
        </is>
      </c>
      <c r="I6809" t="inlineStr">
        <is>
          <t>Open</t>
        </is>
      </c>
      <c r="M6809">
        <f>VLOOKUP(H6809,'Stage Order'!$A$2:$B$8,2,FALSE)</f>
        <v/>
      </c>
      <c r="N6809">
        <f>IF(G6809&lt;=1,"1. Under 1 hour",IF(G6809&lt;=24,"2. 1-24 hours",IF(G6809&lt;=72,"3. 1-3 days","4. Over 3 days")))</f>
        <v/>
      </c>
      <c r="O6809">
        <f>TEXT(B6809,"YYYY-MM")</f>
        <v/>
      </c>
    </row>
    <row r="6810">
      <c r="A6810" t="inlineStr">
        <is>
          <t>LD-306808</t>
        </is>
      </c>
      <c r="B6810" t="inlineStr">
        <is>
          <t>2025-03-17 12:13:00</t>
        </is>
      </c>
      <c r="C6810" t="inlineStr">
        <is>
          <t>Webinar</t>
        </is>
      </c>
      <c r="D6810" t="inlineStr">
        <is>
          <t>Language Learning</t>
        </is>
      </c>
      <c r="E6810" t="inlineStr">
        <is>
          <t>South Region</t>
        </is>
      </c>
      <c r="F6810" t="inlineStr">
        <is>
          <t>Rep_12</t>
        </is>
      </c>
      <c r="G6810" t="n">
        <v>4.81</v>
      </c>
      <c r="H6810" t="inlineStr">
        <is>
          <t>Closed</t>
        </is>
      </c>
      <c r="I6810" t="inlineStr">
        <is>
          <t>Won</t>
        </is>
      </c>
      <c r="K6810" t="n">
        <v>378.52</v>
      </c>
      <c r="L6810" t="inlineStr">
        <is>
          <t>2025-04-23 01:53:23.328321</t>
        </is>
      </c>
      <c r="M6810">
        <f>VLOOKUP(H6810,'Stage Order'!$A$2:$B$8,2,FALSE)</f>
        <v/>
      </c>
      <c r="N6810">
        <f>IF(G6810&lt;=1,"1. Under 1 hour",IF(G6810&lt;=24,"2. 1-24 hours",IF(G6810&lt;=72,"3. 1-3 days","4. Over 3 days")))</f>
        <v/>
      </c>
      <c r="O6810">
        <f>TEXT(B6810,"YYYY-MM")</f>
        <v/>
      </c>
    </row>
    <row r="6811">
      <c r="A6811" t="inlineStr">
        <is>
          <t>LD-306809</t>
        </is>
      </c>
      <c r="B6811" t="inlineStr">
        <is>
          <t>2025-09-28 13:30:00</t>
        </is>
      </c>
      <c r="C6811" t="inlineStr">
        <is>
          <t>Social Media</t>
        </is>
      </c>
      <c r="D6811" t="inlineStr">
        <is>
          <t>Coding for Kids</t>
        </is>
      </c>
      <c r="E6811" t="inlineStr">
        <is>
          <t>South Region</t>
        </is>
      </c>
      <c r="F6811" t="inlineStr">
        <is>
          <t>Rep_02</t>
        </is>
      </c>
      <c r="G6811" t="n">
        <v>13.55</v>
      </c>
      <c r="H6811" t="inlineStr">
        <is>
          <t>Contacted</t>
        </is>
      </c>
      <c r="I6811" t="inlineStr">
        <is>
          <t>Open</t>
        </is>
      </c>
      <c r="M6811">
        <f>VLOOKUP(H6811,'Stage Order'!$A$2:$B$8,2,FALSE)</f>
        <v/>
      </c>
      <c r="N6811">
        <f>IF(G6811&lt;=1,"1. Under 1 hour",IF(G6811&lt;=24,"2. 1-24 hours",IF(G6811&lt;=72,"3. 1-3 days","4. Over 3 days")))</f>
        <v/>
      </c>
      <c r="O6811">
        <f>TEXT(B6811,"YYYY-MM")</f>
        <v/>
      </c>
    </row>
    <row r="6812">
      <c r="A6812" t="inlineStr">
        <is>
          <t>LD-306810</t>
        </is>
      </c>
      <c r="B6812" t="inlineStr">
        <is>
          <t>2026-03-21 08:30:00</t>
        </is>
      </c>
      <c r="C6812" t="inlineStr">
        <is>
          <t>Referral</t>
        </is>
      </c>
      <c r="D6812" t="inlineStr">
        <is>
          <t>K-12 Math</t>
        </is>
      </c>
      <c r="E6812" t="inlineStr">
        <is>
          <t>East Region</t>
        </is>
      </c>
      <c r="F6812" t="inlineStr">
        <is>
          <t>Rep_09</t>
        </is>
      </c>
      <c r="G6812" t="n">
        <v>13.08</v>
      </c>
      <c r="H6812" t="inlineStr">
        <is>
          <t>Contacted</t>
        </is>
      </c>
      <c r="I6812" t="inlineStr">
        <is>
          <t>Open</t>
        </is>
      </c>
      <c r="M6812">
        <f>VLOOKUP(H6812,'Stage Order'!$A$2:$B$8,2,FALSE)</f>
        <v/>
      </c>
      <c r="N6812">
        <f>IF(G6812&lt;=1,"1. Under 1 hour",IF(G6812&lt;=24,"2. 1-24 hours",IF(G6812&lt;=72,"3. 1-3 days","4. Over 3 days")))</f>
        <v/>
      </c>
      <c r="O6812">
        <f>TEXT(B6812,"YYYY-MM")</f>
        <v/>
      </c>
    </row>
    <row r="6813">
      <c r="A6813" t="inlineStr">
        <is>
          <t>LD-306811</t>
        </is>
      </c>
      <c r="B6813" t="inlineStr">
        <is>
          <t>2025-04-15 13:03:00</t>
        </is>
      </c>
      <c r="C6813" t="inlineStr">
        <is>
          <t>Paid Search</t>
        </is>
      </c>
      <c r="D6813" t="inlineStr">
        <is>
          <t>Study Abroad Prep</t>
        </is>
      </c>
      <c r="E6813" t="inlineStr">
        <is>
          <t>South Region</t>
        </is>
      </c>
      <c r="F6813" t="inlineStr">
        <is>
          <t>Rep_02</t>
        </is>
      </c>
      <c r="G6813" t="n">
        <v>1.68</v>
      </c>
      <c r="H6813" t="inlineStr">
        <is>
          <t>Contacted</t>
        </is>
      </c>
      <c r="I6813" t="inlineStr">
        <is>
          <t>Open</t>
        </is>
      </c>
      <c r="M6813">
        <f>VLOOKUP(H6813,'Stage Order'!$A$2:$B$8,2,FALSE)</f>
        <v/>
      </c>
      <c r="N6813">
        <f>IF(G6813&lt;=1,"1. Under 1 hour",IF(G6813&lt;=24,"2. 1-24 hours",IF(G6813&lt;=72,"3. 1-3 days","4. Over 3 days")))</f>
        <v/>
      </c>
      <c r="O6813">
        <f>TEXT(B6813,"YYYY-MM")</f>
        <v/>
      </c>
    </row>
    <row r="6814">
      <c r="A6814" t="inlineStr">
        <is>
          <t>LD-306812</t>
        </is>
      </c>
      <c r="B6814" t="inlineStr">
        <is>
          <t>2025-04-03 09:13:00</t>
        </is>
      </c>
      <c r="C6814" t="inlineStr">
        <is>
          <t>Organic Search</t>
        </is>
      </c>
      <c r="D6814" t="inlineStr">
        <is>
          <t>Competitive Exam Prep</t>
        </is>
      </c>
      <c r="E6814" t="inlineStr">
        <is>
          <t>East Region</t>
        </is>
      </c>
      <c r="F6814" t="inlineStr">
        <is>
          <t>Rep_14</t>
        </is>
      </c>
      <c r="G6814" t="n">
        <v>54.25</v>
      </c>
      <c r="H6814" t="inlineStr">
        <is>
          <t>Contacted</t>
        </is>
      </c>
      <c r="I6814" t="inlineStr">
        <is>
          <t>Open</t>
        </is>
      </c>
      <c r="M6814">
        <f>VLOOKUP(H6814,'Stage Order'!$A$2:$B$8,2,FALSE)</f>
        <v/>
      </c>
      <c r="N6814">
        <f>IF(G6814&lt;=1,"1. Under 1 hour",IF(G6814&lt;=24,"2. 1-24 hours",IF(G6814&lt;=72,"3. 1-3 days","4. Over 3 days")))</f>
        <v/>
      </c>
      <c r="O6814">
        <f>TEXT(B6814,"YYYY-MM")</f>
        <v/>
      </c>
    </row>
    <row r="6815">
      <c r="A6815" t="inlineStr">
        <is>
          <t>LD-306813</t>
        </is>
      </c>
      <c r="B6815" t="inlineStr">
        <is>
          <t>2026-02-05 10:26:00</t>
        </is>
      </c>
      <c r="C6815" t="inlineStr">
        <is>
          <t>Cold Outreach</t>
        </is>
      </c>
      <c r="D6815" t="inlineStr">
        <is>
          <t>Coding for Kids</t>
        </is>
      </c>
      <c r="E6815" t="inlineStr">
        <is>
          <t>North Region</t>
        </is>
      </c>
      <c r="F6815" t="inlineStr">
        <is>
          <t>Rep_11</t>
        </is>
      </c>
      <c r="G6815" t="n">
        <v>3.25</v>
      </c>
      <c r="H6815" t="inlineStr">
        <is>
          <t>Contacted</t>
        </is>
      </c>
      <c r="I6815" t="inlineStr">
        <is>
          <t>Open</t>
        </is>
      </c>
      <c r="M6815">
        <f>VLOOKUP(H6815,'Stage Order'!$A$2:$B$8,2,FALSE)</f>
        <v/>
      </c>
      <c r="N6815">
        <f>IF(G6815&lt;=1,"1. Under 1 hour",IF(G6815&lt;=24,"2. 1-24 hours",IF(G6815&lt;=72,"3. 1-3 days","4. Over 3 days")))</f>
        <v/>
      </c>
      <c r="O6815">
        <f>TEXT(B6815,"YYYY-MM")</f>
        <v/>
      </c>
    </row>
    <row r="6816">
      <c r="A6816" t="inlineStr">
        <is>
          <t>LD-306814</t>
        </is>
      </c>
      <c r="B6816" t="inlineStr">
        <is>
          <t>2025-11-10 11:20:00</t>
        </is>
      </c>
      <c r="C6816" t="inlineStr">
        <is>
          <t>Organic Search</t>
        </is>
      </c>
      <c r="D6816" t="inlineStr">
        <is>
          <t>Competitive Exam Prep</t>
        </is>
      </c>
      <c r="E6816" t="inlineStr">
        <is>
          <t>South Region</t>
        </is>
      </c>
      <c r="F6816" t="inlineStr">
        <is>
          <t>Rep_02</t>
        </is>
      </c>
      <c r="G6816" t="n">
        <v>12.01</v>
      </c>
      <c r="H6816" t="inlineStr">
        <is>
          <t>Closed</t>
        </is>
      </c>
      <c r="I6816" t="inlineStr">
        <is>
          <t>Won</t>
        </is>
      </c>
      <c r="K6816" t="n">
        <v>1095.12</v>
      </c>
      <c r="L6816" t="inlineStr">
        <is>
          <t>2025-12-19 00:20:41.124117</t>
        </is>
      </c>
      <c r="M6816">
        <f>VLOOKUP(H6816,'Stage Order'!$A$2:$B$8,2,FALSE)</f>
        <v/>
      </c>
      <c r="N6816">
        <f>IF(G6816&lt;=1,"1. Under 1 hour",IF(G6816&lt;=24,"2. 1-24 hours",IF(G6816&lt;=72,"3. 1-3 days","4. Over 3 days")))</f>
        <v/>
      </c>
      <c r="O6816">
        <f>TEXT(B6816,"YYYY-MM")</f>
        <v/>
      </c>
    </row>
    <row r="6817">
      <c r="A6817" t="inlineStr">
        <is>
          <t>LD-306815</t>
        </is>
      </c>
      <c r="B6817" t="inlineStr">
        <is>
          <t>2026-06-21 17:20:00</t>
        </is>
      </c>
      <c r="C6817" t="inlineStr">
        <is>
          <t>Organic Search</t>
        </is>
      </c>
      <c r="D6817" t="inlineStr">
        <is>
          <t>Coding for Kids</t>
        </is>
      </c>
      <c r="E6817" t="inlineStr">
        <is>
          <t>South Region</t>
        </is>
      </c>
      <c r="F6817" t="inlineStr">
        <is>
          <t>Rep_02</t>
        </is>
      </c>
      <c r="G6817" t="n">
        <v>1.65</v>
      </c>
      <c r="H6817" t="inlineStr">
        <is>
          <t>Closed</t>
        </is>
      </c>
      <c r="I6817" t="inlineStr">
        <is>
          <t>Won</t>
        </is>
      </c>
      <c r="K6817" t="n">
        <v>725.73</v>
      </c>
      <c r="L6817" t="inlineStr">
        <is>
          <t>2026-07-18 07:31:55.603181</t>
        </is>
      </c>
      <c r="M6817">
        <f>VLOOKUP(H6817,'Stage Order'!$A$2:$B$8,2,FALSE)</f>
        <v/>
      </c>
      <c r="N6817">
        <f>IF(G6817&lt;=1,"1. Under 1 hour",IF(G6817&lt;=24,"2. 1-24 hours",IF(G6817&lt;=72,"3. 1-3 days","4. Over 3 days")))</f>
        <v/>
      </c>
      <c r="O6817">
        <f>TEXT(B6817,"YYYY-MM")</f>
        <v/>
      </c>
    </row>
    <row r="6818">
      <c r="A6818" t="inlineStr">
        <is>
          <t>LD-306816</t>
        </is>
      </c>
      <c r="B6818" t="inlineStr">
        <is>
          <t>2025-10-13 15:42:00</t>
        </is>
      </c>
      <c r="C6818" t="inlineStr">
        <is>
          <t>Referral</t>
        </is>
      </c>
      <c r="D6818" t="inlineStr">
        <is>
          <t>Competitive Exam Prep</t>
        </is>
      </c>
      <c r="E6818" t="inlineStr">
        <is>
          <t>South Region</t>
        </is>
      </c>
      <c r="F6818" t="inlineStr">
        <is>
          <t>Rep_12</t>
        </is>
      </c>
      <c r="G6818" t="n">
        <v>1.6</v>
      </c>
      <c r="H6818" t="inlineStr">
        <is>
          <t>Negotiation</t>
        </is>
      </c>
      <c r="I6818" t="inlineStr">
        <is>
          <t>Lost</t>
        </is>
      </c>
      <c r="J6818" t="inlineStr">
        <is>
          <t>Bad Timing</t>
        </is>
      </c>
      <c r="K6818" t="n">
        <v>1099.54</v>
      </c>
      <c r="L6818" t="inlineStr">
        <is>
          <t>2025-11-27 17:52:40.302188</t>
        </is>
      </c>
      <c r="M6818">
        <f>VLOOKUP(H6818,'Stage Order'!$A$2:$B$8,2,FALSE)</f>
        <v/>
      </c>
      <c r="N6818">
        <f>IF(G6818&lt;=1,"1. Under 1 hour",IF(G6818&lt;=24,"2. 1-24 hours",IF(G6818&lt;=72,"3. 1-3 days","4. Over 3 days")))</f>
        <v/>
      </c>
      <c r="O6818">
        <f>TEXT(B6818,"YYYY-MM")</f>
        <v/>
      </c>
    </row>
    <row r="6819">
      <c r="A6819" t="inlineStr">
        <is>
          <t>LD-306817</t>
        </is>
      </c>
      <c r="B6819" t="inlineStr">
        <is>
          <t>2025-06-22 16:18:00</t>
        </is>
      </c>
      <c r="C6819" t="inlineStr">
        <is>
          <t>Partner Channel</t>
        </is>
      </c>
      <c r="D6819" t="inlineStr">
        <is>
          <t>K-12 Math</t>
        </is>
      </c>
      <c r="E6819" t="inlineStr">
        <is>
          <t>International</t>
        </is>
      </c>
      <c r="F6819" t="inlineStr">
        <is>
          <t>Rep_10</t>
        </is>
      </c>
      <c r="G6819" t="n">
        <v>0.99</v>
      </c>
      <c r="H6819" t="inlineStr">
        <is>
          <t>Contacted</t>
        </is>
      </c>
      <c r="I6819" t="inlineStr">
        <is>
          <t>Open</t>
        </is>
      </c>
      <c r="M6819">
        <f>VLOOKUP(H6819,'Stage Order'!$A$2:$B$8,2,FALSE)</f>
        <v/>
      </c>
      <c r="N6819">
        <f>IF(G6819&lt;=1,"1. Under 1 hour",IF(G6819&lt;=24,"2. 1-24 hours",IF(G6819&lt;=72,"3. 1-3 days","4. Over 3 days")))</f>
        <v/>
      </c>
      <c r="O6819">
        <f>TEXT(B6819,"YYYY-MM")</f>
        <v/>
      </c>
    </row>
    <row r="6820">
      <c r="A6820" t="inlineStr">
        <is>
          <t>LD-306818</t>
        </is>
      </c>
      <c r="B6820" t="inlineStr">
        <is>
          <t>2025-01-10 07:52:00</t>
        </is>
      </c>
      <c r="C6820" t="inlineStr">
        <is>
          <t>Paid Search</t>
        </is>
      </c>
      <c r="D6820" t="inlineStr">
        <is>
          <t>Language Learning</t>
        </is>
      </c>
      <c r="E6820" t="inlineStr">
        <is>
          <t>West Region</t>
        </is>
      </c>
      <c r="F6820" t="inlineStr">
        <is>
          <t>Rep_08</t>
        </is>
      </c>
      <c r="G6820" t="n">
        <v>1.1</v>
      </c>
      <c r="H6820" t="inlineStr">
        <is>
          <t>Contacted</t>
        </is>
      </c>
      <c r="I6820" t="inlineStr">
        <is>
          <t>Open</t>
        </is>
      </c>
      <c r="M6820">
        <f>VLOOKUP(H6820,'Stage Order'!$A$2:$B$8,2,FALSE)</f>
        <v/>
      </c>
      <c r="N6820">
        <f>IF(G6820&lt;=1,"1. Under 1 hour",IF(G6820&lt;=24,"2. 1-24 hours",IF(G6820&lt;=72,"3. 1-3 days","4. Over 3 days")))</f>
        <v/>
      </c>
      <c r="O6820">
        <f>TEXT(B6820,"YYYY-MM")</f>
        <v/>
      </c>
    </row>
    <row r="6821">
      <c r="A6821" t="inlineStr">
        <is>
          <t>LD-306819</t>
        </is>
      </c>
      <c r="B6821" t="inlineStr">
        <is>
          <t>2025-01-17 08:24:00</t>
        </is>
      </c>
      <c r="C6821" t="inlineStr">
        <is>
          <t>Referral</t>
        </is>
      </c>
      <c r="D6821" t="inlineStr">
        <is>
          <t>Study Abroad Prep</t>
        </is>
      </c>
      <c r="E6821" t="inlineStr">
        <is>
          <t>West Region</t>
        </is>
      </c>
      <c r="F6821" t="inlineStr">
        <is>
          <t>Rep_08</t>
        </is>
      </c>
      <c r="G6821" t="n">
        <v>3.92</v>
      </c>
      <c r="H6821" t="inlineStr">
        <is>
          <t>Negotiation</t>
        </is>
      </c>
      <c r="I6821" t="inlineStr">
        <is>
          <t>Lost</t>
        </is>
      </c>
      <c r="J6821" t="inlineStr">
        <is>
          <t>No Response / Ghosted</t>
        </is>
      </c>
      <c r="K6821" t="n">
        <v>1568.25</v>
      </c>
      <c r="L6821" t="inlineStr">
        <is>
          <t>2025-03-11 06:23:33.867249</t>
        </is>
      </c>
      <c r="M6821">
        <f>VLOOKUP(H6821,'Stage Order'!$A$2:$B$8,2,FALSE)</f>
        <v/>
      </c>
      <c r="N6821">
        <f>IF(G6821&lt;=1,"1. Under 1 hour",IF(G6821&lt;=24,"2. 1-24 hours",IF(G6821&lt;=72,"3. 1-3 days","4. Over 3 days")))</f>
        <v/>
      </c>
      <c r="O6821">
        <f>TEXT(B6821,"YYYY-MM")</f>
        <v/>
      </c>
    </row>
    <row r="6822">
      <c r="A6822" t="inlineStr">
        <is>
          <t>LD-306820</t>
        </is>
      </c>
      <c r="B6822" t="inlineStr">
        <is>
          <t>2026-05-22 17:04:00</t>
        </is>
      </c>
      <c r="C6822" t="inlineStr">
        <is>
          <t>Social Media</t>
        </is>
      </c>
      <c r="D6822" t="inlineStr">
        <is>
          <t>Competitive Exam Prep</t>
        </is>
      </c>
      <c r="E6822" t="inlineStr">
        <is>
          <t>South Region</t>
        </is>
      </c>
      <c r="F6822" t="inlineStr">
        <is>
          <t>Rep_07</t>
        </is>
      </c>
      <c r="G6822" t="n">
        <v>3.47</v>
      </c>
      <c r="H6822" t="inlineStr">
        <is>
          <t>Contacted</t>
        </is>
      </c>
      <c r="I6822" t="inlineStr">
        <is>
          <t>Open</t>
        </is>
      </c>
      <c r="M6822">
        <f>VLOOKUP(H6822,'Stage Order'!$A$2:$B$8,2,FALSE)</f>
        <v/>
      </c>
      <c r="N6822">
        <f>IF(G6822&lt;=1,"1. Under 1 hour",IF(G6822&lt;=24,"2. 1-24 hours",IF(G6822&lt;=72,"3. 1-3 days","4. Over 3 days")))</f>
        <v/>
      </c>
      <c r="O6822">
        <f>TEXT(B6822,"YYYY-MM")</f>
        <v/>
      </c>
    </row>
    <row r="6823">
      <c r="A6823" t="inlineStr">
        <is>
          <t>LD-306821</t>
        </is>
      </c>
      <c r="B6823" t="inlineStr">
        <is>
          <t>2026-01-17 07:37:00</t>
        </is>
      </c>
      <c r="C6823" t="inlineStr">
        <is>
          <t>Paid Search</t>
        </is>
      </c>
      <c r="D6823" t="inlineStr">
        <is>
          <t>Competitive Exam Prep</t>
        </is>
      </c>
      <c r="E6823" t="inlineStr">
        <is>
          <t>North Region</t>
        </is>
      </c>
      <c r="F6823" t="inlineStr">
        <is>
          <t>Rep_06</t>
        </is>
      </c>
      <c r="G6823" t="n">
        <v>0.24</v>
      </c>
      <c r="H6823" t="inlineStr">
        <is>
          <t>Lead</t>
        </is>
      </c>
      <c r="I6823" t="inlineStr">
        <is>
          <t>Open</t>
        </is>
      </c>
      <c r="M6823">
        <f>VLOOKUP(H6823,'Stage Order'!$A$2:$B$8,2,FALSE)</f>
        <v/>
      </c>
      <c r="N6823">
        <f>IF(G6823&lt;=1,"1. Under 1 hour",IF(G6823&lt;=24,"2. 1-24 hours",IF(G6823&lt;=72,"3. 1-3 days","4. Over 3 days")))</f>
        <v/>
      </c>
      <c r="O6823">
        <f>TEXT(B6823,"YYYY-MM")</f>
        <v/>
      </c>
    </row>
    <row r="6824">
      <c r="A6824" t="inlineStr">
        <is>
          <t>LD-306822</t>
        </is>
      </c>
      <c r="B6824" t="inlineStr">
        <is>
          <t>2025-06-04 08:37:00</t>
        </is>
      </c>
      <c r="C6824" t="inlineStr">
        <is>
          <t>Social Media</t>
        </is>
      </c>
      <c r="D6824" t="inlineStr">
        <is>
          <t>K-12 Math</t>
        </is>
      </c>
      <c r="E6824" t="inlineStr">
        <is>
          <t>West Region</t>
        </is>
      </c>
      <c r="F6824" t="inlineStr">
        <is>
          <t>Rep_13</t>
        </is>
      </c>
      <c r="G6824" t="n">
        <v>1.01</v>
      </c>
      <c r="H6824" t="inlineStr">
        <is>
          <t>Lead</t>
        </is>
      </c>
      <c r="I6824" t="inlineStr">
        <is>
          <t>Open</t>
        </is>
      </c>
      <c r="M6824">
        <f>VLOOKUP(H6824,'Stage Order'!$A$2:$B$8,2,FALSE)</f>
        <v/>
      </c>
      <c r="N6824">
        <f>IF(G6824&lt;=1,"1. Under 1 hour",IF(G6824&lt;=24,"2. 1-24 hours",IF(G6824&lt;=72,"3. 1-3 days","4. Over 3 days")))</f>
        <v/>
      </c>
      <c r="O6824">
        <f>TEXT(B6824,"YYYY-MM")</f>
        <v/>
      </c>
    </row>
    <row r="6825">
      <c r="A6825" t="inlineStr">
        <is>
          <t>LD-306823</t>
        </is>
      </c>
      <c r="B6825" t="inlineStr">
        <is>
          <t>2026-05-23 18:35:00</t>
        </is>
      </c>
      <c r="C6825" t="inlineStr">
        <is>
          <t>Social Media</t>
        </is>
      </c>
      <c r="D6825" t="inlineStr">
        <is>
          <t>Coding for Kids</t>
        </is>
      </c>
      <c r="E6825" t="inlineStr">
        <is>
          <t>West Region</t>
        </is>
      </c>
      <c r="F6825" t="inlineStr">
        <is>
          <t>Rep_13</t>
        </is>
      </c>
      <c r="G6825" t="n">
        <v>5.31</v>
      </c>
      <c r="H6825" t="inlineStr">
        <is>
          <t>Contacted</t>
        </is>
      </c>
      <c r="I6825" t="inlineStr">
        <is>
          <t>Open</t>
        </is>
      </c>
      <c r="M6825">
        <f>VLOOKUP(H6825,'Stage Order'!$A$2:$B$8,2,FALSE)</f>
        <v/>
      </c>
      <c r="N6825">
        <f>IF(G6825&lt;=1,"1. Under 1 hour",IF(G6825&lt;=24,"2. 1-24 hours",IF(G6825&lt;=72,"3. 1-3 days","4. Over 3 days")))</f>
        <v/>
      </c>
      <c r="O6825">
        <f>TEXT(B6825,"YYYY-MM")</f>
        <v/>
      </c>
    </row>
    <row r="6826">
      <c r="A6826" t="inlineStr">
        <is>
          <t>LD-306824</t>
        </is>
      </c>
      <c r="B6826" t="inlineStr">
        <is>
          <t>2025-11-27 12:55:00</t>
        </is>
      </c>
      <c r="C6826" t="inlineStr">
        <is>
          <t>Organic Search</t>
        </is>
      </c>
      <c r="D6826" t="inlineStr">
        <is>
          <t>Competitive Exam Prep</t>
        </is>
      </c>
      <c r="E6826" t="inlineStr">
        <is>
          <t>South Region</t>
        </is>
      </c>
      <c r="F6826" t="inlineStr">
        <is>
          <t>Rep_02</t>
        </is>
      </c>
      <c r="G6826" t="n">
        <v>1.33</v>
      </c>
      <c r="H6826" t="inlineStr">
        <is>
          <t>Proposal Sent</t>
        </is>
      </c>
      <c r="I6826" t="inlineStr">
        <is>
          <t>Lost</t>
        </is>
      </c>
      <c r="J6826" t="inlineStr">
        <is>
          <t>Price Objection</t>
        </is>
      </c>
      <c r="K6826" t="n">
        <v>1054.15</v>
      </c>
      <c r="L6826" t="inlineStr">
        <is>
          <t>2026-01-09 06:34:07.241029</t>
        </is>
      </c>
      <c r="M6826">
        <f>VLOOKUP(H6826,'Stage Order'!$A$2:$B$8,2,FALSE)</f>
        <v/>
      </c>
      <c r="N6826">
        <f>IF(G6826&lt;=1,"1. Under 1 hour",IF(G6826&lt;=24,"2. 1-24 hours",IF(G6826&lt;=72,"3. 1-3 days","4. Over 3 days")))</f>
        <v/>
      </c>
      <c r="O6826">
        <f>TEXT(B6826,"YYYY-MM")</f>
        <v/>
      </c>
    </row>
    <row r="6827">
      <c r="A6827" t="inlineStr">
        <is>
          <t>LD-306825</t>
        </is>
      </c>
      <c r="B6827" t="inlineStr">
        <is>
          <t>2025-06-13 08:14:00</t>
        </is>
      </c>
      <c r="C6827" t="inlineStr">
        <is>
          <t>Social Media</t>
        </is>
      </c>
      <c r="D6827" t="inlineStr">
        <is>
          <t>Coding for Kids</t>
        </is>
      </c>
      <c r="E6827" t="inlineStr">
        <is>
          <t>South Region</t>
        </is>
      </c>
      <c r="F6827" t="inlineStr">
        <is>
          <t>Rep_07</t>
        </is>
      </c>
      <c r="G6827" t="n">
        <v>2.48</v>
      </c>
      <c r="H6827" t="inlineStr">
        <is>
          <t>Negotiation</t>
        </is>
      </c>
      <c r="I6827" t="inlineStr">
        <is>
          <t>Lost</t>
        </is>
      </c>
      <c r="J6827" t="inlineStr">
        <is>
          <t>No Response / Ghosted</t>
        </is>
      </c>
      <c r="K6827" t="n">
        <v>583.59</v>
      </c>
      <c r="L6827" t="inlineStr">
        <is>
          <t>2025-08-04 14:02:27.174504</t>
        </is>
      </c>
      <c r="M6827">
        <f>VLOOKUP(H6827,'Stage Order'!$A$2:$B$8,2,FALSE)</f>
        <v/>
      </c>
      <c r="N6827">
        <f>IF(G6827&lt;=1,"1. Under 1 hour",IF(G6827&lt;=24,"2. 1-24 hours",IF(G6827&lt;=72,"3. 1-3 days","4. Over 3 days")))</f>
        <v/>
      </c>
      <c r="O6827">
        <f>TEXT(B6827,"YYYY-MM")</f>
        <v/>
      </c>
    </row>
    <row r="6828">
      <c r="A6828" t="inlineStr">
        <is>
          <t>LD-306826</t>
        </is>
      </c>
      <c r="B6828" t="inlineStr">
        <is>
          <t>2025-06-04 16:16:00</t>
        </is>
      </c>
      <c r="C6828" t="inlineStr">
        <is>
          <t>Organic Search</t>
        </is>
      </c>
      <c r="D6828" t="inlineStr">
        <is>
          <t>K-12 Math</t>
        </is>
      </c>
      <c r="E6828" t="inlineStr">
        <is>
          <t>North Region</t>
        </is>
      </c>
      <c r="F6828" t="inlineStr">
        <is>
          <t>Rep_01</t>
        </is>
      </c>
      <c r="G6828" t="n">
        <v>0.8100000000000001</v>
      </c>
      <c r="H6828" t="inlineStr">
        <is>
          <t>Contacted</t>
        </is>
      </c>
      <c r="I6828" t="inlineStr">
        <is>
          <t>Open</t>
        </is>
      </c>
      <c r="M6828">
        <f>VLOOKUP(H6828,'Stage Order'!$A$2:$B$8,2,FALSE)</f>
        <v/>
      </c>
      <c r="N6828">
        <f>IF(G6828&lt;=1,"1. Under 1 hour",IF(G6828&lt;=24,"2. 1-24 hours",IF(G6828&lt;=72,"3. 1-3 days","4. Over 3 days")))</f>
        <v/>
      </c>
      <c r="O6828">
        <f>TEXT(B6828,"YYYY-MM")</f>
        <v/>
      </c>
    </row>
    <row r="6829">
      <c r="A6829" t="inlineStr">
        <is>
          <t>LD-306827</t>
        </is>
      </c>
      <c r="B6829" t="inlineStr">
        <is>
          <t>2025-07-17 19:58:00</t>
        </is>
      </c>
      <c r="C6829" t="inlineStr">
        <is>
          <t>Paid Search</t>
        </is>
      </c>
      <c r="D6829" t="inlineStr">
        <is>
          <t>K-12 Math</t>
        </is>
      </c>
      <c r="E6829" t="inlineStr">
        <is>
          <t>South Region</t>
        </is>
      </c>
      <c r="F6829" t="inlineStr">
        <is>
          <t>Rep_07</t>
        </is>
      </c>
      <c r="G6829" t="n">
        <v>1.07</v>
      </c>
      <c r="H6829" t="inlineStr">
        <is>
          <t>Negotiation</t>
        </is>
      </c>
      <c r="I6829" t="inlineStr">
        <is>
          <t>Lost</t>
        </is>
      </c>
      <c r="J6829" t="inlineStr">
        <is>
          <t>No Response / Ghosted</t>
        </is>
      </c>
      <c r="K6829" t="n">
        <v>484.54</v>
      </c>
      <c r="L6829" t="inlineStr">
        <is>
          <t>2025-08-16 11:19:17.803023</t>
        </is>
      </c>
      <c r="M6829">
        <f>VLOOKUP(H6829,'Stage Order'!$A$2:$B$8,2,FALSE)</f>
        <v/>
      </c>
      <c r="N6829">
        <f>IF(G6829&lt;=1,"1. Under 1 hour",IF(G6829&lt;=24,"2. 1-24 hours",IF(G6829&lt;=72,"3. 1-3 days","4. Over 3 days")))</f>
        <v/>
      </c>
      <c r="O6829">
        <f>TEXT(B6829,"YYYY-MM")</f>
        <v/>
      </c>
    </row>
    <row r="6830">
      <c r="A6830" t="inlineStr">
        <is>
          <t>LD-306828</t>
        </is>
      </c>
      <c r="B6830" t="inlineStr">
        <is>
          <t>2025-03-12 08:03:00</t>
        </is>
      </c>
      <c r="C6830" t="inlineStr">
        <is>
          <t>Cold Outreach</t>
        </is>
      </c>
      <c r="D6830" t="inlineStr">
        <is>
          <t>Competitive Exam Prep</t>
        </is>
      </c>
      <c r="E6830" t="inlineStr">
        <is>
          <t>North Region</t>
        </is>
      </c>
      <c r="F6830" t="inlineStr">
        <is>
          <t>Rep_11</t>
        </is>
      </c>
      <c r="G6830" t="n">
        <v>1.4</v>
      </c>
      <c r="H6830" t="inlineStr">
        <is>
          <t>Lead</t>
        </is>
      </c>
      <c r="I6830" t="inlineStr">
        <is>
          <t>Open</t>
        </is>
      </c>
      <c r="M6830">
        <f>VLOOKUP(H6830,'Stage Order'!$A$2:$B$8,2,FALSE)</f>
        <v/>
      </c>
      <c r="N6830">
        <f>IF(G6830&lt;=1,"1. Under 1 hour",IF(G6830&lt;=24,"2. 1-24 hours",IF(G6830&lt;=72,"3. 1-3 days","4. Over 3 days")))</f>
        <v/>
      </c>
      <c r="O6830">
        <f>TEXT(B6830,"YYYY-MM")</f>
        <v/>
      </c>
    </row>
    <row r="6831">
      <c r="A6831" t="inlineStr">
        <is>
          <t>LD-306829</t>
        </is>
      </c>
      <c r="B6831" t="inlineStr">
        <is>
          <t>2025-12-13 09:07:00</t>
        </is>
      </c>
      <c r="C6831" t="inlineStr">
        <is>
          <t>Referral</t>
        </is>
      </c>
      <c r="D6831" t="inlineStr">
        <is>
          <t>Language Learning</t>
        </is>
      </c>
      <c r="E6831" t="inlineStr">
        <is>
          <t>South Region</t>
        </is>
      </c>
      <c r="F6831" t="inlineStr">
        <is>
          <t>Rep_12</t>
        </is>
      </c>
      <c r="G6831" t="n">
        <v>2.87</v>
      </c>
      <c r="H6831" t="inlineStr">
        <is>
          <t>Contacted</t>
        </is>
      </c>
      <c r="I6831" t="inlineStr">
        <is>
          <t>Open</t>
        </is>
      </c>
      <c r="M6831">
        <f>VLOOKUP(H6831,'Stage Order'!$A$2:$B$8,2,FALSE)</f>
        <v/>
      </c>
      <c r="N6831">
        <f>IF(G6831&lt;=1,"1. Under 1 hour",IF(G6831&lt;=24,"2. 1-24 hours",IF(G6831&lt;=72,"3. 1-3 days","4. Over 3 days")))</f>
        <v/>
      </c>
      <c r="O6831">
        <f>TEXT(B6831,"YYYY-MM")</f>
        <v/>
      </c>
    </row>
    <row r="6832">
      <c r="A6832" t="inlineStr">
        <is>
          <t>LD-306830</t>
        </is>
      </c>
      <c r="B6832" t="inlineStr">
        <is>
          <t>2025-10-08 12:47:00</t>
        </is>
      </c>
      <c r="C6832" t="inlineStr">
        <is>
          <t>Organic Search</t>
        </is>
      </c>
      <c r="D6832" t="inlineStr">
        <is>
          <t>Language Learning</t>
        </is>
      </c>
      <c r="E6832" t="inlineStr">
        <is>
          <t>East Region</t>
        </is>
      </c>
      <c r="F6832" t="inlineStr">
        <is>
          <t>Rep_14</t>
        </is>
      </c>
      <c r="G6832" t="n">
        <v>3.39</v>
      </c>
      <c r="H6832" t="inlineStr">
        <is>
          <t>Lead</t>
        </is>
      </c>
      <c r="I6832" t="inlineStr">
        <is>
          <t>Open</t>
        </is>
      </c>
      <c r="M6832">
        <f>VLOOKUP(H6832,'Stage Order'!$A$2:$B$8,2,FALSE)</f>
        <v/>
      </c>
      <c r="N6832">
        <f>IF(G6832&lt;=1,"1. Under 1 hour",IF(G6832&lt;=24,"2. 1-24 hours",IF(G6832&lt;=72,"3. 1-3 days","4. Over 3 days")))</f>
        <v/>
      </c>
      <c r="O6832">
        <f>TEXT(B6832,"YYYY-MM")</f>
        <v/>
      </c>
    </row>
    <row r="6833">
      <c r="A6833" t="inlineStr">
        <is>
          <t>LD-306831</t>
        </is>
      </c>
      <c r="B6833" t="inlineStr">
        <is>
          <t>2026-06-15 12:38:00</t>
        </is>
      </c>
      <c r="C6833" t="inlineStr">
        <is>
          <t>Paid Search</t>
        </is>
      </c>
      <c r="D6833" t="inlineStr">
        <is>
          <t>Competitive Exam Prep</t>
        </is>
      </c>
      <c r="E6833" t="inlineStr">
        <is>
          <t>South Region</t>
        </is>
      </c>
      <c r="F6833" t="inlineStr">
        <is>
          <t>Rep_12</t>
        </is>
      </c>
      <c r="G6833" t="n">
        <v>1.54</v>
      </c>
      <c r="H6833" t="inlineStr">
        <is>
          <t>Demo Completed</t>
        </is>
      </c>
      <c r="I6833" t="inlineStr">
        <is>
          <t>Lost</t>
        </is>
      </c>
      <c r="J6833" t="inlineStr">
        <is>
          <t>Went With Competitor</t>
        </is>
      </c>
      <c r="K6833" t="n">
        <v>1105.75</v>
      </c>
      <c r="L6833" t="inlineStr">
        <is>
          <t>2026-07-09 15:50:26.353542</t>
        </is>
      </c>
      <c r="M6833">
        <f>VLOOKUP(H6833,'Stage Order'!$A$2:$B$8,2,FALSE)</f>
        <v/>
      </c>
      <c r="N6833">
        <f>IF(G6833&lt;=1,"1. Under 1 hour",IF(G6833&lt;=24,"2. 1-24 hours",IF(G6833&lt;=72,"3. 1-3 days","4. Over 3 days")))</f>
        <v/>
      </c>
      <c r="O6833">
        <f>TEXT(B6833,"YYYY-MM")</f>
        <v/>
      </c>
    </row>
    <row r="6834">
      <c r="A6834" t="inlineStr">
        <is>
          <t>LD-306832</t>
        </is>
      </c>
      <c r="B6834" t="inlineStr">
        <is>
          <t>2025-11-12 07:00:00</t>
        </is>
      </c>
      <c r="C6834" t="inlineStr">
        <is>
          <t>Partner Channel</t>
        </is>
      </c>
      <c r="D6834" t="inlineStr">
        <is>
          <t>Language Learning</t>
        </is>
      </c>
      <c r="E6834" t="inlineStr">
        <is>
          <t>East Region</t>
        </is>
      </c>
      <c r="F6834" t="inlineStr">
        <is>
          <t>Rep_04</t>
        </is>
      </c>
      <c r="G6834" t="n">
        <v>1.68</v>
      </c>
      <c r="H6834" t="inlineStr">
        <is>
          <t>Demo Completed</t>
        </is>
      </c>
      <c r="I6834" t="inlineStr">
        <is>
          <t>Lost</t>
        </is>
      </c>
      <c r="J6834" t="inlineStr">
        <is>
          <t>Went With Competitor</t>
        </is>
      </c>
      <c r="K6834" t="n">
        <v>336.34</v>
      </c>
      <c r="L6834" t="inlineStr">
        <is>
          <t>2025-12-04 07:31:19.355445</t>
        </is>
      </c>
      <c r="M6834">
        <f>VLOOKUP(H6834,'Stage Order'!$A$2:$B$8,2,FALSE)</f>
        <v/>
      </c>
      <c r="N6834">
        <f>IF(G6834&lt;=1,"1. Under 1 hour",IF(G6834&lt;=24,"2. 1-24 hours",IF(G6834&lt;=72,"3. 1-3 days","4. Over 3 days")))</f>
        <v/>
      </c>
      <c r="O6834">
        <f>TEXT(B6834,"YYYY-MM")</f>
        <v/>
      </c>
    </row>
    <row r="6835">
      <c r="A6835" t="inlineStr">
        <is>
          <t>LD-306833</t>
        </is>
      </c>
      <c r="B6835" t="inlineStr">
        <is>
          <t>2025-11-28 19:53:00</t>
        </is>
      </c>
      <c r="C6835" t="inlineStr">
        <is>
          <t>Cold Outreach</t>
        </is>
      </c>
      <c r="D6835" t="inlineStr">
        <is>
          <t>Study Abroad Prep</t>
        </is>
      </c>
      <c r="E6835" t="inlineStr">
        <is>
          <t>North Region</t>
        </is>
      </c>
      <c r="F6835" t="inlineStr">
        <is>
          <t>Rep_06</t>
        </is>
      </c>
      <c r="G6835" t="n">
        <v>7.06</v>
      </c>
      <c r="H6835" t="inlineStr">
        <is>
          <t>Contacted</t>
        </is>
      </c>
      <c r="I6835" t="inlineStr">
        <is>
          <t>Open</t>
        </is>
      </c>
      <c r="M6835">
        <f>VLOOKUP(H6835,'Stage Order'!$A$2:$B$8,2,FALSE)</f>
        <v/>
      </c>
      <c r="N6835">
        <f>IF(G6835&lt;=1,"1. Under 1 hour",IF(G6835&lt;=24,"2. 1-24 hours",IF(G6835&lt;=72,"3. 1-3 days","4. Over 3 days")))</f>
        <v/>
      </c>
      <c r="O6835">
        <f>TEXT(B6835,"YYYY-MM")</f>
        <v/>
      </c>
    </row>
    <row r="6836">
      <c r="A6836" t="inlineStr">
        <is>
          <t>LD-306834</t>
        </is>
      </c>
      <c r="B6836" t="inlineStr">
        <is>
          <t>2026-05-22 14:47:00</t>
        </is>
      </c>
      <c r="C6836" t="inlineStr">
        <is>
          <t>Paid Search</t>
        </is>
      </c>
      <c r="D6836" t="inlineStr">
        <is>
          <t>Study Abroad Prep</t>
        </is>
      </c>
      <c r="E6836" t="inlineStr">
        <is>
          <t>North Region</t>
        </is>
      </c>
      <c r="F6836" t="inlineStr">
        <is>
          <t>Rep_01</t>
        </is>
      </c>
      <c r="G6836" t="n">
        <v>7.66</v>
      </c>
      <c r="H6836" t="inlineStr">
        <is>
          <t>Contacted</t>
        </is>
      </c>
      <c r="I6836" t="inlineStr">
        <is>
          <t>Open</t>
        </is>
      </c>
      <c r="M6836">
        <f>VLOOKUP(H6836,'Stage Order'!$A$2:$B$8,2,FALSE)</f>
        <v/>
      </c>
      <c r="N6836">
        <f>IF(G6836&lt;=1,"1. Under 1 hour",IF(G6836&lt;=24,"2. 1-24 hours",IF(G6836&lt;=72,"3. 1-3 days","4. Over 3 days")))</f>
        <v/>
      </c>
      <c r="O6836">
        <f>TEXT(B6836,"YYYY-MM")</f>
        <v/>
      </c>
    </row>
    <row r="6837">
      <c r="A6837" t="inlineStr">
        <is>
          <t>LD-306835</t>
        </is>
      </c>
      <c r="B6837" t="inlineStr">
        <is>
          <t>2025-09-26 19:33:00</t>
        </is>
      </c>
      <c r="C6837" t="inlineStr">
        <is>
          <t>Referral</t>
        </is>
      </c>
      <c r="D6837" t="inlineStr">
        <is>
          <t>Competitive Exam Prep</t>
        </is>
      </c>
      <c r="E6837" t="inlineStr">
        <is>
          <t>North Region</t>
        </is>
      </c>
      <c r="F6837" t="inlineStr">
        <is>
          <t>Rep_01</t>
        </is>
      </c>
      <c r="G6837" t="n">
        <v>7.97</v>
      </c>
      <c r="H6837" t="inlineStr">
        <is>
          <t>Closed</t>
        </is>
      </c>
      <c r="I6837" t="inlineStr">
        <is>
          <t>Won</t>
        </is>
      </c>
      <c r="K6837" t="n">
        <v>1068.86</v>
      </c>
      <c r="L6837" t="inlineStr">
        <is>
          <t>2025-10-26 16:47:43.020283</t>
        </is>
      </c>
      <c r="M6837">
        <f>VLOOKUP(H6837,'Stage Order'!$A$2:$B$8,2,FALSE)</f>
        <v/>
      </c>
      <c r="N6837">
        <f>IF(G6837&lt;=1,"1. Under 1 hour",IF(G6837&lt;=24,"2. 1-24 hours",IF(G6837&lt;=72,"3. 1-3 days","4. Over 3 days")))</f>
        <v/>
      </c>
      <c r="O6837">
        <f>TEXT(B6837,"YYYY-MM")</f>
        <v/>
      </c>
    </row>
    <row r="6838">
      <c r="A6838" t="inlineStr">
        <is>
          <t>LD-306836</t>
        </is>
      </c>
      <c r="B6838" t="inlineStr">
        <is>
          <t>2025-05-11 13:47:00</t>
        </is>
      </c>
      <c r="C6838" t="inlineStr">
        <is>
          <t>Organic Search</t>
        </is>
      </c>
      <c r="D6838" t="inlineStr">
        <is>
          <t>Coding for Kids</t>
        </is>
      </c>
      <c r="E6838" t="inlineStr">
        <is>
          <t>International</t>
        </is>
      </c>
      <c r="F6838" t="inlineStr">
        <is>
          <t>Rep_15</t>
        </is>
      </c>
      <c r="G6838" t="n">
        <v>1.94</v>
      </c>
      <c r="H6838" t="inlineStr">
        <is>
          <t>Closed</t>
        </is>
      </c>
      <c r="I6838" t="inlineStr">
        <is>
          <t>Won</t>
        </is>
      </c>
      <c r="K6838" t="n">
        <v>624.0700000000001</v>
      </c>
      <c r="L6838" t="inlineStr">
        <is>
          <t>2025-07-05 22:50:42.883375</t>
        </is>
      </c>
      <c r="M6838">
        <f>VLOOKUP(H6838,'Stage Order'!$A$2:$B$8,2,FALSE)</f>
        <v/>
      </c>
      <c r="N6838">
        <f>IF(G6838&lt;=1,"1. Under 1 hour",IF(G6838&lt;=24,"2. 1-24 hours",IF(G6838&lt;=72,"3. 1-3 days","4. Over 3 days")))</f>
        <v/>
      </c>
      <c r="O6838">
        <f>TEXT(B6838,"YYYY-MM")</f>
        <v/>
      </c>
    </row>
    <row r="6839">
      <c r="A6839" t="inlineStr">
        <is>
          <t>LD-306837</t>
        </is>
      </c>
      <c r="B6839" t="inlineStr">
        <is>
          <t>2025-02-10 10:13:00</t>
        </is>
      </c>
      <c r="C6839" t="inlineStr">
        <is>
          <t>Paid Search</t>
        </is>
      </c>
      <c r="D6839" t="inlineStr">
        <is>
          <t>K-12 Math</t>
        </is>
      </c>
      <c r="E6839" t="inlineStr">
        <is>
          <t>East Region</t>
        </is>
      </c>
      <c r="F6839" t="inlineStr">
        <is>
          <t>Rep_09</t>
        </is>
      </c>
      <c r="G6839" t="n">
        <v>1.51</v>
      </c>
      <c r="H6839" t="inlineStr">
        <is>
          <t>Demo Completed</t>
        </is>
      </c>
      <c r="I6839" t="inlineStr">
        <is>
          <t>Lost</t>
        </is>
      </c>
      <c r="J6839" t="inlineStr">
        <is>
          <t>No Response / Ghosted</t>
        </is>
      </c>
      <c r="K6839" t="n">
        <v>539.6900000000001</v>
      </c>
      <c r="L6839" t="inlineStr">
        <is>
          <t>2025-03-09 22:03:17.426227</t>
        </is>
      </c>
      <c r="M6839">
        <f>VLOOKUP(H6839,'Stage Order'!$A$2:$B$8,2,FALSE)</f>
        <v/>
      </c>
      <c r="N6839">
        <f>IF(G6839&lt;=1,"1. Under 1 hour",IF(G6839&lt;=24,"2. 1-24 hours",IF(G6839&lt;=72,"3. 1-3 days","4. Over 3 days")))</f>
        <v/>
      </c>
      <c r="O6839">
        <f>TEXT(B6839,"YYYY-MM")</f>
        <v/>
      </c>
    </row>
    <row r="6840">
      <c r="A6840" t="inlineStr">
        <is>
          <t>LD-306838</t>
        </is>
      </c>
      <c r="B6840" t="inlineStr">
        <is>
          <t>2025-01-24 11:18:00</t>
        </is>
      </c>
      <c r="C6840" t="inlineStr">
        <is>
          <t>Organic Search</t>
        </is>
      </c>
      <c r="D6840" t="inlineStr">
        <is>
          <t>K-12 Math</t>
        </is>
      </c>
      <c r="E6840" t="inlineStr">
        <is>
          <t>South Region</t>
        </is>
      </c>
      <c r="F6840" t="inlineStr">
        <is>
          <t>Rep_07</t>
        </is>
      </c>
      <c r="G6840" t="n">
        <v>1.89</v>
      </c>
      <c r="H6840" t="inlineStr">
        <is>
          <t>Contacted</t>
        </is>
      </c>
      <c r="I6840" t="inlineStr">
        <is>
          <t>Open</t>
        </is>
      </c>
      <c r="M6840">
        <f>VLOOKUP(H6840,'Stage Order'!$A$2:$B$8,2,FALSE)</f>
        <v/>
      </c>
      <c r="N6840">
        <f>IF(G6840&lt;=1,"1. Under 1 hour",IF(G6840&lt;=24,"2. 1-24 hours",IF(G6840&lt;=72,"3. 1-3 days","4. Over 3 days")))</f>
        <v/>
      </c>
      <c r="O6840">
        <f>TEXT(B6840,"YYYY-MM")</f>
        <v/>
      </c>
    </row>
    <row r="6841">
      <c r="A6841" t="inlineStr">
        <is>
          <t>LD-306839</t>
        </is>
      </c>
      <c r="B6841" t="inlineStr">
        <is>
          <t>2025-04-18 18:30:00</t>
        </is>
      </c>
      <c r="C6841" t="inlineStr">
        <is>
          <t>Paid Search</t>
        </is>
      </c>
      <c r="D6841" t="inlineStr">
        <is>
          <t>Coding for Kids</t>
        </is>
      </c>
      <c r="E6841" t="inlineStr">
        <is>
          <t>South Region</t>
        </is>
      </c>
      <c r="F6841" t="inlineStr">
        <is>
          <t>Rep_07</t>
        </is>
      </c>
      <c r="G6841" t="n">
        <v>0.9</v>
      </c>
      <c r="H6841" t="inlineStr">
        <is>
          <t>Lead</t>
        </is>
      </c>
      <c r="I6841" t="inlineStr">
        <is>
          <t>Open</t>
        </is>
      </c>
      <c r="M6841">
        <f>VLOOKUP(H6841,'Stage Order'!$A$2:$B$8,2,FALSE)</f>
        <v/>
      </c>
      <c r="N6841">
        <f>IF(G6841&lt;=1,"1. Under 1 hour",IF(G6841&lt;=24,"2. 1-24 hours",IF(G6841&lt;=72,"3. 1-3 days","4. Over 3 days")))</f>
        <v/>
      </c>
      <c r="O6841">
        <f>TEXT(B6841,"YYYY-MM")</f>
        <v/>
      </c>
    </row>
    <row r="6842">
      <c r="A6842" t="inlineStr">
        <is>
          <t>LD-306840</t>
        </is>
      </c>
      <c r="B6842" t="inlineStr">
        <is>
          <t>2025-05-22 18:28:00</t>
        </is>
      </c>
      <c r="C6842" t="inlineStr">
        <is>
          <t>Referral</t>
        </is>
      </c>
      <c r="D6842" t="inlineStr">
        <is>
          <t>Coding for Kids</t>
        </is>
      </c>
      <c r="E6842" t="inlineStr">
        <is>
          <t>North Region</t>
        </is>
      </c>
      <c r="F6842" t="inlineStr">
        <is>
          <t>Rep_06</t>
        </is>
      </c>
      <c r="G6842" t="n">
        <v>9.609999999999999</v>
      </c>
      <c r="H6842" t="inlineStr">
        <is>
          <t>Contacted</t>
        </is>
      </c>
      <c r="I6842" t="inlineStr">
        <is>
          <t>Open</t>
        </is>
      </c>
      <c r="M6842">
        <f>VLOOKUP(H6842,'Stage Order'!$A$2:$B$8,2,FALSE)</f>
        <v/>
      </c>
      <c r="N6842">
        <f>IF(G6842&lt;=1,"1. Under 1 hour",IF(G6842&lt;=24,"2. 1-24 hours",IF(G6842&lt;=72,"3. 1-3 days","4. Over 3 days")))</f>
        <v/>
      </c>
      <c r="O6842">
        <f>TEXT(B6842,"YYYY-MM")</f>
        <v/>
      </c>
    </row>
    <row r="6843">
      <c r="A6843" t="inlineStr">
        <is>
          <t>LD-306841</t>
        </is>
      </c>
      <c r="B6843" t="inlineStr">
        <is>
          <t>2025-05-30 18:40:00</t>
        </is>
      </c>
      <c r="C6843" t="inlineStr">
        <is>
          <t>Referral</t>
        </is>
      </c>
      <c r="D6843" t="inlineStr">
        <is>
          <t>Competitive Exam Prep</t>
        </is>
      </c>
      <c r="E6843" t="inlineStr">
        <is>
          <t>South Region</t>
        </is>
      </c>
      <c r="F6843" t="inlineStr">
        <is>
          <t>Rep_02</t>
        </is>
      </c>
      <c r="G6843" t="n">
        <v>2.26</v>
      </c>
      <c r="H6843" t="inlineStr">
        <is>
          <t>Contacted</t>
        </is>
      </c>
      <c r="I6843" t="inlineStr">
        <is>
          <t>Open</t>
        </is>
      </c>
      <c r="M6843">
        <f>VLOOKUP(H6843,'Stage Order'!$A$2:$B$8,2,FALSE)</f>
        <v/>
      </c>
      <c r="N6843">
        <f>IF(G6843&lt;=1,"1. Under 1 hour",IF(G6843&lt;=24,"2. 1-24 hours",IF(G6843&lt;=72,"3. 1-3 days","4. Over 3 days")))</f>
        <v/>
      </c>
      <c r="O6843">
        <f>TEXT(B6843,"YYYY-MM")</f>
        <v/>
      </c>
    </row>
    <row r="6844">
      <c r="A6844" t="inlineStr">
        <is>
          <t>LD-306842</t>
        </is>
      </c>
      <c r="B6844" t="inlineStr">
        <is>
          <t>2025-10-24 10:56:00</t>
        </is>
      </c>
      <c r="C6844" t="inlineStr">
        <is>
          <t>Partner Channel</t>
        </is>
      </c>
      <c r="D6844" t="inlineStr">
        <is>
          <t>Coding for Kids</t>
        </is>
      </c>
      <c r="E6844" t="inlineStr">
        <is>
          <t>South Region</t>
        </is>
      </c>
      <c r="F6844" t="inlineStr">
        <is>
          <t>Rep_02</t>
        </is>
      </c>
      <c r="G6844" t="n">
        <v>0.68</v>
      </c>
      <c r="H6844" t="inlineStr">
        <is>
          <t>Closed</t>
        </is>
      </c>
      <c r="I6844" t="inlineStr">
        <is>
          <t>Won</t>
        </is>
      </c>
      <c r="K6844" t="n">
        <v>704.11</v>
      </c>
      <c r="L6844" t="inlineStr">
        <is>
          <t>2025-12-01 15:48:39.882899</t>
        </is>
      </c>
      <c r="M6844">
        <f>VLOOKUP(H6844,'Stage Order'!$A$2:$B$8,2,FALSE)</f>
        <v/>
      </c>
      <c r="N6844">
        <f>IF(G6844&lt;=1,"1. Under 1 hour",IF(G6844&lt;=24,"2. 1-24 hours",IF(G6844&lt;=72,"3. 1-3 days","4. Over 3 days")))</f>
        <v/>
      </c>
      <c r="O6844">
        <f>TEXT(B6844,"YYYY-MM")</f>
        <v/>
      </c>
    </row>
    <row r="6845">
      <c r="A6845" t="inlineStr">
        <is>
          <t>LD-306843</t>
        </is>
      </c>
      <c r="B6845" t="inlineStr">
        <is>
          <t>2026-03-01 17:37:00</t>
        </is>
      </c>
      <c r="C6845" t="inlineStr">
        <is>
          <t>Referral</t>
        </is>
      </c>
      <c r="D6845" t="inlineStr">
        <is>
          <t>K-12 Math</t>
        </is>
      </c>
      <c r="E6845" t="inlineStr">
        <is>
          <t>International</t>
        </is>
      </c>
      <c r="F6845" t="inlineStr">
        <is>
          <t>Rep_10</t>
        </is>
      </c>
      <c r="G6845" t="n">
        <v>7.85</v>
      </c>
      <c r="H6845" t="inlineStr">
        <is>
          <t>Contacted</t>
        </is>
      </c>
      <c r="I6845" t="inlineStr">
        <is>
          <t>Open</t>
        </is>
      </c>
      <c r="M6845">
        <f>VLOOKUP(H6845,'Stage Order'!$A$2:$B$8,2,FALSE)</f>
        <v/>
      </c>
      <c r="N6845">
        <f>IF(G6845&lt;=1,"1. Under 1 hour",IF(G6845&lt;=24,"2. 1-24 hours",IF(G6845&lt;=72,"3. 1-3 days","4. Over 3 days")))</f>
        <v/>
      </c>
      <c r="O6845">
        <f>TEXT(B6845,"YYYY-MM")</f>
        <v/>
      </c>
    </row>
    <row r="6846">
      <c r="A6846" t="inlineStr">
        <is>
          <t>LD-306844</t>
        </is>
      </c>
      <c r="B6846" t="inlineStr">
        <is>
          <t>2026-02-12 09:24:00</t>
        </is>
      </c>
      <c r="C6846" t="inlineStr">
        <is>
          <t>Partner Channel</t>
        </is>
      </c>
      <c r="D6846" t="inlineStr">
        <is>
          <t>Competitive Exam Prep</t>
        </is>
      </c>
      <c r="E6846" t="inlineStr">
        <is>
          <t>North Region</t>
        </is>
      </c>
      <c r="F6846" t="inlineStr">
        <is>
          <t>Rep_06</t>
        </is>
      </c>
      <c r="G6846" t="n">
        <v>1.74</v>
      </c>
      <c r="H6846" t="inlineStr">
        <is>
          <t>Demo Completed</t>
        </is>
      </c>
      <c r="I6846" t="inlineStr">
        <is>
          <t>Lost</t>
        </is>
      </c>
      <c r="J6846" t="inlineStr">
        <is>
          <t>No Response / Ghosted</t>
        </is>
      </c>
      <c r="K6846" t="n">
        <v>919.05</v>
      </c>
      <c r="L6846" t="inlineStr">
        <is>
          <t>2026-03-15 11:25:29.742273</t>
        </is>
      </c>
      <c r="M6846">
        <f>VLOOKUP(H6846,'Stage Order'!$A$2:$B$8,2,FALSE)</f>
        <v/>
      </c>
      <c r="N6846">
        <f>IF(G6846&lt;=1,"1. Under 1 hour",IF(G6846&lt;=24,"2. 1-24 hours",IF(G6846&lt;=72,"3. 1-3 days","4. Over 3 days")))</f>
        <v/>
      </c>
      <c r="O6846">
        <f>TEXT(B6846,"YYYY-MM")</f>
        <v/>
      </c>
    </row>
    <row r="6847">
      <c r="A6847" t="inlineStr">
        <is>
          <t>LD-306845</t>
        </is>
      </c>
      <c r="B6847" t="inlineStr">
        <is>
          <t>2026-06-03 18:09:00</t>
        </is>
      </c>
      <c r="C6847" t="inlineStr">
        <is>
          <t>Organic Search</t>
        </is>
      </c>
      <c r="D6847" t="inlineStr">
        <is>
          <t>Coding for Kids</t>
        </is>
      </c>
      <c r="E6847" t="inlineStr">
        <is>
          <t>International</t>
        </is>
      </c>
      <c r="F6847" t="inlineStr">
        <is>
          <t>Rep_10</t>
        </is>
      </c>
      <c r="G6847" t="n">
        <v>3.77</v>
      </c>
      <c r="H6847" t="inlineStr">
        <is>
          <t>Demo Completed</t>
        </is>
      </c>
      <c r="I6847" t="inlineStr">
        <is>
          <t>Lost</t>
        </is>
      </c>
      <c r="J6847" t="inlineStr">
        <is>
          <t>No Response / Ghosted</t>
        </is>
      </c>
      <c r="K6847" t="n">
        <v>714.16</v>
      </c>
      <c r="L6847" t="inlineStr">
        <is>
          <t>2026-07-01 02:44:44.515786</t>
        </is>
      </c>
      <c r="M6847">
        <f>VLOOKUP(H6847,'Stage Order'!$A$2:$B$8,2,FALSE)</f>
        <v/>
      </c>
      <c r="N6847">
        <f>IF(G6847&lt;=1,"1. Under 1 hour",IF(G6847&lt;=24,"2. 1-24 hours",IF(G6847&lt;=72,"3. 1-3 days","4. Over 3 days")))</f>
        <v/>
      </c>
      <c r="O6847">
        <f>TEXT(B6847,"YYYY-MM")</f>
        <v/>
      </c>
    </row>
    <row r="6848">
      <c r="A6848" t="inlineStr">
        <is>
          <t>LD-306846</t>
        </is>
      </c>
      <c r="B6848" t="inlineStr">
        <is>
          <t>2026-06-09 08:58:00</t>
        </is>
      </c>
      <c r="C6848" t="inlineStr">
        <is>
          <t>Cold Outreach</t>
        </is>
      </c>
      <c r="D6848" t="inlineStr">
        <is>
          <t>Competitive Exam Prep</t>
        </is>
      </c>
      <c r="E6848" t="inlineStr">
        <is>
          <t>South Region</t>
        </is>
      </c>
      <c r="F6848" t="inlineStr">
        <is>
          <t>Rep_07</t>
        </is>
      </c>
      <c r="G6848" t="n">
        <v>0.91</v>
      </c>
      <c r="H6848" t="inlineStr">
        <is>
          <t>Contacted</t>
        </is>
      </c>
      <c r="I6848" t="inlineStr">
        <is>
          <t>Open</t>
        </is>
      </c>
      <c r="M6848">
        <f>VLOOKUP(H6848,'Stage Order'!$A$2:$B$8,2,FALSE)</f>
        <v/>
      </c>
      <c r="N6848">
        <f>IF(G6848&lt;=1,"1. Under 1 hour",IF(G6848&lt;=24,"2. 1-24 hours",IF(G6848&lt;=72,"3. 1-3 days","4. Over 3 days")))</f>
        <v/>
      </c>
      <c r="O6848">
        <f>TEXT(B6848,"YYYY-MM")</f>
        <v/>
      </c>
    </row>
    <row r="6849">
      <c r="A6849" t="inlineStr">
        <is>
          <t>LD-306847</t>
        </is>
      </c>
      <c r="B6849" t="inlineStr">
        <is>
          <t>2025-12-30 17:01:00</t>
        </is>
      </c>
      <c r="C6849" t="inlineStr">
        <is>
          <t>Webinar</t>
        </is>
      </c>
      <c r="D6849" t="inlineStr">
        <is>
          <t>K-12 Math</t>
        </is>
      </c>
      <c r="E6849" t="inlineStr">
        <is>
          <t>South Region</t>
        </is>
      </c>
      <c r="F6849" t="inlineStr">
        <is>
          <t>Rep_12</t>
        </is>
      </c>
      <c r="G6849" t="n">
        <v>23.17</v>
      </c>
      <c r="H6849" t="inlineStr">
        <is>
          <t>Contacted</t>
        </is>
      </c>
      <c r="I6849" t="inlineStr">
        <is>
          <t>Open</t>
        </is>
      </c>
      <c r="M6849">
        <f>VLOOKUP(H6849,'Stage Order'!$A$2:$B$8,2,FALSE)</f>
        <v/>
      </c>
      <c r="N6849">
        <f>IF(G6849&lt;=1,"1. Under 1 hour",IF(G6849&lt;=24,"2. 1-24 hours",IF(G6849&lt;=72,"3. 1-3 days","4. Over 3 days")))</f>
        <v/>
      </c>
      <c r="O6849">
        <f>TEXT(B6849,"YYYY-MM")</f>
        <v/>
      </c>
    </row>
    <row r="6850">
      <c r="A6850" t="inlineStr">
        <is>
          <t>LD-306848</t>
        </is>
      </c>
      <c r="B6850" t="inlineStr">
        <is>
          <t>2025-05-12 09:46:00</t>
        </is>
      </c>
      <c r="C6850" t="inlineStr">
        <is>
          <t>Referral</t>
        </is>
      </c>
      <c r="D6850" t="inlineStr">
        <is>
          <t>Language Learning</t>
        </is>
      </c>
      <c r="E6850" t="inlineStr">
        <is>
          <t>South Region</t>
        </is>
      </c>
      <c r="F6850" t="inlineStr">
        <is>
          <t>Rep_12</t>
        </is>
      </c>
      <c r="G6850" t="n">
        <v>3.55</v>
      </c>
      <c r="H6850" t="inlineStr">
        <is>
          <t>Closed</t>
        </is>
      </c>
      <c r="I6850" t="inlineStr">
        <is>
          <t>Won</t>
        </is>
      </c>
      <c r="K6850" t="n">
        <v>371.04</v>
      </c>
      <c r="L6850" t="inlineStr">
        <is>
          <t>2025-06-21 19:23:03.956145</t>
        </is>
      </c>
      <c r="M6850">
        <f>VLOOKUP(H6850,'Stage Order'!$A$2:$B$8,2,FALSE)</f>
        <v/>
      </c>
      <c r="N6850">
        <f>IF(G6850&lt;=1,"1. Under 1 hour",IF(G6850&lt;=24,"2. 1-24 hours",IF(G6850&lt;=72,"3. 1-3 days","4. Over 3 days")))</f>
        <v/>
      </c>
      <c r="O6850">
        <f>TEXT(B6850,"YYYY-MM")</f>
        <v/>
      </c>
    </row>
    <row r="6851">
      <c r="A6851" t="inlineStr">
        <is>
          <t>LD-306849</t>
        </is>
      </c>
      <c r="B6851" t="inlineStr">
        <is>
          <t>2025-07-30 17:14:00</t>
        </is>
      </c>
      <c r="C6851" t="inlineStr">
        <is>
          <t>Webinar</t>
        </is>
      </c>
      <c r="D6851" t="inlineStr">
        <is>
          <t>Study Abroad Prep</t>
        </is>
      </c>
      <c r="E6851" t="inlineStr">
        <is>
          <t>East Region</t>
        </is>
      </c>
      <c r="F6851" t="inlineStr">
        <is>
          <t>Rep_14</t>
        </is>
      </c>
      <c r="G6851" t="n">
        <v>5.77</v>
      </c>
      <c r="H6851" t="inlineStr">
        <is>
          <t>Negotiation</t>
        </is>
      </c>
      <c r="I6851" t="inlineStr">
        <is>
          <t>Lost</t>
        </is>
      </c>
      <c r="J6851" t="inlineStr">
        <is>
          <t>Budget Not Approved</t>
        </is>
      </c>
      <c r="K6851" t="n">
        <v>1717.93</v>
      </c>
      <c r="L6851" t="inlineStr">
        <is>
          <t>2025-08-29 03:47:52.395007</t>
        </is>
      </c>
      <c r="M6851">
        <f>VLOOKUP(H6851,'Stage Order'!$A$2:$B$8,2,FALSE)</f>
        <v/>
      </c>
      <c r="N6851">
        <f>IF(G6851&lt;=1,"1. Under 1 hour",IF(G6851&lt;=24,"2. 1-24 hours",IF(G6851&lt;=72,"3. 1-3 days","4. Over 3 days")))</f>
        <v/>
      </c>
      <c r="O6851">
        <f>TEXT(B6851,"YYYY-MM")</f>
        <v/>
      </c>
    </row>
    <row r="6852">
      <c r="A6852" t="inlineStr">
        <is>
          <t>LD-306850</t>
        </is>
      </c>
      <c r="B6852" t="inlineStr">
        <is>
          <t>2025-06-11 09:06:00</t>
        </is>
      </c>
      <c r="C6852" t="inlineStr">
        <is>
          <t>Organic Search</t>
        </is>
      </c>
      <c r="D6852" t="inlineStr">
        <is>
          <t>K-12 Math</t>
        </is>
      </c>
      <c r="E6852" t="inlineStr">
        <is>
          <t>West Region</t>
        </is>
      </c>
      <c r="F6852" t="inlineStr">
        <is>
          <t>Rep_03</t>
        </is>
      </c>
      <c r="G6852" t="n">
        <v>7.44</v>
      </c>
      <c r="H6852" t="inlineStr">
        <is>
          <t>Contacted</t>
        </is>
      </c>
      <c r="I6852" t="inlineStr">
        <is>
          <t>Open</t>
        </is>
      </c>
      <c r="M6852">
        <f>VLOOKUP(H6852,'Stage Order'!$A$2:$B$8,2,FALSE)</f>
        <v/>
      </c>
      <c r="N6852">
        <f>IF(G6852&lt;=1,"1. Under 1 hour",IF(G6852&lt;=24,"2. 1-24 hours",IF(G6852&lt;=72,"3. 1-3 days","4. Over 3 days")))</f>
        <v/>
      </c>
      <c r="O6852">
        <f>TEXT(B6852,"YYYY-MM")</f>
        <v/>
      </c>
    </row>
    <row r="6853">
      <c r="A6853" t="inlineStr">
        <is>
          <t>LD-306851</t>
        </is>
      </c>
      <c r="B6853" t="inlineStr">
        <is>
          <t>2025-12-22 16:35:00</t>
        </is>
      </c>
      <c r="C6853" t="inlineStr">
        <is>
          <t>Organic Search</t>
        </is>
      </c>
      <c r="D6853" t="inlineStr">
        <is>
          <t>K-12 Math</t>
        </is>
      </c>
      <c r="E6853" t="inlineStr">
        <is>
          <t>South Region</t>
        </is>
      </c>
      <c r="F6853" t="inlineStr">
        <is>
          <t>Rep_07</t>
        </is>
      </c>
      <c r="G6853" t="n">
        <v>7.91</v>
      </c>
      <c r="H6853" t="inlineStr">
        <is>
          <t>Contacted</t>
        </is>
      </c>
      <c r="I6853" t="inlineStr">
        <is>
          <t>Open</t>
        </is>
      </c>
      <c r="M6853">
        <f>VLOOKUP(H6853,'Stage Order'!$A$2:$B$8,2,FALSE)</f>
        <v/>
      </c>
      <c r="N6853">
        <f>IF(G6853&lt;=1,"1. Under 1 hour",IF(G6853&lt;=24,"2. 1-24 hours",IF(G6853&lt;=72,"3. 1-3 days","4. Over 3 days")))</f>
        <v/>
      </c>
      <c r="O6853">
        <f>TEXT(B6853,"YYYY-MM")</f>
        <v/>
      </c>
    </row>
    <row r="6854">
      <c r="A6854" t="inlineStr">
        <is>
          <t>LD-306852</t>
        </is>
      </c>
      <c r="B6854" t="inlineStr">
        <is>
          <t>2025-11-21 08:41:00</t>
        </is>
      </c>
      <c r="C6854" t="inlineStr">
        <is>
          <t>Referral</t>
        </is>
      </c>
      <c r="D6854" t="inlineStr">
        <is>
          <t>K-12 Math</t>
        </is>
      </c>
      <c r="E6854" t="inlineStr">
        <is>
          <t>International</t>
        </is>
      </c>
      <c r="F6854" t="inlineStr">
        <is>
          <t>Rep_05</t>
        </is>
      </c>
      <c r="G6854" t="n">
        <v>8.74</v>
      </c>
      <c r="H6854" t="inlineStr">
        <is>
          <t>Contacted</t>
        </is>
      </c>
      <c r="I6854" t="inlineStr">
        <is>
          <t>Open</t>
        </is>
      </c>
      <c r="M6854">
        <f>VLOOKUP(H6854,'Stage Order'!$A$2:$B$8,2,FALSE)</f>
        <v/>
      </c>
      <c r="N6854">
        <f>IF(G6854&lt;=1,"1. Under 1 hour",IF(G6854&lt;=24,"2. 1-24 hours",IF(G6854&lt;=72,"3. 1-3 days","4. Over 3 days")))</f>
        <v/>
      </c>
      <c r="O6854">
        <f>TEXT(B6854,"YYYY-MM")</f>
        <v/>
      </c>
    </row>
    <row r="6855">
      <c r="A6855" t="inlineStr">
        <is>
          <t>LD-306853</t>
        </is>
      </c>
      <c r="B6855" t="inlineStr">
        <is>
          <t>2025-09-09 08:15:00</t>
        </is>
      </c>
      <c r="C6855" t="inlineStr">
        <is>
          <t>Webinar</t>
        </is>
      </c>
      <c r="D6855" t="inlineStr">
        <is>
          <t>Language Learning</t>
        </is>
      </c>
      <c r="E6855" t="inlineStr">
        <is>
          <t>South Region</t>
        </is>
      </c>
      <c r="F6855" t="inlineStr">
        <is>
          <t>Rep_02</t>
        </is>
      </c>
      <c r="G6855" t="n">
        <v>5.22</v>
      </c>
      <c r="H6855" t="inlineStr">
        <is>
          <t>Contacted</t>
        </is>
      </c>
      <c r="I6855" t="inlineStr">
        <is>
          <t>Open</t>
        </is>
      </c>
      <c r="M6855">
        <f>VLOOKUP(H6855,'Stage Order'!$A$2:$B$8,2,FALSE)</f>
        <v/>
      </c>
      <c r="N6855">
        <f>IF(G6855&lt;=1,"1. Under 1 hour",IF(G6855&lt;=24,"2. 1-24 hours",IF(G6855&lt;=72,"3. 1-3 days","4. Over 3 days")))</f>
        <v/>
      </c>
      <c r="O6855">
        <f>TEXT(B6855,"YYYY-MM")</f>
        <v/>
      </c>
    </row>
    <row r="6856">
      <c r="A6856" t="inlineStr">
        <is>
          <t>LD-306854</t>
        </is>
      </c>
      <c r="B6856" t="inlineStr">
        <is>
          <t>2026-01-29 07:57:00</t>
        </is>
      </c>
      <c r="C6856" t="inlineStr">
        <is>
          <t>Cold Outreach</t>
        </is>
      </c>
      <c r="D6856" t="inlineStr">
        <is>
          <t>K-12 Math</t>
        </is>
      </c>
      <c r="E6856" t="inlineStr">
        <is>
          <t>North Region</t>
        </is>
      </c>
      <c r="F6856" t="inlineStr">
        <is>
          <t>Rep_01</t>
        </is>
      </c>
      <c r="G6856" t="n">
        <v>2.36</v>
      </c>
      <c r="H6856" t="inlineStr">
        <is>
          <t>Contacted</t>
        </is>
      </c>
      <c r="I6856" t="inlineStr">
        <is>
          <t>Open</t>
        </is>
      </c>
      <c r="M6856">
        <f>VLOOKUP(H6856,'Stage Order'!$A$2:$B$8,2,FALSE)</f>
        <v/>
      </c>
      <c r="N6856">
        <f>IF(G6856&lt;=1,"1. Under 1 hour",IF(G6856&lt;=24,"2. 1-24 hours",IF(G6856&lt;=72,"3. 1-3 days","4. Over 3 days")))</f>
        <v/>
      </c>
      <c r="O6856">
        <f>TEXT(B6856,"YYYY-MM")</f>
        <v/>
      </c>
    </row>
    <row r="6857">
      <c r="A6857" t="inlineStr">
        <is>
          <t>LD-306855</t>
        </is>
      </c>
      <c r="B6857" t="inlineStr">
        <is>
          <t>2026-03-30 20:04:00</t>
        </is>
      </c>
      <c r="C6857" t="inlineStr">
        <is>
          <t>Social Media</t>
        </is>
      </c>
      <c r="D6857" t="inlineStr">
        <is>
          <t>K-12 Math</t>
        </is>
      </c>
      <c r="E6857" t="inlineStr">
        <is>
          <t>South Region</t>
        </is>
      </c>
      <c r="F6857" t="inlineStr">
        <is>
          <t>Rep_02</t>
        </is>
      </c>
      <c r="G6857" t="n">
        <v>0.9</v>
      </c>
      <c r="H6857" t="inlineStr">
        <is>
          <t>Contacted</t>
        </is>
      </c>
      <c r="I6857" t="inlineStr">
        <is>
          <t>Open</t>
        </is>
      </c>
      <c r="M6857">
        <f>VLOOKUP(H6857,'Stage Order'!$A$2:$B$8,2,FALSE)</f>
        <v/>
      </c>
      <c r="N6857">
        <f>IF(G6857&lt;=1,"1. Under 1 hour",IF(G6857&lt;=24,"2. 1-24 hours",IF(G6857&lt;=72,"3. 1-3 days","4. Over 3 days")))</f>
        <v/>
      </c>
      <c r="O6857">
        <f>TEXT(B6857,"YYYY-MM")</f>
        <v/>
      </c>
    </row>
    <row r="6858">
      <c r="A6858" t="inlineStr">
        <is>
          <t>LD-306856</t>
        </is>
      </c>
      <c r="B6858" t="inlineStr">
        <is>
          <t>2025-01-13 08:34:00</t>
        </is>
      </c>
      <c r="C6858" t="inlineStr">
        <is>
          <t>Social Media</t>
        </is>
      </c>
      <c r="D6858" t="inlineStr">
        <is>
          <t>Competitive Exam Prep</t>
        </is>
      </c>
      <c r="E6858" t="inlineStr">
        <is>
          <t>International</t>
        </is>
      </c>
      <c r="F6858" t="inlineStr">
        <is>
          <t>Rep_10</t>
        </is>
      </c>
      <c r="G6858" t="n">
        <v>2.07</v>
      </c>
      <c r="H6858" t="inlineStr">
        <is>
          <t>Lead</t>
        </is>
      </c>
      <c r="I6858" t="inlineStr">
        <is>
          <t>Open</t>
        </is>
      </c>
      <c r="M6858">
        <f>VLOOKUP(H6858,'Stage Order'!$A$2:$B$8,2,FALSE)</f>
        <v/>
      </c>
      <c r="N6858">
        <f>IF(G6858&lt;=1,"1. Under 1 hour",IF(G6858&lt;=24,"2. 1-24 hours",IF(G6858&lt;=72,"3. 1-3 days","4. Over 3 days")))</f>
        <v/>
      </c>
      <c r="O6858">
        <f>TEXT(B6858,"YYYY-MM")</f>
        <v/>
      </c>
    </row>
    <row r="6859">
      <c r="A6859" t="inlineStr">
        <is>
          <t>LD-306857</t>
        </is>
      </c>
      <c r="B6859" t="inlineStr">
        <is>
          <t>2025-09-29 18:21:00</t>
        </is>
      </c>
      <c r="C6859" t="inlineStr">
        <is>
          <t>Partner Channel</t>
        </is>
      </c>
      <c r="D6859" t="inlineStr">
        <is>
          <t>Competitive Exam Prep</t>
        </is>
      </c>
      <c r="E6859" t="inlineStr">
        <is>
          <t>South Region</t>
        </is>
      </c>
      <c r="F6859" t="inlineStr">
        <is>
          <t>Rep_07</t>
        </is>
      </c>
      <c r="G6859" t="n">
        <v>9.369999999999999</v>
      </c>
      <c r="H6859" t="inlineStr">
        <is>
          <t>Contacted</t>
        </is>
      </c>
      <c r="I6859" t="inlineStr">
        <is>
          <t>Open</t>
        </is>
      </c>
      <c r="M6859">
        <f>VLOOKUP(H6859,'Stage Order'!$A$2:$B$8,2,FALSE)</f>
        <v/>
      </c>
      <c r="N6859">
        <f>IF(G6859&lt;=1,"1. Under 1 hour",IF(G6859&lt;=24,"2. 1-24 hours",IF(G6859&lt;=72,"3. 1-3 days","4. Over 3 days")))</f>
        <v/>
      </c>
      <c r="O6859">
        <f>TEXT(B6859,"YYYY-MM")</f>
        <v/>
      </c>
    </row>
    <row r="6860">
      <c r="A6860" t="inlineStr">
        <is>
          <t>LD-306858</t>
        </is>
      </c>
      <c r="B6860" t="inlineStr">
        <is>
          <t>2025-08-15 09:24:00</t>
        </is>
      </c>
      <c r="C6860" t="inlineStr">
        <is>
          <t>Social Media</t>
        </is>
      </c>
      <c r="D6860" t="inlineStr">
        <is>
          <t>Language Learning</t>
        </is>
      </c>
      <c r="E6860" t="inlineStr">
        <is>
          <t>International</t>
        </is>
      </c>
      <c r="F6860" t="inlineStr">
        <is>
          <t>Rep_10</t>
        </is>
      </c>
      <c r="G6860" t="n">
        <v>5.12</v>
      </c>
      <c r="H6860" t="inlineStr">
        <is>
          <t>Contacted</t>
        </is>
      </c>
      <c r="I6860" t="inlineStr">
        <is>
          <t>Open</t>
        </is>
      </c>
      <c r="M6860">
        <f>VLOOKUP(H6860,'Stage Order'!$A$2:$B$8,2,FALSE)</f>
        <v/>
      </c>
      <c r="N6860">
        <f>IF(G6860&lt;=1,"1. Under 1 hour",IF(G6860&lt;=24,"2. 1-24 hours",IF(G6860&lt;=72,"3. 1-3 days","4. Over 3 days")))</f>
        <v/>
      </c>
      <c r="O6860">
        <f>TEXT(B6860,"YYYY-MM")</f>
        <v/>
      </c>
    </row>
    <row r="6861">
      <c r="A6861" t="inlineStr">
        <is>
          <t>LD-306859</t>
        </is>
      </c>
      <c r="B6861" t="inlineStr">
        <is>
          <t>2025-12-24 17:08:00</t>
        </is>
      </c>
      <c r="C6861" t="inlineStr">
        <is>
          <t>Paid Search</t>
        </is>
      </c>
      <c r="D6861" t="inlineStr">
        <is>
          <t>K-12 Math</t>
        </is>
      </c>
      <c r="E6861" t="inlineStr">
        <is>
          <t>South Region</t>
        </is>
      </c>
      <c r="F6861" t="inlineStr">
        <is>
          <t>Rep_07</t>
        </is>
      </c>
      <c r="G6861" t="n">
        <v>1.37</v>
      </c>
      <c r="H6861" t="inlineStr">
        <is>
          <t>Contacted</t>
        </is>
      </c>
      <c r="I6861" t="inlineStr">
        <is>
          <t>Open</t>
        </is>
      </c>
      <c r="M6861">
        <f>VLOOKUP(H6861,'Stage Order'!$A$2:$B$8,2,FALSE)</f>
        <v/>
      </c>
      <c r="N6861">
        <f>IF(G6861&lt;=1,"1. Under 1 hour",IF(G6861&lt;=24,"2. 1-24 hours",IF(G6861&lt;=72,"3. 1-3 days","4. Over 3 days")))</f>
        <v/>
      </c>
      <c r="O6861">
        <f>TEXT(B6861,"YYYY-MM")</f>
        <v/>
      </c>
    </row>
    <row r="6862">
      <c r="A6862" t="inlineStr">
        <is>
          <t>LD-306860</t>
        </is>
      </c>
      <c r="B6862" t="inlineStr">
        <is>
          <t>2025-05-24 15:58:00</t>
        </is>
      </c>
      <c r="C6862" t="inlineStr">
        <is>
          <t>Referral</t>
        </is>
      </c>
      <c r="D6862" t="inlineStr">
        <is>
          <t>Competitive Exam Prep</t>
        </is>
      </c>
      <c r="E6862" t="inlineStr">
        <is>
          <t>North Region</t>
        </is>
      </c>
      <c r="F6862" t="inlineStr">
        <is>
          <t>Rep_06</t>
        </is>
      </c>
      <c r="G6862" t="n">
        <v>9.5</v>
      </c>
      <c r="H6862" t="inlineStr">
        <is>
          <t>Negotiation</t>
        </is>
      </c>
      <c r="I6862" t="inlineStr">
        <is>
          <t>Lost</t>
        </is>
      </c>
      <c r="J6862" t="inlineStr">
        <is>
          <t>Price Objection</t>
        </is>
      </c>
      <c r="K6862" t="n">
        <v>1083.58</v>
      </c>
      <c r="L6862" t="inlineStr">
        <is>
          <t>2025-06-29 11:25:06.568577</t>
        </is>
      </c>
      <c r="M6862">
        <f>VLOOKUP(H6862,'Stage Order'!$A$2:$B$8,2,FALSE)</f>
        <v/>
      </c>
      <c r="N6862">
        <f>IF(G6862&lt;=1,"1. Under 1 hour",IF(G6862&lt;=24,"2. 1-24 hours",IF(G6862&lt;=72,"3. 1-3 days","4. Over 3 days")))</f>
        <v/>
      </c>
      <c r="O6862">
        <f>TEXT(B6862,"YYYY-MM")</f>
        <v/>
      </c>
    </row>
    <row r="6863">
      <c r="A6863" t="inlineStr">
        <is>
          <t>LD-306861</t>
        </is>
      </c>
      <c r="B6863" t="inlineStr">
        <is>
          <t>2026-06-07 09:41:00</t>
        </is>
      </c>
      <c r="C6863" t="inlineStr">
        <is>
          <t>Cold Outreach</t>
        </is>
      </c>
      <c r="D6863" t="inlineStr">
        <is>
          <t>Coding for Kids</t>
        </is>
      </c>
      <c r="E6863" t="inlineStr">
        <is>
          <t>North Region</t>
        </is>
      </c>
      <c r="F6863" t="inlineStr">
        <is>
          <t>Rep_01</t>
        </is>
      </c>
      <c r="G6863" t="n">
        <v>1.56</v>
      </c>
      <c r="H6863" t="inlineStr">
        <is>
          <t>Lead</t>
        </is>
      </c>
      <c r="I6863" t="inlineStr">
        <is>
          <t>Open</t>
        </is>
      </c>
      <c r="M6863">
        <f>VLOOKUP(H6863,'Stage Order'!$A$2:$B$8,2,FALSE)</f>
        <v/>
      </c>
      <c r="N6863">
        <f>IF(G6863&lt;=1,"1. Under 1 hour",IF(G6863&lt;=24,"2. 1-24 hours",IF(G6863&lt;=72,"3. 1-3 days","4. Over 3 days")))</f>
        <v/>
      </c>
      <c r="O6863">
        <f>TEXT(B6863,"YYYY-MM")</f>
        <v/>
      </c>
    </row>
    <row r="6864">
      <c r="A6864" t="inlineStr">
        <is>
          <t>LD-306862</t>
        </is>
      </c>
      <c r="B6864" t="inlineStr">
        <is>
          <t>2025-04-04 18:14:00</t>
        </is>
      </c>
      <c r="C6864" t="inlineStr">
        <is>
          <t>Organic Search</t>
        </is>
      </c>
      <c r="D6864" t="inlineStr">
        <is>
          <t>Language Learning</t>
        </is>
      </c>
      <c r="E6864" t="inlineStr">
        <is>
          <t>South Region</t>
        </is>
      </c>
      <c r="F6864" t="inlineStr">
        <is>
          <t>Rep_07</t>
        </is>
      </c>
      <c r="G6864" t="n">
        <v>1.53</v>
      </c>
      <c r="H6864" t="inlineStr">
        <is>
          <t>Contacted</t>
        </is>
      </c>
      <c r="I6864" t="inlineStr">
        <is>
          <t>Open</t>
        </is>
      </c>
      <c r="M6864">
        <f>VLOOKUP(H6864,'Stage Order'!$A$2:$B$8,2,FALSE)</f>
        <v/>
      </c>
      <c r="N6864">
        <f>IF(G6864&lt;=1,"1. Under 1 hour",IF(G6864&lt;=24,"2. 1-24 hours",IF(G6864&lt;=72,"3. 1-3 days","4. Over 3 days")))</f>
        <v/>
      </c>
      <c r="O6864">
        <f>TEXT(B6864,"YYYY-MM")</f>
        <v/>
      </c>
    </row>
    <row r="6865">
      <c r="A6865" t="inlineStr">
        <is>
          <t>LD-306863</t>
        </is>
      </c>
      <c r="B6865" t="inlineStr">
        <is>
          <t>2026-03-09 14:06:00</t>
        </is>
      </c>
      <c r="C6865" t="inlineStr">
        <is>
          <t>Partner Channel</t>
        </is>
      </c>
      <c r="D6865" t="inlineStr">
        <is>
          <t>Competitive Exam Prep</t>
        </is>
      </c>
      <c r="E6865" t="inlineStr">
        <is>
          <t>East Region</t>
        </is>
      </c>
      <c r="F6865" t="inlineStr">
        <is>
          <t>Rep_09</t>
        </is>
      </c>
      <c r="G6865" t="n">
        <v>1.4</v>
      </c>
      <c r="H6865" t="inlineStr">
        <is>
          <t>Contacted</t>
        </is>
      </c>
      <c r="I6865" t="inlineStr">
        <is>
          <t>Open</t>
        </is>
      </c>
      <c r="M6865">
        <f>VLOOKUP(H6865,'Stage Order'!$A$2:$B$8,2,FALSE)</f>
        <v/>
      </c>
      <c r="N6865">
        <f>IF(G6865&lt;=1,"1. Under 1 hour",IF(G6865&lt;=24,"2. 1-24 hours",IF(G6865&lt;=72,"3. 1-3 days","4. Over 3 days")))</f>
        <v/>
      </c>
      <c r="O6865">
        <f>TEXT(B6865,"YYYY-MM")</f>
        <v/>
      </c>
    </row>
    <row r="6866">
      <c r="A6866" t="inlineStr">
        <is>
          <t>LD-306864</t>
        </is>
      </c>
      <c r="B6866" t="inlineStr">
        <is>
          <t>2025-04-04 12:53:00</t>
        </is>
      </c>
      <c r="C6866" t="inlineStr">
        <is>
          <t>Paid Search</t>
        </is>
      </c>
      <c r="D6866" t="inlineStr">
        <is>
          <t>Coding for Kids</t>
        </is>
      </c>
      <c r="E6866" t="inlineStr">
        <is>
          <t>East Region</t>
        </is>
      </c>
      <c r="F6866" t="inlineStr">
        <is>
          <t>Rep_04</t>
        </is>
      </c>
      <c r="G6866" t="n">
        <v>1.26</v>
      </c>
      <c r="H6866" t="inlineStr">
        <is>
          <t>Lead</t>
        </is>
      </c>
      <c r="I6866" t="inlineStr">
        <is>
          <t>Open</t>
        </is>
      </c>
      <c r="M6866">
        <f>VLOOKUP(H6866,'Stage Order'!$A$2:$B$8,2,FALSE)</f>
        <v/>
      </c>
      <c r="N6866">
        <f>IF(G6866&lt;=1,"1. Under 1 hour",IF(G6866&lt;=24,"2. 1-24 hours",IF(G6866&lt;=72,"3. 1-3 days","4. Over 3 days")))</f>
        <v/>
      </c>
      <c r="O6866">
        <f>TEXT(B6866,"YYYY-MM")</f>
        <v/>
      </c>
    </row>
    <row r="6867">
      <c r="A6867" t="inlineStr">
        <is>
          <t>LD-306865</t>
        </is>
      </c>
      <c r="B6867" t="inlineStr">
        <is>
          <t>2026-05-18 13:37:00</t>
        </is>
      </c>
      <c r="C6867" t="inlineStr">
        <is>
          <t>Referral</t>
        </is>
      </c>
      <c r="D6867" t="inlineStr">
        <is>
          <t>Competitive Exam Prep</t>
        </is>
      </c>
      <c r="E6867" t="inlineStr">
        <is>
          <t>South Region</t>
        </is>
      </c>
      <c r="F6867" t="inlineStr">
        <is>
          <t>Rep_12</t>
        </is>
      </c>
      <c r="G6867" t="n">
        <v>3.47</v>
      </c>
      <c r="H6867" t="inlineStr">
        <is>
          <t>Contacted</t>
        </is>
      </c>
      <c r="I6867" t="inlineStr">
        <is>
          <t>Open</t>
        </is>
      </c>
      <c r="M6867">
        <f>VLOOKUP(H6867,'Stage Order'!$A$2:$B$8,2,FALSE)</f>
        <v/>
      </c>
      <c r="N6867">
        <f>IF(G6867&lt;=1,"1. Under 1 hour",IF(G6867&lt;=24,"2. 1-24 hours",IF(G6867&lt;=72,"3. 1-3 days","4. Over 3 days")))</f>
        <v/>
      </c>
      <c r="O6867">
        <f>TEXT(B6867,"YYYY-MM")</f>
        <v/>
      </c>
    </row>
    <row r="6868">
      <c r="A6868" t="inlineStr">
        <is>
          <t>LD-306866</t>
        </is>
      </c>
      <c r="B6868" t="inlineStr">
        <is>
          <t>2026-01-30 19:19:00</t>
        </is>
      </c>
      <c r="C6868" t="inlineStr">
        <is>
          <t>Webinar</t>
        </is>
      </c>
      <c r="D6868" t="inlineStr">
        <is>
          <t>K-12 Math</t>
        </is>
      </c>
      <c r="E6868" t="inlineStr">
        <is>
          <t>North Region</t>
        </is>
      </c>
      <c r="F6868" t="inlineStr">
        <is>
          <t>Rep_01</t>
        </is>
      </c>
      <c r="G6868" t="n">
        <v>7.72</v>
      </c>
      <c r="H6868" t="inlineStr">
        <is>
          <t>Negotiation</t>
        </is>
      </c>
      <c r="I6868" t="inlineStr">
        <is>
          <t>Lost</t>
        </is>
      </c>
      <c r="J6868" t="inlineStr">
        <is>
          <t>Went With Competitor</t>
        </is>
      </c>
      <c r="K6868" t="n">
        <v>450</v>
      </c>
      <c r="L6868" t="inlineStr">
        <is>
          <t>2026-03-15 08:54:06.110942</t>
        </is>
      </c>
      <c r="M6868">
        <f>VLOOKUP(H6868,'Stage Order'!$A$2:$B$8,2,FALSE)</f>
        <v/>
      </c>
      <c r="N6868">
        <f>IF(G6868&lt;=1,"1. Under 1 hour",IF(G6868&lt;=24,"2. 1-24 hours",IF(G6868&lt;=72,"3. 1-3 days","4. Over 3 days")))</f>
        <v/>
      </c>
      <c r="O6868">
        <f>TEXT(B6868,"YYYY-MM")</f>
        <v/>
      </c>
    </row>
    <row r="6869">
      <c r="A6869" t="inlineStr">
        <is>
          <t>LD-306867</t>
        </is>
      </c>
      <c r="B6869" t="inlineStr">
        <is>
          <t>2026-04-19 15:47:00</t>
        </is>
      </c>
      <c r="C6869" t="inlineStr">
        <is>
          <t>Partner Channel</t>
        </is>
      </c>
      <c r="D6869" t="inlineStr">
        <is>
          <t>Study Abroad Prep</t>
        </is>
      </c>
      <c r="E6869" t="inlineStr">
        <is>
          <t>South Region</t>
        </is>
      </c>
      <c r="F6869" t="inlineStr">
        <is>
          <t>Rep_02</t>
        </is>
      </c>
      <c r="G6869" t="n">
        <v>0.62</v>
      </c>
      <c r="H6869" t="inlineStr">
        <is>
          <t>Contacted</t>
        </is>
      </c>
      <c r="I6869" t="inlineStr">
        <is>
          <t>Open</t>
        </is>
      </c>
      <c r="M6869">
        <f>VLOOKUP(H6869,'Stage Order'!$A$2:$B$8,2,FALSE)</f>
        <v/>
      </c>
      <c r="N6869">
        <f>IF(G6869&lt;=1,"1. Under 1 hour",IF(G6869&lt;=24,"2. 1-24 hours",IF(G6869&lt;=72,"3. 1-3 days","4. Over 3 days")))</f>
        <v/>
      </c>
      <c r="O6869">
        <f>TEXT(B6869,"YYYY-MM")</f>
        <v/>
      </c>
    </row>
    <row r="6870">
      <c r="A6870" t="inlineStr">
        <is>
          <t>LD-306868</t>
        </is>
      </c>
      <c r="B6870" t="inlineStr">
        <is>
          <t>2025-04-21 10:51:00</t>
        </is>
      </c>
      <c r="C6870" t="inlineStr">
        <is>
          <t>Organic Search</t>
        </is>
      </c>
      <c r="D6870" t="inlineStr">
        <is>
          <t>Study Abroad Prep</t>
        </is>
      </c>
      <c r="E6870" t="inlineStr">
        <is>
          <t>International</t>
        </is>
      </c>
      <c r="F6870" t="inlineStr">
        <is>
          <t>Rep_05</t>
        </is>
      </c>
      <c r="G6870" t="n">
        <v>2.24</v>
      </c>
      <c r="H6870" t="inlineStr">
        <is>
          <t>Contacted</t>
        </is>
      </c>
      <c r="I6870" t="inlineStr">
        <is>
          <t>Open</t>
        </is>
      </c>
      <c r="M6870">
        <f>VLOOKUP(H6870,'Stage Order'!$A$2:$B$8,2,FALSE)</f>
        <v/>
      </c>
      <c r="N6870">
        <f>IF(G6870&lt;=1,"1. Under 1 hour",IF(G6870&lt;=24,"2. 1-24 hours",IF(G6870&lt;=72,"3. 1-3 days","4. Over 3 days")))</f>
        <v/>
      </c>
      <c r="O6870">
        <f>TEXT(B6870,"YYYY-MM")</f>
        <v/>
      </c>
    </row>
    <row r="6871">
      <c r="A6871" t="inlineStr">
        <is>
          <t>LD-306869</t>
        </is>
      </c>
      <c r="B6871" t="inlineStr">
        <is>
          <t>2026-01-14 15:10:00</t>
        </is>
      </c>
      <c r="C6871" t="inlineStr">
        <is>
          <t>Social Media</t>
        </is>
      </c>
      <c r="D6871" t="inlineStr">
        <is>
          <t>K-12 Math</t>
        </is>
      </c>
      <c r="E6871" t="inlineStr">
        <is>
          <t>East Region</t>
        </is>
      </c>
      <c r="F6871" t="inlineStr">
        <is>
          <t>Rep_09</t>
        </is>
      </c>
      <c r="G6871" t="n">
        <v>2.27</v>
      </c>
      <c r="H6871" t="inlineStr">
        <is>
          <t>Contacted</t>
        </is>
      </c>
      <c r="I6871" t="inlineStr">
        <is>
          <t>Open</t>
        </is>
      </c>
      <c r="M6871">
        <f>VLOOKUP(H6871,'Stage Order'!$A$2:$B$8,2,FALSE)</f>
        <v/>
      </c>
      <c r="N6871">
        <f>IF(G6871&lt;=1,"1. Under 1 hour",IF(G6871&lt;=24,"2. 1-24 hours",IF(G6871&lt;=72,"3. 1-3 days","4. Over 3 days")))</f>
        <v/>
      </c>
      <c r="O6871">
        <f>TEXT(B6871,"YYYY-MM")</f>
        <v/>
      </c>
    </row>
    <row r="6872">
      <c r="A6872" t="inlineStr">
        <is>
          <t>LD-306870</t>
        </is>
      </c>
      <c r="B6872" t="inlineStr">
        <is>
          <t>2026-05-06 16:00:00</t>
        </is>
      </c>
      <c r="C6872" t="inlineStr">
        <is>
          <t>Partner Channel</t>
        </is>
      </c>
      <c r="D6872" t="inlineStr">
        <is>
          <t>Study Abroad Prep</t>
        </is>
      </c>
      <c r="E6872" t="inlineStr">
        <is>
          <t>International</t>
        </is>
      </c>
      <c r="F6872" t="inlineStr">
        <is>
          <t>Rep_15</t>
        </is>
      </c>
      <c r="G6872" t="n">
        <v>2</v>
      </c>
      <c r="H6872" t="inlineStr">
        <is>
          <t>Demo Completed</t>
        </is>
      </c>
      <c r="I6872" t="inlineStr">
        <is>
          <t>Lost</t>
        </is>
      </c>
      <c r="J6872" t="inlineStr">
        <is>
          <t>Price Objection</t>
        </is>
      </c>
      <c r="K6872" t="n">
        <v>1403.14</v>
      </c>
      <c r="L6872" t="inlineStr">
        <is>
          <t>2026-06-01 21:47:43.215081</t>
        </is>
      </c>
      <c r="M6872">
        <f>VLOOKUP(H6872,'Stage Order'!$A$2:$B$8,2,FALSE)</f>
        <v/>
      </c>
      <c r="N6872">
        <f>IF(G6872&lt;=1,"1. Under 1 hour",IF(G6872&lt;=24,"2. 1-24 hours",IF(G6872&lt;=72,"3. 1-3 days","4. Over 3 days")))</f>
        <v/>
      </c>
      <c r="O6872">
        <f>TEXT(B6872,"YYYY-MM")</f>
        <v/>
      </c>
    </row>
    <row r="6873">
      <c r="A6873" t="inlineStr">
        <is>
          <t>LD-306871</t>
        </is>
      </c>
      <c r="B6873" t="inlineStr">
        <is>
          <t>2025-06-19 08:35:00</t>
        </is>
      </c>
      <c r="C6873" t="inlineStr">
        <is>
          <t>Social Media</t>
        </is>
      </c>
      <c r="D6873" t="inlineStr">
        <is>
          <t>Competitive Exam Prep</t>
        </is>
      </c>
      <c r="E6873" t="inlineStr">
        <is>
          <t>South Region</t>
        </is>
      </c>
      <c r="F6873" t="inlineStr">
        <is>
          <t>Rep_07</t>
        </is>
      </c>
      <c r="G6873" t="n">
        <v>2.15</v>
      </c>
      <c r="H6873" t="inlineStr">
        <is>
          <t>Proposal Sent</t>
        </is>
      </c>
      <c r="I6873" t="inlineStr">
        <is>
          <t>Lost</t>
        </is>
      </c>
      <c r="J6873" t="inlineStr">
        <is>
          <t>Price Objection</t>
        </is>
      </c>
      <c r="K6873" t="n">
        <v>1004.51</v>
      </c>
      <c r="L6873" t="inlineStr">
        <is>
          <t>2025-07-22 21:29:11.148730</t>
        </is>
      </c>
      <c r="M6873">
        <f>VLOOKUP(H6873,'Stage Order'!$A$2:$B$8,2,FALSE)</f>
        <v/>
      </c>
      <c r="N6873">
        <f>IF(G6873&lt;=1,"1. Under 1 hour",IF(G6873&lt;=24,"2. 1-24 hours",IF(G6873&lt;=72,"3. 1-3 days","4. Over 3 days")))</f>
        <v/>
      </c>
      <c r="O6873">
        <f>TEXT(B6873,"YYYY-MM")</f>
        <v/>
      </c>
    </row>
    <row r="6874">
      <c r="A6874" t="inlineStr">
        <is>
          <t>LD-306872</t>
        </is>
      </c>
      <c r="B6874" t="inlineStr">
        <is>
          <t>2025-10-03 08:37:00</t>
        </is>
      </c>
      <c r="C6874" t="inlineStr">
        <is>
          <t>Paid Search</t>
        </is>
      </c>
      <c r="D6874" t="inlineStr">
        <is>
          <t>K-12 Math</t>
        </is>
      </c>
      <c r="E6874" t="inlineStr">
        <is>
          <t>South Region</t>
        </is>
      </c>
      <c r="F6874" t="inlineStr">
        <is>
          <t>Rep_02</t>
        </is>
      </c>
      <c r="G6874" t="n">
        <v>2.18</v>
      </c>
      <c r="H6874" t="inlineStr">
        <is>
          <t>Demo Completed</t>
        </is>
      </c>
      <c r="I6874" t="inlineStr">
        <is>
          <t>Lost</t>
        </is>
      </c>
      <c r="J6874" t="inlineStr">
        <is>
          <t>Bad Timing</t>
        </is>
      </c>
      <c r="K6874" t="n">
        <v>477.54</v>
      </c>
      <c r="L6874" t="inlineStr">
        <is>
          <t>2025-11-06 05:23:42.579942</t>
        </is>
      </c>
      <c r="M6874">
        <f>VLOOKUP(H6874,'Stage Order'!$A$2:$B$8,2,FALSE)</f>
        <v/>
      </c>
      <c r="N6874">
        <f>IF(G6874&lt;=1,"1. Under 1 hour",IF(G6874&lt;=24,"2. 1-24 hours",IF(G6874&lt;=72,"3. 1-3 days","4. Over 3 days")))</f>
        <v/>
      </c>
      <c r="O6874">
        <f>TEXT(B6874,"YYYY-MM")</f>
        <v/>
      </c>
    </row>
    <row r="6875">
      <c r="A6875" t="inlineStr">
        <is>
          <t>LD-306873</t>
        </is>
      </c>
      <c r="B6875" t="inlineStr">
        <is>
          <t>2026-04-09 08:48:00</t>
        </is>
      </c>
      <c r="C6875" t="inlineStr">
        <is>
          <t>Partner Channel</t>
        </is>
      </c>
      <c r="D6875" t="inlineStr">
        <is>
          <t>K-12 Math</t>
        </is>
      </c>
      <c r="E6875" t="inlineStr">
        <is>
          <t>West Region</t>
        </is>
      </c>
      <c r="F6875" t="inlineStr">
        <is>
          <t>Rep_03</t>
        </is>
      </c>
      <c r="G6875" t="n">
        <v>8.85</v>
      </c>
      <c r="H6875" t="inlineStr">
        <is>
          <t>Negotiation</t>
        </is>
      </c>
      <c r="I6875" t="inlineStr">
        <is>
          <t>Lost</t>
        </is>
      </c>
      <c r="J6875" t="inlineStr">
        <is>
          <t>Price Objection</t>
        </is>
      </c>
      <c r="K6875" t="n">
        <v>464.25</v>
      </c>
      <c r="L6875" t="inlineStr">
        <is>
          <t>2026-05-28 22:22:57.048540</t>
        </is>
      </c>
      <c r="M6875">
        <f>VLOOKUP(H6875,'Stage Order'!$A$2:$B$8,2,FALSE)</f>
        <v/>
      </c>
      <c r="N6875">
        <f>IF(G6875&lt;=1,"1. Under 1 hour",IF(G6875&lt;=24,"2. 1-24 hours",IF(G6875&lt;=72,"3. 1-3 days","4. Over 3 days")))</f>
        <v/>
      </c>
      <c r="O6875">
        <f>TEXT(B6875,"YYYY-MM")</f>
        <v/>
      </c>
    </row>
    <row r="6876">
      <c r="A6876" t="inlineStr">
        <is>
          <t>LD-306874</t>
        </is>
      </c>
      <c r="B6876" t="inlineStr">
        <is>
          <t>2025-04-03 19:52:00</t>
        </is>
      </c>
      <c r="C6876" t="inlineStr">
        <is>
          <t>Organic Search</t>
        </is>
      </c>
      <c r="D6876" t="inlineStr">
        <is>
          <t>Competitive Exam Prep</t>
        </is>
      </c>
      <c r="E6876" t="inlineStr">
        <is>
          <t>East Region</t>
        </is>
      </c>
      <c r="F6876" t="inlineStr">
        <is>
          <t>Rep_14</t>
        </is>
      </c>
      <c r="G6876" t="n">
        <v>5.55</v>
      </c>
      <c r="H6876" t="inlineStr">
        <is>
          <t>Closed</t>
        </is>
      </c>
      <c r="I6876" t="inlineStr">
        <is>
          <t>Won</t>
        </is>
      </c>
      <c r="K6876" t="n">
        <v>855.24</v>
      </c>
      <c r="L6876" t="inlineStr">
        <is>
          <t>2025-05-16 14:58:17.344322</t>
        </is>
      </c>
      <c r="M6876">
        <f>VLOOKUP(H6876,'Stage Order'!$A$2:$B$8,2,FALSE)</f>
        <v/>
      </c>
      <c r="N6876">
        <f>IF(G6876&lt;=1,"1. Under 1 hour",IF(G6876&lt;=24,"2. 1-24 hours",IF(G6876&lt;=72,"3. 1-3 days","4. Over 3 days")))</f>
        <v/>
      </c>
      <c r="O6876">
        <f>TEXT(B6876,"YYYY-MM")</f>
        <v/>
      </c>
    </row>
    <row r="6877">
      <c r="A6877" t="inlineStr">
        <is>
          <t>LD-306875</t>
        </is>
      </c>
      <c r="B6877" t="inlineStr">
        <is>
          <t>2025-11-03 17:14:00</t>
        </is>
      </c>
      <c r="C6877" t="inlineStr">
        <is>
          <t>Referral</t>
        </is>
      </c>
      <c r="D6877" t="inlineStr">
        <is>
          <t>Competitive Exam Prep</t>
        </is>
      </c>
      <c r="E6877" t="inlineStr">
        <is>
          <t>West Region</t>
        </is>
      </c>
      <c r="F6877" t="inlineStr">
        <is>
          <t>Rep_03</t>
        </is>
      </c>
      <c r="G6877" t="n">
        <v>5.6</v>
      </c>
      <c r="H6877" t="inlineStr">
        <is>
          <t>Contacted</t>
        </is>
      </c>
      <c r="I6877" t="inlineStr">
        <is>
          <t>Open</t>
        </is>
      </c>
      <c r="M6877">
        <f>VLOOKUP(H6877,'Stage Order'!$A$2:$B$8,2,FALSE)</f>
        <v/>
      </c>
      <c r="N6877">
        <f>IF(G6877&lt;=1,"1. Under 1 hour",IF(G6877&lt;=24,"2. 1-24 hours",IF(G6877&lt;=72,"3. 1-3 days","4. Over 3 days")))</f>
        <v/>
      </c>
      <c r="O6877">
        <f>TEXT(B6877,"YYYY-MM")</f>
        <v/>
      </c>
    </row>
    <row r="6878">
      <c r="A6878" t="inlineStr">
        <is>
          <t>LD-306876</t>
        </is>
      </c>
      <c r="B6878" t="inlineStr">
        <is>
          <t>2026-03-09 15:21:00</t>
        </is>
      </c>
      <c r="C6878" t="inlineStr">
        <is>
          <t>Referral</t>
        </is>
      </c>
      <c r="D6878" t="inlineStr">
        <is>
          <t>Competitive Exam Prep</t>
        </is>
      </c>
      <c r="E6878" t="inlineStr">
        <is>
          <t>South Region</t>
        </is>
      </c>
      <c r="F6878" t="inlineStr">
        <is>
          <t>Rep_02</t>
        </is>
      </c>
      <c r="G6878" t="n">
        <v>1.58</v>
      </c>
      <c r="H6878" t="inlineStr">
        <is>
          <t>Negotiation</t>
        </is>
      </c>
      <c r="I6878" t="inlineStr">
        <is>
          <t>Lost</t>
        </is>
      </c>
      <c r="J6878" t="inlineStr">
        <is>
          <t>Bad Timing</t>
        </is>
      </c>
      <c r="K6878" t="n">
        <v>1182</v>
      </c>
      <c r="L6878" t="inlineStr">
        <is>
          <t>2026-04-19 07:21:36.169435</t>
        </is>
      </c>
      <c r="M6878">
        <f>VLOOKUP(H6878,'Stage Order'!$A$2:$B$8,2,FALSE)</f>
        <v/>
      </c>
      <c r="N6878">
        <f>IF(G6878&lt;=1,"1. Under 1 hour",IF(G6878&lt;=24,"2. 1-24 hours",IF(G6878&lt;=72,"3. 1-3 days","4. Over 3 days")))</f>
        <v/>
      </c>
      <c r="O6878">
        <f>TEXT(B6878,"YYYY-MM")</f>
        <v/>
      </c>
    </row>
    <row r="6879">
      <c r="A6879" t="inlineStr">
        <is>
          <t>LD-306877</t>
        </is>
      </c>
      <c r="B6879" t="inlineStr">
        <is>
          <t>2025-03-20 10:48:00</t>
        </is>
      </c>
      <c r="C6879" t="inlineStr">
        <is>
          <t>Social Media</t>
        </is>
      </c>
      <c r="D6879" t="inlineStr">
        <is>
          <t>Competitive Exam Prep</t>
        </is>
      </c>
      <c r="E6879" t="inlineStr">
        <is>
          <t>South Region</t>
        </is>
      </c>
      <c r="F6879" t="inlineStr">
        <is>
          <t>Rep_02</t>
        </is>
      </c>
      <c r="G6879" t="n">
        <v>7.01</v>
      </c>
      <c r="H6879" t="inlineStr">
        <is>
          <t>Proposal Sent</t>
        </is>
      </c>
      <c r="I6879" t="inlineStr">
        <is>
          <t>Lost</t>
        </is>
      </c>
      <c r="J6879" t="inlineStr">
        <is>
          <t>Bad Timing</t>
        </is>
      </c>
      <c r="K6879" t="n">
        <v>899.8200000000001</v>
      </c>
      <c r="L6879" t="inlineStr">
        <is>
          <t>2025-05-01 10:56:14.965416</t>
        </is>
      </c>
      <c r="M6879">
        <f>VLOOKUP(H6879,'Stage Order'!$A$2:$B$8,2,FALSE)</f>
        <v/>
      </c>
      <c r="N6879">
        <f>IF(G6879&lt;=1,"1. Under 1 hour",IF(G6879&lt;=24,"2. 1-24 hours",IF(G6879&lt;=72,"3. 1-3 days","4. Over 3 days")))</f>
        <v/>
      </c>
      <c r="O6879">
        <f>TEXT(B6879,"YYYY-MM")</f>
        <v/>
      </c>
    </row>
    <row r="6880">
      <c r="A6880" t="inlineStr">
        <is>
          <t>LD-306878</t>
        </is>
      </c>
      <c r="B6880" t="inlineStr">
        <is>
          <t>2026-06-12 08:24:00</t>
        </is>
      </c>
      <c r="C6880" t="inlineStr">
        <is>
          <t>Social Media</t>
        </is>
      </c>
      <c r="D6880" t="inlineStr">
        <is>
          <t>Language Learning</t>
        </is>
      </c>
      <c r="E6880" t="inlineStr">
        <is>
          <t>East Region</t>
        </is>
      </c>
      <c r="F6880" t="inlineStr">
        <is>
          <t>Rep_14</t>
        </is>
      </c>
      <c r="G6880" t="n">
        <v>2.81</v>
      </c>
      <c r="H6880" t="inlineStr">
        <is>
          <t>Lead</t>
        </is>
      </c>
      <c r="I6880" t="inlineStr">
        <is>
          <t>Open</t>
        </is>
      </c>
      <c r="M6880">
        <f>VLOOKUP(H6880,'Stage Order'!$A$2:$B$8,2,FALSE)</f>
        <v/>
      </c>
      <c r="N6880">
        <f>IF(G6880&lt;=1,"1. Under 1 hour",IF(G6880&lt;=24,"2. 1-24 hours",IF(G6880&lt;=72,"3. 1-3 days","4. Over 3 days")))</f>
        <v/>
      </c>
      <c r="O6880">
        <f>TEXT(B6880,"YYYY-MM")</f>
        <v/>
      </c>
    </row>
    <row r="6881">
      <c r="A6881" t="inlineStr">
        <is>
          <t>LD-306879</t>
        </is>
      </c>
      <c r="B6881" t="inlineStr">
        <is>
          <t>2026-06-07 07:28:00</t>
        </is>
      </c>
      <c r="C6881" t="inlineStr">
        <is>
          <t>Organic Search</t>
        </is>
      </c>
      <c r="D6881" t="inlineStr">
        <is>
          <t>Language Learning</t>
        </is>
      </c>
      <c r="E6881" t="inlineStr">
        <is>
          <t>International</t>
        </is>
      </c>
      <c r="F6881" t="inlineStr">
        <is>
          <t>Rep_15</t>
        </is>
      </c>
      <c r="G6881" t="n">
        <v>3.42</v>
      </c>
      <c r="H6881" t="inlineStr">
        <is>
          <t>Contacted</t>
        </is>
      </c>
      <c r="I6881" t="inlineStr">
        <is>
          <t>Open</t>
        </is>
      </c>
      <c r="M6881">
        <f>VLOOKUP(H6881,'Stage Order'!$A$2:$B$8,2,FALSE)</f>
        <v/>
      </c>
      <c r="N6881">
        <f>IF(G6881&lt;=1,"1. Under 1 hour",IF(G6881&lt;=24,"2. 1-24 hours",IF(G6881&lt;=72,"3. 1-3 days","4. Over 3 days")))</f>
        <v/>
      </c>
      <c r="O6881">
        <f>TEXT(B6881,"YYYY-MM")</f>
        <v/>
      </c>
    </row>
    <row r="6882">
      <c r="A6882" t="inlineStr">
        <is>
          <t>LD-306880</t>
        </is>
      </c>
      <c r="B6882" t="inlineStr">
        <is>
          <t>2025-12-26 14:38:00</t>
        </is>
      </c>
      <c r="C6882" t="inlineStr">
        <is>
          <t>Social Media</t>
        </is>
      </c>
      <c r="D6882" t="inlineStr">
        <is>
          <t>Competitive Exam Prep</t>
        </is>
      </c>
      <c r="E6882" t="inlineStr">
        <is>
          <t>North Region</t>
        </is>
      </c>
      <c r="F6882" t="inlineStr">
        <is>
          <t>Rep_01</t>
        </is>
      </c>
      <c r="G6882" t="n">
        <v>2.95</v>
      </c>
      <c r="H6882" t="inlineStr">
        <is>
          <t>Contacted</t>
        </is>
      </c>
      <c r="I6882" t="inlineStr">
        <is>
          <t>Open</t>
        </is>
      </c>
      <c r="M6882">
        <f>VLOOKUP(H6882,'Stage Order'!$A$2:$B$8,2,FALSE)</f>
        <v/>
      </c>
      <c r="N6882">
        <f>IF(G6882&lt;=1,"1. Under 1 hour",IF(G6882&lt;=24,"2. 1-24 hours",IF(G6882&lt;=72,"3. 1-3 days","4. Over 3 days")))</f>
        <v/>
      </c>
      <c r="O6882">
        <f>TEXT(B6882,"YYYY-MM")</f>
        <v/>
      </c>
    </row>
    <row r="6883">
      <c r="A6883" t="inlineStr">
        <is>
          <t>LD-306881</t>
        </is>
      </c>
      <c r="B6883" t="inlineStr">
        <is>
          <t>2026-02-27 18:20:00</t>
        </is>
      </c>
      <c r="C6883" t="inlineStr">
        <is>
          <t>Organic Search</t>
        </is>
      </c>
      <c r="D6883" t="inlineStr">
        <is>
          <t>Competitive Exam Prep</t>
        </is>
      </c>
      <c r="E6883" t="inlineStr">
        <is>
          <t>International</t>
        </is>
      </c>
      <c r="F6883" t="inlineStr">
        <is>
          <t>Rep_05</t>
        </is>
      </c>
      <c r="G6883" t="n">
        <v>4.29</v>
      </c>
      <c r="H6883" t="inlineStr">
        <is>
          <t>Contacted</t>
        </is>
      </c>
      <c r="I6883" t="inlineStr">
        <is>
          <t>Open</t>
        </is>
      </c>
      <c r="M6883">
        <f>VLOOKUP(H6883,'Stage Order'!$A$2:$B$8,2,FALSE)</f>
        <v/>
      </c>
      <c r="N6883">
        <f>IF(G6883&lt;=1,"1. Under 1 hour",IF(G6883&lt;=24,"2. 1-24 hours",IF(G6883&lt;=72,"3. 1-3 days","4. Over 3 days")))</f>
        <v/>
      </c>
      <c r="O6883">
        <f>TEXT(B6883,"YYYY-MM")</f>
        <v/>
      </c>
    </row>
    <row r="6884">
      <c r="A6884" t="inlineStr">
        <is>
          <t>LD-306882</t>
        </is>
      </c>
      <c r="B6884" t="inlineStr">
        <is>
          <t>2026-02-12 13:53:00</t>
        </is>
      </c>
      <c r="C6884" t="inlineStr">
        <is>
          <t>Referral</t>
        </is>
      </c>
      <c r="D6884" t="inlineStr">
        <is>
          <t>Competitive Exam Prep</t>
        </is>
      </c>
      <c r="E6884" t="inlineStr">
        <is>
          <t>North Region</t>
        </is>
      </c>
      <c r="F6884" t="inlineStr">
        <is>
          <t>Rep_01</t>
        </is>
      </c>
      <c r="G6884" t="n">
        <v>2.09</v>
      </c>
      <c r="H6884" t="inlineStr">
        <is>
          <t>Negotiation</t>
        </is>
      </c>
      <c r="I6884" t="inlineStr">
        <is>
          <t>Lost</t>
        </is>
      </c>
      <c r="J6884" t="inlineStr">
        <is>
          <t>Price Objection</t>
        </is>
      </c>
      <c r="K6884" t="n">
        <v>912.25</v>
      </c>
      <c r="L6884" t="inlineStr">
        <is>
          <t>2026-03-23 14:46:30.854427</t>
        </is>
      </c>
      <c r="M6884">
        <f>VLOOKUP(H6884,'Stage Order'!$A$2:$B$8,2,FALSE)</f>
        <v/>
      </c>
      <c r="N6884">
        <f>IF(G6884&lt;=1,"1. Under 1 hour",IF(G6884&lt;=24,"2. 1-24 hours",IF(G6884&lt;=72,"3. 1-3 days","4. Over 3 days")))</f>
        <v/>
      </c>
      <c r="O6884">
        <f>TEXT(B6884,"YYYY-MM")</f>
        <v/>
      </c>
    </row>
    <row r="6885">
      <c r="A6885" t="inlineStr">
        <is>
          <t>LD-306883</t>
        </is>
      </c>
      <c r="B6885" t="inlineStr">
        <is>
          <t>2025-11-07 17:47:00</t>
        </is>
      </c>
      <c r="C6885" t="inlineStr">
        <is>
          <t>Paid Search</t>
        </is>
      </c>
      <c r="D6885" t="inlineStr">
        <is>
          <t>K-12 Math</t>
        </is>
      </c>
      <c r="E6885" t="inlineStr">
        <is>
          <t>West Region</t>
        </is>
      </c>
      <c r="F6885" t="inlineStr">
        <is>
          <t>Rep_13</t>
        </is>
      </c>
      <c r="G6885" t="n">
        <v>10.61</v>
      </c>
      <c r="H6885" t="inlineStr">
        <is>
          <t>Contacted</t>
        </is>
      </c>
      <c r="I6885" t="inlineStr">
        <is>
          <t>Open</t>
        </is>
      </c>
      <c r="M6885">
        <f>VLOOKUP(H6885,'Stage Order'!$A$2:$B$8,2,FALSE)</f>
        <v/>
      </c>
      <c r="N6885">
        <f>IF(G6885&lt;=1,"1. Under 1 hour",IF(G6885&lt;=24,"2. 1-24 hours",IF(G6885&lt;=72,"3. 1-3 days","4. Over 3 days")))</f>
        <v/>
      </c>
      <c r="O6885">
        <f>TEXT(B6885,"YYYY-MM")</f>
        <v/>
      </c>
    </row>
    <row r="6886">
      <c r="A6886" t="inlineStr">
        <is>
          <t>LD-306884</t>
        </is>
      </c>
      <c r="B6886" t="inlineStr">
        <is>
          <t>2025-04-18 08:15:00</t>
        </is>
      </c>
      <c r="C6886" t="inlineStr">
        <is>
          <t>Partner Channel</t>
        </is>
      </c>
      <c r="D6886" t="inlineStr">
        <is>
          <t>Study Abroad Prep</t>
        </is>
      </c>
      <c r="E6886" t="inlineStr">
        <is>
          <t>South Region</t>
        </is>
      </c>
      <c r="F6886" t="inlineStr">
        <is>
          <t>Rep_07</t>
        </is>
      </c>
      <c r="G6886" t="n">
        <v>4.09</v>
      </c>
      <c r="H6886" t="inlineStr">
        <is>
          <t>Demo Completed</t>
        </is>
      </c>
      <c r="I6886" t="inlineStr">
        <is>
          <t>Lost</t>
        </is>
      </c>
      <c r="J6886" t="inlineStr">
        <is>
          <t>No Response / Ghosted</t>
        </is>
      </c>
      <c r="K6886" t="n">
        <v>1585.58</v>
      </c>
      <c r="L6886" t="inlineStr">
        <is>
          <t>2025-05-24 05:56:13.005479</t>
        </is>
      </c>
      <c r="M6886">
        <f>VLOOKUP(H6886,'Stage Order'!$A$2:$B$8,2,FALSE)</f>
        <v/>
      </c>
      <c r="N6886">
        <f>IF(G6886&lt;=1,"1. Under 1 hour",IF(G6886&lt;=24,"2. 1-24 hours",IF(G6886&lt;=72,"3. 1-3 days","4. Over 3 days")))</f>
        <v/>
      </c>
      <c r="O6886">
        <f>TEXT(B6886,"YYYY-MM")</f>
        <v/>
      </c>
    </row>
    <row r="6887">
      <c r="A6887" t="inlineStr">
        <is>
          <t>LD-306885</t>
        </is>
      </c>
      <c r="B6887" t="inlineStr">
        <is>
          <t>2025-11-22 08:49:00</t>
        </is>
      </c>
      <c r="C6887" t="inlineStr">
        <is>
          <t>Paid Search</t>
        </is>
      </c>
      <c r="D6887" t="inlineStr">
        <is>
          <t>Competitive Exam Prep</t>
        </is>
      </c>
      <c r="E6887" t="inlineStr">
        <is>
          <t>East Region</t>
        </is>
      </c>
      <c r="F6887" t="inlineStr">
        <is>
          <t>Rep_09</t>
        </is>
      </c>
      <c r="G6887" t="n">
        <v>1.78</v>
      </c>
      <c r="H6887" t="inlineStr">
        <is>
          <t>Lead</t>
        </is>
      </c>
      <c r="I6887" t="inlineStr">
        <is>
          <t>Open</t>
        </is>
      </c>
      <c r="M6887">
        <f>VLOOKUP(H6887,'Stage Order'!$A$2:$B$8,2,FALSE)</f>
        <v/>
      </c>
      <c r="N6887">
        <f>IF(G6887&lt;=1,"1. Under 1 hour",IF(G6887&lt;=24,"2. 1-24 hours",IF(G6887&lt;=72,"3. 1-3 days","4. Over 3 days")))</f>
        <v/>
      </c>
      <c r="O6887">
        <f>TEXT(B6887,"YYYY-MM")</f>
        <v/>
      </c>
    </row>
    <row r="6888">
      <c r="A6888" t="inlineStr">
        <is>
          <t>LD-306886</t>
        </is>
      </c>
      <c r="B6888" t="inlineStr">
        <is>
          <t>2026-05-19 08:49:00</t>
        </is>
      </c>
      <c r="C6888" t="inlineStr">
        <is>
          <t>Paid Search</t>
        </is>
      </c>
      <c r="D6888" t="inlineStr">
        <is>
          <t>Coding for Kids</t>
        </is>
      </c>
      <c r="E6888" t="inlineStr">
        <is>
          <t>East Region</t>
        </is>
      </c>
      <c r="F6888" t="inlineStr">
        <is>
          <t>Rep_04</t>
        </is>
      </c>
      <c r="G6888" t="n">
        <v>5.72</v>
      </c>
      <c r="H6888" t="inlineStr">
        <is>
          <t>Closed</t>
        </is>
      </c>
      <c r="I6888" t="inlineStr">
        <is>
          <t>Won</t>
        </is>
      </c>
      <c r="K6888" t="n">
        <v>546.37</v>
      </c>
      <c r="L6888" t="inlineStr">
        <is>
          <t>2026-06-16 09:20:58.382374</t>
        </is>
      </c>
      <c r="M6888">
        <f>VLOOKUP(H6888,'Stage Order'!$A$2:$B$8,2,FALSE)</f>
        <v/>
      </c>
      <c r="N6888">
        <f>IF(G6888&lt;=1,"1. Under 1 hour",IF(G6888&lt;=24,"2. 1-24 hours",IF(G6888&lt;=72,"3. 1-3 days","4. Over 3 days")))</f>
        <v/>
      </c>
      <c r="O6888">
        <f>TEXT(B6888,"YYYY-MM")</f>
        <v/>
      </c>
    </row>
    <row r="6889">
      <c r="A6889" t="inlineStr">
        <is>
          <t>LD-306887</t>
        </is>
      </c>
      <c r="B6889" t="inlineStr">
        <is>
          <t>2025-08-03 15:06:00</t>
        </is>
      </c>
      <c r="C6889" t="inlineStr">
        <is>
          <t>Partner Channel</t>
        </is>
      </c>
      <c r="D6889" t="inlineStr">
        <is>
          <t>Language Learning</t>
        </is>
      </c>
      <c r="E6889" t="inlineStr">
        <is>
          <t>East Region</t>
        </is>
      </c>
      <c r="F6889" t="inlineStr">
        <is>
          <t>Rep_14</t>
        </is>
      </c>
      <c r="G6889" t="n">
        <v>16.06</v>
      </c>
      <c r="H6889" t="inlineStr">
        <is>
          <t>Proposal Sent</t>
        </is>
      </c>
      <c r="I6889" t="inlineStr">
        <is>
          <t>Lost</t>
        </is>
      </c>
      <c r="J6889" t="inlineStr">
        <is>
          <t>Price Objection</t>
        </is>
      </c>
      <c r="K6889" t="n">
        <v>414.42</v>
      </c>
      <c r="L6889" t="inlineStr">
        <is>
          <t>2025-09-06 05:29:27.794803</t>
        </is>
      </c>
      <c r="M6889">
        <f>VLOOKUP(H6889,'Stage Order'!$A$2:$B$8,2,FALSE)</f>
        <v/>
      </c>
      <c r="N6889">
        <f>IF(G6889&lt;=1,"1. Under 1 hour",IF(G6889&lt;=24,"2. 1-24 hours",IF(G6889&lt;=72,"3. 1-3 days","4. Over 3 days")))</f>
        <v/>
      </c>
      <c r="O6889">
        <f>TEXT(B6889,"YYYY-MM")</f>
        <v/>
      </c>
    </row>
    <row r="6890">
      <c r="A6890" t="inlineStr">
        <is>
          <t>LD-306888</t>
        </is>
      </c>
      <c r="B6890" t="inlineStr">
        <is>
          <t>2025-10-13 15:27:00</t>
        </is>
      </c>
      <c r="C6890" t="inlineStr">
        <is>
          <t>Social Media</t>
        </is>
      </c>
      <c r="D6890" t="inlineStr">
        <is>
          <t>K-12 Math</t>
        </is>
      </c>
      <c r="E6890" t="inlineStr">
        <is>
          <t>North Region</t>
        </is>
      </c>
      <c r="F6890" t="inlineStr">
        <is>
          <t>Rep_06</t>
        </is>
      </c>
      <c r="G6890" t="n">
        <v>0.78</v>
      </c>
      <c r="H6890" t="inlineStr">
        <is>
          <t>Lead</t>
        </is>
      </c>
      <c r="I6890" t="inlineStr">
        <is>
          <t>Open</t>
        </is>
      </c>
      <c r="M6890">
        <f>VLOOKUP(H6890,'Stage Order'!$A$2:$B$8,2,FALSE)</f>
        <v/>
      </c>
      <c r="N6890">
        <f>IF(G6890&lt;=1,"1. Under 1 hour",IF(G6890&lt;=24,"2. 1-24 hours",IF(G6890&lt;=72,"3. 1-3 days","4. Over 3 days")))</f>
        <v/>
      </c>
      <c r="O6890">
        <f>TEXT(B6890,"YYYY-MM")</f>
        <v/>
      </c>
    </row>
    <row r="6891">
      <c r="A6891" t="inlineStr">
        <is>
          <t>LD-306889</t>
        </is>
      </c>
      <c r="B6891" t="inlineStr">
        <is>
          <t>2026-04-24 19:24:00</t>
        </is>
      </c>
      <c r="C6891" t="inlineStr">
        <is>
          <t>Paid Search</t>
        </is>
      </c>
      <c r="D6891" t="inlineStr">
        <is>
          <t>K-12 Math</t>
        </is>
      </c>
      <c r="E6891" t="inlineStr">
        <is>
          <t>North Region</t>
        </is>
      </c>
      <c r="F6891" t="inlineStr">
        <is>
          <t>Rep_01</t>
        </is>
      </c>
      <c r="G6891" t="n">
        <v>3</v>
      </c>
      <c r="H6891" t="inlineStr">
        <is>
          <t>Demo Completed</t>
        </is>
      </c>
      <c r="I6891" t="inlineStr">
        <is>
          <t>Lost</t>
        </is>
      </c>
      <c r="J6891" t="inlineStr">
        <is>
          <t>Price Objection</t>
        </is>
      </c>
      <c r="K6891" t="n">
        <v>411.3</v>
      </c>
      <c r="L6891" t="inlineStr">
        <is>
          <t>2026-05-19 06:32:03.999289</t>
        </is>
      </c>
      <c r="M6891">
        <f>VLOOKUP(H6891,'Stage Order'!$A$2:$B$8,2,FALSE)</f>
        <v/>
      </c>
      <c r="N6891">
        <f>IF(G6891&lt;=1,"1. Under 1 hour",IF(G6891&lt;=24,"2. 1-24 hours",IF(G6891&lt;=72,"3. 1-3 days","4. Over 3 days")))</f>
        <v/>
      </c>
      <c r="O6891">
        <f>TEXT(B6891,"YYYY-MM")</f>
        <v/>
      </c>
    </row>
    <row r="6892">
      <c r="A6892" t="inlineStr">
        <is>
          <t>LD-306890</t>
        </is>
      </c>
      <c r="B6892" t="inlineStr">
        <is>
          <t>2026-03-30 13:34:00</t>
        </is>
      </c>
      <c r="C6892" t="inlineStr">
        <is>
          <t>Referral</t>
        </is>
      </c>
      <c r="D6892" t="inlineStr">
        <is>
          <t>Language Learning</t>
        </is>
      </c>
      <c r="E6892" t="inlineStr">
        <is>
          <t>North Region</t>
        </is>
      </c>
      <c r="F6892" t="inlineStr">
        <is>
          <t>Rep_11</t>
        </is>
      </c>
      <c r="G6892" t="n">
        <v>4.14</v>
      </c>
      <c r="H6892" t="inlineStr">
        <is>
          <t>Negotiation</t>
        </is>
      </c>
      <c r="I6892" t="inlineStr">
        <is>
          <t>Lost</t>
        </is>
      </c>
      <c r="J6892" t="inlineStr">
        <is>
          <t>Price Objection</t>
        </is>
      </c>
      <c r="K6892" t="n">
        <v>405.87</v>
      </c>
      <c r="L6892" t="inlineStr">
        <is>
          <t>2026-05-12 15:50:15.796866</t>
        </is>
      </c>
      <c r="M6892">
        <f>VLOOKUP(H6892,'Stage Order'!$A$2:$B$8,2,FALSE)</f>
        <v/>
      </c>
      <c r="N6892">
        <f>IF(G6892&lt;=1,"1. Under 1 hour",IF(G6892&lt;=24,"2. 1-24 hours",IF(G6892&lt;=72,"3. 1-3 days","4. Over 3 days")))</f>
        <v/>
      </c>
      <c r="O6892">
        <f>TEXT(B6892,"YYYY-MM")</f>
        <v/>
      </c>
    </row>
    <row r="6893">
      <c r="A6893" t="inlineStr">
        <is>
          <t>LD-306891</t>
        </is>
      </c>
      <c r="B6893" t="inlineStr">
        <is>
          <t>2025-04-10 19:59:00</t>
        </is>
      </c>
      <c r="C6893" t="inlineStr">
        <is>
          <t>Organic Search</t>
        </is>
      </c>
      <c r="D6893" t="inlineStr">
        <is>
          <t>Coding for Kids</t>
        </is>
      </c>
      <c r="E6893" t="inlineStr">
        <is>
          <t>East Region</t>
        </is>
      </c>
      <c r="F6893" t="inlineStr">
        <is>
          <t>Rep_14</t>
        </is>
      </c>
      <c r="G6893" t="n">
        <v>1.45</v>
      </c>
      <c r="H6893" t="inlineStr">
        <is>
          <t>Contacted</t>
        </is>
      </c>
      <c r="I6893" t="inlineStr">
        <is>
          <t>Open</t>
        </is>
      </c>
      <c r="M6893">
        <f>VLOOKUP(H6893,'Stage Order'!$A$2:$B$8,2,FALSE)</f>
        <v/>
      </c>
      <c r="N6893">
        <f>IF(G6893&lt;=1,"1. Under 1 hour",IF(G6893&lt;=24,"2. 1-24 hours",IF(G6893&lt;=72,"3. 1-3 days","4. Over 3 days")))</f>
        <v/>
      </c>
      <c r="O6893">
        <f>TEXT(B6893,"YYYY-MM")</f>
        <v/>
      </c>
    </row>
    <row r="6894">
      <c r="A6894" t="inlineStr">
        <is>
          <t>LD-306892</t>
        </is>
      </c>
      <c r="B6894" t="inlineStr">
        <is>
          <t>2025-12-12 17:43:00</t>
        </is>
      </c>
      <c r="C6894" t="inlineStr">
        <is>
          <t>Social Media</t>
        </is>
      </c>
      <c r="D6894" t="inlineStr">
        <is>
          <t>K-12 Math</t>
        </is>
      </c>
      <c r="E6894" t="inlineStr">
        <is>
          <t>West Region</t>
        </is>
      </c>
      <c r="F6894" t="inlineStr">
        <is>
          <t>Rep_08</t>
        </is>
      </c>
      <c r="G6894" t="n">
        <v>0.33</v>
      </c>
      <c r="H6894" t="inlineStr">
        <is>
          <t>Contacted</t>
        </is>
      </c>
      <c r="I6894" t="inlineStr">
        <is>
          <t>Open</t>
        </is>
      </c>
      <c r="M6894">
        <f>VLOOKUP(H6894,'Stage Order'!$A$2:$B$8,2,FALSE)</f>
        <v/>
      </c>
      <c r="N6894">
        <f>IF(G6894&lt;=1,"1. Under 1 hour",IF(G6894&lt;=24,"2. 1-24 hours",IF(G6894&lt;=72,"3. 1-3 days","4. Over 3 days")))</f>
        <v/>
      </c>
      <c r="O6894">
        <f>TEXT(B6894,"YYYY-MM")</f>
        <v/>
      </c>
    </row>
    <row r="6895">
      <c r="A6895" t="inlineStr">
        <is>
          <t>LD-306893</t>
        </is>
      </c>
      <c r="B6895" t="inlineStr">
        <is>
          <t>2025-06-06 09:58:00</t>
        </is>
      </c>
      <c r="C6895" t="inlineStr">
        <is>
          <t>Paid Search</t>
        </is>
      </c>
      <c r="D6895" t="inlineStr">
        <is>
          <t>Competitive Exam Prep</t>
        </is>
      </c>
      <c r="E6895" t="inlineStr">
        <is>
          <t>North Region</t>
        </is>
      </c>
      <c r="F6895" t="inlineStr">
        <is>
          <t>Rep_11</t>
        </is>
      </c>
      <c r="G6895" t="n">
        <v>1.5</v>
      </c>
      <c r="H6895" t="inlineStr">
        <is>
          <t>Closed</t>
        </is>
      </c>
      <c r="I6895" t="inlineStr">
        <is>
          <t>Won</t>
        </is>
      </c>
      <c r="K6895" t="n">
        <v>1032.68</v>
      </c>
      <c r="L6895" t="inlineStr">
        <is>
          <t>2025-07-28 01:51:14.026891</t>
        </is>
      </c>
      <c r="M6895">
        <f>VLOOKUP(H6895,'Stage Order'!$A$2:$B$8,2,FALSE)</f>
        <v/>
      </c>
      <c r="N6895">
        <f>IF(G6895&lt;=1,"1. Under 1 hour",IF(G6895&lt;=24,"2. 1-24 hours",IF(G6895&lt;=72,"3. 1-3 days","4. Over 3 days")))</f>
        <v/>
      </c>
      <c r="O6895">
        <f>TEXT(B6895,"YYYY-MM")</f>
        <v/>
      </c>
    </row>
    <row r="6896">
      <c r="A6896" t="inlineStr">
        <is>
          <t>LD-306894</t>
        </is>
      </c>
      <c r="B6896" t="inlineStr">
        <is>
          <t>2025-09-08 19:11:00</t>
        </is>
      </c>
      <c r="C6896" t="inlineStr">
        <is>
          <t>Social Media</t>
        </is>
      </c>
      <c r="D6896" t="inlineStr">
        <is>
          <t>Coding for Kids</t>
        </is>
      </c>
      <c r="E6896" t="inlineStr">
        <is>
          <t>West Region</t>
        </is>
      </c>
      <c r="F6896" t="inlineStr">
        <is>
          <t>Rep_13</t>
        </is>
      </c>
      <c r="G6896" t="n">
        <v>2.11</v>
      </c>
      <c r="H6896" t="inlineStr">
        <is>
          <t>Contacted</t>
        </is>
      </c>
      <c r="I6896" t="inlineStr">
        <is>
          <t>Open</t>
        </is>
      </c>
      <c r="M6896">
        <f>VLOOKUP(H6896,'Stage Order'!$A$2:$B$8,2,FALSE)</f>
        <v/>
      </c>
      <c r="N6896">
        <f>IF(G6896&lt;=1,"1. Under 1 hour",IF(G6896&lt;=24,"2. 1-24 hours",IF(G6896&lt;=72,"3. 1-3 days","4. Over 3 days")))</f>
        <v/>
      </c>
      <c r="O6896">
        <f>TEXT(B6896,"YYYY-MM")</f>
        <v/>
      </c>
    </row>
    <row r="6897">
      <c r="A6897" t="inlineStr">
        <is>
          <t>LD-306895</t>
        </is>
      </c>
      <c r="B6897" t="inlineStr">
        <is>
          <t>2026-05-27 17:15:00</t>
        </is>
      </c>
      <c r="C6897" t="inlineStr">
        <is>
          <t>Organic Search</t>
        </is>
      </c>
      <c r="D6897" t="inlineStr">
        <is>
          <t>Competitive Exam Prep</t>
        </is>
      </c>
      <c r="E6897" t="inlineStr">
        <is>
          <t>East Region</t>
        </is>
      </c>
      <c r="F6897" t="inlineStr">
        <is>
          <t>Rep_09</t>
        </is>
      </c>
      <c r="G6897" t="n">
        <v>2.41</v>
      </c>
      <c r="H6897" t="inlineStr">
        <is>
          <t>Lead</t>
        </is>
      </c>
      <c r="I6897" t="inlineStr">
        <is>
          <t>Open</t>
        </is>
      </c>
      <c r="M6897">
        <f>VLOOKUP(H6897,'Stage Order'!$A$2:$B$8,2,FALSE)</f>
        <v/>
      </c>
      <c r="N6897">
        <f>IF(G6897&lt;=1,"1. Under 1 hour",IF(G6897&lt;=24,"2. 1-24 hours",IF(G6897&lt;=72,"3. 1-3 days","4. Over 3 days")))</f>
        <v/>
      </c>
      <c r="O6897">
        <f>TEXT(B6897,"YYYY-MM")</f>
        <v/>
      </c>
    </row>
    <row r="6898">
      <c r="A6898" t="inlineStr">
        <is>
          <t>LD-306896</t>
        </is>
      </c>
      <c r="B6898" t="inlineStr">
        <is>
          <t>2026-01-23 10:49:00</t>
        </is>
      </c>
      <c r="C6898" t="inlineStr">
        <is>
          <t>Organic Search</t>
        </is>
      </c>
      <c r="D6898" t="inlineStr">
        <is>
          <t>Competitive Exam Prep</t>
        </is>
      </c>
      <c r="E6898" t="inlineStr">
        <is>
          <t>West Region</t>
        </is>
      </c>
      <c r="F6898" t="inlineStr">
        <is>
          <t>Rep_03</t>
        </is>
      </c>
      <c r="G6898" t="n">
        <v>3.97</v>
      </c>
      <c r="H6898" t="inlineStr">
        <is>
          <t>Contacted</t>
        </is>
      </c>
      <c r="I6898" t="inlineStr">
        <is>
          <t>Open</t>
        </is>
      </c>
      <c r="M6898">
        <f>VLOOKUP(H6898,'Stage Order'!$A$2:$B$8,2,FALSE)</f>
        <v/>
      </c>
      <c r="N6898">
        <f>IF(G6898&lt;=1,"1. Under 1 hour",IF(G6898&lt;=24,"2. 1-24 hours",IF(G6898&lt;=72,"3. 1-3 days","4. Over 3 days")))</f>
        <v/>
      </c>
      <c r="O6898">
        <f>TEXT(B6898,"YYYY-MM")</f>
        <v/>
      </c>
    </row>
    <row r="6899">
      <c r="A6899" t="inlineStr">
        <is>
          <t>LD-306897</t>
        </is>
      </c>
      <c r="B6899" t="inlineStr">
        <is>
          <t>2025-02-28 19:04:00</t>
        </is>
      </c>
      <c r="C6899" t="inlineStr">
        <is>
          <t>Partner Channel</t>
        </is>
      </c>
      <c r="D6899" t="inlineStr">
        <is>
          <t>Coding for Kids</t>
        </is>
      </c>
      <c r="E6899" t="inlineStr">
        <is>
          <t>West Region</t>
        </is>
      </c>
      <c r="F6899" t="inlineStr">
        <is>
          <t>Rep_03</t>
        </is>
      </c>
      <c r="G6899" t="n">
        <v>4.88</v>
      </c>
      <c r="H6899" t="inlineStr">
        <is>
          <t>Closed</t>
        </is>
      </c>
      <c r="I6899" t="inlineStr">
        <is>
          <t>Won</t>
        </is>
      </c>
      <c r="K6899" t="n">
        <v>659.13</v>
      </c>
      <c r="L6899" t="inlineStr">
        <is>
          <t>2025-04-01 12:11:16.801266</t>
        </is>
      </c>
      <c r="M6899">
        <f>VLOOKUP(H6899,'Stage Order'!$A$2:$B$8,2,FALSE)</f>
        <v/>
      </c>
      <c r="N6899">
        <f>IF(G6899&lt;=1,"1. Under 1 hour",IF(G6899&lt;=24,"2. 1-24 hours",IF(G6899&lt;=72,"3. 1-3 days","4. Over 3 days")))</f>
        <v/>
      </c>
      <c r="O6899">
        <f>TEXT(B6899,"YYYY-MM")</f>
        <v/>
      </c>
    </row>
    <row r="6900">
      <c r="A6900" t="inlineStr">
        <is>
          <t>LD-306898</t>
        </is>
      </c>
      <c r="B6900" t="inlineStr">
        <is>
          <t>2025-12-12 12:44:00</t>
        </is>
      </c>
      <c r="C6900" t="inlineStr">
        <is>
          <t>Organic Search</t>
        </is>
      </c>
      <c r="D6900" t="inlineStr">
        <is>
          <t>K-12 Math</t>
        </is>
      </c>
      <c r="E6900" t="inlineStr">
        <is>
          <t>South Region</t>
        </is>
      </c>
      <c r="F6900" t="inlineStr">
        <is>
          <t>Rep_02</t>
        </is>
      </c>
      <c r="G6900" t="n">
        <v>1.03</v>
      </c>
      <c r="H6900" t="inlineStr">
        <is>
          <t>Contacted</t>
        </is>
      </c>
      <c r="I6900" t="inlineStr">
        <is>
          <t>Open</t>
        </is>
      </c>
      <c r="M6900">
        <f>VLOOKUP(H6900,'Stage Order'!$A$2:$B$8,2,FALSE)</f>
        <v/>
      </c>
      <c r="N6900">
        <f>IF(G6900&lt;=1,"1. Under 1 hour",IF(G6900&lt;=24,"2. 1-24 hours",IF(G6900&lt;=72,"3. 1-3 days","4. Over 3 days")))</f>
        <v/>
      </c>
      <c r="O6900">
        <f>TEXT(B6900,"YYYY-MM")</f>
        <v/>
      </c>
    </row>
    <row r="6901">
      <c r="A6901" t="inlineStr">
        <is>
          <t>LD-306899</t>
        </is>
      </c>
      <c r="B6901" t="inlineStr">
        <is>
          <t>2025-04-18 09:01:00</t>
        </is>
      </c>
      <c r="C6901" t="inlineStr">
        <is>
          <t>Organic Search</t>
        </is>
      </c>
      <c r="D6901" t="inlineStr">
        <is>
          <t>Coding for Kids</t>
        </is>
      </c>
      <c r="E6901" t="inlineStr">
        <is>
          <t>International</t>
        </is>
      </c>
      <c r="F6901" t="inlineStr">
        <is>
          <t>Rep_15</t>
        </is>
      </c>
      <c r="G6901" t="n">
        <v>4.03</v>
      </c>
      <c r="H6901" t="inlineStr">
        <is>
          <t>Lead</t>
        </is>
      </c>
      <c r="I6901" t="inlineStr">
        <is>
          <t>Open</t>
        </is>
      </c>
      <c r="M6901">
        <f>VLOOKUP(H6901,'Stage Order'!$A$2:$B$8,2,FALSE)</f>
        <v/>
      </c>
      <c r="N6901">
        <f>IF(G6901&lt;=1,"1. Under 1 hour",IF(G6901&lt;=24,"2. 1-24 hours",IF(G6901&lt;=72,"3. 1-3 days","4. Over 3 days")))</f>
        <v/>
      </c>
      <c r="O6901">
        <f>TEXT(B6901,"YYYY-MM")</f>
        <v/>
      </c>
    </row>
    <row r="6902">
      <c r="A6902" t="inlineStr">
        <is>
          <t>LD-306900</t>
        </is>
      </c>
      <c r="B6902" t="inlineStr">
        <is>
          <t>2025-03-24 15:19:00</t>
        </is>
      </c>
      <c r="C6902" t="inlineStr">
        <is>
          <t>Organic Search</t>
        </is>
      </c>
      <c r="D6902" t="inlineStr">
        <is>
          <t>Study Abroad Prep</t>
        </is>
      </c>
      <c r="E6902" t="inlineStr">
        <is>
          <t>West Region</t>
        </is>
      </c>
      <c r="F6902" t="inlineStr">
        <is>
          <t>Rep_03</t>
        </is>
      </c>
      <c r="G6902" t="n">
        <v>2.44</v>
      </c>
      <c r="H6902" t="inlineStr">
        <is>
          <t>Contacted</t>
        </is>
      </c>
      <c r="I6902" t="inlineStr">
        <is>
          <t>Open</t>
        </is>
      </c>
      <c r="M6902">
        <f>VLOOKUP(H6902,'Stage Order'!$A$2:$B$8,2,FALSE)</f>
        <v/>
      </c>
      <c r="N6902">
        <f>IF(G6902&lt;=1,"1. Under 1 hour",IF(G6902&lt;=24,"2. 1-24 hours",IF(G6902&lt;=72,"3. 1-3 days","4. Over 3 days")))</f>
        <v/>
      </c>
      <c r="O6902">
        <f>TEXT(B6902,"YYYY-MM")</f>
        <v/>
      </c>
    </row>
    <row r="6903">
      <c r="A6903" t="inlineStr">
        <is>
          <t>LD-306901</t>
        </is>
      </c>
      <c r="B6903" t="inlineStr">
        <is>
          <t>2026-01-14 20:18:00</t>
        </is>
      </c>
      <c r="C6903" t="inlineStr">
        <is>
          <t>Organic Search</t>
        </is>
      </c>
      <c r="D6903" t="inlineStr">
        <is>
          <t>K-12 Math</t>
        </is>
      </c>
      <c r="E6903" t="inlineStr">
        <is>
          <t>South Region</t>
        </is>
      </c>
      <c r="F6903" t="inlineStr">
        <is>
          <t>Rep_02</t>
        </is>
      </c>
      <c r="G6903" t="n">
        <v>7.84</v>
      </c>
      <c r="H6903" t="inlineStr">
        <is>
          <t>Contacted</t>
        </is>
      </c>
      <c r="I6903" t="inlineStr">
        <is>
          <t>Open</t>
        </is>
      </c>
      <c r="M6903">
        <f>VLOOKUP(H6903,'Stage Order'!$A$2:$B$8,2,FALSE)</f>
        <v/>
      </c>
      <c r="N6903">
        <f>IF(G6903&lt;=1,"1. Under 1 hour",IF(G6903&lt;=24,"2. 1-24 hours",IF(G6903&lt;=72,"3. 1-3 days","4. Over 3 days")))</f>
        <v/>
      </c>
      <c r="O6903">
        <f>TEXT(B6903,"YYYY-MM")</f>
        <v/>
      </c>
    </row>
    <row r="6904">
      <c r="A6904" t="inlineStr">
        <is>
          <t>LD-306902</t>
        </is>
      </c>
      <c r="B6904" t="inlineStr">
        <is>
          <t>2025-09-25 07:49:00</t>
        </is>
      </c>
      <c r="C6904" t="inlineStr">
        <is>
          <t>Organic Search</t>
        </is>
      </c>
      <c r="D6904" t="inlineStr">
        <is>
          <t>Language Learning</t>
        </is>
      </c>
      <c r="E6904" t="inlineStr">
        <is>
          <t>West Region</t>
        </is>
      </c>
      <c r="F6904" t="inlineStr">
        <is>
          <t>Rep_13</t>
        </is>
      </c>
      <c r="G6904" t="n">
        <v>4.13</v>
      </c>
      <c r="H6904" t="inlineStr">
        <is>
          <t>Proposal Sent</t>
        </is>
      </c>
      <c r="I6904" t="inlineStr">
        <is>
          <t>Lost</t>
        </is>
      </c>
      <c r="J6904" t="inlineStr">
        <is>
          <t>No Response / Ghosted</t>
        </is>
      </c>
      <c r="K6904" t="n">
        <v>343.83</v>
      </c>
      <c r="L6904" t="inlineStr">
        <is>
          <t>2025-10-28 05:14:58.326454</t>
        </is>
      </c>
      <c r="M6904">
        <f>VLOOKUP(H6904,'Stage Order'!$A$2:$B$8,2,FALSE)</f>
        <v/>
      </c>
      <c r="N6904">
        <f>IF(G6904&lt;=1,"1. Under 1 hour",IF(G6904&lt;=24,"2. 1-24 hours",IF(G6904&lt;=72,"3. 1-3 days","4. Over 3 days")))</f>
        <v/>
      </c>
      <c r="O6904">
        <f>TEXT(B6904,"YYYY-MM")</f>
        <v/>
      </c>
    </row>
    <row r="6905">
      <c r="A6905" t="inlineStr">
        <is>
          <t>LD-306903</t>
        </is>
      </c>
      <c r="B6905" t="inlineStr">
        <is>
          <t>2026-05-30 08:43:00</t>
        </is>
      </c>
      <c r="C6905" t="inlineStr">
        <is>
          <t>Webinar</t>
        </is>
      </c>
      <c r="D6905" t="inlineStr">
        <is>
          <t>Coding for Kids</t>
        </is>
      </c>
      <c r="E6905" t="inlineStr">
        <is>
          <t>North Region</t>
        </is>
      </c>
      <c r="F6905" t="inlineStr">
        <is>
          <t>Rep_01</t>
        </is>
      </c>
      <c r="G6905" t="n">
        <v>2.63</v>
      </c>
      <c r="H6905" t="inlineStr">
        <is>
          <t>Closed</t>
        </is>
      </c>
      <c r="I6905" t="inlineStr">
        <is>
          <t>Won</t>
        </is>
      </c>
      <c r="K6905" t="n">
        <v>707.76</v>
      </c>
      <c r="L6905" t="inlineStr">
        <is>
          <t>2026-07-03 23:12:25.237777</t>
        </is>
      </c>
      <c r="M6905">
        <f>VLOOKUP(H6905,'Stage Order'!$A$2:$B$8,2,FALSE)</f>
        <v/>
      </c>
      <c r="N6905">
        <f>IF(G6905&lt;=1,"1. Under 1 hour",IF(G6905&lt;=24,"2. 1-24 hours",IF(G6905&lt;=72,"3. 1-3 days","4. Over 3 days")))</f>
        <v/>
      </c>
      <c r="O6905">
        <f>TEXT(B6905,"YYYY-MM")</f>
        <v/>
      </c>
    </row>
    <row r="6906">
      <c r="A6906" t="inlineStr">
        <is>
          <t>LD-306904</t>
        </is>
      </c>
      <c r="B6906" t="inlineStr">
        <is>
          <t>2026-05-29 10:23:00</t>
        </is>
      </c>
      <c r="C6906" t="inlineStr">
        <is>
          <t>Cold Outreach</t>
        </is>
      </c>
      <c r="D6906" t="inlineStr">
        <is>
          <t>K-12 Math</t>
        </is>
      </c>
      <c r="E6906" t="inlineStr">
        <is>
          <t>International</t>
        </is>
      </c>
      <c r="F6906" t="inlineStr">
        <is>
          <t>Rep_10</t>
        </is>
      </c>
      <c r="G6906" t="n">
        <v>2.53</v>
      </c>
      <c r="H6906" t="inlineStr">
        <is>
          <t>Lead</t>
        </is>
      </c>
      <c r="I6906" t="inlineStr">
        <is>
          <t>Open</t>
        </is>
      </c>
      <c r="M6906">
        <f>VLOOKUP(H6906,'Stage Order'!$A$2:$B$8,2,FALSE)</f>
        <v/>
      </c>
      <c r="N6906">
        <f>IF(G6906&lt;=1,"1. Under 1 hour",IF(G6906&lt;=24,"2. 1-24 hours",IF(G6906&lt;=72,"3. 1-3 days","4. Over 3 days")))</f>
        <v/>
      </c>
      <c r="O6906">
        <f>TEXT(B6906,"YYYY-MM")</f>
        <v/>
      </c>
    </row>
    <row r="6907">
      <c r="A6907" t="inlineStr">
        <is>
          <t>LD-306905</t>
        </is>
      </c>
      <c r="B6907" t="inlineStr">
        <is>
          <t>2025-01-16 12:35:00</t>
        </is>
      </c>
      <c r="C6907" t="inlineStr">
        <is>
          <t>Organic Search</t>
        </is>
      </c>
      <c r="D6907" t="inlineStr">
        <is>
          <t>Language Learning</t>
        </is>
      </c>
      <c r="E6907" t="inlineStr">
        <is>
          <t>East Region</t>
        </is>
      </c>
      <c r="F6907" t="inlineStr">
        <is>
          <t>Rep_14</t>
        </is>
      </c>
      <c r="G6907" t="n">
        <v>4.04</v>
      </c>
      <c r="H6907" t="inlineStr">
        <is>
          <t>Contacted</t>
        </is>
      </c>
      <c r="I6907" t="inlineStr">
        <is>
          <t>Open</t>
        </is>
      </c>
      <c r="M6907">
        <f>VLOOKUP(H6907,'Stage Order'!$A$2:$B$8,2,FALSE)</f>
        <v/>
      </c>
      <c r="N6907">
        <f>IF(G6907&lt;=1,"1. Under 1 hour",IF(G6907&lt;=24,"2. 1-24 hours",IF(G6907&lt;=72,"3. 1-3 days","4. Over 3 days")))</f>
        <v/>
      </c>
      <c r="O6907">
        <f>TEXT(B6907,"YYYY-MM")</f>
        <v/>
      </c>
    </row>
    <row r="6908">
      <c r="A6908" t="inlineStr">
        <is>
          <t>LD-306906</t>
        </is>
      </c>
      <c r="B6908" t="inlineStr">
        <is>
          <t>2025-10-03 15:14:00</t>
        </is>
      </c>
      <c r="C6908" t="inlineStr">
        <is>
          <t>Organic Search</t>
        </is>
      </c>
      <c r="D6908" t="inlineStr">
        <is>
          <t>Study Abroad Prep</t>
        </is>
      </c>
      <c r="E6908" t="inlineStr">
        <is>
          <t>North Region</t>
        </is>
      </c>
      <c r="F6908" t="inlineStr">
        <is>
          <t>Rep_06</t>
        </is>
      </c>
      <c r="G6908" t="n">
        <v>1.38</v>
      </c>
      <c r="H6908" t="inlineStr">
        <is>
          <t>Lead</t>
        </is>
      </c>
      <c r="I6908" t="inlineStr">
        <is>
          <t>Open</t>
        </is>
      </c>
      <c r="M6908">
        <f>VLOOKUP(H6908,'Stage Order'!$A$2:$B$8,2,FALSE)</f>
        <v/>
      </c>
      <c r="N6908">
        <f>IF(G6908&lt;=1,"1. Under 1 hour",IF(G6908&lt;=24,"2. 1-24 hours",IF(G6908&lt;=72,"3. 1-3 days","4. Over 3 days")))</f>
        <v/>
      </c>
      <c r="O6908">
        <f>TEXT(B6908,"YYYY-MM")</f>
        <v/>
      </c>
    </row>
    <row r="6909">
      <c r="A6909" t="inlineStr">
        <is>
          <t>LD-306907</t>
        </is>
      </c>
      <c r="B6909" t="inlineStr">
        <is>
          <t>2025-09-30 12:12:00</t>
        </is>
      </c>
      <c r="C6909" t="inlineStr">
        <is>
          <t>Referral</t>
        </is>
      </c>
      <c r="D6909" t="inlineStr">
        <is>
          <t>K-12 Math</t>
        </is>
      </c>
      <c r="E6909" t="inlineStr">
        <is>
          <t>International</t>
        </is>
      </c>
      <c r="F6909" t="inlineStr">
        <is>
          <t>Rep_05</t>
        </is>
      </c>
      <c r="G6909" t="n">
        <v>2.12</v>
      </c>
      <c r="H6909" t="inlineStr">
        <is>
          <t>Contacted</t>
        </is>
      </c>
      <c r="I6909" t="inlineStr">
        <is>
          <t>Open</t>
        </is>
      </c>
      <c r="M6909">
        <f>VLOOKUP(H6909,'Stage Order'!$A$2:$B$8,2,FALSE)</f>
        <v/>
      </c>
      <c r="N6909">
        <f>IF(G6909&lt;=1,"1. Under 1 hour",IF(G6909&lt;=24,"2. 1-24 hours",IF(G6909&lt;=72,"3. 1-3 days","4. Over 3 days")))</f>
        <v/>
      </c>
      <c r="O6909">
        <f>TEXT(B6909,"YYYY-MM")</f>
        <v/>
      </c>
    </row>
    <row r="6910">
      <c r="A6910" t="inlineStr">
        <is>
          <t>LD-306908</t>
        </is>
      </c>
      <c r="B6910" t="inlineStr">
        <is>
          <t>2025-05-16 07:48:00</t>
        </is>
      </c>
      <c r="C6910" t="inlineStr">
        <is>
          <t>Paid Search</t>
        </is>
      </c>
      <c r="D6910" t="inlineStr">
        <is>
          <t>K-12 Math</t>
        </is>
      </c>
      <c r="E6910" t="inlineStr">
        <is>
          <t>West Region</t>
        </is>
      </c>
      <c r="F6910" t="inlineStr">
        <is>
          <t>Rep_03</t>
        </is>
      </c>
      <c r="G6910" t="n">
        <v>6.49</v>
      </c>
      <c r="H6910" t="inlineStr">
        <is>
          <t>Demo Scheduled</t>
        </is>
      </c>
      <c r="I6910" t="inlineStr">
        <is>
          <t>Open</t>
        </is>
      </c>
      <c r="M6910">
        <f>VLOOKUP(H6910,'Stage Order'!$A$2:$B$8,2,FALSE)</f>
        <v/>
      </c>
      <c r="N6910">
        <f>IF(G6910&lt;=1,"1. Under 1 hour",IF(G6910&lt;=24,"2. 1-24 hours",IF(G6910&lt;=72,"3. 1-3 days","4. Over 3 days")))</f>
        <v/>
      </c>
      <c r="O6910">
        <f>TEXT(B6910,"YYYY-MM")</f>
        <v/>
      </c>
    </row>
    <row r="6911">
      <c r="A6911" t="inlineStr">
        <is>
          <t>LD-306909</t>
        </is>
      </c>
      <c r="B6911" t="inlineStr">
        <is>
          <t>2026-03-10 07:15:00</t>
        </is>
      </c>
      <c r="C6911" t="inlineStr">
        <is>
          <t>Social Media</t>
        </is>
      </c>
      <c r="D6911" t="inlineStr">
        <is>
          <t>Language Learning</t>
        </is>
      </c>
      <c r="E6911" t="inlineStr">
        <is>
          <t>West Region</t>
        </is>
      </c>
      <c r="F6911" t="inlineStr">
        <is>
          <t>Rep_13</t>
        </is>
      </c>
      <c r="G6911" t="n">
        <v>5.72</v>
      </c>
      <c r="H6911" t="inlineStr">
        <is>
          <t>Lead</t>
        </is>
      </c>
      <c r="I6911" t="inlineStr">
        <is>
          <t>Open</t>
        </is>
      </c>
      <c r="M6911">
        <f>VLOOKUP(H6911,'Stage Order'!$A$2:$B$8,2,FALSE)</f>
        <v/>
      </c>
      <c r="N6911">
        <f>IF(G6911&lt;=1,"1. Under 1 hour",IF(G6911&lt;=24,"2. 1-24 hours",IF(G6911&lt;=72,"3. 1-3 days","4. Over 3 days")))</f>
        <v/>
      </c>
      <c r="O6911">
        <f>TEXT(B6911,"YYYY-MM")</f>
        <v/>
      </c>
    </row>
    <row r="6912">
      <c r="A6912" t="inlineStr">
        <is>
          <t>LD-306910</t>
        </is>
      </c>
      <c r="B6912" t="inlineStr">
        <is>
          <t>2026-03-20 13:37:00</t>
        </is>
      </c>
      <c r="C6912" t="inlineStr">
        <is>
          <t>Social Media</t>
        </is>
      </c>
      <c r="D6912" t="inlineStr">
        <is>
          <t>Study Abroad Prep</t>
        </is>
      </c>
      <c r="E6912" t="inlineStr">
        <is>
          <t>West Region</t>
        </is>
      </c>
      <c r="F6912" t="inlineStr">
        <is>
          <t>Rep_13</t>
        </is>
      </c>
      <c r="G6912" t="n">
        <v>0.78</v>
      </c>
      <c r="H6912" t="inlineStr">
        <is>
          <t>Closed</t>
        </is>
      </c>
      <c r="I6912" t="inlineStr">
        <is>
          <t>Won</t>
        </is>
      </c>
      <c r="K6912" t="n">
        <v>1563.82</v>
      </c>
      <c r="L6912" t="inlineStr">
        <is>
          <t>2026-04-22 08:45:30.987489</t>
        </is>
      </c>
      <c r="M6912">
        <f>VLOOKUP(H6912,'Stage Order'!$A$2:$B$8,2,FALSE)</f>
        <v/>
      </c>
      <c r="N6912">
        <f>IF(G6912&lt;=1,"1. Under 1 hour",IF(G6912&lt;=24,"2. 1-24 hours",IF(G6912&lt;=72,"3. 1-3 days","4. Over 3 days")))</f>
        <v/>
      </c>
      <c r="O6912">
        <f>TEXT(B6912,"YYYY-MM")</f>
        <v/>
      </c>
    </row>
    <row r="6913">
      <c r="A6913" t="inlineStr">
        <is>
          <t>LD-306911</t>
        </is>
      </c>
      <c r="B6913" t="inlineStr">
        <is>
          <t>2025-04-04 17:02:00</t>
        </is>
      </c>
      <c r="C6913" t="inlineStr">
        <is>
          <t>Social Media</t>
        </is>
      </c>
      <c r="D6913" t="inlineStr">
        <is>
          <t>K-12 Math</t>
        </is>
      </c>
      <c r="E6913" t="inlineStr">
        <is>
          <t>East Region</t>
        </is>
      </c>
      <c r="F6913" t="inlineStr">
        <is>
          <t>Rep_09</t>
        </is>
      </c>
      <c r="G6913" t="n">
        <v>2.04</v>
      </c>
      <c r="H6913" t="inlineStr">
        <is>
          <t>Lead</t>
        </is>
      </c>
      <c r="I6913" t="inlineStr">
        <is>
          <t>Open</t>
        </is>
      </c>
      <c r="M6913">
        <f>VLOOKUP(H6913,'Stage Order'!$A$2:$B$8,2,FALSE)</f>
        <v/>
      </c>
      <c r="N6913">
        <f>IF(G6913&lt;=1,"1. Under 1 hour",IF(G6913&lt;=24,"2. 1-24 hours",IF(G6913&lt;=72,"3. 1-3 days","4. Over 3 days")))</f>
        <v/>
      </c>
      <c r="O6913">
        <f>TEXT(B6913,"YYYY-MM")</f>
        <v/>
      </c>
    </row>
    <row r="6914">
      <c r="A6914" t="inlineStr">
        <is>
          <t>LD-306912</t>
        </is>
      </c>
      <c r="B6914" t="inlineStr">
        <is>
          <t>2025-12-26 10:23:00</t>
        </is>
      </c>
      <c r="C6914" t="inlineStr">
        <is>
          <t>Organic Search</t>
        </is>
      </c>
      <c r="D6914" t="inlineStr">
        <is>
          <t>Competitive Exam Prep</t>
        </is>
      </c>
      <c r="E6914" t="inlineStr">
        <is>
          <t>South Region</t>
        </is>
      </c>
      <c r="F6914" t="inlineStr">
        <is>
          <t>Rep_12</t>
        </is>
      </c>
      <c r="G6914" t="n">
        <v>1.41</v>
      </c>
      <c r="H6914" t="inlineStr">
        <is>
          <t>Contacted</t>
        </is>
      </c>
      <c r="I6914" t="inlineStr">
        <is>
          <t>Open</t>
        </is>
      </c>
      <c r="M6914">
        <f>VLOOKUP(H6914,'Stage Order'!$A$2:$B$8,2,FALSE)</f>
        <v/>
      </c>
      <c r="N6914">
        <f>IF(G6914&lt;=1,"1. Under 1 hour",IF(G6914&lt;=24,"2. 1-24 hours",IF(G6914&lt;=72,"3. 1-3 days","4. Over 3 days")))</f>
        <v/>
      </c>
      <c r="O6914">
        <f>TEXT(B6914,"YYYY-MM")</f>
        <v/>
      </c>
    </row>
    <row r="6915">
      <c r="A6915" t="inlineStr">
        <is>
          <t>LD-306913</t>
        </is>
      </c>
      <c r="B6915" t="inlineStr">
        <is>
          <t>2025-02-04 16:04:00</t>
        </is>
      </c>
      <c r="C6915" t="inlineStr">
        <is>
          <t>Social Media</t>
        </is>
      </c>
      <c r="D6915" t="inlineStr">
        <is>
          <t>Coding for Kids</t>
        </is>
      </c>
      <c r="E6915" t="inlineStr">
        <is>
          <t>International</t>
        </is>
      </c>
      <c r="F6915" t="inlineStr">
        <is>
          <t>Rep_15</t>
        </is>
      </c>
      <c r="G6915" t="n">
        <v>1.25</v>
      </c>
      <c r="H6915" t="inlineStr">
        <is>
          <t>Contacted</t>
        </is>
      </c>
      <c r="I6915" t="inlineStr">
        <is>
          <t>Open</t>
        </is>
      </c>
      <c r="M6915">
        <f>VLOOKUP(H6915,'Stage Order'!$A$2:$B$8,2,FALSE)</f>
        <v/>
      </c>
      <c r="N6915">
        <f>IF(G6915&lt;=1,"1. Under 1 hour",IF(G6915&lt;=24,"2. 1-24 hours",IF(G6915&lt;=72,"3. 1-3 days","4. Over 3 days")))</f>
        <v/>
      </c>
      <c r="O6915">
        <f>TEXT(B6915,"YYYY-MM")</f>
        <v/>
      </c>
    </row>
    <row r="6916">
      <c r="A6916" t="inlineStr">
        <is>
          <t>LD-306914</t>
        </is>
      </c>
      <c r="B6916" t="inlineStr">
        <is>
          <t>2025-07-03 15:14:00</t>
        </is>
      </c>
      <c r="C6916" t="inlineStr">
        <is>
          <t>Cold Outreach</t>
        </is>
      </c>
      <c r="D6916" t="inlineStr">
        <is>
          <t>Language Learning</t>
        </is>
      </c>
      <c r="E6916" t="inlineStr">
        <is>
          <t>East Region</t>
        </is>
      </c>
      <c r="F6916" t="inlineStr">
        <is>
          <t>Rep_09</t>
        </is>
      </c>
      <c r="G6916" t="n">
        <v>4.91</v>
      </c>
      <c r="H6916" t="inlineStr">
        <is>
          <t>Lead</t>
        </is>
      </c>
      <c r="I6916" t="inlineStr">
        <is>
          <t>Open</t>
        </is>
      </c>
      <c r="M6916">
        <f>VLOOKUP(H6916,'Stage Order'!$A$2:$B$8,2,FALSE)</f>
        <v/>
      </c>
      <c r="N6916">
        <f>IF(G6916&lt;=1,"1. Under 1 hour",IF(G6916&lt;=24,"2. 1-24 hours",IF(G6916&lt;=72,"3. 1-3 days","4. Over 3 days")))</f>
        <v/>
      </c>
      <c r="O6916">
        <f>TEXT(B6916,"YYYY-MM")</f>
        <v/>
      </c>
    </row>
    <row r="6917">
      <c r="A6917" t="inlineStr">
        <is>
          <t>LD-306915</t>
        </is>
      </c>
      <c r="B6917" t="inlineStr">
        <is>
          <t>2026-06-05 10:09:00</t>
        </is>
      </c>
      <c r="C6917" t="inlineStr">
        <is>
          <t>Referral</t>
        </is>
      </c>
      <c r="D6917" t="inlineStr">
        <is>
          <t>Competitive Exam Prep</t>
        </is>
      </c>
      <c r="E6917" t="inlineStr">
        <is>
          <t>North Region</t>
        </is>
      </c>
      <c r="F6917" t="inlineStr">
        <is>
          <t>Rep_11</t>
        </is>
      </c>
      <c r="G6917" t="n">
        <v>1.64</v>
      </c>
      <c r="H6917" t="inlineStr">
        <is>
          <t>Negotiation</t>
        </is>
      </c>
      <c r="I6917" t="inlineStr">
        <is>
          <t>Lost</t>
        </is>
      </c>
      <c r="J6917" t="inlineStr">
        <is>
          <t>Went With Competitor</t>
        </is>
      </c>
      <c r="K6917" t="n">
        <v>935.15</v>
      </c>
      <c r="L6917" t="inlineStr">
        <is>
          <t>2026-07-28 19:01:46.675735</t>
        </is>
      </c>
      <c r="M6917">
        <f>VLOOKUP(H6917,'Stage Order'!$A$2:$B$8,2,FALSE)</f>
        <v/>
      </c>
      <c r="N6917">
        <f>IF(G6917&lt;=1,"1. Under 1 hour",IF(G6917&lt;=24,"2. 1-24 hours",IF(G6917&lt;=72,"3. 1-3 days","4. Over 3 days")))</f>
        <v/>
      </c>
      <c r="O6917">
        <f>TEXT(B6917,"YYYY-MM")</f>
        <v/>
      </c>
    </row>
    <row r="6918">
      <c r="A6918" t="inlineStr">
        <is>
          <t>LD-306916</t>
        </is>
      </c>
      <c r="B6918" t="inlineStr">
        <is>
          <t>2025-11-14 11:17:00</t>
        </is>
      </c>
      <c r="C6918" t="inlineStr">
        <is>
          <t>Paid Search</t>
        </is>
      </c>
      <c r="D6918" t="inlineStr">
        <is>
          <t>K-12 Math</t>
        </is>
      </c>
      <c r="E6918" t="inlineStr">
        <is>
          <t>East Region</t>
        </is>
      </c>
      <c r="F6918" t="inlineStr">
        <is>
          <t>Rep_04</t>
        </is>
      </c>
      <c r="G6918" t="n">
        <v>3.52</v>
      </c>
      <c r="H6918" t="inlineStr">
        <is>
          <t>Contacted</t>
        </is>
      </c>
      <c r="I6918" t="inlineStr">
        <is>
          <t>Open</t>
        </is>
      </c>
      <c r="M6918">
        <f>VLOOKUP(H6918,'Stage Order'!$A$2:$B$8,2,FALSE)</f>
        <v/>
      </c>
      <c r="N6918">
        <f>IF(G6918&lt;=1,"1. Under 1 hour",IF(G6918&lt;=24,"2. 1-24 hours",IF(G6918&lt;=72,"3. 1-3 days","4. Over 3 days")))</f>
        <v/>
      </c>
      <c r="O6918">
        <f>TEXT(B6918,"YYYY-MM")</f>
        <v/>
      </c>
    </row>
    <row r="6919">
      <c r="A6919" t="inlineStr">
        <is>
          <t>LD-306917</t>
        </is>
      </c>
      <c r="B6919" t="inlineStr">
        <is>
          <t>2025-06-12 12:26:00</t>
        </is>
      </c>
      <c r="C6919" t="inlineStr">
        <is>
          <t>Organic Search</t>
        </is>
      </c>
      <c r="D6919" t="inlineStr">
        <is>
          <t>Competitive Exam Prep</t>
        </is>
      </c>
      <c r="E6919" t="inlineStr">
        <is>
          <t>South Region</t>
        </is>
      </c>
      <c r="F6919" t="inlineStr">
        <is>
          <t>Rep_02</t>
        </is>
      </c>
      <c r="G6919" t="n">
        <v>6.69</v>
      </c>
      <c r="H6919" t="inlineStr">
        <is>
          <t>Closed</t>
        </is>
      </c>
      <c r="I6919" t="inlineStr">
        <is>
          <t>Won</t>
        </is>
      </c>
      <c r="K6919" t="n">
        <v>1078.02</v>
      </c>
      <c r="L6919" t="inlineStr">
        <is>
          <t>2025-07-19 05:38:57.974805</t>
        </is>
      </c>
      <c r="M6919">
        <f>VLOOKUP(H6919,'Stage Order'!$A$2:$B$8,2,FALSE)</f>
        <v/>
      </c>
      <c r="N6919">
        <f>IF(G6919&lt;=1,"1. Under 1 hour",IF(G6919&lt;=24,"2. 1-24 hours",IF(G6919&lt;=72,"3. 1-3 days","4. Over 3 days")))</f>
        <v/>
      </c>
      <c r="O6919">
        <f>TEXT(B6919,"YYYY-MM")</f>
        <v/>
      </c>
    </row>
    <row r="6920">
      <c r="A6920" t="inlineStr">
        <is>
          <t>LD-306918</t>
        </is>
      </c>
      <c r="B6920" t="inlineStr">
        <is>
          <t>2025-06-06 20:40:00</t>
        </is>
      </c>
      <c r="C6920" t="inlineStr">
        <is>
          <t>Social Media</t>
        </is>
      </c>
      <c r="D6920" t="inlineStr">
        <is>
          <t>K-12 Math</t>
        </is>
      </c>
      <c r="E6920" t="inlineStr">
        <is>
          <t>North Region</t>
        </is>
      </c>
      <c r="F6920" t="inlineStr">
        <is>
          <t>Rep_11</t>
        </is>
      </c>
      <c r="G6920" t="n">
        <v>1.21</v>
      </c>
      <c r="H6920" t="inlineStr">
        <is>
          <t>Demo Completed</t>
        </is>
      </c>
      <c r="I6920" t="inlineStr">
        <is>
          <t>Lost</t>
        </is>
      </c>
      <c r="J6920" t="inlineStr">
        <is>
          <t>Bad Timing</t>
        </is>
      </c>
      <c r="K6920" t="n">
        <v>422.58</v>
      </c>
      <c r="L6920" t="inlineStr">
        <is>
          <t>2025-07-09 05:42:00.437190</t>
        </is>
      </c>
      <c r="M6920">
        <f>VLOOKUP(H6920,'Stage Order'!$A$2:$B$8,2,FALSE)</f>
        <v/>
      </c>
      <c r="N6920">
        <f>IF(G6920&lt;=1,"1. Under 1 hour",IF(G6920&lt;=24,"2. 1-24 hours",IF(G6920&lt;=72,"3. 1-3 days","4. Over 3 days")))</f>
        <v/>
      </c>
      <c r="O6920">
        <f>TEXT(B6920,"YYYY-MM")</f>
        <v/>
      </c>
    </row>
    <row r="6921">
      <c r="A6921" t="inlineStr">
        <is>
          <t>LD-306919</t>
        </is>
      </c>
      <c r="B6921" t="inlineStr">
        <is>
          <t>2025-10-03 19:06:00</t>
        </is>
      </c>
      <c r="C6921" t="inlineStr">
        <is>
          <t>Paid Search</t>
        </is>
      </c>
      <c r="D6921" t="inlineStr">
        <is>
          <t>Competitive Exam Prep</t>
        </is>
      </c>
      <c r="E6921" t="inlineStr">
        <is>
          <t>South Region</t>
        </is>
      </c>
      <c r="F6921" t="inlineStr">
        <is>
          <t>Rep_02</t>
        </is>
      </c>
      <c r="G6921" t="n">
        <v>10.85</v>
      </c>
      <c r="H6921" t="inlineStr">
        <is>
          <t>Contacted</t>
        </is>
      </c>
      <c r="I6921" t="inlineStr">
        <is>
          <t>Open</t>
        </is>
      </c>
      <c r="M6921">
        <f>VLOOKUP(H6921,'Stage Order'!$A$2:$B$8,2,FALSE)</f>
        <v/>
      </c>
      <c r="N6921">
        <f>IF(G6921&lt;=1,"1. Under 1 hour",IF(G6921&lt;=24,"2. 1-24 hours",IF(G6921&lt;=72,"3. 1-3 days","4. Over 3 days")))</f>
        <v/>
      </c>
      <c r="O6921">
        <f>TEXT(B6921,"YYYY-MM")</f>
        <v/>
      </c>
    </row>
    <row r="6922">
      <c r="A6922" t="inlineStr">
        <is>
          <t>LD-306920</t>
        </is>
      </c>
      <c r="B6922" t="inlineStr">
        <is>
          <t>2026-01-02 07:02:00</t>
        </is>
      </c>
      <c r="C6922" t="inlineStr">
        <is>
          <t>Paid Search</t>
        </is>
      </c>
      <c r="D6922" t="inlineStr">
        <is>
          <t>Language Learning</t>
        </is>
      </c>
      <c r="E6922" t="inlineStr">
        <is>
          <t>West Region</t>
        </is>
      </c>
      <c r="F6922" t="inlineStr">
        <is>
          <t>Rep_08</t>
        </is>
      </c>
      <c r="G6922" t="n">
        <v>3.72</v>
      </c>
      <c r="H6922" t="inlineStr">
        <is>
          <t>Negotiation</t>
        </is>
      </c>
      <c r="I6922" t="inlineStr">
        <is>
          <t>Lost</t>
        </is>
      </c>
      <c r="J6922" t="inlineStr">
        <is>
          <t>Price Objection</t>
        </is>
      </c>
      <c r="K6922" t="n">
        <v>327.82</v>
      </c>
      <c r="L6922" t="inlineStr">
        <is>
          <t>2026-02-08 19:04:25.229001</t>
        </is>
      </c>
      <c r="M6922">
        <f>VLOOKUP(H6922,'Stage Order'!$A$2:$B$8,2,FALSE)</f>
        <v/>
      </c>
      <c r="N6922">
        <f>IF(G6922&lt;=1,"1. Under 1 hour",IF(G6922&lt;=24,"2. 1-24 hours",IF(G6922&lt;=72,"3. 1-3 days","4. Over 3 days")))</f>
        <v/>
      </c>
      <c r="O6922">
        <f>TEXT(B6922,"YYYY-MM")</f>
        <v/>
      </c>
    </row>
    <row r="6923">
      <c r="A6923" t="inlineStr">
        <is>
          <t>LD-306921</t>
        </is>
      </c>
      <c r="B6923" t="inlineStr">
        <is>
          <t>2025-07-30 08:43:00</t>
        </is>
      </c>
      <c r="C6923" t="inlineStr">
        <is>
          <t>Webinar</t>
        </is>
      </c>
      <c r="D6923" t="inlineStr">
        <is>
          <t>Coding for Kids</t>
        </is>
      </c>
      <c r="E6923" t="inlineStr">
        <is>
          <t>West Region</t>
        </is>
      </c>
      <c r="F6923" t="inlineStr">
        <is>
          <t>Rep_03</t>
        </is>
      </c>
      <c r="G6923" t="n">
        <v>3.03</v>
      </c>
      <c r="H6923" t="inlineStr">
        <is>
          <t>Contacted</t>
        </is>
      </c>
      <c r="I6923" t="inlineStr">
        <is>
          <t>Open</t>
        </is>
      </c>
      <c r="M6923">
        <f>VLOOKUP(H6923,'Stage Order'!$A$2:$B$8,2,FALSE)</f>
        <v/>
      </c>
      <c r="N6923">
        <f>IF(G6923&lt;=1,"1. Under 1 hour",IF(G6923&lt;=24,"2. 1-24 hours",IF(G6923&lt;=72,"3. 1-3 days","4. Over 3 days")))</f>
        <v/>
      </c>
      <c r="O6923">
        <f>TEXT(B6923,"YYYY-MM")</f>
        <v/>
      </c>
    </row>
    <row r="6924">
      <c r="A6924" t="inlineStr">
        <is>
          <t>LD-306922</t>
        </is>
      </c>
      <c r="B6924" t="inlineStr">
        <is>
          <t>2026-03-03 11:59:00</t>
        </is>
      </c>
      <c r="C6924" t="inlineStr">
        <is>
          <t>Partner Channel</t>
        </is>
      </c>
      <c r="D6924" t="inlineStr">
        <is>
          <t>Coding for Kids</t>
        </is>
      </c>
      <c r="E6924" t="inlineStr">
        <is>
          <t>East Region</t>
        </is>
      </c>
      <c r="F6924" t="inlineStr">
        <is>
          <t>Rep_09</t>
        </is>
      </c>
      <c r="G6924" t="n">
        <v>5.89</v>
      </c>
      <c r="H6924" t="inlineStr">
        <is>
          <t>Contacted</t>
        </is>
      </c>
      <c r="I6924" t="inlineStr">
        <is>
          <t>Open</t>
        </is>
      </c>
      <c r="M6924">
        <f>VLOOKUP(H6924,'Stage Order'!$A$2:$B$8,2,FALSE)</f>
        <v/>
      </c>
      <c r="N6924">
        <f>IF(G6924&lt;=1,"1. Under 1 hour",IF(G6924&lt;=24,"2. 1-24 hours",IF(G6924&lt;=72,"3. 1-3 days","4. Over 3 days")))</f>
        <v/>
      </c>
      <c r="O6924">
        <f>TEXT(B6924,"YYYY-MM")</f>
        <v/>
      </c>
    </row>
    <row r="6925">
      <c r="A6925" t="inlineStr">
        <is>
          <t>LD-306923</t>
        </is>
      </c>
      <c r="B6925" t="inlineStr">
        <is>
          <t>2026-03-02 14:41:00</t>
        </is>
      </c>
      <c r="C6925" t="inlineStr">
        <is>
          <t>Organic Search</t>
        </is>
      </c>
      <c r="D6925" t="inlineStr">
        <is>
          <t>K-12 Math</t>
        </is>
      </c>
      <c r="E6925" t="inlineStr">
        <is>
          <t>North Region</t>
        </is>
      </c>
      <c r="F6925" t="inlineStr">
        <is>
          <t>Rep_01</t>
        </is>
      </c>
      <c r="G6925" t="n">
        <v>1.6</v>
      </c>
      <c r="H6925" t="inlineStr">
        <is>
          <t>Contacted</t>
        </is>
      </c>
      <c r="I6925" t="inlineStr">
        <is>
          <t>Open</t>
        </is>
      </c>
      <c r="M6925">
        <f>VLOOKUP(H6925,'Stage Order'!$A$2:$B$8,2,FALSE)</f>
        <v/>
      </c>
      <c r="N6925">
        <f>IF(G6925&lt;=1,"1. Under 1 hour",IF(G6925&lt;=24,"2. 1-24 hours",IF(G6925&lt;=72,"3. 1-3 days","4. Over 3 days")))</f>
        <v/>
      </c>
      <c r="O6925">
        <f>TEXT(B6925,"YYYY-MM")</f>
        <v/>
      </c>
    </row>
    <row r="6926">
      <c r="A6926" t="inlineStr">
        <is>
          <t>LD-306924</t>
        </is>
      </c>
      <c r="B6926" t="inlineStr">
        <is>
          <t>2025-07-18 12:14:00</t>
        </is>
      </c>
      <c r="C6926" t="inlineStr">
        <is>
          <t>Paid Search</t>
        </is>
      </c>
      <c r="D6926" t="inlineStr">
        <is>
          <t>Study Abroad Prep</t>
        </is>
      </c>
      <c r="E6926" t="inlineStr">
        <is>
          <t>West Region</t>
        </is>
      </c>
      <c r="F6926" t="inlineStr">
        <is>
          <t>Rep_08</t>
        </is>
      </c>
      <c r="G6926" t="n">
        <v>0.41</v>
      </c>
      <c r="H6926" t="inlineStr">
        <is>
          <t>Contacted</t>
        </is>
      </c>
      <c r="I6926" t="inlineStr">
        <is>
          <t>Open</t>
        </is>
      </c>
      <c r="M6926">
        <f>VLOOKUP(H6926,'Stage Order'!$A$2:$B$8,2,FALSE)</f>
        <v/>
      </c>
      <c r="N6926">
        <f>IF(G6926&lt;=1,"1. Under 1 hour",IF(G6926&lt;=24,"2. 1-24 hours",IF(G6926&lt;=72,"3. 1-3 days","4. Over 3 days")))</f>
        <v/>
      </c>
      <c r="O6926">
        <f>TEXT(B6926,"YYYY-MM")</f>
        <v/>
      </c>
    </row>
    <row r="6927">
      <c r="A6927" t="inlineStr">
        <is>
          <t>LD-306925</t>
        </is>
      </c>
      <c r="B6927" t="inlineStr">
        <is>
          <t>2025-10-24 08:59:00</t>
        </is>
      </c>
      <c r="C6927" t="inlineStr">
        <is>
          <t>Paid Search</t>
        </is>
      </c>
      <c r="D6927" t="inlineStr">
        <is>
          <t>Competitive Exam Prep</t>
        </is>
      </c>
      <c r="E6927" t="inlineStr">
        <is>
          <t>West Region</t>
        </is>
      </c>
      <c r="F6927" t="inlineStr">
        <is>
          <t>Rep_08</t>
        </is>
      </c>
      <c r="G6927" t="n">
        <v>5.67</v>
      </c>
      <c r="H6927" t="inlineStr">
        <is>
          <t>Contacted</t>
        </is>
      </c>
      <c r="I6927" t="inlineStr">
        <is>
          <t>Open</t>
        </is>
      </c>
      <c r="M6927">
        <f>VLOOKUP(H6927,'Stage Order'!$A$2:$B$8,2,FALSE)</f>
        <v/>
      </c>
      <c r="N6927">
        <f>IF(G6927&lt;=1,"1. Under 1 hour",IF(G6927&lt;=24,"2. 1-24 hours",IF(G6927&lt;=72,"3. 1-3 days","4. Over 3 days")))</f>
        <v/>
      </c>
      <c r="O6927">
        <f>TEXT(B6927,"YYYY-MM")</f>
        <v/>
      </c>
    </row>
    <row r="6928">
      <c r="A6928" t="inlineStr">
        <is>
          <t>LD-306926</t>
        </is>
      </c>
      <c r="B6928" t="inlineStr">
        <is>
          <t>2026-05-02 07:39:00</t>
        </is>
      </c>
      <c r="C6928" t="inlineStr">
        <is>
          <t>Webinar</t>
        </is>
      </c>
      <c r="D6928" t="inlineStr">
        <is>
          <t>Coding for Kids</t>
        </is>
      </c>
      <c r="E6928" t="inlineStr">
        <is>
          <t>International</t>
        </is>
      </c>
      <c r="F6928" t="inlineStr">
        <is>
          <t>Rep_05</t>
        </is>
      </c>
      <c r="G6928" t="n">
        <v>0.64</v>
      </c>
      <c r="H6928" t="inlineStr">
        <is>
          <t>Closed</t>
        </is>
      </c>
      <c r="I6928" t="inlineStr">
        <is>
          <t>Won</t>
        </is>
      </c>
      <c r="K6928" t="n">
        <v>672.5</v>
      </c>
      <c r="L6928" t="inlineStr">
        <is>
          <t>2026-05-24 13:48:37.258425</t>
        </is>
      </c>
      <c r="M6928">
        <f>VLOOKUP(H6928,'Stage Order'!$A$2:$B$8,2,FALSE)</f>
        <v/>
      </c>
      <c r="N6928">
        <f>IF(G6928&lt;=1,"1. Under 1 hour",IF(G6928&lt;=24,"2. 1-24 hours",IF(G6928&lt;=72,"3. 1-3 days","4. Over 3 days")))</f>
        <v/>
      </c>
      <c r="O6928">
        <f>TEXT(B6928,"YYYY-MM")</f>
        <v/>
      </c>
    </row>
    <row r="6929">
      <c r="A6929" t="inlineStr">
        <is>
          <t>LD-306927</t>
        </is>
      </c>
      <c r="B6929" t="inlineStr">
        <is>
          <t>2026-06-02 15:00:00</t>
        </is>
      </c>
      <c r="C6929" t="inlineStr">
        <is>
          <t>Referral</t>
        </is>
      </c>
      <c r="D6929" t="inlineStr">
        <is>
          <t>K-12 Math</t>
        </is>
      </c>
      <c r="E6929" t="inlineStr">
        <is>
          <t>West Region</t>
        </is>
      </c>
      <c r="F6929" t="inlineStr">
        <is>
          <t>Rep_08</t>
        </is>
      </c>
      <c r="G6929" t="n">
        <v>4.2</v>
      </c>
      <c r="H6929" t="inlineStr">
        <is>
          <t>Closed</t>
        </is>
      </c>
      <c r="I6929" t="inlineStr">
        <is>
          <t>Won</t>
        </is>
      </c>
      <c r="K6929" t="n">
        <v>589.76</v>
      </c>
      <c r="L6929" t="inlineStr">
        <is>
          <t>2026-07-09 20:42:29.991347</t>
        </is>
      </c>
      <c r="M6929">
        <f>VLOOKUP(H6929,'Stage Order'!$A$2:$B$8,2,FALSE)</f>
        <v/>
      </c>
      <c r="N6929">
        <f>IF(G6929&lt;=1,"1. Under 1 hour",IF(G6929&lt;=24,"2. 1-24 hours",IF(G6929&lt;=72,"3. 1-3 days","4. Over 3 days")))</f>
        <v/>
      </c>
      <c r="O6929">
        <f>TEXT(B6929,"YYYY-MM")</f>
        <v/>
      </c>
    </row>
    <row r="6930">
      <c r="A6930" t="inlineStr">
        <is>
          <t>LD-306928</t>
        </is>
      </c>
      <c r="B6930" t="inlineStr">
        <is>
          <t>2026-01-09 18:37:00</t>
        </is>
      </c>
      <c r="C6930" t="inlineStr">
        <is>
          <t>Referral</t>
        </is>
      </c>
      <c r="D6930" t="inlineStr">
        <is>
          <t>K-12 Math</t>
        </is>
      </c>
      <c r="E6930" t="inlineStr">
        <is>
          <t>South Region</t>
        </is>
      </c>
      <c r="F6930" t="inlineStr">
        <is>
          <t>Rep_07</t>
        </is>
      </c>
      <c r="G6930" t="n">
        <v>4.81</v>
      </c>
      <c r="H6930" t="inlineStr">
        <is>
          <t>Contacted</t>
        </is>
      </c>
      <c r="I6930" t="inlineStr">
        <is>
          <t>Open</t>
        </is>
      </c>
      <c r="M6930">
        <f>VLOOKUP(H6930,'Stage Order'!$A$2:$B$8,2,FALSE)</f>
        <v/>
      </c>
      <c r="N6930">
        <f>IF(G6930&lt;=1,"1. Under 1 hour",IF(G6930&lt;=24,"2. 1-24 hours",IF(G6930&lt;=72,"3. 1-3 days","4. Over 3 days")))</f>
        <v/>
      </c>
      <c r="O6930">
        <f>TEXT(B6930,"YYYY-MM")</f>
        <v/>
      </c>
    </row>
    <row r="6931">
      <c r="A6931" t="inlineStr">
        <is>
          <t>LD-306929</t>
        </is>
      </c>
      <c r="B6931" t="inlineStr">
        <is>
          <t>2025-05-23 15:52:00</t>
        </is>
      </c>
      <c r="C6931" t="inlineStr">
        <is>
          <t>Social Media</t>
        </is>
      </c>
      <c r="D6931" t="inlineStr">
        <is>
          <t>Study Abroad Prep</t>
        </is>
      </c>
      <c r="E6931" t="inlineStr">
        <is>
          <t>North Region</t>
        </is>
      </c>
      <c r="F6931" t="inlineStr">
        <is>
          <t>Rep_06</t>
        </is>
      </c>
      <c r="G6931" t="n">
        <v>21.16</v>
      </c>
      <c r="H6931" t="inlineStr">
        <is>
          <t>Lead</t>
        </is>
      </c>
      <c r="I6931" t="inlineStr">
        <is>
          <t>Open</t>
        </is>
      </c>
      <c r="M6931">
        <f>VLOOKUP(H6931,'Stage Order'!$A$2:$B$8,2,FALSE)</f>
        <v/>
      </c>
      <c r="N6931">
        <f>IF(G6931&lt;=1,"1. Under 1 hour",IF(G6931&lt;=24,"2. 1-24 hours",IF(G6931&lt;=72,"3. 1-3 days","4. Over 3 days")))</f>
        <v/>
      </c>
      <c r="O6931">
        <f>TEXT(B6931,"YYYY-MM")</f>
        <v/>
      </c>
    </row>
    <row r="6932">
      <c r="A6932" t="inlineStr">
        <is>
          <t>LD-306930</t>
        </is>
      </c>
      <c r="B6932" t="inlineStr">
        <is>
          <t>2025-10-03 17:14:00</t>
        </is>
      </c>
      <c r="C6932" t="inlineStr">
        <is>
          <t>Partner Channel</t>
        </is>
      </c>
      <c r="D6932" t="inlineStr">
        <is>
          <t>K-12 Math</t>
        </is>
      </c>
      <c r="E6932" t="inlineStr">
        <is>
          <t>West Region</t>
        </is>
      </c>
      <c r="F6932" t="inlineStr">
        <is>
          <t>Rep_03</t>
        </is>
      </c>
      <c r="G6932" t="n">
        <v>5.45</v>
      </c>
      <c r="H6932" t="inlineStr">
        <is>
          <t>Contacted</t>
        </is>
      </c>
      <c r="I6932" t="inlineStr">
        <is>
          <t>Open</t>
        </is>
      </c>
      <c r="M6932">
        <f>VLOOKUP(H6932,'Stage Order'!$A$2:$B$8,2,FALSE)</f>
        <v/>
      </c>
      <c r="N6932">
        <f>IF(G6932&lt;=1,"1. Under 1 hour",IF(G6932&lt;=24,"2. 1-24 hours",IF(G6932&lt;=72,"3. 1-3 days","4. Over 3 days")))</f>
        <v/>
      </c>
      <c r="O6932">
        <f>TEXT(B6932,"YYYY-MM")</f>
        <v/>
      </c>
    </row>
    <row r="6933">
      <c r="A6933" t="inlineStr">
        <is>
          <t>LD-306931</t>
        </is>
      </c>
      <c r="B6933" t="inlineStr">
        <is>
          <t>2025-10-10 19:44:00</t>
        </is>
      </c>
      <c r="C6933" t="inlineStr">
        <is>
          <t>Organic Search</t>
        </is>
      </c>
      <c r="D6933" t="inlineStr">
        <is>
          <t>Study Abroad Prep</t>
        </is>
      </c>
      <c r="E6933" t="inlineStr">
        <is>
          <t>East Region</t>
        </is>
      </c>
      <c r="F6933" t="inlineStr">
        <is>
          <t>Rep_09</t>
        </is>
      </c>
      <c r="G6933" t="n">
        <v>4.69</v>
      </c>
      <c r="H6933" t="inlineStr">
        <is>
          <t>Contacted</t>
        </is>
      </c>
      <c r="I6933" t="inlineStr">
        <is>
          <t>Open</t>
        </is>
      </c>
      <c r="M6933">
        <f>VLOOKUP(H6933,'Stage Order'!$A$2:$B$8,2,FALSE)</f>
        <v/>
      </c>
      <c r="N6933">
        <f>IF(G6933&lt;=1,"1. Under 1 hour",IF(G6933&lt;=24,"2. 1-24 hours",IF(G6933&lt;=72,"3. 1-3 days","4. Over 3 days")))</f>
        <v/>
      </c>
      <c r="O6933">
        <f>TEXT(B6933,"YYYY-MM")</f>
        <v/>
      </c>
    </row>
    <row r="6934">
      <c r="A6934" t="inlineStr">
        <is>
          <t>LD-306932</t>
        </is>
      </c>
      <c r="B6934" t="inlineStr">
        <is>
          <t>2025-05-11 17:29:00</t>
        </is>
      </c>
      <c r="C6934" t="inlineStr">
        <is>
          <t>Partner Channel</t>
        </is>
      </c>
      <c r="D6934" t="inlineStr">
        <is>
          <t>Study Abroad Prep</t>
        </is>
      </c>
      <c r="E6934" t="inlineStr">
        <is>
          <t>South Region</t>
        </is>
      </c>
      <c r="F6934" t="inlineStr">
        <is>
          <t>Rep_02</t>
        </is>
      </c>
      <c r="G6934" t="n">
        <v>6.48</v>
      </c>
      <c r="H6934" t="inlineStr">
        <is>
          <t>Contacted</t>
        </is>
      </c>
      <c r="I6934" t="inlineStr">
        <is>
          <t>Open</t>
        </is>
      </c>
      <c r="M6934">
        <f>VLOOKUP(H6934,'Stage Order'!$A$2:$B$8,2,FALSE)</f>
        <v/>
      </c>
      <c r="N6934">
        <f>IF(G6934&lt;=1,"1. Under 1 hour",IF(G6934&lt;=24,"2. 1-24 hours",IF(G6934&lt;=72,"3. 1-3 days","4. Over 3 days")))</f>
        <v/>
      </c>
      <c r="O6934">
        <f>TEXT(B6934,"YYYY-MM")</f>
        <v/>
      </c>
    </row>
    <row r="6935">
      <c r="A6935" t="inlineStr">
        <is>
          <t>LD-306933</t>
        </is>
      </c>
      <c r="B6935" t="inlineStr">
        <is>
          <t>2025-09-19 11:57:00</t>
        </is>
      </c>
      <c r="C6935" t="inlineStr">
        <is>
          <t>Organic Search</t>
        </is>
      </c>
      <c r="D6935" t="inlineStr">
        <is>
          <t>Competitive Exam Prep</t>
        </is>
      </c>
      <c r="E6935" t="inlineStr">
        <is>
          <t>West Region</t>
        </is>
      </c>
      <c r="F6935" t="inlineStr">
        <is>
          <t>Rep_08</t>
        </is>
      </c>
      <c r="G6935" t="n">
        <v>9.369999999999999</v>
      </c>
      <c r="H6935" t="inlineStr">
        <is>
          <t>Contacted</t>
        </is>
      </c>
      <c r="I6935" t="inlineStr">
        <is>
          <t>Open</t>
        </is>
      </c>
      <c r="M6935">
        <f>VLOOKUP(H6935,'Stage Order'!$A$2:$B$8,2,FALSE)</f>
        <v/>
      </c>
      <c r="N6935">
        <f>IF(G6935&lt;=1,"1. Under 1 hour",IF(G6935&lt;=24,"2. 1-24 hours",IF(G6935&lt;=72,"3. 1-3 days","4. Over 3 days")))</f>
        <v/>
      </c>
      <c r="O6935">
        <f>TEXT(B6935,"YYYY-MM")</f>
        <v/>
      </c>
    </row>
    <row r="6936">
      <c r="A6936" t="inlineStr">
        <is>
          <t>LD-306934</t>
        </is>
      </c>
      <c r="B6936" t="inlineStr">
        <is>
          <t>2025-10-12 19:17:00</t>
        </is>
      </c>
      <c r="C6936" t="inlineStr">
        <is>
          <t>Partner Channel</t>
        </is>
      </c>
      <c r="D6936" t="inlineStr">
        <is>
          <t>Language Learning</t>
        </is>
      </c>
      <c r="E6936" t="inlineStr">
        <is>
          <t>South Region</t>
        </is>
      </c>
      <c r="F6936" t="inlineStr">
        <is>
          <t>Rep_12</t>
        </is>
      </c>
      <c r="G6936" t="n">
        <v>3.85</v>
      </c>
      <c r="H6936" t="inlineStr">
        <is>
          <t>Contacted</t>
        </is>
      </c>
      <c r="I6936" t="inlineStr">
        <is>
          <t>Open</t>
        </is>
      </c>
      <c r="M6936">
        <f>VLOOKUP(H6936,'Stage Order'!$A$2:$B$8,2,FALSE)</f>
        <v/>
      </c>
      <c r="N6936">
        <f>IF(G6936&lt;=1,"1. Under 1 hour",IF(G6936&lt;=24,"2. 1-24 hours",IF(G6936&lt;=72,"3. 1-3 days","4. Over 3 days")))</f>
        <v/>
      </c>
      <c r="O6936">
        <f>TEXT(B6936,"YYYY-MM")</f>
        <v/>
      </c>
    </row>
    <row r="6937">
      <c r="A6937" t="inlineStr">
        <is>
          <t>LD-306935</t>
        </is>
      </c>
      <c r="B6937" t="inlineStr">
        <is>
          <t>2025-11-17 10:39:00</t>
        </is>
      </c>
      <c r="C6937" t="inlineStr">
        <is>
          <t>Paid Search</t>
        </is>
      </c>
      <c r="D6937" t="inlineStr">
        <is>
          <t>K-12 Math</t>
        </is>
      </c>
      <c r="E6937" t="inlineStr">
        <is>
          <t>West Region</t>
        </is>
      </c>
      <c r="F6937" t="inlineStr">
        <is>
          <t>Rep_08</t>
        </is>
      </c>
      <c r="G6937" t="n">
        <v>1.02</v>
      </c>
      <c r="H6937" t="inlineStr">
        <is>
          <t>Lead</t>
        </is>
      </c>
      <c r="I6937" t="inlineStr">
        <is>
          <t>Open</t>
        </is>
      </c>
      <c r="M6937">
        <f>VLOOKUP(H6937,'Stage Order'!$A$2:$B$8,2,FALSE)</f>
        <v/>
      </c>
      <c r="N6937">
        <f>IF(G6937&lt;=1,"1. Under 1 hour",IF(G6937&lt;=24,"2. 1-24 hours",IF(G6937&lt;=72,"3. 1-3 days","4. Over 3 days")))</f>
        <v/>
      </c>
      <c r="O6937">
        <f>TEXT(B6937,"YYYY-MM")</f>
        <v/>
      </c>
    </row>
    <row r="6938">
      <c r="A6938" t="inlineStr">
        <is>
          <t>LD-306936</t>
        </is>
      </c>
      <c r="B6938" t="inlineStr">
        <is>
          <t>2025-04-29 17:54:00</t>
        </is>
      </c>
      <c r="C6938" t="inlineStr">
        <is>
          <t>Cold Outreach</t>
        </is>
      </c>
      <c r="D6938" t="inlineStr">
        <is>
          <t>K-12 Math</t>
        </is>
      </c>
      <c r="E6938" t="inlineStr">
        <is>
          <t>North Region</t>
        </is>
      </c>
      <c r="F6938" t="inlineStr">
        <is>
          <t>Rep_06</t>
        </is>
      </c>
      <c r="G6938" t="n">
        <v>7.19</v>
      </c>
      <c r="H6938" t="inlineStr">
        <is>
          <t>Contacted</t>
        </is>
      </c>
      <c r="I6938" t="inlineStr">
        <is>
          <t>Open</t>
        </is>
      </c>
      <c r="M6938">
        <f>VLOOKUP(H6938,'Stage Order'!$A$2:$B$8,2,FALSE)</f>
        <v/>
      </c>
      <c r="N6938">
        <f>IF(G6938&lt;=1,"1. Under 1 hour",IF(G6938&lt;=24,"2. 1-24 hours",IF(G6938&lt;=72,"3. 1-3 days","4. Over 3 days")))</f>
        <v/>
      </c>
      <c r="O6938">
        <f>TEXT(B6938,"YYYY-MM")</f>
        <v/>
      </c>
    </row>
    <row r="6939">
      <c r="A6939" t="inlineStr">
        <is>
          <t>LD-306937</t>
        </is>
      </c>
      <c r="B6939" t="inlineStr">
        <is>
          <t>2025-12-19 11:16:00</t>
        </is>
      </c>
      <c r="C6939" t="inlineStr">
        <is>
          <t>Social Media</t>
        </is>
      </c>
      <c r="D6939" t="inlineStr">
        <is>
          <t>Coding for Kids</t>
        </is>
      </c>
      <c r="E6939" t="inlineStr">
        <is>
          <t>West Region</t>
        </is>
      </c>
      <c r="F6939" t="inlineStr">
        <is>
          <t>Rep_08</t>
        </is>
      </c>
      <c r="G6939" t="n">
        <v>11.71</v>
      </c>
      <c r="H6939" t="inlineStr">
        <is>
          <t>Contacted</t>
        </is>
      </c>
      <c r="I6939" t="inlineStr">
        <is>
          <t>Open</t>
        </is>
      </c>
      <c r="M6939">
        <f>VLOOKUP(H6939,'Stage Order'!$A$2:$B$8,2,FALSE)</f>
        <v/>
      </c>
      <c r="N6939">
        <f>IF(G6939&lt;=1,"1. Under 1 hour",IF(G6939&lt;=24,"2. 1-24 hours",IF(G6939&lt;=72,"3. 1-3 days","4. Over 3 days")))</f>
        <v/>
      </c>
      <c r="O6939">
        <f>TEXT(B6939,"YYYY-MM")</f>
        <v/>
      </c>
    </row>
    <row r="6940">
      <c r="A6940" t="inlineStr">
        <is>
          <t>LD-306938</t>
        </is>
      </c>
      <c r="B6940" t="inlineStr">
        <is>
          <t>2025-04-15 17:18:00</t>
        </is>
      </c>
      <c r="C6940" t="inlineStr">
        <is>
          <t>Referral</t>
        </is>
      </c>
      <c r="D6940" t="inlineStr">
        <is>
          <t>Competitive Exam Prep</t>
        </is>
      </c>
      <c r="E6940" t="inlineStr">
        <is>
          <t>North Region</t>
        </is>
      </c>
      <c r="F6940" t="inlineStr">
        <is>
          <t>Rep_06</t>
        </is>
      </c>
      <c r="G6940" t="n">
        <v>0.86</v>
      </c>
      <c r="H6940" t="inlineStr">
        <is>
          <t>Contacted</t>
        </is>
      </c>
      <c r="I6940" t="inlineStr">
        <is>
          <t>Open</t>
        </is>
      </c>
      <c r="M6940">
        <f>VLOOKUP(H6940,'Stage Order'!$A$2:$B$8,2,FALSE)</f>
        <v/>
      </c>
      <c r="N6940">
        <f>IF(G6940&lt;=1,"1. Under 1 hour",IF(G6940&lt;=24,"2. 1-24 hours",IF(G6940&lt;=72,"3. 1-3 days","4. Over 3 days")))</f>
        <v/>
      </c>
      <c r="O6940">
        <f>TEXT(B6940,"YYYY-MM")</f>
        <v/>
      </c>
    </row>
    <row r="6941">
      <c r="A6941" t="inlineStr">
        <is>
          <t>LD-306939</t>
        </is>
      </c>
      <c r="B6941" t="inlineStr">
        <is>
          <t>2025-10-12 20:45:00</t>
        </is>
      </c>
      <c r="C6941" t="inlineStr">
        <is>
          <t>Social Media</t>
        </is>
      </c>
      <c r="D6941" t="inlineStr">
        <is>
          <t>Competitive Exam Prep</t>
        </is>
      </c>
      <c r="E6941" t="inlineStr">
        <is>
          <t>International</t>
        </is>
      </c>
      <c r="F6941" t="inlineStr">
        <is>
          <t>Rep_10</t>
        </is>
      </c>
      <c r="G6941" t="n">
        <v>4.31</v>
      </c>
      <c r="H6941" t="inlineStr">
        <is>
          <t>Contacted</t>
        </is>
      </c>
      <c r="I6941" t="inlineStr">
        <is>
          <t>Open</t>
        </is>
      </c>
      <c r="M6941">
        <f>VLOOKUP(H6941,'Stage Order'!$A$2:$B$8,2,FALSE)</f>
        <v/>
      </c>
      <c r="N6941">
        <f>IF(G6941&lt;=1,"1. Under 1 hour",IF(G6941&lt;=24,"2. 1-24 hours",IF(G6941&lt;=72,"3. 1-3 days","4. Over 3 days")))</f>
        <v/>
      </c>
      <c r="O6941">
        <f>TEXT(B6941,"YYYY-MM")</f>
        <v/>
      </c>
    </row>
    <row r="6942">
      <c r="A6942" t="inlineStr">
        <is>
          <t>LD-306940</t>
        </is>
      </c>
      <c r="B6942" t="inlineStr">
        <is>
          <t>2025-04-09 07:40:00</t>
        </is>
      </c>
      <c r="C6942" t="inlineStr">
        <is>
          <t>Cold Outreach</t>
        </is>
      </c>
      <c r="D6942" t="inlineStr">
        <is>
          <t>K-12 Math</t>
        </is>
      </c>
      <c r="E6942" t="inlineStr">
        <is>
          <t>West Region</t>
        </is>
      </c>
      <c r="F6942" t="inlineStr">
        <is>
          <t>Rep_03</t>
        </is>
      </c>
      <c r="G6942" t="n">
        <v>2.89</v>
      </c>
      <c r="H6942" t="inlineStr">
        <is>
          <t>Contacted</t>
        </is>
      </c>
      <c r="I6942" t="inlineStr">
        <is>
          <t>Open</t>
        </is>
      </c>
      <c r="M6942">
        <f>VLOOKUP(H6942,'Stage Order'!$A$2:$B$8,2,FALSE)</f>
        <v/>
      </c>
      <c r="N6942">
        <f>IF(G6942&lt;=1,"1. Under 1 hour",IF(G6942&lt;=24,"2. 1-24 hours",IF(G6942&lt;=72,"3. 1-3 days","4. Over 3 days")))</f>
        <v/>
      </c>
      <c r="O6942">
        <f>TEXT(B6942,"YYYY-MM")</f>
        <v/>
      </c>
    </row>
    <row r="6943">
      <c r="A6943" t="inlineStr">
        <is>
          <t>LD-306941</t>
        </is>
      </c>
      <c r="B6943" t="inlineStr">
        <is>
          <t>2025-12-24 10:02:00</t>
        </is>
      </c>
      <c r="C6943" t="inlineStr">
        <is>
          <t>Social Media</t>
        </is>
      </c>
      <c r="D6943" t="inlineStr">
        <is>
          <t>K-12 Math</t>
        </is>
      </c>
      <c r="E6943" t="inlineStr">
        <is>
          <t>South Region</t>
        </is>
      </c>
      <c r="F6943" t="inlineStr">
        <is>
          <t>Rep_07</t>
        </is>
      </c>
      <c r="G6943" t="n">
        <v>0.55</v>
      </c>
      <c r="H6943" t="inlineStr">
        <is>
          <t>Contacted</t>
        </is>
      </c>
      <c r="I6943" t="inlineStr">
        <is>
          <t>Open</t>
        </is>
      </c>
      <c r="M6943">
        <f>VLOOKUP(H6943,'Stage Order'!$A$2:$B$8,2,FALSE)</f>
        <v/>
      </c>
      <c r="N6943">
        <f>IF(G6943&lt;=1,"1. Under 1 hour",IF(G6943&lt;=24,"2. 1-24 hours",IF(G6943&lt;=72,"3. 1-3 days","4. Over 3 days")))</f>
        <v/>
      </c>
      <c r="O6943">
        <f>TEXT(B6943,"YYYY-MM")</f>
        <v/>
      </c>
    </row>
    <row r="6944">
      <c r="A6944" t="inlineStr">
        <is>
          <t>LD-306942</t>
        </is>
      </c>
      <c r="B6944" t="inlineStr">
        <is>
          <t>2026-02-24 12:44:00</t>
        </is>
      </c>
      <c r="C6944" t="inlineStr">
        <is>
          <t>Social Media</t>
        </is>
      </c>
      <c r="D6944" t="inlineStr">
        <is>
          <t>Language Learning</t>
        </is>
      </c>
      <c r="E6944" t="inlineStr">
        <is>
          <t>North Region</t>
        </is>
      </c>
      <c r="F6944" t="inlineStr">
        <is>
          <t>Rep_01</t>
        </is>
      </c>
      <c r="G6944" t="n">
        <v>5.22</v>
      </c>
      <c r="H6944" t="inlineStr">
        <is>
          <t>Lead</t>
        </is>
      </c>
      <c r="I6944" t="inlineStr">
        <is>
          <t>Open</t>
        </is>
      </c>
      <c r="M6944">
        <f>VLOOKUP(H6944,'Stage Order'!$A$2:$B$8,2,FALSE)</f>
        <v/>
      </c>
      <c r="N6944">
        <f>IF(G6944&lt;=1,"1. Under 1 hour",IF(G6944&lt;=24,"2. 1-24 hours",IF(G6944&lt;=72,"3. 1-3 days","4. Over 3 days")))</f>
        <v/>
      </c>
      <c r="O6944">
        <f>TEXT(B6944,"YYYY-MM")</f>
        <v/>
      </c>
    </row>
    <row r="6945">
      <c r="A6945" t="inlineStr">
        <is>
          <t>LD-306943</t>
        </is>
      </c>
      <c r="B6945" t="inlineStr">
        <is>
          <t>2025-05-26 13:14:00</t>
        </is>
      </c>
      <c r="C6945" t="inlineStr">
        <is>
          <t>Paid Search</t>
        </is>
      </c>
      <c r="D6945" t="inlineStr">
        <is>
          <t>Competitive Exam Prep</t>
        </is>
      </c>
      <c r="E6945" t="inlineStr">
        <is>
          <t>South Region</t>
        </is>
      </c>
      <c r="F6945" t="inlineStr">
        <is>
          <t>Rep_02</t>
        </is>
      </c>
      <c r="G6945" t="n">
        <v>2.68</v>
      </c>
      <c r="H6945" t="inlineStr">
        <is>
          <t>Contacted</t>
        </is>
      </c>
      <c r="I6945" t="inlineStr">
        <is>
          <t>Open</t>
        </is>
      </c>
      <c r="M6945">
        <f>VLOOKUP(H6945,'Stage Order'!$A$2:$B$8,2,FALSE)</f>
        <v/>
      </c>
      <c r="N6945">
        <f>IF(G6945&lt;=1,"1. Under 1 hour",IF(G6945&lt;=24,"2. 1-24 hours",IF(G6945&lt;=72,"3. 1-3 days","4. Over 3 days")))</f>
        <v/>
      </c>
      <c r="O6945">
        <f>TEXT(B6945,"YYYY-MM")</f>
        <v/>
      </c>
    </row>
    <row r="6946">
      <c r="A6946" t="inlineStr">
        <is>
          <t>LD-306944</t>
        </is>
      </c>
      <c r="B6946" t="inlineStr">
        <is>
          <t>2025-10-18 14:20:00</t>
        </is>
      </c>
      <c r="C6946" t="inlineStr">
        <is>
          <t>Webinar</t>
        </is>
      </c>
      <c r="D6946" t="inlineStr">
        <is>
          <t>Study Abroad Prep</t>
        </is>
      </c>
      <c r="E6946" t="inlineStr">
        <is>
          <t>North Region</t>
        </is>
      </c>
      <c r="F6946" t="inlineStr">
        <is>
          <t>Rep_06</t>
        </is>
      </c>
      <c r="G6946" t="n">
        <v>5.78</v>
      </c>
      <c r="H6946" t="inlineStr">
        <is>
          <t>Contacted</t>
        </is>
      </c>
      <c r="I6946" t="inlineStr">
        <is>
          <t>Open</t>
        </is>
      </c>
      <c r="M6946">
        <f>VLOOKUP(H6946,'Stage Order'!$A$2:$B$8,2,FALSE)</f>
        <v/>
      </c>
      <c r="N6946">
        <f>IF(G6946&lt;=1,"1. Under 1 hour",IF(G6946&lt;=24,"2. 1-24 hours",IF(G6946&lt;=72,"3. 1-3 days","4. Over 3 days")))</f>
        <v/>
      </c>
      <c r="O6946">
        <f>TEXT(B6946,"YYYY-MM")</f>
        <v/>
      </c>
    </row>
    <row r="6947">
      <c r="A6947" t="inlineStr">
        <is>
          <t>LD-306945</t>
        </is>
      </c>
      <c r="B6947" t="inlineStr">
        <is>
          <t>2025-01-27 10:37:00</t>
        </is>
      </c>
      <c r="C6947" t="inlineStr">
        <is>
          <t>Referral</t>
        </is>
      </c>
      <c r="D6947" t="inlineStr">
        <is>
          <t>Competitive Exam Prep</t>
        </is>
      </c>
      <c r="E6947" t="inlineStr">
        <is>
          <t>North Region</t>
        </is>
      </c>
      <c r="F6947" t="inlineStr">
        <is>
          <t>Rep_06</t>
        </is>
      </c>
      <c r="G6947" t="n">
        <v>2.64</v>
      </c>
      <c r="H6947" t="inlineStr">
        <is>
          <t>Contacted</t>
        </is>
      </c>
      <c r="I6947" t="inlineStr">
        <is>
          <t>Open</t>
        </is>
      </c>
      <c r="M6947">
        <f>VLOOKUP(H6947,'Stage Order'!$A$2:$B$8,2,FALSE)</f>
        <v/>
      </c>
      <c r="N6947">
        <f>IF(G6947&lt;=1,"1. Under 1 hour",IF(G6947&lt;=24,"2. 1-24 hours",IF(G6947&lt;=72,"3. 1-3 days","4. Over 3 days")))</f>
        <v/>
      </c>
      <c r="O6947">
        <f>TEXT(B6947,"YYYY-MM")</f>
        <v/>
      </c>
    </row>
    <row r="6948">
      <c r="A6948" t="inlineStr">
        <is>
          <t>LD-306946</t>
        </is>
      </c>
      <c r="B6948" t="inlineStr">
        <is>
          <t>2026-02-14 12:10:00</t>
        </is>
      </c>
      <c r="C6948" t="inlineStr">
        <is>
          <t>Paid Search</t>
        </is>
      </c>
      <c r="D6948" t="inlineStr">
        <is>
          <t>K-12 Math</t>
        </is>
      </c>
      <c r="E6948" t="inlineStr">
        <is>
          <t>North Region</t>
        </is>
      </c>
      <c r="F6948" t="inlineStr">
        <is>
          <t>Rep_11</t>
        </is>
      </c>
      <c r="G6948" t="n">
        <v>1.69</v>
      </c>
      <c r="H6948" t="inlineStr">
        <is>
          <t>Demo Completed</t>
        </is>
      </c>
      <c r="I6948" t="inlineStr">
        <is>
          <t>Lost</t>
        </is>
      </c>
      <c r="J6948" t="inlineStr">
        <is>
          <t>Went With Competitor</t>
        </is>
      </c>
      <c r="K6948" t="n">
        <v>415.26</v>
      </c>
      <c r="L6948" t="inlineStr">
        <is>
          <t>2026-03-25 13:13:08.663507</t>
        </is>
      </c>
      <c r="M6948">
        <f>VLOOKUP(H6948,'Stage Order'!$A$2:$B$8,2,FALSE)</f>
        <v/>
      </c>
      <c r="N6948">
        <f>IF(G6948&lt;=1,"1. Under 1 hour",IF(G6948&lt;=24,"2. 1-24 hours",IF(G6948&lt;=72,"3. 1-3 days","4. Over 3 days")))</f>
        <v/>
      </c>
      <c r="O6948">
        <f>TEXT(B6948,"YYYY-MM")</f>
        <v/>
      </c>
    </row>
    <row r="6949">
      <c r="A6949" t="inlineStr">
        <is>
          <t>LD-306947</t>
        </is>
      </c>
      <c r="B6949" t="inlineStr">
        <is>
          <t>2026-01-15 12:29:00</t>
        </is>
      </c>
      <c r="C6949" t="inlineStr">
        <is>
          <t>Social Media</t>
        </is>
      </c>
      <c r="D6949" t="inlineStr">
        <is>
          <t>K-12 Math</t>
        </is>
      </c>
      <c r="E6949" t="inlineStr">
        <is>
          <t>West Region</t>
        </is>
      </c>
      <c r="F6949" t="inlineStr">
        <is>
          <t>Rep_03</t>
        </is>
      </c>
      <c r="G6949" t="n">
        <v>1.09</v>
      </c>
      <c r="H6949" t="inlineStr">
        <is>
          <t>Contacted</t>
        </is>
      </c>
      <c r="I6949" t="inlineStr">
        <is>
          <t>Open</t>
        </is>
      </c>
      <c r="M6949">
        <f>VLOOKUP(H6949,'Stage Order'!$A$2:$B$8,2,FALSE)</f>
        <v/>
      </c>
      <c r="N6949">
        <f>IF(G6949&lt;=1,"1. Under 1 hour",IF(G6949&lt;=24,"2. 1-24 hours",IF(G6949&lt;=72,"3. 1-3 days","4. Over 3 days")))</f>
        <v/>
      </c>
      <c r="O6949">
        <f>TEXT(B6949,"YYYY-MM")</f>
        <v/>
      </c>
    </row>
    <row r="6950">
      <c r="A6950" t="inlineStr">
        <is>
          <t>LD-306948</t>
        </is>
      </c>
      <c r="B6950" t="inlineStr">
        <is>
          <t>2025-11-02 17:52:00</t>
        </is>
      </c>
      <c r="C6950" t="inlineStr">
        <is>
          <t>Cold Outreach</t>
        </is>
      </c>
      <c r="D6950" t="inlineStr">
        <is>
          <t>Study Abroad Prep</t>
        </is>
      </c>
      <c r="E6950" t="inlineStr">
        <is>
          <t>East Region</t>
        </is>
      </c>
      <c r="F6950" t="inlineStr">
        <is>
          <t>Rep_09</t>
        </is>
      </c>
      <c r="G6950" t="n">
        <v>2.2</v>
      </c>
      <c r="H6950" t="inlineStr">
        <is>
          <t>Demo Scheduled</t>
        </is>
      </c>
      <c r="I6950" t="inlineStr">
        <is>
          <t>Open</t>
        </is>
      </c>
      <c r="M6950">
        <f>VLOOKUP(H6950,'Stage Order'!$A$2:$B$8,2,FALSE)</f>
        <v/>
      </c>
      <c r="N6950">
        <f>IF(G6950&lt;=1,"1. Under 1 hour",IF(G6950&lt;=24,"2. 1-24 hours",IF(G6950&lt;=72,"3. 1-3 days","4. Over 3 days")))</f>
        <v/>
      </c>
      <c r="O6950">
        <f>TEXT(B6950,"YYYY-MM")</f>
        <v/>
      </c>
    </row>
    <row r="6951">
      <c r="A6951" t="inlineStr">
        <is>
          <t>LD-306949</t>
        </is>
      </c>
      <c r="B6951" t="inlineStr">
        <is>
          <t>2025-09-12 14:25:00</t>
        </is>
      </c>
      <c r="C6951" t="inlineStr">
        <is>
          <t>Social Media</t>
        </is>
      </c>
      <c r="D6951" t="inlineStr">
        <is>
          <t>K-12 Math</t>
        </is>
      </c>
      <c r="E6951" t="inlineStr">
        <is>
          <t>South Region</t>
        </is>
      </c>
      <c r="F6951" t="inlineStr">
        <is>
          <t>Rep_02</t>
        </is>
      </c>
      <c r="G6951" t="n">
        <v>1.69</v>
      </c>
      <c r="H6951" t="inlineStr">
        <is>
          <t>Contacted</t>
        </is>
      </c>
      <c r="I6951" t="inlineStr">
        <is>
          <t>Open</t>
        </is>
      </c>
      <c r="M6951">
        <f>VLOOKUP(H6951,'Stage Order'!$A$2:$B$8,2,FALSE)</f>
        <v/>
      </c>
      <c r="N6951">
        <f>IF(G6951&lt;=1,"1. Under 1 hour",IF(G6951&lt;=24,"2. 1-24 hours",IF(G6951&lt;=72,"3. 1-3 days","4. Over 3 days")))</f>
        <v/>
      </c>
      <c r="O6951">
        <f>TEXT(B6951,"YYYY-MM")</f>
        <v/>
      </c>
    </row>
    <row r="6952">
      <c r="A6952" t="inlineStr">
        <is>
          <t>LD-306950</t>
        </is>
      </c>
      <c r="B6952" t="inlineStr">
        <is>
          <t>2025-09-30 16:23:00</t>
        </is>
      </c>
      <c r="C6952" t="inlineStr">
        <is>
          <t>Partner Channel</t>
        </is>
      </c>
      <c r="D6952" t="inlineStr">
        <is>
          <t>Competitive Exam Prep</t>
        </is>
      </c>
      <c r="E6952" t="inlineStr">
        <is>
          <t>South Region</t>
        </is>
      </c>
      <c r="F6952" t="inlineStr">
        <is>
          <t>Rep_02</t>
        </is>
      </c>
      <c r="G6952" t="n">
        <v>3.11</v>
      </c>
      <c r="H6952" t="inlineStr">
        <is>
          <t>Contacted</t>
        </is>
      </c>
      <c r="I6952" t="inlineStr">
        <is>
          <t>Open</t>
        </is>
      </c>
      <c r="M6952">
        <f>VLOOKUP(H6952,'Stage Order'!$A$2:$B$8,2,FALSE)</f>
        <v/>
      </c>
      <c r="N6952">
        <f>IF(G6952&lt;=1,"1. Under 1 hour",IF(G6952&lt;=24,"2. 1-24 hours",IF(G6952&lt;=72,"3. 1-3 days","4. Over 3 days")))</f>
        <v/>
      </c>
      <c r="O6952">
        <f>TEXT(B6952,"YYYY-MM")</f>
        <v/>
      </c>
    </row>
    <row r="6953">
      <c r="A6953" t="inlineStr">
        <is>
          <t>LD-306951</t>
        </is>
      </c>
      <c r="B6953" t="inlineStr">
        <is>
          <t>2026-03-29 20:32:00</t>
        </is>
      </c>
      <c r="C6953" t="inlineStr">
        <is>
          <t>Paid Search</t>
        </is>
      </c>
      <c r="D6953" t="inlineStr">
        <is>
          <t>Study Abroad Prep</t>
        </is>
      </c>
      <c r="E6953" t="inlineStr">
        <is>
          <t>International</t>
        </is>
      </c>
      <c r="F6953" t="inlineStr">
        <is>
          <t>Rep_05</t>
        </is>
      </c>
      <c r="G6953" t="n">
        <v>4.56</v>
      </c>
      <c r="H6953" t="inlineStr">
        <is>
          <t>Contacted</t>
        </is>
      </c>
      <c r="I6953" t="inlineStr">
        <is>
          <t>Open</t>
        </is>
      </c>
      <c r="M6953">
        <f>VLOOKUP(H6953,'Stage Order'!$A$2:$B$8,2,FALSE)</f>
        <v/>
      </c>
      <c r="N6953">
        <f>IF(G6953&lt;=1,"1. Under 1 hour",IF(G6953&lt;=24,"2. 1-24 hours",IF(G6953&lt;=72,"3. 1-3 days","4. Over 3 days")))</f>
        <v/>
      </c>
      <c r="O6953">
        <f>TEXT(B6953,"YYYY-MM")</f>
        <v/>
      </c>
    </row>
    <row r="6954">
      <c r="A6954" t="inlineStr">
        <is>
          <t>LD-306952</t>
        </is>
      </c>
      <c r="B6954" t="inlineStr">
        <is>
          <t>2026-05-12 14:36:00</t>
        </is>
      </c>
      <c r="C6954" t="inlineStr">
        <is>
          <t>Cold Outreach</t>
        </is>
      </c>
      <c r="D6954" t="inlineStr">
        <is>
          <t>K-12 Math</t>
        </is>
      </c>
      <c r="E6954" t="inlineStr">
        <is>
          <t>South Region</t>
        </is>
      </c>
      <c r="F6954" t="inlineStr">
        <is>
          <t>Rep_07</t>
        </is>
      </c>
      <c r="G6954" t="n">
        <v>3.05</v>
      </c>
      <c r="H6954" t="inlineStr">
        <is>
          <t>Lead</t>
        </is>
      </c>
      <c r="I6954" t="inlineStr">
        <is>
          <t>Open</t>
        </is>
      </c>
      <c r="M6954">
        <f>VLOOKUP(H6954,'Stage Order'!$A$2:$B$8,2,FALSE)</f>
        <v/>
      </c>
      <c r="N6954">
        <f>IF(G6954&lt;=1,"1. Under 1 hour",IF(G6954&lt;=24,"2. 1-24 hours",IF(G6954&lt;=72,"3. 1-3 days","4. Over 3 days")))</f>
        <v/>
      </c>
      <c r="O6954">
        <f>TEXT(B6954,"YYYY-MM")</f>
        <v/>
      </c>
    </row>
    <row r="6955">
      <c r="A6955" t="inlineStr">
        <is>
          <t>LD-306953</t>
        </is>
      </c>
      <c r="B6955" t="inlineStr">
        <is>
          <t>2026-06-19 14:15:00</t>
        </is>
      </c>
      <c r="C6955" t="inlineStr">
        <is>
          <t>Webinar</t>
        </is>
      </c>
      <c r="D6955" t="inlineStr">
        <is>
          <t>K-12 Math</t>
        </is>
      </c>
      <c r="E6955" t="inlineStr">
        <is>
          <t>International</t>
        </is>
      </c>
      <c r="F6955" t="inlineStr">
        <is>
          <t>Rep_10</t>
        </is>
      </c>
      <c r="G6955" t="n">
        <v>5.23</v>
      </c>
      <c r="H6955" t="inlineStr">
        <is>
          <t>Contacted</t>
        </is>
      </c>
      <c r="I6955" t="inlineStr">
        <is>
          <t>Open</t>
        </is>
      </c>
      <c r="M6955">
        <f>VLOOKUP(H6955,'Stage Order'!$A$2:$B$8,2,FALSE)</f>
        <v/>
      </c>
      <c r="N6955">
        <f>IF(G6955&lt;=1,"1. Under 1 hour",IF(G6955&lt;=24,"2. 1-24 hours",IF(G6955&lt;=72,"3. 1-3 days","4. Over 3 days")))</f>
        <v/>
      </c>
      <c r="O6955">
        <f>TEXT(B6955,"YYYY-MM")</f>
        <v/>
      </c>
    </row>
    <row r="6956">
      <c r="A6956" t="inlineStr">
        <is>
          <t>LD-306954</t>
        </is>
      </c>
      <c r="B6956" t="inlineStr">
        <is>
          <t>2026-01-20 13:17:00</t>
        </is>
      </c>
      <c r="C6956" t="inlineStr">
        <is>
          <t>Organic Search</t>
        </is>
      </c>
      <c r="D6956" t="inlineStr">
        <is>
          <t>Language Learning</t>
        </is>
      </c>
      <c r="E6956" t="inlineStr">
        <is>
          <t>North Region</t>
        </is>
      </c>
      <c r="F6956" t="inlineStr">
        <is>
          <t>Rep_06</t>
        </is>
      </c>
      <c r="G6956" t="n">
        <v>10.03</v>
      </c>
      <c r="H6956" t="inlineStr">
        <is>
          <t>Contacted</t>
        </is>
      </c>
      <c r="I6956" t="inlineStr">
        <is>
          <t>Open</t>
        </is>
      </c>
      <c r="M6956">
        <f>VLOOKUP(H6956,'Stage Order'!$A$2:$B$8,2,FALSE)</f>
        <v/>
      </c>
      <c r="N6956">
        <f>IF(G6956&lt;=1,"1. Under 1 hour",IF(G6956&lt;=24,"2. 1-24 hours",IF(G6956&lt;=72,"3. 1-3 days","4. Over 3 days")))</f>
        <v/>
      </c>
      <c r="O6956">
        <f>TEXT(B6956,"YYYY-MM")</f>
        <v/>
      </c>
    </row>
    <row r="6957">
      <c r="A6957" t="inlineStr">
        <is>
          <t>LD-306955</t>
        </is>
      </c>
      <c r="B6957" t="inlineStr">
        <is>
          <t>2025-01-06 15:18:00</t>
        </is>
      </c>
      <c r="C6957" t="inlineStr">
        <is>
          <t>Social Media</t>
        </is>
      </c>
      <c r="D6957" t="inlineStr">
        <is>
          <t>Competitive Exam Prep</t>
        </is>
      </c>
      <c r="E6957" t="inlineStr">
        <is>
          <t>West Region</t>
        </is>
      </c>
      <c r="F6957" t="inlineStr">
        <is>
          <t>Rep_03</t>
        </is>
      </c>
      <c r="G6957" t="n">
        <v>0.77</v>
      </c>
      <c r="H6957" t="inlineStr">
        <is>
          <t>Demo Completed</t>
        </is>
      </c>
      <c r="I6957" t="inlineStr">
        <is>
          <t>Lost</t>
        </is>
      </c>
      <c r="J6957" t="inlineStr">
        <is>
          <t>Price Objection</t>
        </is>
      </c>
      <c r="K6957" t="n">
        <v>857.96</v>
      </c>
      <c r="L6957" t="inlineStr">
        <is>
          <t>2025-02-13 07:19:13.528909</t>
        </is>
      </c>
      <c r="M6957">
        <f>VLOOKUP(H6957,'Stage Order'!$A$2:$B$8,2,FALSE)</f>
        <v/>
      </c>
      <c r="N6957">
        <f>IF(G6957&lt;=1,"1. Under 1 hour",IF(G6957&lt;=24,"2. 1-24 hours",IF(G6957&lt;=72,"3. 1-3 days","4. Over 3 days")))</f>
        <v/>
      </c>
      <c r="O6957">
        <f>TEXT(B6957,"YYYY-MM")</f>
        <v/>
      </c>
    </row>
    <row r="6958">
      <c r="A6958" t="inlineStr">
        <is>
          <t>LD-306956</t>
        </is>
      </c>
      <c r="B6958" t="inlineStr">
        <is>
          <t>2025-03-07 20:59:00</t>
        </is>
      </c>
      <c r="C6958" t="inlineStr">
        <is>
          <t>Webinar</t>
        </is>
      </c>
      <c r="D6958" t="inlineStr">
        <is>
          <t>Coding for Kids</t>
        </is>
      </c>
      <c r="E6958" t="inlineStr">
        <is>
          <t>West Region</t>
        </is>
      </c>
      <c r="F6958" t="inlineStr">
        <is>
          <t>Rep_03</t>
        </is>
      </c>
      <c r="G6958" t="n">
        <v>2.85</v>
      </c>
      <c r="H6958" t="inlineStr">
        <is>
          <t>Negotiation</t>
        </is>
      </c>
      <c r="I6958" t="inlineStr">
        <is>
          <t>Lost</t>
        </is>
      </c>
      <c r="J6958" t="inlineStr">
        <is>
          <t>Price Objection</t>
        </is>
      </c>
      <c r="K6958" t="n">
        <v>553.17</v>
      </c>
      <c r="L6958" t="inlineStr">
        <is>
          <t>2025-04-16 20:50:58.587036</t>
        </is>
      </c>
      <c r="M6958">
        <f>VLOOKUP(H6958,'Stage Order'!$A$2:$B$8,2,FALSE)</f>
        <v/>
      </c>
      <c r="N6958">
        <f>IF(G6958&lt;=1,"1. Under 1 hour",IF(G6958&lt;=24,"2. 1-24 hours",IF(G6958&lt;=72,"3. 1-3 days","4. Over 3 days")))</f>
        <v/>
      </c>
      <c r="O6958">
        <f>TEXT(B6958,"YYYY-MM")</f>
        <v/>
      </c>
    </row>
    <row r="6959">
      <c r="A6959" t="inlineStr">
        <is>
          <t>LD-306957</t>
        </is>
      </c>
      <c r="B6959" t="inlineStr">
        <is>
          <t>2025-07-24 09:49:00</t>
        </is>
      </c>
      <c r="C6959" t="inlineStr">
        <is>
          <t>Organic Search</t>
        </is>
      </c>
      <c r="D6959" t="inlineStr">
        <is>
          <t>K-12 Math</t>
        </is>
      </c>
      <c r="E6959" t="inlineStr">
        <is>
          <t>South Region</t>
        </is>
      </c>
      <c r="F6959" t="inlineStr">
        <is>
          <t>Rep_02</t>
        </is>
      </c>
      <c r="G6959" t="n">
        <v>3.12</v>
      </c>
      <c r="H6959" t="inlineStr">
        <is>
          <t>Proposal Sent</t>
        </is>
      </c>
      <c r="I6959" t="inlineStr">
        <is>
          <t>Lost</t>
        </is>
      </c>
      <c r="J6959" t="inlineStr">
        <is>
          <t>Bad Timing</t>
        </is>
      </c>
      <c r="K6959" t="n">
        <v>483.82</v>
      </c>
      <c r="L6959" t="inlineStr">
        <is>
          <t>2025-09-21 22:27:42.918732</t>
        </is>
      </c>
      <c r="M6959">
        <f>VLOOKUP(H6959,'Stage Order'!$A$2:$B$8,2,FALSE)</f>
        <v/>
      </c>
      <c r="N6959">
        <f>IF(G6959&lt;=1,"1. Under 1 hour",IF(G6959&lt;=24,"2. 1-24 hours",IF(G6959&lt;=72,"3. 1-3 days","4. Over 3 days")))</f>
        <v/>
      </c>
      <c r="O6959">
        <f>TEXT(B6959,"YYYY-MM")</f>
        <v/>
      </c>
    </row>
    <row r="6960">
      <c r="A6960" t="inlineStr">
        <is>
          <t>LD-306958</t>
        </is>
      </c>
      <c r="B6960" t="inlineStr">
        <is>
          <t>2025-10-25 09:57:00</t>
        </is>
      </c>
      <c r="C6960" t="inlineStr">
        <is>
          <t>Cold Outreach</t>
        </is>
      </c>
      <c r="D6960" t="inlineStr">
        <is>
          <t>Competitive Exam Prep</t>
        </is>
      </c>
      <c r="E6960" t="inlineStr">
        <is>
          <t>North Region</t>
        </is>
      </c>
      <c r="F6960" t="inlineStr">
        <is>
          <t>Rep_01</t>
        </is>
      </c>
      <c r="G6960" t="n">
        <v>1.25</v>
      </c>
      <c r="H6960" t="inlineStr">
        <is>
          <t>Lead</t>
        </is>
      </c>
      <c r="I6960" t="inlineStr">
        <is>
          <t>Open</t>
        </is>
      </c>
      <c r="M6960">
        <f>VLOOKUP(H6960,'Stage Order'!$A$2:$B$8,2,FALSE)</f>
        <v/>
      </c>
      <c r="N6960">
        <f>IF(G6960&lt;=1,"1. Under 1 hour",IF(G6960&lt;=24,"2. 1-24 hours",IF(G6960&lt;=72,"3. 1-3 days","4. Over 3 days")))</f>
        <v/>
      </c>
      <c r="O6960">
        <f>TEXT(B6960,"YYYY-MM")</f>
        <v/>
      </c>
    </row>
    <row r="6961">
      <c r="A6961" t="inlineStr">
        <is>
          <t>LD-306959</t>
        </is>
      </c>
      <c r="B6961" t="inlineStr">
        <is>
          <t>2025-07-04 13:52:00</t>
        </is>
      </c>
      <c r="C6961" t="inlineStr">
        <is>
          <t>Organic Search</t>
        </is>
      </c>
      <c r="D6961" t="inlineStr">
        <is>
          <t>Competitive Exam Prep</t>
        </is>
      </c>
      <c r="E6961" t="inlineStr">
        <is>
          <t>West Region</t>
        </is>
      </c>
      <c r="F6961" t="inlineStr">
        <is>
          <t>Rep_08</t>
        </is>
      </c>
      <c r="G6961" t="n">
        <v>4.07</v>
      </c>
      <c r="H6961" t="inlineStr">
        <is>
          <t>Contacted</t>
        </is>
      </c>
      <c r="I6961" t="inlineStr">
        <is>
          <t>Open</t>
        </is>
      </c>
      <c r="M6961">
        <f>VLOOKUP(H6961,'Stage Order'!$A$2:$B$8,2,FALSE)</f>
        <v/>
      </c>
      <c r="N6961">
        <f>IF(G6961&lt;=1,"1. Under 1 hour",IF(G6961&lt;=24,"2. 1-24 hours",IF(G6961&lt;=72,"3. 1-3 days","4. Over 3 days")))</f>
        <v/>
      </c>
      <c r="O6961">
        <f>TEXT(B6961,"YYYY-MM")</f>
        <v/>
      </c>
    </row>
    <row r="6962">
      <c r="A6962" t="inlineStr">
        <is>
          <t>LD-306960</t>
        </is>
      </c>
      <c r="B6962" t="inlineStr">
        <is>
          <t>2025-11-22 16:19:00</t>
        </is>
      </c>
      <c r="C6962" t="inlineStr">
        <is>
          <t>Organic Search</t>
        </is>
      </c>
      <c r="D6962" t="inlineStr">
        <is>
          <t>Competitive Exam Prep</t>
        </is>
      </c>
      <c r="E6962" t="inlineStr">
        <is>
          <t>South Region</t>
        </is>
      </c>
      <c r="F6962" t="inlineStr">
        <is>
          <t>Rep_07</t>
        </is>
      </c>
      <c r="G6962" t="n">
        <v>3.85</v>
      </c>
      <c r="H6962" t="inlineStr">
        <is>
          <t>Demo Completed</t>
        </is>
      </c>
      <c r="I6962" t="inlineStr">
        <is>
          <t>Lost</t>
        </is>
      </c>
      <c r="J6962" t="inlineStr">
        <is>
          <t>Budget Not Approved</t>
        </is>
      </c>
      <c r="K6962" t="n">
        <v>821.09</v>
      </c>
      <c r="L6962" t="inlineStr">
        <is>
          <t>2025-12-10 11:31:19.808309</t>
        </is>
      </c>
      <c r="M6962">
        <f>VLOOKUP(H6962,'Stage Order'!$A$2:$B$8,2,FALSE)</f>
        <v/>
      </c>
      <c r="N6962">
        <f>IF(G6962&lt;=1,"1. Under 1 hour",IF(G6962&lt;=24,"2. 1-24 hours",IF(G6962&lt;=72,"3. 1-3 days","4. Over 3 days")))</f>
        <v/>
      </c>
      <c r="O6962">
        <f>TEXT(B6962,"YYYY-MM")</f>
        <v/>
      </c>
    </row>
    <row r="6963">
      <c r="A6963" t="inlineStr">
        <is>
          <t>LD-306961</t>
        </is>
      </c>
      <c r="B6963" t="inlineStr">
        <is>
          <t>2026-06-15 08:05:00</t>
        </is>
      </c>
      <c r="C6963" t="inlineStr">
        <is>
          <t>Organic Search</t>
        </is>
      </c>
      <c r="D6963" t="inlineStr">
        <is>
          <t>Competitive Exam Prep</t>
        </is>
      </c>
      <c r="E6963" t="inlineStr">
        <is>
          <t>North Region</t>
        </is>
      </c>
      <c r="F6963" t="inlineStr">
        <is>
          <t>Rep_06</t>
        </is>
      </c>
      <c r="G6963" t="n">
        <v>2.27</v>
      </c>
      <c r="H6963" t="inlineStr">
        <is>
          <t>Contacted</t>
        </is>
      </c>
      <c r="I6963" t="inlineStr">
        <is>
          <t>Open</t>
        </is>
      </c>
      <c r="M6963">
        <f>VLOOKUP(H6963,'Stage Order'!$A$2:$B$8,2,FALSE)</f>
        <v/>
      </c>
      <c r="N6963">
        <f>IF(G6963&lt;=1,"1. Under 1 hour",IF(G6963&lt;=24,"2. 1-24 hours",IF(G6963&lt;=72,"3. 1-3 days","4. Over 3 days")))</f>
        <v/>
      </c>
      <c r="O6963">
        <f>TEXT(B6963,"YYYY-MM")</f>
        <v/>
      </c>
    </row>
    <row r="6964">
      <c r="A6964" t="inlineStr">
        <is>
          <t>LD-306962</t>
        </is>
      </c>
      <c r="B6964" t="inlineStr">
        <is>
          <t>2026-05-11 20:48:00</t>
        </is>
      </c>
      <c r="C6964" t="inlineStr">
        <is>
          <t>Cold Outreach</t>
        </is>
      </c>
      <c r="D6964" t="inlineStr">
        <is>
          <t>Language Learning</t>
        </is>
      </c>
      <c r="E6964" t="inlineStr">
        <is>
          <t>South Region</t>
        </is>
      </c>
      <c r="F6964" t="inlineStr">
        <is>
          <t>Rep_12</t>
        </is>
      </c>
      <c r="G6964" t="n">
        <v>1.24</v>
      </c>
      <c r="H6964" t="inlineStr">
        <is>
          <t>Contacted</t>
        </is>
      </c>
      <c r="I6964" t="inlineStr">
        <is>
          <t>Open</t>
        </is>
      </c>
      <c r="M6964">
        <f>VLOOKUP(H6964,'Stage Order'!$A$2:$B$8,2,FALSE)</f>
        <v/>
      </c>
      <c r="N6964">
        <f>IF(G6964&lt;=1,"1. Under 1 hour",IF(G6964&lt;=24,"2. 1-24 hours",IF(G6964&lt;=72,"3. 1-3 days","4. Over 3 days")))</f>
        <v/>
      </c>
      <c r="O6964">
        <f>TEXT(B6964,"YYYY-MM")</f>
        <v/>
      </c>
    </row>
    <row r="6965">
      <c r="A6965" t="inlineStr">
        <is>
          <t>LD-306963</t>
        </is>
      </c>
      <c r="B6965" t="inlineStr">
        <is>
          <t>2025-08-15 16:16:00</t>
        </is>
      </c>
      <c r="C6965" t="inlineStr">
        <is>
          <t>Partner Channel</t>
        </is>
      </c>
      <c r="D6965" t="inlineStr">
        <is>
          <t>Competitive Exam Prep</t>
        </is>
      </c>
      <c r="E6965" t="inlineStr">
        <is>
          <t>South Region</t>
        </is>
      </c>
      <c r="F6965" t="inlineStr">
        <is>
          <t>Rep_07</t>
        </is>
      </c>
      <c r="G6965" t="n">
        <v>6.95</v>
      </c>
      <c r="H6965" t="inlineStr">
        <is>
          <t>Closed</t>
        </is>
      </c>
      <c r="I6965" t="inlineStr">
        <is>
          <t>Won</t>
        </is>
      </c>
      <c r="K6965" t="n">
        <v>872.38</v>
      </c>
      <c r="L6965" t="inlineStr">
        <is>
          <t>2025-10-01 03:44:57.896568</t>
        </is>
      </c>
      <c r="M6965">
        <f>VLOOKUP(H6965,'Stage Order'!$A$2:$B$8,2,FALSE)</f>
        <v/>
      </c>
      <c r="N6965">
        <f>IF(G6965&lt;=1,"1. Under 1 hour",IF(G6965&lt;=24,"2. 1-24 hours",IF(G6965&lt;=72,"3. 1-3 days","4. Over 3 days")))</f>
        <v/>
      </c>
      <c r="O6965">
        <f>TEXT(B6965,"YYYY-MM")</f>
        <v/>
      </c>
    </row>
    <row r="6966">
      <c r="A6966" t="inlineStr">
        <is>
          <t>LD-306964</t>
        </is>
      </c>
      <c r="B6966" t="inlineStr">
        <is>
          <t>2025-09-26 14:30:00</t>
        </is>
      </c>
      <c r="C6966" t="inlineStr">
        <is>
          <t>Social Media</t>
        </is>
      </c>
      <c r="D6966" t="inlineStr">
        <is>
          <t>K-12 Math</t>
        </is>
      </c>
      <c r="E6966" t="inlineStr">
        <is>
          <t>East Region</t>
        </is>
      </c>
      <c r="F6966" t="inlineStr">
        <is>
          <t>Rep_09</t>
        </is>
      </c>
      <c r="G6966" t="n">
        <v>7.42</v>
      </c>
      <c r="H6966" t="inlineStr">
        <is>
          <t>Lead</t>
        </is>
      </c>
      <c r="I6966" t="inlineStr">
        <is>
          <t>Open</t>
        </is>
      </c>
      <c r="M6966">
        <f>VLOOKUP(H6966,'Stage Order'!$A$2:$B$8,2,FALSE)</f>
        <v/>
      </c>
      <c r="N6966">
        <f>IF(G6966&lt;=1,"1. Under 1 hour",IF(G6966&lt;=24,"2. 1-24 hours",IF(G6966&lt;=72,"3. 1-3 days","4. Over 3 days")))</f>
        <v/>
      </c>
      <c r="O6966">
        <f>TEXT(B6966,"YYYY-MM")</f>
        <v/>
      </c>
    </row>
    <row r="6967">
      <c r="A6967" t="inlineStr">
        <is>
          <t>LD-306965</t>
        </is>
      </c>
      <c r="B6967" t="inlineStr">
        <is>
          <t>2025-10-16 08:48:00</t>
        </is>
      </c>
      <c r="C6967" t="inlineStr">
        <is>
          <t>Cold Outreach</t>
        </is>
      </c>
      <c r="D6967" t="inlineStr">
        <is>
          <t>Coding for Kids</t>
        </is>
      </c>
      <c r="E6967" t="inlineStr">
        <is>
          <t>International</t>
        </is>
      </c>
      <c r="F6967" t="inlineStr">
        <is>
          <t>Rep_10</t>
        </is>
      </c>
      <c r="G6967" t="n">
        <v>2.38</v>
      </c>
      <c r="H6967" t="inlineStr">
        <is>
          <t>Demo Scheduled</t>
        </is>
      </c>
      <c r="I6967" t="inlineStr">
        <is>
          <t>Open</t>
        </is>
      </c>
      <c r="M6967">
        <f>VLOOKUP(H6967,'Stage Order'!$A$2:$B$8,2,FALSE)</f>
        <v/>
      </c>
      <c r="N6967">
        <f>IF(G6967&lt;=1,"1. Under 1 hour",IF(G6967&lt;=24,"2. 1-24 hours",IF(G6967&lt;=72,"3. 1-3 days","4. Over 3 days")))</f>
        <v/>
      </c>
      <c r="O6967">
        <f>TEXT(B6967,"YYYY-MM")</f>
        <v/>
      </c>
    </row>
    <row r="6968">
      <c r="A6968" t="inlineStr">
        <is>
          <t>LD-306966</t>
        </is>
      </c>
      <c r="B6968" t="inlineStr">
        <is>
          <t>2025-11-03 17:30:00</t>
        </is>
      </c>
      <c r="C6968" t="inlineStr">
        <is>
          <t>Social Media</t>
        </is>
      </c>
      <c r="D6968" t="inlineStr">
        <is>
          <t>Competitive Exam Prep</t>
        </is>
      </c>
      <c r="E6968" t="inlineStr">
        <is>
          <t>South Region</t>
        </is>
      </c>
      <c r="F6968" t="inlineStr">
        <is>
          <t>Rep_07</t>
        </is>
      </c>
      <c r="G6968" t="n">
        <v>6.13</v>
      </c>
      <c r="H6968" t="inlineStr">
        <is>
          <t>Demo Scheduled</t>
        </is>
      </c>
      <c r="I6968" t="inlineStr">
        <is>
          <t>Open</t>
        </is>
      </c>
      <c r="M6968">
        <f>VLOOKUP(H6968,'Stage Order'!$A$2:$B$8,2,FALSE)</f>
        <v/>
      </c>
      <c r="N6968">
        <f>IF(G6968&lt;=1,"1. Under 1 hour",IF(G6968&lt;=24,"2. 1-24 hours",IF(G6968&lt;=72,"3. 1-3 days","4. Over 3 days")))</f>
        <v/>
      </c>
      <c r="O6968">
        <f>TEXT(B6968,"YYYY-MM")</f>
        <v/>
      </c>
    </row>
    <row r="6969">
      <c r="A6969" t="inlineStr">
        <is>
          <t>LD-306967</t>
        </is>
      </c>
      <c r="B6969" t="inlineStr">
        <is>
          <t>2025-08-04 09:28:00</t>
        </is>
      </c>
      <c r="C6969" t="inlineStr">
        <is>
          <t>Paid Search</t>
        </is>
      </c>
      <c r="D6969" t="inlineStr">
        <is>
          <t>Language Learning</t>
        </is>
      </c>
      <c r="E6969" t="inlineStr">
        <is>
          <t>East Region</t>
        </is>
      </c>
      <c r="F6969" t="inlineStr">
        <is>
          <t>Rep_14</t>
        </is>
      </c>
      <c r="G6969" t="n">
        <v>8.24</v>
      </c>
      <c r="H6969" t="inlineStr">
        <is>
          <t>Demo Scheduled</t>
        </is>
      </c>
      <c r="I6969" t="inlineStr">
        <is>
          <t>Open</t>
        </is>
      </c>
      <c r="M6969">
        <f>VLOOKUP(H6969,'Stage Order'!$A$2:$B$8,2,FALSE)</f>
        <v/>
      </c>
      <c r="N6969">
        <f>IF(G6969&lt;=1,"1. Under 1 hour",IF(G6969&lt;=24,"2. 1-24 hours",IF(G6969&lt;=72,"3. 1-3 days","4. Over 3 days")))</f>
        <v/>
      </c>
      <c r="O6969">
        <f>TEXT(B6969,"YYYY-MM")</f>
        <v/>
      </c>
    </row>
    <row r="6970">
      <c r="A6970" t="inlineStr">
        <is>
          <t>LD-306968</t>
        </is>
      </c>
      <c r="B6970" t="inlineStr">
        <is>
          <t>2025-06-27 09:27:00</t>
        </is>
      </c>
      <c r="C6970" t="inlineStr">
        <is>
          <t>Social Media</t>
        </is>
      </c>
      <c r="D6970" t="inlineStr">
        <is>
          <t>Competitive Exam Prep</t>
        </is>
      </c>
      <c r="E6970" t="inlineStr">
        <is>
          <t>North Region</t>
        </is>
      </c>
      <c r="F6970" t="inlineStr">
        <is>
          <t>Rep_01</t>
        </is>
      </c>
      <c r="G6970" t="n">
        <v>9.039999999999999</v>
      </c>
      <c r="H6970" t="inlineStr">
        <is>
          <t>Contacted</t>
        </is>
      </c>
      <c r="I6970" t="inlineStr">
        <is>
          <t>Open</t>
        </is>
      </c>
      <c r="M6970">
        <f>VLOOKUP(H6970,'Stage Order'!$A$2:$B$8,2,FALSE)</f>
        <v/>
      </c>
      <c r="N6970">
        <f>IF(G6970&lt;=1,"1. Under 1 hour",IF(G6970&lt;=24,"2. 1-24 hours",IF(G6970&lt;=72,"3. 1-3 days","4. Over 3 days")))</f>
        <v/>
      </c>
      <c r="O6970">
        <f>TEXT(B6970,"YYYY-MM")</f>
        <v/>
      </c>
    </row>
    <row r="6971">
      <c r="A6971" t="inlineStr">
        <is>
          <t>LD-306969</t>
        </is>
      </c>
      <c r="B6971" t="inlineStr">
        <is>
          <t>2026-04-22 11:30:00</t>
        </is>
      </c>
      <c r="C6971" t="inlineStr">
        <is>
          <t>Referral</t>
        </is>
      </c>
      <c r="D6971" t="inlineStr">
        <is>
          <t>Language Learning</t>
        </is>
      </c>
      <c r="E6971" t="inlineStr">
        <is>
          <t>International</t>
        </is>
      </c>
      <c r="F6971" t="inlineStr">
        <is>
          <t>Rep_15</t>
        </is>
      </c>
      <c r="G6971" t="n">
        <v>4.78</v>
      </c>
      <c r="H6971" t="inlineStr">
        <is>
          <t>Negotiation</t>
        </is>
      </c>
      <c r="I6971" t="inlineStr">
        <is>
          <t>Lost</t>
        </is>
      </c>
      <c r="J6971" t="inlineStr">
        <is>
          <t>Went With Competitor</t>
        </is>
      </c>
      <c r="K6971" t="n">
        <v>294.71</v>
      </c>
      <c r="L6971" t="inlineStr">
        <is>
          <t>2026-05-17 02:24:51.585014</t>
        </is>
      </c>
      <c r="M6971">
        <f>VLOOKUP(H6971,'Stage Order'!$A$2:$B$8,2,FALSE)</f>
        <v/>
      </c>
      <c r="N6971">
        <f>IF(G6971&lt;=1,"1. Under 1 hour",IF(G6971&lt;=24,"2. 1-24 hours",IF(G6971&lt;=72,"3. 1-3 days","4. Over 3 days")))</f>
        <v/>
      </c>
      <c r="O6971">
        <f>TEXT(B6971,"YYYY-MM")</f>
        <v/>
      </c>
    </row>
    <row r="6972">
      <c r="A6972" t="inlineStr">
        <is>
          <t>LD-306970</t>
        </is>
      </c>
      <c r="B6972" t="inlineStr">
        <is>
          <t>2025-12-31 15:25:00</t>
        </is>
      </c>
      <c r="C6972" t="inlineStr">
        <is>
          <t>Paid Search</t>
        </is>
      </c>
      <c r="D6972" t="inlineStr">
        <is>
          <t>K-12 Math</t>
        </is>
      </c>
      <c r="E6972" t="inlineStr">
        <is>
          <t>South Region</t>
        </is>
      </c>
      <c r="F6972" t="inlineStr">
        <is>
          <t>Rep_07</t>
        </is>
      </c>
      <c r="G6972" t="n">
        <v>1.77</v>
      </c>
      <c r="H6972" t="inlineStr">
        <is>
          <t>Contacted</t>
        </is>
      </c>
      <c r="I6972" t="inlineStr">
        <is>
          <t>Open</t>
        </is>
      </c>
      <c r="M6972">
        <f>VLOOKUP(H6972,'Stage Order'!$A$2:$B$8,2,FALSE)</f>
        <v/>
      </c>
      <c r="N6972">
        <f>IF(G6972&lt;=1,"1. Under 1 hour",IF(G6972&lt;=24,"2. 1-24 hours",IF(G6972&lt;=72,"3. 1-3 days","4. Over 3 days")))</f>
        <v/>
      </c>
      <c r="O6972">
        <f>TEXT(B6972,"YYYY-MM")</f>
        <v/>
      </c>
    </row>
    <row r="6973">
      <c r="A6973" t="inlineStr">
        <is>
          <t>LD-306971</t>
        </is>
      </c>
      <c r="B6973" t="inlineStr">
        <is>
          <t>2026-02-17 15:34:00</t>
        </is>
      </c>
      <c r="C6973" t="inlineStr">
        <is>
          <t>Partner Channel</t>
        </is>
      </c>
      <c r="D6973" t="inlineStr">
        <is>
          <t>Competitive Exam Prep</t>
        </is>
      </c>
      <c r="E6973" t="inlineStr">
        <is>
          <t>West Region</t>
        </is>
      </c>
      <c r="F6973" t="inlineStr">
        <is>
          <t>Rep_08</t>
        </is>
      </c>
      <c r="G6973" t="n">
        <v>1.87</v>
      </c>
      <c r="H6973" t="inlineStr">
        <is>
          <t>Contacted</t>
        </is>
      </c>
      <c r="I6973" t="inlineStr">
        <is>
          <t>Open</t>
        </is>
      </c>
      <c r="M6973">
        <f>VLOOKUP(H6973,'Stage Order'!$A$2:$B$8,2,FALSE)</f>
        <v/>
      </c>
      <c r="N6973">
        <f>IF(G6973&lt;=1,"1. Under 1 hour",IF(G6973&lt;=24,"2. 1-24 hours",IF(G6973&lt;=72,"3. 1-3 days","4. Over 3 days")))</f>
        <v/>
      </c>
      <c r="O6973">
        <f>TEXT(B6973,"YYYY-MM")</f>
        <v/>
      </c>
    </row>
    <row r="6974">
      <c r="A6974" t="inlineStr">
        <is>
          <t>LD-306972</t>
        </is>
      </c>
      <c r="B6974" t="inlineStr">
        <is>
          <t>2026-05-27 08:33:00</t>
        </is>
      </c>
      <c r="C6974" t="inlineStr">
        <is>
          <t>Partner Channel</t>
        </is>
      </c>
      <c r="D6974" t="inlineStr">
        <is>
          <t>Competitive Exam Prep</t>
        </is>
      </c>
      <c r="E6974" t="inlineStr">
        <is>
          <t>North Region</t>
        </is>
      </c>
      <c r="F6974" t="inlineStr">
        <is>
          <t>Rep_01</t>
        </is>
      </c>
      <c r="G6974" t="n">
        <v>1.51</v>
      </c>
      <c r="H6974" t="inlineStr">
        <is>
          <t>Lead</t>
        </is>
      </c>
      <c r="I6974" t="inlineStr">
        <is>
          <t>Open</t>
        </is>
      </c>
      <c r="M6974">
        <f>VLOOKUP(H6974,'Stage Order'!$A$2:$B$8,2,FALSE)</f>
        <v/>
      </c>
      <c r="N6974">
        <f>IF(G6974&lt;=1,"1. Under 1 hour",IF(G6974&lt;=24,"2. 1-24 hours",IF(G6974&lt;=72,"3. 1-3 days","4. Over 3 days")))</f>
        <v/>
      </c>
      <c r="O6974">
        <f>TEXT(B6974,"YYYY-MM")</f>
        <v/>
      </c>
    </row>
    <row r="6975">
      <c r="A6975" t="inlineStr">
        <is>
          <t>LD-306973</t>
        </is>
      </c>
      <c r="B6975" t="inlineStr">
        <is>
          <t>2025-06-21 10:28:00</t>
        </is>
      </c>
      <c r="C6975" t="inlineStr">
        <is>
          <t>Partner Channel</t>
        </is>
      </c>
      <c r="D6975" t="inlineStr">
        <is>
          <t>Study Abroad Prep</t>
        </is>
      </c>
      <c r="E6975" t="inlineStr">
        <is>
          <t>West Region</t>
        </is>
      </c>
      <c r="F6975" t="inlineStr">
        <is>
          <t>Rep_13</t>
        </is>
      </c>
      <c r="G6975" t="n">
        <v>2.51</v>
      </c>
      <c r="H6975" t="inlineStr">
        <is>
          <t>Proposal Sent</t>
        </is>
      </c>
      <c r="I6975" t="inlineStr">
        <is>
          <t>Lost</t>
        </is>
      </c>
      <c r="J6975" t="inlineStr">
        <is>
          <t>No Response / Ghosted</t>
        </is>
      </c>
      <c r="K6975" t="n">
        <v>1707.3</v>
      </c>
      <c r="L6975" t="inlineStr">
        <is>
          <t>2025-08-04 17:15:05.801720</t>
        </is>
      </c>
      <c r="M6975">
        <f>VLOOKUP(H6975,'Stage Order'!$A$2:$B$8,2,FALSE)</f>
        <v/>
      </c>
      <c r="N6975">
        <f>IF(G6975&lt;=1,"1. Under 1 hour",IF(G6975&lt;=24,"2. 1-24 hours",IF(G6975&lt;=72,"3. 1-3 days","4. Over 3 days")))</f>
        <v/>
      </c>
      <c r="O6975">
        <f>TEXT(B6975,"YYYY-MM")</f>
        <v/>
      </c>
    </row>
    <row r="6976">
      <c r="A6976" t="inlineStr">
        <is>
          <t>LD-306974</t>
        </is>
      </c>
      <c r="B6976" t="inlineStr">
        <is>
          <t>2025-05-27 14:14:00</t>
        </is>
      </c>
      <c r="C6976" t="inlineStr">
        <is>
          <t>Social Media</t>
        </is>
      </c>
      <c r="D6976" t="inlineStr">
        <is>
          <t>Language Learning</t>
        </is>
      </c>
      <c r="E6976" t="inlineStr">
        <is>
          <t>East Region</t>
        </is>
      </c>
      <c r="F6976" t="inlineStr">
        <is>
          <t>Rep_09</t>
        </is>
      </c>
      <c r="G6976" t="n">
        <v>1.82</v>
      </c>
      <c r="H6976" t="inlineStr">
        <is>
          <t>Lead</t>
        </is>
      </c>
      <c r="I6976" t="inlineStr">
        <is>
          <t>Open</t>
        </is>
      </c>
      <c r="M6976">
        <f>VLOOKUP(H6976,'Stage Order'!$A$2:$B$8,2,FALSE)</f>
        <v/>
      </c>
      <c r="N6976">
        <f>IF(G6976&lt;=1,"1. Under 1 hour",IF(G6976&lt;=24,"2. 1-24 hours",IF(G6976&lt;=72,"3. 1-3 days","4. Over 3 days")))</f>
        <v/>
      </c>
      <c r="O6976">
        <f>TEXT(B6976,"YYYY-MM")</f>
        <v/>
      </c>
    </row>
    <row r="6977">
      <c r="A6977" t="inlineStr">
        <is>
          <t>LD-306975</t>
        </is>
      </c>
      <c r="B6977" t="inlineStr">
        <is>
          <t>2026-01-21 12:04:00</t>
        </is>
      </c>
      <c r="C6977" t="inlineStr">
        <is>
          <t>Cold Outreach</t>
        </is>
      </c>
      <c r="D6977" t="inlineStr">
        <is>
          <t>K-12 Math</t>
        </is>
      </c>
      <c r="E6977" t="inlineStr">
        <is>
          <t>East Region</t>
        </is>
      </c>
      <c r="F6977" t="inlineStr">
        <is>
          <t>Rep_14</t>
        </is>
      </c>
      <c r="G6977" t="n">
        <v>2.53</v>
      </c>
      <c r="H6977" t="inlineStr">
        <is>
          <t>Lead</t>
        </is>
      </c>
      <c r="I6977" t="inlineStr">
        <is>
          <t>Open</t>
        </is>
      </c>
      <c r="M6977">
        <f>VLOOKUP(H6977,'Stage Order'!$A$2:$B$8,2,FALSE)</f>
        <v/>
      </c>
      <c r="N6977">
        <f>IF(G6977&lt;=1,"1. Under 1 hour",IF(G6977&lt;=24,"2. 1-24 hours",IF(G6977&lt;=72,"3. 1-3 days","4. Over 3 days")))</f>
        <v/>
      </c>
      <c r="O6977">
        <f>TEXT(B6977,"YYYY-MM")</f>
        <v/>
      </c>
    </row>
    <row r="6978">
      <c r="A6978" t="inlineStr">
        <is>
          <t>LD-306976</t>
        </is>
      </c>
      <c r="B6978" t="inlineStr">
        <is>
          <t>2026-04-08 16:18:00</t>
        </is>
      </c>
      <c r="C6978" t="inlineStr">
        <is>
          <t>Organic Search</t>
        </is>
      </c>
      <c r="D6978" t="inlineStr">
        <is>
          <t>Language Learning</t>
        </is>
      </c>
      <c r="E6978" t="inlineStr">
        <is>
          <t>West Region</t>
        </is>
      </c>
      <c r="F6978" t="inlineStr">
        <is>
          <t>Rep_03</t>
        </is>
      </c>
      <c r="G6978" t="n">
        <v>4.1</v>
      </c>
      <c r="H6978" t="inlineStr">
        <is>
          <t>Demo Completed</t>
        </is>
      </c>
      <c r="I6978" t="inlineStr">
        <is>
          <t>Lost</t>
        </is>
      </c>
      <c r="J6978" t="inlineStr">
        <is>
          <t>No Response / Ghosted</t>
        </is>
      </c>
      <c r="K6978" t="n">
        <v>363.65</v>
      </c>
      <c r="L6978" t="inlineStr">
        <is>
          <t>2026-05-01 14:58:54.988233</t>
        </is>
      </c>
      <c r="M6978">
        <f>VLOOKUP(H6978,'Stage Order'!$A$2:$B$8,2,FALSE)</f>
        <v/>
      </c>
      <c r="N6978">
        <f>IF(G6978&lt;=1,"1. Under 1 hour",IF(G6978&lt;=24,"2. 1-24 hours",IF(G6978&lt;=72,"3. 1-3 days","4. Over 3 days")))</f>
        <v/>
      </c>
      <c r="O6978">
        <f>TEXT(B6978,"YYYY-MM")</f>
        <v/>
      </c>
    </row>
    <row r="6979">
      <c r="A6979" t="inlineStr">
        <is>
          <t>LD-306977</t>
        </is>
      </c>
      <c r="B6979" t="inlineStr">
        <is>
          <t>2026-03-03 16:44:00</t>
        </is>
      </c>
      <c r="C6979" t="inlineStr">
        <is>
          <t>Cold Outreach</t>
        </is>
      </c>
      <c r="D6979" t="inlineStr">
        <is>
          <t>Study Abroad Prep</t>
        </is>
      </c>
      <c r="E6979" t="inlineStr">
        <is>
          <t>North Region</t>
        </is>
      </c>
      <c r="F6979" t="inlineStr">
        <is>
          <t>Rep_06</t>
        </is>
      </c>
      <c r="G6979" t="n">
        <v>3.48</v>
      </c>
      <c r="H6979" t="inlineStr">
        <is>
          <t>Contacted</t>
        </is>
      </c>
      <c r="I6979" t="inlineStr">
        <is>
          <t>Open</t>
        </is>
      </c>
      <c r="M6979">
        <f>VLOOKUP(H6979,'Stage Order'!$A$2:$B$8,2,FALSE)</f>
        <v/>
      </c>
      <c r="N6979">
        <f>IF(G6979&lt;=1,"1. Under 1 hour",IF(G6979&lt;=24,"2. 1-24 hours",IF(G6979&lt;=72,"3. 1-3 days","4. Over 3 days")))</f>
        <v/>
      </c>
      <c r="O6979">
        <f>TEXT(B6979,"YYYY-MM")</f>
        <v/>
      </c>
    </row>
    <row r="6980">
      <c r="A6980" t="inlineStr">
        <is>
          <t>LD-306978</t>
        </is>
      </c>
      <c r="B6980" t="inlineStr">
        <is>
          <t>2026-03-20 15:03:00</t>
        </is>
      </c>
      <c r="C6980" t="inlineStr">
        <is>
          <t>Paid Search</t>
        </is>
      </c>
      <c r="D6980" t="inlineStr">
        <is>
          <t>Competitive Exam Prep</t>
        </is>
      </c>
      <c r="E6980" t="inlineStr">
        <is>
          <t>East Region</t>
        </is>
      </c>
      <c r="F6980" t="inlineStr">
        <is>
          <t>Rep_09</t>
        </is>
      </c>
      <c r="G6980" t="n">
        <v>3.75</v>
      </c>
      <c r="H6980" t="inlineStr">
        <is>
          <t>Contacted</t>
        </is>
      </c>
      <c r="I6980" t="inlineStr">
        <is>
          <t>Open</t>
        </is>
      </c>
      <c r="M6980">
        <f>VLOOKUP(H6980,'Stage Order'!$A$2:$B$8,2,FALSE)</f>
        <v/>
      </c>
      <c r="N6980">
        <f>IF(G6980&lt;=1,"1. Under 1 hour",IF(G6980&lt;=24,"2. 1-24 hours",IF(G6980&lt;=72,"3. 1-3 days","4. Over 3 days")))</f>
        <v/>
      </c>
      <c r="O6980">
        <f>TEXT(B6980,"YYYY-MM")</f>
        <v/>
      </c>
    </row>
    <row r="6981">
      <c r="A6981" t="inlineStr">
        <is>
          <t>LD-306979</t>
        </is>
      </c>
      <c r="B6981" t="inlineStr">
        <is>
          <t>2025-09-21 08:14:00</t>
        </is>
      </c>
      <c r="C6981" t="inlineStr">
        <is>
          <t>Webinar</t>
        </is>
      </c>
      <c r="D6981" t="inlineStr">
        <is>
          <t>Competitive Exam Prep</t>
        </is>
      </c>
      <c r="E6981" t="inlineStr">
        <is>
          <t>West Region</t>
        </is>
      </c>
      <c r="F6981" t="inlineStr">
        <is>
          <t>Rep_03</t>
        </is>
      </c>
      <c r="G6981" t="n">
        <v>3.39</v>
      </c>
      <c r="H6981" t="inlineStr">
        <is>
          <t>Closed</t>
        </is>
      </c>
      <c r="I6981" t="inlineStr">
        <is>
          <t>Won</t>
        </is>
      </c>
      <c r="K6981" t="n">
        <v>814.11</v>
      </c>
      <c r="L6981" t="inlineStr">
        <is>
          <t>2025-10-25 11:15:40.072035</t>
        </is>
      </c>
      <c r="M6981">
        <f>VLOOKUP(H6981,'Stage Order'!$A$2:$B$8,2,FALSE)</f>
        <v/>
      </c>
      <c r="N6981">
        <f>IF(G6981&lt;=1,"1. Under 1 hour",IF(G6981&lt;=24,"2. 1-24 hours",IF(G6981&lt;=72,"3. 1-3 days","4. Over 3 days")))</f>
        <v/>
      </c>
      <c r="O6981">
        <f>TEXT(B6981,"YYYY-MM")</f>
        <v/>
      </c>
    </row>
    <row r="6982">
      <c r="A6982" t="inlineStr">
        <is>
          <t>LD-306980</t>
        </is>
      </c>
      <c r="B6982" t="inlineStr">
        <is>
          <t>2025-06-19 08:56:00</t>
        </is>
      </c>
      <c r="C6982" t="inlineStr">
        <is>
          <t>Social Media</t>
        </is>
      </c>
      <c r="D6982" t="inlineStr">
        <is>
          <t>Language Learning</t>
        </is>
      </c>
      <c r="E6982" t="inlineStr">
        <is>
          <t>South Region</t>
        </is>
      </c>
      <c r="F6982" t="inlineStr">
        <is>
          <t>Rep_07</t>
        </is>
      </c>
      <c r="G6982" t="n">
        <v>1.04</v>
      </c>
      <c r="H6982" t="inlineStr">
        <is>
          <t>Contacted</t>
        </is>
      </c>
      <c r="I6982" t="inlineStr">
        <is>
          <t>Open</t>
        </is>
      </c>
      <c r="M6982">
        <f>VLOOKUP(H6982,'Stage Order'!$A$2:$B$8,2,FALSE)</f>
        <v/>
      </c>
      <c r="N6982">
        <f>IF(G6982&lt;=1,"1. Under 1 hour",IF(G6982&lt;=24,"2. 1-24 hours",IF(G6982&lt;=72,"3. 1-3 days","4. Over 3 days")))</f>
        <v/>
      </c>
      <c r="O6982">
        <f>TEXT(B6982,"YYYY-MM")</f>
        <v/>
      </c>
    </row>
    <row r="6983">
      <c r="A6983" t="inlineStr">
        <is>
          <t>LD-306981</t>
        </is>
      </c>
      <c r="B6983" t="inlineStr">
        <is>
          <t>2025-11-14 15:20:00</t>
        </is>
      </c>
      <c r="C6983" t="inlineStr">
        <is>
          <t>Paid Search</t>
        </is>
      </c>
      <c r="D6983" t="inlineStr">
        <is>
          <t>Competitive Exam Prep</t>
        </is>
      </c>
      <c r="E6983" t="inlineStr">
        <is>
          <t>West Region</t>
        </is>
      </c>
      <c r="F6983" t="inlineStr">
        <is>
          <t>Rep_08</t>
        </is>
      </c>
      <c r="G6983" t="n">
        <v>1.47</v>
      </c>
      <c r="H6983" t="inlineStr">
        <is>
          <t>Contacted</t>
        </is>
      </c>
      <c r="I6983" t="inlineStr">
        <is>
          <t>Open</t>
        </is>
      </c>
      <c r="M6983">
        <f>VLOOKUP(H6983,'Stage Order'!$A$2:$B$8,2,FALSE)</f>
        <v/>
      </c>
      <c r="N6983">
        <f>IF(G6983&lt;=1,"1. Under 1 hour",IF(G6983&lt;=24,"2. 1-24 hours",IF(G6983&lt;=72,"3. 1-3 days","4. Over 3 days")))</f>
        <v/>
      </c>
      <c r="O6983">
        <f>TEXT(B6983,"YYYY-MM")</f>
        <v/>
      </c>
    </row>
    <row r="6984">
      <c r="A6984" t="inlineStr">
        <is>
          <t>LD-306982</t>
        </is>
      </c>
      <c r="B6984" t="inlineStr">
        <is>
          <t>2026-05-08 13:37:00</t>
        </is>
      </c>
      <c r="C6984" t="inlineStr">
        <is>
          <t>Organic Search</t>
        </is>
      </c>
      <c r="D6984" t="inlineStr">
        <is>
          <t>Competitive Exam Prep</t>
        </is>
      </c>
      <c r="E6984" t="inlineStr">
        <is>
          <t>West Region</t>
        </is>
      </c>
      <c r="F6984" t="inlineStr">
        <is>
          <t>Rep_03</t>
        </is>
      </c>
      <c r="G6984" t="n">
        <v>1.09</v>
      </c>
      <c r="H6984" t="inlineStr">
        <is>
          <t>Contacted</t>
        </is>
      </c>
      <c r="I6984" t="inlineStr">
        <is>
          <t>Open</t>
        </is>
      </c>
      <c r="M6984">
        <f>VLOOKUP(H6984,'Stage Order'!$A$2:$B$8,2,FALSE)</f>
        <v/>
      </c>
      <c r="N6984">
        <f>IF(G6984&lt;=1,"1. Under 1 hour",IF(G6984&lt;=24,"2. 1-24 hours",IF(G6984&lt;=72,"3. 1-3 days","4. Over 3 days")))</f>
        <v/>
      </c>
      <c r="O6984">
        <f>TEXT(B6984,"YYYY-MM")</f>
        <v/>
      </c>
    </row>
    <row r="6985">
      <c r="A6985" t="inlineStr">
        <is>
          <t>LD-306983</t>
        </is>
      </c>
      <c r="B6985" t="inlineStr">
        <is>
          <t>2025-10-10 18:52:00</t>
        </is>
      </c>
      <c r="C6985" t="inlineStr">
        <is>
          <t>Referral</t>
        </is>
      </c>
      <c r="D6985" t="inlineStr">
        <is>
          <t>Coding for Kids</t>
        </is>
      </c>
      <c r="E6985" t="inlineStr">
        <is>
          <t>East Region</t>
        </is>
      </c>
      <c r="F6985" t="inlineStr">
        <is>
          <t>Rep_04</t>
        </is>
      </c>
      <c r="G6985" t="n">
        <v>1.1</v>
      </c>
      <c r="H6985" t="inlineStr">
        <is>
          <t>Contacted</t>
        </is>
      </c>
      <c r="I6985" t="inlineStr">
        <is>
          <t>Open</t>
        </is>
      </c>
      <c r="M6985">
        <f>VLOOKUP(H6985,'Stage Order'!$A$2:$B$8,2,FALSE)</f>
        <v/>
      </c>
      <c r="N6985">
        <f>IF(G6985&lt;=1,"1. Under 1 hour",IF(G6985&lt;=24,"2. 1-24 hours",IF(G6985&lt;=72,"3. 1-3 days","4. Over 3 days")))</f>
        <v/>
      </c>
      <c r="O6985">
        <f>TEXT(B6985,"YYYY-MM")</f>
        <v/>
      </c>
    </row>
    <row r="6986">
      <c r="A6986" t="inlineStr">
        <is>
          <t>LD-306984</t>
        </is>
      </c>
      <c r="B6986" t="inlineStr">
        <is>
          <t>2025-05-30 14:11:00</t>
        </is>
      </c>
      <c r="C6986" t="inlineStr">
        <is>
          <t>Organic Search</t>
        </is>
      </c>
      <c r="D6986" t="inlineStr">
        <is>
          <t>K-12 Math</t>
        </is>
      </c>
      <c r="E6986" t="inlineStr">
        <is>
          <t>North Region</t>
        </is>
      </c>
      <c r="F6986" t="inlineStr">
        <is>
          <t>Rep_01</t>
        </is>
      </c>
      <c r="G6986" t="n">
        <v>1.57</v>
      </c>
      <c r="H6986" t="inlineStr">
        <is>
          <t>Demo Completed</t>
        </is>
      </c>
      <c r="I6986" t="inlineStr">
        <is>
          <t>Lost</t>
        </is>
      </c>
      <c r="J6986" t="inlineStr">
        <is>
          <t>Went With Competitor</t>
        </is>
      </c>
      <c r="K6986" t="n">
        <v>496.48</v>
      </c>
      <c r="L6986" t="inlineStr">
        <is>
          <t>2025-07-11 20:27:49.678643</t>
        </is>
      </c>
      <c r="M6986">
        <f>VLOOKUP(H6986,'Stage Order'!$A$2:$B$8,2,FALSE)</f>
        <v/>
      </c>
      <c r="N6986">
        <f>IF(G6986&lt;=1,"1. Under 1 hour",IF(G6986&lt;=24,"2. 1-24 hours",IF(G6986&lt;=72,"3. 1-3 days","4. Over 3 days")))</f>
        <v/>
      </c>
      <c r="O6986">
        <f>TEXT(B6986,"YYYY-MM")</f>
        <v/>
      </c>
    </row>
    <row r="6987">
      <c r="A6987" t="inlineStr">
        <is>
          <t>LD-306985</t>
        </is>
      </c>
      <c r="B6987" t="inlineStr">
        <is>
          <t>2025-03-28 15:31:00</t>
        </is>
      </c>
      <c r="C6987" t="inlineStr">
        <is>
          <t>Referral</t>
        </is>
      </c>
      <c r="D6987" t="inlineStr">
        <is>
          <t>Study Abroad Prep</t>
        </is>
      </c>
      <c r="E6987" t="inlineStr">
        <is>
          <t>North Region</t>
        </is>
      </c>
      <c r="F6987" t="inlineStr">
        <is>
          <t>Rep_06</t>
        </is>
      </c>
      <c r="G6987" t="n">
        <v>2.69</v>
      </c>
      <c r="H6987" t="inlineStr">
        <is>
          <t>Contacted</t>
        </is>
      </c>
      <c r="I6987" t="inlineStr">
        <is>
          <t>Open</t>
        </is>
      </c>
      <c r="M6987">
        <f>VLOOKUP(H6987,'Stage Order'!$A$2:$B$8,2,FALSE)</f>
        <v/>
      </c>
      <c r="N6987">
        <f>IF(G6987&lt;=1,"1. Under 1 hour",IF(G6987&lt;=24,"2. 1-24 hours",IF(G6987&lt;=72,"3. 1-3 days","4. Over 3 days")))</f>
        <v/>
      </c>
      <c r="O6987">
        <f>TEXT(B6987,"YYYY-MM")</f>
        <v/>
      </c>
    </row>
    <row r="6988">
      <c r="A6988" t="inlineStr">
        <is>
          <t>LD-306986</t>
        </is>
      </c>
      <c r="B6988" t="inlineStr">
        <is>
          <t>2025-02-14 07:59:00</t>
        </is>
      </c>
      <c r="C6988" t="inlineStr">
        <is>
          <t>Referral</t>
        </is>
      </c>
      <c r="D6988" t="inlineStr">
        <is>
          <t>K-12 Math</t>
        </is>
      </c>
      <c r="E6988" t="inlineStr">
        <is>
          <t>North Region</t>
        </is>
      </c>
      <c r="F6988" t="inlineStr">
        <is>
          <t>Rep_06</t>
        </is>
      </c>
      <c r="G6988" t="n">
        <v>2.71</v>
      </c>
      <c r="H6988" t="inlineStr">
        <is>
          <t>Negotiation</t>
        </is>
      </c>
      <c r="I6988" t="inlineStr">
        <is>
          <t>Lost</t>
        </is>
      </c>
      <c r="J6988" t="inlineStr">
        <is>
          <t>No Response / Ghosted</t>
        </is>
      </c>
      <c r="K6988" t="n">
        <v>496.29</v>
      </c>
      <c r="L6988" t="inlineStr">
        <is>
          <t>2025-03-24 00:30:48.392939</t>
        </is>
      </c>
      <c r="M6988">
        <f>VLOOKUP(H6988,'Stage Order'!$A$2:$B$8,2,FALSE)</f>
        <v/>
      </c>
      <c r="N6988">
        <f>IF(G6988&lt;=1,"1. Under 1 hour",IF(G6988&lt;=24,"2. 1-24 hours",IF(G6988&lt;=72,"3. 1-3 days","4. Over 3 days")))</f>
        <v/>
      </c>
      <c r="O6988">
        <f>TEXT(B6988,"YYYY-MM")</f>
        <v/>
      </c>
    </row>
    <row r="6989">
      <c r="A6989" t="inlineStr">
        <is>
          <t>LD-306987</t>
        </is>
      </c>
      <c r="B6989" t="inlineStr">
        <is>
          <t>2025-07-15 19:18:00</t>
        </is>
      </c>
      <c r="C6989" t="inlineStr">
        <is>
          <t>Webinar</t>
        </is>
      </c>
      <c r="D6989" t="inlineStr">
        <is>
          <t>K-12 Math</t>
        </is>
      </c>
      <c r="E6989" t="inlineStr">
        <is>
          <t>West Region</t>
        </is>
      </c>
      <c r="F6989" t="inlineStr">
        <is>
          <t>Rep_13</t>
        </is>
      </c>
      <c r="G6989" t="n">
        <v>2.09</v>
      </c>
      <c r="H6989" t="inlineStr">
        <is>
          <t>Closed</t>
        </is>
      </c>
      <c r="I6989" t="inlineStr">
        <is>
          <t>Won</t>
        </is>
      </c>
      <c r="K6989" t="n">
        <v>539</v>
      </c>
      <c r="L6989" t="inlineStr">
        <is>
          <t>2025-08-30 22:36:06.795303</t>
        </is>
      </c>
      <c r="M6989">
        <f>VLOOKUP(H6989,'Stage Order'!$A$2:$B$8,2,FALSE)</f>
        <v/>
      </c>
      <c r="N6989">
        <f>IF(G6989&lt;=1,"1. Under 1 hour",IF(G6989&lt;=24,"2. 1-24 hours",IF(G6989&lt;=72,"3. 1-3 days","4. Over 3 days")))</f>
        <v/>
      </c>
      <c r="O6989">
        <f>TEXT(B6989,"YYYY-MM")</f>
        <v/>
      </c>
    </row>
    <row r="6990">
      <c r="A6990" t="inlineStr">
        <is>
          <t>LD-306988</t>
        </is>
      </c>
      <c r="B6990" t="inlineStr">
        <is>
          <t>2026-02-13 20:03:00</t>
        </is>
      </c>
      <c r="C6990" t="inlineStr">
        <is>
          <t>Organic Search</t>
        </is>
      </c>
      <c r="D6990" t="inlineStr">
        <is>
          <t>Study Abroad Prep</t>
        </is>
      </c>
      <c r="E6990" t="inlineStr">
        <is>
          <t>International</t>
        </is>
      </c>
      <c r="F6990" t="inlineStr">
        <is>
          <t>Rep_10</t>
        </is>
      </c>
      <c r="G6990" t="n">
        <v>2.1</v>
      </c>
      <c r="H6990" t="inlineStr">
        <is>
          <t>Proposal Sent</t>
        </is>
      </c>
      <c r="I6990" t="inlineStr">
        <is>
          <t>Lost</t>
        </is>
      </c>
      <c r="J6990" t="inlineStr">
        <is>
          <t>Bad Timing</t>
        </is>
      </c>
      <c r="K6990" t="n">
        <v>1547.69</v>
      </c>
      <c r="L6990" t="inlineStr">
        <is>
          <t>2026-04-05 12:40:43.500377</t>
        </is>
      </c>
      <c r="M6990">
        <f>VLOOKUP(H6990,'Stage Order'!$A$2:$B$8,2,FALSE)</f>
        <v/>
      </c>
      <c r="N6990">
        <f>IF(G6990&lt;=1,"1. Under 1 hour",IF(G6990&lt;=24,"2. 1-24 hours",IF(G6990&lt;=72,"3. 1-3 days","4. Over 3 days")))</f>
        <v/>
      </c>
      <c r="O6990">
        <f>TEXT(B6990,"YYYY-MM")</f>
        <v/>
      </c>
    </row>
    <row r="6991">
      <c r="A6991" t="inlineStr">
        <is>
          <t>LD-306989</t>
        </is>
      </c>
      <c r="B6991" t="inlineStr">
        <is>
          <t>2025-10-14 09:11:00</t>
        </is>
      </c>
      <c r="C6991" t="inlineStr">
        <is>
          <t>Organic Search</t>
        </is>
      </c>
      <c r="D6991" t="inlineStr">
        <is>
          <t>Competitive Exam Prep</t>
        </is>
      </c>
      <c r="E6991" t="inlineStr">
        <is>
          <t>North Region</t>
        </is>
      </c>
      <c r="F6991" t="inlineStr">
        <is>
          <t>Rep_01</t>
        </is>
      </c>
      <c r="G6991" t="n">
        <v>1.88</v>
      </c>
      <c r="H6991" t="inlineStr">
        <is>
          <t>Contacted</t>
        </is>
      </c>
      <c r="I6991" t="inlineStr">
        <is>
          <t>Open</t>
        </is>
      </c>
      <c r="M6991">
        <f>VLOOKUP(H6991,'Stage Order'!$A$2:$B$8,2,FALSE)</f>
        <v/>
      </c>
      <c r="N6991">
        <f>IF(G6991&lt;=1,"1. Under 1 hour",IF(G6991&lt;=24,"2. 1-24 hours",IF(G6991&lt;=72,"3. 1-3 days","4. Over 3 days")))</f>
        <v/>
      </c>
      <c r="O6991">
        <f>TEXT(B6991,"YYYY-MM")</f>
        <v/>
      </c>
    </row>
    <row r="6992">
      <c r="A6992" t="inlineStr">
        <is>
          <t>LD-306990</t>
        </is>
      </c>
      <c r="B6992" t="inlineStr">
        <is>
          <t>2026-04-17 19:06:00</t>
        </is>
      </c>
      <c r="C6992" t="inlineStr">
        <is>
          <t>Cold Outreach</t>
        </is>
      </c>
      <c r="D6992" t="inlineStr">
        <is>
          <t>Study Abroad Prep</t>
        </is>
      </c>
      <c r="E6992" t="inlineStr">
        <is>
          <t>West Region</t>
        </is>
      </c>
      <c r="F6992" t="inlineStr">
        <is>
          <t>Rep_03</t>
        </is>
      </c>
      <c r="G6992" t="n">
        <v>3.79</v>
      </c>
      <c r="H6992" t="inlineStr">
        <is>
          <t>Contacted</t>
        </is>
      </c>
      <c r="I6992" t="inlineStr">
        <is>
          <t>Open</t>
        </is>
      </c>
      <c r="M6992">
        <f>VLOOKUP(H6992,'Stage Order'!$A$2:$B$8,2,FALSE)</f>
        <v/>
      </c>
      <c r="N6992">
        <f>IF(G6992&lt;=1,"1. Under 1 hour",IF(G6992&lt;=24,"2. 1-24 hours",IF(G6992&lt;=72,"3. 1-3 days","4. Over 3 days")))</f>
        <v/>
      </c>
      <c r="O6992">
        <f>TEXT(B6992,"YYYY-MM")</f>
        <v/>
      </c>
    </row>
    <row r="6993">
      <c r="A6993" t="inlineStr">
        <is>
          <t>LD-306991</t>
        </is>
      </c>
      <c r="B6993" t="inlineStr">
        <is>
          <t>2025-07-11 18:58:00</t>
        </is>
      </c>
      <c r="C6993" t="inlineStr">
        <is>
          <t>Referral</t>
        </is>
      </c>
      <c r="D6993" t="inlineStr">
        <is>
          <t>Competitive Exam Prep</t>
        </is>
      </c>
      <c r="E6993" t="inlineStr">
        <is>
          <t>North Region</t>
        </is>
      </c>
      <c r="F6993" t="inlineStr">
        <is>
          <t>Rep_06</t>
        </is>
      </c>
      <c r="G6993" t="n">
        <v>0.51</v>
      </c>
      <c r="H6993" t="inlineStr">
        <is>
          <t>Demo Completed</t>
        </is>
      </c>
      <c r="I6993" t="inlineStr">
        <is>
          <t>Lost</t>
        </is>
      </c>
      <c r="J6993" t="inlineStr">
        <is>
          <t>Went With Competitor</t>
        </is>
      </c>
      <c r="K6993" t="n">
        <v>1174.64</v>
      </c>
      <c r="L6993" t="inlineStr">
        <is>
          <t>2025-08-02 18:29:34.990814</t>
        </is>
      </c>
      <c r="M6993">
        <f>VLOOKUP(H6993,'Stage Order'!$A$2:$B$8,2,FALSE)</f>
        <v/>
      </c>
      <c r="N6993">
        <f>IF(G6993&lt;=1,"1. Under 1 hour",IF(G6993&lt;=24,"2. 1-24 hours",IF(G6993&lt;=72,"3. 1-3 days","4. Over 3 days")))</f>
        <v/>
      </c>
      <c r="O6993">
        <f>TEXT(B6993,"YYYY-MM")</f>
        <v/>
      </c>
    </row>
    <row r="6994">
      <c r="A6994" t="inlineStr">
        <is>
          <t>LD-306992</t>
        </is>
      </c>
      <c r="B6994" t="inlineStr">
        <is>
          <t>2026-06-05 14:13:00</t>
        </is>
      </c>
      <c r="C6994" t="inlineStr">
        <is>
          <t>Social Media</t>
        </is>
      </c>
      <c r="D6994" t="inlineStr">
        <is>
          <t>Language Learning</t>
        </is>
      </c>
      <c r="E6994" t="inlineStr">
        <is>
          <t>South Region</t>
        </is>
      </c>
      <c r="F6994" t="inlineStr">
        <is>
          <t>Rep_12</t>
        </is>
      </c>
      <c r="G6994" t="n">
        <v>2.62</v>
      </c>
      <c r="H6994" t="inlineStr">
        <is>
          <t>Contacted</t>
        </is>
      </c>
      <c r="I6994" t="inlineStr">
        <is>
          <t>Open</t>
        </is>
      </c>
      <c r="M6994">
        <f>VLOOKUP(H6994,'Stage Order'!$A$2:$B$8,2,FALSE)</f>
        <v/>
      </c>
      <c r="N6994">
        <f>IF(G6994&lt;=1,"1. Under 1 hour",IF(G6994&lt;=24,"2. 1-24 hours",IF(G6994&lt;=72,"3. 1-3 days","4. Over 3 days")))</f>
        <v/>
      </c>
      <c r="O6994">
        <f>TEXT(B6994,"YYYY-MM")</f>
        <v/>
      </c>
    </row>
    <row r="6995">
      <c r="A6995" t="inlineStr">
        <is>
          <t>LD-306993</t>
        </is>
      </c>
      <c r="B6995" t="inlineStr">
        <is>
          <t>2025-01-26 19:13:00</t>
        </is>
      </c>
      <c r="C6995" t="inlineStr">
        <is>
          <t>Paid Search</t>
        </is>
      </c>
      <c r="D6995" t="inlineStr">
        <is>
          <t>K-12 Math</t>
        </is>
      </c>
      <c r="E6995" t="inlineStr">
        <is>
          <t>East Region</t>
        </is>
      </c>
      <c r="F6995" t="inlineStr">
        <is>
          <t>Rep_14</t>
        </is>
      </c>
      <c r="G6995" t="n">
        <v>1.92</v>
      </c>
      <c r="H6995" t="inlineStr">
        <is>
          <t>Contacted</t>
        </is>
      </c>
      <c r="I6995" t="inlineStr">
        <is>
          <t>Open</t>
        </is>
      </c>
      <c r="M6995">
        <f>VLOOKUP(H6995,'Stage Order'!$A$2:$B$8,2,FALSE)</f>
        <v/>
      </c>
      <c r="N6995">
        <f>IF(G6995&lt;=1,"1. Under 1 hour",IF(G6995&lt;=24,"2. 1-24 hours",IF(G6995&lt;=72,"3. 1-3 days","4. Over 3 days")))</f>
        <v/>
      </c>
      <c r="O6995">
        <f>TEXT(B6995,"YYYY-MM")</f>
        <v/>
      </c>
    </row>
    <row r="6996">
      <c r="A6996" t="inlineStr">
        <is>
          <t>LD-306994</t>
        </is>
      </c>
      <c r="B6996" t="inlineStr">
        <is>
          <t>2026-01-30 15:36:00</t>
        </is>
      </c>
      <c r="C6996" t="inlineStr">
        <is>
          <t>Paid Search</t>
        </is>
      </c>
      <c r="D6996" t="inlineStr">
        <is>
          <t>Study Abroad Prep</t>
        </is>
      </c>
      <c r="E6996" t="inlineStr">
        <is>
          <t>North Region</t>
        </is>
      </c>
      <c r="F6996" t="inlineStr">
        <is>
          <t>Rep_11</t>
        </is>
      </c>
      <c r="G6996" t="n">
        <v>3.66</v>
      </c>
      <c r="H6996" t="inlineStr">
        <is>
          <t>Contacted</t>
        </is>
      </c>
      <c r="I6996" t="inlineStr">
        <is>
          <t>Open</t>
        </is>
      </c>
      <c r="M6996">
        <f>VLOOKUP(H6996,'Stage Order'!$A$2:$B$8,2,FALSE)</f>
        <v/>
      </c>
      <c r="N6996">
        <f>IF(G6996&lt;=1,"1. Under 1 hour",IF(G6996&lt;=24,"2. 1-24 hours",IF(G6996&lt;=72,"3. 1-3 days","4. Over 3 days")))</f>
        <v/>
      </c>
      <c r="O6996">
        <f>TEXT(B6996,"YYYY-MM")</f>
        <v/>
      </c>
    </row>
    <row r="6997">
      <c r="A6997" t="inlineStr">
        <is>
          <t>LD-306995</t>
        </is>
      </c>
      <c r="B6997" t="inlineStr">
        <is>
          <t>2025-12-12 13:43:00</t>
        </is>
      </c>
      <c r="C6997" t="inlineStr">
        <is>
          <t>Referral</t>
        </is>
      </c>
      <c r="D6997" t="inlineStr">
        <is>
          <t>K-12 Math</t>
        </is>
      </c>
      <c r="E6997" t="inlineStr">
        <is>
          <t>East Region</t>
        </is>
      </c>
      <c r="F6997" t="inlineStr">
        <is>
          <t>Rep_09</t>
        </is>
      </c>
      <c r="G6997" t="n">
        <v>4.34</v>
      </c>
      <c r="H6997" t="inlineStr">
        <is>
          <t>Contacted</t>
        </is>
      </c>
      <c r="I6997" t="inlineStr">
        <is>
          <t>Open</t>
        </is>
      </c>
      <c r="M6997">
        <f>VLOOKUP(H6997,'Stage Order'!$A$2:$B$8,2,FALSE)</f>
        <v/>
      </c>
      <c r="N6997">
        <f>IF(G6997&lt;=1,"1. Under 1 hour",IF(G6997&lt;=24,"2. 1-24 hours",IF(G6997&lt;=72,"3. 1-3 days","4. Over 3 days")))</f>
        <v/>
      </c>
      <c r="O6997">
        <f>TEXT(B6997,"YYYY-MM")</f>
        <v/>
      </c>
    </row>
    <row r="6998">
      <c r="A6998" t="inlineStr">
        <is>
          <t>LD-306996</t>
        </is>
      </c>
      <c r="B6998" t="inlineStr">
        <is>
          <t>2025-05-23 12:24:00</t>
        </is>
      </c>
      <c r="C6998" t="inlineStr">
        <is>
          <t>Organic Search</t>
        </is>
      </c>
      <c r="D6998" t="inlineStr">
        <is>
          <t>Coding for Kids</t>
        </is>
      </c>
      <c r="E6998" t="inlineStr">
        <is>
          <t>South Region</t>
        </is>
      </c>
      <c r="F6998" t="inlineStr">
        <is>
          <t>Rep_12</t>
        </is>
      </c>
      <c r="G6998" t="n">
        <v>3.09</v>
      </c>
      <c r="H6998" t="inlineStr">
        <is>
          <t>Proposal Sent</t>
        </is>
      </c>
      <c r="I6998" t="inlineStr">
        <is>
          <t>Lost</t>
        </is>
      </c>
      <c r="J6998" t="inlineStr">
        <is>
          <t>No Response / Ghosted</t>
        </is>
      </c>
      <c r="K6998" t="n">
        <v>553.3099999999999</v>
      </c>
      <c r="L6998" t="inlineStr">
        <is>
          <t>2025-06-28 23:30:20.675943</t>
        </is>
      </c>
      <c r="M6998">
        <f>VLOOKUP(H6998,'Stage Order'!$A$2:$B$8,2,FALSE)</f>
        <v/>
      </c>
      <c r="N6998">
        <f>IF(G6998&lt;=1,"1. Under 1 hour",IF(G6998&lt;=24,"2. 1-24 hours",IF(G6998&lt;=72,"3. 1-3 days","4. Over 3 days")))</f>
        <v/>
      </c>
      <c r="O6998">
        <f>TEXT(B6998,"YYYY-MM")</f>
        <v/>
      </c>
    </row>
    <row r="6999">
      <c r="A6999" t="inlineStr">
        <is>
          <t>LD-306997</t>
        </is>
      </c>
      <c r="B6999" t="inlineStr">
        <is>
          <t>2025-12-19 07:53:00</t>
        </is>
      </c>
      <c r="C6999" t="inlineStr">
        <is>
          <t>Referral</t>
        </is>
      </c>
      <c r="D6999" t="inlineStr">
        <is>
          <t>K-12 Math</t>
        </is>
      </c>
      <c r="E6999" t="inlineStr">
        <is>
          <t>West Region</t>
        </is>
      </c>
      <c r="F6999" t="inlineStr">
        <is>
          <t>Rep_08</t>
        </is>
      </c>
      <c r="G6999" t="n">
        <v>20.13</v>
      </c>
      <c r="H6999" t="inlineStr">
        <is>
          <t>Closed</t>
        </is>
      </c>
      <c r="I6999" t="inlineStr">
        <is>
          <t>Won</t>
        </is>
      </c>
      <c r="K6999" t="n">
        <v>487.59</v>
      </c>
      <c r="L6999" t="inlineStr">
        <is>
          <t>2026-01-30 18:54:29.806689</t>
        </is>
      </c>
      <c r="M6999">
        <f>VLOOKUP(H6999,'Stage Order'!$A$2:$B$8,2,FALSE)</f>
        <v/>
      </c>
      <c r="N6999">
        <f>IF(G6999&lt;=1,"1. Under 1 hour",IF(G6999&lt;=24,"2. 1-24 hours",IF(G6999&lt;=72,"3. 1-3 days","4. Over 3 days")))</f>
        <v/>
      </c>
      <c r="O6999">
        <f>TEXT(B6999,"YYYY-MM")</f>
        <v/>
      </c>
    </row>
    <row r="7000">
      <c r="A7000" t="inlineStr">
        <is>
          <t>LD-306998</t>
        </is>
      </c>
      <c r="B7000" t="inlineStr">
        <is>
          <t>2026-04-26 08:58:00</t>
        </is>
      </c>
      <c r="C7000" t="inlineStr">
        <is>
          <t>Paid Search</t>
        </is>
      </c>
      <c r="D7000" t="inlineStr">
        <is>
          <t>Coding for Kids</t>
        </is>
      </c>
      <c r="E7000" t="inlineStr">
        <is>
          <t>North Region</t>
        </is>
      </c>
      <c r="F7000" t="inlineStr">
        <is>
          <t>Rep_01</t>
        </is>
      </c>
      <c r="G7000" t="n">
        <v>16.45</v>
      </c>
      <c r="H7000" t="inlineStr">
        <is>
          <t>Demo Completed</t>
        </is>
      </c>
      <c r="I7000" t="inlineStr">
        <is>
          <t>Lost</t>
        </is>
      </c>
      <c r="J7000" t="inlineStr">
        <is>
          <t>No Response / Ghosted</t>
        </is>
      </c>
      <c r="K7000" t="n">
        <v>658.9400000000001</v>
      </c>
      <c r="L7000" t="inlineStr">
        <is>
          <t>2026-05-27 05:50:41.786315</t>
        </is>
      </c>
      <c r="M7000">
        <f>VLOOKUP(H7000,'Stage Order'!$A$2:$B$8,2,FALSE)</f>
        <v/>
      </c>
      <c r="N7000">
        <f>IF(G7000&lt;=1,"1. Under 1 hour",IF(G7000&lt;=24,"2. 1-24 hours",IF(G7000&lt;=72,"3. 1-3 days","4. Over 3 days")))</f>
        <v/>
      </c>
      <c r="O7000">
        <f>TEXT(B7000,"YYYY-MM")</f>
        <v/>
      </c>
    </row>
    <row r="7001">
      <c r="A7001" t="inlineStr">
        <is>
          <t>LD-306999</t>
        </is>
      </c>
      <c r="B7001" t="inlineStr">
        <is>
          <t>2025-07-26 16:07:00</t>
        </is>
      </c>
      <c r="C7001" t="inlineStr">
        <is>
          <t>Social Media</t>
        </is>
      </c>
      <c r="D7001" t="inlineStr">
        <is>
          <t>K-12 Math</t>
        </is>
      </c>
      <c r="E7001" t="inlineStr">
        <is>
          <t>West Region</t>
        </is>
      </c>
      <c r="F7001" t="inlineStr">
        <is>
          <t>Rep_13</t>
        </is>
      </c>
      <c r="G7001" t="n">
        <v>4.09</v>
      </c>
      <c r="H7001" t="inlineStr">
        <is>
          <t>Contacted</t>
        </is>
      </c>
      <c r="I7001" t="inlineStr">
        <is>
          <t>Open</t>
        </is>
      </c>
      <c r="M7001">
        <f>VLOOKUP(H7001,'Stage Order'!$A$2:$B$8,2,FALSE)</f>
        <v/>
      </c>
      <c r="N7001">
        <f>IF(G7001&lt;=1,"1. Under 1 hour",IF(G7001&lt;=24,"2. 1-24 hours",IF(G7001&lt;=72,"3. 1-3 days","4. Over 3 days")))</f>
        <v/>
      </c>
      <c r="O7001">
        <f>TEXT(B7001,"YYYY-MM")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8" t="inlineStr">
        <is>
          <t>stage_name</t>
        </is>
      </c>
      <c r="B1" s="8" t="inlineStr">
        <is>
          <t>stage_num</t>
        </is>
      </c>
    </row>
    <row r="2">
      <c r="A2" t="inlineStr">
        <is>
          <t>Lead</t>
        </is>
      </c>
      <c r="B2" t="n">
        <v>1</v>
      </c>
    </row>
    <row r="3">
      <c r="A3" t="inlineStr">
        <is>
          <t>Contacted</t>
        </is>
      </c>
      <c r="B3" t="n">
        <v>2</v>
      </c>
    </row>
    <row r="4">
      <c r="A4" t="inlineStr">
        <is>
          <t>Demo Scheduled</t>
        </is>
      </c>
      <c r="B4" t="n">
        <v>3</v>
      </c>
    </row>
    <row r="5">
      <c r="A5" t="inlineStr">
        <is>
          <t>Demo Completed</t>
        </is>
      </c>
      <c r="B5" t="n">
        <v>4</v>
      </c>
    </row>
    <row r="6">
      <c r="A6" t="inlineStr">
        <is>
          <t>Proposal Sent</t>
        </is>
      </c>
      <c r="B6" t="n">
        <v>5</v>
      </c>
    </row>
    <row r="7">
      <c r="A7" t="inlineStr">
        <is>
          <t>Negotiation</t>
        </is>
      </c>
      <c r="B7" t="n">
        <v>6</v>
      </c>
    </row>
    <row r="8">
      <c r="A8" t="inlineStr">
        <is>
          <t>Closed</t>
        </is>
      </c>
      <c r="B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4" customWidth="1" min="3" max="3"/>
    <col width="14" customWidth="1" min="4" max="4"/>
  </cols>
  <sheetData>
    <row r="1">
      <c r="A1" s="8" t="inlineStr">
        <is>
          <t>stage</t>
        </is>
      </c>
      <c r="B1" s="8" t="inlineStr">
        <is>
          <t>stage_num</t>
        </is>
      </c>
      <c r="C1" s="8" t="inlineStr">
        <is>
          <t>leads_reaching_or_beyond</t>
        </is>
      </c>
      <c r="D1" s="8" t="inlineStr">
        <is>
          <t>pct_of_total</t>
        </is>
      </c>
    </row>
    <row r="2">
      <c r="A2" t="inlineStr">
        <is>
          <t>Lead</t>
        </is>
      </c>
      <c r="B2" t="n">
        <v>1</v>
      </c>
      <c r="C2">
        <f>COUNTIF(Data!$M$2:$M$7001,"&gt;="&amp;B2)</f>
        <v/>
      </c>
      <c r="D2" s="9">
        <f>ROUND(C2/COUNTA(Data!$A$2:$A$7001)*100,1)</f>
        <v/>
      </c>
    </row>
    <row r="3">
      <c r="A3" t="inlineStr">
        <is>
          <t>Contacted</t>
        </is>
      </c>
      <c r="B3" t="n">
        <v>2</v>
      </c>
      <c r="C3">
        <f>COUNTIF(Data!$M$2:$M$7001,"&gt;="&amp;B3)</f>
        <v/>
      </c>
      <c r="D3" s="9">
        <f>ROUND(C3/COUNTA(Data!$A$2:$A$7001)*100,1)</f>
        <v/>
      </c>
    </row>
    <row r="4">
      <c r="A4" t="inlineStr">
        <is>
          <t>Demo Scheduled</t>
        </is>
      </c>
      <c r="B4" t="n">
        <v>3</v>
      </c>
      <c r="C4">
        <f>COUNTIF(Data!$M$2:$M$7001,"&gt;="&amp;B4)</f>
        <v/>
      </c>
      <c r="D4" s="9">
        <f>ROUND(C4/COUNTA(Data!$A$2:$A$7001)*100,1)</f>
        <v/>
      </c>
    </row>
    <row r="5">
      <c r="A5" t="inlineStr">
        <is>
          <t>Demo Completed</t>
        </is>
      </c>
      <c r="B5" t="n">
        <v>4</v>
      </c>
      <c r="C5">
        <f>COUNTIF(Data!$M$2:$M$7001,"&gt;="&amp;B5)</f>
        <v/>
      </c>
      <c r="D5" s="9">
        <f>ROUND(C5/COUNTA(Data!$A$2:$A$7001)*100,1)</f>
        <v/>
      </c>
    </row>
    <row r="6">
      <c r="A6" t="inlineStr">
        <is>
          <t>Proposal Sent</t>
        </is>
      </c>
      <c r="B6" t="n">
        <v>5</v>
      </c>
      <c r="C6">
        <f>COUNTIF(Data!$M$2:$M$7001,"&gt;="&amp;B6)</f>
        <v/>
      </c>
      <c r="D6" s="9">
        <f>ROUND(C6/COUNTA(Data!$A$2:$A$7001)*100,1)</f>
        <v/>
      </c>
    </row>
    <row r="7">
      <c r="A7" t="inlineStr">
        <is>
          <t>Negotiation</t>
        </is>
      </c>
      <c r="B7" t="n">
        <v>6</v>
      </c>
      <c r="C7">
        <f>COUNTIF(Data!$M$2:$M$7001,"&gt;="&amp;B7)</f>
        <v/>
      </c>
      <c r="D7" s="9">
        <f>ROUND(C7/COUNTA(Data!$A$2:$A$7001)*100,1)</f>
        <v/>
      </c>
    </row>
    <row r="8">
      <c r="A8" t="inlineStr">
        <is>
          <t>Closed</t>
        </is>
      </c>
      <c r="B8" t="n">
        <v>7</v>
      </c>
      <c r="C8">
        <f>COUNTIF(Data!$M$2:$M$7001,"&gt;="&amp;B8)</f>
        <v/>
      </c>
      <c r="D8" s="9">
        <f>ROUND(C8/COUNTA(Data!$A$2:$A$7001)*100,1)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8" customWidth="1" min="3" max="3"/>
    <col width="14" customWidth="1" min="4" max="4"/>
  </cols>
  <sheetData>
    <row r="1">
      <c r="A1" s="8" t="inlineStr">
        <is>
          <t>source</t>
        </is>
      </c>
      <c r="B1" s="8" t="inlineStr">
        <is>
          <t>total_leads</t>
        </is>
      </c>
      <c r="C1" s="8" t="inlineStr">
        <is>
          <t>won</t>
        </is>
      </c>
      <c r="D1" s="8" t="inlineStr">
        <is>
          <t>win_rate_pct</t>
        </is>
      </c>
    </row>
    <row r="2">
      <c r="A2" t="inlineStr">
        <is>
          <t>Cold Outreach</t>
        </is>
      </c>
      <c r="B2">
        <f>COUNTIF(Data!$C$2:$C$7001,A2)</f>
        <v/>
      </c>
      <c r="C2">
        <f>COUNTIFS(Data!$C$2:$C$7001,A2,Data!$I$2:$I$7001,"Won")</f>
        <v/>
      </c>
      <c r="D2" s="9">
        <f>ROUND(C2/B2*100,1)</f>
        <v/>
      </c>
    </row>
    <row r="3">
      <c r="A3" t="inlineStr">
        <is>
          <t>Organic Search</t>
        </is>
      </c>
      <c r="B3">
        <f>COUNTIF(Data!$C$2:$C$7001,A3)</f>
        <v/>
      </c>
      <c r="C3">
        <f>COUNTIFS(Data!$C$2:$C$7001,A3,Data!$I$2:$I$7001,"Won")</f>
        <v/>
      </c>
      <c r="D3" s="9">
        <f>ROUND(C3/B3*100,1)</f>
        <v/>
      </c>
    </row>
    <row r="4">
      <c r="A4" t="inlineStr">
        <is>
          <t>Paid Search</t>
        </is>
      </c>
      <c r="B4">
        <f>COUNTIF(Data!$C$2:$C$7001,A4)</f>
        <v/>
      </c>
      <c r="C4">
        <f>COUNTIFS(Data!$C$2:$C$7001,A4,Data!$I$2:$I$7001,"Won")</f>
        <v/>
      </c>
      <c r="D4" s="9">
        <f>ROUND(C4/B4*100,1)</f>
        <v/>
      </c>
    </row>
    <row r="5">
      <c r="A5" t="inlineStr">
        <is>
          <t>Partner Channel</t>
        </is>
      </c>
      <c r="B5">
        <f>COUNTIF(Data!$C$2:$C$7001,A5)</f>
        <v/>
      </c>
      <c r="C5">
        <f>COUNTIFS(Data!$C$2:$C$7001,A5,Data!$I$2:$I$7001,"Won")</f>
        <v/>
      </c>
      <c r="D5" s="9">
        <f>ROUND(C5/B5*100,1)</f>
        <v/>
      </c>
    </row>
    <row r="6">
      <c r="A6" t="inlineStr">
        <is>
          <t>Referral</t>
        </is>
      </c>
      <c r="B6">
        <f>COUNTIF(Data!$C$2:$C$7001,A6)</f>
        <v/>
      </c>
      <c r="C6">
        <f>COUNTIFS(Data!$C$2:$C$7001,A6,Data!$I$2:$I$7001,"Won")</f>
        <v/>
      </c>
      <c r="D6" s="9">
        <f>ROUND(C6/B6*100,1)</f>
        <v/>
      </c>
    </row>
    <row r="7">
      <c r="A7" t="inlineStr">
        <is>
          <t>Social Media</t>
        </is>
      </c>
      <c r="B7">
        <f>COUNTIF(Data!$C$2:$C$7001,A7)</f>
        <v/>
      </c>
      <c r="C7">
        <f>COUNTIFS(Data!$C$2:$C$7001,A7,Data!$I$2:$I$7001,"Won")</f>
        <v/>
      </c>
      <c r="D7" s="9">
        <f>ROUND(C7/B7*100,1)</f>
        <v/>
      </c>
    </row>
    <row r="8">
      <c r="A8" t="inlineStr">
        <is>
          <t>Webinar</t>
        </is>
      </c>
      <c r="B8">
        <f>COUNTIF(Data!$C$2:$C$7001,A8)</f>
        <v/>
      </c>
      <c r="C8">
        <f>COUNTIFS(Data!$C$2:$C$7001,A8,Data!$I$2:$I$7001,"Won")</f>
        <v/>
      </c>
      <c r="D8" s="9">
        <f>ROUND(C8/B8*100,1)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14" customWidth="1" min="4" max="4"/>
  </cols>
  <sheetData>
    <row r="1">
      <c r="A1" s="8" t="inlineStr">
        <is>
          <t>response_bucket</t>
        </is>
      </c>
      <c r="B1" s="8" t="inlineStr">
        <is>
          <t>total_leads</t>
        </is>
      </c>
      <c r="C1" s="8" t="inlineStr">
        <is>
          <t>won</t>
        </is>
      </c>
      <c r="D1" s="8" t="inlineStr">
        <is>
          <t>win_rate_pct</t>
        </is>
      </c>
    </row>
    <row r="2">
      <c r="A2" t="inlineStr">
        <is>
          <t>1. Under 1 hour</t>
        </is>
      </c>
      <c r="B2">
        <f>COUNTIF(Data!$N$2:$N$7001,A2)</f>
        <v/>
      </c>
      <c r="C2">
        <f>COUNTIFS(Data!$N$2:$N$7001,A2,Data!$I$2:$I$7001,"Won")</f>
        <v/>
      </c>
      <c r="D2" s="9">
        <f>ROUND(C2/B2*100,1)</f>
        <v/>
      </c>
    </row>
    <row r="3">
      <c r="A3" t="inlineStr">
        <is>
          <t>2. 1-24 hours</t>
        </is>
      </c>
      <c r="B3">
        <f>COUNTIF(Data!$N$2:$N$7001,A3)</f>
        <v/>
      </c>
      <c r="C3">
        <f>COUNTIFS(Data!$N$2:$N$7001,A3,Data!$I$2:$I$7001,"Won")</f>
        <v/>
      </c>
      <c r="D3" s="9">
        <f>ROUND(C3/B3*100,1)</f>
        <v/>
      </c>
    </row>
    <row r="4">
      <c r="A4" t="inlineStr">
        <is>
          <t>3. 1-3 days</t>
        </is>
      </c>
      <c r="B4">
        <f>COUNTIF(Data!$N$2:$N$7001,A4)</f>
        <v/>
      </c>
      <c r="C4">
        <f>COUNTIFS(Data!$N$2:$N$7001,A4,Data!$I$2:$I$7001,"Won")</f>
        <v/>
      </c>
      <c r="D4" s="9">
        <f>ROUND(C4/B4*100,1)</f>
        <v/>
      </c>
    </row>
    <row r="5">
      <c r="A5" t="inlineStr">
        <is>
          <t>4. Over 3 days</t>
        </is>
      </c>
      <c r="B5">
        <f>COUNTIF(Data!$N$2:$N$7001,A5)</f>
        <v/>
      </c>
      <c r="C5">
        <f>COUNTIFS(Data!$N$2:$N$7001,A5,Data!$I$2:$I$7001,"Won")</f>
        <v/>
      </c>
      <c r="D5" s="9">
        <f>ROUND(C5/B5*100,1)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6" customWidth="1" min="4" max="4"/>
  </cols>
  <sheetData>
    <row r="1">
      <c r="A1" s="8" t="inlineStr">
        <is>
          <t>lost_reason</t>
        </is>
      </c>
      <c r="B1" s="8" t="inlineStr">
        <is>
          <t>lost_deals</t>
        </is>
      </c>
      <c r="C1" s="8" t="inlineStr">
        <is>
          <t>total_lost_value</t>
        </is>
      </c>
      <c r="D1" s="8" t="inlineStr">
        <is>
          <t>avg_lost_value</t>
        </is>
      </c>
    </row>
    <row r="2">
      <c r="A2" t="inlineStr">
        <is>
          <t>Bad Timing</t>
        </is>
      </c>
      <c r="B2">
        <f>COUNTIFS(Data!$I$2:$I$7001,"Lost",Data!$J$2:$J$7001,A2)</f>
        <v/>
      </c>
      <c r="C2" s="10">
        <f>ROUND(SUMIFS(Data!$K$2:$K$7001,Data!$I$2:$I$7001,"Lost",Data!$J$2:$J$7001,A2),2)</f>
        <v/>
      </c>
      <c r="D2" s="10">
        <f>ROUND(AVERAGEIFS(Data!$K$2:$K$7001,Data!$I$2:$I$7001,"Lost",Data!$J$2:$J$7001,A2),2)</f>
        <v/>
      </c>
    </row>
    <row r="3">
      <c r="A3" t="inlineStr">
        <is>
          <t>Budget Not Approved</t>
        </is>
      </c>
      <c r="B3">
        <f>COUNTIFS(Data!$I$2:$I$7001,"Lost",Data!$J$2:$J$7001,A3)</f>
        <v/>
      </c>
      <c r="C3" s="10">
        <f>ROUND(SUMIFS(Data!$K$2:$K$7001,Data!$I$2:$I$7001,"Lost",Data!$J$2:$J$7001,A3),2)</f>
        <v/>
      </c>
      <c r="D3" s="10">
        <f>ROUND(AVERAGEIFS(Data!$K$2:$K$7001,Data!$I$2:$I$7001,"Lost",Data!$J$2:$J$7001,A3),2)</f>
        <v/>
      </c>
    </row>
    <row r="4">
      <c r="A4" t="inlineStr">
        <is>
          <t>No Response / Ghosted</t>
        </is>
      </c>
      <c r="B4">
        <f>COUNTIFS(Data!$I$2:$I$7001,"Lost",Data!$J$2:$J$7001,A4)</f>
        <v/>
      </c>
      <c r="C4" s="10">
        <f>ROUND(SUMIFS(Data!$K$2:$K$7001,Data!$I$2:$I$7001,"Lost",Data!$J$2:$J$7001,A4),2)</f>
        <v/>
      </c>
      <c r="D4" s="10">
        <f>ROUND(AVERAGEIFS(Data!$K$2:$K$7001,Data!$I$2:$I$7001,"Lost",Data!$J$2:$J$7001,A4),2)</f>
        <v/>
      </c>
    </row>
    <row r="5">
      <c r="A5" t="inlineStr">
        <is>
          <t>Price Objection</t>
        </is>
      </c>
      <c r="B5">
        <f>COUNTIFS(Data!$I$2:$I$7001,"Lost",Data!$J$2:$J$7001,A5)</f>
        <v/>
      </c>
      <c r="C5" s="10">
        <f>ROUND(SUMIFS(Data!$K$2:$K$7001,Data!$I$2:$I$7001,"Lost",Data!$J$2:$J$7001,A5),2)</f>
        <v/>
      </c>
      <c r="D5" s="10">
        <f>ROUND(AVERAGEIFS(Data!$K$2:$K$7001,Data!$I$2:$I$7001,"Lost",Data!$J$2:$J$7001,A5),2)</f>
        <v/>
      </c>
    </row>
    <row r="6">
      <c r="A6" t="inlineStr">
        <is>
          <t>Went With Competitor</t>
        </is>
      </c>
      <c r="B6">
        <f>COUNTIFS(Data!$I$2:$I$7001,"Lost",Data!$J$2:$J$7001,A6)</f>
        <v/>
      </c>
      <c r="C6" s="10">
        <f>ROUND(SUMIFS(Data!$K$2:$K$7001,Data!$I$2:$I$7001,"Lost",Data!$J$2:$J$7001,A6),2)</f>
        <v/>
      </c>
      <c r="D6" s="10">
        <f>ROUND(AVERAGEIFS(Data!$K$2:$K$7001,Data!$I$2:$I$7001,"Lost",Data!$J$2:$J$7001,A6),2)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" customWidth="1" min="3" max="3"/>
    <col width="14" customWidth="1" min="4" max="4"/>
    <col width="16" customWidth="1" min="5" max="5"/>
  </cols>
  <sheetData>
    <row r="1">
      <c r="A1" s="8" t="inlineStr">
        <is>
          <t>rep</t>
        </is>
      </c>
      <c r="B1" s="8" t="inlineStr">
        <is>
          <t>total_leads</t>
        </is>
      </c>
      <c r="C1" s="8" t="inlineStr">
        <is>
          <t>won</t>
        </is>
      </c>
      <c r="D1" s="8" t="inlineStr">
        <is>
          <t>win_rate_pct</t>
        </is>
      </c>
      <c r="E1" s="8" t="inlineStr">
        <is>
          <t>total_revenue</t>
        </is>
      </c>
    </row>
    <row r="2">
      <c r="A2" t="inlineStr">
        <is>
          <t>Rep_01</t>
        </is>
      </c>
      <c r="B2">
        <f>COUNTIF(Data!$F$2:$F$7001,A2)</f>
        <v/>
      </c>
      <c r="C2">
        <f>COUNTIFS(Data!$F$2:$F$7001,A2,Data!$I$2:$I$7001,"Won")</f>
        <v/>
      </c>
      <c r="D2" s="9">
        <f>ROUND(C2/B2*100,1)</f>
        <v/>
      </c>
      <c r="E2" s="10">
        <f>ROUND(SUMIFS(Data!$K$2:$K$7001,Data!$F$2:$F$7001,A2,Data!$I$2:$I$7001,"Won"),2)</f>
        <v/>
      </c>
    </row>
    <row r="3">
      <c r="A3" t="inlineStr">
        <is>
          <t>Rep_02</t>
        </is>
      </c>
      <c r="B3">
        <f>COUNTIF(Data!$F$2:$F$7001,A3)</f>
        <v/>
      </c>
      <c r="C3">
        <f>COUNTIFS(Data!$F$2:$F$7001,A3,Data!$I$2:$I$7001,"Won")</f>
        <v/>
      </c>
      <c r="D3" s="9">
        <f>ROUND(C3/B3*100,1)</f>
        <v/>
      </c>
      <c r="E3" s="10">
        <f>ROUND(SUMIFS(Data!$K$2:$K$7001,Data!$F$2:$F$7001,A3,Data!$I$2:$I$7001,"Won"),2)</f>
        <v/>
      </c>
    </row>
    <row r="4">
      <c r="A4" t="inlineStr">
        <is>
          <t>Rep_03</t>
        </is>
      </c>
      <c r="B4">
        <f>COUNTIF(Data!$F$2:$F$7001,A4)</f>
        <v/>
      </c>
      <c r="C4">
        <f>COUNTIFS(Data!$F$2:$F$7001,A4,Data!$I$2:$I$7001,"Won")</f>
        <v/>
      </c>
      <c r="D4" s="9">
        <f>ROUND(C4/B4*100,1)</f>
        <v/>
      </c>
      <c r="E4" s="10">
        <f>ROUND(SUMIFS(Data!$K$2:$K$7001,Data!$F$2:$F$7001,A4,Data!$I$2:$I$7001,"Won"),2)</f>
        <v/>
      </c>
    </row>
    <row r="5">
      <c r="A5" t="inlineStr">
        <is>
          <t>Rep_04</t>
        </is>
      </c>
      <c r="B5">
        <f>COUNTIF(Data!$F$2:$F$7001,A5)</f>
        <v/>
      </c>
      <c r="C5">
        <f>COUNTIFS(Data!$F$2:$F$7001,A5,Data!$I$2:$I$7001,"Won")</f>
        <v/>
      </c>
      <c r="D5" s="9">
        <f>ROUND(C5/B5*100,1)</f>
        <v/>
      </c>
      <c r="E5" s="10">
        <f>ROUND(SUMIFS(Data!$K$2:$K$7001,Data!$F$2:$F$7001,A5,Data!$I$2:$I$7001,"Won"),2)</f>
        <v/>
      </c>
    </row>
    <row r="6">
      <c r="A6" t="inlineStr">
        <is>
          <t>Rep_05</t>
        </is>
      </c>
      <c r="B6">
        <f>COUNTIF(Data!$F$2:$F$7001,A6)</f>
        <v/>
      </c>
      <c r="C6">
        <f>COUNTIFS(Data!$F$2:$F$7001,A6,Data!$I$2:$I$7001,"Won")</f>
        <v/>
      </c>
      <c r="D6" s="9">
        <f>ROUND(C6/B6*100,1)</f>
        <v/>
      </c>
      <c r="E6" s="10">
        <f>ROUND(SUMIFS(Data!$K$2:$K$7001,Data!$F$2:$F$7001,A6,Data!$I$2:$I$7001,"Won"),2)</f>
        <v/>
      </c>
    </row>
    <row r="7">
      <c r="A7" t="inlineStr">
        <is>
          <t>Rep_06</t>
        </is>
      </c>
      <c r="B7">
        <f>COUNTIF(Data!$F$2:$F$7001,A7)</f>
        <v/>
      </c>
      <c r="C7">
        <f>COUNTIFS(Data!$F$2:$F$7001,A7,Data!$I$2:$I$7001,"Won")</f>
        <v/>
      </c>
      <c r="D7" s="9">
        <f>ROUND(C7/B7*100,1)</f>
        <v/>
      </c>
      <c r="E7" s="10">
        <f>ROUND(SUMIFS(Data!$K$2:$K$7001,Data!$F$2:$F$7001,A7,Data!$I$2:$I$7001,"Won"),2)</f>
        <v/>
      </c>
    </row>
    <row r="8">
      <c r="A8" t="inlineStr">
        <is>
          <t>Rep_07</t>
        </is>
      </c>
      <c r="B8">
        <f>COUNTIF(Data!$F$2:$F$7001,A8)</f>
        <v/>
      </c>
      <c r="C8">
        <f>COUNTIFS(Data!$F$2:$F$7001,A8,Data!$I$2:$I$7001,"Won")</f>
        <v/>
      </c>
      <c r="D8" s="9">
        <f>ROUND(C8/B8*100,1)</f>
        <v/>
      </c>
      <c r="E8" s="10">
        <f>ROUND(SUMIFS(Data!$K$2:$K$7001,Data!$F$2:$F$7001,A8,Data!$I$2:$I$7001,"Won"),2)</f>
        <v/>
      </c>
    </row>
    <row r="9">
      <c r="A9" t="inlineStr">
        <is>
          <t>Rep_08</t>
        </is>
      </c>
      <c r="B9">
        <f>COUNTIF(Data!$F$2:$F$7001,A9)</f>
        <v/>
      </c>
      <c r="C9">
        <f>COUNTIFS(Data!$F$2:$F$7001,A9,Data!$I$2:$I$7001,"Won")</f>
        <v/>
      </c>
      <c r="D9" s="9">
        <f>ROUND(C9/B9*100,1)</f>
        <v/>
      </c>
      <c r="E9" s="10">
        <f>ROUND(SUMIFS(Data!$K$2:$K$7001,Data!$F$2:$F$7001,A9,Data!$I$2:$I$7001,"Won"),2)</f>
        <v/>
      </c>
    </row>
    <row r="10">
      <c r="A10" t="inlineStr">
        <is>
          <t>Rep_09</t>
        </is>
      </c>
      <c r="B10">
        <f>COUNTIF(Data!$F$2:$F$7001,A10)</f>
        <v/>
      </c>
      <c r="C10">
        <f>COUNTIFS(Data!$F$2:$F$7001,A10,Data!$I$2:$I$7001,"Won")</f>
        <v/>
      </c>
      <c r="D10" s="9">
        <f>ROUND(C10/B10*100,1)</f>
        <v/>
      </c>
      <c r="E10" s="10">
        <f>ROUND(SUMIFS(Data!$K$2:$K$7001,Data!$F$2:$F$7001,A10,Data!$I$2:$I$7001,"Won"),2)</f>
        <v/>
      </c>
    </row>
    <row r="11">
      <c r="A11" t="inlineStr">
        <is>
          <t>Rep_10</t>
        </is>
      </c>
      <c r="B11">
        <f>COUNTIF(Data!$F$2:$F$7001,A11)</f>
        <v/>
      </c>
      <c r="C11">
        <f>COUNTIFS(Data!$F$2:$F$7001,A11,Data!$I$2:$I$7001,"Won")</f>
        <v/>
      </c>
      <c r="D11" s="9">
        <f>ROUND(C11/B11*100,1)</f>
        <v/>
      </c>
      <c r="E11" s="10">
        <f>ROUND(SUMIFS(Data!$K$2:$K$7001,Data!$F$2:$F$7001,A11,Data!$I$2:$I$7001,"Won"),2)</f>
        <v/>
      </c>
    </row>
    <row r="12">
      <c r="A12" t="inlineStr">
        <is>
          <t>Rep_11</t>
        </is>
      </c>
      <c r="B12">
        <f>COUNTIF(Data!$F$2:$F$7001,A12)</f>
        <v/>
      </c>
      <c r="C12">
        <f>COUNTIFS(Data!$F$2:$F$7001,A12,Data!$I$2:$I$7001,"Won")</f>
        <v/>
      </c>
      <c r="D12" s="9">
        <f>ROUND(C12/B12*100,1)</f>
        <v/>
      </c>
      <c r="E12" s="10">
        <f>ROUND(SUMIFS(Data!$K$2:$K$7001,Data!$F$2:$F$7001,A12,Data!$I$2:$I$7001,"Won"),2)</f>
        <v/>
      </c>
    </row>
    <row r="13">
      <c r="A13" t="inlineStr">
        <is>
          <t>Rep_12</t>
        </is>
      </c>
      <c r="B13">
        <f>COUNTIF(Data!$F$2:$F$7001,A13)</f>
        <v/>
      </c>
      <c r="C13">
        <f>COUNTIFS(Data!$F$2:$F$7001,A13,Data!$I$2:$I$7001,"Won")</f>
        <v/>
      </c>
      <c r="D13" s="9">
        <f>ROUND(C13/B13*100,1)</f>
        <v/>
      </c>
      <c r="E13" s="10">
        <f>ROUND(SUMIFS(Data!$K$2:$K$7001,Data!$F$2:$F$7001,A13,Data!$I$2:$I$7001,"Won"),2)</f>
        <v/>
      </c>
    </row>
    <row r="14">
      <c r="A14" t="inlineStr">
        <is>
          <t>Rep_13</t>
        </is>
      </c>
      <c r="B14">
        <f>COUNTIF(Data!$F$2:$F$7001,A14)</f>
        <v/>
      </c>
      <c r="C14">
        <f>COUNTIFS(Data!$F$2:$F$7001,A14,Data!$I$2:$I$7001,"Won")</f>
        <v/>
      </c>
      <c r="D14" s="9">
        <f>ROUND(C14/B14*100,1)</f>
        <v/>
      </c>
      <c r="E14" s="10">
        <f>ROUND(SUMIFS(Data!$K$2:$K$7001,Data!$F$2:$F$7001,A14,Data!$I$2:$I$7001,"Won"),2)</f>
        <v/>
      </c>
    </row>
    <row r="15">
      <c r="A15" t="inlineStr">
        <is>
          <t>Rep_14</t>
        </is>
      </c>
      <c r="B15">
        <f>COUNTIF(Data!$F$2:$F$7001,A15)</f>
        <v/>
      </c>
      <c r="C15">
        <f>COUNTIFS(Data!$F$2:$F$7001,A15,Data!$I$2:$I$7001,"Won")</f>
        <v/>
      </c>
      <c r="D15" s="9">
        <f>ROUND(C15/B15*100,1)</f>
        <v/>
      </c>
      <c r="E15" s="10">
        <f>ROUND(SUMIFS(Data!$K$2:$K$7001,Data!$F$2:$F$7001,A15,Data!$I$2:$I$7001,"Won"),2)</f>
        <v/>
      </c>
    </row>
    <row r="16">
      <c r="A16" t="inlineStr">
        <is>
          <t>Rep_15</t>
        </is>
      </c>
      <c r="B16">
        <f>COUNTIF(Data!$F$2:$F$7001,A16)</f>
        <v/>
      </c>
      <c r="C16">
        <f>COUNTIFS(Data!$F$2:$F$7001,A16,Data!$I$2:$I$7001,"Won")</f>
        <v/>
      </c>
      <c r="D16" s="9">
        <f>ROUND(C16/B16*100,1)</f>
        <v/>
      </c>
      <c r="E16" s="10">
        <f>ROUND(SUMIFS(Data!$K$2:$K$7001,Data!$F$2:$F$7001,A16,Data!$I$2:$I$7001,"Won"),2)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</cols>
  <sheetData>
    <row r="1">
      <c r="A1" s="8" t="inlineStr">
        <is>
          <t>month</t>
        </is>
      </c>
      <c r="B1" s="8" t="inlineStr">
        <is>
          <t>leads</t>
        </is>
      </c>
      <c r="C1" s="8" t="inlineStr">
        <is>
          <t>win_rate_pct</t>
        </is>
      </c>
    </row>
    <row r="2">
      <c r="A2" t="inlineStr">
        <is>
          <t>2025-01</t>
        </is>
      </c>
      <c r="B2">
        <f>COUNTIF(Data!$O$2:$O$7001,A2)</f>
        <v/>
      </c>
      <c r="C2" s="9">
        <f>ROUND(COUNTIFS(Data!$O$2:$O$7001,A2,Data!$I$2:$I$7001,"Won")/B2*100,1)</f>
        <v/>
      </c>
    </row>
    <row r="3">
      <c r="A3" t="inlineStr">
        <is>
          <t>2025-02</t>
        </is>
      </c>
      <c r="B3">
        <f>COUNTIF(Data!$O$2:$O$7001,A3)</f>
        <v/>
      </c>
      <c r="C3" s="9">
        <f>ROUND(COUNTIFS(Data!$O$2:$O$7001,A3,Data!$I$2:$I$7001,"Won")/B3*100,1)</f>
        <v/>
      </c>
    </row>
    <row r="4">
      <c r="A4" t="inlineStr">
        <is>
          <t>2025-03</t>
        </is>
      </c>
      <c r="B4">
        <f>COUNTIF(Data!$O$2:$O$7001,A4)</f>
        <v/>
      </c>
      <c r="C4" s="9">
        <f>ROUND(COUNTIFS(Data!$O$2:$O$7001,A4,Data!$I$2:$I$7001,"Won")/B4*100,1)</f>
        <v/>
      </c>
    </row>
    <row r="5">
      <c r="A5" t="inlineStr">
        <is>
          <t>2025-04</t>
        </is>
      </c>
      <c r="B5">
        <f>COUNTIF(Data!$O$2:$O$7001,A5)</f>
        <v/>
      </c>
      <c r="C5" s="9">
        <f>ROUND(COUNTIFS(Data!$O$2:$O$7001,A5,Data!$I$2:$I$7001,"Won")/B5*100,1)</f>
        <v/>
      </c>
    </row>
    <row r="6">
      <c r="A6" t="inlineStr">
        <is>
          <t>2025-05</t>
        </is>
      </c>
      <c r="B6">
        <f>COUNTIF(Data!$O$2:$O$7001,A6)</f>
        <v/>
      </c>
      <c r="C6" s="9">
        <f>ROUND(COUNTIFS(Data!$O$2:$O$7001,A6,Data!$I$2:$I$7001,"Won")/B6*100,1)</f>
        <v/>
      </c>
    </row>
    <row r="7">
      <c r="A7" t="inlineStr">
        <is>
          <t>2025-06</t>
        </is>
      </c>
      <c r="B7">
        <f>COUNTIF(Data!$O$2:$O$7001,A7)</f>
        <v/>
      </c>
      <c r="C7" s="9">
        <f>ROUND(COUNTIFS(Data!$O$2:$O$7001,A7,Data!$I$2:$I$7001,"Won")/B7*100,1)</f>
        <v/>
      </c>
    </row>
    <row r="8">
      <c r="A8" t="inlineStr">
        <is>
          <t>2025-07</t>
        </is>
      </c>
      <c r="B8">
        <f>COUNTIF(Data!$O$2:$O$7001,A8)</f>
        <v/>
      </c>
      <c r="C8" s="9">
        <f>ROUND(COUNTIFS(Data!$O$2:$O$7001,A8,Data!$I$2:$I$7001,"Won")/B8*100,1)</f>
        <v/>
      </c>
    </row>
    <row r="9">
      <c r="A9" t="inlineStr">
        <is>
          <t>2025-08</t>
        </is>
      </c>
      <c r="B9">
        <f>COUNTIF(Data!$O$2:$O$7001,A9)</f>
        <v/>
      </c>
      <c r="C9" s="9">
        <f>ROUND(COUNTIFS(Data!$O$2:$O$7001,A9,Data!$I$2:$I$7001,"Won")/B9*100,1)</f>
        <v/>
      </c>
    </row>
    <row r="10">
      <c r="A10" t="inlineStr">
        <is>
          <t>2025-09</t>
        </is>
      </c>
      <c r="B10">
        <f>COUNTIF(Data!$O$2:$O$7001,A10)</f>
        <v/>
      </c>
      <c r="C10" s="9">
        <f>ROUND(COUNTIFS(Data!$O$2:$O$7001,A10,Data!$I$2:$I$7001,"Won")/B10*100,1)</f>
        <v/>
      </c>
    </row>
    <row r="11">
      <c r="A11" t="inlineStr">
        <is>
          <t>2025-10</t>
        </is>
      </c>
      <c r="B11">
        <f>COUNTIF(Data!$O$2:$O$7001,A11)</f>
        <v/>
      </c>
      <c r="C11" s="9">
        <f>ROUND(COUNTIFS(Data!$O$2:$O$7001,A11,Data!$I$2:$I$7001,"Won")/B11*100,1)</f>
        <v/>
      </c>
    </row>
    <row r="12">
      <c r="A12" t="inlineStr">
        <is>
          <t>2025-11</t>
        </is>
      </c>
      <c r="B12">
        <f>COUNTIF(Data!$O$2:$O$7001,A12)</f>
        <v/>
      </c>
      <c r="C12" s="9">
        <f>ROUND(COUNTIFS(Data!$O$2:$O$7001,A12,Data!$I$2:$I$7001,"Won")/B12*100,1)</f>
        <v/>
      </c>
    </row>
    <row r="13">
      <c r="A13" t="inlineStr">
        <is>
          <t>2025-12</t>
        </is>
      </c>
      <c r="B13">
        <f>COUNTIF(Data!$O$2:$O$7001,A13)</f>
        <v/>
      </c>
      <c r="C13" s="9">
        <f>ROUND(COUNTIFS(Data!$O$2:$O$7001,A13,Data!$I$2:$I$7001,"Won")/B13*100,1)</f>
        <v/>
      </c>
    </row>
    <row r="14">
      <c r="A14" t="inlineStr">
        <is>
          <t>2026-01</t>
        </is>
      </c>
      <c r="B14">
        <f>COUNTIF(Data!$O$2:$O$7001,A14)</f>
        <v/>
      </c>
      <c r="C14" s="9">
        <f>ROUND(COUNTIFS(Data!$O$2:$O$7001,A14,Data!$I$2:$I$7001,"Won")/B14*100,1)</f>
        <v/>
      </c>
    </row>
    <row r="15">
      <c r="A15" t="inlineStr">
        <is>
          <t>2026-02</t>
        </is>
      </c>
      <c r="B15">
        <f>COUNTIF(Data!$O$2:$O$7001,A15)</f>
        <v/>
      </c>
      <c r="C15" s="9">
        <f>ROUND(COUNTIFS(Data!$O$2:$O$7001,A15,Data!$I$2:$I$7001,"Won")/B15*100,1)</f>
        <v/>
      </c>
    </row>
    <row r="16">
      <c r="A16" t="inlineStr">
        <is>
          <t>2026-03</t>
        </is>
      </c>
      <c r="B16">
        <f>COUNTIF(Data!$O$2:$O$7001,A16)</f>
        <v/>
      </c>
      <c r="C16" s="9">
        <f>ROUND(COUNTIFS(Data!$O$2:$O$7001,A16,Data!$I$2:$I$7001,"Won")/B16*100,1)</f>
        <v/>
      </c>
    </row>
    <row r="17">
      <c r="A17" t="inlineStr">
        <is>
          <t>2026-04</t>
        </is>
      </c>
      <c r="B17">
        <f>COUNTIF(Data!$O$2:$O$7001,A17)</f>
        <v/>
      </c>
      <c r="C17" s="9">
        <f>ROUND(COUNTIFS(Data!$O$2:$O$7001,A17,Data!$I$2:$I$7001,"Won")/B17*100,1)</f>
        <v/>
      </c>
    </row>
    <row r="18">
      <c r="A18" t="inlineStr">
        <is>
          <t>2026-05</t>
        </is>
      </c>
      <c r="B18">
        <f>COUNTIF(Data!$O$2:$O$7001,A18)</f>
        <v/>
      </c>
      <c r="C18" s="9">
        <f>ROUND(COUNTIFS(Data!$O$2:$O$7001,A18,Data!$I$2:$I$7001,"Won")/B18*100,1)</f>
        <v/>
      </c>
    </row>
    <row r="19">
      <c r="A19" t="inlineStr">
        <is>
          <t>2026-06</t>
        </is>
      </c>
      <c r="B19">
        <f>COUNTIF(Data!$O$2:$O$7001,A19)</f>
        <v/>
      </c>
      <c r="C19" s="9">
        <f>ROUND(COUNTIFS(Data!$O$2:$O$7001,A19,Data!$I$2:$I$7001,"Won")/B19*100,1)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2026-09-13T10:37:25Z</dcterms:created>
  <dcterms:modified xmlns:dcterms="http://purl.org/dc/terms/" xmlns:xsi="http://www.w3.org/2001/XMLSchema-instance" xsi:type="dcterms:W3CDTF">2026-09-13T10:37:26Z</dcterms:modified>
</cp:coreProperties>
</file>